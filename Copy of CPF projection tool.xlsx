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s made" sheetId="1" r:id="rId5"/>
    <sheet state="visible" name="questions" sheetId="2" r:id="rId6"/>
    <sheet state="visible" name="calculations" sheetId="3" r:id="rId7"/>
    <sheet state="visible" name="output for phase 1" sheetId="4" r:id="rId8"/>
    <sheet state="visible" name="Lookup" sheetId="5" r:id="rId9"/>
    <sheet state="visible" name="cpf life payouts phase 1" sheetId="6" r:id="rId10"/>
    <sheet state="visible" name="optimal monthly topup" sheetId="7" r:id="rId11"/>
    <sheet state="visible" name="PV Calulator" sheetId="8" r:id="rId12"/>
    <sheet state="visible" name="life payout table comparison" sheetId="9" r:id="rId13"/>
    <sheet state="visible" name="retirement amt needed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25 year average inflation rate</t>
      </text>
    </comment>
  </commentList>
</comments>
</file>

<file path=xl/sharedStrings.xml><?xml version="1.0" encoding="utf-8"?>
<sst xmlns="http://schemas.openxmlformats.org/spreadsheetml/2006/main" count="244" uniqueCount="166">
  <si>
    <t>date</t>
  </si>
  <si>
    <t>edits</t>
  </si>
  <si>
    <t>"calculations"  tab
1. addition of annual interest columns
2. replaced formulas for all of cummulative balances (col Y - AB)
3. edited formula for the reference table of BRS, FRS and ERS (AG7:AI7)
"output for phase 1" tab
1. edited formula for eligibility checks (D26, D28, D30)</t>
  </si>
  <si>
    <t>"output for phase 1"
1. change heading of "options for retirement sum" to "options for retirement sum at [toggle]"
- toggle options: "55", "65",["66","67","68","69","70"] 
- add explanation behind the toggle age
- for 66-70, only include the age where they choose to start receiving life payouts
55: age where you choose your retirement sum
65: age where you make a final decision on your retirement sum
66-70: age where you choose to start receiving LIFE payouts
2. merge the 2 tables of projected retirement sums at 65 and 70 into 1 using toggle for age
"retirement sum needed"
1. added amt needed (PV) in cell A8, B8</t>
  </si>
  <si>
    <t>"output for phase 1"
1. options for retirement sum graph to not include MA in the total CPF savings</t>
  </si>
  <si>
    <t>Q1</t>
  </si>
  <si>
    <t>current age</t>
  </si>
  <si>
    <t>retrieve from db/my info</t>
  </si>
  <si>
    <t>Q1a</t>
  </si>
  <si>
    <t>birth date</t>
  </si>
  <si>
    <t>client to fill in</t>
  </si>
  <si>
    <t>Q1b</t>
  </si>
  <si>
    <t>year when age 55</t>
  </si>
  <si>
    <t>calculate from client's info</t>
  </si>
  <si>
    <t>Q1c</t>
  </si>
  <si>
    <t>year when age 65</t>
  </si>
  <si>
    <t>no fill, just a header</t>
  </si>
  <si>
    <t>Q2</t>
  </si>
  <si>
    <t>age intend to retire</t>
  </si>
  <si>
    <t>Q3</t>
  </si>
  <si>
    <t>monthly income required to retire</t>
  </si>
  <si>
    <t>Q4</t>
  </si>
  <si>
    <t>age expectancy</t>
  </si>
  <si>
    <t>Q5</t>
  </si>
  <si>
    <t>current wage</t>
  </si>
  <si>
    <t>Q5a</t>
  </si>
  <si>
    <t>monthly income</t>
  </si>
  <si>
    <t>Q5b</t>
  </si>
  <si>
    <t>bonus (months)</t>
  </si>
  <si>
    <t>Q5c</t>
  </si>
  <si>
    <t>yearly increment</t>
  </si>
  <si>
    <t>Q6</t>
  </si>
  <si>
    <t>years till retirement</t>
  </si>
  <si>
    <t>Q7</t>
  </si>
  <si>
    <t xml:space="preserve">current cpf balances </t>
  </si>
  <si>
    <t>Q7a</t>
  </si>
  <si>
    <t>OA</t>
  </si>
  <si>
    <t>Q7b</t>
  </si>
  <si>
    <t>SA</t>
  </si>
  <si>
    <t>Q7c</t>
  </si>
  <si>
    <t>MA</t>
  </si>
  <si>
    <t>Q8</t>
  </si>
  <si>
    <t>using OA for mortgage</t>
  </si>
  <si>
    <t>yes</t>
  </si>
  <si>
    <t>Q8a</t>
  </si>
  <si>
    <t>date when mortgage is fully paid</t>
  </si>
  <si>
    <t>Q8b</t>
  </si>
  <si>
    <t>how much mortgage</t>
  </si>
  <si>
    <t>Q9</t>
  </si>
  <si>
    <t>do you own a property with a remaining lease until at least age 95</t>
  </si>
  <si>
    <t>age</t>
  </si>
  <si>
    <t>current income</t>
  </si>
  <si>
    <t>Additional income</t>
  </si>
  <si>
    <t>cpf allocation cap check</t>
  </si>
  <si>
    <t xml:space="preserve">cpf allocation </t>
  </si>
  <si>
    <t>cpf withdrawal</t>
  </si>
  <si>
    <t>interest</t>
  </si>
  <si>
    <t>extra interest</t>
  </si>
  <si>
    <t>cummulative balance</t>
  </si>
  <si>
    <t>projected retirement sum</t>
  </si>
  <si>
    <t>ordinary wage</t>
  </si>
  <si>
    <t>additional wage</t>
  </si>
  <si>
    <t>Total Contribution</t>
  </si>
  <si>
    <t xml:space="preserve"> SA</t>
  </si>
  <si>
    <t>RA</t>
  </si>
  <si>
    <t>OA - mortgage</t>
  </si>
  <si>
    <t>SA/RA</t>
  </si>
  <si>
    <t>OA annual</t>
  </si>
  <si>
    <t>SA/RA annual</t>
  </si>
  <si>
    <t>MA annual</t>
  </si>
  <si>
    <t>BRS</t>
  </si>
  <si>
    <t>FRS</t>
  </si>
  <si>
    <t>ERS</t>
  </si>
  <si>
    <t>Ordinary Account (OA)</t>
  </si>
  <si>
    <t>Special Account (SA)</t>
  </si>
  <si>
    <t>Medisave Account (MA)</t>
  </si>
  <si>
    <t>Total</t>
  </si>
  <si>
    <t>Basic Retirement Sum (BRS)</t>
  </si>
  <si>
    <t>Full Retirement Sum (FRS)</t>
  </si>
  <si>
    <t>Enhanced Retirement Sum (ERS)</t>
  </si>
  <si>
    <t xml:space="preserve">page 1 - report </t>
  </si>
  <si>
    <t>https://www.canva.com/design/DAG4qOjGHDc/K9b8eY1HZOu2tqOV03IMCg/edit?utm_content=DAG4qOjGHDc&amp;utm_campaign=designshare&amp;utm_medium=link2&amp;utm_source=sharebutton</t>
  </si>
  <si>
    <t>CPF PROJECTION</t>
  </si>
  <si>
    <t>Your CPF Savings On</t>
  </si>
  <si>
    <r>
      <rPr>
        <rFont val="Arial"/>
        <color theme="1"/>
      </rPr>
      <t xml:space="preserve">Projected CPF savings at age </t>
    </r>
    <r>
      <rPr>
        <rFont val="Arial"/>
        <b/>
        <color theme="1"/>
        <sz val="12.0"/>
      </rPr>
      <t>55</t>
    </r>
  </si>
  <si>
    <t>Retirement Account (RA)</t>
  </si>
  <si>
    <r>
      <rPr>
        <rFont val="Arial"/>
        <color theme="1"/>
      </rPr>
      <t xml:space="preserve">Projected retirement sums at </t>
    </r>
    <r>
      <rPr>
        <rFont val="Arial"/>
        <b/>
        <color theme="1"/>
        <sz val="12.0"/>
      </rPr>
      <t>55</t>
    </r>
  </si>
  <si>
    <r>
      <rPr>
        <rFont val="Arial"/>
        <color theme="1"/>
      </rPr>
      <t xml:space="preserve">Projected retirement sums at </t>
    </r>
    <r>
      <rPr>
        <rFont val="Arial"/>
        <b/>
        <color theme="1"/>
        <sz val="12.0"/>
      </rPr>
      <t>65</t>
    </r>
  </si>
  <si>
    <t>Retirement sum eligibility</t>
  </si>
  <si>
    <t>&gt;55 only</t>
  </si>
  <si>
    <t>Contribution rates (2025)</t>
  </si>
  <si>
    <t>Allocation Rates (2025)</t>
  </si>
  <si>
    <t>FRS cap</t>
  </si>
  <si>
    <t>MA cap</t>
  </si>
  <si>
    <t>Age band (and below)</t>
  </si>
  <si>
    <t>Employer</t>
  </si>
  <si>
    <t>Employee</t>
  </si>
  <si>
    <t>SA/ RA</t>
  </si>
  <si>
    <t>Year turn 55</t>
  </si>
  <si>
    <t>Enhance Retirement Sum (ERS)</t>
  </si>
  <si>
    <t>Year turn 65</t>
  </si>
  <si>
    <t>Cohort BHS
(fixed for life)</t>
  </si>
  <si>
    <t>growth (assume 3.5 %)</t>
  </si>
  <si>
    <t>Contribution rates (2026)</t>
  </si>
  <si>
    <t>Allocation Rates (2026)</t>
  </si>
  <si>
    <t>Interest Rates</t>
  </si>
  <si>
    <t>Extra interest</t>
  </si>
  <si>
    <t>Additional Extra interest</t>
  </si>
  <si>
    <t>brs</t>
  </si>
  <si>
    <t xml:space="preserve">life expectancy </t>
  </si>
  <si>
    <t>frs</t>
  </si>
  <si>
    <t>male</t>
  </si>
  <si>
    <t>ers</t>
  </si>
  <si>
    <t>female</t>
  </si>
  <si>
    <t>number of payout years</t>
  </si>
  <si>
    <t>standard plan</t>
  </si>
  <si>
    <t>FRS amt</t>
  </si>
  <si>
    <t>ERS amt at 55</t>
  </si>
  <si>
    <t>ERS amt at 65</t>
  </si>
  <si>
    <t>starting OA</t>
  </si>
  <si>
    <t>investible OA</t>
  </si>
  <si>
    <t>investment age</t>
  </si>
  <si>
    <t>risk 5 CAGR</t>
  </si>
  <si>
    <t>risk 2</t>
  </si>
  <si>
    <t>risk 3</t>
  </si>
  <si>
    <t>risk 4</t>
  </si>
  <si>
    <t>monthly contributions</t>
  </si>
  <si>
    <t>invest with autowealth to hit age 55 ers by 55</t>
  </si>
  <si>
    <t>invest with autowealth to hit age 65 ers by 55</t>
  </si>
  <si>
    <t>invest with autowealth to hit age 55 ers by 65</t>
  </si>
  <si>
    <t>Cpf life start age</t>
  </si>
  <si>
    <t>Discount by month</t>
  </si>
  <si>
    <t>Total PV standard</t>
  </si>
  <si>
    <t>Discount rate</t>
  </si>
  <si>
    <t>Total PV Escalating</t>
  </si>
  <si>
    <t>standard monthly payout</t>
  </si>
  <si>
    <t>escalating monthly payout</t>
  </si>
  <si>
    <t>Month No</t>
  </si>
  <si>
    <t>Age</t>
  </si>
  <si>
    <t>Standard Payout</t>
  </si>
  <si>
    <t>Escalating payout</t>
  </si>
  <si>
    <t>Discount factor (by month)</t>
  </si>
  <si>
    <t>PV standard</t>
  </si>
  <si>
    <t>PV Escalating</t>
  </si>
  <si>
    <t>retirement sums</t>
  </si>
  <si>
    <t>plans</t>
  </si>
  <si>
    <t>cpf life premiums</t>
  </si>
  <si>
    <t>basic</t>
  </si>
  <si>
    <t>10-20%</t>
  </si>
  <si>
    <t>standard</t>
  </si>
  <si>
    <t>escalating</t>
  </si>
  <si>
    <t>age starting payout</t>
  </si>
  <si>
    <t>total retirement sum</t>
  </si>
  <si>
    <t>escalating plan payouts</t>
  </si>
  <si>
    <t>age/payout starting age</t>
  </si>
  <si>
    <t>Basic Plan Payouts</t>
  </si>
  <si>
    <t>Retirement sum</t>
  </si>
  <si>
    <t>monthly payout amt (PV)</t>
  </si>
  <si>
    <t>monthly payout amt (FV)</t>
  </si>
  <si>
    <t>cpf life start age</t>
  </si>
  <si>
    <t>life expectancy</t>
  </si>
  <si>
    <t>years to retirement</t>
  </si>
  <si>
    <t>payout duration</t>
  </si>
  <si>
    <t>total required amt (FV)</t>
  </si>
  <si>
    <t>total required amt (PV)</t>
  </si>
  <si>
    <t>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</si>
</sst>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 mmmm"/>
    <numFmt numFmtId="165" formatCode="d&quot; &quot;mmm&quot; &quot;yyyy"/>
    <numFmt numFmtId="166" formatCode="&quot;$&quot;#,##0.00"/>
    <numFmt numFmtId="167" formatCode="&quot;$&quot;#,##0"/>
    <numFmt numFmtId="168" formatCode="mmm&quot; &quot;yyyy"/>
    <numFmt numFmtId="169" formatCode="0.0%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color rgb="FFFFFFFF"/>
      <name val="Arial"/>
      <scheme val="minor"/>
    </font>
    <font>
      <u/>
      <color rgb="FF0000FF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262626"/>
      <name val="Arial"/>
      <scheme val="minor"/>
    </font>
    <font>
      <sz val="10.0"/>
      <color rgb="FF262626"/>
      <name val="Montserrat !important"/>
    </font>
    <font>
      <sz val="11.0"/>
      <color rgb="FF000000"/>
      <name val="-apple-system"/>
    </font>
    <font>
      <sz val="10.0"/>
      <color theme="1"/>
      <name val="Arial"/>
    </font>
    <font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A64D79"/>
        <bgColor rgb="FFA64D79"/>
      </patternFill>
    </fill>
    <fill>
      <patternFill patternType="solid">
        <fgColor rgb="FF134F5C"/>
        <bgColor rgb="FF134F5C"/>
      </patternFill>
    </fill>
    <fill>
      <patternFill patternType="solid">
        <fgColor rgb="FF0B5394"/>
        <bgColor rgb="FF0B5394"/>
      </patternFill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bottom style="thin">
        <color rgb="FFE9E9E9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3" fontId="1" numFmtId="2" xfId="0" applyAlignment="1" applyBorder="1" applyFill="1" applyFont="1" applyNumberFormat="1">
      <alignment readingOrder="0"/>
    </xf>
    <xf borderId="0" fillId="4" fontId="1" numFmtId="0" xfId="0" applyAlignment="1" applyFill="1" applyFont="1">
      <alignment readingOrder="0"/>
    </xf>
    <xf borderId="1" fillId="4" fontId="1" numFmtId="165" xfId="0" applyAlignment="1" applyBorder="1" applyFont="1" applyNumberFormat="1">
      <alignment readingOrder="0"/>
    </xf>
    <xf borderId="0" fillId="5" fontId="1" numFmtId="0" xfId="0" applyAlignment="1" applyFill="1" applyFont="1">
      <alignment readingOrder="0"/>
    </xf>
    <xf borderId="1" fillId="3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1" fillId="5" fontId="1" numFmtId="0" xfId="0" applyAlignment="1" applyBorder="1" applyFont="1">
      <alignment readingOrder="0"/>
    </xf>
    <xf borderId="1" fillId="5" fontId="1" numFmtId="166" xfId="0" applyAlignment="1" applyBorder="1" applyFont="1" applyNumberFormat="1">
      <alignment readingOrder="0"/>
    </xf>
    <xf borderId="1" fillId="6" fontId="1" numFmtId="167" xfId="0" applyAlignment="1" applyBorder="1" applyFont="1" applyNumberFormat="1">
      <alignment readingOrder="0"/>
    </xf>
    <xf borderId="1" fillId="5" fontId="1" numFmtId="10" xfId="0" applyAlignment="1" applyBorder="1" applyFont="1" applyNumberFormat="1">
      <alignment readingOrder="0"/>
    </xf>
    <xf borderId="1" fillId="3" fontId="1" numFmtId="2" xfId="0" applyBorder="1" applyFont="1" applyNumberFormat="1"/>
    <xf borderId="1" fillId="6" fontId="1" numFmtId="0" xfId="0" applyBorder="1" applyFont="1"/>
    <xf borderId="1" fillId="4" fontId="1" numFmtId="166" xfId="0" applyAlignment="1" applyBorder="1" applyFont="1" applyNumberFormat="1">
      <alignment readingOrder="0"/>
    </xf>
    <xf borderId="0" fillId="0" fontId="1" numFmtId="166" xfId="0" applyAlignment="1" applyFont="1" applyNumberFormat="1">
      <alignment readingOrder="0"/>
    </xf>
    <xf borderId="1" fillId="5" fontId="1" numFmtId="0" xfId="0" applyAlignment="1" applyBorder="1" applyFont="1">
      <alignment horizontal="right" readingOrder="0"/>
    </xf>
    <xf borderId="1" fillId="5" fontId="1" numFmtId="165" xfId="0" applyAlignment="1" applyBorder="1" applyFont="1" applyNumberFormat="1">
      <alignment readingOrder="0"/>
    </xf>
    <xf borderId="1" fillId="4" fontId="1" numFmtId="0" xfId="0" applyAlignment="1" applyBorder="1" applyFont="1">
      <alignment readingOrder="0"/>
    </xf>
    <xf borderId="1" fillId="2" fontId="1" numFmtId="0" xfId="0" applyAlignment="1" applyBorder="1" applyFont="1">
      <alignment readingOrder="0" shrinkToFit="0" wrapText="1"/>
    </xf>
    <xf borderId="2" fillId="7" fontId="1" numFmtId="168" xfId="0" applyAlignment="1" applyBorder="1" applyFill="1" applyFont="1" applyNumberFormat="1">
      <alignment horizontal="center" readingOrder="0"/>
    </xf>
    <xf borderId="2" fillId="8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 shrinkToFit="0" wrapText="1"/>
    </xf>
    <xf borderId="3" fillId="3" fontId="1" numFmtId="0" xfId="0" applyAlignment="1" applyBorder="1" applyFont="1">
      <alignment horizontal="center" readingOrder="0"/>
    </xf>
    <xf borderId="4" fillId="0" fontId="3" numFmtId="0" xfId="0" applyBorder="1" applyFont="1"/>
    <xf borderId="3" fillId="9" fontId="1" numFmtId="0" xfId="0" applyAlignment="1" applyBorder="1" applyFill="1" applyFont="1">
      <alignment horizontal="center" readingOrder="0"/>
    </xf>
    <xf borderId="5" fillId="0" fontId="3" numFmtId="0" xfId="0" applyBorder="1" applyFont="1"/>
    <xf borderId="6" fillId="5" fontId="1" numFmtId="0" xfId="0" applyAlignment="1" applyBorder="1" applyFont="1">
      <alignment horizontal="center" readingOrder="0"/>
    </xf>
    <xf borderId="3" fillId="10" fontId="1" numFmtId="0" xfId="0" applyAlignment="1" applyBorder="1" applyFill="1" applyFont="1">
      <alignment horizontal="center" readingOrder="0"/>
    </xf>
    <xf borderId="3" fillId="11" fontId="1" numFmtId="0" xfId="0" applyAlignment="1" applyBorder="1" applyFill="1" applyFont="1">
      <alignment horizontal="center" readingOrder="0"/>
    </xf>
    <xf borderId="3" fillId="12" fontId="1" numFmtId="0" xfId="0" applyAlignment="1" applyBorder="1" applyFill="1" applyFont="1">
      <alignment horizontal="center" readingOrder="0"/>
    </xf>
    <xf borderId="3" fillId="4" fontId="1" numFmtId="166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7" fillId="0" fontId="3" numFmtId="0" xfId="0" applyBorder="1" applyFont="1"/>
    <xf borderId="8" fillId="3" fontId="1" numFmtId="0" xfId="0" applyAlignment="1" applyBorder="1" applyFont="1">
      <alignment horizontal="center" readingOrder="0"/>
    </xf>
    <xf borderId="9" fillId="3" fontId="1" numFmtId="0" xfId="0" applyAlignment="1" applyBorder="1" applyFont="1">
      <alignment horizontal="center" readingOrder="0"/>
    </xf>
    <xf borderId="10" fillId="9" fontId="1" numFmtId="0" xfId="0" applyAlignment="1" applyBorder="1" applyFont="1">
      <alignment horizontal="center" readingOrder="0"/>
    </xf>
    <xf borderId="8" fillId="9" fontId="1" numFmtId="0" xfId="0" applyAlignment="1" applyBorder="1" applyFont="1">
      <alignment horizontal="center" readingOrder="0"/>
    </xf>
    <xf borderId="9" fillId="9" fontId="1" numFmtId="0" xfId="0" applyAlignment="1" applyBorder="1" applyFont="1">
      <alignment horizontal="center" readingOrder="0"/>
    </xf>
    <xf borderId="8" fillId="5" fontId="1" numFmtId="0" xfId="0" applyAlignment="1" applyBorder="1" applyFont="1">
      <alignment horizontal="center" readingOrder="0"/>
    </xf>
    <xf borderId="8" fillId="10" fontId="1" numFmtId="0" xfId="0" applyAlignment="1" applyBorder="1" applyFont="1">
      <alignment horizontal="center" readingOrder="0"/>
    </xf>
    <xf borderId="10" fillId="10" fontId="1" numFmtId="0" xfId="0" applyAlignment="1" applyBorder="1" applyFont="1">
      <alignment horizontal="center" readingOrder="0"/>
    </xf>
    <xf borderId="9" fillId="10" fontId="1" numFmtId="0" xfId="0" applyAlignment="1" applyBorder="1" applyFont="1">
      <alignment horizontal="center" readingOrder="0"/>
    </xf>
    <xf borderId="10" fillId="11" fontId="1" numFmtId="0" xfId="0" applyAlignment="1" applyBorder="1" applyFont="1">
      <alignment horizontal="center" readingOrder="0"/>
    </xf>
    <xf borderId="9" fillId="11" fontId="1" numFmtId="0" xfId="0" applyAlignment="1" applyBorder="1" applyFont="1">
      <alignment horizontal="center" readingOrder="0"/>
    </xf>
    <xf borderId="10" fillId="12" fontId="1" numFmtId="0" xfId="0" applyAlignment="1" applyBorder="1" applyFont="1">
      <alignment horizontal="center" readingOrder="0"/>
    </xf>
    <xf borderId="9" fillId="12" fontId="1" numFmtId="0" xfId="0" applyAlignment="1" applyBorder="1" applyFont="1">
      <alignment horizontal="center" readingOrder="0"/>
    </xf>
    <xf borderId="8" fillId="4" fontId="1" numFmtId="166" xfId="0" applyAlignment="1" applyBorder="1" applyFont="1" applyNumberFormat="1">
      <alignment horizontal="center" readingOrder="0"/>
    </xf>
    <xf borderId="10" fillId="4" fontId="1" numFmtId="166" xfId="0" applyAlignment="1" applyBorder="1" applyFont="1" applyNumberFormat="1">
      <alignment horizontal="center" readingOrder="0"/>
    </xf>
    <xf borderId="9" fillId="4" fontId="1" numFmtId="166" xfId="0" applyAlignment="1" applyBorder="1" applyFont="1" applyNumberFormat="1">
      <alignment horizontal="center" readingOrder="0"/>
    </xf>
    <xf borderId="0" fillId="7" fontId="1" numFmtId="168" xfId="0" applyAlignment="1" applyFont="1" applyNumberFormat="1">
      <alignment horizontal="center"/>
    </xf>
    <xf borderId="0" fillId="8" fontId="1" numFmtId="2" xfId="0" applyAlignment="1" applyFont="1" applyNumberFormat="1">
      <alignment horizontal="center"/>
    </xf>
    <xf borderId="0" fillId="2" fontId="1" numFmtId="166" xfId="0" applyAlignment="1" applyFont="1" applyNumberFormat="1">
      <alignment horizontal="center"/>
    </xf>
    <xf borderId="0" fillId="2" fontId="1" numFmtId="0" xfId="0" applyAlignment="1" applyFont="1">
      <alignment horizontal="center"/>
    </xf>
    <xf borderId="0" fillId="3" fontId="1" numFmtId="166" xfId="0" applyAlignment="1" applyFont="1" applyNumberFormat="1">
      <alignment horizontal="center"/>
    </xf>
    <xf borderId="0" fillId="9" fontId="1" numFmtId="166" xfId="0" applyAlignment="1" applyFont="1" applyNumberFormat="1">
      <alignment horizontal="center"/>
    </xf>
    <xf borderId="0" fillId="9" fontId="1" numFmtId="0" xfId="0" applyAlignment="1" applyFont="1">
      <alignment horizontal="center"/>
    </xf>
    <xf borderId="0" fillId="5" fontId="1" numFmtId="0" xfId="0" applyAlignment="1" applyFont="1">
      <alignment horizontal="center"/>
    </xf>
    <xf borderId="0" fillId="10" fontId="1" numFmtId="166" xfId="0" applyAlignment="1" applyFont="1" applyNumberFormat="1">
      <alignment horizontal="center"/>
    </xf>
    <xf borderId="0" fillId="11" fontId="1" numFmtId="166" xfId="0" applyAlignment="1" applyFont="1" applyNumberFormat="1">
      <alignment horizontal="center"/>
    </xf>
    <xf borderId="0" fillId="12" fontId="1" numFmtId="166" xfId="0" applyAlignment="1" applyFont="1" applyNumberFormat="1">
      <alignment horizontal="center"/>
    </xf>
    <xf borderId="0" fillId="4" fontId="1" numFmtId="166" xfId="0" applyAlignment="1" applyFont="1" applyNumberFormat="1">
      <alignment horizontal="center"/>
    </xf>
    <xf borderId="0" fillId="13" fontId="4" numFmtId="167" xfId="0" applyAlignment="1" applyFill="1" applyFont="1" applyNumberFormat="1">
      <alignment horizontal="center"/>
    </xf>
    <xf borderId="0" fillId="7" fontId="1" numFmtId="0" xfId="0" applyAlignment="1" applyFont="1">
      <alignment horizontal="center" readingOrder="0"/>
    </xf>
    <xf borderId="0" fillId="14" fontId="4" numFmtId="167" xfId="0" applyAlignment="1" applyFill="1" applyFont="1" applyNumberFormat="1">
      <alignment horizontal="center"/>
    </xf>
    <xf borderId="0" fillId="9" fontId="1" numFmtId="0" xfId="0" applyAlignment="1" applyFont="1">
      <alignment horizontal="center" readingOrder="0"/>
    </xf>
    <xf borderId="0" fillId="3" fontId="1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2" numFmtId="165" xfId="0" applyAlignment="1" applyFont="1" applyNumberFormat="1">
      <alignment horizontal="center"/>
    </xf>
    <xf borderId="0" fillId="15" fontId="4" numFmtId="167" xfId="0" applyAlignment="1" applyFill="1" applyFont="1" applyNumberFormat="1">
      <alignment horizontal="center"/>
    </xf>
    <xf borderId="0" fillId="3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16" fontId="4" numFmtId="167" xfId="0" applyAlignment="1" applyFill="1" applyFont="1" applyNumberFormat="1">
      <alignment horizontal="center"/>
    </xf>
    <xf borderId="0" fillId="17" fontId="1" numFmtId="0" xfId="0" applyAlignment="1" applyFill="1" applyFont="1">
      <alignment horizontal="center" readingOrder="0"/>
    </xf>
    <xf borderId="0" fillId="0" fontId="1" numFmtId="0" xfId="0" applyAlignment="1" applyFont="1">
      <alignment horizontal="right"/>
    </xf>
    <xf borderId="0" fillId="0" fontId="0" numFmtId="3" xfId="0" applyAlignment="1" applyFont="1" applyNumberFormat="1">
      <alignment horizontal="center" readingOrder="0"/>
    </xf>
    <xf borderId="0" fillId="0" fontId="2" numFmtId="0" xfId="0" applyAlignment="1" applyFont="1">
      <alignment horizontal="left" readingOrder="0"/>
    </xf>
    <xf borderId="0" fillId="0" fontId="6" numFmtId="0" xfId="0" applyAlignment="1" applyFont="1">
      <alignment horizontal="right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11" fillId="18" fontId="8" numFmtId="0" xfId="0" applyAlignment="1" applyBorder="1" applyFill="1" applyFont="1">
      <alignment horizontal="center" readingOrder="0"/>
    </xf>
    <xf borderId="11" fillId="18" fontId="9" numFmtId="0" xfId="0" applyAlignment="1" applyBorder="1" applyFont="1">
      <alignment horizontal="center" readingOrder="0"/>
    </xf>
    <xf borderId="0" fillId="0" fontId="1" numFmtId="169" xfId="0" applyAlignment="1" applyFont="1" applyNumberFormat="1">
      <alignment readingOrder="0"/>
    </xf>
    <xf borderId="0" fillId="0" fontId="1" numFmtId="169" xfId="0" applyFont="1" applyNumberFormat="1"/>
    <xf borderId="0" fillId="0" fontId="1" numFmtId="3" xfId="0" applyAlignment="1" applyFont="1" applyNumberFormat="1">
      <alignment readingOrder="0"/>
    </xf>
    <xf borderId="0" fillId="0" fontId="7" numFmtId="3" xfId="0" applyAlignment="1" applyFont="1" applyNumberFormat="1">
      <alignment horizontal="right" readingOrder="0"/>
    </xf>
    <xf borderId="11" fillId="18" fontId="8" numFmtId="0" xfId="0" applyAlignment="1" applyBorder="1" applyFont="1">
      <alignment horizontal="center" readingOrder="0" vertical="top"/>
    </xf>
    <xf borderId="0" fillId="18" fontId="9" numFmtId="167" xfId="0" applyAlignment="1" applyFont="1" applyNumberFormat="1">
      <alignment horizontal="center" readingOrder="0" vertical="top"/>
    </xf>
    <xf borderId="0" fillId="0" fontId="7" numFmtId="0" xfId="0" applyFont="1"/>
    <xf borderId="11" fillId="18" fontId="9" numFmtId="167" xfId="0" applyAlignment="1" applyBorder="1" applyFont="1" applyNumberFormat="1">
      <alignment horizontal="center" readingOrder="0" vertical="top"/>
    </xf>
    <xf borderId="0" fillId="0" fontId="1" numFmtId="167" xfId="0" applyAlignment="1" applyFont="1" applyNumberFormat="1">
      <alignment horizontal="center"/>
    </xf>
    <xf borderId="11" fillId="18" fontId="10" numFmtId="167" xfId="0" applyAlignment="1" applyBorder="1" applyFont="1" applyNumberFormat="1">
      <alignment horizontal="left" readingOrder="0" vertical="top"/>
    </xf>
    <xf borderId="0" fillId="18" fontId="10" numFmtId="167" xfId="0" applyAlignment="1" applyFont="1" applyNumberFormat="1">
      <alignment horizontal="left" readingOrder="0" vertical="top"/>
    </xf>
    <xf borderId="0" fillId="0" fontId="7" numFmtId="3" xfId="0" applyAlignment="1" applyFont="1" applyNumberFormat="1">
      <alignment horizontal="right"/>
    </xf>
    <xf borderId="0" fillId="0" fontId="1" numFmtId="10" xfId="0" applyAlignment="1" applyFont="1" applyNumberFormat="1">
      <alignment readingOrder="0"/>
    </xf>
    <xf borderId="0" fillId="0" fontId="1" numFmtId="3" xfId="0" applyFont="1" applyNumberFormat="1"/>
    <xf borderId="11" fillId="18" fontId="0" numFmtId="3" xfId="0" applyAlignment="1" applyBorder="1" applyFont="1" applyNumberFormat="1">
      <alignment horizontal="right" readingOrder="0" vertical="top"/>
    </xf>
    <xf borderId="0" fillId="0" fontId="1" numFmtId="167" xfId="0" applyFont="1" applyNumberFormat="1"/>
    <xf borderId="0" fillId="0" fontId="1" numFmtId="0" xfId="0" applyFont="1"/>
    <xf borderId="0" fillId="0" fontId="1" numFmtId="166" xfId="0" applyFont="1" applyNumberFormat="1"/>
    <xf borderId="0" fillId="0" fontId="1" numFmtId="2" xfId="0" applyFont="1" applyNumberFormat="1"/>
    <xf borderId="0" fillId="0" fontId="11" numFmtId="10" xfId="0" applyAlignment="1" applyFont="1" applyNumberFormat="1">
      <alignment horizontal="right" readingOrder="0"/>
    </xf>
    <xf borderId="0" fillId="0" fontId="1" numFmtId="167" xfId="0" applyAlignment="1" applyFont="1" applyNumberFormat="1">
      <alignment readingOrder="0"/>
    </xf>
    <xf borderId="0" fillId="9" fontId="1" numFmtId="167" xfId="0" applyAlignment="1" applyFont="1" applyNumberFormat="1">
      <alignment horizontal="center" readingOrder="0"/>
    </xf>
    <xf borderId="0" fillId="12" fontId="1" numFmtId="167" xfId="0" applyAlignment="1" applyFont="1" applyNumberFormat="1">
      <alignment horizontal="center" readingOrder="0"/>
    </xf>
    <xf borderId="0" fillId="4" fontId="1" numFmtId="167" xfId="0" applyAlignment="1" applyFont="1" applyNumberFormat="1">
      <alignment horizontal="center" readingOrder="0"/>
    </xf>
    <xf borderId="0" fillId="0" fontId="12" numFmtId="167" xfId="0" applyAlignment="1" applyFont="1" applyNumberFormat="1">
      <alignment horizontal="right" vertical="bottom"/>
    </xf>
    <xf borderId="0" fillId="12" fontId="1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19" fontId="1" numFmtId="167" xfId="0" applyFill="1" applyFont="1" applyNumberFormat="1"/>
    <xf borderId="0" fillId="19" fontId="1" numFmtId="0" xfId="0" applyFont="1"/>
    <xf borderId="0" fillId="0" fontId="1" numFmtId="9" xfId="0" applyAlignment="1" applyFont="1" applyNumberFormat="1">
      <alignment readingOrder="0"/>
    </xf>
    <xf borderId="0" fillId="0" fontId="1" numFmtId="10" xfId="0" applyFont="1" applyNumberFormat="1"/>
    <xf borderId="0" fillId="3" fontId="1" numFmtId="0" xfId="0" applyFont="1"/>
    <xf borderId="0" fillId="3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2914364640883981"/>
          <c:y val="0.04999999999999999"/>
          <c:w val="0.8396408839779005"/>
          <c:h val="0.7244865718799366"/>
        </c:manualLayout>
      </c:layout>
      <c:barChart>
        <c:barDir val="bar"/>
        <c:ser>
          <c:idx val="0"/>
          <c:order val="0"/>
          <c:tx>
            <c:v>Total CPF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calculations!$AJ$4</c:f>
              <c:numCache/>
            </c:numRef>
          </c:val>
        </c:ser>
        <c:ser>
          <c:idx val="1"/>
          <c:order val="1"/>
          <c:tx>
            <c:v>BRS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calculations!$AJ$5</c:f>
              <c:numCache/>
            </c:numRef>
          </c:val>
        </c:ser>
        <c:ser>
          <c:idx val="2"/>
          <c:order val="2"/>
          <c:tx>
            <c:v>FRS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calculations!$AG$7:$AG$8</c:f>
              <c:numCache/>
            </c:numRef>
          </c:val>
        </c:ser>
        <c:ser>
          <c:idx val="3"/>
          <c:order val="3"/>
          <c:tx>
            <c:v>ERS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calculations!$AG$8</c:f>
              <c:numCache/>
            </c:numRef>
          </c:val>
        </c:ser>
        <c:ser>
          <c:idx val="4"/>
          <c:order val="4"/>
          <c:val>
            <c:numRef>
              <c:f>calculations!$AH$7:$AH$8</c:f>
              <c:numCache/>
            </c:numRef>
          </c:val>
        </c:ser>
        <c:ser>
          <c:idx val="5"/>
          <c:order val="5"/>
          <c:val>
            <c:numRef>
              <c:f>calculations!$AH$8</c:f>
              <c:numCache/>
            </c:numRef>
          </c:val>
        </c:ser>
        <c:ser>
          <c:idx val="6"/>
          <c:order val="6"/>
          <c:val>
            <c:numRef>
              <c:f>calculations!$AI$7:$AI$8</c:f>
              <c:numCache/>
            </c:numRef>
          </c:val>
        </c:ser>
        <c:ser>
          <c:idx val="7"/>
          <c:order val="7"/>
          <c:val>
            <c:numRef>
              <c:f>calculations!$AI$8</c:f>
              <c:numCache/>
            </c:numRef>
          </c:val>
        </c:ser>
        <c:axId val="1035468136"/>
        <c:axId val="1136730733"/>
      </c:barChart>
      <c:catAx>
        <c:axId val="10354681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6730733"/>
      </c:catAx>
      <c:valAx>
        <c:axId val="11367307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5468136"/>
        <c:crosses val="max"/>
      </c:valAx>
    </c:plotArea>
    <c:legend>
      <c:legendPos val="b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 sz="10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24</xdr:row>
      <xdr:rowOff>85725</xdr:rowOff>
    </xdr:from>
    <xdr:ext cx="3448050" cy="2009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48</xdr:row>
      <xdr:rowOff>200025</xdr:rowOff>
    </xdr:from>
    <xdr:ext cx="4876800" cy="79819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371475</xdr:colOff>
      <xdr:row>0</xdr:row>
      <xdr:rowOff>0</xdr:rowOff>
    </xdr:from>
    <xdr:ext cx="4371975" cy="3200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nva.com/design/DAG4qOjGHDc/K9b8eY1HZOu2tqOV03IMCg/edit?utm_content=DAG4qOjGHDc&amp;utm_campaign=designshare&amp;utm_medium=link2&amp;utm_source=sharebutton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</row>
    <row r="3">
      <c r="B3" s="2">
        <v>46099.0</v>
      </c>
      <c r="C3" s="1" t="s">
        <v>2</v>
      </c>
    </row>
    <row r="4">
      <c r="B4" s="2">
        <v>46100.0</v>
      </c>
      <c r="C4" s="1" t="s">
        <v>3</v>
      </c>
    </row>
    <row r="5">
      <c r="B5" s="2">
        <v>46107.0</v>
      </c>
      <c r="C5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3" width="25.38"/>
    <col customWidth="1" min="5" max="5" width="20.0"/>
  </cols>
  <sheetData>
    <row r="1">
      <c r="B1" s="3"/>
    </row>
    <row r="2">
      <c r="A2" s="1" t="s">
        <v>5</v>
      </c>
      <c r="B2" s="4" t="s">
        <v>6</v>
      </c>
      <c r="C2" s="5">
        <f>(TODAY()-C3)/365</f>
        <v>27.39178082</v>
      </c>
      <c r="E2" s="6" t="s">
        <v>7</v>
      </c>
    </row>
    <row r="3">
      <c r="A3" s="1" t="s">
        <v>8</v>
      </c>
      <c r="B3" s="4" t="s">
        <v>9</v>
      </c>
      <c r="C3" s="7">
        <v>36110.0</v>
      </c>
      <c r="E3" s="8" t="s">
        <v>10</v>
      </c>
    </row>
    <row r="4">
      <c r="A4" s="1" t="s">
        <v>11</v>
      </c>
      <c r="B4" s="4" t="s">
        <v>12</v>
      </c>
      <c r="C4" s="9">
        <f>YEAR(C3)+55</f>
        <v>2053</v>
      </c>
      <c r="E4" s="10" t="s">
        <v>13</v>
      </c>
    </row>
    <row r="5">
      <c r="A5" s="1" t="s">
        <v>14</v>
      </c>
      <c r="B5" s="4" t="s">
        <v>15</v>
      </c>
      <c r="C5" s="9">
        <f>YEAR(C3)+65</f>
        <v>2063</v>
      </c>
      <c r="E5" s="11" t="s">
        <v>16</v>
      </c>
    </row>
    <row r="6">
      <c r="A6" s="1" t="s">
        <v>17</v>
      </c>
      <c r="B6" s="4" t="s">
        <v>18</v>
      </c>
      <c r="C6" s="12">
        <v>60.0</v>
      </c>
    </row>
    <row r="7">
      <c r="A7" s="1" t="s">
        <v>19</v>
      </c>
      <c r="B7" s="4" t="s">
        <v>20</v>
      </c>
      <c r="C7" s="13">
        <v>5500.0</v>
      </c>
    </row>
    <row r="8">
      <c r="A8" s="1" t="s">
        <v>21</v>
      </c>
      <c r="B8" s="4" t="s">
        <v>22</v>
      </c>
      <c r="C8" s="12">
        <v>85.0</v>
      </c>
    </row>
    <row r="9">
      <c r="A9" s="1" t="s">
        <v>23</v>
      </c>
      <c r="B9" s="4" t="s">
        <v>24</v>
      </c>
      <c r="C9" s="14"/>
    </row>
    <row r="10">
      <c r="A10" s="1" t="s">
        <v>25</v>
      </c>
      <c r="B10" s="4" t="s">
        <v>26</v>
      </c>
      <c r="C10" s="13">
        <v>10000.0</v>
      </c>
    </row>
    <row r="11">
      <c r="A11" s="1" t="s">
        <v>27</v>
      </c>
      <c r="B11" s="4" t="s">
        <v>28</v>
      </c>
      <c r="C11" s="12">
        <v>1.0</v>
      </c>
    </row>
    <row r="12">
      <c r="A12" s="1" t="s">
        <v>29</v>
      </c>
      <c r="B12" s="4" t="s">
        <v>30</v>
      </c>
      <c r="C12" s="15">
        <v>0.03</v>
      </c>
    </row>
    <row r="13">
      <c r="A13" s="1" t="s">
        <v>31</v>
      </c>
      <c r="B13" s="4" t="s">
        <v>32</v>
      </c>
      <c r="C13" s="16">
        <f>C6-C2</f>
        <v>32.60821918</v>
      </c>
    </row>
    <row r="14">
      <c r="A14" s="1" t="s">
        <v>33</v>
      </c>
      <c r="B14" s="4" t="s">
        <v>34</v>
      </c>
      <c r="C14" s="17"/>
    </row>
    <row r="15">
      <c r="A15" s="1" t="s">
        <v>35</v>
      </c>
      <c r="B15" s="4" t="s">
        <v>36</v>
      </c>
      <c r="C15" s="18">
        <v>7500.0</v>
      </c>
      <c r="E15" s="19"/>
    </row>
    <row r="16">
      <c r="A16" s="1" t="s">
        <v>37</v>
      </c>
      <c r="B16" s="4" t="s">
        <v>38</v>
      </c>
      <c r="C16" s="18">
        <v>2500.0</v>
      </c>
      <c r="E16" s="19"/>
    </row>
    <row r="17">
      <c r="A17" s="1" t="s">
        <v>39</v>
      </c>
      <c r="B17" s="4" t="s">
        <v>40</v>
      </c>
      <c r="C17" s="18">
        <v>2500.0</v>
      </c>
    </row>
    <row r="18">
      <c r="A18" s="1" t="s">
        <v>41</v>
      </c>
      <c r="B18" s="4" t="s">
        <v>42</v>
      </c>
      <c r="C18" s="20" t="s">
        <v>43</v>
      </c>
    </row>
    <row r="19">
      <c r="A19" s="1" t="s">
        <v>44</v>
      </c>
      <c r="B19" s="4" t="s">
        <v>45</v>
      </c>
      <c r="C19" s="21">
        <v>53206.0</v>
      </c>
    </row>
    <row r="20">
      <c r="A20" s="1" t="s">
        <v>46</v>
      </c>
      <c r="B20" s="4" t="s">
        <v>47</v>
      </c>
      <c r="C20" s="22">
        <v>700.0</v>
      </c>
    </row>
    <row r="21">
      <c r="A21" s="1" t="s">
        <v>48</v>
      </c>
      <c r="B21" s="23" t="s">
        <v>49</v>
      </c>
      <c r="C21" s="20" t="s">
        <v>43</v>
      </c>
    </row>
  </sheetData>
  <dataValidations>
    <dataValidation type="list" allowBlank="1" showErrorMessage="1" sqref="C18 C21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4" max="4" width="14.13"/>
    <col customWidth="1" min="7" max="8" width="16.25"/>
    <col customWidth="1" min="9" max="9" width="16.0"/>
    <col customWidth="1" min="10" max="10" width="16.25"/>
    <col customWidth="1" min="33" max="33" width="22.25"/>
    <col customWidth="1" min="34" max="34" width="19.25"/>
    <col customWidth="1" min="35" max="35" width="18.63"/>
  </cols>
  <sheetData>
    <row r="1">
      <c r="A1" s="24" t="s">
        <v>0</v>
      </c>
      <c r="B1" s="25" t="s">
        <v>50</v>
      </c>
      <c r="C1" s="26" t="s">
        <v>51</v>
      </c>
      <c r="D1" s="27" t="s">
        <v>52</v>
      </c>
      <c r="E1" s="28" t="s">
        <v>53</v>
      </c>
      <c r="F1" s="29"/>
      <c r="G1" s="30" t="s">
        <v>54</v>
      </c>
      <c r="H1" s="31"/>
      <c r="I1" s="31"/>
      <c r="J1" s="31"/>
      <c r="K1" s="29"/>
      <c r="L1" s="32" t="s">
        <v>55</v>
      </c>
      <c r="M1" s="33" t="s">
        <v>56</v>
      </c>
      <c r="N1" s="31"/>
      <c r="O1" s="31"/>
      <c r="P1" s="31"/>
      <c r="Q1" s="31"/>
      <c r="R1" s="29"/>
      <c r="S1" s="34" t="s">
        <v>57</v>
      </c>
      <c r="T1" s="31"/>
      <c r="U1" s="31"/>
      <c r="V1" s="31"/>
      <c r="W1" s="31"/>
      <c r="X1" s="29"/>
      <c r="Y1" s="35" t="s">
        <v>58</v>
      </c>
      <c r="Z1" s="31"/>
      <c r="AA1" s="31"/>
      <c r="AB1" s="29"/>
      <c r="AC1" s="36" t="s">
        <v>59</v>
      </c>
      <c r="AD1" s="31"/>
      <c r="AE1" s="29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</row>
    <row r="2">
      <c r="A2" s="38"/>
      <c r="B2" s="38"/>
      <c r="C2" s="38"/>
      <c r="D2" s="38"/>
      <c r="E2" s="39" t="s">
        <v>60</v>
      </c>
      <c r="F2" s="40" t="s">
        <v>61</v>
      </c>
      <c r="G2" s="41" t="s">
        <v>62</v>
      </c>
      <c r="H2" s="42" t="s">
        <v>36</v>
      </c>
      <c r="I2" s="41" t="s">
        <v>63</v>
      </c>
      <c r="J2" s="41" t="s">
        <v>40</v>
      </c>
      <c r="K2" s="43" t="s">
        <v>64</v>
      </c>
      <c r="L2" s="44" t="s">
        <v>65</v>
      </c>
      <c r="M2" s="45" t="s">
        <v>36</v>
      </c>
      <c r="N2" s="46" t="s">
        <v>66</v>
      </c>
      <c r="O2" s="46" t="s">
        <v>40</v>
      </c>
      <c r="P2" s="46" t="s">
        <v>67</v>
      </c>
      <c r="Q2" s="46" t="s">
        <v>68</v>
      </c>
      <c r="R2" s="47" t="s">
        <v>69</v>
      </c>
      <c r="S2" s="48" t="s">
        <v>36</v>
      </c>
      <c r="T2" s="48" t="s">
        <v>66</v>
      </c>
      <c r="U2" s="48" t="s">
        <v>40</v>
      </c>
      <c r="V2" s="48" t="s">
        <v>67</v>
      </c>
      <c r="W2" s="48" t="s">
        <v>68</v>
      </c>
      <c r="X2" s="49" t="s">
        <v>69</v>
      </c>
      <c r="Y2" s="50" t="s">
        <v>36</v>
      </c>
      <c r="Z2" s="50" t="s">
        <v>38</v>
      </c>
      <c r="AA2" s="50" t="s">
        <v>40</v>
      </c>
      <c r="AB2" s="51" t="s">
        <v>64</v>
      </c>
      <c r="AC2" s="52" t="s">
        <v>70</v>
      </c>
      <c r="AD2" s="53" t="s">
        <v>71</v>
      </c>
      <c r="AE2" s="54" t="s">
        <v>72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</row>
    <row r="3">
      <c r="A3" s="55">
        <f>EOMONTH(today(),0)</f>
        <v>46112</v>
      </c>
      <c r="B3" s="56">
        <f>round(YEARFRAC(EOMONTH(questions!$C$3, 0),A3,1),2)</f>
        <v>27.33</v>
      </c>
      <c r="C3" s="57">
        <f>if(B3&lt;questions!C6,questions!C10,0)</f>
        <v>10000</v>
      </c>
      <c r="D3" s="58">
        <f>IF(MONTH(A3)=12,C3*questions!$C$11,0)</f>
        <v>0</v>
      </c>
      <c r="E3" s="59">
        <f t="shared" ref="E3:E1000" si="2">MIN(C3,IF(YEAR(A3)=2025,7600,8000))</f>
        <v>8000</v>
      </c>
      <c r="F3" s="59">
        <f t="shared" ref="F3:F1000" si="3">MIN(102000-E3*12,D3)</f>
        <v>0</v>
      </c>
      <c r="G3" s="60">
        <f t="array" ref="G3">if(YEAR(A3)=2025,XLOOKUP(B3,Lookup!$A$3:$A$7,Lookup!$D$3:$D$7,,1)*SUM(E3:F3), XLOOKUP(B3,Lookup!$A$14:$A$18,Lookup!$D$14:$D$18,,1)*SUM(E3:F3))</f>
        <v>2960</v>
      </c>
      <c r="H3" s="60">
        <f t="array" ref="H3">if(YEAR(A3)=2025,XLOOKUP(B3,Lookup!$F$3:$F$10,Lookup!$G$3:$G$10,,1)*G3, XLOOKUP(B3,Lookup!$F$14:$F$21,Lookup!$G$14:$G$21,,1)*G3)</f>
        <v>1840.232</v>
      </c>
      <c r="I3" s="60">
        <f t="array" ref="I3">if(B3&lt;55, if(YEAR(A3)=2025,XLOOKUP(B3,Lookup!$F$3:$F$10,Lookup!$H$3:$H$10,,1)*G3, XLOOKUP(B3,Lookup!$F$14:$F$21,Lookup!$H$14:$H$21,,1)*G3),0)</f>
        <v>479.816</v>
      </c>
      <c r="J3" s="60">
        <f t="array" ref="J3">if(YEAR(A3)=2025,XLOOKUP(B3,Lookup!$F$3:$F$10,Lookup!$I$3:$I$10,,1)*G3, XLOOKUP(B3,Lookup!$F$14:$F$21,Lookup!$I$14:$I$21,,1)*G3)</f>
        <v>639.952</v>
      </c>
      <c r="K3" s="61">
        <f t="array" ref="K3">if(B3&gt;54, if(YEAR(A3)=2025,XLOOKUP(B3,Lookup!$F$3:$F$10,Lookup!$H$3:$H$10,,1)*G3, XLOOKUP(B3,Lookup!$F$14:$F$21,Lookup!$H$14:$H$21,,1)*G3),0)</f>
        <v>0</v>
      </c>
      <c r="L3" s="62">
        <f>IF(and(A3&lt;questions!$C$19,questions!$C$18="yes"),questions!$C$20,0)</f>
        <v>700</v>
      </c>
      <c r="M3" s="63">
        <f>(questions!$C$15+H3)*Lookup!A$26/12</f>
        <v>19.45881667</v>
      </c>
      <c r="N3" s="63">
        <f>(questions!$C$16+I3)*Lookup!B$26/12</f>
        <v>9.93272</v>
      </c>
      <c r="O3" s="63">
        <f>(questions!$C$17+J3)*Lookup!C$26/12</f>
        <v>10.46650667</v>
      </c>
      <c r="P3" s="63">
        <f>IF(year($A3)=year($A2), P2+M3, M3)</f>
        <v>19.45881667</v>
      </c>
      <c r="Q3" s="63">
        <f t="shared" ref="Q3:Q1000" si="4">IF(year(A3)=year(A2), Q2+N3, N3)</f>
        <v>9.93272</v>
      </c>
      <c r="R3" s="63">
        <f t="shared" ref="R3:R1000" si="5">IF(year(A3)=year(A2), R2+O3, O3)</f>
        <v>10.46650667</v>
      </c>
      <c r="S3" s="64">
        <f>min(20000,questions!C15)*0.01/12</f>
        <v>6.25</v>
      </c>
      <c r="T3" s="64">
        <f>min(60000-min(20000,questions!C15),questions!C16)*0.01/12</f>
        <v>2.083333333</v>
      </c>
      <c r="U3" s="64">
        <f>min(60000-min(60000-min(20000,questions!C15),questions!C16)-min(20000,questions!C15),questions!C17)*0.01/12</f>
        <v>2.083333333</v>
      </c>
      <c r="V3" s="64">
        <f t="shared" ref="V3:X3" si="1">IF(year($A3)=year($A2), V2+S3, S3)</f>
        <v>6.25</v>
      </c>
      <c r="W3" s="64">
        <f t="shared" si="1"/>
        <v>2.083333333</v>
      </c>
      <c r="X3" s="64">
        <f t="shared" si="1"/>
        <v>2.083333333</v>
      </c>
      <c r="Y3" s="65">
        <f>if(month($A3)=12,max(0,questions!C15+H3+P3+V3-L3),max(0,questions!C15+H3-L3))</f>
        <v>8640.232</v>
      </c>
      <c r="Z3" s="65">
        <f>if(month($A3)=12,max(0,questions!C16+I3+Q3+W3),max(0,questions!C16+I3))</f>
        <v>2979.816</v>
      </c>
      <c r="AA3" s="65">
        <f>if(month($A3)=12,max(0,questions!C17+J3+R3+X3),max(0,questions!C17+J3))</f>
        <v>3139.952</v>
      </c>
      <c r="AB3" s="65">
        <f>if(month($A3)=12,max(0,questions!C16+K3+Q3+W3),max(0,questions!C16+K3))</f>
        <v>2500</v>
      </c>
      <c r="AC3" s="66">
        <f t="array" ref="AC3">IFS(B3&lt;66, XLOOKUP(year(A3),Lookup!$K$13:$K1000,Lookup!$L$13:$L1000,"missing",,1),B3&gt;65,XLOOKUP(questions!$C$5,Lookup!$K$13:$K1000,Lookup!$L$13:$L1000,"missing",,1))</f>
        <v>110200</v>
      </c>
      <c r="AD3" s="66">
        <f t="array" ref="AD3">IFS(B3&lt;66, XLOOKUP(year(A3),Lookup!$K$13:$K1000,Lookup!$M$13:$M1000,"missing",,1),B3&gt;65, XLOOKUP(questions!$C$5,Lookup!$K$13:$K1000,Lookup!$M$13:$M1000,"missing",,1))</f>
        <v>220400</v>
      </c>
      <c r="AE3" s="66">
        <f t="array" ref="AE3">IFS(B3&lt;66, XLOOKUP(year(A3),Lookup!$K$13:$K1000,Lookup!$N$13:$N1000,"missing",,1),B3&gt;65,XLOOKUP(questions!$C$5,Lookup!$K$13:$K1000,Lookup!$N$13:$N1000,"missing",,1))</f>
        <v>440800</v>
      </c>
      <c r="AF3" s="37"/>
      <c r="AJ3" s="37"/>
      <c r="AK3" s="37"/>
      <c r="AL3" s="37"/>
      <c r="AM3" s="37"/>
      <c r="AN3" s="37"/>
      <c r="AO3" s="37"/>
      <c r="AP3" s="37"/>
      <c r="AQ3" s="37"/>
    </row>
    <row r="4">
      <c r="A4" s="55">
        <f t="shared" ref="A4:A1000" si="7">eomonth(EDATE(A3,1),0)</f>
        <v>46142</v>
      </c>
      <c r="B4" s="56">
        <f>round(YEARFRAC(EOMONTH(questions!$C$3, 0),A4,1),2)</f>
        <v>27.41</v>
      </c>
      <c r="C4" s="57">
        <f>IF(B4&lt;questions!$C$6,if(MONTH(A4)=1,C3*(1+questions!$C$12),C3),0)</f>
        <v>10000</v>
      </c>
      <c r="D4" s="58">
        <f>IF(MONTH(A4)=12,C4*questions!$C$11,0)</f>
        <v>0</v>
      </c>
      <c r="E4" s="59">
        <f t="shared" si="2"/>
        <v>8000</v>
      </c>
      <c r="F4" s="59">
        <f t="shared" si="3"/>
        <v>0</v>
      </c>
      <c r="G4" s="60">
        <f t="array" ref="G4">if(YEAR(A4)=2025,XLOOKUP(B4,Lookup!$A$3:$A$7,Lookup!$D$3:$D$7,,1)*SUM(E4:F4), XLOOKUP(B4,Lookup!$A$14:$A$18,Lookup!$D$14:$D$18,,1)*SUM(E4:F4))</f>
        <v>2960</v>
      </c>
      <c r="H4" s="60">
        <f t="array" ref="H4">if(YEAR(A4)=2025,XLOOKUP(B4,Lookup!$F$3:$F$10,Lookup!$G$3:$G$10,,1)*G4, XLOOKUP(B4,Lookup!$F$14:$F$21,Lookup!$G$14:$G$21,,1)*G4)</f>
        <v>1840.232</v>
      </c>
      <c r="I4" s="60">
        <f t="array" ref="I4">if(B4&lt;55, if(YEAR(A4)=2025,XLOOKUP(B4,Lookup!$F$3:$F$10,Lookup!$H$3:$H$10,,1)*G4, XLOOKUP(B4,Lookup!$F$14:$F$21,Lookup!$H$14:$H$21,,1)*G4),0)</f>
        <v>479.816</v>
      </c>
      <c r="J4" s="60">
        <f t="array" ref="J4">if(YEAR(A4)=2025,XLOOKUP(B4,Lookup!$F$3:$F$10,Lookup!$I$3:$I$10,,1)*G4, XLOOKUP(B4,Lookup!$F$14:$F$21,Lookup!$I$14:$I$21,,1)*G4)</f>
        <v>639.952</v>
      </c>
      <c r="K4" s="61">
        <f t="array" ref="K4">if(B4&gt;54, if(YEAR(A4)=2025,XLOOKUP(B4,Lookup!$F$3:$F$10,Lookup!$H$3:$H$10,,1)*G4, XLOOKUP(B4,Lookup!$F$14:$F$21,Lookup!$H$14:$H$21,,1)*G4),0)</f>
        <v>0</v>
      </c>
      <c r="L4" s="62">
        <f>IF(and(A4&lt;questions!$C$19,questions!$C$18="yes"),questions!$C$20,0)</f>
        <v>700</v>
      </c>
      <c r="M4" s="63">
        <f>(Y3+H4)*Lookup!A$26/12</f>
        <v>21.8343</v>
      </c>
      <c r="N4" s="63">
        <f>if(B4&lt;55, (Z3+I4)*Lookup!B$26/12, (AB3+K4)*Lookup!B$26/12)</f>
        <v>11.53210667</v>
      </c>
      <c r="O4" s="63">
        <f>(AA3+J4)*Lookup!C$26/12</f>
        <v>12.59968</v>
      </c>
      <c r="P4" s="63">
        <f t="shared" ref="P4:P1000" si="8">IF(year(A4)=year(A3), P3+M4, M4)</f>
        <v>41.29311667</v>
      </c>
      <c r="Q4" s="63">
        <f t="shared" si="4"/>
        <v>21.46482667</v>
      </c>
      <c r="R4" s="63">
        <f t="shared" si="5"/>
        <v>23.06618667</v>
      </c>
      <c r="S4" s="64">
        <f t="shared" ref="S4:S1000" si="9">if(B4&lt;55,min(20000,Y3)*0.01/12,min(20000,Y3)*0.02/12)</f>
        <v>7.200193333</v>
      </c>
      <c r="T4" s="64">
        <f t="shared" ref="T4:T1000" si="10">if(B4&lt;=55,min(60000-min(20000,Y3),Z3)*0.01/12,min(30000-min(20000,Y3),AB3)*0.02/12+min(30000,AB3)*0.01/12)</f>
        <v>2.48318</v>
      </c>
      <c r="U4" s="64">
        <f t="shared" ref="U4:U1000" si="11">if(B4&lt;55,min(60000-min(60000-min(20000,Y3),Z3)-min(20000,Y3),AA3)*0.01/12,min(30000-min(30000-min(20000,Y3),AB3)-min(20000,Y3),AA3)*0.02/12+min(30000-min(30000-min(20000,Y3),AB3)-min(20000,Y3),AA3)*0.01/12)</f>
        <v>2.616626667</v>
      </c>
      <c r="V4" s="64">
        <f t="shared" ref="V4:X4" si="6">IF(year($A4)=year($A3), V3+S4, S4)</f>
        <v>13.45019333</v>
      </c>
      <c r="W4" s="64">
        <f t="shared" si="6"/>
        <v>4.566513333</v>
      </c>
      <c r="X4" s="64">
        <f t="shared" si="6"/>
        <v>4.69996</v>
      </c>
      <c r="Y4" s="65">
        <f>IFS(
  B4&lt;55,
    MAX(
      Y3 + IF(MONTH(A4)=12, P4+V4, 0) + H4 - L4
      + MAX(0,
          IF(AA3 &gt;= VLOOKUP(YEAR(A4), Lookup!$Q:$R, 2),
            Z3 + IF(MONTH(A4)=12, Q4+W4, 0) + I4
              + AA3 + IF(MONTH(A4)=12, R4+X4, 0)
              - VLOOKUP(YEAR(A4), Lookup!$Q:$R, 2) + J4,
            Z3 + IF(MONTH(A4)=12, Q4+W4, 0) + I4
          ) - VLOOKUP(YEAR(A4), Lookup!$K:$M, 3)
        ),
    0),
  B4=55,
    IF(Z3&gt;=AD4,
      MAX(Y3 + IF(MONTH(A4)=12, P4+V4, 0) + H4 - L4, 0),
      MAX(MAX(0, Y3-(AD4-Z3)) + IF(MONTH(A4)=12, P4+V4, 0) + H4 - L4, 0)
    ),
  B4&gt;55,
    IF(AB3&gt;=$AH$7,
      MAX(Y3 + IF(MONTH(A4)=12, P4+V4, 0) + H4 - L4 + K4 + Z3, 0),
      MAX(Y3 + IF(MONTH(A4)=12, P4+V4, 0) + H4 - L4, 0)
    )
)</f>
        <v>9780.464</v>
      </c>
      <c r="Z4" s="65">
        <f>IFS(
  B4&lt;55,
    MIN(
      IF(AA3 &gt;= VLOOKUP(YEAR(A4), Lookup!$Q:$R, 2),
        Z3 + IF(MONTH(A4)=12, Q4+W4, 0) + I4
          + AA3 + IF(MONTH(A4)=12, R4+X4, 0) - VLOOKUP(YEAR(A4), Lookup!$Q:$R, 2) + J4,
        Z3 + IF(MONTH(A4)=12, Q4+W4, 0) + I4
      ),
      VLOOKUP(YEAR(A4), Lookup!$K:$M, 3)
    ),
  B4=55,
    IF(Z3 &gt;= AD4, Z3 - AD4, 0),
  B4&gt;55, 0
)</f>
        <v>3459.632</v>
      </c>
      <c r="AA4" s="65">
        <f>IFS(
  B4&lt;65,
    IF(AA3+J4 &lt; VLOOKUP(YEAR(A4), Lookup!$Q:$R, 2),
      AA3 + IF(MONTH(A4)=12, R3+X3, 0) + J4,
      MIN(
        AA3 + IF(MONTH(A4)=12, R3+X3, 0) + J4 ,
        VLOOKUP(YEAR(A4), Lookup!$Q:$R, 2)
      )
    ),
  B4&gt;=65,
    IF(AA3+J4 &lt; VLOOKUP(questions!$C$5, Lookup!$Q:$R, 2),
      AA3 + IF(MONTH(A4)=12, R3+X3, 0) + J4 ,
      MIN(
        AA3 + IF(MONTH(A4)=12, R3+X3, 0) + J4,
        VLOOKUP(questions!$C$5, Lookup!$Q:$R, 2)
      )
    )
)</f>
        <v>3779.904</v>
      </c>
      <c r="AB4" s="65">
        <f t="shared" ref="AB4:AB1000" si="13">IFS(
  B4&lt;55, 0,
  B4=55, MIN(Y3+Z3, AD4),
  B4&gt;55,
    IF(AB3 &lt; $AH$7,
      MIN(AB3 + IF(MONTH(A4)=12, Q4+W4, 0) + K4, $AH$7),
      AB3 + IF(MONTH(A4)=12, Q4+W4, 0) + K4
    )
)</f>
        <v>0</v>
      </c>
      <c r="AC4" s="66">
        <f t="array" ref="AC4">IFS(B4&lt;66, XLOOKUP(year(A4),Lookup!$K$13:$K1000,Lookup!$L$13:$L1000,"missing",,1),B4&gt;65,XLOOKUP(questions!$C$5,Lookup!$K$13:$K1000,Lookup!$L$13:$L1000,"missing",,1))</f>
        <v>110200</v>
      </c>
      <c r="AD4" s="66">
        <f t="array" ref="AD4">IFS(B4&lt;66, XLOOKUP(year(A4),Lookup!$K$13:$K1000,Lookup!$M$13:$M1000,"missing",,1),B4&gt;65, XLOOKUP(questions!$C$5,Lookup!$K$13:$K1000,Lookup!$M$13:$M1000,"missing",,1))</f>
        <v>220400</v>
      </c>
      <c r="AE4" s="66">
        <f t="array" ref="AE4">IFS(B4&lt;66, XLOOKUP(year(A4),Lookup!$K$13:$K1000,Lookup!$N$13:$N1000,"missing",,1),B4&gt;65,XLOOKUP(questions!$C$5,Lookup!$K$13:$K1000,Lookup!$N$13:$N1000,"missing",,1))</f>
        <v>440800</v>
      </c>
      <c r="AF4" s="37"/>
      <c r="AG4" s="67">
        <f t="array" ref="AG4">INDEX(calculations!Y:Y, XLOOKUP(55,calculations!B:B,row(calculations!Y:Y)) - 1)</f>
        <v>641964.1847</v>
      </c>
      <c r="AH4" s="67">
        <f t="array" ref="AH4">INDEX(calculations!Z:Z, XLOOKUP(55,calculations!B:B,row(calculations!Z:Z)) - 1)</f>
        <v>549331.9374</v>
      </c>
      <c r="AI4" s="67">
        <f t="array" ref="AI4">INDEX(calculations!AA:AA, XLOOKUP(55,calculations!B:B,row(calculations!AA:AA)) - 1)</f>
        <v>199993.8016</v>
      </c>
      <c r="AJ4" s="67">
        <f>SUM(AG4:AH4)</f>
        <v>1191296.122</v>
      </c>
      <c r="AK4" s="37"/>
      <c r="AL4" s="37"/>
      <c r="AM4" s="37"/>
      <c r="AN4" s="37"/>
      <c r="AO4" s="37"/>
      <c r="AP4" s="37"/>
      <c r="AQ4" s="37"/>
    </row>
    <row r="5">
      <c r="A5" s="55">
        <f t="shared" si="7"/>
        <v>46173</v>
      </c>
      <c r="B5" s="56">
        <f>round(YEARFRAC(EOMONTH(questions!$C$3, 0),A5,1),2)</f>
        <v>27.5</v>
      </c>
      <c r="C5" s="57">
        <f>IF(B5&lt;questions!$C$6,if(MONTH(A5)=1,C4*(1+questions!$C$12),C4),0)</f>
        <v>10000</v>
      </c>
      <c r="D5" s="58">
        <f>IF(MONTH(A5)=12,C5*questions!$C$11,0)</f>
        <v>0</v>
      </c>
      <c r="E5" s="59">
        <f t="shared" si="2"/>
        <v>8000</v>
      </c>
      <c r="F5" s="59">
        <f t="shared" si="3"/>
        <v>0</v>
      </c>
      <c r="G5" s="60">
        <f t="array" ref="G5">if(YEAR(A5)=2025,XLOOKUP(B5,Lookup!$A$3:$A$7,Lookup!$D$3:$D$7,,1)*SUM(E5:F5), XLOOKUP(B5,Lookup!$A$14:$A$18,Lookup!$D$14:$D$18,,1)*SUM(E5:F5))</f>
        <v>2960</v>
      </c>
      <c r="H5" s="60">
        <f t="array" ref="H5">if(YEAR(A5)=2025,XLOOKUP(B5,Lookup!$F$3:$F$10,Lookup!$G$3:$G$10,,1)*G5, XLOOKUP(B5,Lookup!$F$14:$F$21,Lookup!$G$14:$G$21,,1)*G5)</f>
        <v>1840.232</v>
      </c>
      <c r="I5" s="60">
        <f t="array" ref="I5">if(B5&lt;55, if(YEAR(A5)=2025,XLOOKUP(B5,Lookup!$F$3:$F$10,Lookup!$H$3:$H$10,,1)*G5, XLOOKUP(B5,Lookup!$F$14:$F$21,Lookup!$H$14:$H$21,,1)*G5),0)</f>
        <v>479.816</v>
      </c>
      <c r="J5" s="60">
        <f t="array" ref="J5">if(YEAR(A5)=2025,XLOOKUP(B5,Lookup!$F$3:$F$10,Lookup!$I$3:$I$10,,1)*G5, XLOOKUP(B5,Lookup!$F$14:$F$21,Lookup!$I$14:$I$21,,1)*G5)</f>
        <v>639.952</v>
      </c>
      <c r="K5" s="61">
        <f t="array" ref="K5">if(B5&gt;54, if(YEAR(A5)=2025,XLOOKUP(B5,Lookup!$F$3:$F$10,Lookup!$H$3:$H$10,,1)*G5, XLOOKUP(B5,Lookup!$F$14:$F$21,Lookup!$H$14:$H$21,,1)*G5),0)</f>
        <v>0</v>
      </c>
      <c r="L5" s="62">
        <f>IF(and(A5&lt;questions!$C$19,questions!$C$18="yes"),questions!$C$20,0)</f>
        <v>700</v>
      </c>
      <c r="M5" s="63">
        <f>(Y4+H5)*Lookup!A$26/12</f>
        <v>24.20978333</v>
      </c>
      <c r="N5" s="63">
        <f>if(B5&lt;55, (Z4+I5)*Lookup!B$26/12, (AB4+K5)*Lookup!B$26/12)</f>
        <v>13.13149333</v>
      </c>
      <c r="O5" s="63">
        <f>(AA4+J5)*Lookup!C$26/12</f>
        <v>14.73285333</v>
      </c>
      <c r="P5" s="63">
        <f t="shared" si="8"/>
        <v>65.5029</v>
      </c>
      <c r="Q5" s="63">
        <f t="shared" si="4"/>
        <v>34.59632</v>
      </c>
      <c r="R5" s="63">
        <f t="shared" si="5"/>
        <v>37.79904</v>
      </c>
      <c r="S5" s="64">
        <f t="shared" si="9"/>
        <v>8.150386667</v>
      </c>
      <c r="T5" s="64">
        <f t="shared" si="10"/>
        <v>2.883026667</v>
      </c>
      <c r="U5" s="64">
        <f t="shared" si="11"/>
        <v>3.14992</v>
      </c>
      <c r="V5" s="64">
        <f t="shared" ref="V5:X5" si="12">IF(year($A5)=year($A4), V4+S5, S5)</f>
        <v>21.60058</v>
      </c>
      <c r="W5" s="64">
        <f t="shared" si="12"/>
        <v>7.44954</v>
      </c>
      <c r="X5" s="64">
        <f t="shared" si="12"/>
        <v>7.84988</v>
      </c>
      <c r="Y5" s="65">
        <f>IFS(
  B5&lt;55,
    MAX(
      Y4 + IF(MONTH(A5)=12, P5+V5, 0) + H5 - L5
      + MAX(0,
          IF(AA4 &gt;= VLOOKUP(YEAR(A5), Lookup!$Q:$R, 2),
            Z4 + IF(MONTH(A5)=12, Q5+W5, 0) + I5
              + AA4 + IF(MONTH(A5)=12, R5+X5, 0)
              - VLOOKUP(YEAR(A5), Lookup!$Q:$R, 2) + J5,
            Z4 + IF(MONTH(A5)=12, Q5+W5, 0) + I5
          ) - VLOOKUP(YEAR(A5), Lookup!$K:$M, 3)
        ),
    0),
  B5=55,
    IF(Z4&gt;=AD5,
      MAX(Y4 + IF(MONTH(A5)=12, P5+V5, 0) + H5 - L5, 0),
      MAX(MAX(0, Y4-(AD5-Z4)) + IF(MONTH(A5)=12, P5+V5, 0) + H5 - L5, 0)
    ),
  B5&gt;55,
    IF(AB4&gt;=$AH$7,
      MAX(Y4 + IF(MONTH(A5)=12, P5+V5, 0) + H5 - L5 + K5 + Z4, 0),
      MAX(Y4 + IF(MONTH(A5)=12, P5+V5, 0) + H5 - L5, 0)
    )
)</f>
        <v>10920.696</v>
      </c>
      <c r="Z5" s="65">
        <f>IFS(
  B5&lt;55,
    MIN(
      IF(AA4 &gt;= VLOOKUP(YEAR(A5), Lookup!$Q:$R, 2),
        Z4 + IF(MONTH(A5)=12, Q5+W5, 0) + I5
          + AA4 + IF(MONTH(A5)=12, R5+X5, 0) - VLOOKUP(YEAR(A5), Lookup!$Q:$R, 2) + J5,
        Z4 + IF(MONTH(A5)=12, Q5+W5, 0) + I5
      ),
      VLOOKUP(YEAR(A5), Lookup!$K:$M, 3)
    ),
  B5=55,
    IF(Z4 &gt;= AD5, Z4 - AD5, 0),
  B5&gt;55, 0
)</f>
        <v>3939.448</v>
      </c>
      <c r="AA5" s="65">
        <f>IFS(
  B5&lt;65,
    IF(AA4+J5 &lt; VLOOKUP(YEAR(A5), Lookup!$Q:$R, 2),
      AA4 + IF(MONTH(A5)=12, R4+X4, 0) + J5,
      MIN(
        AA4 + IF(MONTH(A5)=12, R4+X4, 0) + J5 ,
        VLOOKUP(YEAR(A5), Lookup!$Q:$R, 2)
      )
    ),
  B5&gt;=65,
    IF(AA4+J5 &lt; VLOOKUP(questions!$C$5, Lookup!$Q:$R, 2),
      AA4 + IF(MONTH(A5)=12, R4+X4, 0) + J5 ,
      MIN(
        AA4 + IF(MONTH(A5)=12, R4+X4, 0) + J5,
        VLOOKUP(questions!$C$5, Lookup!$Q:$R, 2)
      )
    )
)</f>
        <v>4419.856</v>
      </c>
      <c r="AB5" s="65">
        <f t="shared" si="13"/>
        <v>0</v>
      </c>
      <c r="AC5" s="66">
        <f t="array" ref="AC5">IFS(B5&lt;66, XLOOKUP(year(A5),Lookup!$K$13:$K1000,Lookup!$L$13:$L1000,"missing",,1),B5&gt;65,XLOOKUP(questions!$C$5,Lookup!$K$13:$K1000,Lookup!$L$13:$L1000,"missing",,1))</f>
        <v>110200</v>
      </c>
      <c r="AD5" s="66">
        <f t="array" ref="AD5">IFS(B5&lt;66, XLOOKUP(year(A5),Lookup!$K$13:$K1000,Lookup!$M$13:$M1000,"missing",,1),B5&gt;65, XLOOKUP(questions!$C$5,Lookup!$K$13:$K1000,Lookup!$M$13:$M1000,"missing",,1))</f>
        <v>220400</v>
      </c>
      <c r="AE5" s="66">
        <f t="array" ref="AE5">IFS(B5&lt;66, XLOOKUP(year(A5),Lookup!$K$13:$K1000,Lookup!$N$13:$N1000,"missing",,1),B5&gt;65,XLOOKUP(questions!$C$5,Lookup!$K$13:$K1000,Lookup!$N$13:$N1000,"missing",,1))</f>
        <v>440800</v>
      </c>
      <c r="AF5" s="37"/>
      <c r="AG5" s="68" t="s">
        <v>73</v>
      </c>
      <c r="AH5" s="68" t="s">
        <v>74</v>
      </c>
      <c r="AI5" s="68" t="s">
        <v>75</v>
      </c>
      <c r="AJ5" s="68" t="s">
        <v>76</v>
      </c>
      <c r="AK5" s="37"/>
      <c r="AL5" s="37"/>
      <c r="AM5" s="37"/>
      <c r="AN5" s="37"/>
      <c r="AO5" s="37"/>
      <c r="AP5" s="37"/>
      <c r="AQ5" s="37"/>
    </row>
    <row r="6">
      <c r="A6" s="55">
        <f t="shared" si="7"/>
        <v>46203</v>
      </c>
      <c r="B6" s="56">
        <f>round(YEARFRAC(EOMONTH(questions!$C$3, 0),A6,1),2)</f>
        <v>27.58</v>
      </c>
      <c r="C6" s="57">
        <f>IF(B6&lt;questions!$C$6,if(MONTH(A6)=1,C5*(1+questions!$C$12),C5),0)</f>
        <v>10000</v>
      </c>
      <c r="D6" s="58">
        <f>IF(MONTH(A6)=12,C6*questions!$C$11,0)</f>
        <v>0</v>
      </c>
      <c r="E6" s="59">
        <f t="shared" si="2"/>
        <v>8000</v>
      </c>
      <c r="F6" s="59">
        <f t="shared" si="3"/>
        <v>0</v>
      </c>
      <c r="G6" s="60">
        <f t="array" ref="G6">if(YEAR(A6)=2025,XLOOKUP(B6,Lookup!$A$3:$A$7,Lookup!$D$3:$D$7,,1)*SUM(E6:F6), XLOOKUP(B6,Lookup!$A$14:$A$18,Lookup!$D$14:$D$18,,1)*SUM(E6:F6))</f>
        <v>2960</v>
      </c>
      <c r="H6" s="60">
        <f t="array" ref="H6">if(YEAR(A6)=2025,XLOOKUP(B6,Lookup!$F$3:$F$10,Lookup!$G$3:$G$10,,1)*G6, XLOOKUP(B6,Lookup!$F$14:$F$21,Lookup!$G$14:$G$21,,1)*G6)</f>
        <v>1840.232</v>
      </c>
      <c r="I6" s="60">
        <f t="array" ref="I6">if(B6&lt;55, if(YEAR(A6)=2025,XLOOKUP(B6,Lookup!$F$3:$F$10,Lookup!$H$3:$H$10,,1)*G6, XLOOKUP(B6,Lookup!$F$14:$F$21,Lookup!$H$14:$H$21,,1)*G6),0)</f>
        <v>479.816</v>
      </c>
      <c r="J6" s="60">
        <f t="array" ref="J6">if(YEAR(A6)=2025,XLOOKUP(B6,Lookup!$F$3:$F$10,Lookup!$I$3:$I$10,,1)*G6, XLOOKUP(B6,Lookup!$F$14:$F$21,Lookup!$I$14:$I$21,,1)*G6)</f>
        <v>639.952</v>
      </c>
      <c r="K6" s="61">
        <f t="array" ref="K6">if(B6&gt;54, if(YEAR(A6)=2025,XLOOKUP(B6,Lookup!$F$3:$F$10,Lookup!$H$3:$H$10,,1)*G6, XLOOKUP(B6,Lookup!$F$14:$F$21,Lookup!$H$14:$H$21,,1)*G6),0)</f>
        <v>0</v>
      </c>
      <c r="L6" s="62">
        <f>IF(and(A6&lt;questions!$C$19,questions!$C$18="yes"),questions!$C$20,0)</f>
        <v>700</v>
      </c>
      <c r="M6" s="63">
        <f>(Y5+H6)*Lookup!A$26/12</f>
        <v>26.58526667</v>
      </c>
      <c r="N6" s="63">
        <f>if(B6&lt;55, (Z5+I6)*Lookup!B$26/12, (AB5+K6)*Lookup!B$26/12)</f>
        <v>14.73088</v>
      </c>
      <c r="O6" s="63">
        <f>(AA5+J6)*Lookup!C$26/12</f>
        <v>16.86602667</v>
      </c>
      <c r="P6" s="63">
        <f t="shared" si="8"/>
        <v>92.08816667</v>
      </c>
      <c r="Q6" s="63">
        <f t="shared" si="4"/>
        <v>49.3272</v>
      </c>
      <c r="R6" s="63">
        <f t="shared" si="5"/>
        <v>54.66506667</v>
      </c>
      <c r="S6" s="64">
        <f t="shared" si="9"/>
        <v>9.10058</v>
      </c>
      <c r="T6" s="64">
        <f t="shared" si="10"/>
        <v>3.282873333</v>
      </c>
      <c r="U6" s="64">
        <f t="shared" si="11"/>
        <v>3.683213333</v>
      </c>
      <c r="V6" s="64">
        <f t="shared" ref="V6:X6" si="14">IF(year($A6)=year($A5), V5+S6, S6)</f>
        <v>30.70116</v>
      </c>
      <c r="W6" s="64">
        <f t="shared" si="14"/>
        <v>10.73241333</v>
      </c>
      <c r="X6" s="64">
        <f t="shared" si="14"/>
        <v>11.53309333</v>
      </c>
      <c r="Y6" s="65">
        <f>IFS(
  B6&lt;55,
    MAX(
      Y5 + IF(MONTH(A6)=12, P6+V6, 0) + H6 - L6
      + MAX(0,
          IF(AA5 &gt;= VLOOKUP(YEAR(A6), Lookup!$Q:$R, 2),
            Z5 + IF(MONTH(A6)=12, Q6+W6, 0) + I6
              + AA5 + IF(MONTH(A6)=12, R6+X6, 0)
              - VLOOKUP(YEAR(A6), Lookup!$Q:$R, 2) + J6,
            Z5 + IF(MONTH(A6)=12, Q6+W6, 0) + I6
          ) - VLOOKUP(YEAR(A6), Lookup!$K:$M, 3)
        ),
    0),
  B6=55,
    IF(Z5&gt;=AD6,
      MAX(Y5 + IF(MONTH(A6)=12, P6+V6, 0) + H6 - L6, 0),
      MAX(MAX(0, Y5-(AD6-Z5)) + IF(MONTH(A6)=12, P6+V6, 0) + H6 - L6, 0)
    ),
  B6&gt;55,
    IF(AB5&gt;=$AH$7,
      MAX(Y5 + IF(MONTH(A6)=12, P6+V6, 0) + H6 - L6 + K6 + Z5, 0),
      MAX(Y5 + IF(MONTH(A6)=12, P6+V6, 0) + H6 - L6, 0)
    )
)</f>
        <v>12060.928</v>
      </c>
      <c r="Z6" s="65">
        <f>IFS(
  B6&lt;55,
    MIN(
      IF(AA5 &gt;= VLOOKUP(YEAR(A6), Lookup!$Q:$R, 2),
        Z5 + IF(MONTH(A6)=12, Q6+W6, 0) + I6
          + AA5 + IF(MONTH(A6)=12, R6+X6, 0) - VLOOKUP(YEAR(A6), Lookup!$Q:$R, 2) + J6,
        Z5 + IF(MONTH(A6)=12, Q6+W6, 0) + I6
      ),
      VLOOKUP(YEAR(A6), Lookup!$K:$M, 3)
    ),
  B6=55,
    IF(Z5 &gt;= AD6, Z5 - AD6, 0),
  B6&gt;55, 0
)</f>
        <v>4419.264</v>
      </c>
      <c r="AA6" s="65">
        <f>IFS(
  B6&lt;65,
    IF(AA5+J6 &lt; VLOOKUP(YEAR(A6), Lookup!$Q:$R, 2),
      AA5 + IF(MONTH(A6)=12, R5+X5, 0) + J6,
      MIN(
        AA5 + IF(MONTH(A6)=12, R5+X5, 0) + J6 ,
        VLOOKUP(YEAR(A6), Lookup!$Q:$R, 2)
      )
    ),
  B6&gt;=65,
    IF(AA5+J6 &lt; VLOOKUP(questions!$C$5, Lookup!$Q:$R, 2),
      AA5 + IF(MONTH(A6)=12, R5+X5, 0) + J6 ,
      MIN(
        AA5 + IF(MONTH(A6)=12, R5+X5, 0) + J6,
        VLOOKUP(questions!$C$5, Lookup!$Q:$R, 2)
      )
    )
)</f>
        <v>5059.808</v>
      </c>
      <c r="AB6" s="65">
        <f t="shared" si="13"/>
        <v>0</v>
      </c>
      <c r="AC6" s="66">
        <f t="array" ref="AC6">IFS(B6&lt;66, XLOOKUP(year(A6),Lookup!$K$13:$K1000,Lookup!$L$13:$L1000,"missing",,1),B6&gt;65,XLOOKUP(questions!$C$5,Lookup!$K$13:$K1000,Lookup!$L$13:$L1000,"missing",,1))</f>
        <v>110200</v>
      </c>
      <c r="AD6" s="66">
        <f t="array" ref="AD6">IFS(B6&lt;66, XLOOKUP(year(A6),Lookup!$K$13:$K1000,Lookup!$M$13:$M1000,"missing",,1),B6&gt;65, XLOOKUP(questions!$C$5,Lookup!$K$13:$K1000,Lookup!$M$13:$M1000,"missing",,1))</f>
        <v>220400</v>
      </c>
      <c r="AE6" s="66">
        <f t="array" ref="AE6">IFS(B6&lt;66, XLOOKUP(year(A6),Lookup!$K$13:$K1000,Lookup!$N$13:$N1000,"missing",,1),B6&gt;65,XLOOKUP(questions!$C$5,Lookup!$K$13:$K1000,Lookup!$N$13:$N1000,"missing",,1))</f>
        <v>440800</v>
      </c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</row>
    <row r="7">
      <c r="A7" s="55">
        <f t="shared" si="7"/>
        <v>46234</v>
      </c>
      <c r="B7" s="56">
        <f>round(YEARFRAC(EOMONTH(questions!$C$3, 0),A7,1),2)</f>
        <v>27.67</v>
      </c>
      <c r="C7" s="57">
        <f>IF(B7&lt;questions!$C$6,if(MONTH(A7)=1,C6*(1+questions!$C$12),C6),0)</f>
        <v>10000</v>
      </c>
      <c r="D7" s="58">
        <f>IF(MONTH(A7)=12,C7*questions!$C$11,0)</f>
        <v>0</v>
      </c>
      <c r="E7" s="59">
        <f t="shared" si="2"/>
        <v>8000</v>
      </c>
      <c r="F7" s="59">
        <f t="shared" si="3"/>
        <v>0</v>
      </c>
      <c r="G7" s="60">
        <f t="array" ref="G7">if(YEAR(A7)=2025,XLOOKUP(B7,Lookup!$A$3:$A$7,Lookup!$D$3:$D$7,,1)*SUM(E7:F7), XLOOKUP(B7,Lookup!$A$14:$A$18,Lookup!$D$14:$D$18,,1)*SUM(E7:F7))</f>
        <v>2960</v>
      </c>
      <c r="H7" s="60">
        <f t="array" ref="H7">if(YEAR(A7)=2025,XLOOKUP(B7,Lookup!$F$3:$F$10,Lookup!$G$3:$G$10,,1)*G7, XLOOKUP(B7,Lookup!$F$14:$F$21,Lookup!$G$14:$G$21,,1)*G7)</f>
        <v>1840.232</v>
      </c>
      <c r="I7" s="60">
        <f t="array" ref="I7">if(B7&lt;55, if(YEAR(A7)=2025,XLOOKUP(B7,Lookup!$F$3:$F$10,Lookup!$H$3:$H$10,,1)*G7, XLOOKUP(B7,Lookup!$F$14:$F$21,Lookup!$H$14:$H$21,,1)*G7),0)</f>
        <v>479.816</v>
      </c>
      <c r="J7" s="60">
        <f t="array" ref="J7">if(YEAR(A7)=2025,XLOOKUP(B7,Lookup!$F$3:$F$10,Lookup!$I$3:$I$10,,1)*G7, XLOOKUP(B7,Lookup!$F$14:$F$21,Lookup!$I$14:$I$21,,1)*G7)</f>
        <v>639.952</v>
      </c>
      <c r="K7" s="61">
        <f t="array" ref="K7">if(B7&gt;54, if(YEAR(A7)=2025,XLOOKUP(B7,Lookup!$F$3:$F$10,Lookup!$H$3:$H$10,,1)*G7, XLOOKUP(B7,Lookup!$F$14:$F$21,Lookup!$H$14:$H$21,,1)*G7),0)</f>
        <v>0</v>
      </c>
      <c r="L7" s="62">
        <f>IF(and(A7&lt;questions!$C$19,questions!$C$18="yes"),questions!$C$20,0)</f>
        <v>700</v>
      </c>
      <c r="M7" s="63">
        <f>(Y6+H7)*Lookup!A$26/12</f>
        <v>28.96075</v>
      </c>
      <c r="N7" s="63">
        <f>if(B7&lt;55, (Z6+I7)*Lookup!B$26/12, (AB6+K7)*Lookup!B$26/12)</f>
        <v>16.33026667</v>
      </c>
      <c r="O7" s="63">
        <f>(AA6+J7)*Lookup!C$26/12</f>
        <v>18.9992</v>
      </c>
      <c r="P7" s="63">
        <f t="shared" si="8"/>
        <v>121.0489167</v>
      </c>
      <c r="Q7" s="63">
        <f t="shared" si="4"/>
        <v>65.65746667</v>
      </c>
      <c r="R7" s="63">
        <f t="shared" si="5"/>
        <v>73.66426667</v>
      </c>
      <c r="S7" s="64">
        <f t="shared" si="9"/>
        <v>10.05077333</v>
      </c>
      <c r="T7" s="64">
        <f t="shared" si="10"/>
        <v>3.68272</v>
      </c>
      <c r="U7" s="64">
        <f t="shared" si="11"/>
        <v>4.216506667</v>
      </c>
      <c r="V7" s="64">
        <f t="shared" ref="V7:X7" si="15">IF(year($A7)=year($A6), V6+S7, S7)</f>
        <v>40.75193333</v>
      </c>
      <c r="W7" s="64">
        <f t="shared" si="15"/>
        <v>14.41513333</v>
      </c>
      <c r="X7" s="64">
        <f t="shared" si="15"/>
        <v>15.7496</v>
      </c>
      <c r="Y7" s="65">
        <f>IFS(
  B7&lt;55,
    MAX(
      Y6 + IF(MONTH(A7)=12, P7+V7, 0) + H7 - L7
      + MAX(0,
          IF(AA6 &gt;= VLOOKUP(YEAR(A7), Lookup!$Q:$R, 2),
            Z6 + IF(MONTH(A7)=12, Q7+W7, 0) + I7
              + AA6 + IF(MONTH(A7)=12, R7+X7, 0)
              - VLOOKUP(YEAR(A7), Lookup!$Q:$R, 2) + J7,
            Z6 + IF(MONTH(A7)=12, Q7+W7, 0) + I7
          ) - VLOOKUP(YEAR(A7), Lookup!$K:$M, 3)
        ),
    0),
  B7=55,
    IF(Z6&gt;=AD7,
      MAX(Y6 + IF(MONTH(A7)=12, P7+V7, 0) + H7 - L7, 0),
      MAX(MAX(0, Y6-(AD7-Z6)) + IF(MONTH(A7)=12, P7+V7, 0) + H7 - L7, 0)
    ),
  B7&gt;55,
    IF(AB6&gt;=$AH$7,
      MAX(Y6 + IF(MONTH(A7)=12, P7+V7, 0) + H7 - L7 + K7 + Z6, 0),
      MAX(Y6 + IF(MONTH(A7)=12, P7+V7, 0) + H7 - L7, 0)
    )
)</f>
        <v>13201.16</v>
      </c>
      <c r="Z7" s="65">
        <f>IFS(
  B7&lt;55,
    MIN(
      IF(AA6 &gt;= VLOOKUP(YEAR(A7), Lookup!$Q:$R, 2),
        Z6 + IF(MONTH(A7)=12, Q7+W7, 0) + I7
          + AA6 + IF(MONTH(A7)=12, R7+X7, 0) - VLOOKUP(YEAR(A7), Lookup!$Q:$R, 2) + J7,
        Z6 + IF(MONTH(A7)=12, Q7+W7, 0) + I7
      ),
      VLOOKUP(YEAR(A7), Lookup!$K:$M, 3)
    ),
  B7=55,
    IF(Z6 &gt;= AD7, Z6 - AD7, 0),
  B7&gt;55, 0
)</f>
        <v>4899.08</v>
      </c>
      <c r="AA7" s="65">
        <f>IFS(
  B7&lt;65,
    IF(AA6+J7 &lt; VLOOKUP(YEAR(A7), Lookup!$Q:$R, 2),
      AA6 + IF(MONTH(A7)=12, R6+X6, 0) + J7,
      MIN(
        AA6 + IF(MONTH(A7)=12, R6+X6, 0) + J7 ,
        VLOOKUP(YEAR(A7), Lookup!$Q:$R, 2)
      )
    ),
  B7&gt;=65,
    IF(AA6+J7 &lt; VLOOKUP(questions!$C$5, Lookup!$Q:$R, 2),
      AA6 + IF(MONTH(A7)=12, R6+X6, 0) + J7 ,
      MIN(
        AA6 + IF(MONTH(A7)=12, R6+X6, 0) + J7,
        VLOOKUP(questions!$C$5, Lookup!$Q:$R, 2)
      )
    )
)</f>
        <v>5699.76</v>
      </c>
      <c r="AB7" s="65">
        <f t="shared" si="13"/>
        <v>0</v>
      </c>
      <c r="AC7" s="66">
        <f t="array" ref="AC7">IFS(B7&lt;66, XLOOKUP(year(A7),Lookup!$K$13:$K1000,Lookup!$L$13:$L1000,"missing",,1),B7&gt;65,XLOOKUP(questions!$C$5,Lookup!$K$13:$K1000,Lookup!$L$13:$L1000,"missing",,1))</f>
        <v>110200</v>
      </c>
      <c r="AD7" s="66">
        <f t="array" ref="AD7">IFS(B7&lt;66, XLOOKUP(year(A7),Lookup!$K$13:$K1000,Lookup!$M$13:$M1000,"missing",,1),B7&gt;65, XLOOKUP(questions!$C$5,Lookup!$K$13:$K1000,Lookup!$M$13:$M1000,"missing",,1))</f>
        <v>220400</v>
      </c>
      <c r="AE7" s="66">
        <f t="array" ref="AE7">IFS(B7&lt;66, XLOOKUP(year(A7),Lookup!$K$13:$K1000,Lookup!$N$13:$N1000,"missing",,1),B7&gt;65,XLOOKUP(questions!$C$5,Lookup!$K$13:$K1000,Lookup!$N$13:$N1000,"missing",,1))</f>
        <v>440800</v>
      </c>
      <c r="AF7" s="37"/>
      <c r="AG7" s="69">
        <f t="array" ref="AG7">XLOOKUP(questions!C4,Lookup!$K$3:$K1000,Lookup!$L$3:$L1000,"missing",,1)</f>
        <v>279083.8715</v>
      </c>
      <c r="AH7" s="69">
        <f t="array" ref="AH7">XLOOKUP(questions!C4,Lookup!$K$3:$K1000,Lookup!$M$3:$M1000,"missing",,1)</f>
        <v>558167.7431</v>
      </c>
      <c r="AI7" s="69">
        <f t="array" ref="AI7">XLOOKUP(questions!C4,Lookup!$K$3:$K1000,Lookup!$N$3:$N1000,"missing",,1)</f>
        <v>1116335.486</v>
      </c>
      <c r="AJ7" s="37"/>
      <c r="AK7" s="37"/>
      <c r="AL7" s="37"/>
      <c r="AM7" s="37"/>
      <c r="AN7" s="37"/>
      <c r="AO7" s="37"/>
      <c r="AP7" s="37"/>
      <c r="AQ7" s="37"/>
    </row>
    <row r="8">
      <c r="A8" s="55">
        <f t="shared" si="7"/>
        <v>46265</v>
      </c>
      <c r="B8" s="56">
        <f>round(YEARFRAC(EOMONTH(questions!$C$3, 0),A8,1),2)</f>
        <v>27.75</v>
      </c>
      <c r="C8" s="57">
        <f>IF(B8&lt;questions!$C$6,if(MONTH(A8)=1,C7*(1+questions!$C$12),C7),0)</f>
        <v>10000</v>
      </c>
      <c r="D8" s="58">
        <f>IF(MONTH(A8)=12,C8*questions!$C$11,0)</f>
        <v>0</v>
      </c>
      <c r="E8" s="59">
        <f t="shared" si="2"/>
        <v>8000</v>
      </c>
      <c r="F8" s="59">
        <f t="shared" si="3"/>
        <v>0</v>
      </c>
      <c r="G8" s="60">
        <f t="array" ref="G8">if(YEAR(A8)=2025,XLOOKUP(B8,Lookup!$A$3:$A$7,Lookup!$D$3:$D$7,,1)*SUM(E8:F8), XLOOKUP(B8,Lookup!$A$14:$A$18,Lookup!$D$14:$D$18,,1)*SUM(E8:F8))</f>
        <v>2960</v>
      </c>
      <c r="H8" s="60">
        <f t="array" ref="H8">if(YEAR(A8)=2025,XLOOKUP(B8,Lookup!$F$3:$F$10,Lookup!$G$3:$G$10,,1)*G8, XLOOKUP(B8,Lookup!$F$14:$F$21,Lookup!$G$14:$G$21,,1)*G8)</f>
        <v>1840.232</v>
      </c>
      <c r="I8" s="60">
        <f t="array" ref="I8">if(B8&lt;55, if(YEAR(A8)=2025,XLOOKUP(B8,Lookup!$F$3:$F$10,Lookup!$H$3:$H$10,,1)*G8, XLOOKUP(B8,Lookup!$F$14:$F$21,Lookup!$H$14:$H$21,,1)*G8),0)</f>
        <v>479.816</v>
      </c>
      <c r="J8" s="60">
        <f t="array" ref="J8">if(YEAR(A8)=2025,XLOOKUP(B8,Lookup!$F$3:$F$10,Lookup!$I$3:$I$10,,1)*G8, XLOOKUP(B8,Lookup!$F$14:$F$21,Lookup!$I$14:$I$21,,1)*G8)</f>
        <v>639.952</v>
      </c>
      <c r="K8" s="61">
        <f t="array" ref="K8">if(B8&gt;54, if(YEAR(A8)=2025,XLOOKUP(B8,Lookup!$F$3:$F$10,Lookup!$H$3:$H$10,,1)*G8, XLOOKUP(B8,Lookup!$F$14:$F$21,Lookup!$H$14:$H$21,,1)*G8),0)</f>
        <v>0</v>
      </c>
      <c r="L8" s="62">
        <f>IF(and(A8&lt;questions!$C$19,questions!$C$18="yes"),questions!$C$20,0)</f>
        <v>700</v>
      </c>
      <c r="M8" s="63">
        <f>(Y7+H8)*Lookup!A$26/12</f>
        <v>31.33623333</v>
      </c>
      <c r="N8" s="63">
        <f>if(B8&lt;55, (Z7+I8)*Lookup!B$26/12, (AB7+K8)*Lookup!B$26/12)</f>
        <v>17.92965333</v>
      </c>
      <c r="O8" s="63">
        <f>(AA7+J8)*Lookup!C$26/12</f>
        <v>21.13237333</v>
      </c>
      <c r="P8" s="63">
        <f t="shared" si="8"/>
        <v>152.38515</v>
      </c>
      <c r="Q8" s="63">
        <f t="shared" si="4"/>
        <v>83.58712</v>
      </c>
      <c r="R8" s="63">
        <f t="shared" si="5"/>
        <v>94.79664</v>
      </c>
      <c r="S8" s="64">
        <f t="shared" si="9"/>
        <v>11.00096667</v>
      </c>
      <c r="T8" s="64">
        <f t="shared" si="10"/>
        <v>4.082566667</v>
      </c>
      <c r="U8" s="64">
        <f t="shared" si="11"/>
        <v>4.7498</v>
      </c>
      <c r="V8" s="64">
        <f t="shared" ref="V8:X8" si="16">IF(year($A8)=year($A7), V7+S8, S8)</f>
        <v>51.7529</v>
      </c>
      <c r="W8" s="64">
        <f t="shared" si="16"/>
        <v>18.4977</v>
      </c>
      <c r="X8" s="64">
        <f t="shared" si="16"/>
        <v>20.4994</v>
      </c>
      <c r="Y8" s="65">
        <f>IFS(
  B8&lt;55,
    MAX(
      Y7 + IF(MONTH(A8)=12, P8+V8, 0) + H8 - L8
      + MAX(0,
          IF(AA7 &gt;= VLOOKUP(YEAR(A8), Lookup!$Q:$R, 2),
            Z7 + IF(MONTH(A8)=12, Q8+W8, 0) + I8
              + AA7 + IF(MONTH(A8)=12, R8+X8, 0)
              - VLOOKUP(YEAR(A8), Lookup!$Q:$R, 2) + J8,
            Z7 + IF(MONTH(A8)=12, Q8+W8, 0) + I8
          ) - VLOOKUP(YEAR(A8), Lookup!$K:$M, 3)
        ),
    0),
  B8=55,
    IF(Z7&gt;=AD8,
      MAX(Y7 + IF(MONTH(A8)=12, P8+V8, 0) + H8 - L8, 0),
      MAX(MAX(0, Y7-(AD8-Z7)) + IF(MONTH(A8)=12, P8+V8, 0) + H8 - L8, 0)
    ),
  B8&gt;55,
    IF(AB7&gt;=$AH$7,
      MAX(Y7 + IF(MONTH(A8)=12, P8+V8, 0) + H8 - L8 + K8 + Z7, 0),
      MAX(Y7 + IF(MONTH(A8)=12, P8+V8, 0) + H8 - L8, 0)
    )
)</f>
        <v>14341.392</v>
      </c>
      <c r="Z8" s="65">
        <f>IFS(
  B8&lt;55,
    MIN(
      IF(AA7 &gt;= VLOOKUP(YEAR(A8), Lookup!$Q:$R, 2),
        Z7 + IF(MONTH(A8)=12, Q8+W8, 0) + I8
          + AA7 + IF(MONTH(A8)=12, R8+X8, 0) - VLOOKUP(YEAR(A8), Lookup!$Q:$R, 2) + J8,
        Z7 + IF(MONTH(A8)=12, Q8+W8, 0) + I8
      ),
      VLOOKUP(YEAR(A8), Lookup!$K:$M, 3)
    ),
  B8=55,
    IF(Z7 &gt;= AD8, Z7 - AD8, 0),
  B8&gt;55, 0
)</f>
        <v>5378.896</v>
      </c>
      <c r="AA8" s="65">
        <f>IFS(
  B8&lt;65,
    IF(AA7+J8 &lt; VLOOKUP(YEAR(A8), Lookup!$Q:$R, 2),
      AA7 + IF(MONTH(A8)=12, R7+X7, 0) + J8,
      MIN(
        AA7 + IF(MONTH(A8)=12, R7+X7, 0) + J8 ,
        VLOOKUP(YEAR(A8), Lookup!$Q:$R, 2)
      )
    ),
  B8&gt;=65,
    IF(AA7+J8 &lt; VLOOKUP(questions!$C$5, Lookup!$Q:$R, 2),
      AA7 + IF(MONTH(A8)=12, R7+X7, 0) + J8 ,
      MIN(
        AA7 + IF(MONTH(A8)=12, R7+X7, 0) + J8,
        VLOOKUP(questions!$C$5, Lookup!$Q:$R, 2)
      )
    )
)</f>
        <v>6339.712</v>
      </c>
      <c r="AB8" s="65">
        <f t="shared" si="13"/>
        <v>0</v>
      </c>
      <c r="AC8" s="66">
        <f t="array" ref="AC8">IFS(B8&lt;66, XLOOKUP(year(A8),Lookup!$K$13:$K1000,Lookup!$L$13:$L1000,"missing",,1),B8&gt;65,XLOOKUP(questions!$C$5,Lookup!$K$13:$K1000,Lookup!$L$13:$L1000,"missing",,1))</f>
        <v>110200</v>
      </c>
      <c r="AD8" s="66">
        <f t="array" ref="AD8">IFS(B8&lt;66, XLOOKUP(year(A8),Lookup!$K$13:$K1000,Lookup!$M$13:$M1000,"missing",,1),B8&gt;65, XLOOKUP(questions!$C$5,Lookup!$K$13:$K1000,Lookup!$M$13:$M1000,"missing",,1))</f>
        <v>220400</v>
      </c>
      <c r="AE8" s="66">
        <f t="array" ref="AE8">IFS(B8&lt;66, XLOOKUP(year(A8),Lookup!$K$13:$K1000,Lookup!$N$13:$N1000,"missing",,1),B8&gt;65,XLOOKUP(questions!$C$5,Lookup!$K$13:$K1000,Lookup!$N$13:$N1000,"missing",,1))</f>
        <v>440800</v>
      </c>
      <c r="AF8" s="37"/>
      <c r="AG8" s="70" t="s">
        <v>77</v>
      </c>
      <c r="AH8" s="70" t="s">
        <v>78</v>
      </c>
      <c r="AI8" s="70" t="s">
        <v>79</v>
      </c>
      <c r="AJ8" s="37"/>
      <c r="AK8" s="37"/>
      <c r="AL8" s="37"/>
      <c r="AM8" s="37"/>
      <c r="AN8" s="37"/>
      <c r="AO8" s="37"/>
      <c r="AP8" s="37"/>
      <c r="AQ8" s="37"/>
    </row>
    <row r="9">
      <c r="A9" s="55">
        <f t="shared" si="7"/>
        <v>46295</v>
      </c>
      <c r="B9" s="56">
        <f>round(YEARFRAC(EOMONTH(questions!$C$3, 0),A9,1),2)</f>
        <v>27.83</v>
      </c>
      <c r="C9" s="57">
        <f>IF(B9&lt;questions!$C$6,if(MONTH(A9)=1,C8*(1+questions!$C$12),C8),0)</f>
        <v>10000</v>
      </c>
      <c r="D9" s="58">
        <f>IF(MONTH(A9)=12,C9*questions!$C$11,0)</f>
        <v>0</v>
      </c>
      <c r="E9" s="59">
        <f t="shared" si="2"/>
        <v>8000</v>
      </c>
      <c r="F9" s="59">
        <f t="shared" si="3"/>
        <v>0</v>
      </c>
      <c r="G9" s="60">
        <f t="array" ref="G9">if(YEAR(A9)=2025,XLOOKUP(B9,Lookup!$A$3:$A$7,Lookup!$D$3:$D$7,,1)*SUM(E9:F9), XLOOKUP(B9,Lookup!$A$14:$A$18,Lookup!$D$14:$D$18,,1)*SUM(E9:F9))</f>
        <v>2960</v>
      </c>
      <c r="H9" s="60">
        <f t="array" ref="H9">if(YEAR(A9)=2025,XLOOKUP(B9,Lookup!$F$3:$F$10,Lookup!$G$3:$G$10,,1)*G9, XLOOKUP(B9,Lookup!$F$14:$F$21,Lookup!$G$14:$G$21,,1)*G9)</f>
        <v>1840.232</v>
      </c>
      <c r="I9" s="60">
        <f t="array" ref="I9">if(B9&lt;55, if(YEAR(A9)=2025,XLOOKUP(B9,Lookup!$F$3:$F$10,Lookup!$H$3:$H$10,,1)*G9, XLOOKUP(B9,Lookup!$F$14:$F$21,Lookup!$H$14:$H$21,,1)*G9),0)</f>
        <v>479.816</v>
      </c>
      <c r="J9" s="60">
        <f t="array" ref="J9">if(YEAR(A9)=2025,XLOOKUP(B9,Lookup!$F$3:$F$10,Lookup!$I$3:$I$10,,1)*G9, XLOOKUP(B9,Lookup!$F$14:$F$21,Lookup!$I$14:$I$21,,1)*G9)</f>
        <v>639.952</v>
      </c>
      <c r="K9" s="61">
        <f t="array" ref="K9">if(B9&gt;54, if(YEAR(A9)=2025,XLOOKUP(B9,Lookup!$F$3:$F$10,Lookup!$H$3:$H$10,,1)*G9, XLOOKUP(B9,Lookup!$F$14:$F$21,Lookup!$H$14:$H$21,,1)*G9),0)</f>
        <v>0</v>
      </c>
      <c r="L9" s="62">
        <f>IF(and(A9&lt;questions!$C$19,questions!$C$18="yes"),questions!$C$20,0)</f>
        <v>700</v>
      </c>
      <c r="M9" s="63">
        <f>(Y8+H9)*Lookup!A$26/12</f>
        <v>33.71171667</v>
      </c>
      <c r="N9" s="63">
        <f>if(B9&lt;55, (Z8+I9)*Lookup!B$26/12, (AB8+K9)*Lookup!B$26/12)</f>
        <v>19.52904</v>
      </c>
      <c r="O9" s="63">
        <f>(AA8+J9)*Lookup!C$26/12</f>
        <v>23.26554667</v>
      </c>
      <c r="P9" s="63">
        <f t="shared" si="8"/>
        <v>186.0968667</v>
      </c>
      <c r="Q9" s="63">
        <f t="shared" si="4"/>
        <v>103.11616</v>
      </c>
      <c r="R9" s="63">
        <f t="shared" si="5"/>
        <v>118.0621867</v>
      </c>
      <c r="S9" s="64">
        <f t="shared" si="9"/>
        <v>11.95116</v>
      </c>
      <c r="T9" s="64">
        <f t="shared" si="10"/>
        <v>4.482413333</v>
      </c>
      <c r="U9" s="64">
        <f t="shared" si="11"/>
        <v>5.283093333</v>
      </c>
      <c r="V9" s="64">
        <f t="shared" ref="V9:X9" si="17">IF(year($A9)=year($A8), V8+S9, S9)</f>
        <v>63.70406</v>
      </c>
      <c r="W9" s="64">
        <f t="shared" si="17"/>
        <v>22.98011333</v>
      </c>
      <c r="X9" s="64">
        <f t="shared" si="17"/>
        <v>25.78249333</v>
      </c>
      <c r="Y9" s="65">
        <f>IFS(
  B9&lt;55,
    MAX(
      Y8 + IF(MONTH(A9)=12, P9+V9, 0) + H9 - L9
      + MAX(0,
          IF(AA8 &gt;= VLOOKUP(YEAR(A9), Lookup!$Q:$R, 2),
            Z8 + IF(MONTH(A9)=12, Q9+W9, 0) + I9
              + AA8 + IF(MONTH(A9)=12, R9+X9, 0)
              - VLOOKUP(YEAR(A9), Lookup!$Q:$R, 2) + J9,
            Z8 + IF(MONTH(A9)=12, Q9+W9, 0) + I9
          ) - VLOOKUP(YEAR(A9), Lookup!$K:$M, 3)
        ),
    0),
  B9=55,
    IF(Z8&gt;=AD9,
      MAX(Y8 + IF(MONTH(A9)=12, P9+V9, 0) + H9 - L9, 0),
      MAX(MAX(0, Y8-(AD9-Z8)) + IF(MONTH(A9)=12, P9+V9, 0) + H9 - L9, 0)
    ),
  B9&gt;55,
    IF(AB8&gt;=$AH$7,
      MAX(Y8 + IF(MONTH(A9)=12, P9+V9, 0) + H9 - L9 + K9 + Z8, 0),
      MAX(Y8 + IF(MONTH(A9)=12, P9+V9, 0) + H9 - L9, 0)
    )
)</f>
        <v>15481.624</v>
      </c>
      <c r="Z9" s="65">
        <f>IFS(
  B9&lt;55,
    MIN(
      IF(AA8 &gt;= VLOOKUP(YEAR(A9), Lookup!$Q:$R, 2),
        Z8 + IF(MONTH(A9)=12, Q9+W9, 0) + I9
          + AA8 + IF(MONTH(A9)=12, R9+X9, 0) - VLOOKUP(YEAR(A9), Lookup!$Q:$R, 2) + J9,
        Z8 + IF(MONTH(A9)=12, Q9+W9, 0) + I9
      ),
      VLOOKUP(YEAR(A9), Lookup!$K:$M, 3)
    ),
  B9=55,
    IF(Z8 &gt;= AD9, Z8 - AD9, 0),
  B9&gt;55, 0
)</f>
        <v>5858.712</v>
      </c>
      <c r="AA9" s="65">
        <f>IFS(
  B9&lt;65,
    IF(AA8+J9 &lt; VLOOKUP(YEAR(A9), Lookup!$Q:$R, 2),
      AA8 + IF(MONTH(A9)=12, R8+X8, 0) + J9,
      MIN(
        AA8 + IF(MONTH(A9)=12, R8+X8, 0) + J9 ,
        VLOOKUP(YEAR(A9), Lookup!$Q:$R, 2)
      )
    ),
  B9&gt;=65,
    IF(AA8+J9 &lt; VLOOKUP(questions!$C$5, Lookup!$Q:$R, 2),
      AA8 + IF(MONTH(A9)=12, R8+X8, 0) + J9 ,
      MIN(
        AA8 + IF(MONTH(A9)=12, R8+X8, 0) + J9,
        VLOOKUP(questions!$C$5, Lookup!$Q:$R, 2)
      )
    )
)</f>
        <v>6979.664</v>
      </c>
      <c r="AB9" s="65">
        <f t="shared" si="13"/>
        <v>0</v>
      </c>
      <c r="AC9" s="66">
        <f t="array" ref="AC9">IFS(B9&lt;66, XLOOKUP(year(A9),Lookup!$K$13:$K1000,Lookup!$L$13:$L1000,"missing",,1),B9&gt;65,XLOOKUP(questions!$C$5,Lookup!$K$13:$K1000,Lookup!$L$13:$L1000,"missing",,1))</f>
        <v>110200</v>
      </c>
      <c r="AD9" s="66">
        <f t="array" ref="AD9">IFS(B9&lt;66, XLOOKUP(year(A9),Lookup!$K$13:$K1000,Lookup!$M$13:$M1000,"missing",,1),B9&gt;65, XLOOKUP(questions!$C$5,Lookup!$K$13:$K1000,Lookup!$M$13:$M1000,"missing",,1))</f>
        <v>220400</v>
      </c>
      <c r="AE9" s="66">
        <f t="array" ref="AE9">IFS(B9&lt;66, XLOOKUP(year(A9),Lookup!$K$13:$K1000,Lookup!$N$13:$N1000,"missing",,1),B9&gt;65,XLOOKUP(questions!$C$5,Lookup!$K$13:$K1000,Lookup!$N$13:$N1000,"missing",,1))</f>
        <v>440800</v>
      </c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</row>
    <row r="10">
      <c r="A10" s="55">
        <f t="shared" si="7"/>
        <v>46326</v>
      </c>
      <c r="B10" s="56">
        <f>round(YEARFRAC(EOMONTH(questions!$C$3, 0),A10,1),2)</f>
        <v>27.92</v>
      </c>
      <c r="C10" s="57">
        <f>IF(B10&lt;questions!$C$6,if(MONTH(A10)=1,C9*(1+questions!$C$12),C9),0)</f>
        <v>10000</v>
      </c>
      <c r="D10" s="58">
        <f>IF(MONTH(A10)=12,C10*questions!$C$11,0)</f>
        <v>0</v>
      </c>
      <c r="E10" s="59">
        <f t="shared" si="2"/>
        <v>8000</v>
      </c>
      <c r="F10" s="59">
        <f t="shared" si="3"/>
        <v>0</v>
      </c>
      <c r="G10" s="60">
        <f t="array" ref="G10">if(YEAR(A10)=2025,XLOOKUP(B10,Lookup!$A$3:$A$7,Lookup!$D$3:$D$7,,1)*SUM(E10:F10), XLOOKUP(B10,Lookup!$A$14:$A$18,Lookup!$D$14:$D$18,,1)*SUM(E10:F10))</f>
        <v>2960</v>
      </c>
      <c r="H10" s="60">
        <f t="array" ref="H10">if(YEAR(A10)=2025,XLOOKUP(B10,Lookup!$F$3:$F$10,Lookup!$G$3:$G$10,,1)*G10, XLOOKUP(B10,Lookup!$F$14:$F$21,Lookup!$G$14:$G$21,,1)*G10)</f>
        <v>1840.232</v>
      </c>
      <c r="I10" s="60">
        <f t="array" ref="I10">if(B10&lt;55, if(YEAR(A10)=2025,XLOOKUP(B10,Lookup!$F$3:$F$10,Lookup!$H$3:$H$10,,1)*G10, XLOOKUP(B10,Lookup!$F$14:$F$21,Lookup!$H$14:$H$21,,1)*G10),0)</f>
        <v>479.816</v>
      </c>
      <c r="J10" s="60">
        <f t="array" ref="J10">if(YEAR(A10)=2025,XLOOKUP(B10,Lookup!$F$3:$F$10,Lookup!$I$3:$I$10,,1)*G10, XLOOKUP(B10,Lookup!$F$14:$F$21,Lookup!$I$14:$I$21,,1)*G10)</f>
        <v>639.952</v>
      </c>
      <c r="K10" s="61">
        <f t="array" ref="K10">if(B10&gt;54, if(YEAR(A10)=2025,XLOOKUP(B10,Lookup!$F$3:$F$10,Lookup!$H$3:$H$10,,1)*G10, XLOOKUP(B10,Lookup!$F$14:$F$21,Lookup!$H$14:$H$21,,1)*G10),0)</f>
        <v>0</v>
      </c>
      <c r="L10" s="62">
        <f>IF(and(A10&lt;questions!$C$19,questions!$C$18="yes"),questions!$C$20,0)</f>
        <v>700</v>
      </c>
      <c r="M10" s="63">
        <f>(Y9+H10)*Lookup!A$26/12</f>
        <v>36.0872</v>
      </c>
      <c r="N10" s="63">
        <f>if(B10&lt;55, (Z9+I10)*Lookup!B$26/12, (AB9+K10)*Lookup!B$26/12)</f>
        <v>21.12842667</v>
      </c>
      <c r="O10" s="63">
        <f>(AA9+J10)*Lookup!C$26/12</f>
        <v>25.39872</v>
      </c>
      <c r="P10" s="63">
        <f t="shared" si="8"/>
        <v>222.1840667</v>
      </c>
      <c r="Q10" s="63">
        <f t="shared" si="4"/>
        <v>124.2445867</v>
      </c>
      <c r="R10" s="63">
        <f t="shared" si="5"/>
        <v>143.4609067</v>
      </c>
      <c r="S10" s="64">
        <f t="shared" si="9"/>
        <v>12.90135333</v>
      </c>
      <c r="T10" s="64">
        <f t="shared" si="10"/>
        <v>4.88226</v>
      </c>
      <c r="U10" s="64">
        <f t="shared" si="11"/>
        <v>5.816386667</v>
      </c>
      <c r="V10" s="64">
        <f t="shared" ref="V10:X10" si="18">IF(year($A10)=year($A9), V9+S10, S10)</f>
        <v>76.60541333</v>
      </c>
      <c r="W10" s="64">
        <f t="shared" si="18"/>
        <v>27.86237333</v>
      </c>
      <c r="X10" s="64">
        <f t="shared" si="18"/>
        <v>31.59888</v>
      </c>
      <c r="Y10" s="65">
        <f>IFS(
  B10&lt;55,
    MAX(
      Y9 + IF(MONTH(A10)=12, P10+V10, 0) + H10 - L10
      + MAX(0,
          IF(AA9 &gt;= VLOOKUP(YEAR(A10), Lookup!$Q:$R, 2),
            Z9 + IF(MONTH(A10)=12, Q10+W10, 0) + I10
              + AA9 + IF(MONTH(A10)=12, R10+X10, 0)
              - VLOOKUP(YEAR(A10), Lookup!$Q:$R, 2) + J10,
            Z9 + IF(MONTH(A10)=12, Q10+W10, 0) + I10
          ) - VLOOKUP(YEAR(A10), Lookup!$K:$M, 3)
        ),
    0),
  B10=55,
    IF(Z9&gt;=AD10,
      MAX(Y9 + IF(MONTH(A10)=12, P10+V10, 0) + H10 - L10, 0),
      MAX(MAX(0, Y9-(AD10-Z9)) + IF(MONTH(A10)=12, P10+V10, 0) + H10 - L10, 0)
    ),
  B10&gt;55,
    IF(AB9&gt;=$AH$7,
      MAX(Y9 + IF(MONTH(A10)=12, P10+V10, 0) + H10 - L10 + K10 + Z9, 0),
      MAX(Y9 + IF(MONTH(A10)=12, P10+V10, 0) + H10 - L10, 0)
    )
)</f>
        <v>16621.856</v>
      </c>
      <c r="Z10" s="65">
        <f>IFS(
  B10&lt;55,
    MIN(
      IF(AA9 &gt;= VLOOKUP(YEAR(A10), Lookup!$Q:$R, 2),
        Z9 + IF(MONTH(A10)=12, Q10+W10, 0) + I10
          + AA9 + IF(MONTH(A10)=12, R10+X10, 0) - VLOOKUP(YEAR(A10), Lookup!$Q:$R, 2) + J10,
        Z9 + IF(MONTH(A10)=12, Q10+W10, 0) + I10
      ),
      VLOOKUP(YEAR(A10), Lookup!$K:$M, 3)
    ),
  B10=55,
    IF(Z9 &gt;= AD10, Z9 - AD10, 0),
  B10&gt;55, 0
)</f>
        <v>6338.528</v>
      </c>
      <c r="AA10" s="65">
        <f>IFS(
  B10&lt;65,
    IF(AA9+J10 &lt; VLOOKUP(YEAR(A10), Lookup!$Q:$R, 2),
      AA9 + IF(MONTH(A10)=12, R9+X9, 0) + J10,
      MIN(
        AA9 + IF(MONTH(A10)=12, R9+X9, 0) + J10 ,
        VLOOKUP(YEAR(A10), Lookup!$Q:$R, 2)
      )
    ),
  B10&gt;=65,
    IF(AA9+J10 &lt; VLOOKUP(questions!$C$5, Lookup!$Q:$R, 2),
      AA9 + IF(MONTH(A10)=12, R9+X9, 0) + J10 ,
      MIN(
        AA9 + IF(MONTH(A10)=12, R9+X9, 0) + J10,
        VLOOKUP(questions!$C$5, Lookup!$Q:$R, 2)
      )
    )
)</f>
        <v>7619.616</v>
      </c>
      <c r="AB10" s="65">
        <f t="shared" si="13"/>
        <v>0</v>
      </c>
      <c r="AC10" s="66">
        <f t="array" ref="AC10">IFS(B10&lt;66, XLOOKUP(year(A10),Lookup!$K$13:$K1000,Lookup!$L$13:$L1000,"missing",,1),B10&gt;65,XLOOKUP(questions!$C$5,Lookup!$K$13:$K1000,Lookup!$L$13:$L1000,"missing",,1))</f>
        <v>110200</v>
      </c>
      <c r="AD10" s="66">
        <f t="array" ref="AD10">IFS(B10&lt;66, XLOOKUP(year(A10),Lookup!$K$13:$K1000,Lookup!$M$13:$M1000,"missing",,1),B10&gt;65, XLOOKUP(questions!$C$5,Lookup!$K$13:$K1000,Lookup!$M$13:$M1000,"missing",,1))</f>
        <v>220400</v>
      </c>
      <c r="AE10" s="66">
        <f t="array" ref="AE10">IFS(B10&lt;66, XLOOKUP(year(A10),Lookup!$K$13:$K1000,Lookup!$N$13:$N1000,"missing",,1),B10&gt;65,XLOOKUP(questions!$C$5,Lookup!$K$13:$K1000,Lookup!$N$13:$N1000,"missing",,1))</f>
        <v>440800</v>
      </c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</row>
    <row r="11">
      <c r="A11" s="55">
        <f t="shared" si="7"/>
        <v>46356</v>
      </c>
      <c r="B11" s="56">
        <f>round(YEARFRAC(EOMONTH(questions!$C$3, 0),A11,1),2)</f>
        <v>28</v>
      </c>
      <c r="C11" s="57">
        <f>IF(B11&lt;questions!$C$6,if(MONTH(A11)=1,C10*(1+questions!$C$12),C10),0)</f>
        <v>10000</v>
      </c>
      <c r="D11" s="58">
        <f>IF(MONTH(A11)=12,C11*questions!$C$11,0)</f>
        <v>0</v>
      </c>
      <c r="E11" s="59">
        <f t="shared" si="2"/>
        <v>8000</v>
      </c>
      <c r="F11" s="59">
        <f t="shared" si="3"/>
        <v>0</v>
      </c>
      <c r="G11" s="60">
        <f t="array" ref="G11">if(YEAR(A11)=2025,XLOOKUP(B11,Lookup!$A$3:$A$7,Lookup!$D$3:$D$7,,1)*SUM(E11:F11), XLOOKUP(B11,Lookup!$A$14:$A$18,Lookup!$D$14:$D$18,,1)*SUM(E11:F11))</f>
        <v>2960</v>
      </c>
      <c r="H11" s="60">
        <f t="array" ref="H11">if(YEAR(A11)=2025,XLOOKUP(B11,Lookup!$F$3:$F$10,Lookup!$G$3:$G$10,,1)*G11, XLOOKUP(B11,Lookup!$F$14:$F$21,Lookup!$G$14:$G$21,,1)*G11)</f>
        <v>1840.232</v>
      </c>
      <c r="I11" s="60">
        <f t="array" ref="I11">if(B11&lt;55, if(YEAR(A11)=2025,XLOOKUP(B11,Lookup!$F$3:$F$10,Lookup!$H$3:$H$10,,1)*G11, XLOOKUP(B11,Lookup!$F$14:$F$21,Lookup!$H$14:$H$21,,1)*G11),0)</f>
        <v>479.816</v>
      </c>
      <c r="J11" s="60">
        <f t="array" ref="J11">if(YEAR(A11)=2025,XLOOKUP(B11,Lookup!$F$3:$F$10,Lookup!$I$3:$I$10,,1)*G11, XLOOKUP(B11,Lookup!$F$14:$F$21,Lookup!$I$14:$I$21,,1)*G11)</f>
        <v>639.952</v>
      </c>
      <c r="K11" s="61">
        <f t="array" ref="K11">if(B11&gt;54, if(YEAR(A11)=2025,XLOOKUP(B11,Lookup!$F$3:$F$10,Lookup!$H$3:$H$10,,1)*G11, XLOOKUP(B11,Lookup!$F$14:$F$21,Lookup!$H$14:$H$21,,1)*G11),0)</f>
        <v>0</v>
      </c>
      <c r="L11" s="62">
        <f>IF(and(A11&lt;questions!$C$19,questions!$C$18="yes"),questions!$C$20,0)</f>
        <v>700</v>
      </c>
      <c r="M11" s="63">
        <f>(Y10+H11)*Lookup!A$26/12</f>
        <v>38.46268333</v>
      </c>
      <c r="N11" s="63">
        <f>if(B11&lt;55, (Z10+I11)*Lookup!B$26/12, (AB10+K11)*Lookup!B$26/12)</f>
        <v>22.72781333</v>
      </c>
      <c r="O11" s="63">
        <f>(AA10+J11)*Lookup!C$26/12</f>
        <v>27.53189333</v>
      </c>
      <c r="P11" s="63">
        <f t="shared" si="8"/>
        <v>260.64675</v>
      </c>
      <c r="Q11" s="63">
        <f t="shared" si="4"/>
        <v>146.9724</v>
      </c>
      <c r="R11" s="63">
        <f t="shared" si="5"/>
        <v>170.9928</v>
      </c>
      <c r="S11" s="64">
        <f t="shared" si="9"/>
        <v>13.85154667</v>
      </c>
      <c r="T11" s="64">
        <f t="shared" si="10"/>
        <v>5.282106667</v>
      </c>
      <c r="U11" s="64">
        <f t="shared" si="11"/>
        <v>6.34968</v>
      </c>
      <c r="V11" s="64">
        <f t="shared" ref="V11:X11" si="19">IF(year($A11)=year($A10), V10+S11, S11)</f>
        <v>90.45696</v>
      </c>
      <c r="W11" s="64">
        <f t="shared" si="19"/>
        <v>33.14448</v>
      </c>
      <c r="X11" s="64">
        <f t="shared" si="19"/>
        <v>37.94856</v>
      </c>
      <c r="Y11" s="65">
        <f>IFS(
  B11&lt;55,
    MAX(
      Y10 + IF(MONTH(A11)=12, P11+V11, 0) + H11 - L11
      + MAX(0,
          IF(AA10 &gt;= VLOOKUP(YEAR(A11), Lookup!$Q:$R, 2),
            Z10 + IF(MONTH(A11)=12, Q11+W11, 0) + I11
              + AA10 + IF(MONTH(A11)=12, R11+X11, 0)
              - VLOOKUP(YEAR(A11), Lookup!$Q:$R, 2) + J11,
            Z10 + IF(MONTH(A11)=12, Q11+W11, 0) + I11
          ) - VLOOKUP(YEAR(A11), Lookup!$K:$M, 3)
        ),
    0),
  B11=55,
    IF(Z10&gt;=AD11,
      MAX(Y10 + IF(MONTH(A11)=12, P11+V11, 0) + H11 - L11, 0),
      MAX(MAX(0, Y10-(AD11-Z10)) + IF(MONTH(A11)=12, P11+V11, 0) + H11 - L11, 0)
    ),
  B11&gt;55,
    IF(AB10&gt;=$AH$7,
      MAX(Y10 + IF(MONTH(A11)=12, P11+V11, 0) + H11 - L11 + K11 + Z10, 0),
      MAX(Y10 + IF(MONTH(A11)=12, P11+V11, 0) + H11 - L11, 0)
    )
)</f>
        <v>17762.088</v>
      </c>
      <c r="Z11" s="65">
        <f>IFS(
  B11&lt;55,
    MIN(
      IF(AA10 &gt;= VLOOKUP(YEAR(A11), Lookup!$Q:$R, 2),
        Z10 + IF(MONTH(A11)=12, Q11+W11, 0) + I11
          + AA10 + IF(MONTH(A11)=12, R11+X11, 0) - VLOOKUP(YEAR(A11), Lookup!$Q:$R, 2) + J11,
        Z10 + IF(MONTH(A11)=12, Q11+W11, 0) + I11
      ),
      VLOOKUP(YEAR(A11), Lookup!$K:$M, 3)
    ),
  B11=55,
    IF(Z10 &gt;= AD11, Z10 - AD11, 0),
  B11&gt;55, 0
)</f>
        <v>6818.344</v>
      </c>
      <c r="AA11" s="65">
        <f>IFS(
  B11&lt;65,
    IF(AA10+J11 &lt; VLOOKUP(YEAR(A11), Lookup!$Q:$R, 2),
      AA10 + IF(MONTH(A11)=12, R10+X10, 0) + J11,
      MIN(
        AA10 + IF(MONTH(A11)=12, R10+X10, 0) + J11 ,
        VLOOKUP(YEAR(A11), Lookup!$Q:$R, 2)
      )
    ),
  B11&gt;=65,
    IF(AA10+J11 &lt; VLOOKUP(questions!$C$5, Lookup!$Q:$R, 2),
      AA10 + IF(MONTH(A11)=12, R10+X10, 0) + J11 ,
      MIN(
        AA10 + IF(MONTH(A11)=12, R10+X10, 0) + J11,
        VLOOKUP(questions!$C$5, Lookup!$Q:$R, 2)
      )
    )
)</f>
        <v>8259.568</v>
      </c>
      <c r="AB11" s="65">
        <f t="shared" si="13"/>
        <v>0</v>
      </c>
      <c r="AC11" s="66">
        <f t="array" ref="AC11">IFS(B11&lt;66, XLOOKUP(year(A11),Lookup!$K$13:$K1000,Lookup!$L$13:$L1000,"missing",,1),B11&gt;65,XLOOKUP(questions!$C$5,Lookup!$K$13:$K1000,Lookup!$L$13:$L1000,"missing",,1))</f>
        <v>110200</v>
      </c>
      <c r="AD11" s="66">
        <f t="array" ref="AD11">IFS(B11&lt;66, XLOOKUP(year(A11),Lookup!$K$13:$K1000,Lookup!$M$13:$M1000,"missing",,1),B11&gt;65, XLOOKUP(questions!$C$5,Lookup!$K$13:$K1000,Lookup!$M$13:$M1000,"missing",,1))</f>
        <v>220400</v>
      </c>
      <c r="AE11" s="66">
        <f t="array" ref="AE11">IFS(B11&lt;66, XLOOKUP(year(A11),Lookup!$K$13:$K1000,Lookup!$N$13:$N1000,"missing",,1),B11&gt;65,XLOOKUP(questions!$C$5,Lookup!$K$13:$K1000,Lookup!$N$13:$N1000,"missing",,1))</f>
        <v>440800</v>
      </c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</row>
    <row r="12">
      <c r="A12" s="55">
        <f t="shared" si="7"/>
        <v>46387</v>
      </c>
      <c r="B12" s="56">
        <f>round(YEARFRAC(EOMONTH(questions!$C$3, 0),A12,1),2)</f>
        <v>28.08</v>
      </c>
      <c r="C12" s="57">
        <f>IF(B12&lt;questions!$C$6,if(MONTH(A12)=1,C11*(1+questions!$C$12),C11),0)</f>
        <v>10000</v>
      </c>
      <c r="D12" s="57">
        <f>IF(MONTH(A12)=12,C12*questions!$C$11,0)</f>
        <v>10000</v>
      </c>
      <c r="E12" s="59">
        <f t="shared" si="2"/>
        <v>8000</v>
      </c>
      <c r="F12" s="59">
        <f t="shared" si="3"/>
        <v>6000</v>
      </c>
      <c r="G12" s="60">
        <f t="array" ref="G12">if(YEAR(A12)=2025,XLOOKUP(B12,Lookup!$A$3:$A$7,Lookup!$D$3:$D$7,,1)*SUM(E12:F12), XLOOKUP(B12,Lookup!$A$14:$A$18,Lookup!$D$14:$D$18,,1)*SUM(E12:F12))</f>
        <v>5180</v>
      </c>
      <c r="H12" s="60">
        <f t="array" ref="H12">if(YEAR(A12)=2025,XLOOKUP(B12,Lookup!$F$3:$F$10,Lookup!$G$3:$G$10,,1)*G12, XLOOKUP(B12,Lookup!$F$14:$F$21,Lookup!$G$14:$G$21,,1)*G12)</f>
        <v>3220.406</v>
      </c>
      <c r="I12" s="60">
        <f t="array" ref="I12">if(B12&lt;55, if(YEAR(A12)=2025,XLOOKUP(B12,Lookup!$F$3:$F$10,Lookup!$H$3:$H$10,,1)*G12, XLOOKUP(B12,Lookup!$F$14:$F$21,Lookup!$H$14:$H$21,,1)*G12),0)</f>
        <v>839.678</v>
      </c>
      <c r="J12" s="60">
        <f t="array" ref="J12">if(YEAR(A12)=2025,XLOOKUP(B12,Lookup!$F$3:$F$10,Lookup!$I$3:$I$10,,1)*G12, XLOOKUP(B12,Lookup!$F$14:$F$21,Lookup!$I$14:$I$21,,1)*G12)</f>
        <v>1119.916</v>
      </c>
      <c r="K12" s="61">
        <f t="array" ref="K12">if(B12&gt;54, if(YEAR(A12)=2025,XLOOKUP(B12,Lookup!$F$3:$F$10,Lookup!$H$3:$H$10,,1)*G12, XLOOKUP(B12,Lookup!$F$14:$F$21,Lookup!$H$14:$H$21,,1)*G12),0)</f>
        <v>0</v>
      </c>
      <c r="L12" s="62">
        <f>IF(and(A12&lt;questions!$C$19,questions!$C$18="yes"),questions!$C$20,0)</f>
        <v>700</v>
      </c>
      <c r="M12" s="63">
        <f>(Y11+H12)*Lookup!A$26/12</f>
        <v>43.71352917</v>
      </c>
      <c r="N12" s="63">
        <f>if(B12&lt;55, (Z11+I12)*Lookup!B$26/12, (AB11+K12)*Lookup!B$26/12)</f>
        <v>25.52674</v>
      </c>
      <c r="O12" s="63">
        <f>(AA11+J12)*Lookup!C$26/12</f>
        <v>31.26494667</v>
      </c>
      <c r="P12" s="63">
        <f t="shared" si="8"/>
        <v>304.3602792</v>
      </c>
      <c r="Q12" s="63">
        <f t="shared" si="4"/>
        <v>172.49914</v>
      </c>
      <c r="R12" s="63">
        <f t="shared" si="5"/>
        <v>202.2577467</v>
      </c>
      <c r="S12" s="64">
        <f t="shared" si="9"/>
        <v>14.80174</v>
      </c>
      <c r="T12" s="64">
        <f t="shared" si="10"/>
        <v>5.681953333</v>
      </c>
      <c r="U12" s="64">
        <f t="shared" si="11"/>
        <v>6.882973333</v>
      </c>
      <c r="V12" s="64">
        <f t="shared" ref="V12:X12" si="20">IF(year($A12)=year($A11), V11+S12, S12)</f>
        <v>105.2587</v>
      </c>
      <c r="W12" s="64">
        <f t="shared" si="20"/>
        <v>38.82643333</v>
      </c>
      <c r="X12" s="64">
        <f t="shared" si="20"/>
        <v>44.83153333</v>
      </c>
      <c r="Y12" s="65">
        <f>IFS(
  B12&lt;55,
    MAX(
      Y11 + IF(MONTH(A12)=12, P12+V12, 0) + H12 - L12
      + MAX(0,
          IF(AA11 &gt;= VLOOKUP(YEAR(A12), Lookup!$Q:$R, 2),
            Z11 + IF(MONTH(A12)=12, Q12+W12, 0) + I12
              + AA11 + IF(MONTH(A12)=12, R12+X12, 0)
              - VLOOKUP(YEAR(A12), Lookup!$Q:$R, 2) + J12,
            Z11 + IF(MONTH(A12)=12, Q12+W12, 0) + I12
          ) - VLOOKUP(YEAR(A12), Lookup!$K:$M, 3)
        ),
    0),
  B12=55,
    IF(Z11&gt;=AD12,
      MAX(Y11 + IF(MONTH(A12)=12, P12+V12, 0) + H12 - L12, 0),
      MAX(MAX(0, Y11-(AD12-Z11)) + IF(MONTH(A12)=12, P12+V12, 0) + H12 - L12, 0)
    ),
  B12&gt;55,
    IF(AB11&gt;=$AH$7,
      MAX(Y11 + IF(MONTH(A12)=12, P12+V12, 0) + H12 - L12 + K12 + Z11, 0),
      MAX(Y11 + IF(MONTH(A12)=12, P12+V12, 0) + H12 - L12, 0)
    )
)</f>
        <v>20692.11298</v>
      </c>
      <c r="Z12" s="65">
        <f>IFS(
  B12&lt;55,
    MIN(
      IF(AA11 &gt;= VLOOKUP(YEAR(A12), Lookup!$Q:$R, 2),
        Z11 + IF(MONTH(A12)=12, Q12+W12, 0) + I12
          + AA11 + IF(MONTH(A12)=12, R12+X12, 0) - VLOOKUP(YEAR(A12), Lookup!$Q:$R, 2) + J12,
        Z11 + IF(MONTH(A12)=12, Q12+W12, 0) + I12
      ),
      VLOOKUP(YEAR(A12), Lookup!$K:$M, 3)
    ),
  B12=55,
    IF(Z11 &gt;= AD12, Z11 - AD12, 0),
  B12&gt;55, 0
)</f>
        <v>7869.347573</v>
      </c>
      <c r="AA12" s="65">
        <f>IFS(
  B12&lt;65,
    IF(AA11+J12 &lt; VLOOKUP(YEAR(A12), Lookup!$Q:$R, 2),
      AA11 + IF(MONTH(A12)=12, R11+X11, 0) + J12,
      MIN(
        AA11 + IF(MONTH(A12)=12, R11+X11, 0) + J12 ,
        VLOOKUP(YEAR(A12), Lookup!$Q:$R, 2)
      )
    ),
  B12&gt;=65,
    IF(AA11+J12 &lt; VLOOKUP(questions!$C$5, Lookup!$Q:$R, 2),
      AA11 + IF(MONTH(A12)=12, R11+X11, 0) + J12 ,
      MIN(
        AA11 + IF(MONTH(A12)=12, R11+X11, 0) + J12,
        VLOOKUP(questions!$C$5, Lookup!$Q:$R, 2)
      )
    )
)</f>
        <v>9588.42536</v>
      </c>
      <c r="AB12" s="65">
        <f t="shared" si="13"/>
        <v>0</v>
      </c>
      <c r="AC12" s="66">
        <f t="array" ref="AC12">IFS(B12&lt;66, XLOOKUP(year(A12),Lookup!$K$13:$K1000,Lookup!$L$13:$L1000,"missing",,1),B12&gt;65,XLOOKUP(questions!$C$5,Lookup!$K$13:$K1000,Lookup!$L$13:$L1000,"missing",,1))</f>
        <v>110200</v>
      </c>
      <c r="AD12" s="66">
        <f t="array" ref="AD12">IFS(B12&lt;66, XLOOKUP(year(A12),Lookup!$K$13:$K1000,Lookup!$M$13:$M1000,"missing",,1),B12&gt;65, XLOOKUP(questions!$C$5,Lookup!$K$13:$K1000,Lookup!$M$13:$M1000,"missing",,1))</f>
        <v>220400</v>
      </c>
      <c r="AE12" s="66">
        <f t="array" ref="AE12">IFS(B12&lt;66, XLOOKUP(year(A12),Lookup!$K$13:$K1000,Lookup!$N$13:$N1000,"missing",,1),B12&gt;65,XLOOKUP(questions!$C$5,Lookup!$K$13:$K1000,Lookup!$N$13:$N1000,"missing",,1))</f>
        <v>440800</v>
      </c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</row>
    <row r="13">
      <c r="A13" s="55">
        <f t="shared" si="7"/>
        <v>46418</v>
      </c>
      <c r="B13" s="56">
        <f>round(YEARFRAC(EOMONTH(questions!$C$3, 0),A13,1),2)</f>
        <v>28.17</v>
      </c>
      <c r="C13" s="57">
        <f>IF(B13&lt;questions!$C$6,if(MONTH(A13)=1,C12*(1+questions!$C$12),C12),0)</f>
        <v>10300</v>
      </c>
      <c r="D13" s="58">
        <f>IF(MONTH(A13)=12,C13*questions!$C$11,0)</f>
        <v>0</v>
      </c>
      <c r="E13" s="59">
        <f t="shared" si="2"/>
        <v>8000</v>
      </c>
      <c r="F13" s="59">
        <f t="shared" si="3"/>
        <v>0</v>
      </c>
      <c r="G13" s="60">
        <f t="array" ref="G13">if(YEAR(A13)=2025,XLOOKUP(B13,Lookup!$A$3:$A$7,Lookup!$D$3:$D$7,,1)*SUM(E13:F13), XLOOKUP(B13,Lookup!$A$14:$A$18,Lookup!$D$14:$D$18,,1)*SUM(E13:F13))</f>
        <v>2960</v>
      </c>
      <c r="H13" s="60">
        <f t="array" ref="H13">if(YEAR(A13)=2025,XLOOKUP(B13,Lookup!$F$3:$F$10,Lookup!$G$3:$G$10,,1)*G13, XLOOKUP(B13,Lookup!$F$14:$F$21,Lookup!$G$14:$G$21,,1)*G13)</f>
        <v>1840.232</v>
      </c>
      <c r="I13" s="60">
        <f t="array" ref="I13">if(B13&lt;55, if(YEAR(A13)=2025,XLOOKUP(B13,Lookup!$F$3:$F$10,Lookup!$H$3:$H$10,,1)*G13, XLOOKUP(B13,Lookup!$F$14:$F$21,Lookup!$H$14:$H$21,,1)*G13),0)</f>
        <v>479.816</v>
      </c>
      <c r="J13" s="60">
        <f t="array" ref="J13">if(YEAR(A13)=2025,XLOOKUP(B13,Lookup!$F$3:$F$10,Lookup!$I$3:$I$10,,1)*G13, XLOOKUP(B13,Lookup!$F$14:$F$21,Lookup!$I$14:$I$21,,1)*G13)</f>
        <v>639.952</v>
      </c>
      <c r="K13" s="61">
        <f t="array" ref="K13">if(B13&gt;54, if(YEAR(A13)=2025,XLOOKUP(B13,Lookup!$F$3:$F$10,Lookup!$H$3:$H$10,,1)*G13, XLOOKUP(B13,Lookup!$F$14:$F$21,Lookup!$H$14:$H$21,,1)*G13),0)</f>
        <v>0</v>
      </c>
      <c r="L13" s="62">
        <f>IF(and(A13&lt;questions!$C$19,questions!$C$18="yes"),questions!$C$20,0)</f>
        <v>700</v>
      </c>
      <c r="M13" s="63">
        <f>(Y12+H13)*Lookup!A$26/12</f>
        <v>46.94238537</v>
      </c>
      <c r="N13" s="63">
        <f>if(B13&lt;55, (Z12+I13)*Lookup!B$26/12, (AB12+K13)*Lookup!B$26/12)</f>
        <v>27.83054524</v>
      </c>
      <c r="O13" s="63">
        <f>(AA12+J13)*Lookup!C$26/12</f>
        <v>34.0945912</v>
      </c>
      <c r="P13" s="63">
        <f t="shared" si="8"/>
        <v>46.94238537</v>
      </c>
      <c r="Q13" s="63">
        <f t="shared" si="4"/>
        <v>27.83054524</v>
      </c>
      <c r="R13" s="63">
        <f t="shared" si="5"/>
        <v>34.0945912</v>
      </c>
      <c r="S13" s="64">
        <f t="shared" si="9"/>
        <v>16.66666667</v>
      </c>
      <c r="T13" s="64">
        <f t="shared" si="10"/>
        <v>6.557789644</v>
      </c>
      <c r="U13" s="64">
        <f t="shared" si="11"/>
        <v>7.990354467</v>
      </c>
      <c r="V13" s="64">
        <f t="shared" ref="V13:X13" si="21">IF(year($A13)=year($A12), V12+S13, S13)</f>
        <v>16.66666667</v>
      </c>
      <c r="W13" s="64">
        <f t="shared" si="21"/>
        <v>6.557789644</v>
      </c>
      <c r="X13" s="64">
        <f t="shared" si="21"/>
        <v>7.990354467</v>
      </c>
      <c r="Y13" s="65">
        <f>IFS(
  B13&lt;55,
    MAX(
      Y12 + IF(MONTH(A13)=12, P13+V13, 0) + H13 - L13
      + MAX(0,
          IF(AA12 &gt;= VLOOKUP(YEAR(A13), Lookup!$Q:$R, 2),
            Z12 + IF(MONTH(A13)=12, Q13+W13, 0) + I13
              + AA12 + IF(MONTH(A13)=12, R13+X13, 0)
              - VLOOKUP(YEAR(A13), Lookup!$Q:$R, 2) + J13,
            Z12 + IF(MONTH(A13)=12, Q13+W13, 0) + I13
          ) - VLOOKUP(YEAR(A13), Lookup!$K:$M, 3)
        ),
    0),
  B13=55,
    IF(Z12&gt;=AD13,
      MAX(Y12 + IF(MONTH(A13)=12, P13+V13, 0) + H13 - L13, 0),
      MAX(MAX(0, Y12-(AD13-Z12)) + IF(MONTH(A13)=12, P13+V13, 0) + H13 - L13, 0)
    ),
  B13&gt;55,
    IF(AB12&gt;=$AH$7,
      MAX(Y12 + IF(MONTH(A13)=12, P13+V13, 0) + H13 - L13 + K13 + Z12, 0),
      MAX(Y12 + IF(MONTH(A13)=12, P13+V13, 0) + H13 - L13, 0)
    )
)</f>
        <v>21832.34498</v>
      </c>
      <c r="Z13" s="65">
        <f>IFS(
  B13&lt;55,
    MIN(
      IF(AA12 &gt;= VLOOKUP(YEAR(A13), Lookup!$Q:$R, 2),
        Z12 + IF(MONTH(A13)=12, Q13+W13, 0) + I13
          + AA12 + IF(MONTH(A13)=12, R13+X13, 0) - VLOOKUP(YEAR(A13), Lookup!$Q:$R, 2) + J13,
        Z12 + IF(MONTH(A13)=12, Q13+W13, 0) + I13
      ),
      VLOOKUP(YEAR(A13), Lookup!$K:$M, 3)
    ),
  B13=55,
    IF(Z12 &gt;= AD13, Z12 - AD13, 0),
  B13&gt;55, 0
)</f>
        <v>8349.163573</v>
      </c>
      <c r="AA13" s="65">
        <f>IFS(
  B13&lt;65,
    IF(AA12+J13 &lt; VLOOKUP(YEAR(A13), Lookup!$Q:$R, 2),
      AA12 + IF(MONTH(A13)=12, R12+X12, 0) + J13,
      MIN(
        AA12 + IF(MONTH(A13)=12, R12+X12, 0) + J13 ,
        VLOOKUP(YEAR(A13), Lookup!$Q:$R, 2)
      )
    ),
  B13&gt;=65,
    IF(AA12+J13 &lt; VLOOKUP(questions!$C$5, Lookup!$Q:$R, 2),
      AA12 + IF(MONTH(A13)=12, R12+X12, 0) + J13 ,
      MIN(
        AA12 + IF(MONTH(A13)=12, R12+X12, 0) + J13,
        VLOOKUP(questions!$C$5, Lookup!$Q:$R, 2)
      )
    )
)</f>
        <v>10228.37736</v>
      </c>
      <c r="AB13" s="65">
        <f t="shared" si="13"/>
        <v>0</v>
      </c>
      <c r="AC13" s="66">
        <f t="array" ref="AC13">IFS(B13&lt;66, XLOOKUP(year(A13),Lookup!$K$13:$K1000,Lookup!$L$13:$L1000,"missing",,1),B13&gt;65,XLOOKUP(questions!$C$5,Lookup!$K$13:$K1000,Lookup!$L$13:$L1000,"missing",,1))</f>
        <v>114100</v>
      </c>
      <c r="AD13" s="66">
        <f t="array" ref="AD13">IFS(B13&lt;66, XLOOKUP(year(A13),Lookup!$K$13:$K1000,Lookup!$M$13:$M1000,"missing",,1),B13&gt;65, XLOOKUP(questions!$C$5,Lookup!$K$13:$K1000,Lookup!$M$13:$M1000,"missing",,1))</f>
        <v>228200</v>
      </c>
      <c r="AE13" s="66">
        <f t="array" ref="AE13">IFS(B13&lt;66, XLOOKUP(year(A13),Lookup!$K$13:$K1000,Lookup!$N$13:$N1000,"missing",,1),B13&gt;65,XLOOKUP(questions!$C$5,Lookup!$K$13:$K1000,Lookup!$N$13:$N1000,"missing",,1))</f>
        <v>456400</v>
      </c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</row>
    <row r="14">
      <c r="A14" s="55">
        <f t="shared" si="7"/>
        <v>46446</v>
      </c>
      <c r="B14" s="56">
        <f>round(YEARFRAC(EOMONTH(questions!$C$3, 0),A14,1),2)</f>
        <v>28.25</v>
      </c>
      <c r="C14" s="57">
        <f>IF(B14&lt;questions!$C$6,if(MONTH(A14)=1,C13*(1+questions!$C$12),C13),0)</f>
        <v>10300</v>
      </c>
      <c r="D14" s="58">
        <f>IF(MONTH(A14)=12,C14*questions!$C$11,0)</f>
        <v>0</v>
      </c>
      <c r="E14" s="59">
        <f t="shared" si="2"/>
        <v>8000</v>
      </c>
      <c r="F14" s="59">
        <f t="shared" si="3"/>
        <v>0</v>
      </c>
      <c r="G14" s="60">
        <f t="array" ref="G14">if(YEAR(A14)=2025,XLOOKUP(B14,Lookup!$A$3:$A$7,Lookup!$D$3:$D$7,,1)*SUM(E14:F14), XLOOKUP(B14,Lookup!$A$14:$A$18,Lookup!$D$14:$D$18,,1)*SUM(E14:F14))</f>
        <v>2960</v>
      </c>
      <c r="H14" s="60">
        <f t="array" ref="H14">if(YEAR(A14)=2025,XLOOKUP(B14,Lookup!$F$3:$F$10,Lookup!$G$3:$G$10,,1)*G14, XLOOKUP(B14,Lookup!$F$14:$F$21,Lookup!$G$14:$G$21,,1)*G14)</f>
        <v>1840.232</v>
      </c>
      <c r="I14" s="60">
        <f t="array" ref="I14">if(B14&lt;55, if(YEAR(A14)=2025,XLOOKUP(B14,Lookup!$F$3:$F$10,Lookup!$H$3:$H$10,,1)*G14, XLOOKUP(B14,Lookup!$F$14:$F$21,Lookup!$H$14:$H$21,,1)*G14),0)</f>
        <v>479.816</v>
      </c>
      <c r="J14" s="60">
        <f t="array" ref="J14">if(YEAR(A14)=2025,XLOOKUP(B14,Lookup!$F$3:$F$10,Lookup!$I$3:$I$10,,1)*G14, XLOOKUP(B14,Lookup!$F$14:$F$21,Lookup!$I$14:$I$21,,1)*G14)</f>
        <v>639.952</v>
      </c>
      <c r="K14" s="61">
        <f t="array" ref="K14">if(B14&gt;54, if(YEAR(A14)=2025,XLOOKUP(B14,Lookup!$F$3:$F$10,Lookup!$H$3:$H$10,,1)*G14, XLOOKUP(B14,Lookup!$F$14:$F$21,Lookup!$H$14:$H$21,,1)*G14),0)</f>
        <v>0</v>
      </c>
      <c r="L14" s="62">
        <f>IF(and(A14&lt;questions!$C$19,questions!$C$18="yes"),questions!$C$20,0)</f>
        <v>700</v>
      </c>
      <c r="M14" s="63">
        <f>(Y13+H14)*Lookup!A$26/12</f>
        <v>49.31786871</v>
      </c>
      <c r="N14" s="63">
        <f>if(B14&lt;55, (Z13+I14)*Lookup!B$26/12, (AB13+K14)*Lookup!B$26/12)</f>
        <v>29.42993191</v>
      </c>
      <c r="O14" s="63">
        <f>(AA13+J14)*Lookup!C$26/12</f>
        <v>36.22776453</v>
      </c>
      <c r="P14" s="63">
        <f t="shared" si="8"/>
        <v>96.26025408</v>
      </c>
      <c r="Q14" s="63">
        <f t="shared" si="4"/>
        <v>57.26047716</v>
      </c>
      <c r="R14" s="63">
        <f t="shared" si="5"/>
        <v>70.32235573</v>
      </c>
      <c r="S14" s="64">
        <f t="shared" si="9"/>
        <v>16.66666667</v>
      </c>
      <c r="T14" s="64">
        <f t="shared" si="10"/>
        <v>6.957636311</v>
      </c>
      <c r="U14" s="64">
        <f t="shared" si="11"/>
        <v>8.5236478</v>
      </c>
      <c r="V14" s="64">
        <f t="shared" ref="V14:X14" si="22">IF(year($A14)=year($A13), V13+S14, S14)</f>
        <v>33.33333333</v>
      </c>
      <c r="W14" s="64">
        <f t="shared" si="22"/>
        <v>13.51542596</v>
      </c>
      <c r="X14" s="64">
        <f t="shared" si="22"/>
        <v>16.51400227</v>
      </c>
      <c r="Y14" s="65">
        <f>IFS(
  B14&lt;55,
    MAX(
      Y13 + IF(MONTH(A14)=12, P14+V14, 0) + H14 - L14
      + MAX(0,
          IF(AA13 &gt;= VLOOKUP(YEAR(A14), Lookup!$Q:$R, 2),
            Z13 + IF(MONTH(A14)=12, Q14+W14, 0) + I14
              + AA13 + IF(MONTH(A14)=12, R14+X14, 0)
              - VLOOKUP(YEAR(A14), Lookup!$Q:$R, 2) + J14,
            Z13 + IF(MONTH(A14)=12, Q14+W14, 0) + I14
          ) - VLOOKUP(YEAR(A14), Lookup!$K:$M, 3)
        ),
    0),
  B14=55,
    IF(Z13&gt;=AD14,
      MAX(Y13 + IF(MONTH(A14)=12, P14+V14, 0) + H14 - L14, 0),
      MAX(MAX(0, Y13-(AD14-Z13)) + IF(MONTH(A14)=12, P14+V14, 0) + H14 - L14, 0)
    ),
  B14&gt;55,
    IF(AB13&gt;=$AH$7,
      MAX(Y13 + IF(MONTH(A14)=12, P14+V14, 0) + H14 - L14 + K14 + Z13, 0),
      MAX(Y13 + IF(MONTH(A14)=12, P14+V14, 0) + H14 - L14, 0)
    )
)</f>
        <v>22972.57698</v>
      </c>
      <c r="Z14" s="65">
        <f>IFS(
  B14&lt;55,
    MIN(
      IF(AA13 &gt;= VLOOKUP(YEAR(A14), Lookup!$Q:$R, 2),
        Z13 + IF(MONTH(A14)=12, Q14+W14, 0) + I14
          + AA13 + IF(MONTH(A14)=12, R14+X14, 0) - VLOOKUP(YEAR(A14), Lookup!$Q:$R, 2) + J14,
        Z13 + IF(MONTH(A14)=12, Q14+W14, 0) + I14
      ),
      VLOOKUP(YEAR(A14), Lookup!$K:$M, 3)
    ),
  B14=55,
    IF(Z13 &gt;= AD14, Z13 - AD14, 0),
  B14&gt;55, 0
)</f>
        <v>8828.979573</v>
      </c>
      <c r="AA14" s="65">
        <f>IFS(
  B14&lt;65,
    IF(AA13+J14 &lt; VLOOKUP(YEAR(A14), Lookup!$Q:$R, 2),
      AA13 + IF(MONTH(A14)=12, R13+X13, 0) + J14,
      MIN(
        AA13 + IF(MONTH(A14)=12, R13+X13, 0) + J14 ,
        VLOOKUP(YEAR(A14), Lookup!$Q:$R, 2)
      )
    ),
  B14&gt;=65,
    IF(AA13+J14 &lt; VLOOKUP(questions!$C$5, Lookup!$Q:$R, 2),
      AA13 + IF(MONTH(A14)=12, R13+X13, 0) + J14 ,
      MIN(
        AA13 + IF(MONTH(A14)=12, R13+X13, 0) + J14,
        VLOOKUP(questions!$C$5, Lookup!$Q:$R, 2)
      )
    )
)</f>
        <v>10868.32936</v>
      </c>
      <c r="AB14" s="65">
        <f t="shared" si="13"/>
        <v>0</v>
      </c>
      <c r="AC14" s="66">
        <f t="array" ref="AC14">IFS(B14&lt;66, XLOOKUP(year(A14),Lookup!$K$13:$K1000,Lookup!$L$13:$L1000,"missing",,1),B14&gt;65,XLOOKUP(questions!$C$5,Lookup!$K$13:$K1000,Lookup!$L$13:$L1000,"missing",,1))</f>
        <v>114100</v>
      </c>
      <c r="AD14" s="66">
        <f t="array" ref="AD14">IFS(B14&lt;66, XLOOKUP(year(A14),Lookup!$K$13:$K1000,Lookup!$M$13:$M1000,"missing",,1),B14&gt;65, XLOOKUP(questions!$C$5,Lookup!$K$13:$K1000,Lookup!$M$13:$M1000,"missing",,1))</f>
        <v>228200</v>
      </c>
      <c r="AE14" s="66">
        <f t="array" ref="AE14">IFS(B14&lt;66, XLOOKUP(year(A14),Lookup!$K$13:$K1000,Lookup!$N$13:$N1000,"missing",,1),B14&gt;65,XLOOKUP(questions!$C$5,Lookup!$K$13:$K1000,Lookup!$N$13:$N1000,"missing",,1))</f>
        <v>456400</v>
      </c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</row>
    <row r="15">
      <c r="A15" s="55">
        <f t="shared" si="7"/>
        <v>46477</v>
      </c>
      <c r="B15" s="56">
        <f>round(YEARFRAC(EOMONTH(questions!$C$3, 0),A15,1),2)</f>
        <v>28.33</v>
      </c>
      <c r="C15" s="57">
        <f>IF(B15&lt;questions!$C$6,if(MONTH(A15)=1,C14*(1+questions!$C$12),C14),0)</f>
        <v>10300</v>
      </c>
      <c r="D15" s="58">
        <f>IF(MONTH(A15)=12,C15*questions!$C$11,0)</f>
        <v>0</v>
      </c>
      <c r="E15" s="59">
        <f t="shared" si="2"/>
        <v>8000</v>
      </c>
      <c r="F15" s="59">
        <f t="shared" si="3"/>
        <v>0</v>
      </c>
      <c r="G15" s="60">
        <f t="array" ref="G15">if(YEAR(A15)=2025,XLOOKUP(B15,Lookup!$A$3:$A$7,Lookup!$D$3:$D$7,,1)*SUM(E15:F15), XLOOKUP(B15,Lookup!$A$14:$A$18,Lookup!$D$14:$D$18,,1)*SUM(E15:F15))</f>
        <v>2960</v>
      </c>
      <c r="H15" s="60">
        <f t="array" ref="H15">if(YEAR(A15)=2025,XLOOKUP(B15,Lookup!$F$3:$F$10,Lookup!$G$3:$G$10,,1)*G15, XLOOKUP(B15,Lookup!$F$14:$F$21,Lookup!$G$14:$G$21,,1)*G15)</f>
        <v>1840.232</v>
      </c>
      <c r="I15" s="60">
        <f t="array" ref="I15">if(B15&lt;55, if(YEAR(A15)=2025,XLOOKUP(B15,Lookup!$F$3:$F$10,Lookup!$H$3:$H$10,,1)*G15, XLOOKUP(B15,Lookup!$F$14:$F$21,Lookup!$H$14:$H$21,,1)*G15),0)</f>
        <v>479.816</v>
      </c>
      <c r="J15" s="60">
        <f t="array" ref="J15">if(YEAR(A15)=2025,XLOOKUP(B15,Lookup!$F$3:$F$10,Lookup!$I$3:$I$10,,1)*G15, XLOOKUP(B15,Lookup!$F$14:$F$21,Lookup!$I$14:$I$21,,1)*G15)</f>
        <v>639.952</v>
      </c>
      <c r="K15" s="61">
        <f t="array" ref="K15">if(B15&gt;54, if(YEAR(A15)=2025,XLOOKUP(B15,Lookup!$F$3:$F$10,Lookup!$H$3:$H$10,,1)*G15, XLOOKUP(B15,Lookup!$F$14:$F$21,Lookup!$H$14:$H$21,,1)*G15),0)</f>
        <v>0</v>
      </c>
      <c r="L15" s="62">
        <f>IF(and(A15&lt;questions!$C$19,questions!$C$18="yes"),questions!$C$20,0)</f>
        <v>700</v>
      </c>
      <c r="M15" s="63">
        <f>(Y14+H15)*Lookup!A$26/12</f>
        <v>51.69335204</v>
      </c>
      <c r="N15" s="63">
        <f>if(B15&lt;55, (Z14+I15)*Lookup!B$26/12, (AB14+K15)*Lookup!B$26/12)</f>
        <v>31.02931858</v>
      </c>
      <c r="O15" s="63">
        <f>(AA14+J15)*Lookup!C$26/12</f>
        <v>38.36093787</v>
      </c>
      <c r="P15" s="63">
        <f t="shared" si="8"/>
        <v>147.9536061</v>
      </c>
      <c r="Q15" s="63">
        <f t="shared" si="4"/>
        <v>88.28979573</v>
      </c>
      <c r="R15" s="63">
        <f t="shared" si="5"/>
        <v>108.6832936</v>
      </c>
      <c r="S15" s="64">
        <f t="shared" si="9"/>
        <v>16.66666667</v>
      </c>
      <c r="T15" s="64">
        <f t="shared" si="10"/>
        <v>7.357482978</v>
      </c>
      <c r="U15" s="64">
        <f t="shared" si="11"/>
        <v>9.056941133</v>
      </c>
      <c r="V15" s="64">
        <f t="shared" ref="V15:X15" si="23">IF(year($A15)=year($A14), V14+S15, S15)</f>
        <v>50</v>
      </c>
      <c r="W15" s="64">
        <f t="shared" si="23"/>
        <v>20.87290893</v>
      </c>
      <c r="X15" s="64">
        <f t="shared" si="23"/>
        <v>25.5709434</v>
      </c>
      <c r="Y15" s="65">
        <f>IFS(
  B15&lt;55,
    MAX(
      Y14 + IF(MONTH(A15)=12, P15+V15, 0) + H15 - L15
      + MAX(0,
          IF(AA14 &gt;= VLOOKUP(YEAR(A15), Lookup!$Q:$R, 2),
            Z14 + IF(MONTH(A15)=12, Q15+W15, 0) + I15
              + AA14 + IF(MONTH(A15)=12, R15+X15, 0)
              - VLOOKUP(YEAR(A15), Lookup!$Q:$R, 2) + J15,
            Z14 + IF(MONTH(A15)=12, Q15+W15, 0) + I15
          ) - VLOOKUP(YEAR(A15), Lookup!$K:$M, 3)
        ),
    0),
  B15=55,
    IF(Z14&gt;=AD15,
      MAX(Y14 + IF(MONTH(A15)=12, P15+V15, 0) + H15 - L15, 0),
      MAX(MAX(0, Y14-(AD15-Z14)) + IF(MONTH(A15)=12, P15+V15, 0) + H15 - L15, 0)
    ),
  B15&gt;55,
    IF(AB14&gt;=$AH$7,
      MAX(Y14 + IF(MONTH(A15)=12, P15+V15, 0) + H15 - L15 + K15 + Z14, 0),
      MAX(Y14 + IF(MONTH(A15)=12, P15+V15, 0) + H15 - L15, 0)
    )
)</f>
        <v>24112.80898</v>
      </c>
      <c r="Z15" s="65">
        <f>IFS(
  B15&lt;55,
    MIN(
      IF(AA14 &gt;= VLOOKUP(YEAR(A15), Lookup!$Q:$R, 2),
        Z14 + IF(MONTH(A15)=12, Q15+W15, 0) + I15
          + AA14 + IF(MONTH(A15)=12, R15+X15, 0) - VLOOKUP(YEAR(A15), Lookup!$Q:$R, 2) + J15,
        Z14 + IF(MONTH(A15)=12, Q15+W15, 0) + I15
      ),
      VLOOKUP(YEAR(A15), Lookup!$K:$M, 3)
    ),
  B15=55,
    IF(Z14 &gt;= AD15, Z14 - AD15, 0),
  B15&gt;55, 0
)</f>
        <v>9308.795573</v>
      </c>
      <c r="AA15" s="65">
        <f>IFS(
  B15&lt;65,
    IF(AA14+J15 &lt; VLOOKUP(YEAR(A15), Lookup!$Q:$R, 2),
      AA14 + IF(MONTH(A15)=12, R14+X14, 0) + J15,
      MIN(
        AA14 + IF(MONTH(A15)=12, R14+X14, 0) + J15 ,
        VLOOKUP(YEAR(A15), Lookup!$Q:$R, 2)
      )
    ),
  B15&gt;=65,
    IF(AA14+J15 &lt; VLOOKUP(questions!$C$5, Lookup!$Q:$R, 2),
      AA14 + IF(MONTH(A15)=12, R14+X14, 0) + J15 ,
      MIN(
        AA14 + IF(MONTH(A15)=12, R14+X14, 0) + J15,
        VLOOKUP(questions!$C$5, Lookup!$Q:$R, 2)
      )
    )
)</f>
        <v>11508.28136</v>
      </c>
      <c r="AB15" s="65">
        <f t="shared" si="13"/>
        <v>0</v>
      </c>
      <c r="AC15" s="66">
        <f t="array" ref="AC15">IFS(B15&lt;66, XLOOKUP(year(A15),Lookup!$K$13:$K1000,Lookup!$L$13:$L1000,"missing",,1),B15&gt;65,XLOOKUP(questions!$C$5,Lookup!$K$13:$K1000,Lookup!$L$13:$L1000,"missing",,1))</f>
        <v>114100</v>
      </c>
      <c r="AD15" s="66">
        <f t="array" ref="AD15">IFS(B15&lt;66, XLOOKUP(year(A15),Lookup!$K$13:$K1000,Lookup!$M$13:$M1000,"missing",,1),B15&gt;65, XLOOKUP(questions!$C$5,Lookup!$K$13:$K1000,Lookup!$M$13:$M1000,"missing",,1))</f>
        <v>228200</v>
      </c>
      <c r="AE15" s="66">
        <f t="array" ref="AE15">IFS(B15&lt;66, XLOOKUP(year(A15),Lookup!$K$13:$K1000,Lookup!$N$13:$N1000,"missing",,1),B15&gt;65,XLOOKUP(questions!$C$5,Lookup!$K$13:$K1000,Lookup!$N$13:$N1000,"missing",,1))</f>
        <v>456400</v>
      </c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</row>
    <row r="16">
      <c r="A16" s="55">
        <f t="shared" si="7"/>
        <v>46507</v>
      </c>
      <c r="B16" s="56">
        <f>round(YEARFRAC(EOMONTH(questions!$C$3, 0),A16,1),2)</f>
        <v>28.41</v>
      </c>
      <c r="C16" s="57">
        <f>IF(B16&lt;questions!$C$6,if(MONTH(A16)=1,C15*(1+questions!$C$12),C15),0)</f>
        <v>10300</v>
      </c>
      <c r="D16" s="58">
        <f>IF(MONTH(A16)=12,C16*questions!$C$11,0)</f>
        <v>0</v>
      </c>
      <c r="E16" s="59">
        <f t="shared" si="2"/>
        <v>8000</v>
      </c>
      <c r="F16" s="59">
        <f t="shared" si="3"/>
        <v>0</v>
      </c>
      <c r="G16" s="60">
        <f t="array" ref="G16">if(YEAR(A16)=2025,XLOOKUP(B16,Lookup!$A$3:$A$7,Lookup!$D$3:$D$7,,1)*SUM(E16:F16), XLOOKUP(B16,Lookup!$A$14:$A$18,Lookup!$D$14:$D$18,,1)*SUM(E16:F16))</f>
        <v>2960</v>
      </c>
      <c r="H16" s="60">
        <f t="array" ref="H16">if(YEAR(A16)=2025,XLOOKUP(B16,Lookup!$F$3:$F$10,Lookup!$G$3:$G$10,,1)*G16, XLOOKUP(B16,Lookup!$F$14:$F$21,Lookup!$G$14:$G$21,,1)*G16)</f>
        <v>1840.232</v>
      </c>
      <c r="I16" s="60">
        <f t="array" ref="I16">if(B16&lt;55, if(YEAR(A16)=2025,XLOOKUP(B16,Lookup!$F$3:$F$10,Lookup!$H$3:$H$10,,1)*G16, XLOOKUP(B16,Lookup!$F$14:$F$21,Lookup!$H$14:$H$21,,1)*G16),0)</f>
        <v>479.816</v>
      </c>
      <c r="J16" s="60">
        <f t="array" ref="J16">if(YEAR(A16)=2025,XLOOKUP(B16,Lookup!$F$3:$F$10,Lookup!$I$3:$I$10,,1)*G16, XLOOKUP(B16,Lookup!$F$14:$F$21,Lookup!$I$14:$I$21,,1)*G16)</f>
        <v>639.952</v>
      </c>
      <c r="K16" s="61">
        <f t="array" ref="K16">if(B16&gt;54, if(YEAR(A16)=2025,XLOOKUP(B16,Lookup!$F$3:$F$10,Lookup!$H$3:$H$10,,1)*G16, XLOOKUP(B16,Lookup!$F$14:$F$21,Lookup!$H$14:$H$21,,1)*G16),0)</f>
        <v>0</v>
      </c>
      <c r="L16" s="62">
        <f>IF(and(A16&lt;questions!$C$19,questions!$C$18="yes"),questions!$C$20,0)</f>
        <v>700</v>
      </c>
      <c r="M16" s="63">
        <f>(Y15+H16)*Lookup!A$26/12</f>
        <v>54.06883537</v>
      </c>
      <c r="N16" s="63">
        <f>if(B16&lt;55, (Z15+I16)*Lookup!B$26/12, (AB15+K16)*Lookup!B$26/12)</f>
        <v>32.62870524</v>
      </c>
      <c r="O16" s="63">
        <f>(AA15+J16)*Lookup!C$26/12</f>
        <v>40.4941112</v>
      </c>
      <c r="P16" s="63">
        <f t="shared" si="8"/>
        <v>202.0224415</v>
      </c>
      <c r="Q16" s="63">
        <f t="shared" si="4"/>
        <v>120.918501</v>
      </c>
      <c r="R16" s="63">
        <f t="shared" si="5"/>
        <v>149.1774048</v>
      </c>
      <c r="S16" s="64">
        <f t="shared" si="9"/>
        <v>16.66666667</v>
      </c>
      <c r="T16" s="64">
        <f t="shared" si="10"/>
        <v>7.757329644</v>
      </c>
      <c r="U16" s="64">
        <f t="shared" si="11"/>
        <v>9.590234467</v>
      </c>
      <c r="V16" s="64">
        <f t="shared" ref="V16:X16" si="24">IF(year($A16)=year($A15), V15+S16, S16)</f>
        <v>66.66666667</v>
      </c>
      <c r="W16" s="64">
        <f t="shared" si="24"/>
        <v>28.63023858</v>
      </c>
      <c r="X16" s="64">
        <f t="shared" si="24"/>
        <v>35.16117787</v>
      </c>
      <c r="Y16" s="65">
        <f>IFS(
  B16&lt;55,
    MAX(
      Y15 + IF(MONTH(A16)=12, P16+V16, 0) + H16 - L16
      + MAX(0,
          IF(AA15 &gt;= VLOOKUP(YEAR(A16), Lookup!$Q:$R, 2),
            Z15 + IF(MONTH(A16)=12, Q16+W16, 0) + I16
              + AA15 + IF(MONTH(A16)=12, R16+X16, 0)
              - VLOOKUP(YEAR(A16), Lookup!$Q:$R, 2) + J16,
            Z15 + IF(MONTH(A16)=12, Q16+W16, 0) + I16
          ) - VLOOKUP(YEAR(A16), Lookup!$K:$M, 3)
        ),
    0),
  B16=55,
    IF(Z15&gt;=AD16,
      MAX(Y15 + IF(MONTH(A16)=12, P16+V16, 0) + H16 - L16, 0),
      MAX(MAX(0, Y15-(AD16-Z15)) + IF(MONTH(A16)=12, P16+V16, 0) + H16 - L16, 0)
    ),
  B16&gt;55,
    IF(AB15&gt;=$AH$7,
      MAX(Y15 + IF(MONTH(A16)=12, P16+V16, 0) + H16 - L16 + K16 + Z15, 0),
      MAX(Y15 + IF(MONTH(A16)=12, P16+V16, 0) + H16 - L16, 0)
    )
)</f>
        <v>25253.04098</v>
      </c>
      <c r="Z16" s="65">
        <f>IFS(
  B16&lt;55,
    MIN(
      IF(AA15 &gt;= VLOOKUP(YEAR(A16), Lookup!$Q:$R, 2),
        Z15 + IF(MONTH(A16)=12, Q16+W16, 0) + I16
          + AA15 + IF(MONTH(A16)=12, R16+X16, 0) - VLOOKUP(YEAR(A16), Lookup!$Q:$R, 2) + J16,
        Z15 + IF(MONTH(A16)=12, Q16+W16, 0) + I16
      ),
      VLOOKUP(YEAR(A16), Lookup!$K:$M, 3)
    ),
  B16=55,
    IF(Z15 &gt;= AD16, Z15 - AD16, 0),
  B16&gt;55, 0
)</f>
        <v>9788.611573</v>
      </c>
      <c r="AA16" s="65">
        <f>IFS(
  B16&lt;65,
    IF(AA15+J16 &lt; VLOOKUP(YEAR(A16), Lookup!$Q:$R, 2),
      AA15 + IF(MONTH(A16)=12, R15+X15, 0) + J16,
      MIN(
        AA15 + IF(MONTH(A16)=12, R15+X15, 0) + J16 ,
        VLOOKUP(YEAR(A16), Lookup!$Q:$R, 2)
      )
    ),
  B16&gt;=65,
    IF(AA15+J16 &lt; VLOOKUP(questions!$C$5, Lookup!$Q:$R, 2),
      AA15 + IF(MONTH(A16)=12, R15+X15, 0) + J16 ,
      MIN(
        AA15 + IF(MONTH(A16)=12, R15+X15, 0) + J16,
        VLOOKUP(questions!$C$5, Lookup!$Q:$R, 2)
      )
    )
)</f>
        <v>12148.23336</v>
      </c>
      <c r="AB16" s="65">
        <f t="shared" si="13"/>
        <v>0</v>
      </c>
      <c r="AC16" s="66">
        <f t="array" ref="AC16">IFS(B16&lt;66, XLOOKUP(year(A16),Lookup!$K$13:$K1000,Lookup!$L$13:$L1000,"missing",,1),B16&gt;65,XLOOKUP(questions!$C$5,Lookup!$K$13:$K1000,Lookup!$L$13:$L1000,"missing",,1))</f>
        <v>114100</v>
      </c>
      <c r="AD16" s="66">
        <f t="array" ref="AD16">IFS(B16&lt;66, XLOOKUP(year(A16),Lookup!$K$13:$K1000,Lookup!$M$13:$M1000,"missing",,1),B16&gt;65, XLOOKUP(questions!$C$5,Lookup!$K$13:$K1000,Lookup!$M$13:$M1000,"missing",,1))</f>
        <v>228200</v>
      </c>
      <c r="AE16" s="66">
        <f t="array" ref="AE16">IFS(B16&lt;66, XLOOKUP(year(A16),Lookup!$K$13:$K1000,Lookup!$N$13:$N1000,"missing",,1),B16&gt;65,XLOOKUP(questions!$C$5,Lookup!$K$13:$K1000,Lookup!$N$13:$N1000,"missing",,1))</f>
        <v>456400</v>
      </c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</row>
    <row r="17">
      <c r="A17" s="55">
        <f t="shared" si="7"/>
        <v>46538</v>
      </c>
      <c r="B17" s="56">
        <f>round(YEARFRAC(EOMONTH(questions!$C$3, 0),A17,1),2)</f>
        <v>28.5</v>
      </c>
      <c r="C17" s="57">
        <f>IF(B17&lt;questions!$C$6,if(MONTH(A17)=1,C16*(1+questions!$C$12),C16),0)</f>
        <v>10300</v>
      </c>
      <c r="D17" s="58">
        <f>IF(MONTH(A17)=12,C17*questions!$C$11,0)</f>
        <v>0</v>
      </c>
      <c r="E17" s="59">
        <f t="shared" si="2"/>
        <v>8000</v>
      </c>
      <c r="F17" s="59">
        <f t="shared" si="3"/>
        <v>0</v>
      </c>
      <c r="G17" s="60">
        <f t="array" ref="G17">if(YEAR(A17)=2025,XLOOKUP(B17,Lookup!$A$3:$A$7,Lookup!$D$3:$D$7,,1)*SUM(E17:F17), XLOOKUP(B17,Lookup!$A$14:$A$18,Lookup!$D$14:$D$18,,1)*SUM(E17:F17))</f>
        <v>2960</v>
      </c>
      <c r="H17" s="60">
        <f t="array" ref="H17">if(YEAR(A17)=2025,XLOOKUP(B17,Lookup!$F$3:$F$10,Lookup!$G$3:$G$10,,1)*G17, XLOOKUP(B17,Lookup!$F$14:$F$21,Lookup!$G$14:$G$21,,1)*G17)</f>
        <v>1840.232</v>
      </c>
      <c r="I17" s="60">
        <f t="array" ref="I17">if(B17&lt;55, if(YEAR(A17)=2025,XLOOKUP(B17,Lookup!$F$3:$F$10,Lookup!$H$3:$H$10,,1)*G17, XLOOKUP(B17,Lookup!$F$14:$F$21,Lookup!$H$14:$H$21,,1)*G17),0)</f>
        <v>479.816</v>
      </c>
      <c r="J17" s="60">
        <f t="array" ref="J17">if(YEAR(A17)=2025,XLOOKUP(B17,Lookup!$F$3:$F$10,Lookup!$I$3:$I$10,,1)*G17, XLOOKUP(B17,Lookup!$F$14:$F$21,Lookup!$I$14:$I$21,,1)*G17)</f>
        <v>639.952</v>
      </c>
      <c r="K17" s="61">
        <f t="array" ref="K17">if(B17&gt;54, if(YEAR(A17)=2025,XLOOKUP(B17,Lookup!$F$3:$F$10,Lookup!$H$3:$H$10,,1)*G17, XLOOKUP(B17,Lookup!$F$14:$F$21,Lookup!$H$14:$H$21,,1)*G17),0)</f>
        <v>0</v>
      </c>
      <c r="L17" s="62">
        <f>IF(and(A17&lt;questions!$C$19,questions!$C$18="yes"),questions!$C$20,0)</f>
        <v>700</v>
      </c>
      <c r="M17" s="63">
        <f>(Y16+H17)*Lookup!A$26/12</f>
        <v>56.44431871</v>
      </c>
      <c r="N17" s="63">
        <f>if(B17&lt;55, (Z16+I17)*Lookup!B$26/12, (AB16+K17)*Lookup!B$26/12)</f>
        <v>34.22809191</v>
      </c>
      <c r="O17" s="63">
        <f>(AA16+J17)*Lookup!C$26/12</f>
        <v>42.62728453</v>
      </c>
      <c r="P17" s="63">
        <f t="shared" si="8"/>
        <v>258.4667602</v>
      </c>
      <c r="Q17" s="63">
        <f t="shared" si="4"/>
        <v>155.1465929</v>
      </c>
      <c r="R17" s="63">
        <f t="shared" si="5"/>
        <v>191.8046893</v>
      </c>
      <c r="S17" s="64">
        <f t="shared" si="9"/>
        <v>16.66666667</v>
      </c>
      <c r="T17" s="64">
        <f t="shared" si="10"/>
        <v>8.157176311</v>
      </c>
      <c r="U17" s="64">
        <f t="shared" si="11"/>
        <v>10.1235278</v>
      </c>
      <c r="V17" s="64">
        <f t="shared" ref="V17:X17" si="25">IF(year($A17)=year($A16), V16+S17, S17)</f>
        <v>83.33333333</v>
      </c>
      <c r="W17" s="64">
        <f t="shared" si="25"/>
        <v>36.78741489</v>
      </c>
      <c r="X17" s="64">
        <f t="shared" si="25"/>
        <v>45.28470567</v>
      </c>
      <c r="Y17" s="65">
        <f>IFS(
  B17&lt;55,
    MAX(
      Y16 + IF(MONTH(A17)=12, P17+V17, 0) + H17 - L17
      + MAX(0,
          IF(AA16 &gt;= VLOOKUP(YEAR(A17), Lookup!$Q:$R, 2),
            Z16 + IF(MONTH(A17)=12, Q17+W17, 0) + I17
              + AA16 + IF(MONTH(A17)=12, R17+X17, 0)
              - VLOOKUP(YEAR(A17), Lookup!$Q:$R, 2) + J17,
            Z16 + IF(MONTH(A17)=12, Q17+W17, 0) + I17
          ) - VLOOKUP(YEAR(A17), Lookup!$K:$M, 3)
        ),
    0),
  B17=55,
    IF(Z16&gt;=AD17,
      MAX(Y16 + IF(MONTH(A17)=12, P17+V17, 0) + H17 - L17, 0),
      MAX(MAX(0, Y16-(AD17-Z16)) + IF(MONTH(A17)=12, P17+V17, 0) + H17 - L17, 0)
    ),
  B17&gt;55,
    IF(AB16&gt;=$AH$7,
      MAX(Y16 + IF(MONTH(A17)=12, P17+V17, 0) + H17 - L17 + K17 + Z16, 0),
      MAX(Y16 + IF(MONTH(A17)=12, P17+V17, 0) + H17 - L17, 0)
    )
)</f>
        <v>26393.27298</v>
      </c>
      <c r="Z17" s="65">
        <f>IFS(
  B17&lt;55,
    MIN(
      IF(AA16 &gt;= VLOOKUP(YEAR(A17), Lookup!$Q:$R, 2),
        Z16 + IF(MONTH(A17)=12, Q17+W17, 0) + I17
          + AA16 + IF(MONTH(A17)=12, R17+X17, 0) - VLOOKUP(YEAR(A17), Lookup!$Q:$R, 2) + J17,
        Z16 + IF(MONTH(A17)=12, Q17+W17, 0) + I17
      ),
      VLOOKUP(YEAR(A17), Lookup!$K:$M, 3)
    ),
  B17=55,
    IF(Z16 &gt;= AD17, Z16 - AD17, 0),
  B17&gt;55, 0
)</f>
        <v>10268.42757</v>
      </c>
      <c r="AA17" s="65">
        <f>IFS(
  B17&lt;65,
    IF(AA16+J17 &lt; VLOOKUP(YEAR(A17), Lookup!$Q:$R, 2),
      AA16 + IF(MONTH(A17)=12, R16+X16, 0) + J17,
      MIN(
        AA16 + IF(MONTH(A17)=12, R16+X16, 0) + J17 ,
        VLOOKUP(YEAR(A17), Lookup!$Q:$R, 2)
      )
    ),
  B17&gt;=65,
    IF(AA16+J17 &lt; VLOOKUP(questions!$C$5, Lookup!$Q:$R, 2),
      AA16 + IF(MONTH(A17)=12, R16+X16, 0) + J17 ,
      MIN(
        AA16 + IF(MONTH(A17)=12, R16+X16, 0) + J17,
        VLOOKUP(questions!$C$5, Lookup!$Q:$R, 2)
      )
    )
)</f>
        <v>12788.18536</v>
      </c>
      <c r="AB17" s="65">
        <f t="shared" si="13"/>
        <v>0</v>
      </c>
      <c r="AC17" s="66">
        <f t="array" ref="AC17">IFS(B17&lt;66, XLOOKUP(year(A17),Lookup!$K$13:$K1000,Lookup!$L$13:$L1000,"missing",,1),B17&gt;65,XLOOKUP(questions!$C$5,Lookup!$K$13:$K1000,Lookup!$L$13:$L1000,"missing",,1))</f>
        <v>114100</v>
      </c>
      <c r="AD17" s="66">
        <f t="array" ref="AD17">IFS(B17&lt;66, XLOOKUP(year(A17),Lookup!$K$13:$K1000,Lookup!$M$13:$M1000,"missing",,1),B17&gt;65, XLOOKUP(questions!$C$5,Lookup!$K$13:$K1000,Lookup!$M$13:$M1000,"missing",,1))</f>
        <v>228200</v>
      </c>
      <c r="AE17" s="66">
        <f t="array" ref="AE17">IFS(B17&lt;66, XLOOKUP(year(A17),Lookup!$K$13:$K1000,Lookup!$N$13:$N1000,"missing",,1),B17&gt;65,XLOOKUP(questions!$C$5,Lookup!$K$13:$K1000,Lookup!$N$13:$N1000,"missing",,1))</f>
        <v>456400</v>
      </c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</row>
    <row r="18">
      <c r="A18" s="55">
        <f t="shared" si="7"/>
        <v>46568</v>
      </c>
      <c r="B18" s="56">
        <f>round(YEARFRAC(EOMONTH(questions!$C$3, 0),A18,1),2)</f>
        <v>28.58</v>
      </c>
      <c r="C18" s="57">
        <f>IF(B18&lt;questions!$C$6,if(MONTH(A18)=1,C17*(1+questions!$C$12),C17),0)</f>
        <v>10300</v>
      </c>
      <c r="D18" s="58">
        <f>IF(MONTH(A18)=12,C18*questions!$C$11,0)</f>
        <v>0</v>
      </c>
      <c r="E18" s="59">
        <f t="shared" si="2"/>
        <v>8000</v>
      </c>
      <c r="F18" s="59">
        <f t="shared" si="3"/>
        <v>0</v>
      </c>
      <c r="G18" s="60">
        <f t="array" ref="G18">if(YEAR(A18)=2025,XLOOKUP(B18,Lookup!$A$3:$A$7,Lookup!$D$3:$D$7,,1)*SUM(E18:F18), XLOOKUP(B18,Lookup!$A$14:$A$18,Lookup!$D$14:$D$18,,1)*SUM(E18:F18))</f>
        <v>2960</v>
      </c>
      <c r="H18" s="60">
        <f t="array" ref="H18">if(YEAR(A18)=2025,XLOOKUP(B18,Lookup!$F$3:$F$10,Lookup!$G$3:$G$10,,1)*G18, XLOOKUP(B18,Lookup!$F$14:$F$21,Lookup!$G$14:$G$21,,1)*G18)</f>
        <v>1840.232</v>
      </c>
      <c r="I18" s="60">
        <f t="array" ref="I18">if(B18&lt;55, if(YEAR(A18)=2025,XLOOKUP(B18,Lookup!$F$3:$F$10,Lookup!$H$3:$H$10,,1)*G18, XLOOKUP(B18,Lookup!$F$14:$F$21,Lookup!$H$14:$H$21,,1)*G18),0)</f>
        <v>479.816</v>
      </c>
      <c r="J18" s="60">
        <f t="array" ref="J18">if(YEAR(A18)=2025,XLOOKUP(B18,Lookup!$F$3:$F$10,Lookup!$I$3:$I$10,,1)*G18, XLOOKUP(B18,Lookup!$F$14:$F$21,Lookup!$I$14:$I$21,,1)*G18)</f>
        <v>639.952</v>
      </c>
      <c r="K18" s="61">
        <f t="array" ref="K18">if(B18&gt;54, if(YEAR(A18)=2025,XLOOKUP(B18,Lookup!$F$3:$F$10,Lookup!$H$3:$H$10,,1)*G18, XLOOKUP(B18,Lookup!$F$14:$F$21,Lookup!$H$14:$H$21,,1)*G18),0)</f>
        <v>0</v>
      </c>
      <c r="L18" s="62">
        <f>IF(and(A18&lt;questions!$C$19,questions!$C$18="yes"),questions!$C$20,0)</f>
        <v>700</v>
      </c>
      <c r="M18" s="63">
        <f>(Y17+H18)*Lookup!A$26/12</f>
        <v>58.81980204</v>
      </c>
      <c r="N18" s="63">
        <f>if(B18&lt;55, (Z17+I18)*Lookup!B$26/12, (AB17+K18)*Lookup!B$26/12)</f>
        <v>35.82747858</v>
      </c>
      <c r="O18" s="63">
        <f>(AA17+J18)*Lookup!C$26/12</f>
        <v>44.76045787</v>
      </c>
      <c r="P18" s="63">
        <f t="shared" si="8"/>
        <v>317.2865622</v>
      </c>
      <c r="Q18" s="63">
        <f t="shared" si="4"/>
        <v>190.9740715</v>
      </c>
      <c r="R18" s="63">
        <f t="shared" si="5"/>
        <v>236.5651472</v>
      </c>
      <c r="S18" s="64">
        <f t="shared" si="9"/>
        <v>16.66666667</v>
      </c>
      <c r="T18" s="64">
        <f t="shared" si="10"/>
        <v>8.557022978</v>
      </c>
      <c r="U18" s="64">
        <f t="shared" si="11"/>
        <v>10.65682113</v>
      </c>
      <c r="V18" s="64">
        <f t="shared" ref="V18:X18" si="26">IF(year($A18)=year($A17), V17+S18, S18)</f>
        <v>100</v>
      </c>
      <c r="W18" s="64">
        <f t="shared" si="26"/>
        <v>45.34443787</v>
      </c>
      <c r="X18" s="64">
        <f t="shared" si="26"/>
        <v>55.9415268</v>
      </c>
      <c r="Y18" s="65">
        <f>IFS(
  B18&lt;55,
    MAX(
      Y17 + IF(MONTH(A18)=12, P18+V18, 0) + H18 - L18
      + MAX(0,
          IF(AA17 &gt;= VLOOKUP(YEAR(A18), Lookup!$Q:$R, 2),
            Z17 + IF(MONTH(A18)=12, Q18+W18, 0) + I18
              + AA17 + IF(MONTH(A18)=12, R18+X18, 0)
              - VLOOKUP(YEAR(A18), Lookup!$Q:$R, 2) + J18,
            Z17 + IF(MONTH(A18)=12, Q18+W18, 0) + I18
          ) - VLOOKUP(YEAR(A18), Lookup!$K:$M, 3)
        ),
    0),
  B18=55,
    IF(Z17&gt;=AD18,
      MAX(Y17 + IF(MONTH(A18)=12, P18+V18, 0) + H18 - L18, 0),
      MAX(MAX(0, Y17-(AD18-Z17)) + IF(MONTH(A18)=12, P18+V18, 0) + H18 - L18, 0)
    ),
  B18&gt;55,
    IF(AB17&gt;=$AH$7,
      MAX(Y17 + IF(MONTH(A18)=12, P18+V18, 0) + H18 - L18 + K18 + Z17, 0),
      MAX(Y17 + IF(MONTH(A18)=12, P18+V18, 0) + H18 - L18, 0)
    )
)</f>
        <v>27533.50498</v>
      </c>
      <c r="Z18" s="65">
        <f>IFS(
  B18&lt;55,
    MIN(
      IF(AA17 &gt;= VLOOKUP(YEAR(A18), Lookup!$Q:$R, 2),
        Z17 + IF(MONTH(A18)=12, Q18+W18, 0) + I18
          + AA17 + IF(MONTH(A18)=12, R18+X18, 0) - VLOOKUP(YEAR(A18), Lookup!$Q:$R, 2) + J18,
        Z17 + IF(MONTH(A18)=12, Q18+W18, 0) + I18
      ),
      VLOOKUP(YEAR(A18), Lookup!$K:$M, 3)
    ),
  B18=55,
    IF(Z17 &gt;= AD18, Z17 - AD18, 0),
  B18&gt;55, 0
)</f>
        <v>10748.24357</v>
      </c>
      <c r="AA18" s="65">
        <f>IFS(
  B18&lt;65,
    IF(AA17+J18 &lt; VLOOKUP(YEAR(A18), Lookup!$Q:$R, 2),
      AA17 + IF(MONTH(A18)=12, R17+X17, 0) + J18,
      MIN(
        AA17 + IF(MONTH(A18)=12, R17+X17, 0) + J18 ,
        VLOOKUP(YEAR(A18), Lookup!$Q:$R, 2)
      )
    ),
  B18&gt;=65,
    IF(AA17+J18 &lt; VLOOKUP(questions!$C$5, Lookup!$Q:$R, 2),
      AA17 + IF(MONTH(A18)=12, R17+X17, 0) + J18 ,
      MIN(
        AA17 + IF(MONTH(A18)=12, R17+X17, 0) + J18,
        VLOOKUP(questions!$C$5, Lookup!$Q:$R, 2)
      )
    )
)</f>
        <v>13428.13736</v>
      </c>
      <c r="AB18" s="65">
        <f t="shared" si="13"/>
        <v>0</v>
      </c>
      <c r="AC18" s="66">
        <f t="array" ref="AC18">IFS(B18&lt;66, XLOOKUP(year(A18),Lookup!$K$13:$K1000,Lookup!$L$13:$L1000,"missing",,1),B18&gt;65,XLOOKUP(questions!$C$5,Lookup!$K$13:$K1000,Lookup!$L$13:$L1000,"missing",,1))</f>
        <v>114100</v>
      </c>
      <c r="AD18" s="66">
        <f t="array" ref="AD18">IFS(B18&lt;66, XLOOKUP(year(A18),Lookup!$K$13:$K1000,Lookup!$M$13:$M1000,"missing",,1),B18&gt;65, XLOOKUP(questions!$C$5,Lookup!$K$13:$K1000,Lookup!$M$13:$M1000,"missing",,1))</f>
        <v>228200</v>
      </c>
      <c r="AE18" s="66">
        <f t="array" ref="AE18">IFS(B18&lt;66, XLOOKUP(year(A18),Lookup!$K$13:$K1000,Lookup!$N$13:$N1000,"missing",,1),B18&gt;65,XLOOKUP(questions!$C$5,Lookup!$K$13:$K1000,Lookup!$N$13:$N1000,"missing",,1))</f>
        <v>456400</v>
      </c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</row>
    <row r="19">
      <c r="A19" s="55">
        <f t="shared" si="7"/>
        <v>46599</v>
      </c>
      <c r="B19" s="56">
        <f>round(YEARFRAC(EOMONTH(questions!$C$3, 0),A19,1),2)</f>
        <v>28.67</v>
      </c>
      <c r="C19" s="57">
        <f>IF(B19&lt;questions!$C$6,if(MONTH(A19)=1,C18*(1+questions!$C$12),C18),0)</f>
        <v>10300</v>
      </c>
      <c r="D19" s="58">
        <f>IF(MONTH(A19)=12,C19*questions!$C$11,0)</f>
        <v>0</v>
      </c>
      <c r="E19" s="59">
        <f t="shared" si="2"/>
        <v>8000</v>
      </c>
      <c r="F19" s="59">
        <f t="shared" si="3"/>
        <v>0</v>
      </c>
      <c r="G19" s="60">
        <f t="array" ref="G19">if(YEAR(A19)=2025,XLOOKUP(B19,Lookup!$A$3:$A$7,Lookup!$D$3:$D$7,,1)*SUM(E19:F19), XLOOKUP(B19,Lookup!$A$14:$A$18,Lookup!$D$14:$D$18,,1)*SUM(E19:F19))</f>
        <v>2960</v>
      </c>
      <c r="H19" s="60">
        <f t="array" ref="H19">if(YEAR(A19)=2025,XLOOKUP(B19,Lookup!$F$3:$F$10,Lookup!$G$3:$G$10,,1)*G19, XLOOKUP(B19,Lookup!$F$14:$F$21,Lookup!$G$14:$G$21,,1)*G19)</f>
        <v>1840.232</v>
      </c>
      <c r="I19" s="60">
        <f t="array" ref="I19">if(B19&lt;55, if(YEAR(A19)=2025,XLOOKUP(B19,Lookup!$F$3:$F$10,Lookup!$H$3:$H$10,,1)*G19, XLOOKUP(B19,Lookup!$F$14:$F$21,Lookup!$H$14:$H$21,,1)*G19),0)</f>
        <v>479.816</v>
      </c>
      <c r="J19" s="60">
        <f t="array" ref="J19">if(YEAR(A19)=2025,XLOOKUP(B19,Lookup!$F$3:$F$10,Lookup!$I$3:$I$10,,1)*G19, XLOOKUP(B19,Lookup!$F$14:$F$21,Lookup!$I$14:$I$21,,1)*G19)</f>
        <v>639.952</v>
      </c>
      <c r="K19" s="61">
        <f t="array" ref="K19">if(B19&gt;54, if(YEAR(A19)=2025,XLOOKUP(B19,Lookup!$F$3:$F$10,Lookup!$H$3:$H$10,,1)*G19, XLOOKUP(B19,Lookup!$F$14:$F$21,Lookup!$H$14:$H$21,,1)*G19),0)</f>
        <v>0</v>
      </c>
      <c r="L19" s="62">
        <f>IF(and(A19&lt;questions!$C$19,questions!$C$18="yes"),questions!$C$20,0)</f>
        <v>700</v>
      </c>
      <c r="M19" s="63">
        <f>(Y18+H19)*Lookup!A$26/12</f>
        <v>61.19528537</v>
      </c>
      <c r="N19" s="63">
        <f>if(B19&lt;55, (Z18+I19)*Lookup!B$26/12, (AB18+K19)*Lookup!B$26/12)</f>
        <v>37.42686524</v>
      </c>
      <c r="O19" s="63">
        <f>(AA18+J19)*Lookup!C$26/12</f>
        <v>46.8936312</v>
      </c>
      <c r="P19" s="63">
        <f t="shared" si="8"/>
        <v>378.4818476</v>
      </c>
      <c r="Q19" s="63">
        <f t="shared" si="4"/>
        <v>228.4009367</v>
      </c>
      <c r="R19" s="63">
        <f t="shared" si="5"/>
        <v>283.4587784</v>
      </c>
      <c r="S19" s="64">
        <f t="shared" si="9"/>
        <v>16.66666667</v>
      </c>
      <c r="T19" s="64">
        <f t="shared" si="10"/>
        <v>8.956869644</v>
      </c>
      <c r="U19" s="64">
        <f t="shared" si="11"/>
        <v>11.19011447</v>
      </c>
      <c r="V19" s="64">
        <f t="shared" ref="V19:X19" si="27">IF(year($A19)=year($A18), V18+S19, S19)</f>
        <v>116.6666667</v>
      </c>
      <c r="W19" s="64">
        <f t="shared" si="27"/>
        <v>54.30130751</v>
      </c>
      <c r="X19" s="64">
        <f t="shared" si="27"/>
        <v>67.13164127</v>
      </c>
      <c r="Y19" s="65">
        <f>IFS(
  B19&lt;55,
    MAX(
      Y18 + IF(MONTH(A19)=12, P19+V19, 0) + H19 - L19
      + MAX(0,
          IF(AA18 &gt;= VLOOKUP(YEAR(A19), Lookup!$Q:$R, 2),
            Z18 + IF(MONTH(A19)=12, Q19+W19, 0) + I19
              + AA18 + IF(MONTH(A19)=12, R19+X19, 0)
              - VLOOKUP(YEAR(A19), Lookup!$Q:$R, 2) + J19,
            Z18 + IF(MONTH(A19)=12, Q19+W19, 0) + I19
          ) - VLOOKUP(YEAR(A19), Lookup!$K:$M, 3)
        ),
    0),
  B19=55,
    IF(Z18&gt;=AD19,
      MAX(Y18 + IF(MONTH(A19)=12, P19+V19, 0) + H19 - L19, 0),
      MAX(MAX(0, Y18-(AD19-Z18)) + IF(MONTH(A19)=12, P19+V19, 0) + H19 - L19, 0)
    ),
  B19&gt;55,
    IF(AB18&gt;=$AH$7,
      MAX(Y18 + IF(MONTH(A19)=12, P19+V19, 0) + H19 - L19 + K19 + Z18, 0),
      MAX(Y18 + IF(MONTH(A19)=12, P19+V19, 0) + H19 - L19, 0)
    )
)</f>
        <v>28673.73698</v>
      </c>
      <c r="Z19" s="65">
        <f>IFS(
  B19&lt;55,
    MIN(
      IF(AA18 &gt;= VLOOKUP(YEAR(A19), Lookup!$Q:$R, 2),
        Z18 + IF(MONTH(A19)=12, Q19+W19, 0) + I19
          + AA18 + IF(MONTH(A19)=12, R19+X19, 0) - VLOOKUP(YEAR(A19), Lookup!$Q:$R, 2) + J19,
        Z18 + IF(MONTH(A19)=12, Q19+W19, 0) + I19
      ),
      VLOOKUP(YEAR(A19), Lookup!$K:$M, 3)
    ),
  B19=55,
    IF(Z18 &gt;= AD19, Z18 - AD19, 0),
  B19&gt;55, 0
)</f>
        <v>11228.05957</v>
      </c>
      <c r="AA19" s="65">
        <f>IFS(
  B19&lt;65,
    IF(AA18+J19 &lt; VLOOKUP(YEAR(A19), Lookup!$Q:$R, 2),
      AA18 + IF(MONTH(A19)=12, R18+X18, 0) + J19,
      MIN(
        AA18 + IF(MONTH(A19)=12, R18+X18, 0) + J19 ,
        VLOOKUP(YEAR(A19), Lookup!$Q:$R, 2)
      )
    ),
  B19&gt;=65,
    IF(AA18+J19 &lt; VLOOKUP(questions!$C$5, Lookup!$Q:$R, 2),
      AA18 + IF(MONTH(A19)=12, R18+X18, 0) + J19 ,
      MIN(
        AA18 + IF(MONTH(A19)=12, R18+X18, 0) + J19,
        VLOOKUP(questions!$C$5, Lookup!$Q:$R, 2)
      )
    )
)</f>
        <v>14068.08936</v>
      </c>
      <c r="AB19" s="65">
        <f t="shared" si="13"/>
        <v>0</v>
      </c>
      <c r="AC19" s="66">
        <f t="array" ref="AC19">IFS(B19&lt;66, XLOOKUP(year(A19),Lookup!$K$13:$K1000,Lookup!$L$13:$L1000,"missing",,1),B19&gt;65,XLOOKUP(questions!$C$5,Lookup!$K$13:$K1000,Lookup!$L$13:$L1000,"missing",,1))</f>
        <v>114100</v>
      </c>
      <c r="AD19" s="66">
        <f t="array" ref="AD19">IFS(B19&lt;66, XLOOKUP(year(A19),Lookup!$K$13:$K1000,Lookup!$M$13:$M1000,"missing",,1),B19&gt;65, XLOOKUP(questions!$C$5,Lookup!$K$13:$K1000,Lookup!$M$13:$M1000,"missing",,1))</f>
        <v>228200</v>
      </c>
      <c r="AE19" s="66">
        <f t="array" ref="AE19">IFS(B19&lt;66, XLOOKUP(year(A19),Lookup!$K$13:$K1000,Lookup!$N$13:$N1000,"missing",,1),B19&gt;65,XLOOKUP(questions!$C$5,Lookup!$K$13:$K1000,Lookup!$N$13:$N1000,"missing",,1))</f>
        <v>456400</v>
      </c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</row>
    <row r="20">
      <c r="A20" s="55">
        <f t="shared" si="7"/>
        <v>46630</v>
      </c>
      <c r="B20" s="56">
        <f>round(YEARFRAC(EOMONTH(questions!$C$3, 0),A20,1),2)</f>
        <v>28.75</v>
      </c>
      <c r="C20" s="57">
        <f>IF(B20&lt;questions!$C$6,if(MONTH(A20)=1,C19*(1+questions!$C$12),C19),0)</f>
        <v>10300</v>
      </c>
      <c r="D20" s="58">
        <f>IF(MONTH(A20)=12,C20*questions!$C$11,0)</f>
        <v>0</v>
      </c>
      <c r="E20" s="59">
        <f t="shared" si="2"/>
        <v>8000</v>
      </c>
      <c r="F20" s="59">
        <f t="shared" si="3"/>
        <v>0</v>
      </c>
      <c r="G20" s="60">
        <f t="array" ref="G20">if(YEAR(A20)=2025,XLOOKUP(B20,Lookup!$A$3:$A$7,Lookup!$D$3:$D$7,,1)*SUM(E20:F20), XLOOKUP(B20,Lookup!$A$14:$A$18,Lookup!$D$14:$D$18,,1)*SUM(E20:F20))</f>
        <v>2960</v>
      </c>
      <c r="H20" s="60">
        <f t="array" ref="H20">if(YEAR(A20)=2025,XLOOKUP(B20,Lookup!$F$3:$F$10,Lookup!$G$3:$G$10,,1)*G20, XLOOKUP(B20,Lookup!$F$14:$F$21,Lookup!$G$14:$G$21,,1)*G20)</f>
        <v>1840.232</v>
      </c>
      <c r="I20" s="60">
        <f t="array" ref="I20">if(B20&lt;55, if(YEAR(A20)=2025,XLOOKUP(B20,Lookup!$F$3:$F$10,Lookup!$H$3:$H$10,,1)*G20, XLOOKUP(B20,Lookup!$F$14:$F$21,Lookup!$H$14:$H$21,,1)*G20),0)</f>
        <v>479.816</v>
      </c>
      <c r="J20" s="60">
        <f t="array" ref="J20">if(YEAR(A20)=2025,XLOOKUP(B20,Lookup!$F$3:$F$10,Lookup!$I$3:$I$10,,1)*G20, XLOOKUP(B20,Lookup!$F$14:$F$21,Lookup!$I$14:$I$21,,1)*G20)</f>
        <v>639.952</v>
      </c>
      <c r="K20" s="61">
        <f t="array" ref="K20">if(B20&gt;54, if(YEAR(A20)=2025,XLOOKUP(B20,Lookup!$F$3:$F$10,Lookup!$H$3:$H$10,,1)*G20, XLOOKUP(B20,Lookup!$F$14:$F$21,Lookup!$H$14:$H$21,,1)*G20),0)</f>
        <v>0</v>
      </c>
      <c r="L20" s="62">
        <f>IF(and(A20&lt;questions!$C$19,questions!$C$18="yes"),questions!$C$20,0)</f>
        <v>700</v>
      </c>
      <c r="M20" s="63">
        <f>(Y19+H20)*Lookup!A$26/12</f>
        <v>63.57076871</v>
      </c>
      <c r="N20" s="63">
        <f>if(B20&lt;55, (Z19+I20)*Lookup!B$26/12, (AB19+K20)*Lookup!B$26/12)</f>
        <v>39.02625191</v>
      </c>
      <c r="O20" s="63">
        <f>(AA19+J20)*Lookup!C$26/12</f>
        <v>49.02680453</v>
      </c>
      <c r="P20" s="63">
        <f t="shared" si="8"/>
        <v>442.0526163</v>
      </c>
      <c r="Q20" s="63">
        <f t="shared" si="4"/>
        <v>267.4271886</v>
      </c>
      <c r="R20" s="63">
        <f t="shared" si="5"/>
        <v>332.4855829</v>
      </c>
      <c r="S20" s="64">
        <f t="shared" si="9"/>
        <v>16.66666667</v>
      </c>
      <c r="T20" s="64">
        <f t="shared" si="10"/>
        <v>9.356716311</v>
      </c>
      <c r="U20" s="64">
        <f t="shared" si="11"/>
        <v>11.7234078</v>
      </c>
      <c r="V20" s="64">
        <f t="shared" ref="V20:X20" si="28">IF(year($A20)=year($A19), V19+S20, S20)</f>
        <v>133.3333333</v>
      </c>
      <c r="W20" s="64">
        <f t="shared" si="28"/>
        <v>63.65802382</v>
      </c>
      <c r="X20" s="64">
        <f t="shared" si="28"/>
        <v>78.85504907</v>
      </c>
      <c r="Y20" s="65">
        <f>IFS(
  B20&lt;55,
    MAX(
      Y19 + IF(MONTH(A20)=12, P20+V20, 0) + H20 - L20
      + MAX(0,
          IF(AA19 &gt;= VLOOKUP(YEAR(A20), Lookup!$Q:$R, 2),
            Z19 + IF(MONTH(A20)=12, Q20+W20, 0) + I20
              + AA19 + IF(MONTH(A20)=12, R20+X20, 0)
              - VLOOKUP(YEAR(A20), Lookup!$Q:$R, 2) + J20,
            Z19 + IF(MONTH(A20)=12, Q20+W20, 0) + I20
          ) - VLOOKUP(YEAR(A20), Lookup!$K:$M, 3)
        ),
    0),
  B20=55,
    IF(Z19&gt;=AD20,
      MAX(Y19 + IF(MONTH(A20)=12, P20+V20, 0) + H20 - L20, 0),
      MAX(MAX(0, Y19-(AD20-Z19)) + IF(MONTH(A20)=12, P20+V20, 0) + H20 - L20, 0)
    ),
  B20&gt;55,
    IF(AB19&gt;=$AH$7,
      MAX(Y19 + IF(MONTH(A20)=12, P20+V20, 0) + H20 - L20 + K20 + Z19, 0),
      MAX(Y19 + IF(MONTH(A20)=12, P20+V20, 0) + H20 - L20, 0)
    )
)</f>
        <v>29813.96898</v>
      </c>
      <c r="Z20" s="65">
        <f>IFS(
  B20&lt;55,
    MIN(
      IF(AA19 &gt;= VLOOKUP(YEAR(A20), Lookup!$Q:$R, 2),
        Z19 + IF(MONTH(A20)=12, Q20+W20, 0) + I20
          + AA19 + IF(MONTH(A20)=12, R20+X20, 0) - VLOOKUP(YEAR(A20), Lookup!$Q:$R, 2) + J20,
        Z19 + IF(MONTH(A20)=12, Q20+W20, 0) + I20
      ),
      VLOOKUP(YEAR(A20), Lookup!$K:$M, 3)
    ),
  B20=55,
    IF(Z19 &gt;= AD20, Z19 - AD20, 0),
  B20&gt;55, 0
)</f>
        <v>11707.87557</v>
      </c>
      <c r="AA20" s="65">
        <f>IFS(
  B20&lt;65,
    IF(AA19+J20 &lt; VLOOKUP(YEAR(A20), Lookup!$Q:$R, 2),
      AA19 + IF(MONTH(A20)=12, R19+X19, 0) + J20,
      MIN(
        AA19 + IF(MONTH(A20)=12, R19+X19, 0) + J20 ,
        VLOOKUP(YEAR(A20), Lookup!$Q:$R, 2)
      )
    ),
  B20&gt;=65,
    IF(AA19+J20 &lt; VLOOKUP(questions!$C$5, Lookup!$Q:$R, 2),
      AA19 + IF(MONTH(A20)=12, R19+X19, 0) + J20 ,
      MIN(
        AA19 + IF(MONTH(A20)=12, R19+X19, 0) + J20,
        VLOOKUP(questions!$C$5, Lookup!$Q:$R, 2)
      )
    )
)</f>
        <v>14708.04136</v>
      </c>
      <c r="AB20" s="65">
        <f t="shared" si="13"/>
        <v>0</v>
      </c>
      <c r="AC20" s="66">
        <f t="array" ref="AC20">IFS(B20&lt;66, XLOOKUP(year(A20),Lookup!$K$13:$K1000,Lookup!$L$13:$L1000,"missing",,1),B20&gt;65,XLOOKUP(questions!$C$5,Lookup!$K$13:$K1000,Lookup!$L$13:$L1000,"missing",,1))</f>
        <v>114100</v>
      </c>
      <c r="AD20" s="66">
        <f t="array" ref="AD20">IFS(B20&lt;66, XLOOKUP(year(A20),Lookup!$K$13:$K1000,Lookup!$M$13:$M1000,"missing",,1),B20&gt;65, XLOOKUP(questions!$C$5,Lookup!$K$13:$K1000,Lookup!$M$13:$M1000,"missing",,1))</f>
        <v>228200</v>
      </c>
      <c r="AE20" s="66">
        <f t="array" ref="AE20">IFS(B20&lt;66, XLOOKUP(year(A20),Lookup!$K$13:$K1000,Lookup!$N$13:$N1000,"missing",,1),B20&gt;65,XLOOKUP(questions!$C$5,Lookup!$K$13:$K1000,Lookup!$N$13:$N1000,"missing",,1))</f>
        <v>456400</v>
      </c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</row>
    <row r="21">
      <c r="A21" s="55">
        <f t="shared" si="7"/>
        <v>46660</v>
      </c>
      <c r="B21" s="56">
        <f>round(YEARFRAC(EOMONTH(questions!$C$3, 0),A21,1),2)</f>
        <v>28.83</v>
      </c>
      <c r="C21" s="57">
        <f>IF(B21&lt;questions!$C$6,if(MONTH(A21)=1,C20*(1+questions!$C$12),C20),0)</f>
        <v>10300</v>
      </c>
      <c r="D21" s="58">
        <f>IF(MONTH(A21)=12,C21*questions!$C$11,0)</f>
        <v>0</v>
      </c>
      <c r="E21" s="59">
        <f t="shared" si="2"/>
        <v>8000</v>
      </c>
      <c r="F21" s="59">
        <f t="shared" si="3"/>
        <v>0</v>
      </c>
      <c r="G21" s="60">
        <f t="array" ref="G21">if(YEAR(A21)=2025,XLOOKUP(B21,Lookup!$A$3:$A$7,Lookup!$D$3:$D$7,,1)*SUM(E21:F21), XLOOKUP(B21,Lookup!$A$14:$A$18,Lookup!$D$14:$D$18,,1)*SUM(E21:F21))</f>
        <v>2960</v>
      </c>
      <c r="H21" s="60">
        <f t="array" ref="H21">if(YEAR(A21)=2025,XLOOKUP(B21,Lookup!$F$3:$F$10,Lookup!$G$3:$G$10,,1)*G21, XLOOKUP(B21,Lookup!$F$14:$F$21,Lookup!$G$14:$G$21,,1)*G21)</f>
        <v>1840.232</v>
      </c>
      <c r="I21" s="60">
        <f t="array" ref="I21">if(B21&lt;55, if(YEAR(A21)=2025,XLOOKUP(B21,Lookup!$F$3:$F$10,Lookup!$H$3:$H$10,,1)*G21, XLOOKUP(B21,Lookup!$F$14:$F$21,Lookup!$H$14:$H$21,,1)*G21),0)</f>
        <v>479.816</v>
      </c>
      <c r="J21" s="60">
        <f t="array" ref="J21">if(YEAR(A21)=2025,XLOOKUP(B21,Lookup!$F$3:$F$10,Lookup!$I$3:$I$10,,1)*G21, XLOOKUP(B21,Lookup!$F$14:$F$21,Lookup!$I$14:$I$21,,1)*G21)</f>
        <v>639.952</v>
      </c>
      <c r="K21" s="61">
        <f t="array" ref="K21">if(B21&gt;54, if(YEAR(A21)=2025,XLOOKUP(B21,Lookup!$F$3:$F$10,Lookup!$H$3:$H$10,,1)*G21, XLOOKUP(B21,Lookup!$F$14:$F$21,Lookup!$H$14:$H$21,,1)*G21),0)</f>
        <v>0</v>
      </c>
      <c r="L21" s="62">
        <f>IF(and(A21&lt;questions!$C$19,questions!$C$18="yes"),questions!$C$20,0)</f>
        <v>700</v>
      </c>
      <c r="M21" s="63">
        <f>(Y20+H21)*Lookup!A$26/12</f>
        <v>65.94625204</v>
      </c>
      <c r="N21" s="63">
        <f>if(B21&lt;55, (Z20+I21)*Lookup!B$26/12, (AB20+K21)*Lookup!B$26/12)</f>
        <v>40.62563858</v>
      </c>
      <c r="O21" s="63">
        <f>(AA20+J21)*Lookup!C$26/12</f>
        <v>51.15997787</v>
      </c>
      <c r="P21" s="63">
        <f t="shared" si="8"/>
        <v>507.9988684</v>
      </c>
      <c r="Q21" s="63">
        <f t="shared" si="4"/>
        <v>308.0528272</v>
      </c>
      <c r="R21" s="63">
        <f t="shared" si="5"/>
        <v>383.6455608</v>
      </c>
      <c r="S21" s="64">
        <f t="shared" si="9"/>
        <v>16.66666667</v>
      </c>
      <c r="T21" s="64">
        <f t="shared" si="10"/>
        <v>9.756562978</v>
      </c>
      <c r="U21" s="64">
        <f t="shared" si="11"/>
        <v>12.25670113</v>
      </c>
      <c r="V21" s="64">
        <f t="shared" ref="V21:X21" si="29">IF(year($A21)=year($A20), V20+S21, S21)</f>
        <v>150</v>
      </c>
      <c r="W21" s="64">
        <f t="shared" si="29"/>
        <v>73.4145868</v>
      </c>
      <c r="X21" s="64">
        <f t="shared" si="29"/>
        <v>91.1117502</v>
      </c>
      <c r="Y21" s="65">
        <f>IFS(
  B21&lt;55,
    MAX(
      Y20 + IF(MONTH(A21)=12, P21+V21, 0) + H21 - L21
      + MAX(0,
          IF(AA20 &gt;= VLOOKUP(YEAR(A21), Lookup!$Q:$R, 2),
            Z20 + IF(MONTH(A21)=12, Q21+W21, 0) + I21
              + AA20 + IF(MONTH(A21)=12, R21+X21, 0)
              - VLOOKUP(YEAR(A21), Lookup!$Q:$R, 2) + J21,
            Z20 + IF(MONTH(A21)=12, Q21+W21, 0) + I21
          ) - VLOOKUP(YEAR(A21), Lookup!$K:$M, 3)
        ),
    0),
  B21=55,
    IF(Z20&gt;=AD21,
      MAX(Y20 + IF(MONTH(A21)=12, P21+V21, 0) + H21 - L21, 0),
      MAX(MAX(0, Y20-(AD21-Z20)) + IF(MONTH(A21)=12, P21+V21, 0) + H21 - L21, 0)
    ),
  B21&gt;55,
    IF(AB20&gt;=$AH$7,
      MAX(Y20 + IF(MONTH(A21)=12, P21+V21, 0) + H21 - L21 + K21 + Z20, 0),
      MAX(Y20 + IF(MONTH(A21)=12, P21+V21, 0) + H21 - L21, 0)
    )
)</f>
        <v>30954.20098</v>
      </c>
      <c r="Z21" s="65">
        <f>IFS(
  B21&lt;55,
    MIN(
      IF(AA20 &gt;= VLOOKUP(YEAR(A21), Lookup!$Q:$R, 2),
        Z20 + IF(MONTH(A21)=12, Q21+W21, 0) + I21
          + AA20 + IF(MONTH(A21)=12, R21+X21, 0) - VLOOKUP(YEAR(A21), Lookup!$Q:$R, 2) + J21,
        Z20 + IF(MONTH(A21)=12, Q21+W21, 0) + I21
      ),
      VLOOKUP(YEAR(A21), Lookup!$K:$M, 3)
    ),
  B21=55,
    IF(Z20 &gt;= AD21, Z20 - AD21, 0),
  B21&gt;55, 0
)</f>
        <v>12187.69157</v>
      </c>
      <c r="AA21" s="65">
        <f>IFS(
  B21&lt;65,
    IF(AA20+J21 &lt; VLOOKUP(YEAR(A21), Lookup!$Q:$R, 2),
      AA20 + IF(MONTH(A21)=12, R20+X20, 0) + J21,
      MIN(
        AA20 + IF(MONTH(A21)=12, R20+X20, 0) + J21 ,
        VLOOKUP(YEAR(A21), Lookup!$Q:$R, 2)
      )
    ),
  B21&gt;=65,
    IF(AA20+J21 &lt; VLOOKUP(questions!$C$5, Lookup!$Q:$R, 2),
      AA20 + IF(MONTH(A21)=12, R20+X20, 0) + J21 ,
      MIN(
        AA20 + IF(MONTH(A21)=12, R20+X20, 0) + J21,
        VLOOKUP(questions!$C$5, Lookup!$Q:$R, 2)
      )
    )
)</f>
        <v>15347.99336</v>
      </c>
      <c r="AB21" s="65">
        <f t="shared" si="13"/>
        <v>0</v>
      </c>
      <c r="AC21" s="66">
        <f t="array" ref="AC21">IFS(B21&lt;66, XLOOKUP(year(A21),Lookup!$K$13:$K1000,Lookup!$L$13:$L1000,"missing",,1),B21&gt;65,XLOOKUP(questions!$C$5,Lookup!$K$13:$K1000,Lookup!$L$13:$L1000,"missing",,1))</f>
        <v>114100</v>
      </c>
      <c r="AD21" s="66">
        <f t="array" ref="AD21">IFS(B21&lt;66, XLOOKUP(year(A21),Lookup!$K$13:$K1000,Lookup!$M$13:$M1000,"missing",,1),B21&gt;65, XLOOKUP(questions!$C$5,Lookup!$K$13:$K1000,Lookup!$M$13:$M1000,"missing",,1))</f>
        <v>228200</v>
      </c>
      <c r="AE21" s="66">
        <f t="array" ref="AE21">IFS(B21&lt;66, XLOOKUP(year(A21),Lookup!$K$13:$K1000,Lookup!$N$13:$N1000,"missing",,1),B21&gt;65,XLOOKUP(questions!$C$5,Lookup!$K$13:$K1000,Lookup!$N$13:$N1000,"missing",,1))</f>
        <v>456400</v>
      </c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</row>
    <row r="22">
      <c r="A22" s="55">
        <f t="shared" si="7"/>
        <v>46691</v>
      </c>
      <c r="B22" s="56">
        <f>round(YEARFRAC(EOMONTH(questions!$C$3, 0),A22,1),2)</f>
        <v>28.92</v>
      </c>
      <c r="C22" s="57">
        <f>IF(B22&lt;questions!$C$6,if(MONTH(A22)=1,C21*(1+questions!$C$12),C21),0)</f>
        <v>10300</v>
      </c>
      <c r="D22" s="58">
        <f>IF(MONTH(A22)=12,C22*questions!$C$11,0)</f>
        <v>0</v>
      </c>
      <c r="E22" s="59">
        <f t="shared" si="2"/>
        <v>8000</v>
      </c>
      <c r="F22" s="59">
        <f t="shared" si="3"/>
        <v>0</v>
      </c>
      <c r="G22" s="60">
        <f t="array" ref="G22">if(YEAR(A22)=2025,XLOOKUP(B22,Lookup!$A$3:$A$7,Lookup!$D$3:$D$7,,1)*SUM(E22:F22), XLOOKUP(B22,Lookup!$A$14:$A$18,Lookup!$D$14:$D$18,,1)*SUM(E22:F22))</f>
        <v>2960</v>
      </c>
      <c r="H22" s="60">
        <f t="array" ref="H22">if(YEAR(A22)=2025,XLOOKUP(B22,Lookup!$F$3:$F$10,Lookup!$G$3:$G$10,,1)*G22, XLOOKUP(B22,Lookup!$F$14:$F$21,Lookup!$G$14:$G$21,,1)*G22)</f>
        <v>1840.232</v>
      </c>
      <c r="I22" s="60">
        <f t="array" ref="I22">if(B22&lt;55, if(YEAR(A22)=2025,XLOOKUP(B22,Lookup!$F$3:$F$10,Lookup!$H$3:$H$10,,1)*G22, XLOOKUP(B22,Lookup!$F$14:$F$21,Lookup!$H$14:$H$21,,1)*G22),0)</f>
        <v>479.816</v>
      </c>
      <c r="J22" s="60">
        <f t="array" ref="J22">if(YEAR(A22)=2025,XLOOKUP(B22,Lookup!$F$3:$F$10,Lookup!$I$3:$I$10,,1)*G22, XLOOKUP(B22,Lookup!$F$14:$F$21,Lookup!$I$14:$I$21,,1)*G22)</f>
        <v>639.952</v>
      </c>
      <c r="K22" s="61">
        <f t="array" ref="K22">if(B22&gt;54, if(YEAR(A22)=2025,XLOOKUP(B22,Lookup!$F$3:$F$10,Lookup!$H$3:$H$10,,1)*G22, XLOOKUP(B22,Lookup!$F$14:$F$21,Lookup!$H$14:$H$21,,1)*G22),0)</f>
        <v>0</v>
      </c>
      <c r="L22" s="62">
        <f>IF(and(A22&lt;questions!$C$19,questions!$C$18="yes"),questions!$C$20,0)</f>
        <v>700</v>
      </c>
      <c r="M22" s="63">
        <f>(Y21+H22)*Lookup!A$26/12</f>
        <v>68.32173537</v>
      </c>
      <c r="N22" s="63">
        <f>if(B22&lt;55, (Z21+I22)*Lookup!B$26/12, (AB21+K22)*Lookup!B$26/12)</f>
        <v>42.22502524</v>
      </c>
      <c r="O22" s="63">
        <f>(AA21+J22)*Lookup!C$26/12</f>
        <v>53.2931512</v>
      </c>
      <c r="P22" s="63">
        <f t="shared" si="8"/>
        <v>576.3206037</v>
      </c>
      <c r="Q22" s="63">
        <f t="shared" si="4"/>
        <v>350.2778524</v>
      </c>
      <c r="R22" s="63">
        <f t="shared" si="5"/>
        <v>436.938712</v>
      </c>
      <c r="S22" s="64">
        <f t="shared" si="9"/>
        <v>16.66666667</v>
      </c>
      <c r="T22" s="64">
        <f t="shared" si="10"/>
        <v>10.15640964</v>
      </c>
      <c r="U22" s="64">
        <f t="shared" si="11"/>
        <v>12.78999447</v>
      </c>
      <c r="V22" s="64">
        <f t="shared" ref="V22:X22" si="30">IF(year($A22)=year($A21), V21+S22, S22)</f>
        <v>166.6666667</v>
      </c>
      <c r="W22" s="64">
        <f t="shared" si="30"/>
        <v>83.57099644</v>
      </c>
      <c r="X22" s="64">
        <f t="shared" si="30"/>
        <v>103.9017447</v>
      </c>
      <c r="Y22" s="65">
        <f>IFS(
  B22&lt;55,
    MAX(
      Y21 + IF(MONTH(A22)=12, P22+V22, 0) + H22 - L22
      + MAX(0,
          IF(AA21 &gt;= VLOOKUP(YEAR(A22), Lookup!$Q:$R, 2),
            Z21 + IF(MONTH(A22)=12, Q22+W22, 0) + I22
              + AA21 + IF(MONTH(A22)=12, R22+X22, 0)
              - VLOOKUP(YEAR(A22), Lookup!$Q:$R, 2) + J22,
            Z21 + IF(MONTH(A22)=12, Q22+W22, 0) + I22
          ) - VLOOKUP(YEAR(A22), Lookup!$K:$M, 3)
        ),
    0),
  B22=55,
    IF(Z21&gt;=AD22,
      MAX(Y21 + IF(MONTH(A22)=12, P22+V22, 0) + H22 - L22, 0),
      MAX(MAX(0, Y21-(AD22-Z21)) + IF(MONTH(A22)=12, P22+V22, 0) + H22 - L22, 0)
    ),
  B22&gt;55,
    IF(AB21&gt;=$AH$7,
      MAX(Y21 + IF(MONTH(A22)=12, P22+V22, 0) + H22 - L22 + K22 + Z21, 0),
      MAX(Y21 + IF(MONTH(A22)=12, P22+V22, 0) + H22 - L22, 0)
    )
)</f>
        <v>32094.43298</v>
      </c>
      <c r="Z22" s="65">
        <f>IFS(
  B22&lt;55,
    MIN(
      IF(AA21 &gt;= VLOOKUP(YEAR(A22), Lookup!$Q:$R, 2),
        Z21 + IF(MONTH(A22)=12, Q22+W22, 0) + I22
          + AA21 + IF(MONTH(A22)=12, R22+X22, 0) - VLOOKUP(YEAR(A22), Lookup!$Q:$R, 2) + J22,
        Z21 + IF(MONTH(A22)=12, Q22+W22, 0) + I22
      ),
      VLOOKUP(YEAR(A22), Lookup!$K:$M, 3)
    ),
  B22=55,
    IF(Z21 &gt;= AD22, Z21 - AD22, 0),
  B22&gt;55, 0
)</f>
        <v>12667.50757</v>
      </c>
      <c r="AA22" s="65">
        <f>IFS(
  B22&lt;65,
    IF(AA21+J22 &lt; VLOOKUP(YEAR(A22), Lookup!$Q:$R, 2),
      AA21 + IF(MONTH(A22)=12, R21+X21, 0) + J22,
      MIN(
        AA21 + IF(MONTH(A22)=12, R21+X21, 0) + J22 ,
        VLOOKUP(YEAR(A22), Lookup!$Q:$R, 2)
      )
    ),
  B22&gt;=65,
    IF(AA21+J22 &lt; VLOOKUP(questions!$C$5, Lookup!$Q:$R, 2),
      AA21 + IF(MONTH(A22)=12, R21+X21, 0) + J22 ,
      MIN(
        AA21 + IF(MONTH(A22)=12, R21+X21, 0) + J22,
        VLOOKUP(questions!$C$5, Lookup!$Q:$R, 2)
      )
    )
)</f>
        <v>15987.94536</v>
      </c>
      <c r="AB22" s="65">
        <f t="shared" si="13"/>
        <v>0</v>
      </c>
      <c r="AC22" s="66">
        <f t="array" ref="AC22">IFS(B22&lt;66, XLOOKUP(year(A22),Lookup!$K$13:$K1000,Lookup!$L$13:$L1000,"missing",,1),B22&gt;65,XLOOKUP(questions!$C$5,Lookup!$K$13:$K1000,Lookup!$L$13:$L1000,"missing",,1))</f>
        <v>114100</v>
      </c>
      <c r="AD22" s="66">
        <f t="array" ref="AD22">IFS(B22&lt;66, XLOOKUP(year(A22),Lookup!$K$13:$K1000,Lookup!$M$13:$M1000,"missing",,1),B22&gt;65, XLOOKUP(questions!$C$5,Lookup!$K$13:$K1000,Lookup!$M$13:$M1000,"missing",,1))</f>
        <v>228200</v>
      </c>
      <c r="AE22" s="66">
        <f t="array" ref="AE22">IFS(B22&lt;66, XLOOKUP(year(A22),Lookup!$K$13:$K1000,Lookup!$N$13:$N1000,"missing",,1),B22&gt;65,XLOOKUP(questions!$C$5,Lookup!$K$13:$K1000,Lookup!$N$13:$N1000,"missing",,1))</f>
        <v>456400</v>
      </c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</row>
    <row r="23">
      <c r="A23" s="55">
        <f t="shared" si="7"/>
        <v>46721</v>
      </c>
      <c r="B23" s="56">
        <f>round(YEARFRAC(EOMONTH(questions!$C$3, 0),A23,1),2)</f>
        <v>29</v>
      </c>
      <c r="C23" s="57">
        <f>IF(B23&lt;questions!$C$6,if(MONTH(A23)=1,C22*(1+questions!$C$12),C22),0)</f>
        <v>10300</v>
      </c>
      <c r="D23" s="58">
        <f>IF(MONTH(A23)=12,C23*questions!$C$11,0)</f>
        <v>0</v>
      </c>
      <c r="E23" s="59">
        <f t="shared" si="2"/>
        <v>8000</v>
      </c>
      <c r="F23" s="59">
        <f t="shared" si="3"/>
        <v>0</v>
      </c>
      <c r="G23" s="60">
        <f t="array" ref="G23">if(YEAR(A23)=2025,XLOOKUP(B23,Lookup!$A$3:$A$7,Lookup!$D$3:$D$7,,1)*SUM(E23:F23), XLOOKUP(B23,Lookup!$A$14:$A$18,Lookup!$D$14:$D$18,,1)*SUM(E23:F23))</f>
        <v>2960</v>
      </c>
      <c r="H23" s="60">
        <f t="array" ref="H23">if(YEAR(A23)=2025,XLOOKUP(B23,Lookup!$F$3:$F$10,Lookup!$G$3:$G$10,,1)*G23, XLOOKUP(B23,Lookup!$F$14:$F$21,Lookup!$G$14:$G$21,,1)*G23)</f>
        <v>1840.232</v>
      </c>
      <c r="I23" s="60">
        <f t="array" ref="I23">if(B23&lt;55, if(YEAR(A23)=2025,XLOOKUP(B23,Lookup!$F$3:$F$10,Lookup!$H$3:$H$10,,1)*G23, XLOOKUP(B23,Lookup!$F$14:$F$21,Lookup!$H$14:$H$21,,1)*G23),0)</f>
        <v>479.816</v>
      </c>
      <c r="J23" s="60">
        <f t="array" ref="J23">if(YEAR(A23)=2025,XLOOKUP(B23,Lookup!$F$3:$F$10,Lookup!$I$3:$I$10,,1)*G23, XLOOKUP(B23,Lookup!$F$14:$F$21,Lookup!$I$14:$I$21,,1)*G23)</f>
        <v>639.952</v>
      </c>
      <c r="K23" s="61">
        <f t="array" ref="K23">if(B23&gt;54, if(YEAR(A23)=2025,XLOOKUP(B23,Lookup!$F$3:$F$10,Lookup!$H$3:$H$10,,1)*G23, XLOOKUP(B23,Lookup!$F$14:$F$21,Lookup!$H$14:$H$21,,1)*G23),0)</f>
        <v>0</v>
      </c>
      <c r="L23" s="62">
        <f>IF(and(A23&lt;questions!$C$19,questions!$C$18="yes"),questions!$C$20,0)</f>
        <v>700</v>
      </c>
      <c r="M23" s="63">
        <f>(Y22+H23)*Lookup!A$26/12</f>
        <v>70.69721871</v>
      </c>
      <c r="N23" s="63">
        <f>if(B23&lt;55, (Z22+I23)*Lookup!B$26/12, (AB22+K23)*Lookup!B$26/12)</f>
        <v>43.82441191</v>
      </c>
      <c r="O23" s="63">
        <f>(AA22+J23)*Lookup!C$26/12</f>
        <v>55.42632453</v>
      </c>
      <c r="P23" s="63">
        <f t="shared" si="8"/>
        <v>647.0178224</v>
      </c>
      <c r="Q23" s="63">
        <f t="shared" si="4"/>
        <v>394.1022644</v>
      </c>
      <c r="R23" s="63">
        <f t="shared" si="5"/>
        <v>492.3650365</v>
      </c>
      <c r="S23" s="64">
        <f t="shared" si="9"/>
        <v>16.66666667</v>
      </c>
      <c r="T23" s="64">
        <f t="shared" si="10"/>
        <v>10.55625631</v>
      </c>
      <c r="U23" s="64">
        <f t="shared" si="11"/>
        <v>13.3232878</v>
      </c>
      <c r="V23" s="64">
        <f t="shared" ref="V23:X23" si="31">IF(year($A23)=year($A22), V22+S23, S23)</f>
        <v>183.3333333</v>
      </c>
      <c r="W23" s="64">
        <f t="shared" si="31"/>
        <v>94.12725276</v>
      </c>
      <c r="X23" s="64">
        <f t="shared" si="31"/>
        <v>117.2250325</v>
      </c>
      <c r="Y23" s="65">
        <f>IFS(
  B23&lt;55,
    MAX(
      Y22 + IF(MONTH(A23)=12, P23+V23, 0) + H23 - L23
      + MAX(0,
          IF(AA22 &gt;= VLOOKUP(YEAR(A23), Lookup!$Q:$R, 2),
            Z22 + IF(MONTH(A23)=12, Q23+W23, 0) + I23
              + AA22 + IF(MONTH(A23)=12, R23+X23, 0)
              - VLOOKUP(YEAR(A23), Lookup!$Q:$R, 2) + J23,
            Z22 + IF(MONTH(A23)=12, Q23+W23, 0) + I23
          ) - VLOOKUP(YEAR(A23), Lookup!$K:$M, 3)
        ),
    0),
  B23=55,
    IF(Z22&gt;=AD23,
      MAX(Y22 + IF(MONTH(A23)=12, P23+V23, 0) + H23 - L23, 0),
      MAX(MAX(0, Y22-(AD23-Z22)) + IF(MONTH(A23)=12, P23+V23, 0) + H23 - L23, 0)
    ),
  B23&gt;55,
    IF(AB22&gt;=$AH$7,
      MAX(Y22 + IF(MONTH(A23)=12, P23+V23, 0) + H23 - L23 + K23 + Z22, 0),
      MAX(Y22 + IF(MONTH(A23)=12, P23+V23, 0) + H23 - L23, 0)
    )
)</f>
        <v>33234.66498</v>
      </c>
      <c r="Z23" s="65">
        <f>IFS(
  B23&lt;55,
    MIN(
      IF(AA22 &gt;= VLOOKUP(YEAR(A23), Lookup!$Q:$R, 2),
        Z22 + IF(MONTH(A23)=12, Q23+W23, 0) + I23
          + AA22 + IF(MONTH(A23)=12, R23+X23, 0) - VLOOKUP(YEAR(A23), Lookup!$Q:$R, 2) + J23,
        Z22 + IF(MONTH(A23)=12, Q23+W23, 0) + I23
      ),
      VLOOKUP(YEAR(A23), Lookup!$K:$M, 3)
    ),
  B23=55,
    IF(Z22 &gt;= AD23, Z22 - AD23, 0),
  B23&gt;55, 0
)</f>
        <v>13147.32357</v>
      </c>
      <c r="AA23" s="65">
        <f>IFS(
  B23&lt;65,
    IF(AA22+J23 &lt; VLOOKUP(YEAR(A23), Lookup!$Q:$R, 2),
      AA22 + IF(MONTH(A23)=12, R22+X22, 0) + J23,
      MIN(
        AA22 + IF(MONTH(A23)=12, R22+X22, 0) + J23 ,
        VLOOKUP(YEAR(A23), Lookup!$Q:$R, 2)
      )
    ),
  B23&gt;=65,
    IF(AA22+J23 &lt; VLOOKUP(questions!$C$5, Lookup!$Q:$R, 2),
      AA22 + IF(MONTH(A23)=12, R22+X22, 0) + J23 ,
      MIN(
        AA22 + IF(MONTH(A23)=12, R22+X22, 0) + J23,
        VLOOKUP(questions!$C$5, Lookup!$Q:$R, 2)
      )
    )
)</f>
        <v>16627.89736</v>
      </c>
      <c r="AB23" s="65">
        <f t="shared" si="13"/>
        <v>0</v>
      </c>
      <c r="AC23" s="66">
        <f t="array" ref="AC23">IFS(B23&lt;66, XLOOKUP(year(A23),Lookup!$K$13:$K1000,Lookup!$L$13:$L1000,"missing",,1),B23&gt;65,XLOOKUP(questions!$C$5,Lookup!$K$13:$K1000,Lookup!$L$13:$L1000,"missing",,1))</f>
        <v>114100</v>
      </c>
      <c r="AD23" s="66">
        <f t="array" ref="AD23">IFS(B23&lt;66, XLOOKUP(year(A23),Lookup!$K$13:$K1000,Lookup!$M$13:$M1000,"missing",,1),B23&gt;65, XLOOKUP(questions!$C$5,Lookup!$K$13:$K1000,Lookup!$M$13:$M1000,"missing",,1))</f>
        <v>228200</v>
      </c>
      <c r="AE23" s="66">
        <f t="array" ref="AE23">IFS(B23&lt;66, XLOOKUP(year(A23),Lookup!$K$13:$K1000,Lookup!$N$13:$N1000,"missing",,1),B23&gt;65,XLOOKUP(questions!$C$5,Lookup!$K$13:$K1000,Lookup!$N$13:$N1000,"missing",,1))</f>
        <v>456400</v>
      </c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</row>
    <row r="24">
      <c r="A24" s="55">
        <f t="shared" si="7"/>
        <v>46752</v>
      </c>
      <c r="B24" s="56">
        <f>round(YEARFRAC(EOMONTH(questions!$C$3, 0),A24,1),2)</f>
        <v>29.08</v>
      </c>
      <c r="C24" s="57">
        <f>IF(B24&lt;questions!$C$6,if(MONTH(A24)=1,C23*(1+questions!$C$12),C23),0)</f>
        <v>10300</v>
      </c>
      <c r="D24" s="57">
        <f>IF(MONTH(A24)=12,C24*questions!$C$11,0)</f>
        <v>10300</v>
      </c>
      <c r="E24" s="59">
        <f t="shared" si="2"/>
        <v>8000</v>
      </c>
      <c r="F24" s="59">
        <f t="shared" si="3"/>
        <v>6000</v>
      </c>
      <c r="G24" s="60">
        <f t="array" ref="G24">if(YEAR(A24)=2025,XLOOKUP(B24,Lookup!$A$3:$A$7,Lookup!$D$3:$D$7,,1)*SUM(E24:F24), XLOOKUP(B24,Lookup!$A$14:$A$18,Lookup!$D$14:$D$18,,1)*SUM(E24:F24))</f>
        <v>5180</v>
      </c>
      <c r="H24" s="60">
        <f t="array" ref="H24">if(YEAR(A24)=2025,XLOOKUP(B24,Lookup!$F$3:$F$10,Lookup!$G$3:$G$10,,1)*G24, XLOOKUP(B24,Lookup!$F$14:$F$21,Lookup!$G$14:$G$21,,1)*G24)</f>
        <v>3220.406</v>
      </c>
      <c r="I24" s="60">
        <f t="array" ref="I24">if(B24&lt;55, if(YEAR(A24)=2025,XLOOKUP(B24,Lookup!$F$3:$F$10,Lookup!$H$3:$H$10,,1)*G24, XLOOKUP(B24,Lookup!$F$14:$F$21,Lookup!$H$14:$H$21,,1)*G24),0)</f>
        <v>839.678</v>
      </c>
      <c r="J24" s="60">
        <f t="array" ref="J24">if(YEAR(A24)=2025,XLOOKUP(B24,Lookup!$F$3:$F$10,Lookup!$I$3:$I$10,,1)*G24, XLOOKUP(B24,Lookup!$F$14:$F$21,Lookup!$I$14:$I$21,,1)*G24)</f>
        <v>1119.916</v>
      </c>
      <c r="K24" s="61">
        <f t="array" ref="K24">if(B24&gt;54, if(YEAR(A24)=2025,XLOOKUP(B24,Lookup!$F$3:$F$10,Lookup!$H$3:$H$10,,1)*G24, XLOOKUP(B24,Lookup!$F$14:$F$21,Lookup!$H$14:$H$21,,1)*G24),0)</f>
        <v>0</v>
      </c>
      <c r="L24" s="62">
        <f>IF(and(A24&lt;questions!$C$19,questions!$C$18="yes"),questions!$C$20,0)</f>
        <v>700</v>
      </c>
      <c r="M24" s="63">
        <f>(Y23+H24)*Lookup!A$26/12</f>
        <v>75.94806454</v>
      </c>
      <c r="N24" s="63">
        <f>if(B24&lt;55, (Z23+I24)*Lookup!B$26/12, (AB23+K24)*Lookup!B$26/12)</f>
        <v>46.62333858</v>
      </c>
      <c r="O24" s="63">
        <f>(AA23+J24)*Lookup!C$26/12</f>
        <v>59.15937787</v>
      </c>
      <c r="P24" s="63">
        <f t="shared" si="8"/>
        <v>722.965887</v>
      </c>
      <c r="Q24" s="63">
        <f t="shared" si="4"/>
        <v>440.7256029</v>
      </c>
      <c r="R24" s="63">
        <f t="shared" si="5"/>
        <v>551.5244144</v>
      </c>
      <c r="S24" s="64">
        <f t="shared" si="9"/>
        <v>16.66666667</v>
      </c>
      <c r="T24" s="64">
        <f t="shared" si="10"/>
        <v>10.95610298</v>
      </c>
      <c r="U24" s="64">
        <f t="shared" si="11"/>
        <v>13.85658113</v>
      </c>
      <c r="V24" s="64">
        <f t="shared" ref="V24:X24" si="32">IF(year($A24)=year($A23), V23+S24, S24)</f>
        <v>200</v>
      </c>
      <c r="W24" s="64">
        <f t="shared" si="32"/>
        <v>105.0833557</v>
      </c>
      <c r="X24" s="64">
        <f t="shared" si="32"/>
        <v>131.0816136</v>
      </c>
      <c r="Y24" s="65">
        <f>IFS(
  B24&lt;55,
    MAX(
      Y23 + IF(MONTH(A24)=12, P24+V24, 0) + H24 - L24
      + MAX(0,
          IF(AA23 &gt;= VLOOKUP(YEAR(A24), Lookup!$Q:$R, 2),
            Z23 + IF(MONTH(A24)=12, Q24+W24, 0) + I24
              + AA23 + IF(MONTH(A24)=12, R24+X24, 0)
              - VLOOKUP(YEAR(A24), Lookup!$Q:$R, 2) + J24,
            Z23 + IF(MONTH(A24)=12, Q24+W24, 0) + I24
          ) - VLOOKUP(YEAR(A24), Lookup!$K:$M, 3)
        ),
    0),
  B24=55,
    IF(Z23&gt;=AD24,
      MAX(Y23 + IF(MONTH(A24)=12, P24+V24, 0) + H24 - L24, 0),
      MAX(MAX(0, Y23-(AD24-Z23)) + IF(MONTH(A24)=12, P24+V24, 0) + H24 - L24, 0)
    ),
  B24&gt;55,
    IF(AB23&gt;=$AH$7,
      MAX(Y23 + IF(MONTH(A24)=12, P24+V24, 0) + H24 - L24 + K24 + Z23, 0),
      MAX(Y23 + IF(MONTH(A24)=12, P24+V24, 0) + H24 - L24, 0)
    )
)</f>
        <v>36678.03687</v>
      </c>
      <c r="Z24" s="65">
        <f>IFS(
  B24&lt;55,
    MIN(
      IF(AA23 &gt;= VLOOKUP(YEAR(A24), Lookup!$Q:$R, 2),
        Z23 + IF(MONTH(A24)=12, Q24+W24, 0) + I24
          + AA23 + IF(MONTH(A24)=12, R24+X24, 0) - VLOOKUP(YEAR(A24), Lookup!$Q:$R, 2) + J24,
        Z23 + IF(MONTH(A24)=12, Q24+W24, 0) + I24
      ),
      VLOOKUP(YEAR(A24), Lookup!$K:$M, 3)
    ),
  B24=55,
    IF(Z23 &gt;= AD24, Z23 - AD24, 0),
  B24&gt;55, 0
)</f>
        <v>14532.81053</v>
      </c>
      <c r="AA24" s="65">
        <f>IFS(
  B24&lt;65,
    IF(AA23+J24 &lt; VLOOKUP(YEAR(A24), Lookup!$Q:$R, 2),
      AA23 + IF(MONTH(A24)=12, R23+X23, 0) + J24,
      MIN(
        AA23 + IF(MONTH(A24)=12, R23+X23, 0) + J24 ,
        VLOOKUP(YEAR(A24), Lookup!$Q:$R, 2)
      )
    ),
  B24&gt;=65,
    IF(AA23+J24 &lt; VLOOKUP(questions!$C$5, Lookup!$Q:$R, 2),
      AA23 + IF(MONTH(A24)=12, R23+X23, 0) + J24 ,
      MIN(
        AA23 + IF(MONTH(A24)=12, R23+X23, 0) + J24,
        VLOOKUP(questions!$C$5, Lookup!$Q:$R, 2)
      )
    )
)</f>
        <v>18357.40343</v>
      </c>
      <c r="AB24" s="65">
        <f t="shared" si="13"/>
        <v>0</v>
      </c>
      <c r="AC24" s="66">
        <f t="array" ref="AC24">IFS(B24&lt;66, XLOOKUP(year(A24),Lookup!$K$13:$K1000,Lookup!$L$13:$L1000,"missing",,1),B24&gt;65,XLOOKUP(questions!$C$5,Lookup!$K$13:$K1000,Lookup!$L$13:$L1000,"missing",,1))</f>
        <v>114100</v>
      </c>
      <c r="AD24" s="66">
        <f t="array" ref="AD24">IFS(B24&lt;66, XLOOKUP(year(A24),Lookup!$K$13:$K1000,Lookup!$M$13:$M1000,"missing",,1),B24&gt;65, XLOOKUP(questions!$C$5,Lookup!$K$13:$K1000,Lookup!$M$13:$M1000,"missing",,1))</f>
        <v>228200</v>
      </c>
      <c r="AE24" s="66">
        <f t="array" ref="AE24">IFS(B24&lt;66, XLOOKUP(year(A24),Lookup!$K$13:$K1000,Lookup!$N$13:$N1000,"missing",,1),B24&gt;65,XLOOKUP(questions!$C$5,Lookup!$K$13:$K1000,Lookup!$N$13:$N1000,"missing",,1))</f>
        <v>456400</v>
      </c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</row>
    <row r="25">
      <c r="A25" s="55">
        <f t="shared" si="7"/>
        <v>46783</v>
      </c>
      <c r="B25" s="56">
        <f>round(YEARFRAC(EOMONTH(questions!$C$3, 0),A25,1),2)</f>
        <v>29.17</v>
      </c>
      <c r="C25" s="57">
        <f>IF(B25&lt;questions!$C$6,if(MONTH(A25)=1,C24*(1+questions!$C$12),C24),0)</f>
        <v>10609</v>
      </c>
      <c r="D25" s="58">
        <f>IF(MONTH(A25)=12,C25*questions!$C$11,0)</f>
        <v>0</v>
      </c>
      <c r="E25" s="59">
        <f t="shared" si="2"/>
        <v>8000</v>
      </c>
      <c r="F25" s="59">
        <f t="shared" si="3"/>
        <v>0</v>
      </c>
      <c r="G25" s="60">
        <f t="array" ref="G25">if(YEAR(A25)=2025,XLOOKUP(B25,Lookup!$A$3:$A$7,Lookup!$D$3:$D$7,,1)*SUM(E25:F25), XLOOKUP(B25,Lookup!$A$14:$A$18,Lookup!$D$14:$D$18,,1)*SUM(E25:F25))</f>
        <v>2960</v>
      </c>
      <c r="H25" s="60">
        <f t="array" ref="H25">if(YEAR(A25)=2025,XLOOKUP(B25,Lookup!$F$3:$F$10,Lookup!$G$3:$G$10,,1)*G25, XLOOKUP(B25,Lookup!$F$14:$F$21,Lookup!$G$14:$G$21,,1)*G25)</f>
        <v>1840.232</v>
      </c>
      <c r="I25" s="60">
        <f t="array" ref="I25">if(B25&lt;55, if(YEAR(A25)=2025,XLOOKUP(B25,Lookup!$F$3:$F$10,Lookup!$H$3:$H$10,,1)*G25, XLOOKUP(B25,Lookup!$F$14:$F$21,Lookup!$H$14:$H$21,,1)*G25),0)</f>
        <v>479.816</v>
      </c>
      <c r="J25" s="60">
        <f t="array" ref="J25">if(YEAR(A25)=2025,XLOOKUP(B25,Lookup!$F$3:$F$10,Lookup!$I$3:$I$10,,1)*G25, XLOOKUP(B25,Lookup!$F$14:$F$21,Lookup!$I$14:$I$21,,1)*G25)</f>
        <v>639.952</v>
      </c>
      <c r="K25" s="61">
        <f t="array" ref="K25">if(B25&gt;54, if(YEAR(A25)=2025,XLOOKUP(B25,Lookup!$F$3:$F$10,Lookup!$H$3:$H$10,,1)*G25, XLOOKUP(B25,Lookup!$F$14:$F$21,Lookup!$H$14:$H$21,,1)*G25),0)</f>
        <v>0</v>
      </c>
      <c r="L25" s="62">
        <f>IF(and(A25&lt;questions!$C$19,questions!$C$18="yes"),questions!$C$20,0)</f>
        <v>700</v>
      </c>
      <c r="M25" s="63">
        <f>(Y24+H25)*Lookup!A$26/12</f>
        <v>80.24639347</v>
      </c>
      <c r="N25" s="63">
        <f>if(B25&lt;55, (Z24+I25)*Lookup!B$26/12, (AB24+K25)*Lookup!B$26/12)</f>
        <v>50.04208844</v>
      </c>
      <c r="O25" s="63">
        <f>(AA24+J25)*Lookup!C$26/12</f>
        <v>63.3245181</v>
      </c>
      <c r="P25" s="63">
        <f t="shared" si="8"/>
        <v>80.24639347</v>
      </c>
      <c r="Q25" s="63">
        <f t="shared" si="4"/>
        <v>50.04208844</v>
      </c>
      <c r="R25" s="63">
        <f t="shared" si="5"/>
        <v>63.3245181</v>
      </c>
      <c r="S25" s="64">
        <f t="shared" si="9"/>
        <v>16.66666667</v>
      </c>
      <c r="T25" s="64">
        <f t="shared" si="10"/>
        <v>12.11067544</v>
      </c>
      <c r="U25" s="64">
        <f t="shared" si="11"/>
        <v>15.29783619</v>
      </c>
      <c r="V25" s="64">
        <f t="shared" ref="V25:X25" si="33">IF(year($A25)=year($A24), V24+S25, S25)</f>
        <v>16.66666667</v>
      </c>
      <c r="W25" s="64">
        <f t="shared" si="33"/>
        <v>12.11067544</v>
      </c>
      <c r="X25" s="64">
        <f t="shared" si="33"/>
        <v>15.29783619</v>
      </c>
      <c r="Y25" s="65">
        <f>IFS(
  B25&lt;55,
    MAX(
      Y24 + IF(MONTH(A25)=12, P25+V25, 0) + H25 - L25
      + MAX(0,
          IF(AA24 &gt;= VLOOKUP(YEAR(A25), Lookup!$Q:$R, 2),
            Z24 + IF(MONTH(A25)=12, Q25+W25, 0) + I25
              + AA24 + IF(MONTH(A25)=12, R25+X25, 0)
              - VLOOKUP(YEAR(A25), Lookup!$Q:$R, 2) + J25,
            Z24 + IF(MONTH(A25)=12, Q25+W25, 0) + I25
          ) - VLOOKUP(YEAR(A25), Lookup!$K:$M, 3)
        ),
    0),
  B25=55,
    IF(Z24&gt;=AD25,
      MAX(Y24 + IF(MONTH(A25)=12, P25+V25, 0) + H25 - L25, 0),
      MAX(MAX(0, Y24-(AD25-Z24)) + IF(MONTH(A25)=12, P25+V25, 0) + H25 - L25, 0)
    ),
  B25&gt;55,
    IF(AB24&gt;=$AH$7,
      MAX(Y24 + IF(MONTH(A25)=12, P25+V25, 0) + H25 - L25 + K25 + Z24, 0),
      MAX(Y24 + IF(MONTH(A25)=12, P25+V25, 0) + H25 - L25, 0)
    )
)</f>
        <v>37818.26887</v>
      </c>
      <c r="Z25" s="65">
        <f>IFS(
  B25&lt;55,
    MIN(
      IF(AA24 &gt;= VLOOKUP(YEAR(A25), Lookup!$Q:$R, 2),
        Z24 + IF(MONTH(A25)=12, Q25+W25, 0) + I25
          + AA24 + IF(MONTH(A25)=12, R25+X25, 0) - VLOOKUP(YEAR(A25), Lookup!$Q:$R, 2) + J25,
        Z24 + IF(MONTH(A25)=12, Q25+W25, 0) + I25
      ),
      VLOOKUP(YEAR(A25), Lookup!$K:$M, 3)
    ),
  B25=55,
    IF(Z24 &gt;= AD25, Z24 - AD25, 0),
  B25&gt;55, 0
)</f>
        <v>15012.62653</v>
      </c>
      <c r="AA25" s="65">
        <f>IFS(
  B25&lt;65,
    IF(AA24+J25 &lt; VLOOKUP(YEAR(A25), Lookup!$Q:$R, 2),
      AA24 + IF(MONTH(A25)=12, R24+X24, 0) + J25,
      MIN(
        AA24 + IF(MONTH(A25)=12, R24+X24, 0) + J25 ,
        VLOOKUP(YEAR(A25), Lookup!$Q:$R, 2)
      )
    ),
  B25&gt;=65,
    IF(AA24+J25 &lt; VLOOKUP(questions!$C$5, Lookup!$Q:$R, 2),
      AA24 + IF(MONTH(A25)=12, R24+X24, 0) + J25 ,
      MIN(
        AA24 + IF(MONTH(A25)=12, R24+X24, 0) + J25,
        VLOOKUP(questions!$C$5, Lookup!$Q:$R, 2)
      )
    )
)</f>
        <v>18997.35543</v>
      </c>
      <c r="AB25" s="65">
        <f t="shared" si="13"/>
        <v>0</v>
      </c>
      <c r="AC25" s="66">
        <f t="array" ref="AC25">IFS(B25&lt;66, XLOOKUP(year(A25),Lookup!$K$13:$K1000,Lookup!$L$13:$L1000,"missing",,1),B25&gt;65,XLOOKUP(questions!$C$5,Lookup!$K$13:$K1000,Lookup!$L$13:$L1000,"missing",,1))</f>
        <v>118093.5</v>
      </c>
      <c r="AD25" s="66">
        <f t="array" ref="AD25">IFS(B25&lt;66, XLOOKUP(year(A25),Lookup!$K$13:$K1000,Lookup!$M$13:$M1000,"missing",,1),B25&gt;65, XLOOKUP(questions!$C$5,Lookup!$K$13:$K1000,Lookup!$M$13:$M1000,"missing",,1))</f>
        <v>236187</v>
      </c>
      <c r="AE25" s="66">
        <f t="array" ref="AE25">IFS(B25&lt;66, XLOOKUP(year(A25),Lookup!$K$13:$K1000,Lookup!$N$13:$N1000,"missing",,1),B25&gt;65,XLOOKUP(questions!$C$5,Lookup!$K$13:$K1000,Lookup!$N$13:$N1000,"missing",,1))</f>
        <v>472374</v>
      </c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</row>
    <row r="26">
      <c r="A26" s="55">
        <f t="shared" si="7"/>
        <v>46812</v>
      </c>
      <c r="B26" s="56">
        <f>round(YEARFRAC(EOMONTH(questions!$C$3, 0),A26,1),2)</f>
        <v>29.25</v>
      </c>
      <c r="C26" s="57">
        <f>IF(B26&lt;questions!$C$6,if(MONTH(A26)=1,C25*(1+questions!$C$12),C25),0)</f>
        <v>10609</v>
      </c>
      <c r="D26" s="58">
        <f>IF(MONTH(A26)=12,C26*questions!$C$11,0)</f>
        <v>0</v>
      </c>
      <c r="E26" s="59">
        <f t="shared" si="2"/>
        <v>8000</v>
      </c>
      <c r="F26" s="59">
        <f t="shared" si="3"/>
        <v>0</v>
      </c>
      <c r="G26" s="60">
        <f t="array" ref="G26">if(YEAR(A26)=2025,XLOOKUP(B26,Lookup!$A$3:$A$7,Lookup!$D$3:$D$7,,1)*SUM(E26:F26), XLOOKUP(B26,Lookup!$A$14:$A$18,Lookup!$D$14:$D$18,,1)*SUM(E26:F26))</f>
        <v>2960</v>
      </c>
      <c r="H26" s="60">
        <f t="array" ref="H26">if(YEAR(A26)=2025,XLOOKUP(B26,Lookup!$F$3:$F$10,Lookup!$G$3:$G$10,,1)*G26, XLOOKUP(B26,Lookup!$F$14:$F$21,Lookup!$G$14:$G$21,,1)*G26)</f>
        <v>1840.232</v>
      </c>
      <c r="I26" s="60">
        <f t="array" ref="I26">if(B26&lt;55, if(YEAR(A26)=2025,XLOOKUP(B26,Lookup!$F$3:$F$10,Lookup!$H$3:$H$10,,1)*G26, XLOOKUP(B26,Lookup!$F$14:$F$21,Lookup!$H$14:$H$21,,1)*G26),0)</f>
        <v>479.816</v>
      </c>
      <c r="J26" s="60">
        <f t="array" ref="J26">if(YEAR(A26)=2025,XLOOKUP(B26,Lookup!$F$3:$F$10,Lookup!$I$3:$I$10,,1)*G26, XLOOKUP(B26,Lookup!$F$14:$F$21,Lookup!$I$14:$I$21,,1)*G26)</f>
        <v>639.952</v>
      </c>
      <c r="K26" s="61">
        <f t="array" ref="K26">if(B26&gt;54, if(YEAR(A26)=2025,XLOOKUP(B26,Lookup!$F$3:$F$10,Lookup!$H$3:$H$10,,1)*G26, XLOOKUP(B26,Lookup!$F$14:$F$21,Lookup!$H$14:$H$21,,1)*G26),0)</f>
        <v>0</v>
      </c>
      <c r="L26" s="62">
        <f>IF(and(A26&lt;questions!$C$19,questions!$C$18="yes"),questions!$C$20,0)</f>
        <v>700</v>
      </c>
      <c r="M26" s="63">
        <f>(Y25+H26)*Lookup!A$26/12</f>
        <v>82.6218768</v>
      </c>
      <c r="N26" s="63">
        <f>if(B26&lt;55, (Z25+I26)*Lookup!B$26/12, (AB25+K26)*Lookup!B$26/12)</f>
        <v>51.64147511</v>
      </c>
      <c r="O26" s="63">
        <f>(AA25+J26)*Lookup!C$26/12</f>
        <v>65.45769143</v>
      </c>
      <c r="P26" s="63">
        <f t="shared" si="8"/>
        <v>162.8682703</v>
      </c>
      <c r="Q26" s="63">
        <f t="shared" si="4"/>
        <v>101.6835635</v>
      </c>
      <c r="R26" s="63">
        <f t="shared" si="5"/>
        <v>128.7822095</v>
      </c>
      <c r="S26" s="64">
        <f t="shared" si="9"/>
        <v>16.66666667</v>
      </c>
      <c r="T26" s="64">
        <f t="shared" si="10"/>
        <v>12.51052211</v>
      </c>
      <c r="U26" s="64">
        <f t="shared" si="11"/>
        <v>15.83112952</v>
      </c>
      <c r="V26" s="64">
        <f t="shared" ref="V26:X26" si="34">IF(year($A26)=year($A25), V25+S26, S26)</f>
        <v>33.33333333</v>
      </c>
      <c r="W26" s="64">
        <f t="shared" si="34"/>
        <v>24.62119755</v>
      </c>
      <c r="X26" s="64">
        <f t="shared" si="34"/>
        <v>31.12896572</v>
      </c>
      <c r="Y26" s="65">
        <f>IFS(
  B26&lt;55,
    MAX(
      Y25 + IF(MONTH(A26)=12, P26+V26, 0) + H26 - L26
      + MAX(0,
          IF(AA25 &gt;= VLOOKUP(YEAR(A26), Lookup!$Q:$R, 2),
            Z25 + IF(MONTH(A26)=12, Q26+W26, 0) + I26
              + AA25 + IF(MONTH(A26)=12, R26+X26, 0)
              - VLOOKUP(YEAR(A26), Lookup!$Q:$R, 2) + J26,
            Z25 + IF(MONTH(A26)=12, Q26+W26, 0) + I26
          ) - VLOOKUP(YEAR(A26), Lookup!$K:$M, 3)
        ),
    0),
  B26=55,
    IF(Z25&gt;=AD26,
      MAX(Y25 + IF(MONTH(A26)=12, P26+V26, 0) + H26 - L26, 0),
      MAX(MAX(0, Y25-(AD26-Z25)) + IF(MONTH(A26)=12, P26+V26, 0) + H26 - L26, 0)
    ),
  B26&gt;55,
    IF(AB25&gt;=$AH$7,
      MAX(Y25 + IF(MONTH(A26)=12, P26+V26, 0) + H26 - L26 + K26 + Z25, 0),
      MAX(Y25 + IF(MONTH(A26)=12, P26+V26, 0) + H26 - L26, 0)
    )
)</f>
        <v>38958.50087</v>
      </c>
      <c r="Z26" s="65">
        <f>IFS(
  B26&lt;55,
    MIN(
      IF(AA25 &gt;= VLOOKUP(YEAR(A26), Lookup!$Q:$R, 2),
        Z25 + IF(MONTH(A26)=12, Q26+W26, 0) + I26
          + AA25 + IF(MONTH(A26)=12, R26+X26, 0) - VLOOKUP(YEAR(A26), Lookup!$Q:$R, 2) + J26,
        Z25 + IF(MONTH(A26)=12, Q26+W26, 0) + I26
      ),
      VLOOKUP(YEAR(A26), Lookup!$K:$M, 3)
    ),
  B26=55,
    IF(Z25 &gt;= AD26, Z25 - AD26, 0),
  B26&gt;55, 0
)</f>
        <v>15492.44253</v>
      </c>
      <c r="AA26" s="65">
        <f>IFS(
  B26&lt;65,
    IF(AA25+J26 &lt; VLOOKUP(YEAR(A26), Lookup!$Q:$R, 2),
      AA25 + IF(MONTH(A26)=12, R25+X25, 0) + J26,
      MIN(
        AA25 + IF(MONTH(A26)=12, R25+X25, 0) + J26 ,
        VLOOKUP(YEAR(A26), Lookup!$Q:$R, 2)
      )
    ),
  B26&gt;=65,
    IF(AA25+J26 &lt; VLOOKUP(questions!$C$5, Lookup!$Q:$R, 2),
      AA25 + IF(MONTH(A26)=12, R25+X25, 0) + J26 ,
      MIN(
        AA25 + IF(MONTH(A26)=12, R25+X25, 0) + J26,
        VLOOKUP(questions!$C$5, Lookup!$Q:$R, 2)
      )
    )
)</f>
        <v>19637.30743</v>
      </c>
      <c r="AB26" s="65">
        <f t="shared" si="13"/>
        <v>0</v>
      </c>
      <c r="AC26" s="66">
        <f t="array" ref="AC26">IFS(B26&lt;66, XLOOKUP(year(A26),Lookup!$K$13:$K1000,Lookup!$L$13:$L1000,"missing",,1),B26&gt;65,XLOOKUP(questions!$C$5,Lookup!$K$13:$K1000,Lookup!$L$13:$L1000,"missing",,1))</f>
        <v>118093.5</v>
      </c>
      <c r="AD26" s="66">
        <f t="array" ref="AD26">IFS(B26&lt;66, XLOOKUP(year(A26),Lookup!$K$13:$K1000,Lookup!$M$13:$M1000,"missing",,1),B26&gt;65, XLOOKUP(questions!$C$5,Lookup!$K$13:$K1000,Lookup!$M$13:$M1000,"missing",,1))</f>
        <v>236187</v>
      </c>
      <c r="AE26" s="66">
        <f t="array" ref="AE26">IFS(B26&lt;66, XLOOKUP(year(A26),Lookup!$K$13:$K1000,Lookup!$N$13:$N1000,"missing",,1),B26&gt;65,XLOOKUP(questions!$C$5,Lookup!$K$13:$K1000,Lookup!$N$13:$N1000,"missing",,1))</f>
        <v>472374</v>
      </c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</row>
    <row r="27">
      <c r="A27" s="55">
        <f t="shared" si="7"/>
        <v>46843</v>
      </c>
      <c r="B27" s="56">
        <f>round(YEARFRAC(EOMONTH(questions!$C$3, 0),A27,1),2)</f>
        <v>29.33</v>
      </c>
      <c r="C27" s="57">
        <f>IF(B27&lt;questions!$C$6,if(MONTH(A27)=1,C26*(1+questions!$C$12),C26),0)</f>
        <v>10609</v>
      </c>
      <c r="D27" s="58">
        <f>IF(MONTH(A27)=12,C27*questions!$C$11,0)</f>
        <v>0</v>
      </c>
      <c r="E27" s="59">
        <f t="shared" si="2"/>
        <v>8000</v>
      </c>
      <c r="F27" s="59">
        <f t="shared" si="3"/>
        <v>0</v>
      </c>
      <c r="G27" s="60">
        <f t="array" ref="G27">if(YEAR(A27)=2025,XLOOKUP(B27,Lookup!$A$3:$A$7,Lookup!$D$3:$D$7,,1)*SUM(E27:F27), XLOOKUP(B27,Lookup!$A$14:$A$18,Lookup!$D$14:$D$18,,1)*SUM(E27:F27))</f>
        <v>2960</v>
      </c>
      <c r="H27" s="60">
        <f t="array" ref="H27">if(YEAR(A27)=2025,XLOOKUP(B27,Lookup!$F$3:$F$10,Lookup!$G$3:$G$10,,1)*G27, XLOOKUP(B27,Lookup!$F$14:$F$21,Lookup!$G$14:$G$21,,1)*G27)</f>
        <v>1840.232</v>
      </c>
      <c r="I27" s="60">
        <f t="array" ref="I27">if(B27&lt;55, if(YEAR(A27)=2025,XLOOKUP(B27,Lookup!$F$3:$F$10,Lookup!$H$3:$H$10,,1)*G27, XLOOKUP(B27,Lookup!$F$14:$F$21,Lookup!$H$14:$H$21,,1)*G27),0)</f>
        <v>479.816</v>
      </c>
      <c r="J27" s="60">
        <f t="array" ref="J27">if(YEAR(A27)=2025,XLOOKUP(B27,Lookup!$F$3:$F$10,Lookup!$I$3:$I$10,,1)*G27, XLOOKUP(B27,Lookup!$F$14:$F$21,Lookup!$I$14:$I$21,,1)*G27)</f>
        <v>639.952</v>
      </c>
      <c r="K27" s="61">
        <f t="array" ref="K27">if(B27&gt;54, if(YEAR(A27)=2025,XLOOKUP(B27,Lookup!$F$3:$F$10,Lookup!$H$3:$H$10,,1)*G27, XLOOKUP(B27,Lookup!$F$14:$F$21,Lookup!$H$14:$H$21,,1)*G27),0)</f>
        <v>0</v>
      </c>
      <c r="L27" s="62">
        <f>IF(and(A27&lt;questions!$C$19,questions!$C$18="yes"),questions!$C$20,0)</f>
        <v>700</v>
      </c>
      <c r="M27" s="63">
        <f>(Y26+H27)*Lookup!A$26/12</f>
        <v>84.99736014</v>
      </c>
      <c r="N27" s="63">
        <f>if(B27&lt;55, (Z26+I27)*Lookup!B$26/12, (AB26+K27)*Lookup!B$26/12)</f>
        <v>53.24086177</v>
      </c>
      <c r="O27" s="63">
        <f>(AA26+J27)*Lookup!C$26/12</f>
        <v>67.59086476</v>
      </c>
      <c r="P27" s="63">
        <f t="shared" si="8"/>
        <v>247.8656304</v>
      </c>
      <c r="Q27" s="63">
        <f t="shared" si="4"/>
        <v>154.9244253</v>
      </c>
      <c r="R27" s="63">
        <f t="shared" si="5"/>
        <v>196.3730743</v>
      </c>
      <c r="S27" s="64">
        <f t="shared" si="9"/>
        <v>16.66666667</v>
      </c>
      <c r="T27" s="64">
        <f t="shared" si="10"/>
        <v>12.91036878</v>
      </c>
      <c r="U27" s="64">
        <f t="shared" si="11"/>
        <v>16.36442286</v>
      </c>
      <c r="V27" s="64">
        <f t="shared" ref="V27:X27" si="35">IF(year($A27)=year($A26), V26+S27, S27)</f>
        <v>50</v>
      </c>
      <c r="W27" s="64">
        <f t="shared" si="35"/>
        <v>37.53156633</v>
      </c>
      <c r="X27" s="64">
        <f t="shared" si="35"/>
        <v>47.49338857</v>
      </c>
      <c r="Y27" s="65">
        <f>IFS(
  B27&lt;55,
    MAX(
      Y26 + IF(MONTH(A27)=12, P27+V27, 0) + H27 - L27
      + MAX(0,
          IF(AA26 &gt;= VLOOKUP(YEAR(A27), Lookup!$Q:$R, 2),
            Z26 + IF(MONTH(A27)=12, Q27+W27, 0) + I27
              + AA26 + IF(MONTH(A27)=12, R27+X27, 0)
              - VLOOKUP(YEAR(A27), Lookup!$Q:$R, 2) + J27,
            Z26 + IF(MONTH(A27)=12, Q27+W27, 0) + I27
          ) - VLOOKUP(YEAR(A27), Lookup!$K:$M, 3)
        ),
    0),
  B27=55,
    IF(Z26&gt;=AD27,
      MAX(Y26 + IF(MONTH(A27)=12, P27+V27, 0) + H27 - L27, 0),
      MAX(MAX(0, Y26-(AD27-Z26)) + IF(MONTH(A27)=12, P27+V27, 0) + H27 - L27, 0)
    ),
  B27&gt;55,
    IF(AB26&gt;=$AH$7,
      MAX(Y26 + IF(MONTH(A27)=12, P27+V27, 0) + H27 - L27 + K27 + Z26, 0),
      MAX(Y26 + IF(MONTH(A27)=12, P27+V27, 0) + H27 - L27, 0)
    )
)</f>
        <v>40098.73287</v>
      </c>
      <c r="Z27" s="65">
        <f>IFS(
  B27&lt;55,
    MIN(
      IF(AA26 &gt;= VLOOKUP(YEAR(A27), Lookup!$Q:$R, 2),
        Z26 + IF(MONTH(A27)=12, Q27+W27, 0) + I27
          + AA26 + IF(MONTH(A27)=12, R27+X27, 0) - VLOOKUP(YEAR(A27), Lookup!$Q:$R, 2) + J27,
        Z26 + IF(MONTH(A27)=12, Q27+W27, 0) + I27
      ),
      VLOOKUP(YEAR(A27), Lookup!$K:$M, 3)
    ),
  B27=55,
    IF(Z26 &gt;= AD27, Z26 - AD27, 0),
  B27&gt;55, 0
)</f>
        <v>15972.25853</v>
      </c>
      <c r="AA27" s="65">
        <f>IFS(
  B27&lt;65,
    IF(AA26+J27 &lt; VLOOKUP(YEAR(A27), Lookup!$Q:$R, 2),
      AA26 + IF(MONTH(A27)=12, R26+X26, 0) + J27,
      MIN(
        AA26 + IF(MONTH(A27)=12, R26+X26, 0) + J27 ,
        VLOOKUP(YEAR(A27), Lookup!$Q:$R, 2)
      )
    ),
  B27&gt;=65,
    IF(AA26+J27 &lt; VLOOKUP(questions!$C$5, Lookup!$Q:$R, 2),
      AA26 + IF(MONTH(A27)=12, R26+X26, 0) + J27 ,
      MIN(
        AA26 + IF(MONTH(A27)=12, R26+X26, 0) + J27,
        VLOOKUP(questions!$C$5, Lookup!$Q:$R, 2)
      )
    )
)</f>
        <v>20277.25943</v>
      </c>
      <c r="AB27" s="65">
        <f t="shared" si="13"/>
        <v>0</v>
      </c>
      <c r="AC27" s="66">
        <f t="array" ref="AC27">IFS(B27&lt;66, XLOOKUP(year(A27),Lookup!$K$13:$K1000,Lookup!$L$13:$L1000,"missing",,1),B27&gt;65,XLOOKUP(questions!$C$5,Lookup!$K$13:$K1000,Lookup!$L$13:$L1000,"missing",,1))</f>
        <v>118093.5</v>
      </c>
      <c r="AD27" s="66">
        <f t="array" ref="AD27">IFS(B27&lt;66, XLOOKUP(year(A27),Lookup!$K$13:$K1000,Lookup!$M$13:$M1000,"missing",,1),B27&gt;65, XLOOKUP(questions!$C$5,Lookup!$K$13:$K1000,Lookup!$M$13:$M1000,"missing",,1))</f>
        <v>236187</v>
      </c>
      <c r="AE27" s="66">
        <f t="array" ref="AE27">IFS(B27&lt;66, XLOOKUP(year(A27),Lookup!$K$13:$K1000,Lookup!$N$13:$N1000,"missing",,1),B27&gt;65,XLOOKUP(questions!$C$5,Lookup!$K$13:$K1000,Lookup!$N$13:$N1000,"missing",,1))</f>
        <v>472374</v>
      </c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</row>
    <row r="28">
      <c r="A28" s="55">
        <f t="shared" si="7"/>
        <v>46873</v>
      </c>
      <c r="B28" s="56">
        <f>round(YEARFRAC(EOMONTH(questions!$C$3, 0),A28,1),2)</f>
        <v>29.42</v>
      </c>
      <c r="C28" s="57">
        <f>IF(B28&lt;questions!$C$6,if(MONTH(A28)=1,C27*(1+questions!$C$12),C27),0)</f>
        <v>10609</v>
      </c>
      <c r="D28" s="58">
        <f>IF(MONTH(A28)=12,C28*questions!$C$11,0)</f>
        <v>0</v>
      </c>
      <c r="E28" s="59">
        <f t="shared" si="2"/>
        <v>8000</v>
      </c>
      <c r="F28" s="59">
        <f t="shared" si="3"/>
        <v>0</v>
      </c>
      <c r="G28" s="60">
        <f t="array" ref="G28">if(YEAR(A28)=2025,XLOOKUP(B28,Lookup!$A$3:$A$7,Lookup!$D$3:$D$7,,1)*SUM(E28:F28), XLOOKUP(B28,Lookup!$A$14:$A$18,Lookup!$D$14:$D$18,,1)*SUM(E28:F28))</f>
        <v>2960</v>
      </c>
      <c r="H28" s="60">
        <f t="array" ref="H28">if(YEAR(A28)=2025,XLOOKUP(B28,Lookup!$F$3:$F$10,Lookup!$G$3:$G$10,,1)*G28, XLOOKUP(B28,Lookup!$F$14:$F$21,Lookup!$G$14:$G$21,,1)*G28)</f>
        <v>1840.232</v>
      </c>
      <c r="I28" s="60">
        <f t="array" ref="I28">if(B28&lt;55, if(YEAR(A28)=2025,XLOOKUP(B28,Lookup!$F$3:$F$10,Lookup!$H$3:$H$10,,1)*G28, XLOOKUP(B28,Lookup!$F$14:$F$21,Lookup!$H$14:$H$21,,1)*G28),0)</f>
        <v>479.816</v>
      </c>
      <c r="J28" s="60">
        <f t="array" ref="J28">if(YEAR(A28)=2025,XLOOKUP(B28,Lookup!$F$3:$F$10,Lookup!$I$3:$I$10,,1)*G28, XLOOKUP(B28,Lookup!$F$14:$F$21,Lookup!$I$14:$I$21,,1)*G28)</f>
        <v>639.952</v>
      </c>
      <c r="K28" s="61">
        <f t="array" ref="K28">if(B28&gt;54, if(YEAR(A28)=2025,XLOOKUP(B28,Lookup!$F$3:$F$10,Lookup!$H$3:$H$10,,1)*G28, XLOOKUP(B28,Lookup!$F$14:$F$21,Lookup!$H$14:$H$21,,1)*G28),0)</f>
        <v>0</v>
      </c>
      <c r="L28" s="62">
        <f>IF(and(A28&lt;questions!$C$19,questions!$C$18="yes"),questions!$C$20,0)</f>
        <v>700</v>
      </c>
      <c r="M28" s="63">
        <f>(Y27+H28)*Lookup!A$26/12</f>
        <v>87.37284347</v>
      </c>
      <c r="N28" s="63">
        <f>if(B28&lt;55, (Z27+I28)*Lookup!B$26/12, (AB27+K28)*Lookup!B$26/12)</f>
        <v>54.84024844</v>
      </c>
      <c r="O28" s="63">
        <f>(AA27+J28)*Lookup!C$26/12</f>
        <v>69.7240381</v>
      </c>
      <c r="P28" s="63">
        <f t="shared" si="8"/>
        <v>335.2384739</v>
      </c>
      <c r="Q28" s="63">
        <f t="shared" si="4"/>
        <v>209.7646738</v>
      </c>
      <c r="R28" s="63">
        <f t="shared" si="5"/>
        <v>266.0971124</v>
      </c>
      <c r="S28" s="64">
        <f t="shared" si="9"/>
        <v>16.66666667</v>
      </c>
      <c r="T28" s="64">
        <f t="shared" si="10"/>
        <v>13.31021544</v>
      </c>
      <c r="U28" s="64">
        <f t="shared" si="11"/>
        <v>16.89771619</v>
      </c>
      <c r="V28" s="64">
        <f t="shared" ref="V28:X28" si="36">IF(year($A28)=year($A27), V27+S28, S28)</f>
        <v>66.66666667</v>
      </c>
      <c r="W28" s="64">
        <f t="shared" si="36"/>
        <v>50.84178177</v>
      </c>
      <c r="X28" s="64">
        <f t="shared" si="36"/>
        <v>64.39110476</v>
      </c>
      <c r="Y28" s="65">
        <f>IFS(
  B28&lt;55,
    MAX(
      Y27 + IF(MONTH(A28)=12, P28+V28, 0) + H28 - L28
      + MAX(0,
          IF(AA27 &gt;= VLOOKUP(YEAR(A28), Lookup!$Q:$R, 2),
            Z27 + IF(MONTH(A28)=12, Q28+W28, 0) + I28
              + AA27 + IF(MONTH(A28)=12, R28+X28, 0)
              - VLOOKUP(YEAR(A28), Lookup!$Q:$R, 2) + J28,
            Z27 + IF(MONTH(A28)=12, Q28+W28, 0) + I28
          ) - VLOOKUP(YEAR(A28), Lookup!$K:$M, 3)
        ),
    0),
  B28=55,
    IF(Z27&gt;=AD28,
      MAX(Y27 + IF(MONTH(A28)=12, P28+V28, 0) + H28 - L28, 0),
      MAX(MAX(0, Y27-(AD28-Z27)) + IF(MONTH(A28)=12, P28+V28, 0) + H28 - L28, 0)
    ),
  B28&gt;55,
    IF(AB27&gt;=$AH$7,
      MAX(Y27 + IF(MONTH(A28)=12, P28+V28, 0) + H28 - L28 + K28 + Z27, 0),
      MAX(Y27 + IF(MONTH(A28)=12, P28+V28, 0) + H28 - L28, 0)
    )
)</f>
        <v>41238.96487</v>
      </c>
      <c r="Z28" s="65">
        <f>IFS(
  B28&lt;55,
    MIN(
      IF(AA27 &gt;= VLOOKUP(YEAR(A28), Lookup!$Q:$R, 2),
        Z27 + IF(MONTH(A28)=12, Q28+W28, 0) + I28
          + AA27 + IF(MONTH(A28)=12, R28+X28, 0) - VLOOKUP(YEAR(A28), Lookup!$Q:$R, 2) + J28,
        Z27 + IF(MONTH(A28)=12, Q28+W28, 0) + I28
      ),
      VLOOKUP(YEAR(A28), Lookup!$K:$M, 3)
    ),
  B28=55,
    IF(Z27 &gt;= AD28, Z27 - AD28, 0),
  B28&gt;55, 0
)</f>
        <v>16452.07453</v>
      </c>
      <c r="AA28" s="65">
        <f>IFS(
  B28&lt;65,
    IF(AA27+J28 &lt; VLOOKUP(YEAR(A28), Lookup!$Q:$R, 2),
      AA27 + IF(MONTH(A28)=12, R27+X27, 0) + J28,
      MIN(
        AA27 + IF(MONTH(A28)=12, R27+X27, 0) + J28 ,
        VLOOKUP(YEAR(A28), Lookup!$Q:$R, 2)
      )
    ),
  B28&gt;=65,
    IF(AA27+J28 &lt; VLOOKUP(questions!$C$5, Lookup!$Q:$R, 2),
      AA27 + IF(MONTH(A28)=12, R27+X27, 0) + J28 ,
      MIN(
        AA27 + IF(MONTH(A28)=12, R27+X27, 0) + J28,
        VLOOKUP(questions!$C$5, Lookup!$Q:$R, 2)
      )
    )
)</f>
        <v>20917.21143</v>
      </c>
      <c r="AB28" s="65">
        <f t="shared" si="13"/>
        <v>0</v>
      </c>
      <c r="AC28" s="66">
        <f t="array" ref="AC28">IFS(B28&lt;66, XLOOKUP(year(A28),Lookup!$K$13:$K1000,Lookup!$L$13:$L1000,"missing",,1),B28&gt;65,XLOOKUP(questions!$C$5,Lookup!$K$13:$K1000,Lookup!$L$13:$L1000,"missing",,1))</f>
        <v>118093.5</v>
      </c>
      <c r="AD28" s="66">
        <f t="array" ref="AD28">IFS(B28&lt;66, XLOOKUP(year(A28),Lookup!$K$13:$K1000,Lookup!$M$13:$M1000,"missing",,1),B28&gt;65, XLOOKUP(questions!$C$5,Lookup!$K$13:$K1000,Lookup!$M$13:$M1000,"missing",,1))</f>
        <v>236187</v>
      </c>
      <c r="AE28" s="66">
        <f t="array" ref="AE28">IFS(B28&lt;66, XLOOKUP(year(A28),Lookup!$K$13:$K1000,Lookup!$N$13:$N1000,"missing",,1),B28&gt;65,XLOOKUP(questions!$C$5,Lookup!$K$13:$K1000,Lookup!$N$13:$N1000,"missing",,1))</f>
        <v>472374</v>
      </c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</row>
    <row r="29">
      <c r="A29" s="55">
        <f t="shared" si="7"/>
        <v>46904</v>
      </c>
      <c r="B29" s="56">
        <f>round(YEARFRAC(EOMONTH(questions!$C$3, 0),A29,1),2)</f>
        <v>29.5</v>
      </c>
      <c r="C29" s="57">
        <f>IF(B29&lt;questions!$C$6,if(MONTH(A29)=1,C28*(1+questions!$C$12),C28),0)</f>
        <v>10609</v>
      </c>
      <c r="D29" s="58">
        <f>IF(MONTH(A29)=12,C29*questions!$C$11,0)</f>
        <v>0</v>
      </c>
      <c r="E29" s="59">
        <f t="shared" si="2"/>
        <v>8000</v>
      </c>
      <c r="F29" s="59">
        <f t="shared" si="3"/>
        <v>0</v>
      </c>
      <c r="G29" s="60">
        <f t="array" ref="G29">if(YEAR(A29)=2025,XLOOKUP(B29,Lookup!$A$3:$A$7,Lookup!$D$3:$D$7,,1)*SUM(E29:F29), XLOOKUP(B29,Lookup!$A$14:$A$18,Lookup!$D$14:$D$18,,1)*SUM(E29:F29))</f>
        <v>2960</v>
      </c>
      <c r="H29" s="60">
        <f t="array" ref="H29">if(YEAR(A29)=2025,XLOOKUP(B29,Lookup!$F$3:$F$10,Lookup!$G$3:$G$10,,1)*G29, XLOOKUP(B29,Lookup!$F$14:$F$21,Lookup!$G$14:$G$21,,1)*G29)</f>
        <v>1840.232</v>
      </c>
      <c r="I29" s="60">
        <f t="array" ref="I29">if(B29&lt;55, if(YEAR(A29)=2025,XLOOKUP(B29,Lookup!$F$3:$F$10,Lookup!$H$3:$H$10,,1)*G29, XLOOKUP(B29,Lookup!$F$14:$F$21,Lookup!$H$14:$H$21,,1)*G29),0)</f>
        <v>479.816</v>
      </c>
      <c r="J29" s="60">
        <f t="array" ref="J29">if(YEAR(A29)=2025,XLOOKUP(B29,Lookup!$F$3:$F$10,Lookup!$I$3:$I$10,,1)*G29, XLOOKUP(B29,Lookup!$F$14:$F$21,Lookup!$I$14:$I$21,,1)*G29)</f>
        <v>639.952</v>
      </c>
      <c r="K29" s="61">
        <f t="array" ref="K29">if(B29&gt;54, if(YEAR(A29)=2025,XLOOKUP(B29,Lookup!$F$3:$F$10,Lookup!$H$3:$H$10,,1)*G29, XLOOKUP(B29,Lookup!$F$14:$F$21,Lookup!$H$14:$H$21,,1)*G29),0)</f>
        <v>0</v>
      </c>
      <c r="L29" s="62">
        <f>IF(and(A29&lt;questions!$C$19,questions!$C$18="yes"),questions!$C$20,0)</f>
        <v>700</v>
      </c>
      <c r="M29" s="63">
        <f>(Y28+H29)*Lookup!A$26/12</f>
        <v>89.7483268</v>
      </c>
      <c r="N29" s="63">
        <f>if(B29&lt;55, (Z28+I29)*Lookup!B$26/12, (AB28+K29)*Lookup!B$26/12)</f>
        <v>56.43963511</v>
      </c>
      <c r="O29" s="63">
        <f>(AA28+J29)*Lookup!C$26/12</f>
        <v>71.85721143</v>
      </c>
      <c r="P29" s="63">
        <f t="shared" si="8"/>
        <v>424.9868007</v>
      </c>
      <c r="Q29" s="63">
        <f t="shared" si="4"/>
        <v>266.2043089</v>
      </c>
      <c r="R29" s="63">
        <f t="shared" si="5"/>
        <v>337.9543238</v>
      </c>
      <c r="S29" s="64">
        <f t="shared" si="9"/>
        <v>16.66666667</v>
      </c>
      <c r="T29" s="64">
        <f t="shared" si="10"/>
        <v>13.71006211</v>
      </c>
      <c r="U29" s="64">
        <f t="shared" si="11"/>
        <v>17.43100952</v>
      </c>
      <c r="V29" s="64">
        <f t="shared" ref="V29:X29" si="37">IF(year($A29)=year($A28), V28+S29, S29)</f>
        <v>83.33333333</v>
      </c>
      <c r="W29" s="64">
        <f t="shared" si="37"/>
        <v>64.55184388</v>
      </c>
      <c r="X29" s="64">
        <f t="shared" si="37"/>
        <v>81.82211429</v>
      </c>
      <c r="Y29" s="65">
        <f>IFS(
  B29&lt;55,
    MAX(
      Y28 + IF(MONTH(A29)=12, P29+V29, 0) + H29 - L29
      + MAX(0,
          IF(AA28 &gt;= VLOOKUP(YEAR(A29), Lookup!$Q:$R, 2),
            Z28 + IF(MONTH(A29)=12, Q29+W29, 0) + I29
              + AA28 + IF(MONTH(A29)=12, R29+X29, 0)
              - VLOOKUP(YEAR(A29), Lookup!$Q:$R, 2) + J29,
            Z28 + IF(MONTH(A29)=12, Q29+W29, 0) + I29
          ) - VLOOKUP(YEAR(A29), Lookup!$K:$M, 3)
        ),
    0),
  B29=55,
    IF(Z28&gt;=AD29,
      MAX(Y28 + IF(MONTH(A29)=12, P29+V29, 0) + H29 - L29, 0),
      MAX(MAX(0, Y28-(AD29-Z28)) + IF(MONTH(A29)=12, P29+V29, 0) + H29 - L29, 0)
    ),
  B29&gt;55,
    IF(AB28&gt;=$AH$7,
      MAX(Y28 + IF(MONTH(A29)=12, P29+V29, 0) + H29 - L29 + K29 + Z28, 0),
      MAX(Y28 + IF(MONTH(A29)=12, P29+V29, 0) + H29 - L29, 0)
    )
)</f>
        <v>42379.19687</v>
      </c>
      <c r="Z29" s="65">
        <f>IFS(
  B29&lt;55,
    MIN(
      IF(AA28 &gt;= VLOOKUP(YEAR(A29), Lookup!$Q:$R, 2),
        Z28 + IF(MONTH(A29)=12, Q29+W29, 0) + I29
          + AA28 + IF(MONTH(A29)=12, R29+X29, 0) - VLOOKUP(YEAR(A29), Lookup!$Q:$R, 2) + J29,
        Z28 + IF(MONTH(A29)=12, Q29+W29, 0) + I29
      ),
      VLOOKUP(YEAR(A29), Lookup!$K:$M, 3)
    ),
  B29=55,
    IF(Z28 &gt;= AD29, Z28 - AD29, 0),
  B29&gt;55, 0
)</f>
        <v>16931.89053</v>
      </c>
      <c r="AA29" s="65">
        <f>IFS(
  B29&lt;65,
    IF(AA28+J29 &lt; VLOOKUP(YEAR(A29), Lookup!$Q:$R, 2),
      AA28 + IF(MONTH(A29)=12, R28+X28, 0) + J29,
      MIN(
        AA28 + IF(MONTH(A29)=12, R28+X28, 0) + J29 ,
        VLOOKUP(YEAR(A29), Lookup!$Q:$R, 2)
      )
    ),
  B29&gt;=65,
    IF(AA28+J29 &lt; VLOOKUP(questions!$C$5, Lookup!$Q:$R, 2),
      AA28 + IF(MONTH(A29)=12, R28+X28, 0) + J29 ,
      MIN(
        AA28 + IF(MONTH(A29)=12, R28+X28, 0) + J29,
        VLOOKUP(questions!$C$5, Lookup!$Q:$R, 2)
      )
    )
)</f>
        <v>21557.16343</v>
      </c>
      <c r="AB29" s="65">
        <f t="shared" si="13"/>
        <v>0</v>
      </c>
      <c r="AC29" s="66">
        <f t="array" ref="AC29">IFS(B29&lt;66, XLOOKUP(year(A29),Lookup!$K$13:$K1000,Lookup!$L$13:$L1000,"missing",,1),B29&gt;65,XLOOKUP(questions!$C$5,Lookup!$K$13:$K1000,Lookup!$L$13:$L1000,"missing",,1))</f>
        <v>118093.5</v>
      </c>
      <c r="AD29" s="66">
        <f t="array" ref="AD29">IFS(B29&lt;66, XLOOKUP(year(A29),Lookup!$K$13:$K1000,Lookup!$M$13:$M1000,"missing",,1),B29&gt;65, XLOOKUP(questions!$C$5,Lookup!$K$13:$K1000,Lookup!$M$13:$M1000,"missing",,1))</f>
        <v>236187</v>
      </c>
      <c r="AE29" s="66">
        <f t="array" ref="AE29">IFS(B29&lt;66, XLOOKUP(year(A29),Lookup!$K$13:$K1000,Lookup!$N$13:$N1000,"missing",,1),B29&gt;65,XLOOKUP(questions!$C$5,Lookup!$K$13:$K1000,Lookup!$N$13:$N1000,"missing",,1))</f>
        <v>472374</v>
      </c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</row>
    <row r="30">
      <c r="A30" s="55">
        <f t="shared" si="7"/>
        <v>46934</v>
      </c>
      <c r="B30" s="56">
        <f>round(YEARFRAC(EOMONTH(questions!$C$3, 0),A30,1),2)</f>
        <v>29.58</v>
      </c>
      <c r="C30" s="57">
        <f>IF(B30&lt;questions!$C$6,if(MONTH(A30)=1,C29*(1+questions!$C$12),C29),0)</f>
        <v>10609</v>
      </c>
      <c r="D30" s="58">
        <f>IF(MONTH(A30)=12,C30*questions!$C$11,0)</f>
        <v>0</v>
      </c>
      <c r="E30" s="59">
        <f t="shared" si="2"/>
        <v>8000</v>
      </c>
      <c r="F30" s="59">
        <f t="shared" si="3"/>
        <v>0</v>
      </c>
      <c r="G30" s="60">
        <f t="array" ref="G30">if(YEAR(A30)=2025,XLOOKUP(B30,Lookup!$A$3:$A$7,Lookup!$D$3:$D$7,,1)*SUM(E30:F30), XLOOKUP(B30,Lookup!$A$14:$A$18,Lookup!$D$14:$D$18,,1)*SUM(E30:F30))</f>
        <v>2960</v>
      </c>
      <c r="H30" s="60">
        <f t="array" ref="H30">if(YEAR(A30)=2025,XLOOKUP(B30,Lookup!$F$3:$F$10,Lookup!$G$3:$G$10,,1)*G30, XLOOKUP(B30,Lookup!$F$14:$F$21,Lookup!$G$14:$G$21,,1)*G30)</f>
        <v>1840.232</v>
      </c>
      <c r="I30" s="60">
        <f t="array" ref="I30">if(B30&lt;55, if(YEAR(A30)=2025,XLOOKUP(B30,Lookup!$F$3:$F$10,Lookup!$H$3:$H$10,,1)*G30, XLOOKUP(B30,Lookup!$F$14:$F$21,Lookup!$H$14:$H$21,,1)*G30),0)</f>
        <v>479.816</v>
      </c>
      <c r="J30" s="60">
        <f t="array" ref="J30">if(YEAR(A30)=2025,XLOOKUP(B30,Lookup!$F$3:$F$10,Lookup!$I$3:$I$10,,1)*G30, XLOOKUP(B30,Lookup!$F$14:$F$21,Lookup!$I$14:$I$21,,1)*G30)</f>
        <v>639.952</v>
      </c>
      <c r="K30" s="61">
        <f t="array" ref="K30">if(B30&gt;54, if(YEAR(A30)=2025,XLOOKUP(B30,Lookup!$F$3:$F$10,Lookup!$H$3:$H$10,,1)*G30, XLOOKUP(B30,Lookup!$F$14:$F$21,Lookup!$H$14:$H$21,,1)*G30),0)</f>
        <v>0</v>
      </c>
      <c r="L30" s="62">
        <f>IF(and(A30&lt;questions!$C$19,questions!$C$18="yes"),questions!$C$20,0)</f>
        <v>700</v>
      </c>
      <c r="M30" s="63">
        <f>(Y29+H30)*Lookup!A$26/12</f>
        <v>92.12381014</v>
      </c>
      <c r="N30" s="63">
        <f>if(B30&lt;55, (Z29+I30)*Lookup!B$26/12, (AB29+K30)*Lookup!B$26/12)</f>
        <v>58.03902177</v>
      </c>
      <c r="O30" s="63">
        <f>(AA29+J30)*Lookup!C$26/12</f>
        <v>73.99038476</v>
      </c>
      <c r="P30" s="63">
        <f t="shared" si="8"/>
        <v>517.1106108</v>
      </c>
      <c r="Q30" s="63">
        <f t="shared" si="4"/>
        <v>324.2433306</v>
      </c>
      <c r="R30" s="63">
        <f t="shared" si="5"/>
        <v>411.9447086</v>
      </c>
      <c r="S30" s="64">
        <f t="shared" si="9"/>
        <v>16.66666667</v>
      </c>
      <c r="T30" s="64">
        <f t="shared" si="10"/>
        <v>14.10990878</v>
      </c>
      <c r="U30" s="64">
        <f t="shared" si="11"/>
        <v>17.96430286</v>
      </c>
      <c r="V30" s="64">
        <f t="shared" ref="V30:X30" si="38">IF(year($A30)=year($A29), V29+S30, S30)</f>
        <v>100</v>
      </c>
      <c r="W30" s="64">
        <f t="shared" si="38"/>
        <v>78.66175266</v>
      </c>
      <c r="X30" s="64">
        <f t="shared" si="38"/>
        <v>99.78641715</v>
      </c>
      <c r="Y30" s="65">
        <f>IFS(
  B30&lt;55,
    MAX(
      Y29 + IF(MONTH(A30)=12, P30+V30, 0) + H30 - L30
      + MAX(0,
          IF(AA29 &gt;= VLOOKUP(YEAR(A30), Lookup!$Q:$R, 2),
            Z29 + IF(MONTH(A30)=12, Q30+W30, 0) + I30
              + AA29 + IF(MONTH(A30)=12, R30+X30, 0)
              - VLOOKUP(YEAR(A30), Lookup!$Q:$R, 2) + J30,
            Z29 + IF(MONTH(A30)=12, Q30+W30, 0) + I30
          ) - VLOOKUP(YEAR(A30), Lookup!$K:$M, 3)
        ),
    0),
  B30=55,
    IF(Z29&gt;=AD30,
      MAX(Y29 + IF(MONTH(A30)=12, P30+V30, 0) + H30 - L30, 0),
      MAX(MAX(0, Y29-(AD30-Z29)) + IF(MONTH(A30)=12, P30+V30, 0) + H30 - L30, 0)
    ),
  B30&gt;55,
    IF(AB29&gt;=$AH$7,
      MAX(Y29 + IF(MONTH(A30)=12, P30+V30, 0) + H30 - L30 + K30 + Z29, 0),
      MAX(Y29 + IF(MONTH(A30)=12, P30+V30, 0) + H30 - L30, 0)
    )
)</f>
        <v>43519.42887</v>
      </c>
      <c r="Z30" s="65">
        <f>IFS(
  B30&lt;55,
    MIN(
      IF(AA29 &gt;= VLOOKUP(YEAR(A30), Lookup!$Q:$R, 2),
        Z29 + IF(MONTH(A30)=12, Q30+W30, 0) + I30
          + AA29 + IF(MONTH(A30)=12, R30+X30, 0) - VLOOKUP(YEAR(A30), Lookup!$Q:$R, 2) + J30,
        Z29 + IF(MONTH(A30)=12, Q30+W30, 0) + I30
      ),
      VLOOKUP(YEAR(A30), Lookup!$K:$M, 3)
    ),
  B30=55,
    IF(Z29 &gt;= AD30, Z29 - AD30, 0),
  B30&gt;55, 0
)</f>
        <v>17411.70653</v>
      </c>
      <c r="AA30" s="65">
        <f>IFS(
  B30&lt;65,
    IF(AA29+J30 &lt; VLOOKUP(YEAR(A30), Lookup!$Q:$R, 2),
      AA29 + IF(MONTH(A30)=12, R29+X29, 0) + J30,
      MIN(
        AA29 + IF(MONTH(A30)=12, R29+X29, 0) + J30 ,
        VLOOKUP(YEAR(A30), Lookup!$Q:$R, 2)
      )
    ),
  B30&gt;=65,
    IF(AA29+J30 &lt; VLOOKUP(questions!$C$5, Lookup!$Q:$R, 2),
      AA29 + IF(MONTH(A30)=12, R29+X29, 0) + J30 ,
      MIN(
        AA29 + IF(MONTH(A30)=12, R29+X29, 0) + J30,
        VLOOKUP(questions!$C$5, Lookup!$Q:$R, 2)
      )
    )
)</f>
        <v>22197.11543</v>
      </c>
      <c r="AB30" s="65">
        <f t="shared" si="13"/>
        <v>0</v>
      </c>
      <c r="AC30" s="66">
        <f t="array" ref="AC30">IFS(B30&lt;66, XLOOKUP(year(A30),Lookup!$K$13:$K1000,Lookup!$L$13:$L1000,"missing",,1),B30&gt;65,XLOOKUP(questions!$C$5,Lookup!$K$13:$K1000,Lookup!$L$13:$L1000,"missing",,1))</f>
        <v>118093.5</v>
      </c>
      <c r="AD30" s="66">
        <f t="array" ref="AD30">IFS(B30&lt;66, XLOOKUP(year(A30),Lookup!$K$13:$K1000,Lookup!$M$13:$M1000,"missing",,1),B30&gt;65, XLOOKUP(questions!$C$5,Lookup!$K$13:$K1000,Lookup!$M$13:$M1000,"missing",,1))</f>
        <v>236187</v>
      </c>
      <c r="AE30" s="66">
        <f t="array" ref="AE30">IFS(B30&lt;66, XLOOKUP(year(A30),Lookup!$K$13:$K1000,Lookup!$N$13:$N1000,"missing",,1),B30&gt;65,XLOOKUP(questions!$C$5,Lookup!$K$13:$K1000,Lookup!$N$13:$N1000,"missing",,1))</f>
        <v>472374</v>
      </c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</row>
    <row r="31">
      <c r="A31" s="55">
        <f t="shared" si="7"/>
        <v>46965</v>
      </c>
      <c r="B31" s="56">
        <f>round(YEARFRAC(EOMONTH(questions!$C$3, 0),A31,1),2)</f>
        <v>29.67</v>
      </c>
      <c r="C31" s="57">
        <f>IF(B31&lt;questions!$C$6,if(MONTH(A31)=1,C30*(1+questions!$C$12),C30),0)</f>
        <v>10609</v>
      </c>
      <c r="D31" s="58">
        <f>IF(MONTH(A31)=12,C31*questions!$C$11,0)</f>
        <v>0</v>
      </c>
      <c r="E31" s="59">
        <f t="shared" si="2"/>
        <v>8000</v>
      </c>
      <c r="F31" s="59">
        <f t="shared" si="3"/>
        <v>0</v>
      </c>
      <c r="G31" s="60">
        <f t="array" ref="G31">if(YEAR(A31)=2025,XLOOKUP(B31,Lookup!$A$3:$A$7,Lookup!$D$3:$D$7,,1)*SUM(E31:F31), XLOOKUP(B31,Lookup!$A$14:$A$18,Lookup!$D$14:$D$18,,1)*SUM(E31:F31))</f>
        <v>2960</v>
      </c>
      <c r="H31" s="60">
        <f t="array" ref="H31">if(YEAR(A31)=2025,XLOOKUP(B31,Lookup!$F$3:$F$10,Lookup!$G$3:$G$10,,1)*G31, XLOOKUP(B31,Lookup!$F$14:$F$21,Lookup!$G$14:$G$21,,1)*G31)</f>
        <v>1840.232</v>
      </c>
      <c r="I31" s="60">
        <f t="array" ref="I31">if(B31&lt;55, if(YEAR(A31)=2025,XLOOKUP(B31,Lookup!$F$3:$F$10,Lookup!$H$3:$H$10,,1)*G31, XLOOKUP(B31,Lookup!$F$14:$F$21,Lookup!$H$14:$H$21,,1)*G31),0)</f>
        <v>479.816</v>
      </c>
      <c r="J31" s="60">
        <f t="array" ref="J31">if(YEAR(A31)=2025,XLOOKUP(B31,Lookup!$F$3:$F$10,Lookup!$I$3:$I$10,,1)*G31, XLOOKUP(B31,Lookup!$F$14:$F$21,Lookup!$I$14:$I$21,,1)*G31)</f>
        <v>639.952</v>
      </c>
      <c r="K31" s="61">
        <f t="array" ref="K31">if(B31&gt;54, if(YEAR(A31)=2025,XLOOKUP(B31,Lookup!$F$3:$F$10,Lookup!$H$3:$H$10,,1)*G31, XLOOKUP(B31,Lookup!$F$14:$F$21,Lookup!$H$14:$H$21,,1)*G31),0)</f>
        <v>0</v>
      </c>
      <c r="L31" s="62">
        <f>IF(and(A31&lt;questions!$C$19,questions!$C$18="yes"),questions!$C$20,0)</f>
        <v>700</v>
      </c>
      <c r="M31" s="63">
        <f>(Y30+H31)*Lookup!A$26/12</f>
        <v>94.49929347</v>
      </c>
      <c r="N31" s="63">
        <f>if(B31&lt;55, (Z30+I31)*Lookup!B$26/12, (AB30+K31)*Lookup!B$26/12)</f>
        <v>59.63840844</v>
      </c>
      <c r="O31" s="63">
        <f>(AA30+J31)*Lookup!C$26/12</f>
        <v>76.1235581</v>
      </c>
      <c r="P31" s="63">
        <f t="shared" si="8"/>
        <v>611.6099043</v>
      </c>
      <c r="Q31" s="63">
        <f t="shared" si="4"/>
        <v>383.8817391</v>
      </c>
      <c r="R31" s="63">
        <f t="shared" si="5"/>
        <v>488.0682667</v>
      </c>
      <c r="S31" s="64">
        <f t="shared" si="9"/>
        <v>16.66666667</v>
      </c>
      <c r="T31" s="64">
        <f t="shared" si="10"/>
        <v>14.50975544</v>
      </c>
      <c r="U31" s="64">
        <f t="shared" si="11"/>
        <v>18.49759619</v>
      </c>
      <c r="V31" s="64">
        <f t="shared" ref="V31:X31" si="39">IF(year($A31)=year($A30), V30+S31, S31)</f>
        <v>116.6666667</v>
      </c>
      <c r="W31" s="64">
        <f t="shared" si="39"/>
        <v>93.1715081</v>
      </c>
      <c r="X31" s="64">
        <f t="shared" si="39"/>
        <v>118.2840133</v>
      </c>
      <c r="Y31" s="65">
        <f>IFS(
  B31&lt;55,
    MAX(
      Y30 + IF(MONTH(A31)=12, P31+V31, 0) + H31 - L31
      + MAX(0,
          IF(AA30 &gt;= VLOOKUP(YEAR(A31), Lookup!$Q:$R, 2),
            Z30 + IF(MONTH(A31)=12, Q31+W31, 0) + I31
              + AA30 + IF(MONTH(A31)=12, R31+X31, 0)
              - VLOOKUP(YEAR(A31), Lookup!$Q:$R, 2) + J31,
            Z30 + IF(MONTH(A31)=12, Q31+W31, 0) + I31
          ) - VLOOKUP(YEAR(A31), Lookup!$K:$M, 3)
        ),
    0),
  B31=55,
    IF(Z30&gt;=AD31,
      MAX(Y30 + IF(MONTH(A31)=12, P31+V31, 0) + H31 - L31, 0),
      MAX(MAX(0, Y30-(AD31-Z30)) + IF(MONTH(A31)=12, P31+V31, 0) + H31 - L31, 0)
    ),
  B31&gt;55,
    IF(AB30&gt;=$AH$7,
      MAX(Y30 + IF(MONTH(A31)=12, P31+V31, 0) + H31 - L31 + K31 + Z30, 0),
      MAX(Y30 + IF(MONTH(A31)=12, P31+V31, 0) + H31 - L31, 0)
    )
)</f>
        <v>44659.66087</v>
      </c>
      <c r="Z31" s="65">
        <f>IFS(
  B31&lt;55,
    MIN(
      IF(AA30 &gt;= VLOOKUP(YEAR(A31), Lookup!$Q:$R, 2),
        Z30 + IF(MONTH(A31)=12, Q31+W31, 0) + I31
          + AA30 + IF(MONTH(A31)=12, R31+X31, 0) - VLOOKUP(YEAR(A31), Lookup!$Q:$R, 2) + J31,
        Z30 + IF(MONTH(A31)=12, Q31+W31, 0) + I31
      ),
      VLOOKUP(YEAR(A31), Lookup!$K:$M, 3)
    ),
  B31=55,
    IF(Z30 &gt;= AD31, Z30 - AD31, 0),
  B31&gt;55, 0
)</f>
        <v>17891.52253</v>
      </c>
      <c r="AA31" s="65">
        <f>IFS(
  B31&lt;65,
    IF(AA30+J31 &lt; VLOOKUP(YEAR(A31), Lookup!$Q:$R, 2),
      AA30 + IF(MONTH(A31)=12, R30+X30, 0) + J31,
      MIN(
        AA30 + IF(MONTH(A31)=12, R30+X30, 0) + J31 ,
        VLOOKUP(YEAR(A31), Lookup!$Q:$R, 2)
      )
    ),
  B31&gt;=65,
    IF(AA30+J31 &lt; VLOOKUP(questions!$C$5, Lookup!$Q:$R, 2),
      AA30 + IF(MONTH(A31)=12, R30+X30, 0) + J31 ,
      MIN(
        AA30 + IF(MONTH(A31)=12, R30+X30, 0) + J31,
        VLOOKUP(questions!$C$5, Lookup!$Q:$R, 2)
      )
    )
)</f>
        <v>22837.06743</v>
      </c>
      <c r="AB31" s="65">
        <f t="shared" si="13"/>
        <v>0</v>
      </c>
      <c r="AC31" s="66">
        <f t="array" ref="AC31">IFS(B31&lt;66, XLOOKUP(year(A31),Lookup!$K$13:$K1000,Lookup!$L$13:$L1000,"missing",,1),B31&gt;65,XLOOKUP(questions!$C$5,Lookup!$K$13:$K1000,Lookup!$L$13:$L1000,"missing",,1))</f>
        <v>118093.5</v>
      </c>
      <c r="AD31" s="66">
        <f t="array" ref="AD31">IFS(B31&lt;66, XLOOKUP(year(A31),Lookup!$K$13:$K1000,Lookup!$M$13:$M1000,"missing",,1),B31&gt;65, XLOOKUP(questions!$C$5,Lookup!$K$13:$K1000,Lookup!$M$13:$M1000,"missing",,1))</f>
        <v>236187</v>
      </c>
      <c r="AE31" s="66">
        <f t="array" ref="AE31">IFS(B31&lt;66, XLOOKUP(year(A31),Lookup!$K$13:$K1000,Lookup!$N$13:$N1000,"missing",,1),B31&gt;65,XLOOKUP(questions!$C$5,Lookup!$K$13:$K1000,Lookup!$N$13:$N1000,"missing",,1))</f>
        <v>472374</v>
      </c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</row>
    <row r="32">
      <c r="A32" s="55">
        <f t="shared" si="7"/>
        <v>46996</v>
      </c>
      <c r="B32" s="56">
        <f>round(YEARFRAC(EOMONTH(questions!$C$3, 0),A32,1),2)</f>
        <v>29.75</v>
      </c>
      <c r="C32" s="57">
        <f>IF(B32&lt;questions!$C$6,if(MONTH(A32)=1,C31*(1+questions!$C$12),C31),0)</f>
        <v>10609</v>
      </c>
      <c r="D32" s="58">
        <f>IF(MONTH(A32)=12,C32*questions!$C$11,0)</f>
        <v>0</v>
      </c>
      <c r="E32" s="59">
        <f t="shared" si="2"/>
        <v>8000</v>
      </c>
      <c r="F32" s="59">
        <f t="shared" si="3"/>
        <v>0</v>
      </c>
      <c r="G32" s="60">
        <f t="array" ref="G32">if(YEAR(A32)=2025,XLOOKUP(B32,Lookup!$A$3:$A$7,Lookup!$D$3:$D$7,,1)*SUM(E32:F32), XLOOKUP(B32,Lookup!$A$14:$A$18,Lookup!$D$14:$D$18,,1)*SUM(E32:F32))</f>
        <v>2960</v>
      </c>
      <c r="H32" s="60">
        <f t="array" ref="H32">if(YEAR(A32)=2025,XLOOKUP(B32,Lookup!$F$3:$F$10,Lookup!$G$3:$G$10,,1)*G32, XLOOKUP(B32,Lookup!$F$14:$F$21,Lookup!$G$14:$G$21,,1)*G32)</f>
        <v>1840.232</v>
      </c>
      <c r="I32" s="60">
        <f t="array" ref="I32">if(B32&lt;55, if(YEAR(A32)=2025,XLOOKUP(B32,Lookup!$F$3:$F$10,Lookup!$H$3:$H$10,,1)*G32, XLOOKUP(B32,Lookup!$F$14:$F$21,Lookup!$H$14:$H$21,,1)*G32),0)</f>
        <v>479.816</v>
      </c>
      <c r="J32" s="60">
        <f t="array" ref="J32">if(YEAR(A32)=2025,XLOOKUP(B32,Lookup!$F$3:$F$10,Lookup!$I$3:$I$10,,1)*G32, XLOOKUP(B32,Lookup!$F$14:$F$21,Lookup!$I$14:$I$21,,1)*G32)</f>
        <v>639.952</v>
      </c>
      <c r="K32" s="61">
        <f t="array" ref="K32">if(B32&gt;54, if(YEAR(A32)=2025,XLOOKUP(B32,Lookup!$F$3:$F$10,Lookup!$H$3:$H$10,,1)*G32, XLOOKUP(B32,Lookup!$F$14:$F$21,Lookup!$H$14:$H$21,,1)*G32),0)</f>
        <v>0</v>
      </c>
      <c r="L32" s="62">
        <f>IF(and(A32&lt;questions!$C$19,questions!$C$18="yes"),questions!$C$20,0)</f>
        <v>700</v>
      </c>
      <c r="M32" s="63">
        <f>(Y31+H32)*Lookup!A$26/12</f>
        <v>96.8747768</v>
      </c>
      <c r="N32" s="63">
        <f>if(B32&lt;55, (Z31+I32)*Lookup!B$26/12, (AB31+K32)*Lookup!B$26/12)</f>
        <v>61.23779511</v>
      </c>
      <c r="O32" s="63">
        <f>(AA31+J32)*Lookup!C$26/12</f>
        <v>78.25673143</v>
      </c>
      <c r="P32" s="63">
        <f t="shared" si="8"/>
        <v>708.4846811</v>
      </c>
      <c r="Q32" s="63">
        <f t="shared" si="4"/>
        <v>445.1195342</v>
      </c>
      <c r="R32" s="63">
        <f t="shared" si="5"/>
        <v>566.3249981</v>
      </c>
      <c r="S32" s="64">
        <f t="shared" si="9"/>
        <v>16.66666667</v>
      </c>
      <c r="T32" s="64">
        <f t="shared" si="10"/>
        <v>14.90960211</v>
      </c>
      <c r="U32" s="64">
        <f t="shared" si="11"/>
        <v>18.42373122</v>
      </c>
      <c r="V32" s="64">
        <f t="shared" ref="V32:X32" si="40">IF(year($A32)=year($A31), V31+S32, S32)</f>
        <v>133.3333333</v>
      </c>
      <c r="W32" s="64">
        <f t="shared" si="40"/>
        <v>108.0811102</v>
      </c>
      <c r="X32" s="64">
        <f t="shared" si="40"/>
        <v>136.7077446</v>
      </c>
      <c r="Y32" s="65">
        <f>IFS(
  B32&lt;55,
    MAX(
      Y31 + IF(MONTH(A32)=12, P32+V32, 0) + H32 - L32
      + MAX(0,
          IF(AA31 &gt;= VLOOKUP(YEAR(A32), Lookup!$Q:$R, 2),
            Z31 + IF(MONTH(A32)=12, Q32+W32, 0) + I32
              + AA31 + IF(MONTH(A32)=12, R32+X32, 0)
              - VLOOKUP(YEAR(A32), Lookup!$Q:$R, 2) + J32,
            Z31 + IF(MONTH(A32)=12, Q32+W32, 0) + I32
          ) - VLOOKUP(YEAR(A32), Lookup!$K:$M, 3)
        ),
    0),
  B32=55,
    IF(Z31&gt;=AD32,
      MAX(Y31 + IF(MONTH(A32)=12, P32+V32, 0) + H32 - L32, 0),
      MAX(MAX(0, Y31-(AD32-Z31)) + IF(MONTH(A32)=12, P32+V32, 0) + H32 - L32, 0)
    ),
  B32&gt;55,
    IF(AB31&gt;=$AH$7,
      MAX(Y31 + IF(MONTH(A32)=12, P32+V32, 0) + H32 - L32 + K32 + Z31, 0),
      MAX(Y31 + IF(MONTH(A32)=12, P32+V32, 0) + H32 - L32, 0)
    )
)</f>
        <v>45799.89287</v>
      </c>
      <c r="Z32" s="65">
        <f>IFS(
  B32&lt;55,
    MIN(
      IF(AA31 &gt;= VLOOKUP(YEAR(A32), Lookup!$Q:$R, 2),
        Z31 + IF(MONTH(A32)=12, Q32+W32, 0) + I32
          + AA31 + IF(MONTH(A32)=12, R32+X32, 0) - VLOOKUP(YEAR(A32), Lookup!$Q:$R, 2) + J32,
        Z31 + IF(MONTH(A32)=12, Q32+W32, 0) + I32
      ),
      VLOOKUP(YEAR(A32), Lookup!$K:$M, 3)
    ),
  B32=55,
    IF(Z31 &gt;= AD32, Z31 - AD32, 0),
  B32&gt;55, 0
)</f>
        <v>18371.33853</v>
      </c>
      <c r="AA32" s="65">
        <f>IFS(
  B32&lt;65,
    IF(AA31+J32 &lt; VLOOKUP(YEAR(A32), Lookup!$Q:$R, 2),
      AA31 + IF(MONTH(A32)=12, R31+X31, 0) + J32,
      MIN(
        AA31 + IF(MONTH(A32)=12, R31+X31, 0) + J32 ,
        VLOOKUP(YEAR(A32), Lookup!$Q:$R, 2)
      )
    ),
  B32&gt;=65,
    IF(AA31+J32 &lt; VLOOKUP(questions!$C$5, Lookup!$Q:$R, 2),
      AA31 + IF(MONTH(A32)=12, R31+X31, 0) + J32 ,
      MIN(
        AA31 + IF(MONTH(A32)=12, R31+X31, 0) + J32,
        VLOOKUP(questions!$C$5, Lookup!$Q:$R, 2)
      )
    )
)</f>
        <v>23477.01943</v>
      </c>
      <c r="AB32" s="65">
        <f t="shared" si="13"/>
        <v>0</v>
      </c>
      <c r="AC32" s="66">
        <f t="array" ref="AC32">IFS(B32&lt;66, XLOOKUP(year(A32),Lookup!$K$13:$K1000,Lookup!$L$13:$L1000,"missing",,1),B32&gt;65,XLOOKUP(questions!$C$5,Lookup!$K$13:$K1000,Lookup!$L$13:$L1000,"missing",,1))</f>
        <v>118093.5</v>
      </c>
      <c r="AD32" s="66">
        <f t="array" ref="AD32">IFS(B32&lt;66, XLOOKUP(year(A32),Lookup!$K$13:$K1000,Lookup!$M$13:$M1000,"missing",,1),B32&gt;65, XLOOKUP(questions!$C$5,Lookup!$K$13:$K1000,Lookup!$M$13:$M1000,"missing",,1))</f>
        <v>236187</v>
      </c>
      <c r="AE32" s="66">
        <f t="array" ref="AE32">IFS(B32&lt;66, XLOOKUP(year(A32),Lookup!$K$13:$K1000,Lookup!$N$13:$N1000,"missing",,1),B32&gt;65,XLOOKUP(questions!$C$5,Lookup!$K$13:$K1000,Lookup!$N$13:$N1000,"missing",,1))</f>
        <v>472374</v>
      </c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</row>
    <row r="33">
      <c r="A33" s="55">
        <f t="shared" si="7"/>
        <v>47026</v>
      </c>
      <c r="B33" s="56">
        <f>round(YEARFRAC(EOMONTH(questions!$C$3, 0),A33,1),2)</f>
        <v>29.83</v>
      </c>
      <c r="C33" s="57">
        <f>IF(B33&lt;questions!$C$6,if(MONTH(A33)=1,C32*(1+questions!$C$12),C32),0)</f>
        <v>10609</v>
      </c>
      <c r="D33" s="58">
        <f>IF(MONTH(A33)=12,C33*questions!$C$11,0)</f>
        <v>0</v>
      </c>
      <c r="E33" s="59">
        <f t="shared" si="2"/>
        <v>8000</v>
      </c>
      <c r="F33" s="59">
        <f t="shared" si="3"/>
        <v>0</v>
      </c>
      <c r="G33" s="60">
        <f t="array" ref="G33">if(YEAR(A33)=2025,XLOOKUP(B33,Lookup!$A$3:$A$7,Lookup!$D$3:$D$7,,1)*SUM(E33:F33), XLOOKUP(B33,Lookup!$A$14:$A$18,Lookup!$D$14:$D$18,,1)*SUM(E33:F33))</f>
        <v>2960</v>
      </c>
      <c r="H33" s="60">
        <f t="array" ref="H33">if(YEAR(A33)=2025,XLOOKUP(B33,Lookup!$F$3:$F$10,Lookup!$G$3:$G$10,,1)*G33, XLOOKUP(B33,Lookup!$F$14:$F$21,Lookup!$G$14:$G$21,,1)*G33)</f>
        <v>1840.232</v>
      </c>
      <c r="I33" s="60">
        <f t="array" ref="I33">if(B33&lt;55, if(YEAR(A33)=2025,XLOOKUP(B33,Lookup!$F$3:$F$10,Lookup!$H$3:$H$10,,1)*G33, XLOOKUP(B33,Lookup!$F$14:$F$21,Lookup!$H$14:$H$21,,1)*G33),0)</f>
        <v>479.816</v>
      </c>
      <c r="J33" s="60">
        <f t="array" ref="J33">if(YEAR(A33)=2025,XLOOKUP(B33,Lookup!$F$3:$F$10,Lookup!$I$3:$I$10,,1)*G33, XLOOKUP(B33,Lookup!$F$14:$F$21,Lookup!$I$14:$I$21,,1)*G33)</f>
        <v>639.952</v>
      </c>
      <c r="K33" s="61">
        <f t="array" ref="K33">if(B33&gt;54, if(YEAR(A33)=2025,XLOOKUP(B33,Lookup!$F$3:$F$10,Lookup!$H$3:$H$10,,1)*G33, XLOOKUP(B33,Lookup!$F$14:$F$21,Lookup!$H$14:$H$21,,1)*G33),0)</f>
        <v>0</v>
      </c>
      <c r="L33" s="62">
        <f>IF(and(A33&lt;questions!$C$19,questions!$C$18="yes"),questions!$C$20,0)</f>
        <v>700</v>
      </c>
      <c r="M33" s="63">
        <f>(Y32+H33)*Lookup!A$26/12</f>
        <v>99.25026014</v>
      </c>
      <c r="N33" s="63">
        <f>if(B33&lt;55, (Z32+I33)*Lookup!B$26/12, (AB32+K33)*Lookup!B$26/12)</f>
        <v>62.83718177</v>
      </c>
      <c r="O33" s="63">
        <f>(AA32+J33)*Lookup!C$26/12</f>
        <v>80.38990476</v>
      </c>
      <c r="P33" s="63">
        <f t="shared" si="8"/>
        <v>807.7349412</v>
      </c>
      <c r="Q33" s="63">
        <f t="shared" si="4"/>
        <v>507.956716</v>
      </c>
      <c r="R33" s="63">
        <f t="shared" si="5"/>
        <v>646.7149029</v>
      </c>
      <c r="S33" s="64">
        <f t="shared" si="9"/>
        <v>16.66666667</v>
      </c>
      <c r="T33" s="64">
        <f t="shared" si="10"/>
        <v>15.30944878</v>
      </c>
      <c r="U33" s="64">
        <f t="shared" si="11"/>
        <v>18.02388456</v>
      </c>
      <c r="V33" s="64">
        <f t="shared" ref="V33:X33" si="41">IF(year($A33)=year($A32), V32+S33, S33)</f>
        <v>150</v>
      </c>
      <c r="W33" s="64">
        <f t="shared" si="41"/>
        <v>123.390559</v>
      </c>
      <c r="X33" s="64">
        <f t="shared" si="41"/>
        <v>154.7316291</v>
      </c>
      <c r="Y33" s="65">
        <f>IFS(
  B33&lt;55,
    MAX(
      Y32 + IF(MONTH(A33)=12, P33+V33, 0) + H33 - L33
      + MAX(0,
          IF(AA32 &gt;= VLOOKUP(YEAR(A33), Lookup!$Q:$R, 2),
            Z32 + IF(MONTH(A33)=12, Q33+W33, 0) + I33
              + AA32 + IF(MONTH(A33)=12, R33+X33, 0)
              - VLOOKUP(YEAR(A33), Lookup!$Q:$R, 2) + J33,
            Z32 + IF(MONTH(A33)=12, Q33+W33, 0) + I33
          ) - VLOOKUP(YEAR(A33), Lookup!$K:$M, 3)
        ),
    0),
  B33=55,
    IF(Z32&gt;=AD33,
      MAX(Y32 + IF(MONTH(A33)=12, P33+V33, 0) + H33 - L33, 0),
      MAX(MAX(0, Y32-(AD33-Z32)) + IF(MONTH(A33)=12, P33+V33, 0) + H33 - L33, 0)
    ),
  B33&gt;55,
    IF(AB32&gt;=$AH$7,
      MAX(Y32 + IF(MONTH(A33)=12, P33+V33, 0) + H33 - L33 + K33 + Z32, 0),
      MAX(Y32 + IF(MONTH(A33)=12, P33+V33, 0) + H33 - L33, 0)
    )
)</f>
        <v>46940.12487</v>
      </c>
      <c r="Z33" s="65">
        <f>IFS(
  B33&lt;55,
    MIN(
      IF(AA32 &gt;= VLOOKUP(YEAR(A33), Lookup!$Q:$R, 2),
        Z32 + IF(MONTH(A33)=12, Q33+W33, 0) + I33
          + AA32 + IF(MONTH(A33)=12, R33+X33, 0) - VLOOKUP(YEAR(A33), Lookup!$Q:$R, 2) + J33,
        Z32 + IF(MONTH(A33)=12, Q33+W33, 0) + I33
      ),
      VLOOKUP(YEAR(A33), Lookup!$K:$M, 3)
    ),
  B33=55,
    IF(Z32 &gt;= AD33, Z32 - AD33, 0),
  B33&gt;55, 0
)</f>
        <v>18851.15453</v>
      </c>
      <c r="AA33" s="65">
        <f>IFS(
  B33&lt;65,
    IF(AA32+J33 &lt; VLOOKUP(YEAR(A33), Lookup!$Q:$R, 2),
      AA32 + IF(MONTH(A33)=12, R32+X32, 0) + J33,
      MIN(
        AA32 + IF(MONTH(A33)=12, R32+X32, 0) + J33 ,
        VLOOKUP(YEAR(A33), Lookup!$Q:$R, 2)
      )
    ),
  B33&gt;=65,
    IF(AA32+J33 &lt; VLOOKUP(questions!$C$5, Lookup!$Q:$R, 2),
      AA32 + IF(MONTH(A33)=12, R32+X32, 0) + J33 ,
      MIN(
        AA32 + IF(MONTH(A33)=12, R32+X32, 0) + J33,
        VLOOKUP(questions!$C$5, Lookup!$Q:$R, 2)
      )
    )
)</f>
        <v>24116.97143</v>
      </c>
      <c r="AB33" s="65">
        <f t="shared" si="13"/>
        <v>0</v>
      </c>
      <c r="AC33" s="66">
        <f t="array" ref="AC33">IFS(B33&lt;66, XLOOKUP(year(A33),Lookup!$K$13:$K1000,Lookup!$L$13:$L1000,"missing",,1),B33&gt;65,XLOOKUP(questions!$C$5,Lookup!$K$13:$K1000,Lookup!$L$13:$L1000,"missing",,1))</f>
        <v>118093.5</v>
      </c>
      <c r="AD33" s="66">
        <f t="array" ref="AD33">IFS(B33&lt;66, XLOOKUP(year(A33),Lookup!$K$13:$K1000,Lookup!$M$13:$M1000,"missing",,1),B33&gt;65, XLOOKUP(questions!$C$5,Lookup!$K$13:$K1000,Lookup!$M$13:$M1000,"missing",,1))</f>
        <v>236187</v>
      </c>
      <c r="AE33" s="66">
        <f t="array" ref="AE33">IFS(B33&lt;66, XLOOKUP(year(A33),Lookup!$K$13:$K1000,Lookup!$N$13:$N1000,"missing",,1),B33&gt;65,XLOOKUP(questions!$C$5,Lookup!$K$13:$K1000,Lookup!$N$13:$N1000,"missing",,1))</f>
        <v>472374</v>
      </c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</row>
    <row r="34">
      <c r="A34" s="55">
        <f t="shared" si="7"/>
        <v>47057</v>
      </c>
      <c r="B34" s="56">
        <f>round(YEARFRAC(EOMONTH(questions!$C$3, 0),A34,1),2)</f>
        <v>29.92</v>
      </c>
      <c r="C34" s="57">
        <f>IF(B34&lt;questions!$C$6,if(MONTH(A34)=1,C33*(1+questions!$C$12),C33),0)</f>
        <v>10609</v>
      </c>
      <c r="D34" s="58">
        <f>IF(MONTH(A34)=12,C34*questions!$C$11,0)</f>
        <v>0</v>
      </c>
      <c r="E34" s="59">
        <f t="shared" si="2"/>
        <v>8000</v>
      </c>
      <c r="F34" s="59">
        <f t="shared" si="3"/>
        <v>0</v>
      </c>
      <c r="G34" s="60">
        <f t="array" ref="G34">if(YEAR(A34)=2025,XLOOKUP(B34,Lookup!$A$3:$A$7,Lookup!$D$3:$D$7,,1)*SUM(E34:F34), XLOOKUP(B34,Lookup!$A$14:$A$18,Lookup!$D$14:$D$18,,1)*SUM(E34:F34))</f>
        <v>2960</v>
      </c>
      <c r="H34" s="60">
        <f t="array" ref="H34">if(YEAR(A34)=2025,XLOOKUP(B34,Lookup!$F$3:$F$10,Lookup!$G$3:$G$10,,1)*G34, XLOOKUP(B34,Lookup!$F$14:$F$21,Lookup!$G$14:$G$21,,1)*G34)</f>
        <v>1840.232</v>
      </c>
      <c r="I34" s="60">
        <f t="array" ref="I34">if(B34&lt;55, if(YEAR(A34)=2025,XLOOKUP(B34,Lookup!$F$3:$F$10,Lookup!$H$3:$H$10,,1)*G34, XLOOKUP(B34,Lookup!$F$14:$F$21,Lookup!$H$14:$H$21,,1)*G34),0)</f>
        <v>479.816</v>
      </c>
      <c r="J34" s="60">
        <f t="array" ref="J34">if(YEAR(A34)=2025,XLOOKUP(B34,Lookup!$F$3:$F$10,Lookup!$I$3:$I$10,,1)*G34, XLOOKUP(B34,Lookup!$F$14:$F$21,Lookup!$I$14:$I$21,,1)*G34)</f>
        <v>639.952</v>
      </c>
      <c r="K34" s="61">
        <f t="array" ref="K34">if(B34&gt;54, if(YEAR(A34)=2025,XLOOKUP(B34,Lookup!$F$3:$F$10,Lookup!$H$3:$H$10,,1)*G34, XLOOKUP(B34,Lookup!$F$14:$F$21,Lookup!$H$14:$H$21,,1)*G34),0)</f>
        <v>0</v>
      </c>
      <c r="L34" s="62">
        <f>IF(and(A34&lt;questions!$C$19,questions!$C$18="yes"),questions!$C$20,0)</f>
        <v>700</v>
      </c>
      <c r="M34" s="63">
        <f>(Y33+H34)*Lookup!A$26/12</f>
        <v>101.6257435</v>
      </c>
      <c r="N34" s="63">
        <f>if(B34&lt;55, (Z33+I34)*Lookup!B$26/12, (AB33+K34)*Lookup!B$26/12)</f>
        <v>64.43656844</v>
      </c>
      <c r="O34" s="63">
        <f>(AA33+J34)*Lookup!C$26/12</f>
        <v>82.5230781</v>
      </c>
      <c r="P34" s="63">
        <f t="shared" si="8"/>
        <v>909.3606847</v>
      </c>
      <c r="Q34" s="63">
        <f t="shared" si="4"/>
        <v>572.3932844</v>
      </c>
      <c r="R34" s="63">
        <f t="shared" si="5"/>
        <v>729.237981</v>
      </c>
      <c r="S34" s="64">
        <f t="shared" si="9"/>
        <v>16.66666667</v>
      </c>
      <c r="T34" s="64">
        <f t="shared" si="10"/>
        <v>15.70929544</v>
      </c>
      <c r="U34" s="64">
        <f t="shared" si="11"/>
        <v>17.62403789</v>
      </c>
      <c r="V34" s="64">
        <f t="shared" ref="V34:X34" si="42">IF(year($A34)=year($A33), V33+S34, S34)</f>
        <v>166.6666667</v>
      </c>
      <c r="W34" s="64">
        <f t="shared" si="42"/>
        <v>139.0998544</v>
      </c>
      <c r="X34" s="64">
        <f t="shared" si="42"/>
        <v>172.355667</v>
      </c>
      <c r="Y34" s="65">
        <f>IFS(
  B34&lt;55,
    MAX(
      Y33 + IF(MONTH(A34)=12, P34+V34, 0) + H34 - L34
      + MAX(0,
          IF(AA33 &gt;= VLOOKUP(YEAR(A34), Lookup!$Q:$R, 2),
            Z33 + IF(MONTH(A34)=12, Q34+W34, 0) + I34
              + AA33 + IF(MONTH(A34)=12, R34+X34, 0)
              - VLOOKUP(YEAR(A34), Lookup!$Q:$R, 2) + J34,
            Z33 + IF(MONTH(A34)=12, Q34+W34, 0) + I34
          ) - VLOOKUP(YEAR(A34), Lookup!$K:$M, 3)
        ),
    0),
  B34=55,
    IF(Z33&gt;=AD34,
      MAX(Y33 + IF(MONTH(A34)=12, P34+V34, 0) + H34 - L34, 0),
      MAX(MAX(0, Y33-(AD34-Z33)) + IF(MONTH(A34)=12, P34+V34, 0) + H34 - L34, 0)
    ),
  B34&gt;55,
    IF(AB33&gt;=$AH$7,
      MAX(Y33 + IF(MONTH(A34)=12, P34+V34, 0) + H34 - L34 + K34 + Z33, 0),
      MAX(Y33 + IF(MONTH(A34)=12, P34+V34, 0) + H34 - L34, 0)
    )
)</f>
        <v>48080.35687</v>
      </c>
      <c r="Z34" s="65">
        <f>IFS(
  B34&lt;55,
    MIN(
      IF(AA33 &gt;= VLOOKUP(YEAR(A34), Lookup!$Q:$R, 2),
        Z33 + IF(MONTH(A34)=12, Q34+W34, 0) + I34
          + AA33 + IF(MONTH(A34)=12, R34+X34, 0) - VLOOKUP(YEAR(A34), Lookup!$Q:$R, 2) + J34,
        Z33 + IF(MONTH(A34)=12, Q34+W34, 0) + I34
      ),
      VLOOKUP(YEAR(A34), Lookup!$K:$M, 3)
    ),
  B34=55,
    IF(Z33 &gt;= AD34, Z33 - AD34, 0),
  B34&gt;55, 0
)</f>
        <v>19330.97053</v>
      </c>
      <c r="AA34" s="65">
        <f>IFS(
  B34&lt;65,
    IF(AA33+J34 &lt; VLOOKUP(YEAR(A34), Lookup!$Q:$R, 2),
      AA33 + IF(MONTH(A34)=12, R33+X33, 0) + J34,
      MIN(
        AA33 + IF(MONTH(A34)=12, R33+X33, 0) + J34 ,
        VLOOKUP(YEAR(A34), Lookup!$Q:$R, 2)
      )
    ),
  B34&gt;=65,
    IF(AA33+J34 &lt; VLOOKUP(questions!$C$5, Lookup!$Q:$R, 2),
      AA33 + IF(MONTH(A34)=12, R33+X33, 0) + J34 ,
      MIN(
        AA33 + IF(MONTH(A34)=12, R33+X33, 0) + J34,
        VLOOKUP(questions!$C$5, Lookup!$Q:$R, 2)
      )
    )
)</f>
        <v>24756.92343</v>
      </c>
      <c r="AB34" s="65">
        <f t="shared" si="13"/>
        <v>0</v>
      </c>
      <c r="AC34" s="66">
        <f t="array" ref="AC34">IFS(B34&lt;66, XLOOKUP(year(A34),Lookup!$K$13:$K1000,Lookup!$L$13:$L1000,"missing",,1),B34&gt;65,XLOOKUP(questions!$C$5,Lookup!$K$13:$K1000,Lookup!$L$13:$L1000,"missing",,1))</f>
        <v>118093.5</v>
      </c>
      <c r="AD34" s="66">
        <f t="array" ref="AD34">IFS(B34&lt;66, XLOOKUP(year(A34),Lookup!$K$13:$K1000,Lookup!$M$13:$M1000,"missing",,1),B34&gt;65, XLOOKUP(questions!$C$5,Lookup!$K$13:$K1000,Lookup!$M$13:$M1000,"missing",,1))</f>
        <v>236187</v>
      </c>
      <c r="AE34" s="66">
        <f t="array" ref="AE34">IFS(B34&lt;66, XLOOKUP(year(A34),Lookup!$K$13:$K1000,Lookup!$N$13:$N1000,"missing",,1),B34&gt;65,XLOOKUP(questions!$C$5,Lookup!$K$13:$K1000,Lookup!$N$13:$N1000,"missing",,1))</f>
        <v>472374</v>
      </c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</row>
    <row r="35">
      <c r="A35" s="55">
        <f t="shared" si="7"/>
        <v>47087</v>
      </c>
      <c r="B35" s="56">
        <f>round(YEARFRAC(EOMONTH(questions!$C$3, 0),A35,1),2)</f>
        <v>30</v>
      </c>
      <c r="C35" s="57">
        <f>IF(B35&lt;questions!$C$6,if(MONTH(A35)=1,C34*(1+questions!$C$12),C34),0)</f>
        <v>10609</v>
      </c>
      <c r="D35" s="58">
        <f>IF(MONTH(A35)=12,C35*questions!$C$11,0)</f>
        <v>0</v>
      </c>
      <c r="E35" s="59">
        <f t="shared" si="2"/>
        <v>8000</v>
      </c>
      <c r="F35" s="59">
        <f t="shared" si="3"/>
        <v>0</v>
      </c>
      <c r="G35" s="60">
        <f t="array" ref="G35">if(YEAR(A35)=2025,XLOOKUP(B35,Lookup!$A$3:$A$7,Lookup!$D$3:$D$7,,1)*SUM(E35:F35), XLOOKUP(B35,Lookup!$A$14:$A$18,Lookup!$D$14:$D$18,,1)*SUM(E35:F35))</f>
        <v>2960</v>
      </c>
      <c r="H35" s="60">
        <f t="array" ref="H35">if(YEAR(A35)=2025,XLOOKUP(B35,Lookup!$F$3:$F$10,Lookup!$G$3:$G$10,,1)*G35, XLOOKUP(B35,Lookup!$F$14:$F$21,Lookup!$G$14:$G$21,,1)*G35)</f>
        <v>1840.232</v>
      </c>
      <c r="I35" s="60">
        <f t="array" ref="I35">if(B35&lt;55, if(YEAR(A35)=2025,XLOOKUP(B35,Lookup!$F$3:$F$10,Lookup!$H$3:$H$10,,1)*G35, XLOOKUP(B35,Lookup!$F$14:$F$21,Lookup!$H$14:$H$21,,1)*G35),0)</f>
        <v>479.816</v>
      </c>
      <c r="J35" s="60">
        <f t="array" ref="J35">if(YEAR(A35)=2025,XLOOKUP(B35,Lookup!$F$3:$F$10,Lookup!$I$3:$I$10,,1)*G35, XLOOKUP(B35,Lookup!$F$14:$F$21,Lookup!$I$14:$I$21,,1)*G35)</f>
        <v>639.952</v>
      </c>
      <c r="K35" s="61">
        <f t="array" ref="K35">if(B35&gt;54, if(YEAR(A35)=2025,XLOOKUP(B35,Lookup!$F$3:$F$10,Lookup!$H$3:$H$10,,1)*G35, XLOOKUP(B35,Lookup!$F$14:$F$21,Lookup!$H$14:$H$21,,1)*G35),0)</f>
        <v>0</v>
      </c>
      <c r="L35" s="62">
        <f>IF(and(A35&lt;questions!$C$19,questions!$C$18="yes"),questions!$C$20,0)</f>
        <v>700</v>
      </c>
      <c r="M35" s="63">
        <f>(Y34+H35)*Lookup!A$26/12</f>
        <v>104.0012268</v>
      </c>
      <c r="N35" s="63">
        <f>if(B35&lt;55, (Z34+I35)*Lookup!B$26/12, (AB34+K35)*Lookup!B$26/12)</f>
        <v>66.03595511</v>
      </c>
      <c r="O35" s="63">
        <f>(AA34+J35)*Lookup!C$26/12</f>
        <v>84.65625143</v>
      </c>
      <c r="P35" s="63">
        <f t="shared" si="8"/>
        <v>1013.361912</v>
      </c>
      <c r="Q35" s="63">
        <f t="shared" si="4"/>
        <v>638.4292395</v>
      </c>
      <c r="R35" s="63">
        <f t="shared" si="5"/>
        <v>813.8942324</v>
      </c>
      <c r="S35" s="64">
        <f t="shared" si="9"/>
        <v>16.66666667</v>
      </c>
      <c r="T35" s="64">
        <f t="shared" si="10"/>
        <v>16.10914211</v>
      </c>
      <c r="U35" s="64">
        <f t="shared" si="11"/>
        <v>17.22419122</v>
      </c>
      <c r="V35" s="64">
        <f t="shared" ref="V35:X35" si="43">IF(year($A35)=year($A34), V34+S35, S35)</f>
        <v>183.3333333</v>
      </c>
      <c r="W35" s="64">
        <f t="shared" si="43"/>
        <v>155.2089965</v>
      </c>
      <c r="X35" s="64">
        <f t="shared" si="43"/>
        <v>189.5798582</v>
      </c>
      <c r="Y35" s="65">
        <f>IFS(
  B35&lt;55,
    MAX(
      Y34 + IF(MONTH(A35)=12, P35+V35, 0) + H35 - L35
      + MAX(0,
          IF(AA34 &gt;= VLOOKUP(YEAR(A35), Lookup!$Q:$R, 2),
            Z34 + IF(MONTH(A35)=12, Q35+W35, 0) + I35
              + AA34 + IF(MONTH(A35)=12, R35+X35, 0)
              - VLOOKUP(YEAR(A35), Lookup!$Q:$R, 2) + J35,
            Z34 + IF(MONTH(A35)=12, Q35+W35, 0) + I35
          ) - VLOOKUP(YEAR(A35), Lookup!$K:$M, 3)
        ),
    0),
  B35=55,
    IF(Z34&gt;=AD35,
      MAX(Y34 + IF(MONTH(A35)=12, P35+V35, 0) + H35 - L35, 0),
      MAX(MAX(0, Y34-(AD35-Z34)) + IF(MONTH(A35)=12, P35+V35, 0) + H35 - L35, 0)
    ),
  B35&gt;55,
    IF(AB34&gt;=$AH$7,
      MAX(Y34 + IF(MONTH(A35)=12, P35+V35, 0) + H35 - L35 + K35 + Z34, 0),
      MAX(Y34 + IF(MONTH(A35)=12, P35+V35, 0) + H35 - L35, 0)
    )
)</f>
        <v>49220.58887</v>
      </c>
      <c r="Z35" s="65">
        <f>IFS(
  B35&lt;55,
    MIN(
      IF(AA34 &gt;= VLOOKUP(YEAR(A35), Lookup!$Q:$R, 2),
        Z34 + IF(MONTH(A35)=12, Q35+W35, 0) + I35
          + AA34 + IF(MONTH(A35)=12, R35+X35, 0) - VLOOKUP(YEAR(A35), Lookup!$Q:$R, 2) + J35,
        Z34 + IF(MONTH(A35)=12, Q35+W35, 0) + I35
      ),
      VLOOKUP(YEAR(A35), Lookup!$K:$M, 3)
    ),
  B35=55,
    IF(Z34 &gt;= AD35, Z34 - AD35, 0),
  B35&gt;55, 0
)</f>
        <v>19810.78653</v>
      </c>
      <c r="AA35" s="65">
        <f>IFS(
  B35&lt;65,
    IF(AA34+J35 &lt; VLOOKUP(YEAR(A35), Lookup!$Q:$R, 2),
      AA34 + IF(MONTH(A35)=12, R34+X34, 0) + J35,
      MIN(
        AA34 + IF(MONTH(A35)=12, R34+X34, 0) + J35 ,
        VLOOKUP(YEAR(A35), Lookup!$Q:$R, 2)
      )
    ),
  B35&gt;=65,
    IF(AA34+J35 &lt; VLOOKUP(questions!$C$5, Lookup!$Q:$R, 2),
      AA34 + IF(MONTH(A35)=12, R34+X34, 0) + J35 ,
      MIN(
        AA34 + IF(MONTH(A35)=12, R34+X34, 0) + J35,
        VLOOKUP(questions!$C$5, Lookup!$Q:$R, 2)
      )
    )
)</f>
        <v>25396.87543</v>
      </c>
      <c r="AB35" s="65">
        <f t="shared" si="13"/>
        <v>0</v>
      </c>
      <c r="AC35" s="66">
        <f t="array" ref="AC35">IFS(B35&lt;66, XLOOKUP(year(A35),Lookup!$K$13:$K1000,Lookup!$L$13:$L1000,"missing",,1),B35&gt;65,XLOOKUP(questions!$C$5,Lookup!$K$13:$K1000,Lookup!$L$13:$L1000,"missing",,1))</f>
        <v>118093.5</v>
      </c>
      <c r="AD35" s="66">
        <f t="array" ref="AD35">IFS(B35&lt;66, XLOOKUP(year(A35),Lookup!$K$13:$K1000,Lookup!$M$13:$M1000,"missing",,1),B35&gt;65, XLOOKUP(questions!$C$5,Lookup!$K$13:$K1000,Lookup!$M$13:$M1000,"missing",,1))</f>
        <v>236187</v>
      </c>
      <c r="AE35" s="66">
        <f t="array" ref="AE35">IFS(B35&lt;66, XLOOKUP(year(A35),Lookup!$K$13:$K1000,Lookup!$N$13:$N1000,"missing",,1),B35&gt;65,XLOOKUP(questions!$C$5,Lookup!$K$13:$K1000,Lookup!$N$13:$N1000,"missing",,1))</f>
        <v>472374</v>
      </c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</row>
    <row r="36">
      <c r="A36" s="55">
        <f t="shared" si="7"/>
        <v>47118</v>
      </c>
      <c r="B36" s="56">
        <f>round(YEARFRAC(EOMONTH(questions!$C$3, 0),A36,1),2)</f>
        <v>30.08</v>
      </c>
      <c r="C36" s="57">
        <f>IF(B36&lt;questions!$C$6,if(MONTH(A36)=1,C35*(1+questions!$C$12),C35),0)</f>
        <v>10609</v>
      </c>
      <c r="D36" s="57">
        <f>IF(MONTH(A36)=12,C36*questions!$C$11,0)</f>
        <v>10609</v>
      </c>
      <c r="E36" s="59">
        <f t="shared" si="2"/>
        <v>8000</v>
      </c>
      <c r="F36" s="59">
        <f t="shared" si="3"/>
        <v>6000</v>
      </c>
      <c r="G36" s="60">
        <f t="array" ref="G36">if(YEAR(A36)=2025,XLOOKUP(B36,Lookup!$A$3:$A$7,Lookup!$D$3:$D$7,,1)*SUM(E36:F36), XLOOKUP(B36,Lookup!$A$14:$A$18,Lookup!$D$14:$D$18,,1)*SUM(E36:F36))</f>
        <v>5180</v>
      </c>
      <c r="H36" s="60">
        <f t="array" ref="H36">if(YEAR(A36)=2025,XLOOKUP(B36,Lookup!$F$3:$F$10,Lookup!$G$3:$G$10,,1)*G36, XLOOKUP(B36,Lookup!$F$14:$F$21,Lookup!$G$14:$G$21,,1)*G36)</f>
        <v>3220.406</v>
      </c>
      <c r="I36" s="60">
        <f t="array" ref="I36">if(B36&lt;55, if(YEAR(A36)=2025,XLOOKUP(B36,Lookup!$F$3:$F$10,Lookup!$H$3:$H$10,,1)*G36, XLOOKUP(B36,Lookup!$F$14:$F$21,Lookup!$H$14:$H$21,,1)*G36),0)</f>
        <v>839.678</v>
      </c>
      <c r="J36" s="60">
        <f t="array" ref="J36">if(YEAR(A36)=2025,XLOOKUP(B36,Lookup!$F$3:$F$10,Lookup!$I$3:$I$10,,1)*G36, XLOOKUP(B36,Lookup!$F$14:$F$21,Lookup!$I$14:$I$21,,1)*G36)</f>
        <v>1119.916</v>
      </c>
      <c r="K36" s="61">
        <f t="array" ref="K36">if(B36&gt;54, if(YEAR(A36)=2025,XLOOKUP(B36,Lookup!$F$3:$F$10,Lookup!$H$3:$H$10,,1)*G36, XLOOKUP(B36,Lookup!$F$14:$F$21,Lookup!$H$14:$H$21,,1)*G36),0)</f>
        <v>0</v>
      </c>
      <c r="L36" s="62">
        <f>IF(and(A36&lt;questions!$C$19,questions!$C$18="yes"),questions!$C$20,0)</f>
        <v>700</v>
      </c>
      <c r="M36" s="63">
        <f>(Y35+H36)*Lookup!A$26/12</f>
        <v>109.2520726</v>
      </c>
      <c r="N36" s="63">
        <f>if(B36&lt;55, (Z35+I36)*Lookup!B$26/12, (AB35+K36)*Lookup!B$26/12)</f>
        <v>68.83488177</v>
      </c>
      <c r="O36" s="63">
        <f>(AA35+J36)*Lookup!C$26/12</f>
        <v>88.38930476</v>
      </c>
      <c r="P36" s="63">
        <f t="shared" si="8"/>
        <v>1122.613984</v>
      </c>
      <c r="Q36" s="63">
        <f t="shared" si="4"/>
        <v>707.2641213</v>
      </c>
      <c r="R36" s="63">
        <f t="shared" si="5"/>
        <v>902.2835372</v>
      </c>
      <c r="S36" s="64">
        <f t="shared" si="9"/>
        <v>16.66666667</v>
      </c>
      <c r="T36" s="64">
        <f t="shared" si="10"/>
        <v>16.50898878</v>
      </c>
      <c r="U36" s="64">
        <f t="shared" si="11"/>
        <v>16.82434456</v>
      </c>
      <c r="V36" s="64">
        <f t="shared" ref="V36:X36" si="44">IF(year($A36)=year($A35), V35+S36, S36)</f>
        <v>200</v>
      </c>
      <c r="W36" s="64">
        <f t="shared" si="44"/>
        <v>171.7179853</v>
      </c>
      <c r="X36" s="64">
        <f t="shared" si="44"/>
        <v>206.4042028</v>
      </c>
      <c r="Y36" s="65">
        <f>IFS(
  B36&lt;55,
    MAX(
      Y35 + IF(MONTH(A36)=12, P36+V36, 0) + H36 - L36
      + MAX(0,
          IF(AA35 &gt;= VLOOKUP(YEAR(A36), Lookup!$Q:$R, 2),
            Z35 + IF(MONTH(A36)=12, Q36+W36, 0) + I36
              + AA35 + IF(MONTH(A36)=12, R36+X36, 0)
              - VLOOKUP(YEAR(A36), Lookup!$Q:$R, 2) + J36,
            Z35 + IF(MONTH(A36)=12, Q36+W36, 0) + I36
          ) - VLOOKUP(YEAR(A36), Lookup!$K:$M, 3)
        ),
    0),
  B36=55,
    IF(Z35&gt;=AD36,
      MAX(Y35 + IF(MONTH(A36)=12, P36+V36, 0) + H36 - L36, 0),
      MAX(MAX(0, Y35-(AD36-Z35)) + IF(MONTH(A36)=12, P36+V36, 0) + H36 - L36, 0)
    ),
  B36&gt;55,
    IF(AB35&gt;=$AH$7,
      MAX(Y35 + IF(MONTH(A36)=12, P36+V36, 0) + H36 - L36 + K36 + Z35, 0),
      MAX(Y35 + IF(MONTH(A36)=12, P36+V36, 0) + H36 - L36, 0)
    )
)</f>
        <v>53063.60885</v>
      </c>
      <c r="Z36" s="65">
        <f>IFS(
  B36&lt;55,
    MIN(
      IF(AA35 &gt;= VLOOKUP(YEAR(A36), Lookup!$Q:$R, 2),
        Z35 + IF(MONTH(A36)=12, Q36+W36, 0) + I36
          + AA35 + IF(MONTH(A36)=12, R36+X36, 0) - VLOOKUP(YEAR(A36), Lookup!$Q:$R, 2) + J36,
        Z35 + IF(MONTH(A36)=12, Q36+W36, 0) + I36
      ),
      VLOOKUP(YEAR(A36), Lookup!$K:$M, 3)
    ),
  B36=55,
    IF(Z35 &gt;= AD36, Z35 - AD36, 0),
  B36&gt;55, 0
)</f>
        <v>21529.44664</v>
      </c>
      <c r="AA36" s="65">
        <f>IFS(
  B36&lt;65,
    IF(AA35+J36 &lt; VLOOKUP(YEAR(A36), Lookup!$Q:$R, 2),
      AA35 + IF(MONTH(A36)=12, R35+X35, 0) + J36,
      MIN(
        AA35 + IF(MONTH(A36)=12, R35+X35, 0) + J36 ,
        VLOOKUP(YEAR(A36), Lookup!$Q:$R, 2)
      )
    ),
  B36&gt;=65,
    IF(AA35+J36 &lt; VLOOKUP(questions!$C$5, Lookup!$Q:$R, 2),
      AA35 + IF(MONTH(A36)=12, R35+X35, 0) + J36 ,
      MIN(
        AA35 + IF(MONTH(A36)=12, R35+X35, 0) + J36,
        VLOOKUP(questions!$C$5, Lookup!$Q:$R, 2)
      )
    )
)</f>
        <v>27520.26552</v>
      </c>
      <c r="AB36" s="65">
        <f t="shared" si="13"/>
        <v>0</v>
      </c>
      <c r="AC36" s="66">
        <f t="array" ref="AC36">IFS(B36&lt;66, XLOOKUP(year(A36),Lookup!$K$13:$K1000,Lookup!$L$13:$L1000,"missing",,1),B36&gt;65,XLOOKUP(questions!$C$5,Lookup!$K$13:$K1000,Lookup!$L$13:$L1000,"missing",,1))</f>
        <v>118093.5</v>
      </c>
      <c r="AD36" s="66">
        <f t="array" ref="AD36">IFS(B36&lt;66, XLOOKUP(year(A36),Lookup!$K$13:$K1000,Lookup!$M$13:$M1000,"missing",,1),B36&gt;65, XLOOKUP(questions!$C$5,Lookup!$K$13:$K1000,Lookup!$M$13:$M1000,"missing",,1))</f>
        <v>236187</v>
      </c>
      <c r="AE36" s="66">
        <f t="array" ref="AE36">IFS(B36&lt;66, XLOOKUP(year(A36),Lookup!$K$13:$K1000,Lookup!$N$13:$N1000,"missing",,1),B36&gt;65,XLOOKUP(questions!$C$5,Lookup!$K$13:$K1000,Lookup!$N$13:$N1000,"missing",,1))</f>
        <v>472374</v>
      </c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</row>
    <row r="37">
      <c r="A37" s="55">
        <f t="shared" si="7"/>
        <v>47149</v>
      </c>
      <c r="B37" s="56">
        <f>round(YEARFRAC(EOMONTH(questions!$C$3, 0),A37,1),2)</f>
        <v>30.17</v>
      </c>
      <c r="C37" s="57">
        <f>IF(B37&lt;questions!$C$6,if(MONTH(A37)=1,C36*(1+questions!$C$12),C36),0)</f>
        <v>10927.27</v>
      </c>
      <c r="D37" s="58">
        <f>IF(MONTH(A37)=12,C37*questions!$C$11,0)</f>
        <v>0</v>
      </c>
      <c r="E37" s="59">
        <f t="shared" si="2"/>
        <v>8000</v>
      </c>
      <c r="F37" s="59">
        <f t="shared" si="3"/>
        <v>0</v>
      </c>
      <c r="G37" s="60">
        <f t="array" ref="G37">if(YEAR(A37)=2025,XLOOKUP(B37,Lookup!$A$3:$A$7,Lookup!$D$3:$D$7,,1)*SUM(E37:F37), XLOOKUP(B37,Lookup!$A$14:$A$18,Lookup!$D$14:$D$18,,1)*SUM(E37:F37))</f>
        <v>2960</v>
      </c>
      <c r="H37" s="60">
        <f t="array" ref="H37">if(YEAR(A37)=2025,XLOOKUP(B37,Lookup!$F$3:$F$10,Lookup!$G$3:$G$10,,1)*G37, XLOOKUP(B37,Lookup!$F$14:$F$21,Lookup!$G$14:$G$21,,1)*G37)</f>
        <v>1840.232</v>
      </c>
      <c r="I37" s="60">
        <f t="array" ref="I37">if(B37&lt;55, if(YEAR(A37)=2025,XLOOKUP(B37,Lookup!$F$3:$F$10,Lookup!$H$3:$H$10,,1)*G37, XLOOKUP(B37,Lookup!$F$14:$F$21,Lookup!$H$14:$H$21,,1)*G37),0)</f>
        <v>479.816</v>
      </c>
      <c r="J37" s="60">
        <f t="array" ref="J37">if(YEAR(A37)=2025,XLOOKUP(B37,Lookup!$F$3:$F$10,Lookup!$I$3:$I$10,,1)*G37, XLOOKUP(B37,Lookup!$F$14:$F$21,Lookup!$I$14:$I$21,,1)*G37)</f>
        <v>639.952</v>
      </c>
      <c r="K37" s="61">
        <f t="array" ref="K37">if(B37&gt;54, if(YEAR(A37)=2025,XLOOKUP(B37,Lookup!$F$3:$F$10,Lookup!$H$3:$H$10,,1)*G37, XLOOKUP(B37,Lookup!$F$14:$F$21,Lookup!$H$14:$H$21,,1)*G37),0)</f>
        <v>0</v>
      </c>
      <c r="L37" s="62">
        <f>IF(and(A37&lt;questions!$C$19,questions!$C$18="yes"),questions!$C$20,0)</f>
        <v>700</v>
      </c>
      <c r="M37" s="63">
        <f>(Y36+H37)*Lookup!A$26/12</f>
        <v>114.3830018</v>
      </c>
      <c r="N37" s="63">
        <f>if(B37&lt;55, (Z36+I37)*Lookup!B$26/12, (AB36+K37)*Lookup!B$26/12)</f>
        <v>73.3642088</v>
      </c>
      <c r="O37" s="63">
        <f>(AA36+J37)*Lookup!C$26/12</f>
        <v>93.86739173</v>
      </c>
      <c r="P37" s="63">
        <f t="shared" si="8"/>
        <v>114.3830018</v>
      </c>
      <c r="Q37" s="63">
        <f t="shared" si="4"/>
        <v>73.3642088</v>
      </c>
      <c r="R37" s="63">
        <f t="shared" si="5"/>
        <v>93.86739173</v>
      </c>
      <c r="S37" s="64">
        <f t="shared" si="9"/>
        <v>16.66666667</v>
      </c>
      <c r="T37" s="64">
        <f t="shared" si="10"/>
        <v>17.94120553</v>
      </c>
      <c r="U37" s="64">
        <f t="shared" si="11"/>
        <v>15.3921278</v>
      </c>
      <c r="V37" s="64">
        <f t="shared" ref="V37:X37" si="45">IF(year($A37)=year($A36), V36+S37, S37)</f>
        <v>16.66666667</v>
      </c>
      <c r="W37" s="64">
        <f t="shared" si="45"/>
        <v>17.94120553</v>
      </c>
      <c r="X37" s="64">
        <f t="shared" si="45"/>
        <v>15.3921278</v>
      </c>
      <c r="Y37" s="65">
        <f>IFS(
  B37&lt;55,
    MAX(
      Y36 + IF(MONTH(A37)=12, P37+V37, 0) + H37 - L37
      + MAX(0,
          IF(AA36 &gt;= VLOOKUP(YEAR(A37), Lookup!$Q:$R, 2),
            Z36 + IF(MONTH(A37)=12, Q37+W37, 0) + I37
              + AA36 + IF(MONTH(A37)=12, R37+X37, 0)
              - VLOOKUP(YEAR(A37), Lookup!$Q:$R, 2) + J37,
            Z36 + IF(MONTH(A37)=12, Q37+W37, 0) + I37
          ) - VLOOKUP(YEAR(A37), Lookup!$K:$M, 3)
        ),
    0),
  B37=55,
    IF(Z36&gt;=AD37,
      MAX(Y36 + IF(MONTH(A37)=12, P37+V37, 0) + H37 - L37, 0),
      MAX(MAX(0, Y36-(AD37-Z36)) + IF(MONTH(A37)=12, P37+V37, 0) + H37 - L37, 0)
    ),
  B37&gt;55,
    IF(AB36&gt;=$AH$7,
      MAX(Y36 + IF(MONTH(A37)=12, P37+V37, 0) + H37 - L37 + K37 + Z36, 0),
      MAX(Y36 + IF(MONTH(A37)=12, P37+V37, 0) + H37 - L37, 0)
    )
)</f>
        <v>54203.84085</v>
      </c>
      <c r="Z37" s="65">
        <f>IFS(
  B37&lt;55,
    MIN(
      IF(AA36 &gt;= VLOOKUP(YEAR(A37), Lookup!$Q:$R, 2),
        Z36 + IF(MONTH(A37)=12, Q37+W37, 0) + I37
          + AA36 + IF(MONTH(A37)=12, R37+X37, 0) - VLOOKUP(YEAR(A37), Lookup!$Q:$R, 2) + J37,
        Z36 + IF(MONTH(A37)=12, Q37+W37, 0) + I37
      ),
      VLOOKUP(YEAR(A37), Lookup!$K:$M, 3)
    ),
  B37=55,
    IF(Z36 &gt;= AD37, Z36 - AD37, 0),
  B37&gt;55, 0
)</f>
        <v>22009.26264</v>
      </c>
      <c r="AA37" s="65">
        <f>IFS(
  B37&lt;65,
    IF(AA36+J37 &lt; VLOOKUP(YEAR(A37), Lookup!$Q:$R, 2),
      AA36 + IF(MONTH(A37)=12, R36+X36, 0) + J37,
      MIN(
        AA36 + IF(MONTH(A37)=12, R36+X36, 0) + J37 ,
        VLOOKUP(YEAR(A37), Lookup!$Q:$R, 2)
      )
    ),
  B37&gt;=65,
    IF(AA36+J37 &lt; VLOOKUP(questions!$C$5, Lookup!$Q:$R, 2),
      AA36 + IF(MONTH(A37)=12, R36+X36, 0) + J37 ,
      MIN(
        AA36 + IF(MONTH(A37)=12, R36+X36, 0) + J37,
        VLOOKUP(questions!$C$5, Lookup!$Q:$R, 2)
      )
    )
)</f>
        <v>28160.21752</v>
      </c>
      <c r="AB37" s="65">
        <f t="shared" si="13"/>
        <v>0</v>
      </c>
      <c r="AC37" s="66">
        <f t="array" ref="AC37">IFS(B37&lt;66, XLOOKUP(year(A37),Lookup!$K$13:$K1000,Lookup!$L$13:$L1000,"missing",,1),B37&gt;65,XLOOKUP(questions!$C$5,Lookup!$K$13:$K1000,Lookup!$L$13:$L1000,"missing",,1))</f>
        <v>122226.7725</v>
      </c>
      <c r="AD37" s="66">
        <f t="array" ref="AD37">IFS(B37&lt;66, XLOOKUP(year(A37),Lookup!$K$13:$K1000,Lookup!$M$13:$M1000,"missing",,1),B37&gt;65, XLOOKUP(questions!$C$5,Lookup!$K$13:$K1000,Lookup!$M$13:$M1000,"missing",,1))</f>
        <v>244453.545</v>
      </c>
      <c r="AE37" s="66">
        <f t="array" ref="AE37">IFS(B37&lt;66, XLOOKUP(year(A37),Lookup!$K$13:$K1000,Lookup!$N$13:$N1000,"missing",,1),B37&gt;65,XLOOKUP(questions!$C$5,Lookup!$K$13:$K1000,Lookup!$N$13:$N1000,"missing",,1))</f>
        <v>488907.09</v>
      </c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</row>
    <row r="38">
      <c r="A38" s="55">
        <f t="shared" si="7"/>
        <v>47177</v>
      </c>
      <c r="B38" s="56">
        <f>round(YEARFRAC(EOMONTH(questions!$C$3, 0),A38,1),2)</f>
        <v>30.25</v>
      </c>
      <c r="C38" s="57">
        <f>IF(B38&lt;questions!$C$6,if(MONTH(A38)=1,C37*(1+questions!$C$12),C37),0)</f>
        <v>10927.27</v>
      </c>
      <c r="D38" s="58">
        <f>IF(MONTH(A38)=12,C38*questions!$C$11,0)</f>
        <v>0</v>
      </c>
      <c r="E38" s="59">
        <f t="shared" si="2"/>
        <v>8000</v>
      </c>
      <c r="F38" s="59">
        <f t="shared" si="3"/>
        <v>0</v>
      </c>
      <c r="G38" s="60">
        <f t="array" ref="G38">if(YEAR(A38)=2025,XLOOKUP(B38,Lookup!$A$3:$A$7,Lookup!$D$3:$D$7,,1)*SUM(E38:F38), XLOOKUP(B38,Lookup!$A$14:$A$18,Lookup!$D$14:$D$18,,1)*SUM(E38:F38))</f>
        <v>2960</v>
      </c>
      <c r="H38" s="60">
        <f t="array" ref="H38">if(YEAR(A38)=2025,XLOOKUP(B38,Lookup!$F$3:$F$10,Lookup!$G$3:$G$10,,1)*G38, XLOOKUP(B38,Lookup!$F$14:$F$21,Lookup!$G$14:$G$21,,1)*G38)</f>
        <v>1840.232</v>
      </c>
      <c r="I38" s="60">
        <f t="array" ref="I38">if(B38&lt;55, if(YEAR(A38)=2025,XLOOKUP(B38,Lookup!$F$3:$F$10,Lookup!$H$3:$H$10,,1)*G38, XLOOKUP(B38,Lookup!$F$14:$F$21,Lookup!$H$14:$H$21,,1)*G38),0)</f>
        <v>479.816</v>
      </c>
      <c r="J38" s="60">
        <f t="array" ref="J38">if(YEAR(A38)=2025,XLOOKUP(B38,Lookup!$F$3:$F$10,Lookup!$I$3:$I$10,,1)*G38, XLOOKUP(B38,Lookup!$F$14:$F$21,Lookup!$I$14:$I$21,,1)*G38)</f>
        <v>639.952</v>
      </c>
      <c r="K38" s="61">
        <f t="array" ref="K38">if(B38&gt;54, if(YEAR(A38)=2025,XLOOKUP(B38,Lookup!$F$3:$F$10,Lookup!$H$3:$H$10,,1)*G38, XLOOKUP(B38,Lookup!$F$14:$F$21,Lookup!$H$14:$H$21,,1)*G38),0)</f>
        <v>0</v>
      </c>
      <c r="L38" s="62">
        <f>IF(and(A38&lt;questions!$C$19,questions!$C$18="yes"),questions!$C$20,0)</f>
        <v>700</v>
      </c>
      <c r="M38" s="63">
        <f>(Y37+H38)*Lookup!A$26/12</f>
        <v>116.7584851</v>
      </c>
      <c r="N38" s="63">
        <f>if(B38&lt;55, (Z37+I38)*Lookup!B$26/12, (AB37+K38)*Lookup!B$26/12)</f>
        <v>74.96359546</v>
      </c>
      <c r="O38" s="63">
        <f>(AA37+J38)*Lookup!C$26/12</f>
        <v>96.00056507</v>
      </c>
      <c r="P38" s="63">
        <f t="shared" si="8"/>
        <v>231.1414869</v>
      </c>
      <c r="Q38" s="63">
        <f t="shared" si="4"/>
        <v>148.3278043</v>
      </c>
      <c r="R38" s="63">
        <f t="shared" si="5"/>
        <v>189.8679568</v>
      </c>
      <c r="S38" s="64">
        <f t="shared" si="9"/>
        <v>16.66666667</v>
      </c>
      <c r="T38" s="64">
        <f t="shared" si="10"/>
        <v>18.3410522</v>
      </c>
      <c r="U38" s="64">
        <f t="shared" si="11"/>
        <v>14.99228113</v>
      </c>
      <c r="V38" s="64">
        <f t="shared" ref="V38:X38" si="46">IF(year($A38)=year($A37), V37+S38, S38)</f>
        <v>33.33333333</v>
      </c>
      <c r="W38" s="64">
        <f t="shared" si="46"/>
        <v>36.28225773</v>
      </c>
      <c r="X38" s="64">
        <f t="shared" si="46"/>
        <v>30.38440894</v>
      </c>
      <c r="Y38" s="65">
        <f>IFS(
  B38&lt;55,
    MAX(
      Y37 + IF(MONTH(A38)=12, P38+V38, 0) + H38 - L38
      + MAX(0,
          IF(AA37 &gt;= VLOOKUP(YEAR(A38), Lookup!$Q:$R, 2),
            Z37 + IF(MONTH(A38)=12, Q38+W38, 0) + I38
              + AA37 + IF(MONTH(A38)=12, R38+X38, 0)
              - VLOOKUP(YEAR(A38), Lookup!$Q:$R, 2) + J38,
            Z37 + IF(MONTH(A38)=12, Q38+W38, 0) + I38
          ) - VLOOKUP(YEAR(A38), Lookup!$K:$M, 3)
        ),
    0),
  B38=55,
    IF(Z37&gt;=AD38,
      MAX(Y37 + IF(MONTH(A38)=12, P38+V38, 0) + H38 - L38, 0),
      MAX(MAX(0, Y37-(AD38-Z37)) + IF(MONTH(A38)=12, P38+V38, 0) + H38 - L38, 0)
    ),
  B38&gt;55,
    IF(AB37&gt;=$AH$7,
      MAX(Y37 + IF(MONTH(A38)=12, P38+V38, 0) + H38 - L38 + K38 + Z37, 0),
      MAX(Y37 + IF(MONTH(A38)=12, P38+V38, 0) + H38 - L38, 0)
    )
)</f>
        <v>55344.07285</v>
      </c>
      <c r="Z38" s="65">
        <f>IFS(
  B38&lt;55,
    MIN(
      IF(AA37 &gt;= VLOOKUP(YEAR(A38), Lookup!$Q:$R, 2),
        Z37 + IF(MONTH(A38)=12, Q38+W38, 0) + I38
          + AA37 + IF(MONTH(A38)=12, R38+X38, 0) - VLOOKUP(YEAR(A38), Lookup!$Q:$R, 2) + J38,
        Z37 + IF(MONTH(A38)=12, Q38+W38, 0) + I38
      ),
      VLOOKUP(YEAR(A38), Lookup!$K:$M, 3)
    ),
  B38=55,
    IF(Z37 &gt;= AD38, Z37 - AD38, 0),
  B38&gt;55, 0
)</f>
        <v>22489.07864</v>
      </c>
      <c r="AA38" s="65">
        <f>IFS(
  B38&lt;65,
    IF(AA37+J38 &lt; VLOOKUP(YEAR(A38), Lookup!$Q:$R, 2),
      AA37 + IF(MONTH(A38)=12, R37+X37, 0) + J38,
      MIN(
        AA37 + IF(MONTH(A38)=12, R37+X37, 0) + J38 ,
        VLOOKUP(YEAR(A38), Lookup!$Q:$R, 2)
      )
    ),
  B38&gt;=65,
    IF(AA37+J38 &lt; VLOOKUP(questions!$C$5, Lookup!$Q:$R, 2),
      AA37 + IF(MONTH(A38)=12, R37+X37, 0) + J38 ,
      MIN(
        AA37 + IF(MONTH(A38)=12, R37+X37, 0) + J38,
        VLOOKUP(questions!$C$5, Lookup!$Q:$R, 2)
      )
    )
)</f>
        <v>28800.16952</v>
      </c>
      <c r="AB38" s="65">
        <f t="shared" si="13"/>
        <v>0</v>
      </c>
      <c r="AC38" s="66">
        <f t="array" ref="AC38">IFS(B38&lt;66, XLOOKUP(year(A38),Lookup!$K$13:$K1000,Lookup!$L$13:$L1000,"missing",,1),B38&gt;65,XLOOKUP(questions!$C$5,Lookup!$K$13:$K1000,Lookup!$L$13:$L1000,"missing",,1))</f>
        <v>122226.7725</v>
      </c>
      <c r="AD38" s="66">
        <f t="array" ref="AD38">IFS(B38&lt;66, XLOOKUP(year(A38),Lookup!$K$13:$K1000,Lookup!$M$13:$M1000,"missing",,1),B38&gt;65, XLOOKUP(questions!$C$5,Lookup!$K$13:$K1000,Lookup!$M$13:$M1000,"missing",,1))</f>
        <v>244453.545</v>
      </c>
      <c r="AE38" s="66">
        <f t="array" ref="AE38">IFS(B38&lt;66, XLOOKUP(year(A38),Lookup!$K$13:$K1000,Lookup!$N$13:$N1000,"missing",,1),B38&gt;65,XLOOKUP(questions!$C$5,Lookup!$K$13:$K1000,Lookup!$N$13:$N1000,"missing",,1))</f>
        <v>488907.09</v>
      </c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</row>
    <row r="39">
      <c r="A39" s="55">
        <f t="shared" si="7"/>
        <v>47208</v>
      </c>
      <c r="B39" s="56">
        <f>round(YEARFRAC(EOMONTH(questions!$C$3, 0),A39,1),2)</f>
        <v>30.33</v>
      </c>
      <c r="C39" s="57">
        <f>IF(B39&lt;questions!$C$6,if(MONTH(A39)=1,C38*(1+questions!$C$12),C38),0)</f>
        <v>10927.27</v>
      </c>
      <c r="D39" s="58">
        <f>IF(MONTH(A39)=12,C39*questions!$C$11,0)</f>
        <v>0</v>
      </c>
      <c r="E39" s="59">
        <f t="shared" si="2"/>
        <v>8000</v>
      </c>
      <c r="F39" s="59">
        <f t="shared" si="3"/>
        <v>0</v>
      </c>
      <c r="G39" s="60">
        <f t="array" ref="G39">if(YEAR(A39)=2025,XLOOKUP(B39,Lookup!$A$3:$A$7,Lookup!$D$3:$D$7,,1)*SUM(E39:F39), XLOOKUP(B39,Lookup!$A$14:$A$18,Lookup!$D$14:$D$18,,1)*SUM(E39:F39))</f>
        <v>2960</v>
      </c>
      <c r="H39" s="60">
        <f t="array" ref="H39">if(YEAR(A39)=2025,XLOOKUP(B39,Lookup!$F$3:$F$10,Lookup!$G$3:$G$10,,1)*G39, XLOOKUP(B39,Lookup!$F$14:$F$21,Lookup!$G$14:$G$21,,1)*G39)</f>
        <v>1840.232</v>
      </c>
      <c r="I39" s="60">
        <f t="array" ref="I39">if(B39&lt;55, if(YEAR(A39)=2025,XLOOKUP(B39,Lookup!$F$3:$F$10,Lookup!$H$3:$H$10,,1)*G39, XLOOKUP(B39,Lookup!$F$14:$F$21,Lookup!$H$14:$H$21,,1)*G39),0)</f>
        <v>479.816</v>
      </c>
      <c r="J39" s="60">
        <f t="array" ref="J39">if(YEAR(A39)=2025,XLOOKUP(B39,Lookup!$F$3:$F$10,Lookup!$I$3:$I$10,,1)*G39, XLOOKUP(B39,Lookup!$F$14:$F$21,Lookup!$I$14:$I$21,,1)*G39)</f>
        <v>639.952</v>
      </c>
      <c r="K39" s="61">
        <f t="array" ref="K39">if(B39&gt;54, if(YEAR(A39)=2025,XLOOKUP(B39,Lookup!$F$3:$F$10,Lookup!$H$3:$H$10,,1)*G39, XLOOKUP(B39,Lookup!$F$14:$F$21,Lookup!$H$14:$H$21,,1)*G39),0)</f>
        <v>0</v>
      </c>
      <c r="L39" s="62">
        <f>IF(and(A39&lt;questions!$C$19,questions!$C$18="yes"),questions!$C$20,0)</f>
        <v>700</v>
      </c>
      <c r="M39" s="63">
        <f>(Y38+H39)*Lookup!A$26/12</f>
        <v>119.1339684</v>
      </c>
      <c r="N39" s="63">
        <f>if(B39&lt;55, (Z38+I39)*Lookup!B$26/12, (AB38+K39)*Lookup!B$26/12)</f>
        <v>76.56298213</v>
      </c>
      <c r="O39" s="63">
        <f>(AA38+J39)*Lookup!C$26/12</f>
        <v>98.1337384</v>
      </c>
      <c r="P39" s="63">
        <f t="shared" si="8"/>
        <v>350.2754553</v>
      </c>
      <c r="Q39" s="63">
        <f t="shared" si="4"/>
        <v>224.8907864</v>
      </c>
      <c r="R39" s="63">
        <f t="shared" si="5"/>
        <v>288.0016952</v>
      </c>
      <c r="S39" s="64">
        <f t="shared" si="9"/>
        <v>16.66666667</v>
      </c>
      <c r="T39" s="64">
        <f t="shared" si="10"/>
        <v>18.74089887</v>
      </c>
      <c r="U39" s="64">
        <f t="shared" si="11"/>
        <v>14.59243447</v>
      </c>
      <c r="V39" s="64">
        <f t="shared" ref="V39:X39" si="47">IF(year($A39)=year($A38), V38+S39, S39)</f>
        <v>50</v>
      </c>
      <c r="W39" s="64">
        <f t="shared" si="47"/>
        <v>55.0231566</v>
      </c>
      <c r="X39" s="64">
        <f t="shared" si="47"/>
        <v>44.9768434</v>
      </c>
      <c r="Y39" s="65">
        <f>IFS(
  B39&lt;55,
    MAX(
      Y38 + IF(MONTH(A39)=12, P39+V39, 0) + H39 - L39
      + MAX(0,
          IF(AA38 &gt;= VLOOKUP(YEAR(A39), Lookup!$Q:$R, 2),
            Z38 + IF(MONTH(A39)=12, Q39+W39, 0) + I39
              + AA38 + IF(MONTH(A39)=12, R39+X39, 0)
              - VLOOKUP(YEAR(A39), Lookup!$Q:$R, 2) + J39,
            Z38 + IF(MONTH(A39)=12, Q39+W39, 0) + I39
          ) - VLOOKUP(YEAR(A39), Lookup!$K:$M, 3)
        ),
    0),
  B39=55,
    IF(Z38&gt;=AD39,
      MAX(Y38 + IF(MONTH(A39)=12, P39+V39, 0) + H39 - L39, 0),
      MAX(MAX(0, Y38-(AD39-Z38)) + IF(MONTH(A39)=12, P39+V39, 0) + H39 - L39, 0)
    ),
  B39&gt;55,
    IF(AB38&gt;=$AH$7,
      MAX(Y38 + IF(MONTH(A39)=12, P39+V39, 0) + H39 - L39 + K39 + Z38, 0),
      MAX(Y38 + IF(MONTH(A39)=12, P39+V39, 0) + H39 - L39, 0)
    )
)</f>
        <v>56484.30485</v>
      </c>
      <c r="Z39" s="65">
        <f>IFS(
  B39&lt;55,
    MIN(
      IF(AA38 &gt;= VLOOKUP(YEAR(A39), Lookup!$Q:$R, 2),
        Z38 + IF(MONTH(A39)=12, Q39+W39, 0) + I39
          + AA38 + IF(MONTH(A39)=12, R39+X39, 0) - VLOOKUP(YEAR(A39), Lookup!$Q:$R, 2) + J39,
        Z38 + IF(MONTH(A39)=12, Q39+W39, 0) + I39
      ),
      VLOOKUP(YEAR(A39), Lookup!$K:$M, 3)
    ),
  B39=55,
    IF(Z38 &gt;= AD39, Z38 - AD39, 0),
  B39&gt;55, 0
)</f>
        <v>22968.89464</v>
      </c>
      <c r="AA39" s="65">
        <f>IFS(
  B39&lt;65,
    IF(AA38+J39 &lt; VLOOKUP(YEAR(A39), Lookup!$Q:$R, 2),
      AA38 + IF(MONTH(A39)=12, R38+X38, 0) + J39,
      MIN(
        AA38 + IF(MONTH(A39)=12, R38+X38, 0) + J39 ,
        VLOOKUP(YEAR(A39), Lookup!$Q:$R, 2)
      )
    ),
  B39&gt;=65,
    IF(AA38+J39 &lt; VLOOKUP(questions!$C$5, Lookup!$Q:$R, 2),
      AA38 + IF(MONTH(A39)=12, R38+X38, 0) + J39 ,
      MIN(
        AA38 + IF(MONTH(A39)=12, R38+X38, 0) + J39,
        VLOOKUP(questions!$C$5, Lookup!$Q:$R, 2)
      )
    )
)</f>
        <v>29440.12152</v>
      </c>
      <c r="AB39" s="65">
        <f t="shared" si="13"/>
        <v>0</v>
      </c>
      <c r="AC39" s="66">
        <f t="array" ref="AC39">IFS(B39&lt;66, XLOOKUP(year(A39),Lookup!$K$13:$K1000,Lookup!$L$13:$L1000,"missing",,1),B39&gt;65,XLOOKUP(questions!$C$5,Lookup!$K$13:$K1000,Lookup!$L$13:$L1000,"missing",,1))</f>
        <v>122226.7725</v>
      </c>
      <c r="AD39" s="66">
        <f t="array" ref="AD39">IFS(B39&lt;66, XLOOKUP(year(A39),Lookup!$K$13:$K1000,Lookup!$M$13:$M1000,"missing",,1),B39&gt;65, XLOOKUP(questions!$C$5,Lookup!$K$13:$K1000,Lookup!$M$13:$M1000,"missing",,1))</f>
        <v>244453.545</v>
      </c>
      <c r="AE39" s="66">
        <f t="array" ref="AE39">IFS(B39&lt;66, XLOOKUP(year(A39),Lookup!$K$13:$K1000,Lookup!$N$13:$N1000,"missing",,1),B39&gt;65,XLOOKUP(questions!$C$5,Lookup!$K$13:$K1000,Lookup!$N$13:$N1000,"missing",,1))</f>
        <v>488907.09</v>
      </c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</row>
    <row r="40">
      <c r="A40" s="55">
        <f t="shared" si="7"/>
        <v>47238</v>
      </c>
      <c r="B40" s="56">
        <f>round(YEARFRAC(EOMONTH(questions!$C$3, 0),A40,1),2)</f>
        <v>30.41</v>
      </c>
      <c r="C40" s="57">
        <f>IF(B40&lt;questions!$C$6,if(MONTH(A40)=1,C39*(1+questions!$C$12),C39),0)</f>
        <v>10927.27</v>
      </c>
      <c r="D40" s="58">
        <f>IF(MONTH(A40)=12,C40*questions!$C$11,0)</f>
        <v>0</v>
      </c>
      <c r="E40" s="59">
        <f t="shared" si="2"/>
        <v>8000</v>
      </c>
      <c r="F40" s="59">
        <f t="shared" si="3"/>
        <v>0</v>
      </c>
      <c r="G40" s="60">
        <f t="array" ref="G40">if(YEAR(A40)=2025,XLOOKUP(B40,Lookup!$A$3:$A$7,Lookup!$D$3:$D$7,,1)*SUM(E40:F40), XLOOKUP(B40,Lookup!$A$14:$A$18,Lookup!$D$14:$D$18,,1)*SUM(E40:F40))</f>
        <v>2960</v>
      </c>
      <c r="H40" s="60">
        <f t="array" ref="H40">if(YEAR(A40)=2025,XLOOKUP(B40,Lookup!$F$3:$F$10,Lookup!$G$3:$G$10,,1)*G40, XLOOKUP(B40,Lookup!$F$14:$F$21,Lookup!$G$14:$G$21,,1)*G40)</f>
        <v>1840.232</v>
      </c>
      <c r="I40" s="60">
        <f t="array" ref="I40">if(B40&lt;55, if(YEAR(A40)=2025,XLOOKUP(B40,Lookup!$F$3:$F$10,Lookup!$H$3:$H$10,,1)*G40, XLOOKUP(B40,Lookup!$F$14:$F$21,Lookup!$H$14:$H$21,,1)*G40),0)</f>
        <v>479.816</v>
      </c>
      <c r="J40" s="60">
        <f t="array" ref="J40">if(YEAR(A40)=2025,XLOOKUP(B40,Lookup!$F$3:$F$10,Lookup!$I$3:$I$10,,1)*G40, XLOOKUP(B40,Lookup!$F$14:$F$21,Lookup!$I$14:$I$21,,1)*G40)</f>
        <v>639.952</v>
      </c>
      <c r="K40" s="61">
        <f t="array" ref="K40">if(B40&gt;54, if(YEAR(A40)=2025,XLOOKUP(B40,Lookup!$F$3:$F$10,Lookup!$H$3:$H$10,,1)*G40, XLOOKUP(B40,Lookup!$F$14:$F$21,Lookup!$H$14:$H$21,,1)*G40),0)</f>
        <v>0</v>
      </c>
      <c r="L40" s="62">
        <f>IF(and(A40&lt;questions!$C$19,questions!$C$18="yes"),questions!$C$20,0)</f>
        <v>700</v>
      </c>
      <c r="M40" s="63">
        <f>(Y39+H40)*Lookup!A$26/12</f>
        <v>121.5094518</v>
      </c>
      <c r="N40" s="63">
        <f>if(B40&lt;55, (Z39+I40)*Lookup!B$26/12, (AB39+K40)*Lookup!B$26/12)</f>
        <v>78.1623688</v>
      </c>
      <c r="O40" s="63">
        <f>(AA39+J40)*Lookup!C$26/12</f>
        <v>100.2669117</v>
      </c>
      <c r="P40" s="63">
        <f t="shared" si="8"/>
        <v>471.7849071</v>
      </c>
      <c r="Q40" s="63">
        <f t="shared" si="4"/>
        <v>303.0531552</v>
      </c>
      <c r="R40" s="63">
        <f t="shared" si="5"/>
        <v>388.2686069</v>
      </c>
      <c r="S40" s="64">
        <f t="shared" si="9"/>
        <v>16.66666667</v>
      </c>
      <c r="T40" s="64">
        <f t="shared" si="10"/>
        <v>19.14074553</v>
      </c>
      <c r="U40" s="64">
        <f t="shared" si="11"/>
        <v>14.1925878</v>
      </c>
      <c r="V40" s="64">
        <f t="shared" ref="V40:X40" si="48">IF(year($A40)=year($A39), V39+S40, S40)</f>
        <v>66.66666667</v>
      </c>
      <c r="W40" s="64">
        <f t="shared" si="48"/>
        <v>74.16390213</v>
      </c>
      <c r="X40" s="64">
        <f t="shared" si="48"/>
        <v>59.1694312</v>
      </c>
      <c r="Y40" s="65">
        <f>IFS(
  B40&lt;55,
    MAX(
      Y39 + IF(MONTH(A40)=12, P40+V40, 0) + H40 - L40
      + MAX(0,
          IF(AA39 &gt;= VLOOKUP(YEAR(A40), Lookup!$Q:$R, 2),
            Z39 + IF(MONTH(A40)=12, Q40+W40, 0) + I40
              + AA39 + IF(MONTH(A40)=12, R40+X40, 0)
              - VLOOKUP(YEAR(A40), Lookup!$Q:$R, 2) + J40,
            Z39 + IF(MONTH(A40)=12, Q40+W40, 0) + I40
          ) - VLOOKUP(YEAR(A40), Lookup!$K:$M, 3)
        ),
    0),
  B40=55,
    IF(Z39&gt;=AD40,
      MAX(Y39 + IF(MONTH(A40)=12, P40+V40, 0) + H40 - L40, 0),
      MAX(MAX(0, Y39-(AD40-Z39)) + IF(MONTH(A40)=12, P40+V40, 0) + H40 - L40, 0)
    ),
  B40&gt;55,
    IF(AB39&gt;=$AH$7,
      MAX(Y39 + IF(MONTH(A40)=12, P40+V40, 0) + H40 - L40 + K40 + Z39, 0),
      MAX(Y39 + IF(MONTH(A40)=12, P40+V40, 0) + H40 - L40, 0)
    )
)</f>
        <v>57624.53685</v>
      </c>
      <c r="Z40" s="65">
        <f>IFS(
  B40&lt;55,
    MIN(
      IF(AA39 &gt;= VLOOKUP(YEAR(A40), Lookup!$Q:$R, 2),
        Z39 + IF(MONTH(A40)=12, Q40+W40, 0) + I40
          + AA39 + IF(MONTH(A40)=12, R40+X40, 0) - VLOOKUP(YEAR(A40), Lookup!$Q:$R, 2) + J40,
        Z39 + IF(MONTH(A40)=12, Q40+W40, 0) + I40
      ),
      VLOOKUP(YEAR(A40), Lookup!$K:$M, 3)
    ),
  B40=55,
    IF(Z39 &gt;= AD40, Z39 - AD40, 0),
  B40&gt;55, 0
)</f>
        <v>23448.71064</v>
      </c>
      <c r="AA40" s="65">
        <f>IFS(
  B40&lt;65,
    IF(AA39+J40 &lt; VLOOKUP(YEAR(A40), Lookup!$Q:$R, 2),
      AA39 + IF(MONTH(A40)=12, R39+X39, 0) + J40,
      MIN(
        AA39 + IF(MONTH(A40)=12, R39+X39, 0) + J40 ,
        VLOOKUP(YEAR(A40), Lookup!$Q:$R, 2)
      )
    ),
  B40&gt;=65,
    IF(AA39+J40 &lt; VLOOKUP(questions!$C$5, Lookup!$Q:$R, 2),
      AA39 + IF(MONTH(A40)=12, R39+X39, 0) + J40 ,
      MIN(
        AA39 + IF(MONTH(A40)=12, R39+X39, 0) + J40,
        VLOOKUP(questions!$C$5, Lookup!$Q:$R, 2)
      )
    )
)</f>
        <v>30080.07352</v>
      </c>
      <c r="AB40" s="65">
        <f t="shared" si="13"/>
        <v>0</v>
      </c>
      <c r="AC40" s="66">
        <f t="array" ref="AC40">IFS(B40&lt;66, XLOOKUP(year(A40),Lookup!$K$13:$K1000,Lookup!$L$13:$L1000,"missing",,1),B40&gt;65,XLOOKUP(questions!$C$5,Lookup!$K$13:$K1000,Lookup!$L$13:$L1000,"missing",,1))</f>
        <v>122226.7725</v>
      </c>
      <c r="AD40" s="66">
        <f t="array" ref="AD40">IFS(B40&lt;66, XLOOKUP(year(A40),Lookup!$K$13:$K1000,Lookup!$M$13:$M1000,"missing",,1),B40&gt;65, XLOOKUP(questions!$C$5,Lookup!$K$13:$K1000,Lookup!$M$13:$M1000,"missing",,1))</f>
        <v>244453.545</v>
      </c>
      <c r="AE40" s="66">
        <f t="array" ref="AE40">IFS(B40&lt;66, XLOOKUP(year(A40),Lookup!$K$13:$K1000,Lookup!$N$13:$N1000,"missing",,1),B40&gt;65,XLOOKUP(questions!$C$5,Lookup!$K$13:$K1000,Lookup!$N$13:$N1000,"missing",,1))</f>
        <v>488907.09</v>
      </c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</row>
    <row r="41">
      <c r="A41" s="55">
        <f t="shared" si="7"/>
        <v>47269</v>
      </c>
      <c r="B41" s="56">
        <f>round(YEARFRAC(EOMONTH(questions!$C$3, 0),A41,1),2)</f>
        <v>30.5</v>
      </c>
      <c r="C41" s="57">
        <f>IF(B41&lt;questions!$C$6,if(MONTH(A41)=1,C40*(1+questions!$C$12),C40),0)</f>
        <v>10927.27</v>
      </c>
      <c r="D41" s="58">
        <f>IF(MONTH(A41)=12,C41*questions!$C$11,0)</f>
        <v>0</v>
      </c>
      <c r="E41" s="59">
        <f t="shared" si="2"/>
        <v>8000</v>
      </c>
      <c r="F41" s="59">
        <f t="shared" si="3"/>
        <v>0</v>
      </c>
      <c r="G41" s="60">
        <f t="array" ref="G41">if(YEAR(A41)=2025,XLOOKUP(B41,Lookup!$A$3:$A$7,Lookup!$D$3:$D$7,,1)*SUM(E41:F41), XLOOKUP(B41,Lookup!$A$14:$A$18,Lookup!$D$14:$D$18,,1)*SUM(E41:F41))</f>
        <v>2960</v>
      </c>
      <c r="H41" s="60">
        <f t="array" ref="H41">if(YEAR(A41)=2025,XLOOKUP(B41,Lookup!$F$3:$F$10,Lookup!$G$3:$G$10,,1)*G41, XLOOKUP(B41,Lookup!$F$14:$F$21,Lookup!$G$14:$G$21,,1)*G41)</f>
        <v>1840.232</v>
      </c>
      <c r="I41" s="60">
        <f t="array" ref="I41">if(B41&lt;55, if(YEAR(A41)=2025,XLOOKUP(B41,Lookup!$F$3:$F$10,Lookup!$H$3:$H$10,,1)*G41, XLOOKUP(B41,Lookup!$F$14:$F$21,Lookup!$H$14:$H$21,,1)*G41),0)</f>
        <v>479.816</v>
      </c>
      <c r="J41" s="60">
        <f t="array" ref="J41">if(YEAR(A41)=2025,XLOOKUP(B41,Lookup!$F$3:$F$10,Lookup!$I$3:$I$10,,1)*G41, XLOOKUP(B41,Lookup!$F$14:$F$21,Lookup!$I$14:$I$21,,1)*G41)</f>
        <v>639.952</v>
      </c>
      <c r="K41" s="61">
        <f t="array" ref="K41">if(B41&gt;54, if(YEAR(A41)=2025,XLOOKUP(B41,Lookup!$F$3:$F$10,Lookup!$H$3:$H$10,,1)*G41, XLOOKUP(B41,Lookup!$F$14:$F$21,Lookup!$H$14:$H$21,,1)*G41),0)</f>
        <v>0</v>
      </c>
      <c r="L41" s="62">
        <f>IF(and(A41&lt;questions!$C$19,questions!$C$18="yes"),questions!$C$20,0)</f>
        <v>700</v>
      </c>
      <c r="M41" s="63">
        <f>(Y40+H41)*Lookup!A$26/12</f>
        <v>123.8849351</v>
      </c>
      <c r="N41" s="63">
        <f>if(B41&lt;55, (Z40+I41)*Lookup!B$26/12, (AB40+K41)*Lookup!B$26/12)</f>
        <v>79.76175546</v>
      </c>
      <c r="O41" s="63">
        <f>(AA40+J41)*Lookup!C$26/12</f>
        <v>102.4000851</v>
      </c>
      <c r="P41" s="63">
        <f t="shared" si="8"/>
        <v>595.6698422</v>
      </c>
      <c r="Q41" s="63">
        <f t="shared" si="4"/>
        <v>382.8149106</v>
      </c>
      <c r="R41" s="63">
        <f t="shared" si="5"/>
        <v>490.668692</v>
      </c>
      <c r="S41" s="64">
        <f t="shared" si="9"/>
        <v>16.66666667</v>
      </c>
      <c r="T41" s="64">
        <f t="shared" si="10"/>
        <v>19.5405922</v>
      </c>
      <c r="U41" s="64">
        <f t="shared" si="11"/>
        <v>13.79274113</v>
      </c>
      <c r="V41" s="64">
        <f t="shared" ref="V41:X41" si="49">IF(year($A41)=year($A40), V40+S41, S41)</f>
        <v>83.33333333</v>
      </c>
      <c r="W41" s="64">
        <f t="shared" si="49"/>
        <v>93.70449433</v>
      </c>
      <c r="X41" s="64">
        <f t="shared" si="49"/>
        <v>72.96217234</v>
      </c>
      <c r="Y41" s="65">
        <f>IFS(
  B41&lt;55,
    MAX(
      Y40 + IF(MONTH(A41)=12, P41+V41, 0) + H41 - L41
      + MAX(0,
          IF(AA40 &gt;= VLOOKUP(YEAR(A41), Lookup!$Q:$R, 2),
            Z40 + IF(MONTH(A41)=12, Q41+W41, 0) + I41
              + AA40 + IF(MONTH(A41)=12, R41+X41, 0)
              - VLOOKUP(YEAR(A41), Lookup!$Q:$R, 2) + J41,
            Z40 + IF(MONTH(A41)=12, Q41+W41, 0) + I41
          ) - VLOOKUP(YEAR(A41), Lookup!$K:$M, 3)
        ),
    0),
  B41=55,
    IF(Z40&gt;=AD41,
      MAX(Y40 + IF(MONTH(A41)=12, P41+V41, 0) + H41 - L41, 0),
      MAX(MAX(0, Y40-(AD41-Z40)) + IF(MONTH(A41)=12, P41+V41, 0) + H41 - L41, 0)
    ),
  B41&gt;55,
    IF(AB40&gt;=$AH$7,
      MAX(Y40 + IF(MONTH(A41)=12, P41+V41, 0) + H41 - L41 + K41 + Z40, 0),
      MAX(Y40 + IF(MONTH(A41)=12, P41+V41, 0) + H41 - L41, 0)
    )
)</f>
        <v>58764.76885</v>
      </c>
      <c r="Z41" s="65">
        <f>IFS(
  B41&lt;55,
    MIN(
      IF(AA40 &gt;= VLOOKUP(YEAR(A41), Lookup!$Q:$R, 2),
        Z40 + IF(MONTH(A41)=12, Q41+W41, 0) + I41
          + AA40 + IF(MONTH(A41)=12, R41+X41, 0) - VLOOKUP(YEAR(A41), Lookup!$Q:$R, 2) + J41,
        Z40 + IF(MONTH(A41)=12, Q41+W41, 0) + I41
      ),
      VLOOKUP(YEAR(A41), Lookup!$K:$M, 3)
    ),
  B41=55,
    IF(Z40 &gt;= AD41, Z40 - AD41, 0),
  B41&gt;55, 0
)</f>
        <v>23928.52664</v>
      </c>
      <c r="AA41" s="65">
        <f>IFS(
  B41&lt;65,
    IF(AA40+J41 &lt; VLOOKUP(YEAR(A41), Lookup!$Q:$R, 2),
      AA40 + IF(MONTH(A41)=12, R40+X40, 0) + J41,
      MIN(
        AA40 + IF(MONTH(A41)=12, R40+X40, 0) + J41 ,
        VLOOKUP(YEAR(A41), Lookup!$Q:$R, 2)
      )
    ),
  B41&gt;=65,
    IF(AA40+J41 &lt; VLOOKUP(questions!$C$5, Lookup!$Q:$R, 2),
      AA40 + IF(MONTH(A41)=12, R40+X40, 0) + J41 ,
      MIN(
        AA40 + IF(MONTH(A41)=12, R40+X40, 0) + J41,
        VLOOKUP(questions!$C$5, Lookup!$Q:$R, 2)
      )
    )
)</f>
        <v>30720.02552</v>
      </c>
      <c r="AB41" s="65">
        <f t="shared" si="13"/>
        <v>0</v>
      </c>
      <c r="AC41" s="66">
        <f t="array" ref="AC41">IFS(B41&lt;66, XLOOKUP(year(A41),Lookup!$K$13:$K1000,Lookup!$L$13:$L1000,"missing",,1),B41&gt;65,XLOOKUP(questions!$C$5,Lookup!$K$13:$K1000,Lookup!$L$13:$L1000,"missing",,1))</f>
        <v>122226.7725</v>
      </c>
      <c r="AD41" s="66">
        <f t="array" ref="AD41">IFS(B41&lt;66, XLOOKUP(year(A41),Lookup!$K$13:$K1000,Lookup!$M$13:$M1000,"missing",,1),B41&gt;65, XLOOKUP(questions!$C$5,Lookup!$K$13:$K1000,Lookup!$M$13:$M1000,"missing",,1))</f>
        <v>244453.545</v>
      </c>
      <c r="AE41" s="66">
        <f t="array" ref="AE41">IFS(B41&lt;66, XLOOKUP(year(A41),Lookup!$K$13:$K1000,Lookup!$N$13:$N1000,"missing",,1),B41&gt;65,XLOOKUP(questions!$C$5,Lookup!$K$13:$K1000,Lookup!$N$13:$N1000,"missing",,1))</f>
        <v>488907.09</v>
      </c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</row>
    <row r="42">
      <c r="A42" s="55">
        <f t="shared" si="7"/>
        <v>47299</v>
      </c>
      <c r="B42" s="56">
        <f>round(YEARFRAC(EOMONTH(questions!$C$3, 0),A42,1),2)</f>
        <v>30.58</v>
      </c>
      <c r="C42" s="57">
        <f>IF(B42&lt;questions!$C$6,if(MONTH(A42)=1,C41*(1+questions!$C$12),C41),0)</f>
        <v>10927.27</v>
      </c>
      <c r="D42" s="58">
        <f>IF(MONTH(A42)=12,C42*questions!$C$11,0)</f>
        <v>0</v>
      </c>
      <c r="E42" s="59">
        <f t="shared" si="2"/>
        <v>8000</v>
      </c>
      <c r="F42" s="59">
        <f t="shared" si="3"/>
        <v>0</v>
      </c>
      <c r="G42" s="60">
        <f t="array" ref="G42">if(YEAR(A42)=2025,XLOOKUP(B42,Lookup!$A$3:$A$7,Lookup!$D$3:$D$7,,1)*SUM(E42:F42), XLOOKUP(B42,Lookup!$A$14:$A$18,Lookup!$D$14:$D$18,,1)*SUM(E42:F42))</f>
        <v>2960</v>
      </c>
      <c r="H42" s="60">
        <f t="array" ref="H42">if(YEAR(A42)=2025,XLOOKUP(B42,Lookup!$F$3:$F$10,Lookup!$G$3:$G$10,,1)*G42, XLOOKUP(B42,Lookup!$F$14:$F$21,Lookup!$G$14:$G$21,,1)*G42)</f>
        <v>1840.232</v>
      </c>
      <c r="I42" s="60">
        <f t="array" ref="I42">if(B42&lt;55, if(YEAR(A42)=2025,XLOOKUP(B42,Lookup!$F$3:$F$10,Lookup!$H$3:$H$10,,1)*G42, XLOOKUP(B42,Lookup!$F$14:$F$21,Lookup!$H$14:$H$21,,1)*G42),0)</f>
        <v>479.816</v>
      </c>
      <c r="J42" s="60">
        <f t="array" ref="J42">if(YEAR(A42)=2025,XLOOKUP(B42,Lookup!$F$3:$F$10,Lookup!$I$3:$I$10,,1)*G42, XLOOKUP(B42,Lookup!$F$14:$F$21,Lookup!$I$14:$I$21,,1)*G42)</f>
        <v>639.952</v>
      </c>
      <c r="K42" s="61">
        <f t="array" ref="K42">if(B42&gt;54, if(YEAR(A42)=2025,XLOOKUP(B42,Lookup!$F$3:$F$10,Lookup!$H$3:$H$10,,1)*G42, XLOOKUP(B42,Lookup!$F$14:$F$21,Lookup!$H$14:$H$21,,1)*G42),0)</f>
        <v>0</v>
      </c>
      <c r="L42" s="62">
        <f>IF(and(A42&lt;questions!$C$19,questions!$C$18="yes"),questions!$C$20,0)</f>
        <v>700</v>
      </c>
      <c r="M42" s="63">
        <f>(Y41+H42)*Lookup!A$26/12</f>
        <v>126.2604184</v>
      </c>
      <c r="N42" s="63">
        <f>if(B42&lt;55, (Z41+I42)*Lookup!B$26/12, (AB41+K42)*Lookup!B$26/12)</f>
        <v>81.36114213</v>
      </c>
      <c r="O42" s="63">
        <f>(AA41+J42)*Lookup!C$26/12</f>
        <v>104.5332584</v>
      </c>
      <c r="P42" s="63">
        <f t="shared" si="8"/>
        <v>721.9302606</v>
      </c>
      <c r="Q42" s="63">
        <f t="shared" si="4"/>
        <v>464.1760528</v>
      </c>
      <c r="R42" s="63">
        <f t="shared" si="5"/>
        <v>595.2019504</v>
      </c>
      <c r="S42" s="64">
        <f t="shared" si="9"/>
        <v>16.66666667</v>
      </c>
      <c r="T42" s="64">
        <f t="shared" si="10"/>
        <v>19.94043887</v>
      </c>
      <c r="U42" s="64">
        <f t="shared" si="11"/>
        <v>13.39289447</v>
      </c>
      <c r="V42" s="64">
        <f t="shared" ref="V42:X42" si="50">IF(year($A42)=year($A41), V41+S42, S42)</f>
        <v>100</v>
      </c>
      <c r="W42" s="64">
        <f t="shared" si="50"/>
        <v>113.6449332</v>
      </c>
      <c r="X42" s="64">
        <f t="shared" si="50"/>
        <v>86.35506681</v>
      </c>
      <c r="Y42" s="65">
        <f>IFS(
  B42&lt;55,
    MAX(
      Y41 + IF(MONTH(A42)=12, P42+V42, 0) + H42 - L42
      + MAX(0,
          IF(AA41 &gt;= VLOOKUP(YEAR(A42), Lookup!$Q:$R, 2),
            Z41 + IF(MONTH(A42)=12, Q42+W42, 0) + I42
              + AA41 + IF(MONTH(A42)=12, R42+X42, 0)
              - VLOOKUP(YEAR(A42), Lookup!$Q:$R, 2) + J42,
            Z41 + IF(MONTH(A42)=12, Q42+W42, 0) + I42
          ) - VLOOKUP(YEAR(A42), Lookup!$K:$M, 3)
        ),
    0),
  B42=55,
    IF(Z41&gt;=AD42,
      MAX(Y41 + IF(MONTH(A42)=12, P42+V42, 0) + H42 - L42, 0),
      MAX(MAX(0, Y41-(AD42-Z41)) + IF(MONTH(A42)=12, P42+V42, 0) + H42 - L42, 0)
    ),
  B42&gt;55,
    IF(AB41&gt;=$AH$7,
      MAX(Y41 + IF(MONTH(A42)=12, P42+V42, 0) + H42 - L42 + K42 + Z41, 0),
      MAX(Y41 + IF(MONTH(A42)=12, P42+V42, 0) + H42 - L42, 0)
    )
)</f>
        <v>59905.00085</v>
      </c>
      <c r="Z42" s="65">
        <f>IFS(
  B42&lt;55,
    MIN(
      IF(AA41 &gt;= VLOOKUP(YEAR(A42), Lookup!$Q:$R, 2),
        Z41 + IF(MONTH(A42)=12, Q42+W42, 0) + I42
          + AA41 + IF(MONTH(A42)=12, R42+X42, 0) - VLOOKUP(YEAR(A42), Lookup!$Q:$R, 2) + J42,
        Z41 + IF(MONTH(A42)=12, Q42+W42, 0) + I42
      ),
      VLOOKUP(YEAR(A42), Lookup!$K:$M, 3)
    ),
  B42=55,
    IF(Z41 &gt;= AD42, Z41 - AD42, 0),
  B42&gt;55, 0
)</f>
        <v>24408.34264</v>
      </c>
      <c r="AA42" s="65">
        <f>IFS(
  B42&lt;65,
    IF(AA41+J42 &lt; VLOOKUP(YEAR(A42), Lookup!$Q:$R, 2),
      AA41 + IF(MONTH(A42)=12, R41+X41, 0) + J42,
      MIN(
        AA41 + IF(MONTH(A42)=12, R41+X41, 0) + J42 ,
        VLOOKUP(YEAR(A42), Lookup!$Q:$R, 2)
      )
    ),
  B42&gt;=65,
    IF(AA41+J42 &lt; VLOOKUP(questions!$C$5, Lookup!$Q:$R, 2),
      AA41 + IF(MONTH(A42)=12, R41+X41, 0) + J42 ,
      MIN(
        AA41 + IF(MONTH(A42)=12, R41+X41, 0) + J42,
        VLOOKUP(questions!$C$5, Lookup!$Q:$R, 2)
      )
    )
)</f>
        <v>31359.97752</v>
      </c>
      <c r="AB42" s="65">
        <f t="shared" si="13"/>
        <v>0</v>
      </c>
      <c r="AC42" s="66">
        <f t="array" ref="AC42">IFS(B42&lt;66, XLOOKUP(year(A42),Lookup!$K$13:$K1000,Lookup!$L$13:$L1000,"missing",,1),B42&gt;65,XLOOKUP(questions!$C$5,Lookup!$K$13:$K1000,Lookup!$L$13:$L1000,"missing",,1))</f>
        <v>122226.7725</v>
      </c>
      <c r="AD42" s="66">
        <f t="array" ref="AD42">IFS(B42&lt;66, XLOOKUP(year(A42),Lookup!$K$13:$K1000,Lookup!$M$13:$M1000,"missing",,1),B42&gt;65, XLOOKUP(questions!$C$5,Lookup!$K$13:$K1000,Lookup!$M$13:$M1000,"missing",,1))</f>
        <v>244453.545</v>
      </c>
      <c r="AE42" s="66">
        <f t="array" ref="AE42">IFS(B42&lt;66, XLOOKUP(year(A42),Lookup!$K$13:$K1000,Lookup!$N$13:$N1000,"missing",,1),B42&gt;65,XLOOKUP(questions!$C$5,Lookup!$K$13:$K1000,Lookup!$N$13:$N1000,"missing",,1))</f>
        <v>488907.09</v>
      </c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</row>
    <row r="43">
      <c r="A43" s="55">
        <f t="shared" si="7"/>
        <v>47330</v>
      </c>
      <c r="B43" s="56">
        <f>round(YEARFRAC(EOMONTH(questions!$C$3, 0),A43,1),2)</f>
        <v>30.67</v>
      </c>
      <c r="C43" s="57">
        <f>IF(B43&lt;questions!$C$6,if(MONTH(A43)=1,C42*(1+questions!$C$12),C42),0)</f>
        <v>10927.27</v>
      </c>
      <c r="D43" s="58">
        <f>IF(MONTH(A43)=12,C43*questions!$C$11,0)</f>
        <v>0</v>
      </c>
      <c r="E43" s="59">
        <f t="shared" si="2"/>
        <v>8000</v>
      </c>
      <c r="F43" s="59">
        <f t="shared" si="3"/>
        <v>0</v>
      </c>
      <c r="G43" s="60">
        <f t="array" ref="G43">if(YEAR(A43)=2025,XLOOKUP(B43,Lookup!$A$3:$A$7,Lookup!$D$3:$D$7,,1)*SUM(E43:F43), XLOOKUP(B43,Lookup!$A$14:$A$18,Lookup!$D$14:$D$18,,1)*SUM(E43:F43))</f>
        <v>2960</v>
      </c>
      <c r="H43" s="60">
        <f t="array" ref="H43">if(YEAR(A43)=2025,XLOOKUP(B43,Lookup!$F$3:$F$10,Lookup!$G$3:$G$10,,1)*G43, XLOOKUP(B43,Lookup!$F$14:$F$21,Lookup!$G$14:$G$21,,1)*G43)</f>
        <v>1840.232</v>
      </c>
      <c r="I43" s="60">
        <f t="array" ref="I43">if(B43&lt;55, if(YEAR(A43)=2025,XLOOKUP(B43,Lookup!$F$3:$F$10,Lookup!$H$3:$H$10,,1)*G43, XLOOKUP(B43,Lookup!$F$14:$F$21,Lookup!$H$14:$H$21,,1)*G43),0)</f>
        <v>479.816</v>
      </c>
      <c r="J43" s="60">
        <f t="array" ref="J43">if(YEAR(A43)=2025,XLOOKUP(B43,Lookup!$F$3:$F$10,Lookup!$I$3:$I$10,,1)*G43, XLOOKUP(B43,Lookup!$F$14:$F$21,Lookup!$I$14:$I$21,,1)*G43)</f>
        <v>639.952</v>
      </c>
      <c r="K43" s="61">
        <f t="array" ref="K43">if(B43&gt;54, if(YEAR(A43)=2025,XLOOKUP(B43,Lookup!$F$3:$F$10,Lookup!$H$3:$H$10,,1)*G43, XLOOKUP(B43,Lookup!$F$14:$F$21,Lookup!$H$14:$H$21,,1)*G43),0)</f>
        <v>0</v>
      </c>
      <c r="L43" s="62">
        <f>IF(and(A43&lt;questions!$C$19,questions!$C$18="yes"),questions!$C$20,0)</f>
        <v>700</v>
      </c>
      <c r="M43" s="63">
        <f>(Y42+H43)*Lookup!A$26/12</f>
        <v>128.6359018</v>
      </c>
      <c r="N43" s="63">
        <f>if(B43&lt;55, (Z42+I43)*Lookup!B$26/12, (AB42+K43)*Lookup!B$26/12)</f>
        <v>82.9605288</v>
      </c>
      <c r="O43" s="63">
        <f>(AA42+J43)*Lookup!C$26/12</f>
        <v>106.6664317</v>
      </c>
      <c r="P43" s="63">
        <f t="shared" si="8"/>
        <v>850.5661624</v>
      </c>
      <c r="Q43" s="63">
        <f t="shared" si="4"/>
        <v>547.1365816</v>
      </c>
      <c r="R43" s="63">
        <f t="shared" si="5"/>
        <v>701.8683821</v>
      </c>
      <c r="S43" s="64">
        <f t="shared" si="9"/>
        <v>16.66666667</v>
      </c>
      <c r="T43" s="64">
        <f t="shared" si="10"/>
        <v>20.34028553</v>
      </c>
      <c r="U43" s="64">
        <f t="shared" si="11"/>
        <v>12.9930478</v>
      </c>
      <c r="V43" s="64">
        <f t="shared" ref="V43:X43" si="51">IF(year($A43)=year($A42), V42+S43, S43)</f>
        <v>116.6666667</v>
      </c>
      <c r="W43" s="64">
        <f t="shared" si="51"/>
        <v>133.9852187</v>
      </c>
      <c r="X43" s="64">
        <f t="shared" si="51"/>
        <v>99.34811461</v>
      </c>
      <c r="Y43" s="65">
        <f>IFS(
  B43&lt;55,
    MAX(
      Y42 + IF(MONTH(A43)=12, P43+V43, 0) + H43 - L43
      + MAX(0,
          IF(AA42 &gt;= VLOOKUP(YEAR(A43), Lookup!$Q:$R, 2),
            Z42 + IF(MONTH(A43)=12, Q43+W43, 0) + I43
              + AA42 + IF(MONTH(A43)=12, R43+X43, 0)
              - VLOOKUP(YEAR(A43), Lookup!$Q:$R, 2) + J43,
            Z42 + IF(MONTH(A43)=12, Q43+W43, 0) + I43
          ) - VLOOKUP(YEAR(A43), Lookup!$K:$M, 3)
        ),
    0),
  B43=55,
    IF(Z42&gt;=AD43,
      MAX(Y42 + IF(MONTH(A43)=12, P43+V43, 0) + H43 - L43, 0),
      MAX(MAX(0, Y42-(AD43-Z42)) + IF(MONTH(A43)=12, P43+V43, 0) + H43 - L43, 0)
    ),
  B43&gt;55,
    IF(AB42&gt;=$AH$7,
      MAX(Y42 + IF(MONTH(A43)=12, P43+V43, 0) + H43 - L43 + K43 + Z42, 0),
      MAX(Y42 + IF(MONTH(A43)=12, P43+V43, 0) + H43 - L43, 0)
    )
)</f>
        <v>61045.23285</v>
      </c>
      <c r="Z43" s="65">
        <f>IFS(
  B43&lt;55,
    MIN(
      IF(AA42 &gt;= VLOOKUP(YEAR(A43), Lookup!$Q:$R, 2),
        Z42 + IF(MONTH(A43)=12, Q43+W43, 0) + I43
          + AA42 + IF(MONTH(A43)=12, R43+X43, 0) - VLOOKUP(YEAR(A43), Lookup!$Q:$R, 2) + J43,
        Z42 + IF(MONTH(A43)=12, Q43+W43, 0) + I43
      ),
      VLOOKUP(YEAR(A43), Lookup!$K:$M, 3)
    ),
  B43=55,
    IF(Z42 &gt;= AD43, Z42 - AD43, 0),
  B43&gt;55, 0
)</f>
        <v>24888.15864</v>
      </c>
      <c r="AA43" s="65">
        <f>IFS(
  B43&lt;65,
    IF(AA42+J43 &lt; VLOOKUP(YEAR(A43), Lookup!$Q:$R, 2),
      AA42 + IF(MONTH(A43)=12, R42+X42, 0) + J43,
      MIN(
        AA42 + IF(MONTH(A43)=12, R42+X42, 0) + J43 ,
        VLOOKUP(YEAR(A43), Lookup!$Q:$R, 2)
      )
    ),
  B43&gt;=65,
    IF(AA42+J43 &lt; VLOOKUP(questions!$C$5, Lookup!$Q:$R, 2),
      AA42 + IF(MONTH(A43)=12, R42+X42, 0) + J43 ,
      MIN(
        AA42 + IF(MONTH(A43)=12, R42+X42, 0) + J43,
        VLOOKUP(questions!$C$5, Lookup!$Q:$R, 2)
      )
    )
)</f>
        <v>31999.92952</v>
      </c>
      <c r="AB43" s="65">
        <f t="shared" si="13"/>
        <v>0</v>
      </c>
      <c r="AC43" s="66">
        <f t="array" ref="AC43">IFS(B43&lt;66, XLOOKUP(year(A43),Lookup!$K$13:$K1000,Lookup!$L$13:$L1000,"missing",,1),B43&gt;65,XLOOKUP(questions!$C$5,Lookup!$K$13:$K1000,Lookup!$L$13:$L1000,"missing",,1))</f>
        <v>122226.7725</v>
      </c>
      <c r="AD43" s="66">
        <f t="array" ref="AD43">IFS(B43&lt;66, XLOOKUP(year(A43),Lookup!$K$13:$K1000,Lookup!$M$13:$M1000,"missing",,1),B43&gt;65, XLOOKUP(questions!$C$5,Lookup!$K$13:$K1000,Lookup!$M$13:$M1000,"missing",,1))</f>
        <v>244453.545</v>
      </c>
      <c r="AE43" s="66">
        <f t="array" ref="AE43">IFS(B43&lt;66, XLOOKUP(year(A43),Lookup!$K$13:$K1000,Lookup!$N$13:$N1000,"missing",,1),B43&gt;65,XLOOKUP(questions!$C$5,Lookup!$K$13:$K1000,Lookup!$N$13:$N1000,"missing",,1))</f>
        <v>488907.09</v>
      </c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</row>
    <row r="44">
      <c r="A44" s="55">
        <f t="shared" si="7"/>
        <v>47361</v>
      </c>
      <c r="B44" s="56">
        <f>round(YEARFRAC(EOMONTH(questions!$C$3, 0),A44,1),2)</f>
        <v>30.75</v>
      </c>
      <c r="C44" s="57">
        <f>IF(B44&lt;questions!$C$6,if(MONTH(A44)=1,C43*(1+questions!$C$12),C43),0)</f>
        <v>10927.27</v>
      </c>
      <c r="D44" s="58">
        <f>IF(MONTH(A44)=12,C44*questions!$C$11,0)</f>
        <v>0</v>
      </c>
      <c r="E44" s="59">
        <f t="shared" si="2"/>
        <v>8000</v>
      </c>
      <c r="F44" s="59">
        <f t="shared" si="3"/>
        <v>0</v>
      </c>
      <c r="G44" s="60">
        <f t="array" ref="G44">if(YEAR(A44)=2025,XLOOKUP(B44,Lookup!$A$3:$A$7,Lookup!$D$3:$D$7,,1)*SUM(E44:F44), XLOOKUP(B44,Lookup!$A$14:$A$18,Lookup!$D$14:$D$18,,1)*SUM(E44:F44))</f>
        <v>2960</v>
      </c>
      <c r="H44" s="60">
        <f t="array" ref="H44">if(YEAR(A44)=2025,XLOOKUP(B44,Lookup!$F$3:$F$10,Lookup!$G$3:$G$10,,1)*G44, XLOOKUP(B44,Lookup!$F$14:$F$21,Lookup!$G$14:$G$21,,1)*G44)</f>
        <v>1840.232</v>
      </c>
      <c r="I44" s="60">
        <f t="array" ref="I44">if(B44&lt;55, if(YEAR(A44)=2025,XLOOKUP(B44,Lookup!$F$3:$F$10,Lookup!$H$3:$H$10,,1)*G44, XLOOKUP(B44,Lookup!$F$14:$F$21,Lookup!$H$14:$H$21,,1)*G44),0)</f>
        <v>479.816</v>
      </c>
      <c r="J44" s="60">
        <f t="array" ref="J44">if(YEAR(A44)=2025,XLOOKUP(B44,Lookup!$F$3:$F$10,Lookup!$I$3:$I$10,,1)*G44, XLOOKUP(B44,Lookup!$F$14:$F$21,Lookup!$I$14:$I$21,,1)*G44)</f>
        <v>639.952</v>
      </c>
      <c r="K44" s="61">
        <f t="array" ref="K44">if(B44&gt;54, if(YEAR(A44)=2025,XLOOKUP(B44,Lookup!$F$3:$F$10,Lookup!$H$3:$H$10,,1)*G44, XLOOKUP(B44,Lookup!$F$14:$F$21,Lookup!$H$14:$H$21,,1)*G44),0)</f>
        <v>0</v>
      </c>
      <c r="L44" s="62">
        <f>IF(and(A44&lt;questions!$C$19,questions!$C$18="yes"),questions!$C$20,0)</f>
        <v>700</v>
      </c>
      <c r="M44" s="63">
        <f>(Y43+H44)*Lookup!A$26/12</f>
        <v>131.0113851</v>
      </c>
      <c r="N44" s="63">
        <f>if(B44&lt;55, (Z43+I44)*Lookup!B$26/12, (AB43+K44)*Lookup!B$26/12)</f>
        <v>84.55991546</v>
      </c>
      <c r="O44" s="63">
        <f>(AA43+J44)*Lookup!C$26/12</f>
        <v>108.7996051</v>
      </c>
      <c r="P44" s="63">
        <f t="shared" si="8"/>
        <v>981.5775475</v>
      </c>
      <c r="Q44" s="63">
        <f t="shared" si="4"/>
        <v>631.696497</v>
      </c>
      <c r="R44" s="63">
        <f t="shared" si="5"/>
        <v>810.6679872</v>
      </c>
      <c r="S44" s="64">
        <f t="shared" si="9"/>
        <v>16.66666667</v>
      </c>
      <c r="T44" s="64">
        <f t="shared" si="10"/>
        <v>20.7401322</v>
      </c>
      <c r="U44" s="64">
        <f t="shared" si="11"/>
        <v>12.59320113</v>
      </c>
      <c r="V44" s="64">
        <f t="shared" ref="V44:X44" si="52">IF(year($A44)=year($A43), V43+S44, S44)</f>
        <v>133.3333333</v>
      </c>
      <c r="W44" s="64">
        <f t="shared" si="52"/>
        <v>154.7253509</v>
      </c>
      <c r="X44" s="64">
        <f t="shared" si="52"/>
        <v>111.9413157</v>
      </c>
      <c r="Y44" s="65">
        <f>IFS(
  B44&lt;55,
    MAX(
      Y43 + IF(MONTH(A44)=12, P44+V44, 0) + H44 - L44
      + MAX(0,
          IF(AA43 &gt;= VLOOKUP(YEAR(A44), Lookup!$Q:$R, 2),
            Z43 + IF(MONTH(A44)=12, Q44+W44, 0) + I44
              + AA43 + IF(MONTH(A44)=12, R44+X44, 0)
              - VLOOKUP(YEAR(A44), Lookup!$Q:$R, 2) + J44,
            Z43 + IF(MONTH(A44)=12, Q44+W44, 0) + I44
          ) - VLOOKUP(YEAR(A44), Lookup!$K:$M, 3)
        ),
    0),
  B44=55,
    IF(Z43&gt;=AD44,
      MAX(Y43 + IF(MONTH(A44)=12, P44+V44, 0) + H44 - L44, 0),
      MAX(MAX(0, Y43-(AD44-Z43)) + IF(MONTH(A44)=12, P44+V44, 0) + H44 - L44, 0)
    ),
  B44&gt;55,
    IF(AB43&gt;=$AH$7,
      MAX(Y43 + IF(MONTH(A44)=12, P44+V44, 0) + H44 - L44 + K44 + Z43, 0),
      MAX(Y43 + IF(MONTH(A44)=12, P44+V44, 0) + H44 - L44, 0)
    )
)</f>
        <v>62185.46485</v>
      </c>
      <c r="Z44" s="65">
        <f>IFS(
  B44&lt;55,
    MIN(
      IF(AA43 &gt;= VLOOKUP(YEAR(A44), Lookup!$Q:$R, 2),
        Z43 + IF(MONTH(A44)=12, Q44+W44, 0) + I44
          + AA43 + IF(MONTH(A44)=12, R44+X44, 0) - VLOOKUP(YEAR(A44), Lookup!$Q:$R, 2) + J44,
        Z43 + IF(MONTH(A44)=12, Q44+W44, 0) + I44
      ),
      VLOOKUP(YEAR(A44), Lookup!$K:$M, 3)
    ),
  B44=55,
    IF(Z43 &gt;= AD44, Z43 - AD44, 0),
  B44&gt;55, 0
)</f>
        <v>25367.97464</v>
      </c>
      <c r="AA44" s="65">
        <f>IFS(
  B44&lt;65,
    IF(AA43+J44 &lt; VLOOKUP(YEAR(A44), Lookup!$Q:$R, 2),
      AA43 + IF(MONTH(A44)=12, R43+X43, 0) + J44,
      MIN(
        AA43 + IF(MONTH(A44)=12, R43+X43, 0) + J44 ,
        VLOOKUP(YEAR(A44), Lookup!$Q:$R, 2)
      )
    ),
  B44&gt;=65,
    IF(AA43+J44 &lt; VLOOKUP(questions!$C$5, Lookup!$Q:$R, 2),
      AA43 + IF(MONTH(A44)=12, R43+X43, 0) + J44 ,
      MIN(
        AA43 + IF(MONTH(A44)=12, R43+X43, 0) + J44,
        VLOOKUP(questions!$C$5, Lookup!$Q:$R, 2)
      )
    )
)</f>
        <v>32639.88152</v>
      </c>
      <c r="AB44" s="65">
        <f t="shared" si="13"/>
        <v>0</v>
      </c>
      <c r="AC44" s="66">
        <f t="array" ref="AC44">IFS(B44&lt;66, XLOOKUP(year(A44),Lookup!$K$13:$K1000,Lookup!$L$13:$L1000,"missing",,1),B44&gt;65,XLOOKUP(questions!$C$5,Lookup!$K$13:$K1000,Lookup!$L$13:$L1000,"missing",,1))</f>
        <v>122226.7725</v>
      </c>
      <c r="AD44" s="66">
        <f t="array" ref="AD44">IFS(B44&lt;66, XLOOKUP(year(A44),Lookup!$K$13:$K1000,Lookup!$M$13:$M1000,"missing",,1),B44&gt;65, XLOOKUP(questions!$C$5,Lookup!$K$13:$K1000,Lookup!$M$13:$M1000,"missing",,1))</f>
        <v>244453.545</v>
      </c>
      <c r="AE44" s="66">
        <f t="array" ref="AE44">IFS(B44&lt;66, XLOOKUP(year(A44),Lookup!$K$13:$K1000,Lookup!$N$13:$N1000,"missing",,1),B44&gt;65,XLOOKUP(questions!$C$5,Lookup!$K$13:$K1000,Lookup!$N$13:$N1000,"missing",,1))</f>
        <v>488907.09</v>
      </c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</row>
    <row r="45">
      <c r="A45" s="55">
        <f t="shared" si="7"/>
        <v>47391</v>
      </c>
      <c r="B45" s="56">
        <f>round(YEARFRAC(EOMONTH(questions!$C$3, 0),A45,1),2)</f>
        <v>30.83</v>
      </c>
      <c r="C45" s="57">
        <f>IF(B45&lt;questions!$C$6,if(MONTH(A45)=1,C44*(1+questions!$C$12),C44),0)</f>
        <v>10927.27</v>
      </c>
      <c r="D45" s="58">
        <f>IF(MONTH(A45)=12,C45*questions!$C$11,0)</f>
        <v>0</v>
      </c>
      <c r="E45" s="59">
        <f t="shared" si="2"/>
        <v>8000</v>
      </c>
      <c r="F45" s="59">
        <f t="shared" si="3"/>
        <v>0</v>
      </c>
      <c r="G45" s="60">
        <f t="array" ref="G45">if(YEAR(A45)=2025,XLOOKUP(B45,Lookup!$A$3:$A$7,Lookup!$D$3:$D$7,,1)*SUM(E45:F45), XLOOKUP(B45,Lookup!$A$14:$A$18,Lookup!$D$14:$D$18,,1)*SUM(E45:F45))</f>
        <v>2960</v>
      </c>
      <c r="H45" s="60">
        <f t="array" ref="H45">if(YEAR(A45)=2025,XLOOKUP(B45,Lookup!$F$3:$F$10,Lookup!$G$3:$G$10,,1)*G45, XLOOKUP(B45,Lookup!$F$14:$F$21,Lookup!$G$14:$G$21,,1)*G45)</f>
        <v>1840.232</v>
      </c>
      <c r="I45" s="60">
        <f t="array" ref="I45">if(B45&lt;55, if(YEAR(A45)=2025,XLOOKUP(B45,Lookup!$F$3:$F$10,Lookup!$H$3:$H$10,,1)*G45, XLOOKUP(B45,Lookup!$F$14:$F$21,Lookup!$H$14:$H$21,,1)*G45),0)</f>
        <v>479.816</v>
      </c>
      <c r="J45" s="60">
        <f t="array" ref="J45">if(YEAR(A45)=2025,XLOOKUP(B45,Lookup!$F$3:$F$10,Lookup!$I$3:$I$10,,1)*G45, XLOOKUP(B45,Lookup!$F$14:$F$21,Lookup!$I$14:$I$21,,1)*G45)</f>
        <v>639.952</v>
      </c>
      <c r="K45" s="61">
        <f t="array" ref="K45">if(B45&gt;54, if(YEAR(A45)=2025,XLOOKUP(B45,Lookup!$F$3:$F$10,Lookup!$H$3:$H$10,,1)*G45, XLOOKUP(B45,Lookup!$F$14:$F$21,Lookup!$H$14:$H$21,,1)*G45),0)</f>
        <v>0</v>
      </c>
      <c r="L45" s="62">
        <f>IF(and(A45&lt;questions!$C$19,questions!$C$18="yes"),questions!$C$20,0)</f>
        <v>700</v>
      </c>
      <c r="M45" s="63">
        <f>(Y44+H45)*Lookup!A$26/12</f>
        <v>133.3868684</v>
      </c>
      <c r="N45" s="63">
        <f>if(B45&lt;55, (Z44+I45)*Lookup!B$26/12, (AB44+K45)*Lookup!B$26/12)</f>
        <v>86.15930213</v>
      </c>
      <c r="O45" s="63">
        <f>(AA44+J45)*Lookup!C$26/12</f>
        <v>110.9327784</v>
      </c>
      <c r="P45" s="63">
        <f t="shared" si="8"/>
        <v>1114.964416</v>
      </c>
      <c r="Q45" s="63">
        <f t="shared" si="4"/>
        <v>717.8557992</v>
      </c>
      <c r="R45" s="63">
        <f t="shared" si="5"/>
        <v>921.6007656</v>
      </c>
      <c r="S45" s="64">
        <f t="shared" si="9"/>
        <v>16.66666667</v>
      </c>
      <c r="T45" s="64">
        <f t="shared" si="10"/>
        <v>21.13997887</v>
      </c>
      <c r="U45" s="64">
        <f t="shared" si="11"/>
        <v>12.19335447</v>
      </c>
      <c r="V45" s="64">
        <f t="shared" ref="V45:X45" si="53">IF(year($A45)=year($A44), V44+S45, S45)</f>
        <v>150</v>
      </c>
      <c r="W45" s="64">
        <f t="shared" si="53"/>
        <v>175.8653298</v>
      </c>
      <c r="X45" s="64">
        <f t="shared" si="53"/>
        <v>124.1346702</v>
      </c>
      <c r="Y45" s="65">
        <f>IFS(
  B45&lt;55,
    MAX(
      Y44 + IF(MONTH(A45)=12, P45+V45, 0) + H45 - L45
      + MAX(0,
          IF(AA44 &gt;= VLOOKUP(YEAR(A45), Lookup!$Q:$R, 2),
            Z44 + IF(MONTH(A45)=12, Q45+W45, 0) + I45
              + AA44 + IF(MONTH(A45)=12, R45+X45, 0)
              - VLOOKUP(YEAR(A45), Lookup!$Q:$R, 2) + J45,
            Z44 + IF(MONTH(A45)=12, Q45+W45, 0) + I45
          ) - VLOOKUP(YEAR(A45), Lookup!$K:$M, 3)
        ),
    0),
  B45=55,
    IF(Z44&gt;=AD45,
      MAX(Y44 + IF(MONTH(A45)=12, P45+V45, 0) + H45 - L45, 0),
      MAX(MAX(0, Y44-(AD45-Z44)) + IF(MONTH(A45)=12, P45+V45, 0) + H45 - L45, 0)
    ),
  B45&gt;55,
    IF(AB44&gt;=$AH$7,
      MAX(Y44 + IF(MONTH(A45)=12, P45+V45, 0) + H45 - L45 + K45 + Z44, 0),
      MAX(Y44 + IF(MONTH(A45)=12, P45+V45, 0) + H45 - L45, 0)
    )
)</f>
        <v>63325.69685</v>
      </c>
      <c r="Z45" s="65">
        <f>IFS(
  B45&lt;55,
    MIN(
      IF(AA44 &gt;= VLOOKUP(YEAR(A45), Lookup!$Q:$R, 2),
        Z44 + IF(MONTH(A45)=12, Q45+W45, 0) + I45
          + AA44 + IF(MONTH(A45)=12, R45+X45, 0) - VLOOKUP(YEAR(A45), Lookup!$Q:$R, 2) + J45,
        Z44 + IF(MONTH(A45)=12, Q45+W45, 0) + I45
      ),
      VLOOKUP(YEAR(A45), Lookup!$K:$M, 3)
    ),
  B45=55,
    IF(Z44 &gt;= AD45, Z44 - AD45, 0),
  B45&gt;55, 0
)</f>
        <v>25847.79064</v>
      </c>
      <c r="AA45" s="65">
        <f>IFS(
  B45&lt;65,
    IF(AA44+J45 &lt; VLOOKUP(YEAR(A45), Lookup!$Q:$R, 2),
      AA44 + IF(MONTH(A45)=12, R44+X44, 0) + J45,
      MIN(
        AA44 + IF(MONTH(A45)=12, R44+X44, 0) + J45 ,
        VLOOKUP(YEAR(A45), Lookup!$Q:$R, 2)
      )
    ),
  B45&gt;=65,
    IF(AA44+J45 &lt; VLOOKUP(questions!$C$5, Lookup!$Q:$R, 2),
      AA44 + IF(MONTH(A45)=12, R44+X44, 0) + J45 ,
      MIN(
        AA44 + IF(MONTH(A45)=12, R44+X44, 0) + J45,
        VLOOKUP(questions!$C$5, Lookup!$Q:$R, 2)
      )
    )
)</f>
        <v>33279.83352</v>
      </c>
      <c r="AB45" s="65">
        <f t="shared" si="13"/>
        <v>0</v>
      </c>
      <c r="AC45" s="66">
        <f t="array" ref="AC45">IFS(B45&lt;66, XLOOKUP(year(A45),Lookup!$K$13:$K1000,Lookup!$L$13:$L1000,"missing",,1),B45&gt;65,XLOOKUP(questions!$C$5,Lookup!$K$13:$K1000,Lookup!$L$13:$L1000,"missing",,1))</f>
        <v>122226.7725</v>
      </c>
      <c r="AD45" s="66">
        <f t="array" ref="AD45">IFS(B45&lt;66, XLOOKUP(year(A45),Lookup!$K$13:$K1000,Lookup!$M$13:$M1000,"missing",,1),B45&gt;65, XLOOKUP(questions!$C$5,Lookup!$K$13:$K1000,Lookup!$M$13:$M1000,"missing",,1))</f>
        <v>244453.545</v>
      </c>
      <c r="AE45" s="66">
        <f t="array" ref="AE45">IFS(B45&lt;66, XLOOKUP(year(A45),Lookup!$K$13:$K1000,Lookup!$N$13:$N1000,"missing",,1),B45&gt;65,XLOOKUP(questions!$C$5,Lookup!$K$13:$K1000,Lookup!$N$13:$N1000,"missing",,1))</f>
        <v>488907.09</v>
      </c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</row>
    <row r="46">
      <c r="A46" s="55">
        <f t="shared" si="7"/>
        <v>47422</v>
      </c>
      <c r="B46" s="56">
        <f>round(YEARFRAC(EOMONTH(questions!$C$3, 0),A46,1),2)</f>
        <v>30.92</v>
      </c>
      <c r="C46" s="57">
        <f>IF(B46&lt;questions!$C$6,if(MONTH(A46)=1,C45*(1+questions!$C$12),C45),0)</f>
        <v>10927.27</v>
      </c>
      <c r="D46" s="58">
        <f>IF(MONTH(A46)=12,C46*questions!$C$11,0)</f>
        <v>0</v>
      </c>
      <c r="E46" s="59">
        <f t="shared" si="2"/>
        <v>8000</v>
      </c>
      <c r="F46" s="59">
        <f t="shared" si="3"/>
        <v>0</v>
      </c>
      <c r="G46" s="60">
        <f t="array" ref="G46">if(YEAR(A46)=2025,XLOOKUP(B46,Lookup!$A$3:$A$7,Lookup!$D$3:$D$7,,1)*SUM(E46:F46), XLOOKUP(B46,Lookup!$A$14:$A$18,Lookup!$D$14:$D$18,,1)*SUM(E46:F46))</f>
        <v>2960</v>
      </c>
      <c r="H46" s="60">
        <f t="array" ref="H46">if(YEAR(A46)=2025,XLOOKUP(B46,Lookup!$F$3:$F$10,Lookup!$G$3:$G$10,,1)*G46, XLOOKUP(B46,Lookup!$F$14:$F$21,Lookup!$G$14:$G$21,,1)*G46)</f>
        <v>1840.232</v>
      </c>
      <c r="I46" s="60">
        <f t="array" ref="I46">if(B46&lt;55, if(YEAR(A46)=2025,XLOOKUP(B46,Lookup!$F$3:$F$10,Lookup!$H$3:$H$10,,1)*G46, XLOOKUP(B46,Lookup!$F$14:$F$21,Lookup!$H$14:$H$21,,1)*G46),0)</f>
        <v>479.816</v>
      </c>
      <c r="J46" s="60">
        <f t="array" ref="J46">if(YEAR(A46)=2025,XLOOKUP(B46,Lookup!$F$3:$F$10,Lookup!$I$3:$I$10,,1)*G46, XLOOKUP(B46,Lookup!$F$14:$F$21,Lookup!$I$14:$I$21,,1)*G46)</f>
        <v>639.952</v>
      </c>
      <c r="K46" s="61">
        <f t="array" ref="K46">if(B46&gt;54, if(YEAR(A46)=2025,XLOOKUP(B46,Lookup!$F$3:$F$10,Lookup!$H$3:$H$10,,1)*G46, XLOOKUP(B46,Lookup!$F$14:$F$21,Lookup!$H$14:$H$21,,1)*G46),0)</f>
        <v>0</v>
      </c>
      <c r="L46" s="62">
        <f>IF(and(A46&lt;questions!$C$19,questions!$C$18="yes"),questions!$C$20,0)</f>
        <v>700</v>
      </c>
      <c r="M46" s="63">
        <f>(Y45+H46)*Lookup!A$26/12</f>
        <v>135.7623518</v>
      </c>
      <c r="N46" s="63">
        <f>if(B46&lt;55, (Z45+I46)*Lookup!B$26/12, (AB45+K46)*Lookup!B$26/12)</f>
        <v>87.7586888</v>
      </c>
      <c r="O46" s="63">
        <f>(AA45+J46)*Lookup!C$26/12</f>
        <v>113.0659517</v>
      </c>
      <c r="P46" s="63">
        <f t="shared" si="8"/>
        <v>1250.726768</v>
      </c>
      <c r="Q46" s="63">
        <f t="shared" si="4"/>
        <v>805.614488</v>
      </c>
      <c r="R46" s="63">
        <f t="shared" si="5"/>
        <v>1034.666717</v>
      </c>
      <c r="S46" s="64">
        <f t="shared" si="9"/>
        <v>16.66666667</v>
      </c>
      <c r="T46" s="64">
        <f t="shared" si="10"/>
        <v>21.53982553</v>
      </c>
      <c r="U46" s="64">
        <f t="shared" si="11"/>
        <v>11.7935078</v>
      </c>
      <c r="V46" s="64">
        <f t="shared" ref="V46:X46" si="54">IF(year($A46)=year($A45), V45+S46, S46)</f>
        <v>166.6666667</v>
      </c>
      <c r="W46" s="64">
        <f t="shared" si="54"/>
        <v>197.4051553</v>
      </c>
      <c r="X46" s="64">
        <f t="shared" si="54"/>
        <v>135.928178</v>
      </c>
      <c r="Y46" s="65">
        <f>IFS(
  B46&lt;55,
    MAX(
      Y45 + IF(MONTH(A46)=12, P46+V46, 0) + H46 - L46
      + MAX(0,
          IF(AA45 &gt;= VLOOKUP(YEAR(A46), Lookup!$Q:$R, 2),
            Z45 + IF(MONTH(A46)=12, Q46+W46, 0) + I46
              + AA45 + IF(MONTH(A46)=12, R46+X46, 0)
              - VLOOKUP(YEAR(A46), Lookup!$Q:$R, 2) + J46,
            Z45 + IF(MONTH(A46)=12, Q46+W46, 0) + I46
          ) - VLOOKUP(YEAR(A46), Lookup!$K:$M, 3)
        ),
    0),
  B46=55,
    IF(Z45&gt;=AD46,
      MAX(Y45 + IF(MONTH(A46)=12, P46+V46, 0) + H46 - L46, 0),
      MAX(MAX(0, Y45-(AD46-Z45)) + IF(MONTH(A46)=12, P46+V46, 0) + H46 - L46, 0)
    ),
  B46&gt;55,
    IF(AB45&gt;=$AH$7,
      MAX(Y45 + IF(MONTH(A46)=12, P46+V46, 0) + H46 - L46 + K46 + Z45, 0),
      MAX(Y45 + IF(MONTH(A46)=12, P46+V46, 0) + H46 - L46, 0)
    )
)</f>
        <v>64465.92885</v>
      </c>
      <c r="Z46" s="65">
        <f>IFS(
  B46&lt;55,
    MIN(
      IF(AA45 &gt;= VLOOKUP(YEAR(A46), Lookup!$Q:$R, 2),
        Z45 + IF(MONTH(A46)=12, Q46+W46, 0) + I46
          + AA45 + IF(MONTH(A46)=12, R46+X46, 0) - VLOOKUP(YEAR(A46), Lookup!$Q:$R, 2) + J46,
        Z45 + IF(MONTH(A46)=12, Q46+W46, 0) + I46
      ),
      VLOOKUP(YEAR(A46), Lookup!$K:$M, 3)
    ),
  B46=55,
    IF(Z45 &gt;= AD46, Z45 - AD46, 0),
  B46&gt;55, 0
)</f>
        <v>26327.60664</v>
      </c>
      <c r="AA46" s="65">
        <f>IFS(
  B46&lt;65,
    IF(AA45+J46 &lt; VLOOKUP(YEAR(A46), Lookup!$Q:$R, 2),
      AA45 + IF(MONTH(A46)=12, R45+X45, 0) + J46,
      MIN(
        AA45 + IF(MONTH(A46)=12, R45+X45, 0) + J46 ,
        VLOOKUP(YEAR(A46), Lookup!$Q:$R, 2)
      )
    ),
  B46&gt;=65,
    IF(AA45+J46 &lt; VLOOKUP(questions!$C$5, Lookup!$Q:$R, 2),
      AA45 + IF(MONTH(A46)=12, R45+X45, 0) + J46 ,
      MIN(
        AA45 + IF(MONTH(A46)=12, R45+X45, 0) + J46,
        VLOOKUP(questions!$C$5, Lookup!$Q:$R, 2)
      )
    )
)</f>
        <v>33919.78552</v>
      </c>
      <c r="AB46" s="65">
        <f t="shared" si="13"/>
        <v>0</v>
      </c>
      <c r="AC46" s="66">
        <f t="array" ref="AC46">IFS(B46&lt;66, XLOOKUP(year(A46),Lookup!$K$13:$K1000,Lookup!$L$13:$L1000,"missing",,1),B46&gt;65,XLOOKUP(questions!$C$5,Lookup!$K$13:$K1000,Lookup!$L$13:$L1000,"missing",,1))</f>
        <v>122226.7725</v>
      </c>
      <c r="AD46" s="66">
        <f t="array" ref="AD46">IFS(B46&lt;66, XLOOKUP(year(A46),Lookup!$K$13:$K1000,Lookup!$M$13:$M1000,"missing",,1),B46&gt;65, XLOOKUP(questions!$C$5,Lookup!$K$13:$K1000,Lookup!$M$13:$M1000,"missing",,1))</f>
        <v>244453.545</v>
      </c>
      <c r="AE46" s="66">
        <f t="array" ref="AE46">IFS(B46&lt;66, XLOOKUP(year(A46),Lookup!$K$13:$K1000,Lookup!$N$13:$N1000,"missing",,1),B46&gt;65,XLOOKUP(questions!$C$5,Lookup!$K$13:$K1000,Lookup!$N$13:$N1000,"missing",,1))</f>
        <v>488907.09</v>
      </c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</row>
    <row r="47">
      <c r="A47" s="55">
        <f t="shared" si="7"/>
        <v>47452</v>
      </c>
      <c r="B47" s="56">
        <f>round(YEARFRAC(EOMONTH(questions!$C$3, 0),A47,1),2)</f>
        <v>31</v>
      </c>
      <c r="C47" s="57">
        <f>IF(B47&lt;questions!$C$6,if(MONTH(A47)=1,C46*(1+questions!$C$12),C46),0)</f>
        <v>10927.27</v>
      </c>
      <c r="D47" s="58">
        <f>IF(MONTH(A47)=12,C47*questions!$C$11,0)</f>
        <v>0</v>
      </c>
      <c r="E47" s="59">
        <f t="shared" si="2"/>
        <v>8000</v>
      </c>
      <c r="F47" s="59">
        <f t="shared" si="3"/>
        <v>0</v>
      </c>
      <c r="G47" s="60">
        <f t="array" ref="G47">if(YEAR(A47)=2025,XLOOKUP(B47,Lookup!$A$3:$A$7,Lookup!$D$3:$D$7,,1)*SUM(E47:F47), XLOOKUP(B47,Lookup!$A$14:$A$18,Lookup!$D$14:$D$18,,1)*SUM(E47:F47))</f>
        <v>2960</v>
      </c>
      <c r="H47" s="60">
        <f t="array" ref="H47">if(YEAR(A47)=2025,XLOOKUP(B47,Lookup!$F$3:$F$10,Lookup!$G$3:$G$10,,1)*G47, XLOOKUP(B47,Lookup!$F$14:$F$21,Lookup!$G$14:$G$21,,1)*G47)</f>
        <v>1840.232</v>
      </c>
      <c r="I47" s="60">
        <f t="array" ref="I47">if(B47&lt;55, if(YEAR(A47)=2025,XLOOKUP(B47,Lookup!$F$3:$F$10,Lookup!$H$3:$H$10,,1)*G47, XLOOKUP(B47,Lookup!$F$14:$F$21,Lookup!$H$14:$H$21,,1)*G47),0)</f>
        <v>479.816</v>
      </c>
      <c r="J47" s="60">
        <f t="array" ref="J47">if(YEAR(A47)=2025,XLOOKUP(B47,Lookup!$F$3:$F$10,Lookup!$I$3:$I$10,,1)*G47, XLOOKUP(B47,Lookup!$F$14:$F$21,Lookup!$I$14:$I$21,,1)*G47)</f>
        <v>639.952</v>
      </c>
      <c r="K47" s="61">
        <f t="array" ref="K47">if(B47&gt;54, if(YEAR(A47)=2025,XLOOKUP(B47,Lookup!$F$3:$F$10,Lookup!$H$3:$H$10,,1)*G47, XLOOKUP(B47,Lookup!$F$14:$F$21,Lookup!$H$14:$H$21,,1)*G47),0)</f>
        <v>0</v>
      </c>
      <c r="L47" s="62">
        <f>IF(and(A47&lt;questions!$C$19,questions!$C$18="yes"),questions!$C$20,0)</f>
        <v>700</v>
      </c>
      <c r="M47" s="63">
        <f>(Y46+H47)*Lookup!A$26/12</f>
        <v>138.1378351</v>
      </c>
      <c r="N47" s="63">
        <f>if(B47&lt;55, (Z46+I47)*Lookup!B$26/12, (AB46+K47)*Lookup!B$26/12)</f>
        <v>89.35807546</v>
      </c>
      <c r="O47" s="63">
        <f>(AA46+J47)*Lookup!C$26/12</f>
        <v>115.1991251</v>
      </c>
      <c r="P47" s="63">
        <f t="shared" si="8"/>
        <v>1388.864603</v>
      </c>
      <c r="Q47" s="63">
        <f t="shared" si="4"/>
        <v>894.9725634</v>
      </c>
      <c r="R47" s="63">
        <f t="shared" si="5"/>
        <v>1149.865842</v>
      </c>
      <c r="S47" s="64">
        <f t="shared" si="9"/>
        <v>16.66666667</v>
      </c>
      <c r="T47" s="64">
        <f t="shared" si="10"/>
        <v>21.9396722</v>
      </c>
      <c r="U47" s="64">
        <f t="shared" si="11"/>
        <v>11.39366113</v>
      </c>
      <c r="V47" s="64">
        <f t="shared" ref="V47:X47" si="55">IF(year($A47)=year($A46), V46+S47, S47)</f>
        <v>183.3333333</v>
      </c>
      <c r="W47" s="64">
        <f t="shared" si="55"/>
        <v>219.3448275</v>
      </c>
      <c r="X47" s="64">
        <f t="shared" si="55"/>
        <v>147.3218391</v>
      </c>
      <c r="Y47" s="65">
        <f>IFS(
  B47&lt;55,
    MAX(
      Y46 + IF(MONTH(A47)=12, P47+V47, 0) + H47 - L47
      + MAX(0,
          IF(AA46 &gt;= VLOOKUP(YEAR(A47), Lookup!$Q:$R, 2),
            Z46 + IF(MONTH(A47)=12, Q47+W47, 0) + I47
              + AA46 + IF(MONTH(A47)=12, R47+X47, 0)
              - VLOOKUP(YEAR(A47), Lookup!$Q:$R, 2) + J47,
            Z46 + IF(MONTH(A47)=12, Q47+W47, 0) + I47
          ) - VLOOKUP(YEAR(A47), Lookup!$K:$M, 3)
        ),
    0),
  B47=55,
    IF(Z46&gt;=AD47,
      MAX(Y46 + IF(MONTH(A47)=12, P47+V47, 0) + H47 - L47, 0),
      MAX(MAX(0, Y46-(AD47-Z46)) + IF(MONTH(A47)=12, P47+V47, 0) + H47 - L47, 0)
    ),
  B47&gt;55,
    IF(AB46&gt;=$AH$7,
      MAX(Y46 + IF(MONTH(A47)=12, P47+V47, 0) + H47 - L47 + K47 + Z46, 0),
      MAX(Y46 + IF(MONTH(A47)=12, P47+V47, 0) + H47 - L47, 0)
    )
)</f>
        <v>65606.16085</v>
      </c>
      <c r="Z47" s="65">
        <f>IFS(
  B47&lt;55,
    MIN(
      IF(AA46 &gt;= VLOOKUP(YEAR(A47), Lookup!$Q:$R, 2),
        Z46 + IF(MONTH(A47)=12, Q47+W47, 0) + I47
          + AA46 + IF(MONTH(A47)=12, R47+X47, 0) - VLOOKUP(YEAR(A47), Lookup!$Q:$R, 2) + J47,
        Z46 + IF(MONTH(A47)=12, Q47+W47, 0) + I47
      ),
      VLOOKUP(YEAR(A47), Lookup!$K:$M, 3)
    ),
  B47=55,
    IF(Z46 &gt;= AD47, Z46 - AD47, 0),
  B47&gt;55, 0
)</f>
        <v>26807.42264</v>
      </c>
      <c r="AA47" s="65">
        <f>IFS(
  B47&lt;65,
    IF(AA46+J47 &lt; VLOOKUP(YEAR(A47), Lookup!$Q:$R, 2),
      AA46 + IF(MONTH(A47)=12, R46+X46, 0) + J47,
      MIN(
        AA46 + IF(MONTH(A47)=12, R46+X46, 0) + J47 ,
        VLOOKUP(YEAR(A47), Lookup!$Q:$R, 2)
      )
    ),
  B47&gt;=65,
    IF(AA46+J47 &lt; VLOOKUP(questions!$C$5, Lookup!$Q:$R, 2),
      AA46 + IF(MONTH(A47)=12, R46+X46, 0) + J47 ,
      MIN(
        AA46 + IF(MONTH(A47)=12, R46+X46, 0) + J47,
        VLOOKUP(questions!$C$5, Lookup!$Q:$R, 2)
      )
    )
)</f>
        <v>34559.73752</v>
      </c>
      <c r="AB47" s="65">
        <f t="shared" si="13"/>
        <v>0</v>
      </c>
      <c r="AC47" s="66">
        <f t="array" ref="AC47">IFS(B47&lt;66, XLOOKUP(year(A47),Lookup!$K$13:$K1000,Lookup!$L$13:$L1000,"missing",,1),B47&gt;65,XLOOKUP(questions!$C$5,Lookup!$K$13:$K1000,Lookup!$L$13:$L1000,"missing",,1))</f>
        <v>122226.7725</v>
      </c>
      <c r="AD47" s="66">
        <f t="array" ref="AD47">IFS(B47&lt;66, XLOOKUP(year(A47),Lookup!$K$13:$K1000,Lookup!$M$13:$M1000,"missing",,1),B47&gt;65, XLOOKUP(questions!$C$5,Lookup!$K$13:$K1000,Lookup!$M$13:$M1000,"missing",,1))</f>
        <v>244453.545</v>
      </c>
      <c r="AE47" s="66">
        <f t="array" ref="AE47">IFS(B47&lt;66, XLOOKUP(year(A47),Lookup!$K$13:$K1000,Lookup!$N$13:$N1000,"missing",,1),B47&gt;65,XLOOKUP(questions!$C$5,Lookup!$K$13:$K1000,Lookup!$N$13:$N1000,"missing",,1))</f>
        <v>488907.09</v>
      </c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</row>
    <row r="48">
      <c r="A48" s="55">
        <f t="shared" si="7"/>
        <v>47483</v>
      </c>
      <c r="B48" s="56">
        <f>round(YEARFRAC(EOMONTH(questions!$C$3, 0),A48,1),2)</f>
        <v>31.08</v>
      </c>
      <c r="C48" s="57">
        <f>IF(B48&lt;questions!$C$6,if(MONTH(A48)=1,C47*(1+questions!$C$12),C47),0)</f>
        <v>10927.27</v>
      </c>
      <c r="D48" s="57">
        <f>IF(MONTH(A48)=12,C48*questions!$C$11,0)</f>
        <v>10927.27</v>
      </c>
      <c r="E48" s="59">
        <f t="shared" si="2"/>
        <v>8000</v>
      </c>
      <c r="F48" s="59">
        <f t="shared" si="3"/>
        <v>6000</v>
      </c>
      <c r="G48" s="60">
        <f t="array" ref="G48">if(YEAR(A48)=2025,XLOOKUP(B48,Lookup!$A$3:$A$7,Lookup!$D$3:$D$7,,1)*SUM(E48:F48), XLOOKUP(B48,Lookup!$A$14:$A$18,Lookup!$D$14:$D$18,,1)*SUM(E48:F48))</f>
        <v>5180</v>
      </c>
      <c r="H48" s="60">
        <f t="array" ref="H48">if(YEAR(A48)=2025,XLOOKUP(B48,Lookup!$F$3:$F$10,Lookup!$G$3:$G$10,,1)*G48, XLOOKUP(B48,Lookup!$F$14:$F$21,Lookup!$G$14:$G$21,,1)*G48)</f>
        <v>3220.406</v>
      </c>
      <c r="I48" s="60">
        <f t="array" ref="I48">if(B48&lt;55, if(YEAR(A48)=2025,XLOOKUP(B48,Lookup!$F$3:$F$10,Lookup!$H$3:$H$10,,1)*G48, XLOOKUP(B48,Lookup!$F$14:$F$21,Lookup!$H$14:$H$21,,1)*G48),0)</f>
        <v>839.678</v>
      </c>
      <c r="J48" s="60">
        <f t="array" ref="J48">if(YEAR(A48)=2025,XLOOKUP(B48,Lookup!$F$3:$F$10,Lookup!$I$3:$I$10,,1)*G48, XLOOKUP(B48,Lookup!$F$14:$F$21,Lookup!$I$14:$I$21,,1)*G48)</f>
        <v>1119.916</v>
      </c>
      <c r="K48" s="61">
        <f t="array" ref="K48">if(B48&gt;54, if(YEAR(A48)=2025,XLOOKUP(B48,Lookup!$F$3:$F$10,Lookup!$H$3:$H$10,,1)*G48, XLOOKUP(B48,Lookup!$F$14:$F$21,Lookup!$H$14:$H$21,,1)*G48),0)</f>
        <v>0</v>
      </c>
      <c r="L48" s="62">
        <f>IF(and(A48&lt;questions!$C$19,questions!$C$18="yes"),questions!$C$20,0)</f>
        <v>700</v>
      </c>
      <c r="M48" s="63">
        <f>(Y47+H48)*Lookup!A$26/12</f>
        <v>143.3886809</v>
      </c>
      <c r="N48" s="63">
        <f>if(B48&lt;55, (Z47+I48)*Lookup!B$26/12, (AB47+K48)*Lookup!B$26/12)</f>
        <v>92.15700213</v>
      </c>
      <c r="O48" s="63">
        <f>(AA47+J48)*Lookup!C$26/12</f>
        <v>118.9321784</v>
      </c>
      <c r="P48" s="63">
        <f t="shared" si="8"/>
        <v>1532.253284</v>
      </c>
      <c r="Q48" s="63">
        <f t="shared" si="4"/>
        <v>987.1295655</v>
      </c>
      <c r="R48" s="63">
        <f t="shared" si="5"/>
        <v>1268.798021</v>
      </c>
      <c r="S48" s="64">
        <f t="shared" si="9"/>
        <v>16.66666667</v>
      </c>
      <c r="T48" s="64">
        <f t="shared" si="10"/>
        <v>22.33951887</v>
      </c>
      <c r="U48" s="64">
        <f t="shared" si="11"/>
        <v>10.99381447</v>
      </c>
      <c r="V48" s="64">
        <f t="shared" ref="V48:X48" si="56">IF(year($A48)=year($A47), V47+S48, S48)</f>
        <v>200</v>
      </c>
      <c r="W48" s="64">
        <f t="shared" si="56"/>
        <v>241.6843464</v>
      </c>
      <c r="X48" s="64">
        <f t="shared" si="56"/>
        <v>158.3156536</v>
      </c>
      <c r="Y48" s="65">
        <f>IFS(
  B48&lt;55,
    MAX(
      Y47 + IF(MONTH(A48)=12, P48+V48, 0) + H48 - L48
      + MAX(0,
          IF(AA47 &gt;= VLOOKUP(YEAR(A48), Lookup!$Q:$R, 2),
            Z47 + IF(MONTH(A48)=12, Q48+W48, 0) + I48
              + AA47 + IF(MONTH(A48)=12, R48+X48, 0)
              - VLOOKUP(YEAR(A48), Lookup!$Q:$R, 2) + J48,
            Z47 + IF(MONTH(A48)=12, Q48+W48, 0) + I48
          ) - VLOOKUP(YEAR(A48), Lookup!$K:$M, 3)
        ),
    0),
  B48=55,
    IF(Z47&gt;=AD48,
      MAX(Y47 + IF(MONTH(A48)=12, P48+V48, 0) + H48 - L48, 0),
      MAX(MAX(0, Y47-(AD48-Z47)) + IF(MONTH(A48)=12, P48+V48, 0) + H48 - L48, 0)
    ),
  B48&gt;55,
    IF(AB47&gt;=$AH$7,
      MAX(Y47 + IF(MONTH(A48)=12, P48+V48, 0) + H48 - L48 + K48 + Z47, 0),
      MAX(Y47 + IF(MONTH(A48)=12, P48+V48, 0) + H48 - L48, 0)
    )
)</f>
        <v>69858.82013</v>
      </c>
      <c r="Z48" s="65">
        <f>IFS(
  B48&lt;55,
    MIN(
      IF(AA47 &gt;= VLOOKUP(YEAR(A48), Lookup!$Q:$R, 2),
        Z47 + IF(MONTH(A48)=12, Q48+W48, 0) + I48
          + AA47 + IF(MONTH(A48)=12, R48+X48, 0) - VLOOKUP(YEAR(A48), Lookup!$Q:$R, 2) + J48,
        Z47 + IF(MONTH(A48)=12, Q48+W48, 0) + I48
      ),
      VLOOKUP(YEAR(A48), Lookup!$K:$M, 3)
    ),
  B48=55,
    IF(Z47 &gt;= AD48, Z47 - AD48, 0),
  B48&gt;55, 0
)</f>
        <v>28875.91455</v>
      </c>
      <c r="AA48" s="65">
        <f>IFS(
  B48&lt;65,
    IF(AA47+J48 &lt; VLOOKUP(YEAR(A48), Lookup!$Q:$R, 2),
      AA47 + IF(MONTH(A48)=12, R47+X47, 0) + J48,
      MIN(
        AA47 + IF(MONTH(A48)=12, R47+X47, 0) + J48 ,
        VLOOKUP(YEAR(A48), Lookup!$Q:$R, 2)
      )
    ),
  B48&gt;=65,
    IF(AA47+J48 &lt; VLOOKUP(questions!$C$5, Lookup!$Q:$R, 2),
      AA47 + IF(MONTH(A48)=12, R47+X47, 0) + J48 ,
      MIN(
        AA47 + IF(MONTH(A48)=12, R47+X47, 0) + J48,
        VLOOKUP(questions!$C$5, Lookup!$Q:$R, 2)
      )
    )
)</f>
        <v>36976.8412</v>
      </c>
      <c r="AB48" s="65">
        <f t="shared" si="13"/>
        <v>0</v>
      </c>
      <c r="AC48" s="66">
        <f t="array" ref="AC48">IFS(B48&lt;66, XLOOKUP(year(A48),Lookup!$K$13:$K1000,Lookup!$L$13:$L1000,"missing",,1),B48&gt;65,XLOOKUP(questions!$C$5,Lookup!$K$13:$K1000,Lookup!$L$13:$L1000,"missing",,1))</f>
        <v>122226.7725</v>
      </c>
      <c r="AD48" s="66">
        <f t="array" ref="AD48">IFS(B48&lt;66, XLOOKUP(year(A48),Lookup!$K$13:$K1000,Lookup!$M$13:$M1000,"missing",,1),B48&gt;65, XLOOKUP(questions!$C$5,Lookup!$K$13:$K1000,Lookup!$M$13:$M1000,"missing",,1))</f>
        <v>244453.545</v>
      </c>
      <c r="AE48" s="66">
        <f t="array" ref="AE48">IFS(B48&lt;66, XLOOKUP(year(A48),Lookup!$K$13:$K1000,Lookup!$N$13:$N1000,"missing",,1),B48&gt;65,XLOOKUP(questions!$C$5,Lookup!$K$13:$K1000,Lookup!$N$13:$N1000,"missing",,1))</f>
        <v>488907.09</v>
      </c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</row>
    <row r="49">
      <c r="A49" s="55">
        <f t="shared" si="7"/>
        <v>47514</v>
      </c>
      <c r="B49" s="56">
        <f>round(YEARFRAC(EOMONTH(questions!$C$3, 0),A49,1),2)</f>
        <v>31.17</v>
      </c>
      <c r="C49" s="57">
        <f>IF(B49&lt;questions!$C$6,if(MONTH(A49)=1,C48*(1+questions!$C$12),C48),0)</f>
        <v>11255.0881</v>
      </c>
      <c r="D49" s="58">
        <f>IF(MONTH(A49)=12,C49*questions!$C$11,0)</f>
        <v>0</v>
      </c>
      <c r="E49" s="59">
        <f t="shared" si="2"/>
        <v>8000</v>
      </c>
      <c r="F49" s="59">
        <f t="shared" si="3"/>
        <v>0</v>
      </c>
      <c r="G49" s="60">
        <f t="array" ref="G49">if(YEAR(A49)=2025,XLOOKUP(B49,Lookup!$A$3:$A$7,Lookup!$D$3:$D$7,,1)*SUM(E49:F49), XLOOKUP(B49,Lookup!$A$14:$A$18,Lookup!$D$14:$D$18,,1)*SUM(E49:F49))</f>
        <v>2960</v>
      </c>
      <c r="H49" s="60">
        <f t="array" ref="H49">if(YEAR(A49)=2025,XLOOKUP(B49,Lookup!$F$3:$F$10,Lookup!$G$3:$G$10,,1)*G49, XLOOKUP(B49,Lookup!$F$14:$F$21,Lookup!$G$14:$G$21,,1)*G49)</f>
        <v>1840.232</v>
      </c>
      <c r="I49" s="60">
        <f t="array" ref="I49">if(B49&lt;55, if(YEAR(A49)=2025,XLOOKUP(B49,Lookup!$F$3:$F$10,Lookup!$H$3:$H$10,,1)*G49, XLOOKUP(B49,Lookup!$F$14:$F$21,Lookup!$H$14:$H$21,,1)*G49),0)</f>
        <v>479.816</v>
      </c>
      <c r="J49" s="60">
        <f t="array" ref="J49">if(YEAR(A49)=2025,XLOOKUP(B49,Lookup!$F$3:$F$10,Lookup!$I$3:$I$10,,1)*G49, XLOOKUP(B49,Lookup!$F$14:$F$21,Lookup!$I$14:$I$21,,1)*G49)</f>
        <v>639.952</v>
      </c>
      <c r="K49" s="61">
        <f t="array" ref="K49">if(B49&gt;54, if(YEAR(A49)=2025,XLOOKUP(B49,Lookup!$F$3:$F$10,Lookup!$H$3:$H$10,,1)*G49, XLOOKUP(B49,Lookup!$F$14:$F$21,Lookup!$H$14:$H$21,,1)*G49),0)</f>
        <v>0</v>
      </c>
      <c r="L49" s="62">
        <f>IF(and(A49&lt;questions!$C$19,questions!$C$18="yes"),questions!$C$20,0)</f>
        <v>700</v>
      </c>
      <c r="M49" s="63">
        <f>(Y48+H49)*Lookup!A$26/12</f>
        <v>149.3730253</v>
      </c>
      <c r="N49" s="63">
        <f>if(B49&lt;55, (Z48+I49)*Lookup!B$26/12, (AB48+K49)*Lookup!B$26/12)</f>
        <v>97.85243517</v>
      </c>
      <c r="O49" s="63">
        <f>(AA48+J49)*Lookup!C$26/12</f>
        <v>125.3893107</v>
      </c>
      <c r="P49" s="63">
        <f t="shared" si="8"/>
        <v>149.3730253</v>
      </c>
      <c r="Q49" s="63">
        <f t="shared" si="4"/>
        <v>97.85243517</v>
      </c>
      <c r="R49" s="63">
        <f t="shared" si="5"/>
        <v>125.3893107</v>
      </c>
      <c r="S49" s="64">
        <f t="shared" si="9"/>
        <v>16.66666667</v>
      </c>
      <c r="T49" s="64">
        <f t="shared" si="10"/>
        <v>24.06326213</v>
      </c>
      <c r="U49" s="64">
        <f t="shared" si="11"/>
        <v>9.270071208</v>
      </c>
      <c r="V49" s="64">
        <f t="shared" ref="V49:X49" si="57">IF(year($A49)=year($A48), V48+S49, S49)</f>
        <v>16.66666667</v>
      </c>
      <c r="W49" s="64">
        <f t="shared" si="57"/>
        <v>24.06326213</v>
      </c>
      <c r="X49" s="64">
        <f t="shared" si="57"/>
        <v>9.270071208</v>
      </c>
      <c r="Y49" s="65">
        <f>IFS(
  B49&lt;55,
    MAX(
      Y48 + IF(MONTH(A49)=12, P49+V49, 0) + H49 - L49
      + MAX(0,
          IF(AA48 &gt;= VLOOKUP(YEAR(A49), Lookup!$Q:$R, 2),
            Z48 + IF(MONTH(A49)=12, Q49+W49, 0) + I49
              + AA48 + IF(MONTH(A49)=12, R49+X49, 0)
              - VLOOKUP(YEAR(A49), Lookup!$Q:$R, 2) + J49,
            Z48 + IF(MONTH(A49)=12, Q49+W49, 0) + I49
          ) - VLOOKUP(YEAR(A49), Lookup!$K:$M, 3)
        ),
    0),
  B49=55,
    IF(Z48&gt;=AD49,
      MAX(Y48 + IF(MONTH(A49)=12, P49+V49, 0) + H49 - L49, 0),
      MAX(MAX(0, Y48-(AD49-Z48)) + IF(MONTH(A49)=12, P49+V49, 0) + H49 - L49, 0)
    ),
  B49&gt;55,
    IF(AB48&gt;=$AH$7,
      MAX(Y48 + IF(MONTH(A49)=12, P49+V49, 0) + H49 - L49 + K49 + Z48, 0),
      MAX(Y48 + IF(MONTH(A49)=12, P49+V49, 0) + H49 - L49, 0)
    )
)</f>
        <v>70999.05213</v>
      </c>
      <c r="Z49" s="65">
        <f>IFS(
  B49&lt;55,
    MIN(
      IF(AA48 &gt;= VLOOKUP(YEAR(A49), Lookup!$Q:$R, 2),
        Z48 + IF(MONTH(A49)=12, Q49+W49, 0) + I49
          + AA48 + IF(MONTH(A49)=12, R49+X49, 0) - VLOOKUP(YEAR(A49), Lookup!$Q:$R, 2) + J49,
        Z48 + IF(MONTH(A49)=12, Q49+W49, 0) + I49
      ),
      VLOOKUP(YEAR(A49), Lookup!$K:$M, 3)
    ),
  B49=55,
    IF(Z48 &gt;= AD49, Z48 - AD49, 0),
  B49&gt;55, 0
)</f>
        <v>29355.73055</v>
      </c>
      <c r="AA49" s="65">
        <f>IFS(
  B49&lt;65,
    IF(AA48+J49 &lt; VLOOKUP(YEAR(A49), Lookup!$Q:$R, 2),
      AA48 + IF(MONTH(A49)=12, R48+X48, 0) + J49,
      MIN(
        AA48 + IF(MONTH(A49)=12, R48+X48, 0) + J49 ,
        VLOOKUP(YEAR(A49), Lookup!$Q:$R, 2)
      )
    ),
  B49&gt;=65,
    IF(AA48+J49 &lt; VLOOKUP(questions!$C$5, Lookup!$Q:$R, 2),
      AA48 + IF(MONTH(A49)=12, R48+X48, 0) + J49 ,
      MIN(
        AA48 + IF(MONTH(A49)=12, R48+X48, 0) + J49,
        VLOOKUP(questions!$C$5, Lookup!$Q:$R, 2)
      )
    )
)</f>
        <v>37616.7932</v>
      </c>
      <c r="AB49" s="65">
        <f t="shared" si="13"/>
        <v>0</v>
      </c>
      <c r="AC49" s="66">
        <f t="array" ref="AC49">IFS(B49&lt;66, XLOOKUP(year(A49),Lookup!$K$13:$K1000,Lookup!$L$13:$L1000,"missing",,1),B49&gt;65,XLOOKUP(questions!$C$5,Lookup!$K$13:$K1000,Lookup!$L$13:$L1000,"missing",,1))</f>
        <v>126504.7095</v>
      </c>
      <c r="AD49" s="66">
        <f t="array" ref="AD49">IFS(B49&lt;66, XLOOKUP(year(A49),Lookup!$K$13:$K1000,Lookup!$M$13:$M1000,"missing",,1),B49&gt;65, XLOOKUP(questions!$C$5,Lookup!$K$13:$K1000,Lookup!$M$13:$M1000,"missing",,1))</f>
        <v>253009.4191</v>
      </c>
      <c r="AE49" s="66">
        <f t="array" ref="AE49">IFS(B49&lt;66, XLOOKUP(year(A49),Lookup!$K$13:$K1000,Lookup!$N$13:$N1000,"missing",,1),B49&gt;65,XLOOKUP(questions!$C$5,Lookup!$K$13:$K1000,Lookup!$N$13:$N1000,"missing",,1))</f>
        <v>506018.8382</v>
      </c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</row>
    <row r="50">
      <c r="A50" s="55">
        <f t="shared" si="7"/>
        <v>47542</v>
      </c>
      <c r="B50" s="56">
        <f>round(YEARFRAC(EOMONTH(questions!$C$3, 0),A50,1),2)</f>
        <v>31.25</v>
      </c>
      <c r="C50" s="57">
        <f>IF(B50&lt;questions!$C$6,if(MONTH(A50)=1,C49*(1+questions!$C$12),C49),0)</f>
        <v>11255.0881</v>
      </c>
      <c r="D50" s="58">
        <f>IF(MONTH(A50)=12,C50*questions!$C$11,0)</f>
        <v>0</v>
      </c>
      <c r="E50" s="59">
        <f t="shared" si="2"/>
        <v>8000</v>
      </c>
      <c r="F50" s="59">
        <f t="shared" si="3"/>
        <v>0</v>
      </c>
      <c r="G50" s="60">
        <f t="array" ref="G50">if(YEAR(A50)=2025,XLOOKUP(B50,Lookup!$A$3:$A$7,Lookup!$D$3:$D$7,,1)*SUM(E50:F50), XLOOKUP(B50,Lookup!$A$14:$A$18,Lookup!$D$14:$D$18,,1)*SUM(E50:F50))</f>
        <v>2960</v>
      </c>
      <c r="H50" s="60">
        <f t="array" ref="H50">if(YEAR(A50)=2025,XLOOKUP(B50,Lookup!$F$3:$F$10,Lookup!$G$3:$G$10,,1)*G50, XLOOKUP(B50,Lookup!$F$14:$F$21,Lookup!$G$14:$G$21,,1)*G50)</f>
        <v>1840.232</v>
      </c>
      <c r="I50" s="60">
        <f t="array" ref="I50">if(B50&lt;55, if(YEAR(A50)=2025,XLOOKUP(B50,Lookup!$F$3:$F$10,Lookup!$H$3:$H$10,,1)*G50, XLOOKUP(B50,Lookup!$F$14:$F$21,Lookup!$H$14:$H$21,,1)*G50),0)</f>
        <v>479.816</v>
      </c>
      <c r="J50" s="60">
        <f t="array" ref="J50">if(YEAR(A50)=2025,XLOOKUP(B50,Lookup!$F$3:$F$10,Lookup!$I$3:$I$10,,1)*G50, XLOOKUP(B50,Lookup!$F$14:$F$21,Lookup!$I$14:$I$21,,1)*G50)</f>
        <v>639.952</v>
      </c>
      <c r="K50" s="61">
        <f t="array" ref="K50">if(B50&gt;54, if(YEAR(A50)=2025,XLOOKUP(B50,Lookup!$F$3:$F$10,Lookup!$H$3:$H$10,,1)*G50, XLOOKUP(B50,Lookup!$F$14:$F$21,Lookup!$H$14:$H$21,,1)*G50),0)</f>
        <v>0</v>
      </c>
      <c r="L50" s="62">
        <f>IF(and(A50&lt;questions!$C$19,questions!$C$18="yes"),questions!$C$20,0)</f>
        <v>700</v>
      </c>
      <c r="M50" s="63">
        <f>(Y49+H50)*Lookup!A$26/12</f>
        <v>151.7485086</v>
      </c>
      <c r="N50" s="63">
        <f>if(B50&lt;55, (Z49+I50)*Lookup!B$26/12, (AB49+K50)*Lookup!B$26/12)</f>
        <v>99.45182184</v>
      </c>
      <c r="O50" s="63">
        <f>(AA49+J50)*Lookup!C$26/12</f>
        <v>127.522484</v>
      </c>
      <c r="P50" s="63">
        <f t="shared" si="8"/>
        <v>301.1215339</v>
      </c>
      <c r="Q50" s="63">
        <f t="shared" si="4"/>
        <v>197.304257</v>
      </c>
      <c r="R50" s="63">
        <f t="shared" si="5"/>
        <v>252.9117947</v>
      </c>
      <c r="S50" s="64">
        <f t="shared" si="9"/>
        <v>16.66666667</v>
      </c>
      <c r="T50" s="64">
        <f t="shared" si="10"/>
        <v>24.46310879</v>
      </c>
      <c r="U50" s="64">
        <f t="shared" si="11"/>
        <v>8.870224541</v>
      </c>
      <c r="V50" s="64">
        <f t="shared" ref="V50:X50" si="58">IF(year($A50)=year($A49), V49+S50, S50)</f>
        <v>33.33333333</v>
      </c>
      <c r="W50" s="64">
        <f t="shared" si="58"/>
        <v>48.52637092</v>
      </c>
      <c r="X50" s="64">
        <f t="shared" si="58"/>
        <v>18.14029575</v>
      </c>
      <c r="Y50" s="65">
        <f>IFS(
  B50&lt;55,
    MAX(
      Y49 + IF(MONTH(A50)=12, P50+V50, 0) + H50 - L50
      + MAX(0,
          IF(AA49 &gt;= VLOOKUP(YEAR(A50), Lookup!$Q:$R, 2),
            Z49 + IF(MONTH(A50)=12, Q50+W50, 0) + I50
              + AA49 + IF(MONTH(A50)=12, R50+X50, 0)
              - VLOOKUP(YEAR(A50), Lookup!$Q:$R, 2) + J50,
            Z49 + IF(MONTH(A50)=12, Q50+W50, 0) + I50
          ) - VLOOKUP(YEAR(A50), Lookup!$K:$M, 3)
        ),
    0),
  B50=55,
    IF(Z49&gt;=AD50,
      MAX(Y49 + IF(MONTH(A50)=12, P50+V50, 0) + H50 - L50, 0),
      MAX(MAX(0, Y49-(AD50-Z49)) + IF(MONTH(A50)=12, P50+V50, 0) + H50 - L50, 0)
    ),
  B50&gt;55,
    IF(AB49&gt;=$AH$7,
      MAX(Y49 + IF(MONTH(A50)=12, P50+V50, 0) + H50 - L50 + K50 + Z49, 0),
      MAX(Y49 + IF(MONTH(A50)=12, P50+V50, 0) + H50 - L50, 0)
    )
)</f>
        <v>72139.28413</v>
      </c>
      <c r="Z50" s="65">
        <f>IFS(
  B50&lt;55,
    MIN(
      IF(AA49 &gt;= VLOOKUP(YEAR(A50), Lookup!$Q:$R, 2),
        Z49 + IF(MONTH(A50)=12, Q50+W50, 0) + I50
          + AA49 + IF(MONTH(A50)=12, R50+X50, 0) - VLOOKUP(YEAR(A50), Lookup!$Q:$R, 2) + J50,
        Z49 + IF(MONTH(A50)=12, Q50+W50, 0) + I50
      ),
      VLOOKUP(YEAR(A50), Lookup!$K:$M, 3)
    ),
  B50=55,
    IF(Z49 &gt;= AD50, Z49 - AD50, 0),
  B50&gt;55, 0
)</f>
        <v>29835.54655</v>
      </c>
      <c r="AA50" s="65">
        <f>IFS(
  B50&lt;65,
    IF(AA49+J50 &lt; VLOOKUP(YEAR(A50), Lookup!$Q:$R, 2),
      AA49 + IF(MONTH(A50)=12, R49+X49, 0) + J50,
      MIN(
        AA49 + IF(MONTH(A50)=12, R49+X49, 0) + J50 ,
        VLOOKUP(YEAR(A50), Lookup!$Q:$R, 2)
      )
    ),
  B50&gt;=65,
    IF(AA49+J50 &lt; VLOOKUP(questions!$C$5, Lookup!$Q:$R, 2),
      AA49 + IF(MONTH(A50)=12, R49+X49, 0) + J50 ,
      MIN(
        AA49 + IF(MONTH(A50)=12, R49+X49, 0) + J50,
        VLOOKUP(questions!$C$5, Lookup!$Q:$R, 2)
      )
    )
)</f>
        <v>38256.7452</v>
      </c>
      <c r="AB50" s="65">
        <f t="shared" si="13"/>
        <v>0</v>
      </c>
      <c r="AC50" s="66">
        <f t="array" ref="AC50">IFS(B50&lt;66, XLOOKUP(year(A50),Lookup!$K$13:$K1000,Lookup!$L$13:$L1000,"missing",,1),B50&gt;65,XLOOKUP(questions!$C$5,Lookup!$K$13:$K1000,Lookup!$L$13:$L1000,"missing",,1))</f>
        <v>126504.7095</v>
      </c>
      <c r="AD50" s="66">
        <f t="array" ref="AD50">IFS(B50&lt;66, XLOOKUP(year(A50),Lookup!$K$13:$K1000,Lookup!$M$13:$M1000,"missing",,1),B50&gt;65, XLOOKUP(questions!$C$5,Lookup!$K$13:$K1000,Lookup!$M$13:$M1000,"missing",,1))</f>
        <v>253009.4191</v>
      </c>
      <c r="AE50" s="66">
        <f t="array" ref="AE50">IFS(B50&lt;66, XLOOKUP(year(A50),Lookup!$K$13:$K1000,Lookup!$N$13:$N1000,"missing",,1),B50&gt;65,XLOOKUP(questions!$C$5,Lookup!$K$13:$K1000,Lookup!$N$13:$N1000,"missing",,1))</f>
        <v>506018.8382</v>
      </c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</row>
    <row r="51">
      <c r="A51" s="55">
        <f t="shared" si="7"/>
        <v>47573</v>
      </c>
      <c r="B51" s="56">
        <f>round(YEARFRAC(EOMONTH(questions!$C$3, 0),A51,1),2)</f>
        <v>31.33</v>
      </c>
      <c r="C51" s="57">
        <f>IF(B51&lt;questions!$C$6,if(MONTH(A51)=1,C50*(1+questions!$C$12),C50),0)</f>
        <v>11255.0881</v>
      </c>
      <c r="D51" s="58">
        <f>IF(MONTH(A51)=12,C51*questions!$C$11,0)</f>
        <v>0</v>
      </c>
      <c r="E51" s="59">
        <f t="shared" si="2"/>
        <v>8000</v>
      </c>
      <c r="F51" s="59">
        <f t="shared" si="3"/>
        <v>0</v>
      </c>
      <c r="G51" s="60">
        <f t="array" ref="G51">if(YEAR(A51)=2025,XLOOKUP(B51,Lookup!$A$3:$A$7,Lookup!$D$3:$D$7,,1)*SUM(E51:F51), XLOOKUP(B51,Lookup!$A$14:$A$18,Lookup!$D$14:$D$18,,1)*SUM(E51:F51))</f>
        <v>2960</v>
      </c>
      <c r="H51" s="60">
        <f t="array" ref="H51">if(YEAR(A51)=2025,XLOOKUP(B51,Lookup!$F$3:$F$10,Lookup!$G$3:$G$10,,1)*G51, XLOOKUP(B51,Lookup!$F$14:$F$21,Lookup!$G$14:$G$21,,1)*G51)</f>
        <v>1840.232</v>
      </c>
      <c r="I51" s="60">
        <f t="array" ref="I51">if(B51&lt;55, if(YEAR(A51)=2025,XLOOKUP(B51,Lookup!$F$3:$F$10,Lookup!$H$3:$H$10,,1)*G51, XLOOKUP(B51,Lookup!$F$14:$F$21,Lookup!$H$14:$H$21,,1)*G51),0)</f>
        <v>479.816</v>
      </c>
      <c r="J51" s="60">
        <f t="array" ref="J51">if(YEAR(A51)=2025,XLOOKUP(B51,Lookup!$F$3:$F$10,Lookup!$I$3:$I$10,,1)*G51, XLOOKUP(B51,Lookup!$F$14:$F$21,Lookup!$I$14:$I$21,,1)*G51)</f>
        <v>639.952</v>
      </c>
      <c r="K51" s="61">
        <f t="array" ref="K51">if(B51&gt;54, if(YEAR(A51)=2025,XLOOKUP(B51,Lookup!$F$3:$F$10,Lookup!$H$3:$H$10,,1)*G51, XLOOKUP(B51,Lookup!$F$14:$F$21,Lookup!$H$14:$H$21,,1)*G51),0)</f>
        <v>0</v>
      </c>
      <c r="L51" s="62">
        <f>IF(and(A51&lt;questions!$C$19,questions!$C$18="yes"),questions!$C$20,0)</f>
        <v>700</v>
      </c>
      <c r="M51" s="63">
        <f>(Y50+H51)*Lookup!A$26/12</f>
        <v>154.1239919</v>
      </c>
      <c r="N51" s="63">
        <f>if(B51&lt;55, (Z50+I51)*Lookup!B$26/12, (AB50+K51)*Lookup!B$26/12)</f>
        <v>101.0512085</v>
      </c>
      <c r="O51" s="63">
        <f>(AA50+J51)*Lookup!C$26/12</f>
        <v>129.6556573</v>
      </c>
      <c r="P51" s="63">
        <f t="shared" si="8"/>
        <v>455.2455258</v>
      </c>
      <c r="Q51" s="63">
        <f t="shared" si="4"/>
        <v>298.3554655</v>
      </c>
      <c r="R51" s="63">
        <f t="shared" si="5"/>
        <v>382.567452</v>
      </c>
      <c r="S51" s="64">
        <f t="shared" si="9"/>
        <v>16.66666667</v>
      </c>
      <c r="T51" s="64">
        <f t="shared" si="10"/>
        <v>24.86295546</v>
      </c>
      <c r="U51" s="64">
        <f t="shared" si="11"/>
        <v>8.470377875</v>
      </c>
      <c r="V51" s="64">
        <f t="shared" ref="V51:X51" si="59">IF(year($A51)=year($A50), V50+S51, S51)</f>
        <v>50</v>
      </c>
      <c r="W51" s="64">
        <f t="shared" si="59"/>
        <v>73.38932638</v>
      </c>
      <c r="X51" s="64">
        <f t="shared" si="59"/>
        <v>26.61067362</v>
      </c>
      <c r="Y51" s="65">
        <f>IFS(
  B51&lt;55,
    MAX(
      Y50 + IF(MONTH(A51)=12, P51+V51, 0) + H51 - L51
      + MAX(0,
          IF(AA50 &gt;= VLOOKUP(YEAR(A51), Lookup!$Q:$R, 2),
            Z50 + IF(MONTH(A51)=12, Q51+W51, 0) + I51
              + AA50 + IF(MONTH(A51)=12, R51+X51, 0)
              - VLOOKUP(YEAR(A51), Lookup!$Q:$R, 2) + J51,
            Z50 + IF(MONTH(A51)=12, Q51+W51, 0) + I51
          ) - VLOOKUP(YEAR(A51), Lookup!$K:$M, 3)
        ),
    0),
  B51=55,
    IF(Z50&gt;=AD51,
      MAX(Y50 + IF(MONTH(A51)=12, P51+V51, 0) + H51 - L51, 0),
      MAX(MAX(0, Y50-(AD51-Z50)) + IF(MONTH(A51)=12, P51+V51, 0) + H51 - L51, 0)
    ),
  B51&gt;55,
    IF(AB50&gt;=$AH$7,
      MAX(Y50 + IF(MONTH(A51)=12, P51+V51, 0) + H51 - L51 + K51 + Z50, 0),
      MAX(Y50 + IF(MONTH(A51)=12, P51+V51, 0) + H51 - L51, 0)
    )
)</f>
        <v>73279.51613</v>
      </c>
      <c r="Z51" s="65">
        <f>IFS(
  B51&lt;55,
    MIN(
      IF(AA50 &gt;= VLOOKUP(YEAR(A51), Lookup!$Q:$R, 2),
        Z50 + IF(MONTH(A51)=12, Q51+W51, 0) + I51
          + AA50 + IF(MONTH(A51)=12, R51+X51, 0) - VLOOKUP(YEAR(A51), Lookup!$Q:$R, 2) + J51,
        Z50 + IF(MONTH(A51)=12, Q51+W51, 0) + I51
      ),
      VLOOKUP(YEAR(A51), Lookup!$K:$M, 3)
    ),
  B51=55,
    IF(Z50 &gt;= AD51, Z50 - AD51, 0),
  B51&gt;55, 0
)</f>
        <v>30315.36255</v>
      </c>
      <c r="AA51" s="65">
        <f>IFS(
  B51&lt;65,
    IF(AA50+J51 &lt; VLOOKUP(YEAR(A51), Lookup!$Q:$R, 2),
      AA50 + IF(MONTH(A51)=12, R50+X50, 0) + J51,
      MIN(
        AA50 + IF(MONTH(A51)=12, R50+X50, 0) + J51 ,
        VLOOKUP(YEAR(A51), Lookup!$Q:$R, 2)
      )
    ),
  B51&gt;=65,
    IF(AA50+J51 &lt; VLOOKUP(questions!$C$5, Lookup!$Q:$R, 2),
      AA50 + IF(MONTH(A51)=12, R50+X50, 0) + J51 ,
      MIN(
        AA50 + IF(MONTH(A51)=12, R50+X50, 0) + J51,
        VLOOKUP(questions!$C$5, Lookup!$Q:$R, 2)
      )
    )
)</f>
        <v>38896.6972</v>
      </c>
      <c r="AB51" s="65">
        <f t="shared" si="13"/>
        <v>0</v>
      </c>
      <c r="AC51" s="66">
        <f t="array" ref="AC51">IFS(B51&lt;66, XLOOKUP(year(A51),Lookup!$K$13:$K1000,Lookup!$L$13:$L1000,"missing",,1),B51&gt;65,XLOOKUP(questions!$C$5,Lookup!$K$13:$K1000,Lookup!$L$13:$L1000,"missing",,1))</f>
        <v>126504.7095</v>
      </c>
      <c r="AD51" s="66">
        <f t="array" ref="AD51">IFS(B51&lt;66, XLOOKUP(year(A51),Lookup!$K$13:$K1000,Lookup!$M$13:$M1000,"missing",,1),B51&gt;65, XLOOKUP(questions!$C$5,Lookup!$K$13:$K1000,Lookup!$M$13:$M1000,"missing",,1))</f>
        <v>253009.4191</v>
      </c>
      <c r="AE51" s="66">
        <f t="array" ref="AE51">IFS(B51&lt;66, XLOOKUP(year(A51),Lookup!$K$13:$K1000,Lookup!$N$13:$N1000,"missing",,1),B51&gt;65,XLOOKUP(questions!$C$5,Lookup!$K$13:$K1000,Lookup!$N$13:$N1000,"missing",,1))</f>
        <v>506018.8382</v>
      </c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</row>
    <row r="52">
      <c r="A52" s="55">
        <f t="shared" si="7"/>
        <v>47603</v>
      </c>
      <c r="B52" s="56">
        <f>round(YEARFRAC(EOMONTH(questions!$C$3, 0),A52,1),2)</f>
        <v>31.41</v>
      </c>
      <c r="C52" s="57">
        <f>IF(B52&lt;questions!$C$6,if(MONTH(A52)=1,C51*(1+questions!$C$12),C51),0)</f>
        <v>11255.0881</v>
      </c>
      <c r="D52" s="58">
        <f>IF(MONTH(A52)=12,C52*questions!$C$11,0)</f>
        <v>0</v>
      </c>
      <c r="E52" s="59">
        <f t="shared" si="2"/>
        <v>8000</v>
      </c>
      <c r="F52" s="59">
        <f t="shared" si="3"/>
        <v>0</v>
      </c>
      <c r="G52" s="60">
        <f t="array" ref="G52">if(YEAR(A52)=2025,XLOOKUP(B52,Lookup!$A$3:$A$7,Lookup!$D$3:$D$7,,1)*SUM(E52:F52), XLOOKUP(B52,Lookup!$A$14:$A$18,Lookup!$D$14:$D$18,,1)*SUM(E52:F52))</f>
        <v>2960</v>
      </c>
      <c r="H52" s="60">
        <f t="array" ref="H52">if(YEAR(A52)=2025,XLOOKUP(B52,Lookup!$F$3:$F$10,Lookup!$G$3:$G$10,,1)*G52, XLOOKUP(B52,Lookup!$F$14:$F$21,Lookup!$G$14:$G$21,,1)*G52)</f>
        <v>1840.232</v>
      </c>
      <c r="I52" s="60">
        <f t="array" ref="I52">if(B52&lt;55, if(YEAR(A52)=2025,XLOOKUP(B52,Lookup!$F$3:$F$10,Lookup!$H$3:$H$10,,1)*G52, XLOOKUP(B52,Lookup!$F$14:$F$21,Lookup!$H$14:$H$21,,1)*G52),0)</f>
        <v>479.816</v>
      </c>
      <c r="J52" s="60">
        <f t="array" ref="J52">if(YEAR(A52)=2025,XLOOKUP(B52,Lookup!$F$3:$F$10,Lookup!$I$3:$I$10,,1)*G52, XLOOKUP(B52,Lookup!$F$14:$F$21,Lookup!$I$14:$I$21,,1)*G52)</f>
        <v>639.952</v>
      </c>
      <c r="K52" s="61">
        <f t="array" ref="K52">if(B52&gt;54, if(YEAR(A52)=2025,XLOOKUP(B52,Lookup!$F$3:$F$10,Lookup!$H$3:$H$10,,1)*G52, XLOOKUP(B52,Lookup!$F$14:$F$21,Lookup!$H$14:$H$21,,1)*G52),0)</f>
        <v>0</v>
      </c>
      <c r="L52" s="62">
        <f>IF(and(A52&lt;questions!$C$19,questions!$C$18="yes"),questions!$C$20,0)</f>
        <v>700</v>
      </c>
      <c r="M52" s="63">
        <f>(Y51+H52)*Lookup!A$26/12</f>
        <v>156.4994753</v>
      </c>
      <c r="N52" s="63">
        <f>if(B52&lt;55, (Z51+I52)*Lookup!B$26/12, (AB51+K52)*Lookup!B$26/12)</f>
        <v>102.6505952</v>
      </c>
      <c r="O52" s="63">
        <f>(AA51+J52)*Lookup!C$26/12</f>
        <v>131.7888307</v>
      </c>
      <c r="P52" s="63">
        <f t="shared" si="8"/>
        <v>611.7450011</v>
      </c>
      <c r="Q52" s="63">
        <f t="shared" si="4"/>
        <v>401.0060607</v>
      </c>
      <c r="R52" s="63">
        <f t="shared" si="5"/>
        <v>514.3562827</v>
      </c>
      <c r="S52" s="64">
        <f t="shared" si="9"/>
        <v>16.66666667</v>
      </c>
      <c r="T52" s="64">
        <f t="shared" si="10"/>
        <v>25.26280213</v>
      </c>
      <c r="U52" s="64">
        <f t="shared" si="11"/>
        <v>8.070531208</v>
      </c>
      <c r="V52" s="64">
        <f t="shared" ref="V52:X52" si="60">IF(year($A52)=year($A51), V51+S52, S52)</f>
        <v>66.66666667</v>
      </c>
      <c r="W52" s="64">
        <f t="shared" si="60"/>
        <v>98.6521285</v>
      </c>
      <c r="X52" s="64">
        <f t="shared" si="60"/>
        <v>34.68120483</v>
      </c>
      <c r="Y52" s="65">
        <f>IFS(
  B52&lt;55,
    MAX(
      Y51 + IF(MONTH(A52)=12, P52+V52, 0) + H52 - L52
      + MAX(0,
          IF(AA51 &gt;= VLOOKUP(YEAR(A52), Lookup!$Q:$R, 2),
            Z51 + IF(MONTH(A52)=12, Q52+W52, 0) + I52
              + AA51 + IF(MONTH(A52)=12, R52+X52, 0)
              - VLOOKUP(YEAR(A52), Lookup!$Q:$R, 2) + J52,
            Z51 + IF(MONTH(A52)=12, Q52+W52, 0) + I52
          ) - VLOOKUP(YEAR(A52), Lookup!$K:$M, 3)
        ),
    0),
  B52=55,
    IF(Z51&gt;=AD52,
      MAX(Y51 + IF(MONTH(A52)=12, P52+V52, 0) + H52 - L52, 0),
      MAX(MAX(0, Y51-(AD52-Z51)) + IF(MONTH(A52)=12, P52+V52, 0) + H52 - L52, 0)
    ),
  B52&gt;55,
    IF(AB51&gt;=$AH$7,
      MAX(Y51 + IF(MONTH(A52)=12, P52+V52, 0) + H52 - L52 + K52 + Z51, 0),
      MAX(Y51 + IF(MONTH(A52)=12, P52+V52, 0) + H52 - L52, 0)
    )
)</f>
        <v>74419.74813</v>
      </c>
      <c r="Z52" s="65">
        <f>IFS(
  B52&lt;55,
    MIN(
      IF(AA51 &gt;= VLOOKUP(YEAR(A52), Lookup!$Q:$R, 2),
        Z51 + IF(MONTH(A52)=12, Q52+W52, 0) + I52
          + AA51 + IF(MONTH(A52)=12, R52+X52, 0) - VLOOKUP(YEAR(A52), Lookup!$Q:$R, 2) + J52,
        Z51 + IF(MONTH(A52)=12, Q52+W52, 0) + I52
      ),
      VLOOKUP(YEAR(A52), Lookup!$K:$M, 3)
    ),
  B52=55,
    IF(Z51 &gt;= AD52, Z51 - AD52, 0),
  B52&gt;55, 0
)</f>
        <v>30795.17855</v>
      </c>
      <c r="AA52" s="65">
        <f>IFS(
  B52&lt;65,
    IF(AA51+J52 &lt; VLOOKUP(YEAR(A52), Lookup!$Q:$R, 2),
      AA51 + IF(MONTH(A52)=12, R51+X51, 0) + J52,
      MIN(
        AA51 + IF(MONTH(A52)=12, R51+X51, 0) + J52 ,
        VLOOKUP(YEAR(A52), Lookup!$Q:$R, 2)
      )
    ),
  B52&gt;=65,
    IF(AA51+J52 &lt; VLOOKUP(questions!$C$5, Lookup!$Q:$R, 2),
      AA51 + IF(MONTH(A52)=12, R51+X51, 0) + J52 ,
      MIN(
        AA51 + IF(MONTH(A52)=12, R51+X51, 0) + J52,
        VLOOKUP(questions!$C$5, Lookup!$Q:$R, 2)
      )
    )
)</f>
        <v>39536.6492</v>
      </c>
      <c r="AB52" s="65">
        <f t="shared" si="13"/>
        <v>0</v>
      </c>
      <c r="AC52" s="66">
        <f t="array" ref="AC52">IFS(B52&lt;66, XLOOKUP(year(A52),Lookup!$K$13:$K1000,Lookup!$L$13:$L1000,"missing",,1),B52&gt;65,XLOOKUP(questions!$C$5,Lookup!$K$13:$K1000,Lookup!$L$13:$L1000,"missing",,1))</f>
        <v>126504.7095</v>
      </c>
      <c r="AD52" s="66">
        <f t="array" ref="AD52">IFS(B52&lt;66, XLOOKUP(year(A52),Lookup!$K$13:$K1000,Lookup!$M$13:$M1000,"missing",,1),B52&gt;65, XLOOKUP(questions!$C$5,Lookup!$K$13:$K1000,Lookup!$M$13:$M1000,"missing",,1))</f>
        <v>253009.4191</v>
      </c>
      <c r="AE52" s="66">
        <f t="array" ref="AE52">IFS(B52&lt;66, XLOOKUP(year(A52),Lookup!$K$13:$K1000,Lookup!$N$13:$N1000,"missing",,1),B52&gt;65,XLOOKUP(questions!$C$5,Lookup!$K$13:$K1000,Lookup!$N$13:$N1000,"missing",,1))</f>
        <v>506018.8382</v>
      </c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</row>
    <row r="53">
      <c r="A53" s="55">
        <f t="shared" si="7"/>
        <v>47634</v>
      </c>
      <c r="B53" s="56">
        <f>round(YEARFRAC(EOMONTH(questions!$C$3, 0),A53,1),2)</f>
        <v>31.5</v>
      </c>
      <c r="C53" s="57">
        <f>IF(B53&lt;questions!$C$6,if(MONTH(A53)=1,C52*(1+questions!$C$12),C52),0)</f>
        <v>11255.0881</v>
      </c>
      <c r="D53" s="58">
        <f>IF(MONTH(A53)=12,C53*questions!$C$11,0)</f>
        <v>0</v>
      </c>
      <c r="E53" s="59">
        <f t="shared" si="2"/>
        <v>8000</v>
      </c>
      <c r="F53" s="59">
        <f t="shared" si="3"/>
        <v>0</v>
      </c>
      <c r="G53" s="60">
        <f t="array" ref="G53">if(YEAR(A53)=2025,XLOOKUP(B53,Lookup!$A$3:$A$7,Lookup!$D$3:$D$7,,1)*SUM(E53:F53), XLOOKUP(B53,Lookup!$A$14:$A$18,Lookup!$D$14:$D$18,,1)*SUM(E53:F53))</f>
        <v>2960</v>
      </c>
      <c r="H53" s="60">
        <f t="array" ref="H53">if(YEAR(A53)=2025,XLOOKUP(B53,Lookup!$F$3:$F$10,Lookup!$G$3:$G$10,,1)*G53, XLOOKUP(B53,Lookup!$F$14:$F$21,Lookup!$G$14:$G$21,,1)*G53)</f>
        <v>1840.232</v>
      </c>
      <c r="I53" s="60">
        <f t="array" ref="I53">if(B53&lt;55, if(YEAR(A53)=2025,XLOOKUP(B53,Lookup!$F$3:$F$10,Lookup!$H$3:$H$10,,1)*G53, XLOOKUP(B53,Lookup!$F$14:$F$21,Lookup!$H$14:$H$21,,1)*G53),0)</f>
        <v>479.816</v>
      </c>
      <c r="J53" s="60">
        <f t="array" ref="J53">if(YEAR(A53)=2025,XLOOKUP(B53,Lookup!$F$3:$F$10,Lookup!$I$3:$I$10,,1)*G53, XLOOKUP(B53,Lookup!$F$14:$F$21,Lookup!$I$14:$I$21,,1)*G53)</f>
        <v>639.952</v>
      </c>
      <c r="K53" s="61">
        <f t="array" ref="K53">if(B53&gt;54, if(YEAR(A53)=2025,XLOOKUP(B53,Lookup!$F$3:$F$10,Lookup!$H$3:$H$10,,1)*G53, XLOOKUP(B53,Lookup!$F$14:$F$21,Lookup!$H$14:$H$21,,1)*G53),0)</f>
        <v>0</v>
      </c>
      <c r="L53" s="62">
        <f>IF(and(A53&lt;questions!$C$19,questions!$C$18="yes"),questions!$C$20,0)</f>
        <v>700</v>
      </c>
      <c r="M53" s="63">
        <f>(Y52+H53)*Lookup!A$26/12</f>
        <v>158.8749586</v>
      </c>
      <c r="N53" s="63">
        <f>if(B53&lt;55, (Z52+I53)*Lookup!B$26/12, (AB52+K53)*Lookup!B$26/12)</f>
        <v>104.2499818</v>
      </c>
      <c r="O53" s="63">
        <f>(AA52+J53)*Lookup!C$26/12</f>
        <v>133.922004</v>
      </c>
      <c r="P53" s="63">
        <f t="shared" si="8"/>
        <v>770.6199597</v>
      </c>
      <c r="Q53" s="63">
        <f t="shared" si="4"/>
        <v>505.2560425</v>
      </c>
      <c r="R53" s="63">
        <f t="shared" si="5"/>
        <v>648.2782867</v>
      </c>
      <c r="S53" s="64">
        <f t="shared" si="9"/>
        <v>16.66666667</v>
      </c>
      <c r="T53" s="64">
        <f t="shared" si="10"/>
        <v>25.66264879</v>
      </c>
      <c r="U53" s="64">
        <f t="shared" si="11"/>
        <v>7.670684541</v>
      </c>
      <c r="V53" s="64">
        <f t="shared" ref="V53:X53" si="61">IF(year($A53)=year($A52), V52+S53, S53)</f>
        <v>83.33333333</v>
      </c>
      <c r="W53" s="64">
        <f t="shared" si="61"/>
        <v>124.3147773</v>
      </c>
      <c r="X53" s="64">
        <f t="shared" si="61"/>
        <v>42.35188937</v>
      </c>
      <c r="Y53" s="65">
        <f>IFS(
  B53&lt;55,
    MAX(
      Y52 + IF(MONTH(A53)=12, P53+V53, 0) + H53 - L53
      + MAX(0,
          IF(AA52 &gt;= VLOOKUP(YEAR(A53), Lookup!$Q:$R, 2),
            Z52 + IF(MONTH(A53)=12, Q53+W53, 0) + I53
              + AA52 + IF(MONTH(A53)=12, R53+X53, 0)
              - VLOOKUP(YEAR(A53), Lookup!$Q:$R, 2) + J53,
            Z52 + IF(MONTH(A53)=12, Q53+W53, 0) + I53
          ) - VLOOKUP(YEAR(A53), Lookup!$K:$M, 3)
        ),
    0),
  B53=55,
    IF(Z52&gt;=AD53,
      MAX(Y52 + IF(MONTH(A53)=12, P53+V53, 0) + H53 - L53, 0),
      MAX(MAX(0, Y52-(AD53-Z52)) + IF(MONTH(A53)=12, P53+V53, 0) + H53 - L53, 0)
    ),
  B53&gt;55,
    IF(AB52&gt;=$AH$7,
      MAX(Y52 + IF(MONTH(A53)=12, P53+V53, 0) + H53 - L53 + K53 + Z52, 0),
      MAX(Y52 + IF(MONTH(A53)=12, P53+V53, 0) + H53 - L53, 0)
    )
)</f>
        <v>75559.98013</v>
      </c>
      <c r="Z53" s="65">
        <f>IFS(
  B53&lt;55,
    MIN(
      IF(AA52 &gt;= VLOOKUP(YEAR(A53), Lookup!$Q:$R, 2),
        Z52 + IF(MONTH(A53)=12, Q53+W53, 0) + I53
          + AA52 + IF(MONTH(A53)=12, R53+X53, 0) - VLOOKUP(YEAR(A53), Lookup!$Q:$R, 2) + J53,
        Z52 + IF(MONTH(A53)=12, Q53+W53, 0) + I53
      ),
      VLOOKUP(YEAR(A53), Lookup!$K:$M, 3)
    ),
  B53=55,
    IF(Z52 &gt;= AD53, Z52 - AD53, 0),
  B53&gt;55, 0
)</f>
        <v>31274.99455</v>
      </c>
      <c r="AA53" s="65">
        <f>IFS(
  B53&lt;65,
    IF(AA52+J53 &lt; VLOOKUP(YEAR(A53), Lookup!$Q:$R, 2),
      AA52 + IF(MONTH(A53)=12, R52+X52, 0) + J53,
      MIN(
        AA52 + IF(MONTH(A53)=12, R52+X52, 0) + J53 ,
        VLOOKUP(YEAR(A53), Lookup!$Q:$R, 2)
      )
    ),
  B53&gt;=65,
    IF(AA52+J53 &lt; VLOOKUP(questions!$C$5, Lookup!$Q:$R, 2),
      AA52 + IF(MONTH(A53)=12, R52+X52, 0) + J53 ,
      MIN(
        AA52 + IF(MONTH(A53)=12, R52+X52, 0) + J53,
        VLOOKUP(questions!$C$5, Lookup!$Q:$R, 2)
      )
    )
)</f>
        <v>40176.6012</v>
      </c>
      <c r="AB53" s="65">
        <f t="shared" si="13"/>
        <v>0</v>
      </c>
      <c r="AC53" s="66">
        <f t="array" ref="AC53">IFS(B53&lt;66, XLOOKUP(year(A53),Lookup!$K$13:$K1000,Lookup!$L$13:$L1000,"missing",,1),B53&gt;65,XLOOKUP(questions!$C$5,Lookup!$K$13:$K1000,Lookup!$L$13:$L1000,"missing",,1))</f>
        <v>126504.7095</v>
      </c>
      <c r="AD53" s="66">
        <f t="array" ref="AD53">IFS(B53&lt;66, XLOOKUP(year(A53),Lookup!$K$13:$K1000,Lookup!$M$13:$M1000,"missing",,1),B53&gt;65, XLOOKUP(questions!$C$5,Lookup!$K$13:$K1000,Lookup!$M$13:$M1000,"missing",,1))</f>
        <v>253009.4191</v>
      </c>
      <c r="AE53" s="66">
        <f t="array" ref="AE53">IFS(B53&lt;66, XLOOKUP(year(A53),Lookup!$K$13:$K1000,Lookup!$N$13:$N1000,"missing",,1),B53&gt;65,XLOOKUP(questions!$C$5,Lookup!$K$13:$K1000,Lookup!$N$13:$N1000,"missing",,1))</f>
        <v>506018.8382</v>
      </c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</row>
    <row r="54">
      <c r="A54" s="55">
        <f t="shared" si="7"/>
        <v>47664</v>
      </c>
      <c r="B54" s="56">
        <f>round(YEARFRAC(EOMONTH(questions!$C$3, 0),A54,1),2)</f>
        <v>31.58</v>
      </c>
      <c r="C54" s="57">
        <f>IF(B54&lt;questions!$C$6,if(MONTH(A54)=1,C53*(1+questions!$C$12),C53),0)</f>
        <v>11255.0881</v>
      </c>
      <c r="D54" s="58">
        <f>IF(MONTH(A54)=12,C54*questions!$C$11,0)</f>
        <v>0</v>
      </c>
      <c r="E54" s="59">
        <f t="shared" si="2"/>
        <v>8000</v>
      </c>
      <c r="F54" s="59">
        <f t="shared" si="3"/>
        <v>0</v>
      </c>
      <c r="G54" s="60">
        <f t="array" ref="G54">if(YEAR(A54)=2025,XLOOKUP(B54,Lookup!$A$3:$A$7,Lookup!$D$3:$D$7,,1)*SUM(E54:F54), XLOOKUP(B54,Lookup!$A$14:$A$18,Lookup!$D$14:$D$18,,1)*SUM(E54:F54))</f>
        <v>2960</v>
      </c>
      <c r="H54" s="60">
        <f t="array" ref="H54">if(YEAR(A54)=2025,XLOOKUP(B54,Lookup!$F$3:$F$10,Lookup!$G$3:$G$10,,1)*G54, XLOOKUP(B54,Lookup!$F$14:$F$21,Lookup!$G$14:$G$21,,1)*G54)</f>
        <v>1840.232</v>
      </c>
      <c r="I54" s="60">
        <f t="array" ref="I54">if(B54&lt;55, if(YEAR(A54)=2025,XLOOKUP(B54,Lookup!$F$3:$F$10,Lookup!$H$3:$H$10,,1)*G54, XLOOKUP(B54,Lookup!$F$14:$F$21,Lookup!$H$14:$H$21,,1)*G54),0)</f>
        <v>479.816</v>
      </c>
      <c r="J54" s="60">
        <f t="array" ref="J54">if(YEAR(A54)=2025,XLOOKUP(B54,Lookup!$F$3:$F$10,Lookup!$I$3:$I$10,,1)*G54, XLOOKUP(B54,Lookup!$F$14:$F$21,Lookup!$I$14:$I$21,,1)*G54)</f>
        <v>639.952</v>
      </c>
      <c r="K54" s="61">
        <f t="array" ref="K54">if(B54&gt;54, if(YEAR(A54)=2025,XLOOKUP(B54,Lookup!$F$3:$F$10,Lookup!$H$3:$H$10,,1)*G54, XLOOKUP(B54,Lookup!$F$14:$F$21,Lookup!$H$14:$H$21,,1)*G54),0)</f>
        <v>0</v>
      </c>
      <c r="L54" s="62">
        <f>IF(and(A54&lt;questions!$C$19,questions!$C$18="yes"),questions!$C$20,0)</f>
        <v>700</v>
      </c>
      <c r="M54" s="63">
        <f>(Y53+H54)*Lookup!A$26/12</f>
        <v>161.2504419</v>
      </c>
      <c r="N54" s="63">
        <f>if(B54&lt;55, (Z53+I54)*Lookup!B$26/12, (AB53+K54)*Lookup!B$26/12)</f>
        <v>105.8493685</v>
      </c>
      <c r="O54" s="63">
        <f>(AA53+J54)*Lookup!C$26/12</f>
        <v>136.0551773</v>
      </c>
      <c r="P54" s="63">
        <f t="shared" si="8"/>
        <v>931.8704017</v>
      </c>
      <c r="Q54" s="63">
        <f t="shared" si="4"/>
        <v>611.105411</v>
      </c>
      <c r="R54" s="63">
        <f t="shared" si="5"/>
        <v>784.333464</v>
      </c>
      <c r="S54" s="64">
        <f t="shared" si="9"/>
        <v>16.66666667</v>
      </c>
      <c r="T54" s="64">
        <f t="shared" si="10"/>
        <v>26.06249546</v>
      </c>
      <c r="U54" s="64">
        <f t="shared" si="11"/>
        <v>7.270837875</v>
      </c>
      <c r="V54" s="64">
        <f t="shared" ref="V54:X54" si="62">IF(year($A54)=year($A53), V53+S54, S54)</f>
        <v>100</v>
      </c>
      <c r="W54" s="64">
        <f t="shared" si="62"/>
        <v>150.3772728</v>
      </c>
      <c r="X54" s="64">
        <f t="shared" si="62"/>
        <v>49.62272725</v>
      </c>
      <c r="Y54" s="65">
        <f>IFS(
  B54&lt;55,
    MAX(
      Y53 + IF(MONTH(A54)=12, P54+V54, 0) + H54 - L54
      + MAX(0,
          IF(AA53 &gt;= VLOOKUP(YEAR(A54), Lookup!$Q:$R, 2),
            Z53 + IF(MONTH(A54)=12, Q54+W54, 0) + I54
              + AA53 + IF(MONTH(A54)=12, R54+X54, 0)
              - VLOOKUP(YEAR(A54), Lookup!$Q:$R, 2) + J54,
            Z53 + IF(MONTH(A54)=12, Q54+W54, 0) + I54
          ) - VLOOKUP(YEAR(A54), Lookup!$K:$M, 3)
        ),
    0),
  B54=55,
    IF(Z53&gt;=AD54,
      MAX(Y53 + IF(MONTH(A54)=12, P54+V54, 0) + H54 - L54, 0),
      MAX(MAX(0, Y53-(AD54-Z53)) + IF(MONTH(A54)=12, P54+V54, 0) + H54 - L54, 0)
    ),
  B54&gt;55,
    IF(AB53&gt;=$AH$7,
      MAX(Y53 + IF(MONTH(A54)=12, P54+V54, 0) + H54 - L54 + K54 + Z53, 0),
      MAX(Y53 + IF(MONTH(A54)=12, P54+V54, 0) + H54 - L54, 0)
    )
)</f>
        <v>76700.21213</v>
      </c>
      <c r="Z54" s="65">
        <f>IFS(
  B54&lt;55,
    MIN(
      IF(AA53 &gt;= VLOOKUP(YEAR(A54), Lookup!$Q:$R, 2),
        Z53 + IF(MONTH(A54)=12, Q54+W54, 0) + I54
          + AA53 + IF(MONTH(A54)=12, R54+X54, 0) - VLOOKUP(YEAR(A54), Lookup!$Q:$R, 2) + J54,
        Z53 + IF(MONTH(A54)=12, Q54+W54, 0) + I54
      ),
      VLOOKUP(YEAR(A54), Lookup!$K:$M, 3)
    ),
  B54=55,
    IF(Z53 &gt;= AD54, Z53 - AD54, 0),
  B54&gt;55, 0
)</f>
        <v>31754.81055</v>
      </c>
      <c r="AA54" s="65">
        <f>IFS(
  B54&lt;65,
    IF(AA53+J54 &lt; VLOOKUP(YEAR(A54), Lookup!$Q:$R, 2),
      AA53 + IF(MONTH(A54)=12, R53+X53, 0) + J54,
      MIN(
        AA53 + IF(MONTH(A54)=12, R53+X53, 0) + J54 ,
        VLOOKUP(YEAR(A54), Lookup!$Q:$R, 2)
      )
    ),
  B54&gt;=65,
    IF(AA53+J54 &lt; VLOOKUP(questions!$C$5, Lookup!$Q:$R, 2),
      AA53 + IF(MONTH(A54)=12, R53+X53, 0) + J54 ,
      MIN(
        AA53 + IF(MONTH(A54)=12, R53+X53, 0) + J54,
        VLOOKUP(questions!$C$5, Lookup!$Q:$R, 2)
      )
    )
)</f>
        <v>40816.5532</v>
      </c>
      <c r="AB54" s="65">
        <f t="shared" si="13"/>
        <v>0</v>
      </c>
      <c r="AC54" s="66">
        <f t="array" ref="AC54">IFS(B54&lt;66, XLOOKUP(year(A54),Lookup!$K$13:$K1000,Lookup!$L$13:$L1000,"missing",,1),B54&gt;65,XLOOKUP(questions!$C$5,Lookup!$K$13:$K1000,Lookup!$L$13:$L1000,"missing",,1))</f>
        <v>126504.7095</v>
      </c>
      <c r="AD54" s="66">
        <f t="array" ref="AD54">IFS(B54&lt;66, XLOOKUP(year(A54),Lookup!$K$13:$K1000,Lookup!$M$13:$M1000,"missing",,1),B54&gt;65, XLOOKUP(questions!$C$5,Lookup!$K$13:$K1000,Lookup!$M$13:$M1000,"missing",,1))</f>
        <v>253009.4191</v>
      </c>
      <c r="AE54" s="66">
        <f t="array" ref="AE54">IFS(B54&lt;66, XLOOKUP(year(A54),Lookup!$K$13:$K1000,Lookup!$N$13:$N1000,"missing",,1),B54&gt;65,XLOOKUP(questions!$C$5,Lookup!$K$13:$K1000,Lookup!$N$13:$N1000,"missing",,1))</f>
        <v>506018.8382</v>
      </c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</row>
    <row r="55">
      <c r="A55" s="55">
        <f t="shared" si="7"/>
        <v>47695</v>
      </c>
      <c r="B55" s="56">
        <f>round(YEARFRAC(EOMONTH(questions!$C$3, 0),A55,1),2)</f>
        <v>31.67</v>
      </c>
      <c r="C55" s="57">
        <f>IF(B55&lt;questions!$C$6,if(MONTH(A55)=1,C54*(1+questions!$C$12),C54),0)</f>
        <v>11255.0881</v>
      </c>
      <c r="D55" s="58">
        <f>IF(MONTH(A55)=12,C55*questions!$C$11,0)</f>
        <v>0</v>
      </c>
      <c r="E55" s="59">
        <f t="shared" si="2"/>
        <v>8000</v>
      </c>
      <c r="F55" s="59">
        <f t="shared" si="3"/>
        <v>0</v>
      </c>
      <c r="G55" s="60">
        <f t="array" ref="G55">if(YEAR(A55)=2025,XLOOKUP(B55,Lookup!$A$3:$A$7,Lookup!$D$3:$D$7,,1)*SUM(E55:F55), XLOOKUP(B55,Lookup!$A$14:$A$18,Lookup!$D$14:$D$18,,1)*SUM(E55:F55))</f>
        <v>2960</v>
      </c>
      <c r="H55" s="60">
        <f t="array" ref="H55">if(YEAR(A55)=2025,XLOOKUP(B55,Lookup!$F$3:$F$10,Lookup!$G$3:$G$10,,1)*G55, XLOOKUP(B55,Lookup!$F$14:$F$21,Lookup!$G$14:$G$21,,1)*G55)</f>
        <v>1840.232</v>
      </c>
      <c r="I55" s="60">
        <f t="array" ref="I55">if(B55&lt;55, if(YEAR(A55)=2025,XLOOKUP(B55,Lookup!$F$3:$F$10,Lookup!$H$3:$H$10,,1)*G55, XLOOKUP(B55,Lookup!$F$14:$F$21,Lookup!$H$14:$H$21,,1)*G55),0)</f>
        <v>479.816</v>
      </c>
      <c r="J55" s="60">
        <f t="array" ref="J55">if(YEAR(A55)=2025,XLOOKUP(B55,Lookup!$F$3:$F$10,Lookup!$I$3:$I$10,,1)*G55, XLOOKUP(B55,Lookup!$F$14:$F$21,Lookup!$I$14:$I$21,,1)*G55)</f>
        <v>639.952</v>
      </c>
      <c r="K55" s="61">
        <f t="array" ref="K55">if(B55&gt;54, if(YEAR(A55)=2025,XLOOKUP(B55,Lookup!$F$3:$F$10,Lookup!$H$3:$H$10,,1)*G55, XLOOKUP(B55,Lookup!$F$14:$F$21,Lookup!$H$14:$H$21,,1)*G55),0)</f>
        <v>0</v>
      </c>
      <c r="L55" s="62">
        <f>IF(and(A55&lt;questions!$C$19,questions!$C$18="yes"),questions!$C$20,0)</f>
        <v>700</v>
      </c>
      <c r="M55" s="63">
        <f>(Y54+H55)*Lookup!A$26/12</f>
        <v>163.6259253</v>
      </c>
      <c r="N55" s="63">
        <f>if(B55&lt;55, (Z54+I55)*Lookup!B$26/12, (AB54+K55)*Lookup!B$26/12)</f>
        <v>107.4487552</v>
      </c>
      <c r="O55" s="63">
        <f>(AA54+J55)*Lookup!C$26/12</f>
        <v>138.1883507</v>
      </c>
      <c r="P55" s="63">
        <f t="shared" si="8"/>
        <v>1095.496327</v>
      </c>
      <c r="Q55" s="63">
        <f t="shared" si="4"/>
        <v>718.5541662</v>
      </c>
      <c r="R55" s="63">
        <f t="shared" si="5"/>
        <v>922.5218147</v>
      </c>
      <c r="S55" s="64">
        <f t="shared" si="9"/>
        <v>16.66666667</v>
      </c>
      <c r="T55" s="64">
        <f t="shared" si="10"/>
        <v>26.46234213</v>
      </c>
      <c r="U55" s="64">
        <f t="shared" si="11"/>
        <v>6.870991208</v>
      </c>
      <c r="V55" s="64">
        <f t="shared" ref="V55:X55" si="63">IF(year($A55)=year($A54), V54+S55, S55)</f>
        <v>116.6666667</v>
      </c>
      <c r="W55" s="64">
        <f t="shared" si="63"/>
        <v>176.8396149</v>
      </c>
      <c r="X55" s="64">
        <f t="shared" si="63"/>
        <v>56.49371846</v>
      </c>
      <c r="Y55" s="65">
        <f>IFS(
  B55&lt;55,
    MAX(
      Y54 + IF(MONTH(A55)=12, P55+V55, 0) + H55 - L55
      + MAX(0,
          IF(AA54 &gt;= VLOOKUP(YEAR(A55), Lookup!$Q:$R, 2),
            Z54 + IF(MONTH(A55)=12, Q55+W55, 0) + I55
              + AA54 + IF(MONTH(A55)=12, R55+X55, 0)
              - VLOOKUP(YEAR(A55), Lookup!$Q:$R, 2) + J55,
            Z54 + IF(MONTH(A55)=12, Q55+W55, 0) + I55
          ) - VLOOKUP(YEAR(A55), Lookup!$K:$M, 3)
        ),
    0),
  B55=55,
    IF(Z54&gt;=AD55,
      MAX(Y54 + IF(MONTH(A55)=12, P55+V55, 0) + H55 - L55, 0),
      MAX(MAX(0, Y54-(AD55-Z54)) + IF(MONTH(A55)=12, P55+V55, 0) + H55 - L55, 0)
    ),
  B55&gt;55,
    IF(AB54&gt;=$AH$7,
      MAX(Y54 + IF(MONTH(A55)=12, P55+V55, 0) + H55 - L55 + K55 + Z54, 0),
      MAX(Y54 + IF(MONTH(A55)=12, P55+V55, 0) + H55 - L55, 0)
    )
)</f>
        <v>77840.44413</v>
      </c>
      <c r="Z55" s="65">
        <f>IFS(
  B55&lt;55,
    MIN(
      IF(AA54 &gt;= VLOOKUP(YEAR(A55), Lookup!$Q:$R, 2),
        Z54 + IF(MONTH(A55)=12, Q55+W55, 0) + I55
          + AA54 + IF(MONTH(A55)=12, R55+X55, 0) - VLOOKUP(YEAR(A55), Lookup!$Q:$R, 2) + J55,
        Z54 + IF(MONTH(A55)=12, Q55+W55, 0) + I55
      ),
      VLOOKUP(YEAR(A55), Lookup!$K:$M, 3)
    ),
  B55=55,
    IF(Z54 &gt;= AD55, Z54 - AD55, 0),
  B55&gt;55, 0
)</f>
        <v>32234.62655</v>
      </c>
      <c r="AA55" s="65">
        <f>IFS(
  B55&lt;65,
    IF(AA54+J55 &lt; VLOOKUP(YEAR(A55), Lookup!$Q:$R, 2),
      AA54 + IF(MONTH(A55)=12, R54+X54, 0) + J55,
      MIN(
        AA54 + IF(MONTH(A55)=12, R54+X54, 0) + J55 ,
        VLOOKUP(YEAR(A55), Lookup!$Q:$R, 2)
      )
    ),
  B55&gt;=65,
    IF(AA54+J55 &lt; VLOOKUP(questions!$C$5, Lookup!$Q:$R, 2),
      AA54 + IF(MONTH(A55)=12, R54+X54, 0) + J55 ,
      MIN(
        AA54 + IF(MONTH(A55)=12, R54+X54, 0) + J55,
        VLOOKUP(questions!$C$5, Lookup!$Q:$R, 2)
      )
    )
)</f>
        <v>41456.5052</v>
      </c>
      <c r="AB55" s="65">
        <f t="shared" si="13"/>
        <v>0</v>
      </c>
      <c r="AC55" s="66">
        <f t="array" ref="AC55">IFS(B55&lt;66, XLOOKUP(year(A55),Lookup!$K$13:$K1000,Lookup!$L$13:$L1000,"missing",,1),B55&gt;65,XLOOKUP(questions!$C$5,Lookup!$K$13:$K1000,Lookup!$L$13:$L1000,"missing",,1))</f>
        <v>126504.7095</v>
      </c>
      <c r="AD55" s="66">
        <f t="array" ref="AD55">IFS(B55&lt;66, XLOOKUP(year(A55),Lookup!$K$13:$K1000,Lookup!$M$13:$M1000,"missing",,1),B55&gt;65, XLOOKUP(questions!$C$5,Lookup!$K$13:$K1000,Lookup!$M$13:$M1000,"missing",,1))</f>
        <v>253009.4191</v>
      </c>
      <c r="AE55" s="66">
        <f t="array" ref="AE55">IFS(B55&lt;66, XLOOKUP(year(A55),Lookup!$K$13:$K1000,Lookup!$N$13:$N1000,"missing",,1),B55&gt;65,XLOOKUP(questions!$C$5,Lookup!$K$13:$K1000,Lookup!$N$13:$N1000,"missing",,1))</f>
        <v>506018.8382</v>
      </c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</row>
    <row r="56">
      <c r="A56" s="55">
        <f t="shared" si="7"/>
        <v>47726</v>
      </c>
      <c r="B56" s="56">
        <f>round(YEARFRAC(EOMONTH(questions!$C$3, 0),A56,1),2)</f>
        <v>31.75</v>
      </c>
      <c r="C56" s="57">
        <f>IF(B56&lt;questions!$C$6,if(MONTH(A56)=1,C55*(1+questions!$C$12),C55),0)</f>
        <v>11255.0881</v>
      </c>
      <c r="D56" s="58">
        <f>IF(MONTH(A56)=12,C56*questions!$C$11,0)</f>
        <v>0</v>
      </c>
      <c r="E56" s="59">
        <f t="shared" si="2"/>
        <v>8000</v>
      </c>
      <c r="F56" s="59">
        <f t="shared" si="3"/>
        <v>0</v>
      </c>
      <c r="G56" s="60">
        <f t="array" ref="G56">if(YEAR(A56)=2025,XLOOKUP(B56,Lookup!$A$3:$A$7,Lookup!$D$3:$D$7,,1)*SUM(E56:F56), XLOOKUP(B56,Lookup!$A$14:$A$18,Lookup!$D$14:$D$18,,1)*SUM(E56:F56))</f>
        <v>2960</v>
      </c>
      <c r="H56" s="60">
        <f t="array" ref="H56">if(YEAR(A56)=2025,XLOOKUP(B56,Lookup!$F$3:$F$10,Lookup!$G$3:$G$10,,1)*G56, XLOOKUP(B56,Lookup!$F$14:$F$21,Lookup!$G$14:$G$21,,1)*G56)</f>
        <v>1840.232</v>
      </c>
      <c r="I56" s="60">
        <f t="array" ref="I56">if(B56&lt;55, if(YEAR(A56)=2025,XLOOKUP(B56,Lookup!$F$3:$F$10,Lookup!$H$3:$H$10,,1)*G56, XLOOKUP(B56,Lookup!$F$14:$F$21,Lookup!$H$14:$H$21,,1)*G56),0)</f>
        <v>479.816</v>
      </c>
      <c r="J56" s="60">
        <f t="array" ref="J56">if(YEAR(A56)=2025,XLOOKUP(B56,Lookup!$F$3:$F$10,Lookup!$I$3:$I$10,,1)*G56, XLOOKUP(B56,Lookup!$F$14:$F$21,Lookup!$I$14:$I$21,,1)*G56)</f>
        <v>639.952</v>
      </c>
      <c r="K56" s="61">
        <f t="array" ref="K56">if(B56&gt;54, if(YEAR(A56)=2025,XLOOKUP(B56,Lookup!$F$3:$F$10,Lookup!$H$3:$H$10,,1)*G56, XLOOKUP(B56,Lookup!$F$14:$F$21,Lookup!$H$14:$H$21,,1)*G56),0)</f>
        <v>0</v>
      </c>
      <c r="L56" s="62">
        <f>IF(and(A56&lt;questions!$C$19,questions!$C$18="yes"),questions!$C$20,0)</f>
        <v>700</v>
      </c>
      <c r="M56" s="63">
        <f>(Y55+H56)*Lookup!A$26/12</f>
        <v>166.0014086</v>
      </c>
      <c r="N56" s="63">
        <f>if(B56&lt;55, (Z55+I56)*Lookup!B$26/12, (AB55+K56)*Lookup!B$26/12)</f>
        <v>109.0481418</v>
      </c>
      <c r="O56" s="63">
        <f>(AA55+J56)*Lookup!C$26/12</f>
        <v>140.321524</v>
      </c>
      <c r="P56" s="63">
        <f t="shared" si="8"/>
        <v>1261.497736</v>
      </c>
      <c r="Q56" s="63">
        <f t="shared" si="4"/>
        <v>827.602308</v>
      </c>
      <c r="R56" s="63">
        <f t="shared" si="5"/>
        <v>1062.843339</v>
      </c>
      <c r="S56" s="64">
        <f t="shared" si="9"/>
        <v>16.66666667</v>
      </c>
      <c r="T56" s="64">
        <f t="shared" si="10"/>
        <v>26.86218879</v>
      </c>
      <c r="U56" s="64">
        <f t="shared" si="11"/>
        <v>6.471144541</v>
      </c>
      <c r="V56" s="64">
        <f t="shared" ref="V56:X56" si="64">IF(year($A56)=year($A55), V55+S56, S56)</f>
        <v>133.3333333</v>
      </c>
      <c r="W56" s="64">
        <f t="shared" si="64"/>
        <v>203.7018037</v>
      </c>
      <c r="X56" s="64">
        <f t="shared" si="64"/>
        <v>62.964863</v>
      </c>
      <c r="Y56" s="65">
        <f>IFS(
  B56&lt;55,
    MAX(
      Y55 + IF(MONTH(A56)=12, P56+V56, 0) + H56 - L56
      + MAX(0,
          IF(AA55 &gt;= VLOOKUP(YEAR(A56), Lookup!$Q:$R, 2),
            Z55 + IF(MONTH(A56)=12, Q56+W56, 0) + I56
              + AA55 + IF(MONTH(A56)=12, R56+X56, 0)
              - VLOOKUP(YEAR(A56), Lookup!$Q:$R, 2) + J56,
            Z55 + IF(MONTH(A56)=12, Q56+W56, 0) + I56
          ) - VLOOKUP(YEAR(A56), Lookup!$K:$M, 3)
        ),
    0),
  B56=55,
    IF(Z55&gt;=AD56,
      MAX(Y55 + IF(MONTH(A56)=12, P56+V56, 0) + H56 - L56, 0),
      MAX(MAX(0, Y55-(AD56-Z55)) + IF(MONTH(A56)=12, P56+V56, 0) + H56 - L56, 0)
    ),
  B56&gt;55,
    IF(AB55&gt;=$AH$7,
      MAX(Y55 + IF(MONTH(A56)=12, P56+V56, 0) + H56 - L56 + K56 + Z55, 0),
      MAX(Y55 + IF(MONTH(A56)=12, P56+V56, 0) + H56 - L56, 0)
    )
)</f>
        <v>78980.67613</v>
      </c>
      <c r="Z56" s="65">
        <f>IFS(
  B56&lt;55,
    MIN(
      IF(AA55 &gt;= VLOOKUP(YEAR(A56), Lookup!$Q:$R, 2),
        Z55 + IF(MONTH(A56)=12, Q56+W56, 0) + I56
          + AA55 + IF(MONTH(A56)=12, R56+X56, 0) - VLOOKUP(YEAR(A56), Lookup!$Q:$R, 2) + J56,
        Z55 + IF(MONTH(A56)=12, Q56+W56, 0) + I56
      ),
      VLOOKUP(YEAR(A56), Lookup!$K:$M, 3)
    ),
  B56=55,
    IF(Z55 &gt;= AD56, Z55 - AD56, 0),
  B56&gt;55, 0
)</f>
        <v>32714.44255</v>
      </c>
      <c r="AA56" s="65">
        <f>IFS(
  B56&lt;65,
    IF(AA55+J56 &lt; VLOOKUP(YEAR(A56), Lookup!$Q:$R, 2),
      AA55 + IF(MONTH(A56)=12, R55+X55, 0) + J56,
      MIN(
        AA55 + IF(MONTH(A56)=12, R55+X55, 0) + J56 ,
        VLOOKUP(YEAR(A56), Lookup!$Q:$R, 2)
      )
    ),
  B56&gt;=65,
    IF(AA55+J56 &lt; VLOOKUP(questions!$C$5, Lookup!$Q:$R, 2),
      AA55 + IF(MONTH(A56)=12, R55+X55, 0) + J56 ,
      MIN(
        AA55 + IF(MONTH(A56)=12, R55+X55, 0) + J56,
        VLOOKUP(questions!$C$5, Lookup!$Q:$R, 2)
      )
    )
)</f>
        <v>42096.4572</v>
      </c>
      <c r="AB56" s="65">
        <f t="shared" si="13"/>
        <v>0</v>
      </c>
      <c r="AC56" s="66">
        <f t="array" ref="AC56">IFS(B56&lt;66, XLOOKUP(year(A56),Lookup!$K$13:$K1000,Lookup!$L$13:$L1000,"missing",,1),B56&gt;65,XLOOKUP(questions!$C$5,Lookup!$K$13:$K1000,Lookup!$L$13:$L1000,"missing",,1))</f>
        <v>126504.7095</v>
      </c>
      <c r="AD56" s="66">
        <f t="array" ref="AD56">IFS(B56&lt;66, XLOOKUP(year(A56),Lookup!$K$13:$K1000,Lookup!$M$13:$M1000,"missing",,1),B56&gt;65, XLOOKUP(questions!$C$5,Lookup!$K$13:$K1000,Lookup!$M$13:$M1000,"missing",,1))</f>
        <v>253009.4191</v>
      </c>
      <c r="AE56" s="66">
        <f t="array" ref="AE56">IFS(B56&lt;66, XLOOKUP(year(A56),Lookup!$K$13:$K1000,Lookup!$N$13:$N1000,"missing",,1),B56&gt;65,XLOOKUP(questions!$C$5,Lookup!$K$13:$K1000,Lookup!$N$13:$N1000,"missing",,1))</f>
        <v>506018.8382</v>
      </c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</row>
    <row r="57">
      <c r="A57" s="55">
        <f t="shared" si="7"/>
        <v>47756</v>
      </c>
      <c r="B57" s="56">
        <f>round(YEARFRAC(EOMONTH(questions!$C$3, 0),A57,1),2)</f>
        <v>31.83</v>
      </c>
      <c r="C57" s="57">
        <f>IF(B57&lt;questions!$C$6,if(MONTH(A57)=1,C56*(1+questions!$C$12),C56),0)</f>
        <v>11255.0881</v>
      </c>
      <c r="D57" s="58">
        <f>IF(MONTH(A57)=12,C57*questions!$C$11,0)</f>
        <v>0</v>
      </c>
      <c r="E57" s="59">
        <f t="shared" si="2"/>
        <v>8000</v>
      </c>
      <c r="F57" s="59">
        <f t="shared" si="3"/>
        <v>0</v>
      </c>
      <c r="G57" s="60">
        <f t="array" ref="G57">if(YEAR(A57)=2025,XLOOKUP(B57,Lookup!$A$3:$A$7,Lookup!$D$3:$D$7,,1)*SUM(E57:F57), XLOOKUP(B57,Lookup!$A$14:$A$18,Lookup!$D$14:$D$18,,1)*SUM(E57:F57))</f>
        <v>2960</v>
      </c>
      <c r="H57" s="60">
        <f t="array" ref="H57">if(YEAR(A57)=2025,XLOOKUP(B57,Lookup!$F$3:$F$10,Lookup!$G$3:$G$10,,1)*G57, XLOOKUP(B57,Lookup!$F$14:$F$21,Lookup!$G$14:$G$21,,1)*G57)</f>
        <v>1840.232</v>
      </c>
      <c r="I57" s="60">
        <f t="array" ref="I57">if(B57&lt;55, if(YEAR(A57)=2025,XLOOKUP(B57,Lookup!$F$3:$F$10,Lookup!$H$3:$H$10,,1)*G57, XLOOKUP(B57,Lookup!$F$14:$F$21,Lookup!$H$14:$H$21,,1)*G57),0)</f>
        <v>479.816</v>
      </c>
      <c r="J57" s="60">
        <f t="array" ref="J57">if(YEAR(A57)=2025,XLOOKUP(B57,Lookup!$F$3:$F$10,Lookup!$I$3:$I$10,,1)*G57, XLOOKUP(B57,Lookup!$F$14:$F$21,Lookup!$I$14:$I$21,,1)*G57)</f>
        <v>639.952</v>
      </c>
      <c r="K57" s="61">
        <f t="array" ref="K57">if(B57&gt;54, if(YEAR(A57)=2025,XLOOKUP(B57,Lookup!$F$3:$F$10,Lookup!$H$3:$H$10,,1)*G57, XLOOKUP(B57,Lookup!$F$14:$F$21,Lookup!$H$14:$H$21,,1)*G57),0)</f>
        <v>0</v>
      </c>
      <c r="L57" s="62">
        <f>IF(and(A57&lt;questions!$C$19,questions!$C$18="yes"),questions!$C$20,0)</f>
        <v>700</v>
      </c>
      <c r="M57" s="63">
        <f>(Y56+H57)*Lookup!A$26/12</f>
        <v>168.3768919</v>
      </c>
      <c r="N57" s="63">
        <f>if(B57&lt;55, (Z56+I57)*Lookup!B$26/12, (AB56+K57)*Lookup!B$26/12)</f>
        <v>110.6475285</v>
      </c>
      <c r="O57" s="63">
        <f>(AA56+J57)*Lookup!C$26/12</f>
        <v>142.4546973</v>
      </c>
      <c r="P57" s="63">
        <f t="shared" si="8"/>
        <v>1429.874628</v>
      </c>
      <c r="Q57" s="63">
        <f t="shared" si="4"/>
        <v>938.2498365</v>
      </c>
      <c r="R57" s="63">
        <f t="shared" si="5"/>
        <v>1205.298036</v>
      </c>
      <c r="S57" s="64">
        <f t="shared" si="9"/>
        <v>16.66666667</v>
      </c>
      <c r="T57" s="64">
        <f t="shared" si="10"/>
        <v>27.26203546</v>
      </c>
      <c r="U57" s="64">
        <f t="shared" si="11"/>
        <v>6.071297875</v>
      </c>
      <c r="V57" s="64">
        <f t="shared" ref="V57:X57" si="65">IF(year($A57)=year($A56), V56+S57, S57)</f>
        <v>150</v>
      </c>
      <c r="W57" s="64">
        <f t="shared" si="65"/>
        <v>230.9638391</v>
      </c>
      <c r="X57" s="64">
        <f t="shared" si="65"/>
        <v>69.03616087</v>
      </c>
      <c r="Y57" s="65">
        <f>IFS(
  B57&lt;55,
    MAX(
      Y56 + IF(MONTH(A57)=12, P57+V57, 0) + H57 - L57
      + MAX(0,
          IF(AA56 &gt;= VLOOKUP(YEAR(A57), Lookup!$Q:$R, 2),
            Z56 + IF(MONTH(A57)=12, Q57+W57, 0) + I57
              + AA56 + IF(MONTH(A57)=12, R57+X57, 0)
              - VLOOKUP(YEAR(A57), Lookup!$Q:$R, 2) + J57,
            Z56 + IF(MONTH(A57)=12, Q57+W57, 0) + I57
          ) - VLOOKUP(YEAR(A57), Lookup!$K:$M, 3)
        ),
    0),
  B57=55,
    IF(Z56&gt;=AD57,
      MAX(Y56 + IF(MONTH(A57)=12, P57+V57, 0) + H57 - L57, 0),
      MAX(MAX(0, Y56-(AD57-Z56)) + IF(MONTH(A57)=12, P57+V57, 0) + H57 - L57, 0)
    ),
  B57&gt;55,
    IF(AB56&gt;=$AH$7,
      MAX(Y56 + IF(MONTH(A57)=12, P57+V57, 0) + H57 - L57 + K57 + Z56, 0),
      MAX(Y56 + IF(MONTH(A57)=12, P57+V57, 0) + H57 - L57, 0)
    )
)</f>
        <v>80120.90813</v>
      </c>
      <c r="Z57" s="65">
        <f>IFS(
  B57&lt;55,
    MIN(
      IF(AA56 &gt;= VLOOKUP(YEAR(A57), Lookup!$Q:$R, 2),
        Z56 + IF(MONTH(A57)=12, Q57+W57, 0) + I57
          + AA56 + IF(MONTH(A57)=12, R57+X57, 0) - VLOOKUP(YEAR(A57), Lookup!$Q:$R, 2) + J57,
        Z56 + IF(MONTH(A57)=12, Q57+W57, 0) + I57
      ),
      VLOOKUP(YEAR(A57), Lookup!$K:$M, 3)
    ),
  B57=55,
    IF(Z56 &gt;= AD57, Z56 - AD57, 0),
  B57&gt;55, 0
)</f>
        <v>33194.25855</v>
      </c>
      <c r="AA57" s="65">
        <f>IFS(
  B57&lt;65,
    IF(AA56+J57 &lt; VLOOKUP(YEAR(A57), Lookup!$Q:$R, 2),
      AA56 + IF(MONTH(A57)=12, R56+X56, 0) + J57,
      MIN(
        AA56 + IF(MONTH(A57)=12, R56+X56, 0) + J57 ,
        VLOOKUP(YEAR(A57), Lookup!$Q:$R, 2)
      )
    ),
  B57&gt;=65,
    IF(AA56+J57 &lt; VLOOKUP(questions!$C$5, Lookup!$Q:$R, 2),
      AA56 + IF(MONTH(A57)=12, R56+X56, 0) + J57 ,
      MIN(
        AA56 + IF(MONTH(A57)=12, R56+X56, 0) + J57,
        VLOOKUP(questions!$C$5, Lookup!$Q:$R, 2)
      )
    )
)</f>
        <v>42736.4092</v>
      </c>
      <c r="AB57" s="65">
        <f t="shared" si="13"/>
        <v>0</v>
      </c>
      <c r="AC57" s="66">
        <f t="array" ref="AC57">IFS(B57&lt;66, XLOOKUP(year(A57),Lookup!$K$13:$K1000,Lookup!$L$13:$L1000,"missing",,1),B57&gt;65,XLOOKUP(questions!$C$5,Lookup!$K$13:$K1000,Lookup!$L$13:$L1000,"missing",,1))</f>
        <v>126504.7095</v>
      </c>
      <c r="AD57" s="66">
        <f t="array" ref="AD57">IFS(B57&lt;66, XLOOKUP(year(A57),Lookup!$K$13:$K1000,Lookup!$M$13:$M1000,"missing",,1),B57&gt;65, XLOOKUP(questions!$C$5,Lookup!$K$13:$K1000,Lookup!$M$13:$M1000,"missing",,1))</f>
        <v>253009.4191</v>
      </c>
      <c r="AE57" s="66">
        <f t="array" ref="AE57">IFS(B57&lt;66, XLOOKUP(year(A57),Lookup!$K$13:$K1000,Lookup!$N$13:$N1000,"missing",,1),B57&gt;65,XLOOKUP(questions!$C$5,Lookup!$K$13:$K1000,Lookup!$N$13:$N1000,"missing",,1))</f>
        <v>506018.8382</v>
      </c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</row>
    <row r="58">
      <c r="A58" s="55">
        <f t="shared" si="7"/>
        <v>47787</v>
      </c>
      <c r="B58" s="56">
        <f>round(YEARFRAC(EOMONTH(questions!$C$3, 0),A58,1),2)</f>
        <v>31.92</v>
      </c>
      <c r="C58" s="57">
        <f>IF(B58&lt;questions!$C$6,if(MONTH(A58)=1,C57*(1+questions!$C$12),C57),0)</f>
        <v>11255.0881</v>
      </c>
      <c r="D58" s="58">
        <f>IF(MONTH(A58)=12,C58*questions!$C$11,0)</f>
        <v>0</v>
      </c>
      <c r="E58" s="59">
        <f t="shared" si="2"/>
        <v>8000</v>
      </c>
      <c r="F58" s="59">
        <f t="shared" si="3"/>
        <v>0</v>
      </c>
      <c r="G58" s="60">
        <f t="array" ref="G58">if(YEAR(A58)=2025,XLOOKUP(B58,Lookup!$A$3:$A$7,Lookup!$D$3:$D$7,,1)*SUM(E58:F58), XLOOKUP(B58,Lookup!$A$14:$A$18,Lookup!$D$14:$D$18,,1)*SUM(E58:F58))</f>
        <v>2960</v>
      </c>
      <c r="H58" s="60">
        <f t="array" ref="H58">if(YEAR(A58)=2025,XLOOKUP(B58,Lookup!$F$3:$F$10,Lookup!$G$3:$G$10,,1)*G58, XLOOKUP(B58,Lookup!$F$14:$F$21,Lookup!$G$14:$G$21,,1)*G58)</f>
        <v>1840.232</v>
      </c>
      <c r="I58" s="60">
        <f t="array" ref="I58">if(B58&lt;55, if(YEAR(A58)=2025,XLOOKUP(B58,Lookup!$F$3:$F$10,Lookup!$H$3:$H$10,,1)*G58, XLOOKUP(B58,Lookup!$F$14:$F$21,Lookup!$H$14:$H$21,,1)*G58),0)</f>
        <v>479.816</v>
      </c>
      <c r="J58" s="60">
        <f t="array" ref="J58">if(YEAR(A58)=2025,XLOOKUP(B58,Lookup!$F$3:$F$10,Lookup!$I$3:$I$10,,1)*G58, XLOOKUP(B58,Lookup!$F$14:$F$21,Lookup!$I$14:$I$21,,1)*G58)</f>
        <v>639.952</v>
      </c>
      <c r="K58" s="61">
        <f t="array" ref="K58">if(B58&gt;54, if(YEAR(A58)=2025,XLOOKUP(B58,Lookup!$F$3:$F$10,Lookup!$H$3:$H$10,,1)*G58, XLOOKUP(B58,Lookup!$F$14:$F$21,Lookup!$H$14:$H$21,,1)*G58),0)</f>
        <v>0</v>
      </c>
      <c r="L58" s="62">
        <f>IF(and(A58&lt;questions!$C$19,questions!$C$18="yes"),questions!$C$20,0)</f>
        <v>700</v>
      </c>
      <c r="M58" s="63">
        <f>(Y57+H58)*Lookup!A$26/12</f>
        <v>170.7523753</v>
      </c>
      <c r="N58" s="63">
        <f>if(B58&lt;55, (Z57+I58)*Lookup!B$26/12, (AB57+K58)*Lookup!B$26/12)</f>
        <v>112.2469152</v>
      </c>
      <c r="O58" s="63">
        <f>(AA57+J58)*Lookup!C$26/12</f>
        <v>144.5878707</v>
      </c>
      <c r="P58" s="63">
        <f t="shared" si="8"/>
        <v>1600.627003</v>
      </c>
      <c r="Q58" s="63">
        <f t="shared" si="4"/>
        <v>1050.496752</v>
      </c>
      <c r="R58" s="63">
        <f t="shared" si="5"/>
        <v>1349.885907</v>
      </c>
      <c r="S58" s="64">
        <f t="shared" si="9"/>
        <v>16.66666667</v>
      </c>
      <c r="T58" s="64">
        <f t="shared" si="10"/>
        <v>27.66188213</v>
      </c>
      <c r="U58" s="64">
        <f t="shared" si="11"/>
        <v>5.671451208</v>
      </c>
      <c r="V58" s="64">
        <f t="shared" ref="V58:X58" si="66">IF(year($A58)=year($A57), V57+S58, S58)</f>
        <v>166.6666667</v>
      </c>
      <c r="W58" s="64">
        <f t="shared" si="66"/>
        <v>258.6257213</v>
      </c>
      <c r="X58" s="64">
        <f t="shared" si="66"/>
        <v>74.70761208</v>
      </c>
      <c r="Y58" s="65">
        <f>IFS(
  B58&lt;55,
    MAX(
      Y57 + IF(MONTH(A58)=12, P58+V58, 0) + H58 - L58
      + MAX(0,
          IF(AA57 &gt;= VLOOKUP(YEAR(A58), Lookup!$Q:$R, 2),
            Z57 + IF(MONTH(A58)=12, Q58+W58, 0) + I58
              + AA57 + IF(MONTH(A58)=12, R58+X58, 0)
              - VLOOKUP(YEAR(A58), Lookup!$Q:$R, 2) + J58,
            Z57 + IF(MONTH(A58)=12, Q58+W58, 0) + I58
          ) - VLOOKUP(YEAR(A58), Lookup!$K:$M, 3)
        ),
    0),
  B58=55,
    IF(Z57&gt;=AD58,
      MAX(Y57 + IF(MONTH(A58)=12, P58+V58, 0) + H58 - L58, 0),
      MAX(MAX(0, Y57-(AD58-Z57)) + IF(MONTH(A58)=12, P58+V58, 0) + H58 - L58, 0)
    ),
  B58&gt;55,
    IF(AB57&gt;=$AH$7,
      MAX(Y57 + IF(MONTH(A58)=12, P58+V58, 0) + H58 - L58 + K58 + Z57, 0),
      MAX(Y57 + IF(MONTH(A58)=12, P58+V58, 0) + H58 - L58, 0)
    )
)</f>
        <v>81261.14013</v>
      </c>
      <c r="Z58" s="65">
        <f>IFS(
  B58&lt;55,
    MIN(
      IF(AA57 &gt;= VLOOKUP(YEAR(A58), Lookup!$Q:$R, 2),
        Z57 + IF(MONTH(A58)=12, Q58+W58, 0) + I58
          + AA57 + IF(MONTH(A58)=12, R58+X58, 0) - VLOOKUP(YEAR(A58), Lookup!$Q:$R, 2) + J58,
        Z57 + IF(MONTH(A58)=12, Q58+W58, 0) + I58
      ),
      VLOOKUP(YEAR(A58), Lookup!$K:$M, 3)
    ),
  B58=55,
    IF(Z57 &gt;= AD58, Z57 - AD58, 0),
  B58&gt;55, 0
)</f>
        <v>33674.07455</v>
      </c>
      <c r="AA58" s="65">
        <f>IFS(
  B58&lt;65,
    IF(AA57+J58 &lt; VLOOKUP(YEAR(A58), Lookup!$Q:$R, 2),
      AA57 + IF(MONTH(A58)=12, R57+X57, 0) + J58,
      MIN(
        AA57 + IF(MONTH(A58)=12, R57+X57, 0) + J58 ,
        VLOOKUP(YEAR(A58), Lookup!$Q:$R, 2)
      )
    ),
  B58&gt;=65,
    IF(AA57+J58 &lt; VLOOKUP(questions!$C$5, Lookup!$Q:$R, 2),
      AA57 + IF(MONTH(A58)=12, R57+X57, 0) + J58 ,
      MIN(
        AA57 + IF(MONTH(A58)=12, R57+X57, 0) + J58,
        VLOOKUP(questions!$C$5, Lookup!$Q:$R, 2)
      )
    )
)</f>
        <v>43376.3612</v>
      </c>
      <c r="AB58" s="65">
        <f t="shared" si="13"/>
        <v>0</v>
      </c>
      <c r="AC58" s="66">
        <f t="array" ref="AC58">IFS(B58&lt;66, XLOOKUP(year(A58),Lookup!$K$13:$K1000,Lookup!$L$13:$L1000,"missing",,1),B58&gt;65,XLOOKUP(questions!$C$5,Lookup!$K$13:$K1000,Lookup!$L$13:$L1000,"missing",,1))</f>
        <v>126504.7095</v>
      </c>
      <c r="AD58" s="66">
        <f t="array" ref="AD58">IFS(B58&lt;66, XLOOKUP(year(A58),Lookup!$K$13:$K1000,Lookup!$M$13:$M1000,"missing",,1),B58&gt;65, XLOOKUP(questions!$C$5,Lookup!$K$13:$K1000,Lookup!$M$13:$M1000,"missing",,1))</f>
        <v>253009.4191</v>
      </c>
      <c r="AE58" s="66">
        <f t="array" ref="AE58">IFS(B58&lt;66, XLOOKUP(year(A58),Lookup!$K$13:$K1000,Lookup!$N$13:$N1000,"missing",,1),B58&gt;65,XLOOKUP(questions!$C$5,Lookup!$K$13:$K1000,Lookup!$N$13:$N1000,"missing",,1))</f>
        <v>506018.8382</v>
      </c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</row>
    <row r="59">
      <c r="A59" s="55">
        <f t="shared" si="7"/>
        <v>47817</v>
      </c>
      <c r="B59" s="56">
        <f>round(YEARFRAC(EOMONTH(questions!$C$3, 0),A59,1),2)</f>
        <v>32</v>
      </c>
      <c r="C59" s="57">
        <f>IF(B59&lt;questions!$C$6,if(MONTH(A59)=1,C58*(1+questions!$C$12),C58),0)</f>
        <v>11255.0881</v>
      </c>
      <c r="D59" s="58">
        <f>IF(MONTH(A59)=12,C59*questions!$C$11,0)</f>
        <v>0</v>
      </c>
      <c r="E59" s="59">
        <f t="shared" si="2"/>
        <v>8000</v>
      </c>
      <c r="F59" s="59">
        <f t="shared" si="3"/>
        <v>0</v>
      </c>
      <c r="G59" s="60">
        <f t="array" ref="G59">if(YEAR(A59)=2025,XLOOKUP(B59,Lookup!$A$3:$A$7,Lookup!$D$3:$D$7,,1)*SUM(E59:F59), XLOOKUP(B59,Lookup!$A$14:$A$18,Lookup!$D$14:$D$18,,1)*SUM(E59:F59))</f>
        <v>2960</v>
      </c>
      <c r="H59" s="60">
        <f t="array" ref="H59">if(YEAR(A59)=2025,XLOOKUP(B59,Lookup!$F$3:$F$10,Lookup!$G$3:$G$10,,1)*G59, XLOOKUP(B59,Lookup!$F$14:$F$21,Lookup!$G$14:$G$21,,1)*G59)</f>
        <v>1840.232</v>
      </c>
      <c r="I59" s="60">
        <f t="array" ref="I59">if(B59&lt;55, if(YEAR(A59)=2025,XLOOKUP(B59,Lookup!$F$3:$F$10,Lookup!$H$3:$H$10,,1)*G59, XLOOKUP(B59,Lookup!$F$14:$F$21,Lookup!$H$14:$H$21,,1)*G59),0)</f>
        <v>479.816</v>
      </c>
      <c r="J59" s="60">
        <f t="array" ref="J59">if(YEAR(A59)=2025,XLOOKUP(B59,Lookup!$F$3:$F$10,Lookup!$I$3:$I$10,,1)*G59, XLOOKUP(B59,Lookup!$F$14:$F$21,Lookup!$I$14:$I$21,,1)*G59)</f>
        <v>639.952</v>
      </c>
      <c r="K59" s="61">
        <f t="array" ref="K59">if(B59&gt;54, if(YEAR(A59)=2025,XLOOKUP(B59,Lookup!$F$3:$F$10,Lookup!$H$3:$H$10,,1)*G59, XLOOKUP(B59,Lookup!$F$14:$F$21,Lookup!$H$14:$H$21,,1)*G59),0)</f>
        <v>0</v>
      </c>
      <c r="L59" s="62">
        <f>IF(and(A59&lt;questions!$C$19,questions!$C$18="yes"),questions!$C$20,0)</f>
        <v>700</v>
      </c>
      <c r="M59" s="63">
        <f>(Y58+H59)*Lookup!A$26/12</f>
        <v>173.1278586</v>
      </c>
      <c r="N59" s="63">
        <f>if(B59&lt;55, (Z58+I59)*Lookup!B$26/12, (AB58+K59)*Lookup!B$26/12)</f>
        <v>113.8463018</v>
      </c>
      <c r="O59" s="63">
        <f>(AA58+J59)*Lookup!C$26/12</f>
        <v>146.721044</v>
      </c>
      <c r="P59" s="63">
        <f t="shared" si="8"/>
        <v>1773.754861</v>
      </c>
      <c r="Q59" s="63">
        <f t="shared" si="4"/>
        <v>1164.343054</v>
      </c>
      <c r="R59" s="63">
        <f t="shared" si="5"/>
        <v>1496.606951</v>
      </c>
      <c r="S59" s="64">
        <f t="shared" si="9"/>
        <v>16.66666667</v>
      </c>
      <c r="T59" s="64">
        <f t="shared" si="10"/>
        <v>28.06172879</v>
      </c>
      <c r="U59" s="64">
        <f t="shared" si="11"/>
        <v>5.271604541</v>
      </c>
      <c r="V59" s="64">
        <f t="shared" ref="V59:X59" si="67">IF(year($A59)=year($A58), V58+S59, S59)</f>
        <v>183.3333333</v>
      </c>
      <c r="W59" s="64">
        <f t="shared" si="67"/>
        <v>286.68745</v>
      </c>
      <c r="X59" s="64">
        <f t="shared" si="67"/>
        <v>79.97921662</v>
      </c>
      <c r="Y59" s="65">
        <f>IFS(
  B59&lt;55,
    MAX(
      Y58 + IF(MONTH(A59)=12, P59+V59, 0) + H59 - L59
      + MAX(0,
          IF(AA58 &gt;= VLOOKUP(YEAR(A59), Lookup!$Q:$R, 2),
            Z58 + IF(MONTH(A59)=12, Q59+W59, 0) + I59
              + AA58 + IF(MONTH(A59)=12, R59+X59, 0)
              - VLOOKUP(YEAR(A59), Lookup!$Q:$R, 2) + J59,
            Z58 + IF(MONTH(A59)=12, Q59+W59, 0) + I59
          ) - VLOOKUP(YEAR(A59), Lookup!$K:$M, 3)
        ),
    0),
  B59=55,
    IF(Z58&gt;=AD59,
      MAX(Y58 + IF(MONTH(A59)=12, P59+V59, 0) + H59 - L59, 0),
      MAX(MAX(0, Y58-(AD59-Z58)) + IF(MONTH(A59)=12, P59+V59, 0) + H59 - L59, 0)
    ),
  B59&gt;55,
    IF(AB58&gt;=$AH$7,
      MAX(Y58 + IF(MONTH(A59)=12, P59+V59, 0) + H59 - L59 + K59 + Z58, 0),
      MAX(Y58 + IF(MONTH(A59)=12, P59+V59, 0) + H59 - L59, 0)
    )
)</f>
        <v>82401.37213</v>
      </c>
      <c r="Z59" s="65">
        <f>IFS(
  B59&lt;55,
    MIN(
      IF(AA58 &gt;= VLOOKUP(YEAR(A59), Lookup!$Q:$R, 2),
        Z58 + IF(MONTH(A59)=12, Q59+W59, 0) + I59
          + AA58 + IF(MONTH(A59)=12, R59+X59, 0) - VLOOKUP(YEAR(A59), Lookup!$Q:$R, 2) + J59,
        Z58 + IF(MONTH(A59)=12, Q59+W59, 0) + I59
      ),
      VLOOKUP(YEAR(A59), Lookup!$K:$M, 3)
    ),
  B59=55,
    IF(Z58 &gt;= AD59, Z58 - AD59, 0),
  B59&gt;55, 0
)</f>
        <v>34153.89055</v>
      </c>
      <c r="AA59" s="65">
        <f>IFS(
  B59&lt;65,
    IF(AA58+J59 &lt; VLOOKUP(YEAR(A59), Lookup!$Q:$R, 2),
      AA58 + IF(MONTH(A59)=12, R58+X58, 0) + J59,
      MIN(
        AA58 + IF(MONTH(A59)=12, R58+X58, 0) + J59 ,
        VLOOKUP(YEAR(A59), Lookup!$Q:$R, 2)
      )
    ),
  B59&gt;=65,
    IF(AA58+J59 &lt; VLOOKUP(questions!$C$5, Lookup!$Q:$R, 2),
      AA58 + IF(MONTH(A59)=12, R58+X58, 0) + J59 ,
      MIN(
        AA58 + IF(MONTH(A59)=12, R58+X58, 0) + J59,
        VLOOKUP(questions!$C$5, Lookup!$Q:$R, 2)
      )
    )
)</f>
        <v>44016.3132</v>
      </c>
      <c r="AB59" s="65">
        <f t="shared" si="13"/>
        <v>0</v>
      </c>
      <c r="AC59" s="66">
        <f t="array" ref="AC59">IFS(B59&lt;66, XLOOKUP(year(A59),Lookup!$K$13:$K1000,Lookup!$L$13:$L1000,"missing",,1),B59&gt;65,XLOOKUP(questions!$C$5,Lookup!$K$13:$K1000,Lookup!$L$13:$L1000,"missing",,1))</f>
        <v>126504.7095</v>
      </c>
      <c r="AD59" s="66">
        <f t="array" ref="AD59">IFS(B59&lt;66, XLOOKUP(year(A59),Lookup!$K$13:$K1000,Lookup!$M$13:$M1000,"missing",,1),B59&gt;65, XLOOKUP(questions!$C$5,Lookup!$K$13:$K1000,Lookup!$M$13:$M1000,"missing",,1))</f>
        <v>253009.4191</v>
      </c>
      <c r="AE59" s="66">
        <f t="array" ref="AE59">IFS(B59&lt;66, XLOOKUP(year(A59),Lookup!$K$13:$K1000,Lookup!$N$13:$N1000,"missing",,1),B59&gt;65,XLOOKUP(questions!$C$5,Lookup!$K$13:$K1000,Lookup!$N$13:$N1000,"missing",,1))</f>
        <v>506018.8382</v>
      </c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</row>
    <row r="60">
      <c r="A60" s="55">
        <f t="shared" si="7"/>
        <v>47848</v>
      </c>
      <c r="B60" s="56">
        <f>round(YEARFRAC(EOMONTH(questions!$C$3, 0),A60,1),2)</f>
        <v>32.08</v>
      </c>
      <c r="C60" s="57">
        <f>IF(B60&lt;questions!$C$6,if(MONTH(A60)=1,C59*(1+questions!$C$12),C59),0)</f>
        <v>11255.0881</v>
      </c>
      <c r="D60" s="57">
        <f>IF(MONTH(A60)=12,C60*questions!$C$11,0)</f>
        <v>11255.0881</v>
      </c>
      <c r="E60" s="59">
        <f t="shared" si="2"/>
        <v>8000</v>
      </c>
      <c r="F60" s="59">
        <f t="shared" si="3"/>
        <v>6000</v>
      </c>
      <c r="G60" s="60">
        <f t="array" ref="G60">if(YEAR(A60)=2025,XLOOKUP(B60,Lookup!$A$3:$A$7,Lookup!$D$3:$D$7,,1)*SUM(E60:F60), XLOOKUP(B60,Lookup!$A$14:$A$18,Lookup!$D$14:$D$18,,1)*SUM(E60:F60))</f>
        <v>5180</v>
      </c>
      <c r="H60" s="60">
        <f t="array" ref="H60">if(YEAR(A60)=2025,XLOOKUP(B60,Lookup!$F$3:$F$10,Lookup!$G$3:$G$10,,1)*G60, XLOOKUP(B60,Lookup!$F$14:$F$21,Lookup!$G$14:$G$21,,1)*G60)</f>
        <v>3220.406</v>
      </c>
      <c r="I60" s="60">
        <f t="array" ref="I60">if(B60&lt;55, if(YEAR(A60)=2025,XLOOKUP(B60,Lookup!$F$3:$F$10,Lookup!$H$3:$H$10,,1)*G60, XLOOKUP(B60,Lookup!$F$14:$F$21,Lookup!$H$14:$H$21,,1)*G60),0)</f>
        <v>839.678</v>
      </c>
      <c r="J60" s="60">
        <f t="array" ref="J60">if(YEAR(A60)=2025,XLOOKUP(B60,Lookup!$F$3:$F$10,Lookup!$I$3:$I$10,,1)*G60, XLOOKUP(B60,Lookup!$F$14:$F$21,Lookup!$I$14:$I$21,,1)*G60)</f>
        <v>1119.916</v>
      </c>
      <c r="K60" s="61">
        <f t="array" ref="K60">if(B60&gt;54, if(YEAR(A60)=2025,XLOOKUP(B60,Lookup!$F$3:$F$10,Lookup!$H$3:$H$10,,1)*G60, XLOOKUP(B60,Lookup!$F$14:$F$21,Lookup!$H$14:$H$21,,1)*G60),0)</f>
        <v>0</v>
      </c>
      <c r="L60" s="62">
        <f>IF(and(A60&lt;questions!$C$19,questions!$C$18="yes"),questions!$C$20,0)</f>
        <v>700</v>
      </c>
      <c r="M60" s="63">
        <f>(Y59+H60)*Lookup!A$26/12</f>
        <v>178.3787044</v>
      </c>
      <c r="N60" s="63">
        <f>if(B60&lt;55, (Z59+I60)*Lookup!B$26/12, (AB59+K60)*Lookup!B$26/12)</f>
        <v>116.6452285</v>
      </c>
      <c r="O60" s="63">
        <f>(AA59+J60)*Lookup!C$26/12</f>
        <v>150.4540973</v>
      </c>
      <c r="P60" s="63">
        <f t="shared" si="8"/>
        <v>1952.133566</v>
      </c>
      <c r="Q60" s="63">
        <f t="shared" si="4"/>
        <v>1280.988282</v>
      </c>
      <c r="R60" s="63">
        <f t="shared" si="5"/>
        <v>1647.061048</v>
      </c>
      <c r="S60" s="64">
        <f t="shared" si="9"/>
        <v>16.66666667</v>
      </c>
      <c r="T60" s="64">
        <f t="shared" si="10"/>
        <v>28.46157546</v>
      </c>
      <c r="U60" s="64">
        <f t="shared" si="11"/>
        <v>4.871757875</v>
      </c>
      <c r="V60" s="64">
        <f t="shared" ref="V60:X60" si="68">IF(year($A60)=year($A59), V59+S60, S60)</f>
        <v>200</v>
      </c>
      <c r="W60" s="64">
        <f t="shared" si="68"/>
        <v>315.1490255</v>
      </c>
      <c r="X60" s="64">
        <f t="shared" si="68"/>
        <v>84.85097449</v>
      </c>
      <c r="Y60" s="65">
        <f>IFS(
  B60&lt;55,
    MAX(
      Y59 + IF(MONTH(A60)=12, P60+V60, 0) + H60 - L60
      + MAX(0,
          IF(AA59 &gt;= VLOOKUP(YEAR(A60), Lookup!$Q:$R, 2),
            Z59 + IF(MONTH(A60)=12, Q60+W60, 0) + I60
              + AA59 + IF(MONTH(A60)=12, R60+X60, 0)
              - VLOOKUP(YEAR(A60), Lookup!$Q:$R, 2) + J60,
            Z59 + IF(MONTH(A60)=12, Q60+W60, 0) + I60
          ) - VLOOKUP(YEAR(A60), Lookup!$K:$M, 3)
        ),
    0),
  B60=55,
    IF(Z59&gt;=AD60,
      MAX(Y59 + IF(MONTH(A60)=12, P60+V60, 0) + H60 - L60, 0),
      MAX(MAX(0, Y59-(AD60-Z59)) + IF(MONTH(A60)=12, P60+V60, 0) + H60 - L60, 0)
    ),
  B60&gt;55,
    IF(AB59&gt;=$AH$7,
      MAX(Y59 + IF(MONTH(A60)=12, P60+V60, 0) + H60 - L60 + K60 + Z59, 0),
      MAX(Y59 + IF(MONTH(A60)=12, P60+V60, 0) + H60 - L60, 0)
    )
)</f>
        <v>87073.9117</v>
      </c>
      <c r="Z60" s="65">
        <f>IFS(
  B60&lt;55,
    MIN(
      IF(AA59 &gt;= VLOOKUP(YEAR(A60), Lookup!$Q:$R, 2),
        Z59 + IF(MONTH(A60)=12, Q60+W60, 0) + I60
          + AA59 + IF(MONTH(A60)=12, R60+X60, 0) - VLOOKUP(YEAR(A60), Lookup!$Q:$R, 2) + J60,
        Z59 + IF(MONTH(A60)=12, Q60+W60, 0) + I60
      ),
      VLOOKUP(YEAR(A60), Lookup!$K:$M, 3)
    ),
  B60=55,
    IF(Z59 &gt;= AD60, Z59 - AD60, 0),
  B60&gt;55, 0
)</f>
        <v>36589.70586</v>
      </c>
      <c r="AA60" s="65">
        <f>IFS(
  B60&lt;65,
    IF(AA59+J60 &lt; VLOOKUP(YEAR(A60), Lookup!$Q:$R, 2),
      AA59 + IF(MONTH(A60)=12, R59+X59, 0) + J60,
      MIN(
        AA59 + IF(MONTH(A60)=12, R59+X59, 0) + J60 ,
        VLOOKUP(YEAR(A60), Lookup!$Q:$R, 2)
      )
    ),
  B60&gt;=65,
    IF(AA59+J60 &lt; VLOOKUP(questions!$C$5, Lookup!$Q:$R, 2),
      AA59 + IF(MONTH(A60)=12, R59+X59, 0) + J60 ,
      MIN(
        AA59 + IF(MONTH(A60)=12, R59+X59, 0) + J60,
        VLOOKUP(questions!$C$5, Lookup!$Q:$R, 2)
      )
    )
)</f>
        <v>46712.81537</v>
      </c>
      <c r="AB60" s="65">
        <f t="shared" si="13"/>
        <v>0</v>
      </c>
      <c r="AC60" s="66">
        <f t="array" ref="AC60">IFS(B60&lt;66, XLOOKUP(year(A60),Lookup!$K$13:$K1000,Lookup!$L$13:$L1000,"missing",,1),B60&gt;65,XLOOKUP(questions!$C$5,Lookup!$K$13:$K1000,Lookup!$L$13:$L1000,"missing",,1))</f>
        <v>126504.7095</v>
      </c>
      <c r="AD60" s="66">
        <f t="array" ref="AD60">IFS(B60&lt;66, XLOOKUP(year(A60),Lookup!$K$13:$K1000,Lookup!$M$13:$M1000,"missing",,1),B60&gt;65, XLOOKUP(questions!$C$5,Lookup!$K$13:$K1000,Lookup!$M$13:$M1000,"missing",,1))</f>
        <v>253009.4191</v>
      </c>
      <c r="AE60" s="66">
        <f t="array" ref="AE60">IFS(B60&lt;66, XLOOKUP(year(A60),Lookup!$K$13:$K1000,Lookup!$N$13:$N1000,"missing",,1),B60&gt;65,XLOOKUP(questions!$C$5,Lookup!$K$13:$K1000,Lookup!$N$13:$N1000,"missing",,1))</f>
        <v>506018.8382</v>
      </c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</row>
    <row r="61">
      <c r="A61" s="55">
        <f t="shared" si="7"/>
        <v>47879</v>
      </c>
      <c r="B61" s="56">
        <f>round(YEARFRAC(EOMONTH(questions!$C$3, 0),A61,1),2)</f>
        <v>32.17</v>
      </c>
      <c r="C61" s="57">
        <f>IF(B61&lt;questions!$C$6,if(MONTH(A61)=1,C60*(1+questions!$C$12),C60),0)</f>
        <v>11592.74074</v>
      </c>
      <c r="D61" s="58">
        <f>IF(MONTH(A61)=12,C61*questions!$C$11,0)</f>
        <v>0</v>
      </c>
      <c r="E61" s="59">
        <f t="shared" si="2"/>
        <v>8000</v>
      </c>
      <c r="F61" s="59">
        <f t="shared" si="3"/>
        <v>0</v>
      </c>
      <c r="G61" s="60">
        <f t="array" ref="G61">if(YEAR(A61)=2025,XLOOKUP(B61,Lookup!$A$3:$A$7,Lookup!$D$3:$D$7,,1)*SUM(E61:F61), XLOOKUP(B61,Lookup!$A$14:$A$18,Lookup!$D$14:$D$18,,1)*SUM(E61:F61))</f>
        <v>2960</v>
      </c>
      <c r="H61" s="60">
        <f t="array" ref="H61">if(YEAR(A61)=2025,XLOOKUP(B61,Lookup!$F$3:$F$10,Lookup!$G$3:$G$10,,1)*G61, XLOOKUP(B61,Lookup!$F$14:$F$21,Lookup!$G$14:$G$21,,1)*G61)</f>
        <v>1840.232</v>
      </c>
      <c r="I61" s="60">
        <f t="array" ref="I61">if(B61&lt;55, if(YEAR(A61)=2025,XLOOKUP(B61,Lookup!$F$3:$F$10,Lookup!$H$3:$H$10,,1)*G61, XLOOKUP(B61,Lookup!$F$14:$F$21,Lookup!$H$14:$H$21,,1)*G61),0)</f>
        <v>479.816</v>
      </c>
      <c r="J61" s="60">
        <f t="array" ref="J61">if(YEAR(A61)=2025,XLOOKUP(B61,Lookup!$F$3:$F$10,Lookup!$I$3:$I$10,,1)*G61, XLOOKUP(B61,Lookup!$F$14:$F$21,Lookup!$I$14:$I$21,,1)*G61)</f>
        <v>639.952</v>
      </c>
      <c r="K61" s="61">
        <f t="array" ref="K61">if(B61&gt;54, if(YEAR(A61)=2025,XLOOKUP(B61,Lookup!$F$3:$F$10,Lookup!$H$3:$H$10,,1)*G61, XLOOKUP(B61,Lookup!$F$14:$F$21,Lookup!$H$14:$H$21,,1)*G61),0)</f>
        <v>0</v>
      </c>
      <c r="L61" s="62">
        <f>IF(and(A61&lt;questions!$C$19,questions!$C$18="yes"),questions!$C$20,0)</f>
        <v>700</v>
      </c>
      <c r="M61" s="63">
        <f>(Y60+H61)*Lookup!A$26/12</f>
        <v>185.2377994</v>
      </c>
      <c r="N61" s="63">
        <f>if(B61&lt;55, (Z60+I61)*Lookup!B$26/12, (AB60+K61)*Lookup!B$26/12)</f>
        <v>123.5650729</v>
      </c>
      <c r="O61" s="63">
        <f>(AA60+J61)*Lookup!C$26/12</f>
        <v>157.8425579</v>
      </c>
      <c r="P61" s="63">
        <f t="shared" si="8"/>
        <v>185.2377994</v>
      </c>
      <c r="Q61" s="63">
        <f t="shared" si="4"/>
        <v>123.5650729</v>
      </c>
      <c r="R61" s="63">
        <f t="shared" si="5"/>
        <v>157.8425579</v>
      </c>
      <c r="S61" s="64">
        <f t="shared" si="9"/>
        <v>16.66666667</v>
      </c>
      <c r="T61" s="64">
        <f t="shared" si="10"/>
        <v>30.49142155</v>
      </c>
      <c r="U61" s="64">
        <f t="shared" si="11"/>
        <v>2.841911785</v>
      </c>
      <c r="V61" s="64">
        <f t="shared" ref="V61:X61" si="69">IF(year($A61)=year($A60), V60+S61, S61)</f>
        <v>16.66666667</v>
      </c>
      <c r="W61" s="64">
        <f t="shared" si="69"/>
        <v>30.49142155</v>
      </c>
      <c r="X61" s="64">
        <f t="shared" si="69"/>
        <v>2.841911785</v>
      </c>
      <c r="Y61" s="65">
        <f>IFS(
  B61&lt;55,
    MAX(
      Y60 + IF(MONTH(A61)=12, P61+V61, 0) + H61 - L61
      + MAX(0,
          IF(AA60 &gt;= VLOOKUP(YEAR(A61), Lookup!$Q:$R, 2),
            Z60 + IF(MONTH(A61)=12, Q61+W61, 0) + I61
              + AA60 + IF(MONTH(A61)=12, R61+X61, 0)
              - VLOOKUP(YEAR(A61), Lookup!$Q:$R, 2) + J61,
            Z60 + IF(MONTH(A61)=12, Q61+W61, 0) + I61
          ) - VLOOKUP(YEAR(A61), Lookup!$K:$M, 3)
        ),
    0),
  B61=55,
    IF(Z60&gt;=AD61,
      MAX(Y60 + IF(MONTH(A61)=12, P61+V61, 0) + H61 - L61, 0),
      MAX(MAX(0, Y60-(AD61-Z60)) + IF(MONTH(A61)=12, P61+V61, 0) + H61 - L61, 0)
    ),
  B61&gt;55,
    IF(AB60&gt;=$AH$7,
      MAX(Y60 + IF(MONTH(A61)=12, P61+V61, 0) + H61 - L61 + K61 + Z60, 0),
      MAX(Y60 + IF(MONTH(A61)=12, P61+V61, 0) + H61 - L61, 0)
    )
)</f>
        <v>88214.1437</v>
      </c>
      <c r="Z61" s="65">
        <f>IFS(
  B61&lt;55,
    MIN(
      IF(AA60 &gt;= VLOOKUP(YEAR(A61), Lookup!$Q:$R, 2),
        Z60 + IF(MONTH(A61)=12, Q61+W61, 0) + I61
          + AA60 + IF(MONTH(A61)=12, R61+X61, 0) - VLOOKUP(YEAR(A61), Lookup!$Q:$R, 2) + J61,
        Z60 + IF(MONTH(A61)=12, Q61+W61, 0) + I61
      ),
      VLOOKUP(YEAR(A61), Lookup!$K:$M, 3)
    ),
  B61=55,
    IF(Z60 &gt;= AD61, Z60 - AD61, 0),
  B61&gt;55, 0
)</f>
        <v>37069.52186</v>
      </c>
      <c r="AA61" s="65">
        <f>IFS(
  B61&lt;65,
    IF(AA60+J61 &lt; VLOOKUP(YEAR(A61), Lookup!$Q:$R, 2),
      AA60 + IF(MONTH(A61)=12, R60+X60, 0) + J61,
      MIN(
        AA60 + IF(MONTH(A61)=12, R60+X60, 0) + J61 ,
        VLOOKUP(YEAR(A61), Lookup!$Q:$R, 2)
      )
    ),
  B61&gt;=65,
    IF(AA60+J61 &lt; VLOOKUP(questions!$C$5, Lookup!$Q:$R, 2),
      AA60 + IF(MONTH(A61)=12, R60+X60, 0) + J61 ,
      MIN(
        AA60 + IF(MONTH(A61)=12, R60+X60, 0) + J61,
        VLOOKUP(questions!$C$5, Lookup!$Q:$R, 2)
      )
    )
)</f>
        <v>47352.76737</v>
      </c>
      <c r="AB61" s="65">
        <f t="shared" si="13"/>
        <v>0</v>
      </c>
      <c r="AC61" s="66">
        <f t="array" ref="AC61">IFS(B61&lt;66, XLOOKUP(year(A61),Lookup!$K$13:$K1000,Lookup!$L$13:$L1000,"missing",,1),B61&gt;65,XLOOKUP(questions!$C$5,Lookup!$K$13:$K1000,Lookup!$L$13:$L1000,"missing",,1))</f>
        <v>130932.3744</v>
      </c>
      <c r="AD61" s="66">
        <f t="array" ref="AD61">IFS(B61&lt;66, XLOOKUP(year(A61),Lookup!$K$13:$K1000,Lookup!$M$13:$M1000,"missing",,1),B61&gt;65, XLOOKUP(questions!$C$5,Lookup!$K$13:$K1000,Lookup!$M$13:$M1000,"missing",,1))</f>
        <v>261864.7487</v>
      </c>
      <c r="AE61" s="66">
        <f t="array" ref="AE61">IFS(B61&lt;66, XLOOKUP(year(A61),Lookup!$K$13:$K1000,Lookup!$N$13:$N1000,"missing",,1),B61&gt;65,XLOOKUP(questions!$C$5,Lookup!$K$13:$K1000,Lookup!$N$13:$N1000,"missing",,1))</f>
        <v>523729.4975</v>
      </c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</row>
    <row r="62">
      <c r="A62" s="55">
        <f t="shared" si="7"/>
        <v>47907</v>
      </c>
      <c r="B62" s="56">
        <f>round(YEARFRAC(EOMONTH(questions!$C$3, 0),A62,1),2)</f>
        <v>32.25</v>
      </c>
      <c r="C62" s="57">
        <f>IF(B62&lt;questions!$C$6,if(MONTH(A62)=1,C61*(1+questions!$C$12),C61),0)</f>
        <v>11592.74074</v>
      </c>
      <c r="D62" s="58">
        <f>IF(MONTH(A62)=12,C62*questions!$C$11,0)</f>
        <v>0</v>
      </c>
      <c r="E62" s="59">
        <f t="shared" si="2"/>
        <v>8000</v>
      </c>
      <c r="F62" s="59">
        <f t="shared" si="3"/>
        <v>0</v>
      </c>
      <c r="G62" s="60">
        <f t="array" ref="G62">if(YEAR(A62)=2025,XLOOKUP(B62,Lookup!$A$3:$A$7,Lookup!$D$3:$D$7,,1)*SUM(E62:F62), XLOOKUP(B62,Lookup!$A$14:$A$18,Lookup!$D$14:$D$18,,1)*SUM(E62:F62))</f>
        <v>2960</v>
      </c>
      <c r="H62" s="60">
        <f t="array" ref="H62">if(YEAR(A62)=2025,XLOOKUP(B62,Lookup!$F$3:$F$10,Lookup!$G$3:$G$10,,1)*G62, XLOOKUP(B62,Lookup!$F$14:$F$21,Lookup!$G$14:$G$21,,1)*G62)</f>
        <v>1840.232</v>
      </c>
      <c r="I62" s="60">
        <f t="array" ref="I62">if(B62&lt;55, if(YEAR(A62)=2025,XLOOKUP(B62,Lookup!$F$3:$F$10,Lookup!$H$3:$H$10,,1)*G62, XLOOKUP(B62,Lookup!$F$14:$F$21,Lookup!$H$14:$H$21,,1)*G62),0)</f>
        <v>479.816</v>
      </c>
      <c r="J62" s="60">
        <f t="array" ref="J62">if(YEAR(A62)=2025,XLOOKUP(B62,Lookup!$F$3:$F$10,Lookup!$I$3:$I$10,,1)*G62, XLOOKUP(B62,Lookup!$F$14:$F$21,Lookup!$I$14:$I$21,,1)*G62)</f>
        <v>639.952</v>
      </c>
      <c r="K62" s="61">
        <f t="array" ref="K62">if(B62&gt;54, if(YEAR(A62)=2025,XLOOKUP(B62,Lookup!$F$3:$F$10,Lookup!$H$3:$H$10,,1)*G62, XLOOKUP(B62,Lookup!$F$14:$F$21,Lookup!$H$14:$H$21,,1)*G62),0)</f>
        <v>0</v>
      </c>
      <c r="L62" s="62">
        <f>IF(and(A62&lt;questions!$C$19,questions!$C$18="yes"),questions!$C$20,0)</f>
        <v>700</v>
      </c>
      <c r="M62" s="63">
        <f>(Y61+H62)*Lookup!A$26/12</f>
        <v>187.6132827</v>
      </c>
      <c r="N62" s="63">
        <f>if(B62&lt;55, (Z61+I62)*Lookup!B$26/12, (AB61+K62)*Lookup!B$26/12)</f>
        <v>125.1644595</v>
      </c>
      <c r="O62" s="63">
        <f>(AA61+J62)*Lookup!C$26/12</f>
        <v>159.9757312</v>
      </c>
      <c r="P62" s="63">
        <f t="shared" si="8"/>
        <v>372.8510821</v>
      </c>
      <c r="Q62" s="63">
        <f t="shared" si="4"/>
        <v>248.7295324</v>
      </c>
      <c r="R62" s="63">
        <f t="shared" si="5"/>
        <v>317.8182891</v>
      </c>
      <c r="S62" s="64">
        <f t="shared" si="9"/>
        <v>16.66666667</v>
      </c>
      <c r="T62" s="64">
        <f t="shared" si="10"/>
        <v>30.89126822</v>
      </c>
      <c r="U62" s="64">
        <f t="shared" si="11"/>
        <v>2.442065118</v>
      </c>
      <c r="V62" s="64">
        <f t="shared" ref="V62:X62" si="70">IF(year($A62)=year($A61), V61+S62, S62)</f>
        <v>33.33333333</v>
      </c>
      <c r="W62" s="64">
        <f t="shared" si="70"/>
        <v>61.38268976</v>
      </c>
      <c r="X62" s="64">
        <f t="shared" si="70"/>
        <v>5.283976903</v>
      </c>
      <c r="Y62" s="65">
        <f>IFS(
  B62&lt;55,
    MAX(
      Y61 + IF(MONTH(A62)=12, P62+V62, 0) + H62 - L62
      + MAX(0,
          IF(AA61 &gt;= VLOOKUP(YEAR(A62), Lookup!$Q:$R, 2),
            Z61 + IF(MONTH(A62)=12, Q62+W62, 0) + I62
              + AA61 + IF(MONTH(A62)=12, R62+X62, 0)
              - VLOOKUP(YEAR(A62), Lookup!$Q:$R, 2) + J62,
            Z61 + IF(MONTH(A62)=12, Q62+W62, 0) + I62
          ) - VLOOKUP(YEAR(A62), Lookup!$K:$M, 3)
        ),
    0),
  B62=55,
    IF(Z61&gt;=AD62,
      MAX(Y61 + IF(MONTH(A62)=12, P62+V62, 0) + H62 - L62, 0),
      MAX(MAX(0, Y61-(AD62-Z61)) + IF(MONTH(A62)=12, P62+V62, 0) + H62 - L62, 0)
    ),
  B62&gt;55,
    IF(AB61&gt;=$AH$7,
      MAX(Y61 + IF(MONTH(A62)=12, P62+V62, 0) + H62 - L62 + K62 + Z61, 0),
      MAX(Y61 + IF(MONTH(A62)=12, P62+V62, 0) + H62 - L62, 0)
    )
)</f>
        <v>89354.3757</v>
      </c>
      <c r="Z62" s="65">
        <f>IFS(
  B62&lt;55,
    MIN(
      IF(AA61 &gt;= VLOOKUP(YEAR(A62), Lookup!$Q:$R, 2),
        Z61 + IF(MONTH(A62)=12, Q62+W62, 0) + I62
          + AA61 + IF(MONTH(A62)=12, R62+X62, 0) - VLOOKUP(YEAR(A62), Lookup!$Q:$R, 2) + J62,
        Z61 + IF(MONTH(A62)=12, Q62+W62, 0) + I62
      ),
      VLOOKUP(YEAR(A62), Lookup!$K:$M, 3)
    ),
  B62=55,
    IF(Z61 &gt;= AD62, Z61 - AD62, 0),
  B62&gt;55, 0
)</f>
        <v>37549.33786</v>
      </c>
      <c r="AA62" s="65">
        <f>IFS(
  B62&lt;65,
    IF(AA61+J62 &lt; VLOOKUP(YEAR(A62), Lookup!$Q:$R, 2),
      AA61 + IF(MONTH(A62)=12, R61+X61, 0) + J62,
      MIN(
        AA61 + IF(MONTH(A62)=12, R61+X61, 0) + J62 ,
        VLOOKUP(YEAR(A62), Lookup!$Q:$R, 2)
      )
    ),
  B62&gt;=65,
    IF(AA61+J62 &lt; VLOOKUP(questions!$C$5, Lookup!$Q:$R, 2),
      AA61 + IF(MONTH(A62)=12, R61+X61, 0) + J62 ,
      MIN(
        AA61 + IF(MONTH(A62)=12, R61+X61, 0) + J62,
        VLOOKUP(questions!$C$5, Lookup!$Q:$R, 2)
      )
    )
)</f>
        <v>47992.71937</v>
      </c>
      <c r="AB62" s="65">
        <f t="shared" si="13"/>
        <v>0</v>
      </c>
      <c r="AC62" s="66">
        <f t="array" ref="AC62">IFS(B62&lt;66, XLOOKUP(year(A62),Lookup!$K$13:$K1000,Lookup!$L$13:$L1000,"missing",,1),B62&gt;65,XLOOKUP(questions!$C$5,Lookup!$K$13:$K1000,Lookup!$L$13:$L1000,"missing",,1))</f>
        <v>130932.3744</v>
      </c>
      <c r="AD62" s="66">
        <f t="array" ref="AD62">IFS(B62&lt;66, XLOOKUP(year(A62),Lookup!$K$13:$K1000,Lookup!$M$13:$M1000,"missing",,1),B62&gt;65, XLOOKUP(questions!$C$5,Lookup!$K$13:$K1000,Lookup!$M$13:$M1000,"missing",,1))</f>
        <v>261864.7487</v>
      </c>
      <c r="AE62" s="66">
        <f t="array" ref="AE62">IFS(B62&lt;66, XLOOKUP(year(A62),Lookup!$K$13:$K1000,Lookup!$N$13:$N1000,"missing",,1),B62&gt;65,XLOOKUP(questions!$C$5,Lookup!$K$13:$K1000,Lookup!$N$13:$N1000,"missing",,1))</f>
        <v>523729.4975</v>
      </c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</row>
    <row r="63">
      <c r="A63" s="55">
        <f t="shared" si="7"/>
        <v>47938</v>
      </c>
      <c r="B63" s="56">
        <f>round(YEARFRAC(EOMONTH(questions!$C$3, 0),A63,1),2)</f>
        <v>32.33</v>
      </c>
      <c r="C63" s="57">
        <f>IF(B63&lt;questions!$C$6,if(MONTH(A63)=1,C62*(1+questions!$C$12),C62),0)</f>
        <v>11592.74074</v>
      </c>
      <c r="D63" s="58">
        <f>IF(MONTH(A63)=12,C63*questions!$C$11,0)</f>
        <v>0</v>
      </c>
      <c r="E63" s="59">
        <f t="shared" si="2"/>
        <v>8000</v>
      </c>
      <c r="F63" s="59">
        <f t="shared" si="3"/>
        <v>0</v>
      </c>
      <c r="G63" s="60">
        <f t="array" ref="G63">if(YEAR(A63)=2025,XLOOKUP(B63,Lookup!$A$3:$A$7,Lookup!$D$3:$D$7,,1)*SUM(E63:F63), XLOOKUP(B63,Lookup!$A$14:$A$18,Lookup!$D$14:$D$18,,1)*SUM(E63:F63))</f>
        <v>2960</v>
      </c>
      <c r="H63" s="60">
        <f t="array" ref="H63">if(YEAR(A63)=2025,XLOOKUP(B63,Lookup!$F$3:$F$10,Lookup!$G$3:$G$10,,1)*G63, XLOOKUP(B63,Lookup!$F$14:$F$21,Lookup!$G$14:$G$21,,1)*G63)</f>
        <v>1840.232</v>
      </c>
      <c r="I63" s="60">
        <f t="array" ref="I63">if(B63&lt;55, if(YEAR(A63)=2025,XLOOKUP(B63,Lookup!$F$3:$F$10,Lookup!$H$3:$H$10,,1)*G63, XLOOKUP(B63,Lookup!$F$14:$F$21,Lookup!$H$14:$H$21,,1)*G63),0)</f>
        <v>479.816</v>
      </c>
      <c r="J63" s="60">
        <f t="array" ref="J63">if(YEAR(A63)=2025,XLOOKUP(B63,Lookup!$F$3:$F$10,Lookup!$I$3:$I$10,,1)*G63, XLOOKUP(B63,Lookup!$F$14:$F$21,Lookup!$I$14:$I$21,,1)*G63)</f>
        <v>639.952</v>
      </c>
      <c r="K63" s="61">
        <f t="array" ref="K63">if(B63&gt;54, if(YEAR(A63)=2025,XLOOKUP(B63,Lookup!$F$3:$F$10,Lookup!$H$3:$H$10,,1)*G63, XLOOKUP(B63,Lookup!$F$14:$F$21,Lookup!$H$14:$H$21,,1)*G63),0)</f>
        <v>0</v>
      </c>
      <c r="L63" s="62">
        <f>IF(and(A63&lt;questions!$C$19,questions!$C$18="yes"),questions!$C$20,0)</f>
        <v>700</v>
      </c>
      <c r="M63" s="63">
        <f>(Y62+H63)*Lookup!A$26/12</f>
        <v>189.988766</v>
      </c>
      <c r="N63" s="63">
        <f>if(B63&lt;55, (Z62+I63)*Lookup!B$26/12, (AB62+K63)*Lookup!B$26/12)</f>
        <v>126.7638462</v>
      </c>
      <c r="O63" s="63">
        <f>(AA62+J63)*Lookup!C$26/12</f>
        <v>162.1089046</v>
      </c>
      <c r="P63" s="63">
        <f t="shared" si="8"/>
        <v>562.8398481</v>
      </c>
      <c r="Q63" s="63">
        <f t="shared" si="4"/>
        <v>375.4933786</v>
      </c>
      <c r="R63" s="63">
        <f t="shared" si="5"/>
        <v>479.9271937</v>
      </c>
      <c r="S63" s="64">
        <f t="shared" si="9"/>
        <v>16.66666667</v>
      </c>
      <c r="T63" s="64">
        <f t="shared" si="10"/>
        <v>31.29111488</v>
      </c>
      <c r="U63" s="64">
        <f t="shared" si="11"/>
        <v>2.042218452</v>
      </c>
      <c r="V63" s="64">
        <f t="shared" ref="V63:X63" si="71">IF(year($A63)=year($A62), V62+S63, S63)</f>
        <v>50</v>
      </c>
      <c r="W63" s="64">
        <f t="shared" si="71"/>
        <v>92.67380465</v>
      </c>
      <c r="X63" s="64">
        <f t="shared" si="71"/>
        <v>7.326195355</v>
      </c>
      <c r="Y63" s="65">
        <f>IFS(
  B63&lt;55,
    MAX(
      Y62 + IF(MONTH(A63)=12, P63+V63, 0) + H63 - L63
      + MAX(0,
          IF(AA62 &gt;= VLOOKUP(YEAR(A63), Lookup!$Q:$R, 2),
            Z62 + IF(MONTH(A63)=12, Q63+W63, 0) + I63
              + AA62 + IF(MONTH(A63)=12, R63+X63, 0)
              - VLOOKUP(YEAR(A63), Lookup!$Q:$R, 2) + J63,
            Z62 + IF(MONTH(A63)=12, Q63+W63, 0) + I63
          ) - VLOOKUP(YEAR(A63), Lookup!$K:$M, 3)
        ),
    0),
  B63=55,
    IF(Z62&gt;=AD63,
      MAX(Y62 + IF(MONTH(A63)=12, P63+V63, 0) + H63 - L63, 0),
      MAX(MAX(0, Y62-(AD63-Z62)) + IF(MONTH(A63)=12, P63+V63, 0) + H63 - L63, 0)
    ),
  B63&gt;55,
    IF(AB62&gt;=$AH$7,
      MAX(Y62 + IF(MONTH(A63)=12, P63+V63, 0) + H63 - L63 + K63 + Z62, 0),
      MAX(Y62 + IF(MONTH(A63)=12, P63+V63, 0) + H63 - L63, 0)
    )
)</f>
        <v>90494.6077</v>
      </c>
      <c r="Z63" s="65">
        <f>IFS(
  B63&lt;55,
    MIN(
      IF(AA62 &gt;= VLOOKUP(YEAR(A63), Lookup!$Q:$R, 2),
        Z62 + IF(MONTH(A63)=12, Q63+W63, 0) + I63
          + AA62 + IF(MONTH(A63)=12, R63+X63, 0) - VLOOKUP(YEAR(A63), Lookup!$Q:$R, 2) + J63,
        Z62 + IF(MONTH(A63)=12, Q63+W63, 0) + I63
      ),
      VLOOKUP(YEAR(A63), Lookup!$K:$M, 3)
    ),
  B63=55,
    IF(Z62 &gt;= AD63, Z62 - AD63, 0),
  B63&gt;55, 0
)</f>
        <v>38029.15386</v>
      </c>
      <c r="AA63" s="65">
        <f>IFS(
  B63&lt;65,
    IF(AA62+J63 &lt; VLOOKUP(YEAR(A63), Lookup!$Q:$R, 2),
      AA62 + IF(MONTH(A63)=12, R62+X62, 0) + J63,
      MIN(
        AA62 + IF(MONTH(A63)=12, R62+X62, 0) + J63 ,
        VLOOKUP(YEAR(A63), Lookup!$Q:$R, 2)
      )
    ),
  B63&gt;=65,
    IF(AA62+J63 &lt; VLOOKUP(questions!$C$5, Lookup!$Q:$R, 2),
      AA62 + IF(MONTH(A63)=12, R62+X62, 0) + J63 ,
      MIN(
        AA62 + IF(MONTH(A63)=12, R62+X62, 0) + J63,
        VLOOKUP(questions!$C$5, Lookup!$Q:$R, 2)
      )
    )
)</f>
        <v>48632.67137</v>
      </c>
      <c r="AB63" s="65">
        <f t="shared" si="13"/>
        <v>0</v>
      </c>
      <c r="AC63" s="66">
        <f t="array" ref="AC63">IFS(B63&lt;66, XLOOKUP(year(A63),Lookup!$K$13:$K1000,Lookup!$L$13:$L1000,"missing",,1),B63&gt;65,XLOOKUP(questions!$C$5,Lookup!$K$13:$K1000,Lookup!$L$13:$L1000,"missing",,1))</f>
        <v>130932.3744</v>
      </c>
      <c r="AD63" s="66">
        <f t="array" ref="AD63">IFS(B63&lt;66, XLOOKUP(year(A63),Lookup!$K$13:$K1000,Lookup!$M$13:$M1000,"missing",,1),B63&gt;65, XLOOKUP(questions!$C$5,Lookup!$K$13:$K1000,Lookup!$M$13:$M1000,"missing",,1))</f>
        <v>261864.7487</v>
      </c>
      <c r="AE63" s="66">
        <f t="array" ref="AE63">IFS(B63&lt;66, XLOOKUP(year(A63),Lookup!$K$13:$K1000,Lookup!$N$13:$N1000,"missing",,1),B63&gt;65,XLOOKUP(questions!$C$5,Lookup!$K$13:$K1000,Lookup!$N$13:$N1000,"missing",,1))</f>
        <v>523729.4975</v>
      </c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</row>
    <row r="64">
      <c r="A64" s="55">
        <f t="shared" si="7"/>
        <v>47968</v>
      </c>
      <c r="B64" s="56">
        <f>round(YEARFRAC(EOMONTH(questions!$C$3, 0),A64,1),2)</f>
        <v>32.41</v>
      </c>
      <c r="C64" s="57">
        <f>IF(B64&lt;questions!$C$6,if(MONTH(A64)=1,C63*(1+questions!$C$12),C63),0)</f>
        <v>11592.74074</v>
      </c>
      <c r="D64" s="58">
        <f>IF(MONTH(A64)=12,C64*questions!$C$11,0)</f>
        <v>0</v>
      </c>
      <c r="E64" s="59">
        <f t="shared" si="2"/>
        <v>8000</v>
      </c>
      <c r="F64" s="59">
        <f t="shared" si="3"/>
        <v>0</v>
      </c>
      <c r="G64" s="60">
        <f t="array" ref="G64">if(YEAR(A64)=2025,XLOOKUP(B64,Lookup!$A$3:$A$7,Lookup!$D$3:$D$7,,1)*SUM(E64:F64), XLOOKUP(B64,Lookup!$A$14:$A$18,Lookup!$D$14:$D$18,,1)*SUM(E64:F64))</f>
        <v>2960</v>
      </c>
      <c r="H64" s="60">
        <f t="array" ref="H64">if(YEAR(A64)=2025,XLOOKUP(B64,Lookup!$F$3:$F$10,Lookup!$G$3:$G$10,,1)*G64, XLOOKUP(B64,Lookup!$F$14:$F$21,Lookup!$G$14:$G$21,,1)*G64)</f>
        <v>1840.232</v>
      </c>
      <c r="I64" s="60">
        <f t="array" ref="I64">if(B64&lt;55, if(YEAR(A64)=2025,XLOOKUP(B64,Lookup!$F$3:$F$10,Lookup!$H$3:$H$10,,1)*G64, XLOOKUP(B64,Lookup!$F$14:$F$21,Lookup!$H$14:$H$21,,1)*G64),0)</f>
        <v>479.816</v>
      </c>
      <c r="J64" s="60">
        <f t="array" ref="J64">if(YEAR(A64)=2025,XLOOKUP(B64,Lookup!$F$3:$F$10,Lookup!$I$3:$I$10,,1)*G64, XLOOKUP(B64,Lookup!$F$14:$F$21,Lookup!$I$14:$I$21,,1)*G64)</f>
        <v>639.952</v>
      </c>
      <c r="K64" s="61">
        <f t="array" ref="K64">if(B64&gt;54, if(YEAR(A64)=2025,XLOOKUP(B64,Lookup!$F$3:$F$10,Lookup!$H$3:$H$10,,1)*G64, XLOOKUP(B64,Lookup!$F$14:$F$21,Lookup!$H$14:$H$21,,1)*G64),0)</f>
        <v>0</v>
      </c>
      <c r="L64" s="62">
        <f>IF(and(A64&lt;questions!$C$19,questions!$C$18="yes"),questions!$C$20,0)</f>
        <v>700</v>
      </c>
      <c r="M64" s="63">
        <f>(Y63+H64)*Lookup!A$26/12</f>
        <v>192.3642494</v>
      </c>
      <c r="N64" s="63">
        <f>if(B64&lt;55, (Z63+I64)*Lookup!B$26/12, (AB63+K64)*Lookup!B$26/12)</f>
        <v>128.3632329</v>
      </c>
      <c r="O64" s="63">
        <f>(AA63+J64)*Lookup!C$26/12</f>
        <v>164.2420779</v>
      </c>
      <c r="P64" s="63">
        <f t="shared" si="8"/>
        <v>755.2040975</v>
      </c>
      <c r="Q64" s="63">
        <f t="shared" si="4"/>
        <v>503.8566114</v>
      </c>
      <c r="R64" s="63">
        <f t="shared" si="5"/>
        <v>644.1692716</v>
      </c>
      <c r="S64" s="64">
        <f t="shared" si="9"/>
        <v>16.66666667</v>
      </c>
      <c r="T64" s="64">
        <f t="shared" si="10"/>
        <v>31.69096155</v>
      </c>
      <c r="U64" s="64">
        <f t="shared" si="11"/>
        <v>1.642371785</v>
      </c>
      <c r="V64" s="64">
        <f t="shared" ref="V64:X64" si="72">IF(year($A64)=year($A63), V63+S64, S64)</f>
        <v>66.66666667</v>
      </c>
      <c r="W64" s="64">
        <f t="shared" si="72"/>
        <v>124.3647662</v>
      </c>
      <c r="X64" s="64">
        <f t="shared" si="72"/>
        <v>8.96856714</v>
      </c>
      <c r="Y64" s="65">
        <f>IFS(
  B64&lt;55,
    MAX(
      Y63 + IF(MONTH(A64)=12, P64+V64, 0) + H64 - L64
      + MAX(0,
          IF(AA63 &gt;= VLOOKUP(YEAR(A64), Lookup!$Q:$R, 2),
            Z63 + IF(MONTH(A64)=12, Q64+W64, 0) + I64
              + AA63 + IF(MONTH(A64)=12, R64+X64, 0)
              - VLOOKUP(YEAR(A64), Lookup!$Q:$R, 2) + J64,
            Z63 + IF(MONTH(A64)=12, Q64+W64, 0) + I64
          ) - VLOOKUP(YEAR(A64), Lookup!$K:$M, 3)
        ),
    0),
  B64=55,
    IF(Z63&gt;=AD64,
      MAX(Y63 + IF(MONTH(A64)=12, P64+V64, 0) + H64 - L64, 0),
      MAX(MAX(0, Y63-(AD64-Z63)) + IF(MONTH(A64)=12, P64+V64, 0) + H64 - L64, 0)
    ),
  B64&gt;55,
    IF(AB63&gt;=$AH$7,
      MAX(Y63 + IF(MONTH(A64)=12, P64+V64, 0) + H64 - L64 + K64 + Z63, 0),
      MAX(Y63 + IF(MONTH(A64)=12, P64+V64, 0) + H64 - L64, 0)
    )
)</f>
        <v>91634.8397</v>
      </c>
      <c r="Z64" s="65">
        <f>IFS(
  B64&lt;55,
    MIN(
      IF(AA63 &gt;= VLOOKUP(YEAR(A64), Lookup!$Q:$R, 2),
        Z63 + IF(MONTH(A64)=12, Q64+W64, 0) + I64
          + AA63 + IF(MONTH(A64)=12, R64+X64, 0) - VLOOKUP(YEAR(A64), Lookup!$Q:$R, 2) + J64,
        Z63 + IF(MONTH(A64)=12, Q64+W64, 0) + I64
      ),
      VLOOKUP(YEAR(A64), Lookup!$K:$M, 3)
    ),
  B64=55,
    IF(Z63 &gt;= AD64, Z63 - AD64, 0),
  B64&gt;55, 0
)</f>
        <v>38508.96986</v>
      </c>
      <c r="AA64" s="65">
        <f>IFS(
  B64&lt;65,
    IF(AA63+J64 &lt; VLOOKUP(YEAR(A64), Lookup!$Q:$R, 2),
      AA63 + IF(MONTH(A64)=12, R63+X63, 0) + J64,
      MIN(
        AA63 + IF(MONTH(A64)=12, R63+X63, 0) + J64 ,
        VLOOKUP(YEAR(A64), Lookup!$Q:$R, 2)
      )
    ),
  B64&gt;=65,
    IF(AA63+J64 &lt; VLOOKUP(questions!$C$5, Lookup!$Q:$R, 2),
      AA63 + IF(MONTH(A64)=12, R63+X63, 0) + J64 ,
      MIN(
        AA63 + IF(MONTH(A64)=12, R63+X63, 0) + J64,
        VLOOKUP(questions!$C$5, Lookup!$Q:$R, 2)
      )
    )
)</f>
        <v>49272.62337</v>
      </c>
      <c r="AB64" s="65">
        <f t="shared" si="13"/>
        <v>0</v>
      </c>
      <c r="AC64" s="66">
        <f t="array" ref="AC64">IFS(B64&lt;66, XLOOKUP(year(A64),Lookup!$K$13:$K1000,Lookup!$L$13:$L1000,"missing",,1),B64&gt;65,XLOOKUP(questions!$C$5,Lookup!$K$13:$K1000,Lookup!$L$13:$L1000,"missing",,1))</f>
        <v>130932.3744</v>
      </c>
      <c r="AD64" s="66">
        <f t="array" ref="AD64">IFS(B64&lt;66, XLOOKUP(year(A64),Lookup!$K$13:$K1000,Lookup!$M$13:$M1000,"missing",,1),B64&gt;65, XLOOKUP(questions!$C$5,Lookup!$K$13:$K1000,Lookup!$M$13:$M1000,"missing",,1))</f>
        <v>261864.7487</v>
      </c>
      <c r="AE64" s="66">
        <f t="array" ref="AE64">IFS(B64&lt;66, XLOOKUP(year(A64),Lookup!$K$13:$K1000,Lookup!$N$13:$N1000,"missing",,1),B64&gt;65,XLOOKUP(questions!$C$5,Lookup!$K$13:$K1000,Lookup!$N$13:$N1000,"missing",,1))</f>
        <v>523729.4975</v>
      </c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</row>
    <row r="65">
      <c r="A65" s="55">
        <f t="shared" si="7"/>
        <v>47999</v>
      </c>
      <c r="B65" s="56">
        <f>round(YEARFRAC(EOMONTH(questions!$C$3, 0),A65,1),2)</f>
        <v>32.5</v>
      </c>
      <c r="C65" s="57">
        <f>IF(B65&lt;questions!$C$6,if(MONTH(A65)=1,C64*(1+questions!$C$12),C64),0)</f>
        <v>11592.74074</v>
      </c>
      <c r="D65" s="58">
        <f>IF(MONTH(A65)=12,C65*questions!$C$11,0)</f>
        <v>0</v>
      </c>
      <c r="E65" s="59">
        <f t="shared" si="2"/>
        <v>8000</v>
      </c>
      <c r="F65" s="59">
        <f t="shared" si="3"/>
        <v>0</v>
      </c>
      <c r="G65" s="60">
        <f t="array" ref="G65">if(YEAR(A65)=2025,XLOOKUP(B65,Lookup!$A$3:$A$7,Lookup!$D$3:$D$7,,1)*SUM(E65:F65), XLOOKUP(B65,Lookup!$A$14:$A$18,Lookup!$D$14:$D$18,,1)*SUM(E65:F65))</f>
        <v>2960</v>
      </c>
      <c r="H65" s="60">
        <f t="array" ref="H65">if(YEAR(A65)=2025,XLOOKUP(B65,Lookup!$F$3:$F$10,Lookup!$G$3:$G$10,,1)*G65, XLOOKUP(B65,Lookup!$F$14:$F$21,Lookup!$G$14:$G$21,,1)*G65)</f>
        <v>1840.232</v>
      </c>
      <c r="I65" s="60">
        <f t="array" ref="I65">if(B65&lt;55, if(YEAR(A65)=2025,XLOOKUP(B65,Lookup!$F$3:$F$10,Lookup!$H$3:$H$10,,1)*G65, XLOOKUP(B65,Lookup!$F$14:$F$21,Lookup!$H$14:$H$21,,1)*G65),0)</f>
        <v>479.816</v>
      </c>
      <c r="J65" s="60">
        <f t="array" ref="J65">if(YEAR(A65)=2025,XLOOKUP(B65,Lookup!$F$3:$F$10,Lookup!$I$3:$I$10,,1)*G65, XLOOKUP(B65,Lookup!$F$14:$F$21,Lookup!$I$14:$I$21,,1)*G65)</f>
        <v>639.952</v>
      </c>
      <c r="K65" s="61">
        <f t="array" ref="K65">if(B65&gt;54, if(YEAR(A65)=2025,XLOOKUP(B65,Lookup!$F$3:$F$10,Lookup!$H$3:$H$10,,1)*G65, XLOOKUP(B65,Lookup!$F$14:$F$21,Lookup!$H$14:$H$21,,1)*G65),0)</f>
        <v>0</v>
      </c>
      <c r="L65" s="62">
        <f>IF(and(A65&lt;questions!$C$19,questions!$C$18="yes"),questions!$C$20,0)</f>
        <v>700</v>
      </c>
      <c r="M65" s="63">
        <f>(Y64+H65)*Lookup!A$26/12</f>
        <v>194.7397327</v>
      </c>
      <c r="N65" s="63">
        <f>if(B65&lt;55, (Z64+I65)*Lookup!B$26/12, (AB64+K65)*Lookup!B$26/12)</f>
        <v>129.9626195</v>
      </c>
      <c r="O65" s="63">
        <f>(AA64+J65)*Lookup!C$26/12</f>
        <v>166.3752512</v>
      </c>
      <c r="P65" s="63">
        <f t="shared" si="8"/>
        <v>949.9438302</v>
      </c>
      <c r="Q65" s="63">
        <f t="shared" si="4"/>
        <v>633.819231</v>
      </c>
      <c r="R65" s="63">
        <f t="shared" si="5"/>
        <v>810.5445228</v>
      </c>
      <c r="S65" s="64">
        <f t="shared" si="9"/>
        <v>16.66666667</v>
      </c>
      <c r="T65" s="64">
        <f t="shared" si="10"/>
        <v>32.09080822</v>
      </c>
      <c r="U65" s="64">
        <f t="shared" si="11"/>
        <v>1.242525118</v>
      </c>
      <c r="V65" s="64">
        <f t="shared" ref="V65:X65" si="73">IF(year($A65)=year($A64), V64+S65, S65)</f>
        <v>83.33333333</v>
      </c>
      <c r="W65" s="64">
        <f t="shared" si="73"/>
        <v>156.4555744</v>
      </c>
      <c r="X65" s="64">
        <f t="shared" si="73"/>
        <v>10.21109226</v>
      </c>
      <c r="Y65" s="65">
        <f>IFS(
  B65&lt;55,
    MAX(
      Y64 + IF(MONTH(A65)=12, P65+V65, 0) + H65 - L65
      + MAX(0,
          IF(AA64 &gt;= VLOOKUP(YEAR(A65), Lookup!$Q:$R, 2),
            Z64 + IF(MONTH(A65)=12, Q65+W65, 0) + I65
              + AA64 + IF(MONTH(A65)=12, R65+X65, 0)
              - VLOOKUP(YEAR(A65), Lookup!$Q:$R, 2) + J65,
            Z64 + IF(MONTH(A65)=12, Q65+W65, 0) + I65
          ) - VLOOKUP(YEAR(A65), Lookup!$K:$M, 3)
        ),
    0),
  B65=55,
    IF(Z64&gt;=AD65,
      MAX(Y64 + IF(MONTH(A65)=12, P65+V65, 0) + H65 - L65, 0),
      MAX(MAX(0, Y64-(AD65-Z64)) + IF(MONTH(A65)=12, P65+V65, 0) + H65 - L65, 0)
    ),
  B65&gt;55,
    IF(AB64&gt;=$AH$7,
      MAX(Y64 + IF(MONTH(A65)=12, P65+V65, 0) + H65 - L65 + K65 + Z64, 0),
      MAX(Y64 + IF(MONTH(A65)=12, P65+V65, 0) + H65 - L65, 0)
    )
)</f>
        <v>92775.0717</v>
      </c>
      <c r="Z65" s="65">
        <f>IFS(
  B65&lt;55,
    MIN(
      IF(AA64 &gt;= VLOOKUP(YEAR(A65), Lookup!$Q:$R, 2),
        Z64 + IF(MONTH(A65)=12, Q65+W65, 0) + I65
          + AA64 + IF(MONTH(A65)=12, R65+X65, 0) - VLOOKUP(YEAR(A65), Lookup!$Q:$R, 2) + J65,
        Z64 + IF(MONTH(A65)=12, Q65+W65, 0) + I65
      ),
      VLOOKUP(YEAR(A65), Lookup!$K:$M, 3)
    ),
  B65=55,
    IF(Z64 &gt;= AD65, Z64 - AD65, 0),
  B65&gt;55, 0
)</f>
        <v>38988.78586</v>
      </c>
      <c r="AA65" s="65">
        <f>IFS(
  B65&lt;65,
    IF(AA64+J65 &lt; VLOOKUP(YEAR(A65), Lookup!$Q:$R, 2),
      AA64 + IF(MONTH(A65)=12, R64+X64, 0) + J65,
      MIN(
        AA64 + IF(MONTH(A65)=12, R64+X64, 0) + J65 ,
        VLOOKUP(YEAR(A65), Lookup!$Q:$R, 2)
      )
    ),
  B65&gt;=65,
    IF(AA64+J65 &lt; VLOOKUP(questions!$C$5, Lookup!$Q:$R, 2),
      AA64 + IF(MONTH(A65)=12, R64+X64, 0) + J65 ,
      MIN(
        AA64 + IF(MONTH(A65)=12, R64+X64, 0) + J65,
        VLOOKUP(questions!$C$5, Lookup!$Q:$R, 2)
      )
    )
)</f>
        <v>49912.57537</v>
      </c>
      <c r="AB65" s="65">
        <f t="shared" si="13"/>
        <v>0</v>
      </c>
      <c r="AC65" s="66">
        <f t="array" ref="AC65">IFS(B65&lt;66, XLOOKUP(year(A65),Lookup!$K$13:$K1000,Lookup!$L$13:$L1000,"missing",,1),B65&gt;65,XLOOKUP(questions!$C$5,Lookup!$K$13:$K1000,Lookup!$L$13:$L1000,"missing",,1))</f>
        <v>130932.3744</v>
      </c>
      <c r="AD65" s="66">
        <f t="array" ref="AD65">IFS(B65&lt;66, XLOOKUP(year(A65),Lookup!$K$13:$K1000,Lookup!$M$13:$M1000,"missing",,1),B65&gt;65, XLOOKUP(questions!$C$5,Lookup!$K$13:$K1000,Lookup!$M$13:$M1000,"missing",,1))</f>
        <v>261864.7487</v>
      </c>
      <c r="AE65" s="66">
        <f t="array" ref="AE65">IFS(B65&lt;66, XLOOKUP(year(A65),Lookup!$K$13:$K1000,Lookup!$N$13:$N1000,"missing",,1),B65&gt;65,XLOOKUP(questions!$C$5,Lookup!$K$13:$K1000,Lookup!$N$13:$N1000,"missing",,1))</f>
        <v>523729.4975</v>
      </c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</row>
    <row r="66">
      <c r="A66" s="55">
        <f t="shared" si="7"/>
        <v>48029</v>
      </c>
      <c r="B66" s="56">
        <f>round(YEARFRAC(EOMONTH(questions!$C$3, 0),A66,1),2)</f>
        <v>32.58</v>
      </c>
      <c r="C66" s="57">
        <f>IF(B66&lt;questions!$C$6,if(MONTH(A66)=1,C65*(1+questions!$C$12),C65),0)</f>
        <v>11592.74074</v>
      </c>
      <c r="D66" s="58">
        <f>IF(MONTH(A66)=12,C66*questions!$C$11,0)</f>
        <v>0</v>
      </c>
      <c r="E66" s="59">
        <f t="shared" si="2"/>
        <v>8000</v>
      </c>
      <c r="F66" s="59">
        <f t="shared" si="3"/>
        <v>0</v>
      </c>
      <c r="G66" s="60">
        <f t="array" ref="G66">if(YEAR(A66)=2025,XLOOKUP(B66,Lookup!$A$3:$A$7,Lookup!$D$3:$D$7,,1)*SUM(E66:F66), XLOOKUP(B66,Lookup!$A$14:$A$18,Lookup!$D$14:$D$18,,1)*SUM(E66:F66))</f>
        <v>2960</v>
      </c>
      <c r="H66" s="60">
        <f t="array" ref="H66">if(YEAR(A66)=2025,XLOOKUP(B66,Lookup!$F$3:$F$10,Lookup!$G$3:$G$10,,1)*G66, XLOOKUP(B66,Lookup!$F$14:$F$21,Lookup!$G$14:$G$21,,1)*G66)</f>
        <v>1840.232</v>
      </c>
      <c r="I66" s="60">
        <f t="array" ref="I66">if(B66&lt;55, if(YEAR(A66)=2025,XLOOKUP(B66,Lookup!$F$3:$F$10,Lookup!$H$3:$H$10,,1)*G66, XLOOKUP(B66,Lookup!$F$14:$F$21,Lookup!$H$14:$H$21,,1)*G66),0)</f>
        <v>479.816</v>
      </c>
      <c r="J66" s="60">
        <f t="array" ref="J66">if(YEAR(A66)=2025,XLOOKUP(B66,Lookup!$F$3:$F$10,Lookup!$I$3:$I$10,,1)*G66, XLOOKUP(B66,Lookup!$F$14:$F$21,Lookup!$I$14:$I$21,,1)*G66)</f>
        <v>639.952</v>
      </c>
      <c r="K66" s="61">
        <f t="array" ref="K66">if(B66&gt;54, if(YEAR(A66)=2025,XLOOKUP(B66,Lookup!$F$3:$F$10,Lookup!$H$3:$H$10,,1)*G66, XLOOKUP(B66,Lookup!$F$14:$F$21,Lookup!$H$14:$H$21,,1)*G66),0)</f>
        <v>0</v>
      </c>
      <c r="L66" s="62">
        <f>IF(and(A66&lt;questions!$C$19,questions!$C$18="yes"),questions!$C$20,0)</f>
        <v>700</v>
      </c>
      <c r="M66" s="63">
        <f>(Y65+H66)*Lookup!A$26/12</f>
        <v>197.115216</v>
      </c>
      <c r="N66" s="63">
        <f>if(B66&lt;55, (Z65+I66)*Lookup!B$26/12, (AB65+K66)*Lookup!B$26/12)</f>
        <v>131.5620062</v>
      </c>
      <c r="O66" s="63">
        <f>(AA65+J66)*Lookup!C$26/12</f>
        <v>168.5084246</v>
      </c>
      <c r="P66" s="63">
        <f t="shared" si="8"/>
        <v>1147.059046</v>
      </c>
      <c r="Q66" s="63">
        <f t="shared" si="4"/>
        <v>765.3812372</v>
      </c>
      <c r="R66" s="63">
        <f t="shared" si="5"/>
        <v>979.0529474</v>
      </c>
      <c r="S66" s="64">
        <f t="shared" si="9"/>
        <v>16.66666667</v>
      </c>
      <c r="T66" s="64">
        <f t="shared" si="10"/>
        <v>32.49065488</v>
      </c>
      <c r="U66" s="64">
        <f t="shared" si="11"/>
        <v>0.8426784516</v>
      </c>
      <c r="V66" s="64">
        <f t="shared" ref="V66:X66" si="74">IF(year($A66)=year($A65), V65+S66, S66)</f>
        <v>100</v>
      </c>
      <c r="W66" s="64">
        <f t="shared" si="74"/>
        <v>188.9462293</v>
      </c>
      <c r="X66" s="64">
        <f t="shared" si="74"/>
        <v>11.05377071</v>
      </c>
      <c r="Y66" s="65">
        <f>IFS(
  B66&lt;55,
    MAX(
      Y65 + IF(MONTH(A66)=12, P66+V66, 0) + H66 - L66
      + MAX(0,
          IF(AA65 &gt;= VLOOKUP(YEAR(A66), Lookup!$Q:$R, 2),
            Z65 + IF(MONTH(A66)=12, Q66+W66, 0) + I66
              + AA65 + IF(MONTH(A66)=12, R66+X66, 0)
              - VLOOKUP(YEAR(A66), Lookup!$Q:$R, 2) + J66,
            Z65 + IF(MONTH(A66)=12, Q66+W66, 0) + I66
          ) - VLOOKUP(YEAR(A66), Lookup!$K:$M, 3)
        ),
    0),
  B66=55,
    IF(Z65&gt;=AD66,
      MAX(Y65 + IF(MONTH(A66)=12, P66+V66, 0) + H66 - L66, 0),
      MAX(MAX(0, Y65-(AD66-Z65)) + IF(MONTH(A66)=12, P66+V66, 0) + H66 - L66, 0)
    ),
  B66&gt;55,
    IF(AB65&gt;=$AH$7,
      MAX(Y65 + IF(MONTH(A66)=12, P66+V66, 0) + H66 - L66 + K66 + Z65, 0),
      MAX(Y65 + IF(MONTH(A66)=12, P66+V66, 0) + H66 - L66, 0)
    )
)</f>
        <v>93915.3037</v>
      </c>
      <c r="Z66" s="65">
        <f>IFS(
  B66&lt;55,
    MIN(
      IF(AA65 &gt;= VLOOKUP(YEAR(A66), Lookup!$Q:$R, 2),
        Z65 + IF(MONTH(A66)=12, Q66+W66, 0) + I66
          + AA65 + IF(MONTH(A66)=12, R66+X66, 0) - VLOOKUP(YEAR(A66), Lookup!$Q:$R, 2) + J66,
        Z65 + IF(MONTH(A66)=12, Q66+W66, 0) + I66
      ),
      VLOOKUP(YEAR(A66), Lookup!$K:$M, 3)
    ),
  B66=55,
    IF(Z65 &gt;= AD66, Z65 - AD66, 0),
  B66&gt;55, 0
)</f>
        <v>39468.60186</v>
      </c>
      <c r="AA66" s="65">
        <f>IFS(
  B66&lt;65,
    IF(AA65+J66 &lt; VLOOKUP(YEAR(A66), Lookup!$Q:$R, 2),
      AA65 + IF(MONTH(A66)=12, R65+X65, 0) + J66,
      MIN(
        AA65 + IF(MONTH(A66)=12, R65+X65, 0) + J66 ,
        VLOOKUP(YEAR(A66), Lookup!$Q:$R, 2)
      )
    ),
  B66&gt;=65,
    IF(AA65+J66 &lt; VLOOKUP(questions!$C$5, Lookup!$Q:$R, 2),
      AA65 + IF(MONTH(A66)=12, R65+X65, 0) + J66 ,
      MIN(
        AA65 + IF(MONTH(A66)=12, R65+X65, 0) + J66,
        VLOOKUP(questions!$C$5, Lookup!$Q:$R, 2)
      )
    )
)</f>
        <v>50552.52737</v>
      </c>
      <c r="AB66" s="65">
        <f t="shared" si="13"/>
        <v>0</v>
      </c>
      <c r="AC66" s="66">
        <f t="array" ref="AC66">IFS(B66&lt;66, XLOOKUP(year(A66),Lookup!$K$13:$K1000,Lookup!$L$13:$L1000,"missing",,1),B66&gt;65,XLOOKUP(questions!$C$5,Lookup!$K$13:$K1000,Lookup!$L$13:$L1000,"missing",,1))</f>
        <v>130932.3744</v>
      </c>
      <c r="AD66" s="66">
        <f t="array" ref="AD66">IFS(B66&lt;66, XLOOKUP(year(A66),Lookup!$K$13:$K1000,Lookup!$M$13:$M1000,"missing",,1),B66&gt;65, XLOOKUP(questions!$C$5,Lookup!$K$13:$K1000,Lookup!$M$13:$M1000,"missing",,1))</f>
        <v>261864.7487</v>
      </c>
      <c r="AE66" s="66">
        <f t="array" ref="AE66">IFS(B66&lt;66, XLOOKUP(year(A66),Lookup!$K$13:$K1000,Lookup!$N$13:$N1000,"missing",,1),B66&gt;65,XLOOKUP(questions!$C$5,Lookup!$K$13:$K1000,Lookup!$N$13:$N1000,"missing",,1))</f>
        <v>523729.4975</v>
      </c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</row>
    <row r="67">
      <c r="A67" s="55">
        <f t="shared" si="7"/>
        <v>48060</v>
      </c>
      <c r="B67" s="56">
        <f>round(YEARFRAC(EOMONTH(questions!$C$3, 0),A67,1),2)</f>
        <v>32.67</v>
      </c>
      <c r="C67" s="57">
        <f>IF(B67&lt;questions!$C$6,if(MONTH(A67)=1,C66*(1+questions!$C$12),C66),0)</f>
        <v>11592.74074</v>
      </c>
      <c r="D67" s="58">
        <f>IF(MONTH(A67)=12,C67*questions!$C$11,0)</f>
        <v>0</v>
      </c>
      <c r="E67" s="59">
        <f t="shared" si="2"/>
        <v>8000</v>
      </c>
      <c r="F67" s="59">
        <f t="shared" si="3"/>
        <v>0</v>
      </c>
      <c r="G67" s="60">
        <f t="array" ref="G67">if(YEAR(A67)=2025,XLOOKUP(B67,Lookup!$A$3:$A$7,Lookup!$D$3:$D$7,,1)*SUM(E67:F67), XLOOKUP(B67,Lookup!$A$14:$A$18,Lookup!$D$14:$D$18,,1)*SUM(E67:F67))</f>
        <v>2960</v>
      </c>
      <c r="H67" s="60">
        <f t="array" ref="H67">if(YEAR(A67)=2025,XLOOKUP(B67,Lookup!$F$3:$F$10,Lookup!$G$3:$G$10,,1)*G67, XLOOKUP(B67,Lookup!$F$14:$F$21,Lookup!$G$14:$G$21,,1)*G67)</f>
        <v>1840.232</v>
      </c>
      <c r="I67" s="60">
        <f t="array" ref="I67">if(B67&lt;55, if(YEAR(A67)=2025,XLOOKUP(B67,Lookup!$F$3:$F$10,Lookup!$H$3:$H$10,,1)*G67, XLOOKUP(B67,Lookup!$F$14:$F$21,Lookup!$H$14:$H$21,,1)*G67),0)</f>
        <v>479.816</v>
      </c>
      <c r="J67" s="60">
        <f t="array" ref="J67">if(YEAR(A67)=2025,XLOOKUP(B67,Lookup!$F$3:$F$10,Lookup!$I$3:$I$10,,1)*G67, XLOOKUP(B67,Lookup!$F$14:$F$21,Lookup!$I$14:$I$21,,1)*G67)</f>
        <v>639.952</v>
      </c>
      <c r="K67" s="61">
        <f t="array" ref="K67">if(B67&gt;54, if(YEAR(A67)=2025,XLOOKUP(B67,Lookup!$F$3:$F$10,Lookup!$H$3:$H$10,,1)*G67, XLOOKUP(B67,Lookup!$F$14:$F$21,Lookup!$H$14:$H$21,,1)*G67),0)</f>
        <v>0</v>
      </c>
      <c r="L67" s="62">
        <f>IF(and(A67&lt;questions!$C$19,questions!$C$18="yes"),questions!$C$20,0)</f>
        <v>700</v>
      </c>
      <c r="M67" s="63">
        <f>(Y66+H67)*Lookup!A$26/12</f>
        <v>199.4906994</v>
      </c>
      <c r="N67" s="63">
        <f>if(B67&lt;55, (Z66+I67)*Lookup!B$26/12, (AB66+K67)*Lookup!B$26/12)</f>
        <v>133.1613929</v>
      </c>
      <c r="O67" s="63">
        <f>(AA66+J67)*Lookup!C$26/12</f>
        <v>170.6415979</v>
      </c>
      <c r="P67" s="63">
        <f t="shared" si="8"/>
        <v>1346.549746</v>
      </c>
      <c r="Q67" s="63">
        <f t="shared" si="4"/>
        <v>898.54263</v>
      </c>
      <c r="R67" s="63">
        <f t="shared" si="5"/>
        <v>1149.694545</v>
      </c>
      <c r="S67" s="64">
        <f t="shared" si="9"/>
        <v>16.66666667</v>
      </c>
      <c r="T67" s="64">
        <f t="shared" si="10"/>
        <v>32.89050155</v>
      </c>
      <c r="U67" s="64">
        <f t="shared" si="11"/>
        <v>0.442831785</v>
      </c>
      <c r="V67" s="64">
        <f t="shared" ref="V67:X67" si="75">IF(year($A67)=year($A66), V66+S67, S67)</f>
        <v>116.6666667</v>
      </c>
      <c r="W67" s="64">
        <f t="shared" si="75"/>
        <v>221.8367308</v>
      </c>
      <c r="X67" s="64">
        <f t="shared" si="75"/>
        <v>11.49660249</v>
      </c>
      <c r="Y67" s="65">
        <f>IFS(
  B67&lt;55,
    MAX(
      Y66 + IF(MONTH(A67)=12, P67+V67, 0) + H67 - L67
      + MAX(0,
          IF(AA66 &gt;= VLOOKUP(YEAR(A67), Lookup!$Q:$R, 2),
            Z66 + IF(MONTH(A67)=12, Q67+W67, 0) + I67
              + AA66 + IF(MONTH(A67)=12, R67+X67, 0)
              - VLOOKUP(YEAR(A67), Lookup!$Q:$R, 2) + J67,
            Z66 + IF(MONTH(A67)=12, Q67+W67, 0) + I67
          ) - VLOOKUP(YEAR(A67), Lookup!$K:$M, 3)
        ),
    0),
  B67=55,
    IF(Z66&gt;=AD67,
      MAX(Y66 + IF(MONTH(A67)=12, P67+V67, 0) + H67 - L67, 0),
      MAX(MAX(0, Y66-(AD67-Z66)) + IF(MONTH(A67)=12, P67+V67, 0) + H67 - L67, 0)
    ),
  B67&gt;55,
    IF(AB66&gt;=$AH$7,
      MAX(Y66 + IF(MONTH(A67)=12, P67+V67, 0) + H67 - L67 + K67 + Z66, 0),
      MAX(Y66 + IF(MONTH(A67)=12, P67+V67, 0) + H67 - L67, 0)
    )
)</f>
        <v>95055.5357</v>
      </c>
      <c r="Z67" s="65">
        <f>IFS(
  B67&lt;55,
    MIN(
      IF(AA66 &gt;= VLOOKUP(YEAR(A67), Lookup!$Q:$R, 2),
        Z66 + IF(MONTH(A67)=12, Q67+W67, 0) + I67
          + AA66 + IF(MONTH(A67)=12, R67+X67, 0) - VLOOKUP(YEAR(A67), Lookup!$Q:$R, 2) + J67,
        Z66 + IF(MONTH(A67)=12, Q67+W67, 0) + I67
      ),
      VLOOKUP(YEAR(A67), Lookup!$K:$M, 3)
    ),
  B67=55,
    IF(Z66 &gt;= AD67, Z66 - AD67, 0),
  B67&gt;55, 0
)</f>
        <v>39948.41786</v>
      </c>
      <c r="AA67" s="65">
        <f>IFS(
  B67&lt;65,
    IF(AA66+J67 &lt; VLOOKUP(YEAR(A67), Lookup!$Q:$R, 2),
      AA66 + IF(MONTH(A67)=12, R66+X66, 0) + J67,
      MIN(
        AA66 + IF(MONTH(A67)=12, R66+X66, 0) + J67 ,
        VLOOKUP(YEAR(A67), Lookup!$Q:$R, 2)
      )
    ),
  B67&gt;=65,
    IF(AA66+J67 &lt; VLOOKUP(questions!$C$5, Lookup!$Q:$R, 2),
      AA66 + IF(MONTH(A67)=12, R66+X66, 0) + J67 ,
      MIN(
        AA66 + IF(MONTH(A67)=12, R66+X66, 0) + J67,
        VLOOKUP(questions!$C$5, Lookup!$Q:$R, 2)
      )
    )
)</f>
        <v>51192.47937</v>
      </c>
      <c r="AB67" s="65">
        <f t="shared" si="13"/>
        <v>0</v>
      </c>
      <c r="AC67" s="66">
        <f t="array" ref="AC67">IFS(B67&lt;66, XLOOKUP(year(A67),Lookup!$K$13:$K1000,Lookup!$L$13:$L1000,"missing",,1),B67&gt;65,XLOOKUP(questions!$C$5,Lookup!$K$13:$K1000,Lookup!$L$13:$L1000,"missing",,1))</f>
        <v>130932.3744</v>
      </c>
      <c r="AD67" s="66">
        <f t="array" ref="AD67">IFS(B67&lt;66, XLOOKUP(year(A67),Lookup!$K$13:$K1000,Lookup!$M$13:$M1000,"missing",,1),B67&gt;65, XLOOKUP(questions!$C$5,Lookup!$K$13:$K1000,Lookup!$M$13:$M1000,"missing",,1))</f>
        <v>261864.7487</v>
      </c>
      <c r="AE67" s="66">
        <f t="array" ref="AE67">IFS(B67&lt;66, XLOOKUP(year(A67),Lookup!$K$13:$K1000,Lookup!$N$13:$N1000,"missing",,1),B67&gt;65,XLOOKUP(questions!$C$5,Lookup!$K$13:$K1000,Lookup!$N$13:$N1000,"missing",,1))</f>
        <v>523729.4975</v>
      </c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</row>
    <row r="68">
      <c r="A68" s="55">
        <f t="shared" si="7"/>
        <v>48091</v>
      </c>
      <c r="B68" s="56">
        <f>round(YEARFRAC(EOMONTH(questions!$C$3, 0),A68,1),2)</f>
        <v>32.75</v>
      </c>
      <c r="C68" s="57">
        <f>IF(B68&lt;questions!$C$6,if(MONTH(A68)=1,C67*(1+questions!$C$12),C67),0)</f>
        <v>11592.74074</v>
      </c>
      <c r="D68" s="58">
        <f>IF(MONTH(A68)=12,C68*questions!$C$11,0)</f>
        <v>0</v>
      </c>
      <c r="E68" s="59">
        <f t="shared" si="2"/>
        <v>8000</v>
      </c>
      <c r="F68" s="59">
        <f t="shared" si="3"/>
        <v>0</v>
      </c>
      <c r="G68" s="60">
        <f t="array" ref="G68">if(YEAR(A68)=2025,XLOOKUP(B68,Lookup!$A$3:$A$7,Lookup!$D$3:$D$7,,1)*SUM(E68:F68), XLOOKUP(B68,Lookup!$A$14:$A$18,Lookup!$D$14:$D$18,,1)*SUM(E68:F68))</f>
        <v>2960</v>
      </c>
      <c r="H68" s="60">
        <f t="array" ref="H68">if(YEAR(A68)=2025,XLOOKUP(B68,Lookup!$F$3:$F$10,Lookup!$G$3:$G$10,,1)*G68, XLOOKUP(B68,Lookup!$F$14:$F$21,Lookup!$G$14:$G$21,,1)*G68)</f>
        <v>1840.232</v>
      </c>
      <c r="I68" s="60">
        <f t="array" ref="I68">if(B68&lt;55, if(YEAR(A68)=2025,XLOOKUP(B68,Lookup!$F$3:$F$10,Lookup!$H$3:$H$10,,1)*G68, XLOOKUP(B68,Lookup!$F$14:$F$21,Lookup!$H$14:$H$21,,1)*G68),0)</f>
        <v>479.816</v>
      </c>
      <c r="J68" s="60">
        <f t="array" ref="J68">if(YEAR(A68)=2025,XLOOKUP(B68,Lookup!$F$3:$F$10,Lookup!$I$3:$I$10,,1)*G68, XLOOKUP(B68,Lookup!$F$14:$F$21,Lookup!$I$14:$I$21,,1)*G68)</f>
        <v>639.952</v>
      </c>
      <c r="K68" s="61">
        <f t="array" ref="K68">if(B68&gt;54, if(YEAR(A68)=2025,XLOOKUP(B68,Lookup!$F$3:$F$10,Lookup!$H$3:$H$10,,1)*G68, XLOOKUP(B68,Lookup!$F$14:$F$21,Lookup!$H$14:$H$21,,1)*G68),0)</f>
        <v>0</v>
      </c>
      <c r="L68" s="62">
        <f>IF(and(A68&lt;questions!$C$19,questions!$C$18="yes"),questions!$C$20,0)</f>
        <v>700</v>
      </c>
      <c r="M68" s="63">
        <f>(Y67+H68)*Lookup!A$26/12</f>
        <v>201.8661827</v>
      </c>
      <c r="N68" s="63">
        <f>if(B68&lt;55, (Z67+I68)*Lookup!B$26/12, (AB67+K68)*Lookup!B$26/12)</f>
        <v>134.7607795</v>
      </c>
      <c r="O68" s="63">
        <f>(AA67+J68)*Lookup!C$26/12</f>
        <v>172.7747712</v>
      </c>
      <c r="P68" s="63">
        <f t="shared" si="8"/>
        <v>1548.415928</v>
      </c>
      <c r="Q68" s="63">
        <f t="shared" si="4"/>
        <v>1033.30341</v>
      </c>
      <c r="R68" s="63">
        <f t="shared" si="5"/>
        <v>1322.469316</v>
      </c>
      <c r="S68" s="64">
        <f t="shared" si="9"/>
        <v>16.66666667</v>
      </c>
      <c r="T68" s="64">
        <f t="shared" si="10"/>
        <v>33.29034822</v>
      </c>
      <c r="U68" s="64">
        <f t="shared" si="11"/>
        <v>0.04298511829</v>
      </c>
      <c r="V68" s="64">
        <f t="shared" ref="V68:X68" si="76">IF(year($A68)=year($A67), V67+S68, S68)</f>
        <v>133.3333333</v>
      </c>
      <c r="W68" s="64">
        <f t="shared" si="76"/>
        <v>255.1270791</v>
      </c>
      <c r="X68" s="64">
        <f t="shared" si="76"/>
        <v>11.53958761</v>
      </c>
      <c r="Y68" s="65">
        <f>IFS(
  B68&lt;55,
    MAX(
      Y67 + IF(MONTH(A68)=12, P68+V68, 0) + H68 - L68
      + MAX(0,
          IF(AA67 &gt;= VLOOKUP(YEAR(A68), Lookup!$Q:$R, 2),
            Z67 + IF(MONTH(A68)=12, Q68+W68, 0) + I68
              + AA67 + IF(MONTH(A68)=12, R68+X68, 0)
              - VLOOKUP(YEAR(A68), Lookup!$Q:$R, 2) + J68,
            Z67 + IF(MONTH(A68)=12, Q68+W68, 0) + I68
          ) - VLOOKUP(YEAR(A68), Lookup!$K:$M, 3)
        ),
    0),
  B68=55,
    IF(Z67&gt;=AD68,
      MAX(Y67 + IF(MONTH(A68)=12, P68+V68, 0) + H68 - L68, 0),
      MAX(MAX(0, Y67-(AD68-Z67)) + IF(MONTH(A68)=12, P68+V68, 0) + H68 - L68, 0)
    ),
  B68&gt;55,
    IF(AB67&gt;=$AH$7,
      MAX(Y67 + IF(MONTH(A68)=12, P68+V68, 0) + H68 - L68 + K68 + Z67, 0),
      MAX(Y67 + IF(MONTH(A68)=12, P68+V68, 0) + H68 - L68, 0)
    )
)</f>
        <v>96195.7677</v>
      </c>
      <c r="Z68" s="65">
        <f>IFS(
  B68&lt;55,
    MIN(
      IF(AA67 &gt;= VLOOKUP(YEAR(A68), Lookup!$Q:$R, 2),
        Z67 + IF(MONTH(A68)=12, Q68+W68, 0) + I68
          + AA67 + IF(MONTH(A68)=12, R68+X68, 0) - VLOOKUP(YEAR(A68), Lookup!$Q:$R, 2) + J68,
        Z67 + IF(MONTH(A68)=12, Q68+W68, 0) + I68
      ),
      VLOOKUP(YEAR(A68), Lookup!$K:$M, 3)
    ),
  B68=55,
    IF(Z67 &gt;= AD68, Z67 - AD68, 0),
  B68&gt;55, 0
)</f>
        <v>40428.23386</v>
      </c>
      <c r="AA68" s="65">
        <f>IFS(
  B68&lt;65,
    IF(AA67+J68 &lt; VLOOKUP(YEAR(A68), Lookup!$Q:$R, 2),
      AA67 + IF(MONTH(A68)=12, R67+X67, 0) + J68,
      MIN(
        AA67 + IF(MONTH(A68)=12, R67+X67, 0) + J68 ,
        VLOOKUP(YEAR(A68), Lookup!$Q:$R, 2)
      )
    ),
  B68&gt;=65,
    IF(AA67+J68 &lt; VLOOKUP(questions!$C$5, Lookup!$Q:$R, 2),
      AA67 + IF(MONTH(A68)=12, R67+X67, 0) + J68 ,
      MIN(
        AA67 + IF(MONTH(A68)=12, R67+X67, 0) + J68,
        VLOOKUP(questions!$C$5, Lookup!$Q:$R, 2)
      )
    )
)</f>
        <v>51832.43137</v>
      </c>
      <c r="AB68" s="65">
        <f t="shared" si="13"/>
        <v>0</v>
      </c>
      <c r="AC68" s="66">
        <f t="array" ref="AC68">IFS(B68&lt;66, XLOOKUP(year(A68),Lookup!$K$13:$K1000,Lookup!$L$13:$L1000,"missing",,1),B68&gt;65,XLOOKUP(questions!$C$5,Lookup!$K$13:$K1000,Lookup!$L$13:$L1000,"missing",,1))</f>
        <v>130932.3744</v>
      </c>
      <c r="AD68" s="66">
        <f t="array" ref="AD68">IFS(B68&lt;66, XLOOKUP(year(A68),Lookup!$K$13:$K1000,Lookup!$M$13:$M1000,"missing",,1),B68&gt;65, XLOOKUP(questions!$C$5,Lookup!$K$13:$K1000,Lookup!$M$13:$M1000,"missing",,1))</f>
        <v>261864.7487</v>
      </c>
      <c r="AE68" s="66">
        <f t="array" ref="AE68">IFS(B68&lt;66, XLOOKUP(year(A68),Lookup!$K$13:$K1000,Lookup!$N$13:$N1000,"missing",,1),B68&gt;65,XLOOKUP(questions!$C$5,Lookup!$K$13:$K1000,Lookup!$N$13:$N1000,"missing",,1))</f>
        <v>523729.4975</v>
      </c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</row>
    <row r="69">
      <c r="A69" s="55">
        <f t="shared" si="7"/>
        <v>48121</v>
      </c>
      <c r="B69" s="56">
        <f>round(YEARFRAC(EOMONTH(questions!$C$3, 0),A69,1),2)</f>
        <v>32.83</v>
      </c>
      <c r="C69" s="57">
        <f>IF(B69&lt;questions!$C$6,if(MONTH(A69)=1,C68*(1+questions!$C$12),C68),0)</f>
        <v>11592.74074</v>
      </c>
      <c r="D69" s="58">
        <f>IF(MONTH(A69)=12,C69*questions!$C$11,0)</f>
        <v>0</v>
      </c>
      <c r="E69" s="59">
        <f t="shared" si="2"/>
        <v>8000</v>
      </c>
      <c r="F69" s="59">
        <f t="shared" si="3"/>
        <v>0</v>
      </c>
      <c r="G69" s="60">
        <f t="array" ref="G69">if(YEAR(A69)=2025,XLOOKUP(B69,Lookup!$A$3:$A$7,Lookup!$D$3:$D$7,,1)*SUM(E69:F69), XLOOKUP(B69,Lookup!$A$14:$A$18,Lookup!$D$14:$D$18,,1)*SUM(E69:F69))</f>
        <v>2960</v>
      </c>
      <c r="H69" s="60">
        <f t="array" ref="H69">if(YEAR(A69)=2025,XLOOKUP(B69,Lookup!$F$3:$F$10,Lookup!$G$3:$G$10,,1)*G69, XLOOKUP(B69,Lookup!$F$14:$F$21,Lookup!$G$14:$G$21,,1)*G69)</f>
        <v>1840.232</v>
      </c>
      <c r="I69" s="60">
        <f t="array" ref="I69">if(B69&lt;55, if(YEAR(A69)=2025,XLOOKUP(B69,Lookup!$F$3:$F$10,Lookup!$H$3:$H$10,,1)*G69, XLOOKUP(B69,Lookup!$F$14:$F$21,Lookup!$H$14:$H$21,,1)*G69),0)</f>
        <v>479.816</v>
      </c>
      <c r="J69" s="60">
        <f t="array" ref="J69">if(YEAR(A69)=2025,XLOOKUP(B69,Lookup!$F$3:$F$10,Lookup!$I$3:$I$10,,1)*G69, XLOOKUP(B69,Lookup!$F$14:$F$21,Lookup!$I$14:$I$21,,1)*G69)</f>
        <v>639.952</v>
      </c>
      <c r="K69" s="61">
        <f t="array" ref="K69">if(B69&gt;54, if(YEAR(A69)=2025,XLOOKUP(B69,Lookup!$F$3:$F$10,Lookup!$H$3:$H$10,,1)*G69, XLOOKUP(B69,Lookup!$F$14:$F$21,Lookup!$H$14:$H$21,,1)*G69),0)</f>
        <v>0</v>
      </c>
      <c r="L69" s="62">
        <f>IF(and(A69&lt;questions!$C$19,questions!$C$18="yes"),questions!$C$20,0)</f>
        <v>700</v>
      </c>
      <c r="M69" s="63">
        <f>(Y68+H69)*Lookup!A$26/12</f>
        <v>204.241666</v>
      </c>
      <c r="N69" s="63">
        <f>if(B69&lt;55, (Z68+I69)*Lookup!B$26/12, (AB68+K69)*Lookup!B$26/12)</f>
        <v>136.3601662</v>
      </c>
      <c r="O69" s="63">
        <f>(AA68+J69)*Lookup!C$26/12</f>
        <v>174.9079446</v>
      </c>
      <c r="P69" s="63">
        <f t="shared" si="8"/>
        <v>1752.657594</v>
      </c>
      <c r="Q69" s="63">
        <f t="shared" si="4"/>
        <v>1169.663576</v>
      </c>
      <c r="R69" s="63">
        <f t="shared" si="5"/>
        <v>1497.377261</v>
      </c>
      <c r="S69" s="64">
        <f t="shared" si="9"/>
        <v>16.66666667</v>
      </c>
      <c r="T69" s="64">
        <f t="shared" si="10"/>
        <v>33.33333333</v>
      </c>
      <c r="U69" s="64">
        <f t="shared" si="11"/>
        <v>0</v>
      </c>
      <c r="V69" s="64">
        <f t="shared" ref="V69:X69" si="77">IF(year($A69)=year($A68), V68+S69, S69)</f>
        <v>150</v>
      </c>
      <c r="W69" s="64">
        <f t="shared" si="77"/>
        <v>288.4604124</v>
      </c>
      <c r="X69" s="64">
        <f t="shared" si="77"/>
        <v>11.53958761</v>
      </c>
      <c r="Y69" s="65">
        <f>IFS(
  B69&lt;55,
    MAX(
      Y68 + IF(MONTH(A69)=12, P69+V69, 0) + H69 - L69
      + MAX(0,
          IF(AA68 &gt;= VLOOKUP(YEAR(A69), Lookup!$Q:$R, 2),
            Z68 + IF(MONTH(A69)=12, Q69+W69, 0) + I69
              + AA68 + IF(MONTH(A69)=12, R69+X69, 0)
              - VLOOKUP(YEAR(A69), Lookup!$Q:$R, 2) + J69,
            Z68 + IF(MONTH(A69)=12, Q69+W69, 0) + I69
          ) - VLOOKUP(YEAR(A69), Lookup!$K:$M, 3)
        ),
    0),
  B69=55,
    IF(Z68&gt;=AD69,
      MAX(Y68 + IF(MONTH(A69)=12, P69+V69, 0) + H69 - L69, 0),
      MAX(MAX(0, Y68-(AD69-Z68)) + IF(MONTH(A69)=12, P69+V69, 0) + H69 - L69, 0)
    ),
  B69&gt;55,
    IF(AB68&gt;=$AH$7,
      MAX(Y68 + IF(MONTH(A69)=12, P69+V69, 0) + H69 - L69 + K69 + Z68, 0),
      MAX(Y68 + IF(MONTH(A69)=12, P69+V69, 0) + H69 - L69, 0)
    )
)</f>
        <v>97335.9997</v>
      </c>
      <c r="Z69" s="65">
        <f>IFS(
  B69&lt;55,
    MIN(
      IF(AA68 &gt;= VLOOKUP(YEAR(A69), Lookup!$Q:$R, 2),
        Z68 + IF(MONTH(A69)=12, Q69+W69, 0) + I69
          + AA68 + IF(MONTH(A69)=12, R69+X69, 0) - VLOOKUP(YEAR(A69), Lookup!$Q:$R, 2) + J69,
        Z68 + IF(MONTH(A69)=12, Q69+W69, 0) + I69
      ),
      VLOOKUP(YEAR(A69), Lookup!$K:$M, 3)
    ),
  B69=55,
    IF(Z68 &gt;= AD69, Z68 - AD69, 0),
  B69&gt;55, 0
)</f>
        <v>40908.04986</v>
      </c>
      <c r="AA69" s="65">
        <f>IFS(
  B69&lt;65,
    IF(AA68+J69 &lt; VLOOKUP(YEAR(A69), Lookup!$Q:$R, 2),
      AA68 + IF(MONTH(A69)=12, R68+X68, 0) + J69,
      MIN(
        AA68 + IF(MONTH(A69)=12, R68+X68, 0) + J69 ,
        VLOOKUP(YEAR(A69), Lookup!$Q:$R, 2)
      )
    ),
  B69&gt;=65,
    IF(AA68+J69 &lt; VLOOKUP(questions!$C$5, Lookup!$Q:$R, 2),
      AA68 + IF(MONTH(A69)=12, R68+X68, 0) + J69 ,
      MIN(
        AA68 + IF(MONTH(A69)=12, R68+X68, 0) + J69,
        VLOOKUP(questions!$C$5, Lookup!$Q:$R, 2)
      )
    )
)</f>
        <v>52472.38337</v>
      </c>
      <c r="AB69" s="65">
        <f t="shared" si="13"/>
        <v>0</v>
      </c>
      <c r="AC69" s="66">
        <f t="array" ref="AC69">IFS(B69&lt;66, XLOOKUP(year(A69),Lookup!$K$13:$K1000,Lookup!$L$13:$L1000,"missing",,1),B69&gt;65,XLOOKUP(questions!$C$5,Lookup!$K$13:$K1000,Lookup!$L$13:$L1000,"missing",,1))</f>
        <v>130932.3744</v>
      </c>
      <c r="AD69" s="66">
        <f t="array" ref="AD69">IFS(B69&lt;66, XLOOKUP(year(A69),Lookup!$K$13:$K1000,Lookup!$M$13:$M1000,"missing",,1),B69&gt;65, XLOOKUP(questions!$C$5,Lookup!$K$13:$K1000,Lookup!$M$13:$M1000,"missing",,1))</f>
        <v>261864.7487</v>
      </c>
      <c r="AE69" s="66">
        <f t="array" ref="AE69">IFS(B69&lt;66, XLOOKUP(year(A69),Lookup!$K$13:$K1000,Lookup!$N$13:$N1000,"missing",,1),B69&gt;65,XLOOKUP(questions!$C$5,Lookup!$K$13:$K1000,Lookup!$N$13:$N1000,"missing",,1))</f>
        <v>523729.4975</v>
      </c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</row>
    <row r="70">
      <c r="A70" s="55">
        <f t="shared" si="7"/>
        <v>48152</v>
      </c>
      <c r="B70" s="56">
        <f>round(YEARFRAC(EOMONTH(questions!$C$3, 0),A70,1),2)</f>
        <v>32.92</v>
      </c>
      <c r="C70" s="57">
        <f>IF(B70&lt;questions!$C$6,if(MONTH(A70)=1,C69*(1+questions!$C$12),C69),0)</f>
        <v>11592.74074</v>
      </c>
      <c r="D70" s="58">
        <f>IF(MONTH(A70)=12,C70*questions!$C$11,0)</f>
        <v>0</v>
      </c>
      <c r="E70" s="59">
        <f t="shared" si="2"/>
        <v>8000</v>
      </c>
      <c r="F70" s="59">
        <f t="shared" si="3"/>
        <v>0</v>
      </c>
      <c r="G70" s="60">
        <f t="array" ref="G70">if(YEAR(A70)=2025,XLOOKUP(B70,Lookup!$A$3:$A$7,Lookup!$D$3:$D$7,,1)*SUM(E70:F70), XLOOKUP(B70,Lookup!$A$14:$A$18,Lookup!$D$14:$D$18,,1)*SUM(E70:F70))</f>
        <v>2960</v>
      </c>
      <c r="H70" s="60">
        <f t="array" ref="H70">if(YEAR(A70)=2025,XLOOKUP(B70,Lookup!$F$3:$F$10,Lookup!$G$3:$G$10,,1)*G70, XLOOKUP(B70,Lookup!$F$14:$F$21,Lookup!$G$14:$G$21,,1)*G70)</f>
        <v>1840.232</v>
      </c>
      <c r="I70" s="60">
        <f t="array" ref="I70">if(B70&lt;55, if(YEAR(A70)=2025,XLOOKUP(B70,Lookup!$F$3:$F$10,Lookup!$H$3:$H$10,,1)*G70, XLOOKUP(B70,Lookup!$F$14:$F$21,Lookup!$H$14:$H$21,,1)*G70),0)</f>
        <v>479.816</v>
      </c>
      <c r="J70" s="60">
        <f t="array" ref="J70">if(YEAR(A70)=2025,XLOOKUP(B70,Lookup!$F$3:$F$10,Lookup!$I$3:$I$10,,1)*G70, XLOOKUP(B70,Lookup!$F$14:$F$21,Lookup!$I$14:$I$21,,1)*G70)</f>
        <v>639.952</v>
      </c>
      <c r="K70" s="61">
        <f t="array" ref="K70">if(B70&gt;54, if(YEAR(A70)=2025,XLOOKUP(B70,Lookup!$F$3:$F$10,Lookup!$H$3:$H$10,,1)*G70, XLOOKUP(B70,Lookup!$F$14:$F$21,Lookup!$H$14:$H$21,,1)*G70),0)</f>
        <v>0</v>
      </c>
      <c r="L70" s="62">
        <f>IF(and(A70&lt;questions!$C$19,questions!$C$18="yes"),questions!$C$20,0)</f>
        <v>700</v>
      </c>
      <c r="M70" s="63">
        <f>(Y69+H70)*Lookup!A$26/12</f>
        <v>206.6171494</v>
      </c>
      <c r="N70" s="63">
        <f>if(B70&lt;55, (Z69+I70)*Lookup!B$26/12, (AB69+K70)*Lookup!B$26/12)</f>
        <v>137.9595529</v>
      </c>
      <c r="O70" s="63">
        <f>(AA69+J70)*Lookup!C$26/12</f>
        <v>177.0411179</v>
      </c>
      <c r="P70" s="63">
        <f t="shared" si="8"/>
        <v>1959.274744</v>
      </c>
      <c r="Q70" s="63">
        <f t="shared" si="4"/>
        <v>1307.623129</v>
      </c>
      <c r="R70" s="63">
        <f t="shared" si="5"/>
        <v>1674.418379</v>
      </c>
      <c r="S70" s="64">
        <f t="shared" si="9"/>
        <v>16.66666667</v>
      </c>
      <c r="T70" s="64">
        <f t="shared" si="10"/>
        <v>33.33333333</v>
      </c>
      <c r="U70" s="64">
        <f t="shared" si="11"/>
        <v>0</v>
      </c>
      <c r="V70" s="64">
        <f t="shared" ref="V70:X70" si="78">IF(year($A70)=year($A69), V69+S70, S70)</f>
        <v>166.6666667</v>
      </c>
      <c r="W70" s="64">
        <f t="shared" si="78"/>
        <v>321.7937457</v>
      </c>
      <c r="X70" s="64">
        <f t="shared" si="78"/>
        <v>11.53958761</v>
      </c>
      <c r="Y70" s="65">
        <f>IFS(
  B70&lt;55,
    MAX(
      Y69 + IF(MONTH(A70)=12, P70+V70, 0) + H70 - L70
      + MAX(0,
          IF(AA69 &gt;= VLOOKUP(YEAR(A70), Lookup!$Q:$R, 2),
            Z69 + IF(MONTH(A70)=12, Q70+W70, 0) + I70
              + AA69 + IF(MONTH(A70)=12, R70+X70, 0)
              - VLOOKUP(YEAR(A70), Lookup!$Q:$R, 2) + J70,
            Z69 + IF(MONTH(A70)=12, Q70+W70, 0) + I70
          ) - VLOOKUP(YEAR(A70), Lookup!$K:$M, 3)
        ),
    0),
  B70=55,
    IF(Z69&gt;=AD70,
      MAX(Y69 + IF(MONTH(A70)=12, P70+V70, 0) + H70 - L70, 0),
      MAX(MAX(0, Y69-(AD70-Z69)) + IF(MONTH(A70)=12, P70+V70, 0) + H70 - L70, 0)
    ),
  B70&gt;55,
    IF(AB69&gt;=$AH$7,
      MAX(Y69 + IF(MONTH(A70)=12, P70+V70, 0) + H70 - L70 + K70 + Z69, 0),
      MAX(Y69 + IF(MONTH(A70)=12, P70+V70, 0) + H70 - L70, 0)
    )
)</f>
        <v>98476.2317</v>
      </c>
      <c r="Z70" s="65">
        <f>IFS(
  B70&lt;55,
    MIN(
      IF(AA69 &gt;= VLOOKUP(YEAR(A70), Lookup!$Q:$R, 2),
        Z69 + IF(MONTH(A70)=12, Q70+W70, 0) + I70
          + AA69 + IF(MONTH(A70)=12, R70+X70, 0) - VLOOKUP(YEAR(A70), Lookup!$Q:$R, 2) + J70,
        Z69 + IF(MONTH(A70)=12, Q70+W70, 0) + I70
      ),
      VLOOKUP(YEAR(A70), Lookup!$K:$M, 3)
    ),
  B70=55,
    IF(Z69 &gt;= AD70, Z69 - AD70, 0),
  B70&gt;55, 0
)</f>
        <v>41387.86586</v>
      </c>
      <c r="AA70" s="65">
        <f>IFS(
  B70&lt;65,
    IF(AA69+J70 &lt; VLOOKUP(YEAR(A70), Lookup!$Q:$R, 2),
      AA69 + IF(MONTH(A70)=12, R69+X69, 0) + J70,
      MIN(
        AA69 + IF(MONTH(A70)=12, R69+X69, 0) + J70 ,
        VLOOKUP(YEAR(A70), Lookup!$Q:$R, 2)
      )
    ),
  B70&gt;=65,
    IF(AA69+J70 &lt; VLOOKUP(questions!$C$5, Lookup!$Q:$R, 2),
      AA69 + IF(MONTH(A70)=12, R69+X69, 0) + J70 ,
      MIN(
        AA69 + IF(MONTH(A70)=12, R69+X69, 0) + J70,
        VLOOKUP(questions!$C$5, Lookup!$Q:$R, 2)
      )
    )
)</f>
        <v>53112.33537</v>
      </c>
      <c r="AB70" s="65">
        <f t="shared" si="13"/>
        <v>0</v>
      </c>
      <c r="AC70" s="66">
        <f t="array" ref="AC70">IFS(B70&lt;66, XLOOKUP(year(A70),Lookup!$K$13:$K1000,Lookup!$L$13:$L1000,"missing",,1),B70&gt;65,XLOOKUP(questions!$C$5,Lookup!$K$13:$K1000,Lookup!$L$13:$L1000,"missing",,1))</f>
        <v>130932.3744</v>
      </c>
      <c r="AD70" s="66">
        <f t="array" ref="AD70">IFS(B70&lt;66, XLOOKUP(year(A70),Lookup!$K$13:$K1000,Lookup!$M$13:$M1000,"missing",,1),B70&gt;65, XLOOKUP(questions!$C$5,Lookup!$K$13:$K1000,Lookup!$M$13:$M1000,"missing",,1))</f>
        <v>261864.7487</v>
      </c>
      <c r="AE70" s="66">
        <f t="array" ref="AE70">IFS(B70&lt;66, XLOOKUP(year(A70),Lookup!$K$13:$K1000,Lookup!$N$13:$N1000,"missing",,1),B70&gt;65,XLOOKUP(questions!$C$5,Lookup!$K$13:$K1000,Lookup!$N$13:$N1000,"missing",,1))</f>
        <v>523729.4975</v>
      </c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</row>
    <row r="71">
      <c r="A71" s="55">
        <f t="shared" si="7"/>
        <v>48182</v>
      </c>
      <c r="B71" s="56">
        <f>round(YEARFRAC(EOMONTH(questions!$C$3, 0),A71,1),2)</f>
        <v>33</v>
      </c>
      <c r="C71" s="57">
        <f>IF(B71&lt;questions!$C$6,if(MONTH(A71)=1,C70*(1+questions!$C$12),C70),0)</f>
        <v>11592.74074</v>
      </c>
      <c r="D71" s="58">
        <f>IF(MONTH(A71)=12,C71*questions!$C$11,0)</f>
        <v>0</v>
      </c>
      <c r="E71" s="59">
        <f t="shared" si="2"/>
        <v>8000</v>
      </c>
      <c r="F71" s="59">
        <f t="shared" si="3"/>
        <v>0</v>
      </c>
      <c r="G71" s="60">
        <f t="array" ref="G71">if(YEAR(A71)=2025,XLOOKUP(B71,Lookup!$A$3:$A$7,Lookup!$D$3:$D$7,,1)*SUM(E71:F71), XLOOKUP(B71,Lookup!$A$14:$A$18,Lookup!$D$14:$D$18,,1)*SUM(E71:F71))</f>
        <v>2960</v>
      </c>
      <c r="H71" s="60">
        <f t="array" ref="H71">if(YEAR(A71)=2025,XLOOKUP(B71,Lookup!$F$3:$F$10,Lookup!$G$3:$G$10,,1)*G71, XLOOKUP(B71,Lookup!$F$14:$F$21,Lookup!$G$14:$G$21,,1)*G71)</f>
        <v>1840.232</v>
      </c>
      <c r="I71" s="60">
        <f t="array" ref="I71">if(B71&lt;55, if(YEAR(A71)=2025,XLOOKUP(B71,Lookup!$F$3:$F$10,Lookup!$H$3:$H$10,,1)*G71, XLOOKUP(B71,Lookup!$F$14:$F$21,Lookup!$H$14:$H$21,,1)*G71),0)</f>
        <v>479.816</v>
      </c>
      <c r="J71" s="60">
        <f t="array" ref="J71">if(YEAR(A71)=2025,XLOOKUP(B71,Lookup!$F$3:$F$10,Lookup!$I$3:$I$10,,1)*G71, XLOOKUP(B71,Lookup!$F$14:$F$21,Lookup!$I$14:$I$21,,1)*G71)</f>
        <v>639.952</v>
      </c>
      <c r="K71" s="61">
        <f t="array" ref="K71">if(B71&gt;54, if(YEAR(A71)=2025,XLOOKUP(B71,Lookup!$F$3:$F$10,Lookup!$H$3:$H$10,,1)*G71, XLOOKUP(B71,Lookup!$F$14:$F$21,Lookup!$H$14:$H$21,,1)*G71),0)</f>
        <v>0</v>
      </c>
      <c r="L71" s="62">
        <f>IF(and(A71&lt;questions!$C$19,questions!$C$18="yes"),questions!$C$20,0)</f>
        <v>700</v>
      </c>
      <c r="M71" s="63">
        <f>(Y70+H71)*Lookup!A$26/12</f>
        <v>208.9926327</v>
      </c>
      <c r="N71" s="63">
        <f>if(B71&lt;55, (Z70+I71)*Lookup!B$26/12, (AB70+K71)*Lookup!B$26/12)</f>
        <v>139.5589395</v>
      </c>
      <c r="O71" s="63">
        <f>(AA70+J71)*Lookup!C$26/12</f>
        <v>179.1742912</v>
      </c>
      <c r="P71" s="63">
        <f t="shared" si="8"/>
        <v>2168.267376</v>
      </c>
      <c r="Q71" s="63">
        <f t="shared" si="4"/>
        <v>1447.182068</v>
      </c>
      <c r="R71" s="63">
        <f t="shared" si="5"/>
        <v>1853.59267</v>
      </c>
      <c r="S71" s="64">
        <f t="shared" si="9"/>
        <v>16.66666667</v>
      </c>
      <c r="T71" s="64">
        <f t="shared" si="10"/>
        <v>33.33333333</v>
      </c>
      <c r="U71" s="64">
        <f t="shared" si="11"/>
        <v>0</v>
      </c>
      <c r="V71" s="64">
        <f t="shared" ref="V71:X71" si="79">IF(year($A71)=year($A70), V70+S71, S71)</f>
        <v>183.3333333</v>
      </c>
      <c r="W71" s="64">
        <f t="shared" si="79"/>
        <v>355.1270791</v>
      </c>
      <c r="X71" s="64">
        <f t="shared" si="79"/>
        <v>11.53958761</v>
      </c>
      <c r="Y71" s="65">
        <f>IFS(
  B71&lt;55,
    MAX(
      Y70 + IF(MONTH(A71)=12, P71+V71, 0) + H71 - L71
      + MAX(0,
          IF(AA70 &gt;= VLOOKUP(YEAR(A71), Lookup!$Q:$R, 2),
            Z70 + IF(MONTH(A71)=12, Q71+W71, 0) + I71
              + AA70 + IF(MONTH(A71)=12, R71+X71, 0)
              - VLOOKUP(YEAR(A71), Lookup!$Q:$R, 2) + J71,
            Z70 + IF(MONTH(A71)=12, Q71+W71, 0) + I71
          ) - VLOOKUP(YEAR(A71), Lookup!$K:$M, 3)
        ),
    0),
  B71=55,
    IF(Z70&gt;=AD71,
      MAX(Y70 + IF(MONTH(A71)=12, P71+V71, 0) + H71 - L71, 0),
      MAX(MAX(0, Y70-(AD71-Z70)) + IF(MONTH(A71)=12, P71+V71, 0) + H71 - L71, 0)
    ),
  B71&gt;55,
    IF(AB70&gt;=$AH$7,
      MAX(Y70 + IF(MONTH(A71)=12, P71+V71, 0) + H71 - L71 + K71 + Z70, 0),
      MAX(Y70 + IF(MONTH(A71)=12, P71+V71, 0) + H71 - L71, 0)
    )
)</f>
        <v>99616.4637</v>
      </c>
      <c r="Z71" s="65">
        <f>IFS(
  B71&lt;55,
    MIN(
      IF(AA70 &gt;= VLOOKUP(YEAR(A71), Lookup!$Q:$R, 2),
        Z70 + IF(MONTH(A71)=12, Q71+W71, 0) + I71
          + AA70 + IF(MONTH(A71)=12, R71+X71, 0) - VLOOKUP(YEAR(A71), Lookup!$Q:$R, 2) + J71,
        Z70 + IF(MONTH(A71)=12, Q71+W71, 0) + I71
      ),
      VLOOKUP(YEAR(A71), Lookup!$K:$M, 3)
    ),
  B71=55,
    IF(Z70 &gt;= AD71, Z70 - AD71, 0),
  B71&gt;55, 0
)</f>
        <v>41867.68186</v>
      </c>
      <c r="AA71" s="65">
        <f>IFS(
  B71&lt;65,
    IF(AA70+J71 &lt; VLOOKUP(YEAR(A71), Lookup!$Q:$R, 2),
      AA70 + IF(MONTH(A71)=12, R70+X70, 0) + J71,
      MIN(
        AA70 + IF(MONTH(A71)=12, R70+X70, 0) + J71 ,
        VLOOKUP(YEAR(A71), Lookup!$Q:$R, 2)
      )
    ),
  B71&gt;=65,
    IF(AA70+J71 &lt; VLOOKUP(questions!$C$5, Lookup!$Q:$R, 2),
      AA70 + IF(MONTH(A71)=12, R70+X70, 0) + J71 ,
      MIN(
        AA70 + IF(MONTH(A71)=12, R70+X70, 0) + J71,
        VLOOKUP(questions!$C$5, Lookup!$Q:$R, 2)
      )
    )
)</f>
        <v>53752.28737</v>
      </c>
      <c r="AB71" s="65">
        <f t="shared" si="13"/>
        <v>0</v>
      </c>
      <c r="AC71" s="66">
        <f t="array" ref="AC71">IFS(B71&lt;66, XLOOKUP(year(A71),Lookup!$K$13:$K1000,Lookup!$L$13:$L1000,"missing",,1),B71&gt;65,XLOOKUP(questions!$C$5,Lookup!$K$13:$K1000,Lookup!$L$13:$L1000,"missing",,1))</f>
        <v>130932.3744</v>
      </c>
      <c r="AD71" s="66">
        <f t="array" ref="AD71">IFS(B71&lt;66, XLOOKUP(year(A71),Lookup!$K$13:$K1000,Lookup!$M$13:$M1000,"missing",,1),B71&gt;65, XLOOKUP(questions!$C$5,Lookup!$K$13:$K1000,Lookup!$M$13:$M1000,"missing",,1))</f>
        <v>261864.7487</v>
      </c>
      <c r="AE71" s="66">
        <f t="array" ref="AE71">IFS(B71&lt;66, XLOOKUP(year(A71),Lookup!$K$13:$K1000,Lookup!$N$13:$N1000,"missing",,1),B71&gt;65,XLOOKUP(questions!$C$5,Lookup!$K$13:$K1000,Lookup!$N$13:$N1000,"missing",,1))</f>
        <v>523729.4975</v>
      </c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</row>
    <row r="72">
      <c r="A72" s="55">
        <f t="shared" si="7"/>
        <v>48213</v>
      </c>
      <c r="B72" s="56">
        <f>round(YEARFRAC(EOMONTH(questions!$C$3, 0),A72,1),2)</f>
        <v>33.08</v>
      </c>
      <c r="C72" s="57">
        <f>IF(B72&lt;questions!$C$6,if(MONTH(A72)=1,C71*(1+questions!$C$12),C71),0)</f>
        <v>11592.74074</v>
      </c>
      <c r="D72" s="57">
        <f>IF(MONTH(A72)=12,C72*questions!$C$11,0)</f>
        <v>11592.74074</v>
      </c>
      <c r="E72" s="59">
        <f t="shared" si="2"/>
        <v>8000</v>
      </c>
      <c r="F72" s="59">
        <f t="shared" si="3"/>
        <v>6000</v>
      </c>
      <c r="G72" s="60">
        <f t="array" ref="G72">if(YEAR(A72)=2025,XLOOKUP(B72,Lookup!$A$3:$A$7,Lookup!$D$3:$D$7,,1)*SUM(E72:F72), XLOOKUP(B72,Lookup!$A$14:$A$18,Lookup!$D$14:$D$18,,1)*SUM(E72:F72))</f>
        <v>5180</v>
      </c>
      <c r="H72" s="60">
        <f t="array" ref="H72">if(YEAR(A72)=2025,XLOOKUP(B72,Lookup!$F$3:$F$10,Lookup!$G$3:$G$10,,1)*G72, XLOOKUP(B72,Lookup!$F$14:$F$21,Lookup!$G$14:$G$21,,1)*G72)</f>
        <v>3220.406</v>
      </c>
      <c r="I72" s="60">
        <f t="array" ref="I72">if(B72&lt;55, if(YEAR(A72)=2025,XLOOKUP(B72,Lookup!$F$3:$F$10,Lookup!$H$3:$H$10,,1)*G72, XLOOKUP(B72,Lookup!$F$14:$F$21,Lookup!$H$14:$H$21,,1)*G72),0)</f>
        <v>839.678</v>
      </c>
      <c r="J72" s="60">
        <f t="array" ref="J72">if(YEAR(A72)=2025,XLOOKUP(B72,Lookup!$F$3:$F$10,Lookup!$I$3:$I$10,,1)*G72, XLOOKUP(B72,Lookup!$F$14:$F$21,Lookup!$I$14:$I$21,,1)*G72)</f>
        <v>1119.916</v>
      </c>
      <c r="K72" s="61">
        <f t="array" ref="K72">if(B72&gt;54, if(YEAR(A72)=2025,XLOOKUP(B72,Lookup!$F$3:$F$10,Lookup!$H$3:$H$10,,1)*G72, XLOOKUP(B72,Lookup!$F$14:$F$21,Lookup!$H$14:$H$21,,1)*G72),0)</f>
        <v>0</v>
      </c>
      <c r="L72" s="62">
        <f>IF(and(A72&lt;questions!$C$19,questions!$C$18="yes"),questions!$C$20,0)</f>
        <v>700</v>
      </c>
      <c r="M72" s="63">
        <f>(Y71+H72)*Lookup!A$26/12</f>
        <v>214.2434785</v>
      </c>
      <c r="N72" s="63">
        <f>if(B72&lt;55, (Z71+I72)*Lookup!B$26/12, (AB71+K72)*Lookup!B$26/12)</f>
        <v>142.3578662</v>
      </c>
      <c r="O72" s="63">
        <f>(AA71+J72)*Lookup!C$26/12</f>
        <v>182.9073446</v>
      </c>
      <c r="P72" s="63">
        <f t="shared" si="8"/>
        <v>2382.510855</v>
      </c>
      <c r="Q72" s="63">
        <f t="shared" si="4"/>
        <v>1589.539934</v>
      </c>
      <c r="R72" s="63">
        <f t="shared" si="5"/>
        <v>2036.500015</v>
      </c>
      <c r="S72" s="64">
        <f t="shared" si="9"/>
        <v>16.66666667</v>
      </c>
      <c r="T72" s="64">
        <f t="shared" si="10"/>
        <v>33.33333333</v>
      </c>
      <c r="U72" s="64">
        <f t="shared" si="11"/>
        <v>0</v>
      </c>
      <c r="V72" s="64">
        <f t="shared" ref="V72:X72" si="80">IF(year($A72)=year($A71), V71+S72, S72)</f>
        <v>200</v>
      </c>
      <c r="W72" s="64">
        <f t="shared" si="80"/>
        <v>388.4604124</v>
      </c>
      <c r="X72" s="64">
        <f t="shared" si="80"/>
        <v>11.53958761</v>
      </c>
      <c r="Y72" s="65">
        <f>IFS(
  B72&lt;55,
    MAX(
      Y71 + IF(MONTH(A72)=12, P72+V72, 0) + H72 - L72
      + MAX(0,
          IF(AA71 &gt;= VLOOKUP(YEAR(A72), Lookup!$Q:$R, 2),
            Z71 + IF(MONTH(A72)=12, Q72+W72, 0) + I72
              + AA71 + IF(MONTH(A72)=12, R72+X72, 0)
              - VLOOKUP(YEAR(A72), Lookup!$Q:$R, 2) + J72,
            Z71 + IF(MONTH(A72)=12, Q72+W72, 0) + I72
          ) - VLOOKUP(YEAR(A72), Lookup!$K:$M, 3)
        ),
    0),
  B72=55,
    IF(Z71&gt;=AD72,
      MAX(Y71 + IF(MONTH(A72)=12, P72+V72, 0) + H72 - L72, 0),
      MAX(MAX(0, Y71-(AD72-Z71)) + IF(MONTH(A72)=12, P72+V72, 0) + H72 - L72, 0)
    ),
  B72&gt;55,
    IF(AB71&gt;=$AH$7,
      MAX(Y71 + IF(MONTH(A72)=12, P72+V72, 0) + H72 - L72 + K72 + Z71, 0),
      MAX(Y71 + IF(MONTH(A72)=12, P72+V72, 0) + H72 - L72, 0)
    )
)</f>
        <v>104719.3806</v>
      </c>
      <c r="Z72" s="65">
        <f>IFS(
  B72&lt;55,
    MIN(
      IF(AA71 &gt;= VLOOKUP(YEAR(A72), Lookup!$Q:$R, 2),
        Z71 + IF(MONTH(A72)=12, Q72+W72, 0) + I72
          + AA71 + IF(MONTH(A72)=12, R72+X72, 0) - VLOOKUP(YEAR(A72), Lookup!$Q:$R, 2) + J72,
        Z71 + IF(MONTH(A72)=12, Q72+W72, 0) + I72
      ),
      VLOOKUP(YEAR(A72), Lookup!$K:$M, 3)
    ),
  B72=55,
    IF(Z71 &gt;= AD72, Z71 - AD72, 0),
  B72&gt;55, 0
)</f>
        <v>44685.3602</v>
      </c>
      <c r="AA72" s="65">
        <f>IFS(
  B72&lt;65,
    IF(AA71+J72 &lt; VLOOKUP(YEAR(A72), Lookup!$Q:$R, 2),
      AA71 + IF(MONTH(A72)=12, R71+X71, 0) + J72,
      MIN(
        AA71 + IF(MONTH(A72)=12, R71+X71, 0) + J72 ,
        VLOOKUP(YEAR(A72), Lookup!$Q:$R, 2)
      )
    ),
  B72&gt;=65,
    IF(AA71+J72 &lt; VLOOKUP(questions!$C$5, Lookup!$Q:$R, 2),
      AA71 + IF(MONTH(A72)=12, R71+X71, 0) + J72 ,
      MIN(
        AA71 + IF(MONTH(A72)=12, R71+X71, 0) + J72,
        VLOOKUP(questions!$C$5, Lookup!$Q:$R, 2)
      )
    )
)</f>
        <v>56737.33563</v>
      </c>
      <c r="AB72" s="65">
        <f t="shared" si="13"/>
        <v>0</v>
      </c>
      <c r="AC72" s="66">
        <f t="array" ref="AC72">IFS(B72&lt;66, XLOOKUP(year(A72),Lookup!$K$13:$K1000,Lookup!$L$13:$L1000,"missing",,1),B72&gt;65,XLOOKUP(questions!$C$5,Lookup!$K$13:$K1000,Lookup!$L$13:$L1000,"missing",,1))</f>
        <v>130932.3744</v>
      </c>
      <c r="AD72" s="66">
        <f t="array" ref="AD72">IFS(B72&lt;66, XLOOKUP(year(A72),Lookup!$K$13:$K1000,Lookup!$M$13:$M1000,"missing",,1),B72&gt;65, XLOOKUP(questions!$C$5,Lookup!$K$13:$K1000,Lookup!$M$13:$M1000,"missing",,1))</f>
        <v>261864.7487</v>
      </c>
      <c r="AE72" s="66">
        <f t="array" ref="AE72">IFS(B72&lt;66, XLOOKUP(year(A72),Lookup!$K$13:$K1000,Lookup!$N$13:$N1000,"missing",,1),B72&gt;65,XLOOKUP(questions!$C$5,Lookup!$K$13:$K1000,Lookup!$N$13:$N1000,"missing",,1))</f>
        <v>523729.4975</v>
      </c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</row>
    <row r="73">
      <c r="A73" s="55">
        <f t="shared" si="7"/>
        <v>48244</v>
      </c>
      <c r="B73" s="56">
        <f>round(YEARFRAC(EOMONTH(questions!$C$3, 0),A73,1),2)</f>
        <v>33.17</v>
      </c>
      <c r="C73" s="57">
        <f>IF(B73&lt;questions!$C$6,if(MONTH(A73)=1,C72*(1+questions!$C$12),C72),0)</f>
        <v>11940.52297</v>
      </c>
      <c r="D73" s="58">
        <f>IF(MONTH(A73)=12,C73*questions!$C$11,0)</f>
        <v>0</v>
      </c>
      <c r="E73" s="59">
        <f t="shared" si="2"/>
        <v>8000</v>
      </c>
      <c r="F73" s="59">
        <f t="shared" si="3"/>
        <v>0</v>
      </c>
      <c r="G73" s="60">
        <f t="array" ref="G73">if(YEAR(A73)=2025,XLOOKUP(B73,Lookup!$A$3:$A$7,Lookup!$D$3:$D$7,,1)*SUM(E73:F73), XLOOKUP(B73,Lookup!$A$14:$A$18,Lookup!$D$14:$D$18,,1)*SUM(E73:F73))</f>
        <v>2960</v>
      </c>
      <c r="H73" s="60">
        <f t="array" ref="H73">if(YEAR(A73)=2025,XLOOKUP(B73,Lookup!$F$3:$F$10,Lookup!$G$3:$G$10,,1)*G73, XLOOKUP(B73,Lookup!$F$14:$F$21,Lookup!$G$14:$G$21,,1)*G73)</f>
        <v>1840.232</v>
      </c>
      <c r="I73" s="60">
        <f t="array" ref="I73">if(B73&lt;55, if(YEAR(A73)=2025,XLOOKUP(B73,Lookup!$F$3:$F$10,Lookup!$H$3:$H$10,,1)*G73, XLOOKUP(B73,Lookup!$F$14:$F$21,Lookup!$H$14:$H$21,,1)*G73),0)</f>
        <v>479.816</v>
      </c>
      <c r="J73" s="60">
        <f t="array" ref="J73">if(YEAR(A73)=2025,XLOOKUP(B73,Lookup!$F$3:$F$10,Lookup!$I$3:$I$10,,1)*G73, XLOOKUP(B73,Lookup!$F$14:$F$21,Lookup!$I$14:$I$21,,1)*G73)</f>
        <v>639.952</v>
      </c>
      <c r="K73" s="61">
        <f t="array" ref="K73">if(B73&gt;54, if(YEAR(A73)=2025,XLOOKUP(B73,Lookup!$F$3:$F$10,Lookup!$H$3:$H$10,,1)*G73, XLOOKUP(B73,Lookup!$F$14:$F$21,Lookup!$H$14:$H$21,,1)*G73),0)</f>
        <v>0</v>
      </c>
      <c r="L73" s="62">
        <f>IF(and(A73&lt;questions!$C$19,questions!$C$18="yes"),questions!$C$20,0)</f>
        <v>700</v>
      </c>
      <c r="M73" s="63">
        <f>(Y72+H73)*Lookup!A$26/12</f>
        <v>221.9991928</v>
      </c>
      <c r="N73" s="63">
        <f>if(B73&lt;55, (Z72+I73)*Lookup!B$26/12, (AB72+K73)*Lookup!B$26/12)</f>
        <v>150.5505873</v>
      </c>
      <c r="O73" s="63">
        <f>(AA72+J73)*Lookup!C$26/12</f>
        <v>191.2576254</v>
      </c>
      <c r="P73" s="63">
        <f t="shared" si="8"/>
        <v>221.9991928</v>
      </c>
      <c r="Q73" s="63">
        <f t="shared" si="4"/>
        <v>150.5505873</v>
      </c>
      <c r="R73" s="63">
        <f t="shared" si="5"/>
        <v>191.2576254</v>
      </c>
      <c r="S73" s="64">
        <f t="shared" si="9"/>
        <v>16.66666667</v>
      </c>
      <c r="T73" s="64">
        <f t="shared" si="10"/>
        <v>33.33333333</v>
      </c>
      <c r="U73" s="64">
        <f t="shared" si="11"/>
        <v>0</v>
      </c>
      <c r="V73" s="64">
        <f t="shared" ref="V73:X73" si="81">IF(year($A73)=year($A72), V72+S73, S73)</f>
        <v>16.66666667</v>
      </c>
      <c r="W73" s="64">
        <f t="shared" si="81"/>
        <v>33.33333333</v>
      </c>
      <c r="X73" s="64">
        <f t="shared" si="81"/>
        <v>0</v>
      </c>
      <c r="Y73" s="65">
        <f>IFS(
  B73&lt;55,
    MAX(
      Y72 + IF(MONTH(A73)=12, P73+V73, 0) + H73 - L73
      + MAX(0,
          IF(AA72 &gt;= VLOOKUP(YEAR(A73), Lookup!$Q:$R, 2),
            Z72 + IF(MONTH(A73)=12, Q73+W73, 0) + I73
              + AA72 + IF(MONTH(A73)=12, R73+X73, 0)
              - VLOOKUP(YEAR(A73), Lookup!$Q:$R, 2) + J73,
            Z72 + IF(MONTH(A73)=12, Q73+W73, 0) + I73
          ) - VLOOKUP(YEAR(A73), Lookup!$K:$M, 3)
        ),
    0),
  B73=55,
    IF(Z72&gt;=AD73,
      MAX(Y72 + IF(MONTH(A73)=12, P73+V73, 0) + H73 - L73, 0),
      MAX(MAX(0, Y72-(AD73-Z72)) + IF(MONTH(A73)=12, P73+V73, 0) + H73 - L73, 0)
    ),
  B73&gt;55,
    IF(AB72&gt;=$AH$7,
      MAX(Y72 + IF(MONTH(A73)=12, P73+V73, 0) + H73 - L73 + K73 + Z72, 0),
      MAX(Y72 + IF(MONTH(A73)=12, P73+V73, 0) + H73 - L73, 0)
    )
)</f>
        <v>105859.6126</v>
      </c>
      <c r="Z73" s="65">
        <f>IFS(
  B73&lt;55,
    MIN(
      IF(AA72 &gt;= VLOOKUP(YEAR(A73), Lookup!$Q:$R, 2),
        Z72 + IF(MONTH(A73)=12, Q73+W73, 0) + I73
          + AA72 + IF(MONTH(A73)=12, R73+X73, 0) - VLOOKUP(YEAR(A73), Lookup!$Q:$R, 2) + J73,
        Z72 + IF(MONTH(A73)=12, Q73+W73, 0) + I73
      ),
      VLOOKUP(YEAR(A73), Lookup!$K:$M, 3)
    ),
  B73=55,
    IF(Z72 &gt;= AD73, Z72 - AD73, 0),
  B73&gt;55, 0
)</f>
        <v>45165.1762</v>
      </c>
      <c r="AA73" s="65">
        <f>IFS(
  B73&lt;65,
    IF(AA72+J73 &lt; VLOOKUP(YEAR(A73), Lookup!$Q:$R, 2),
      AA72 + IF(MONTH(A73)=12, R72+X72, 0) + J73,
      MIN(
        AA72 + IF(MONTH(A73)=12, R72+X72, 0) + J73 ,
        VLOOKUP(YEAR(A73), Lookup!$Q:$R, 2)
      )
    ),
  B73&gt;=65,
    IF(AA72+J73 &lt; VLOOKUP(questions!$C$5, Lookup!$Q:$R, 2),
      AA72 + IF(MONTH(A73)=12, R72+X72, 0) + J73 ,
      MIN(
        AA72 + IF(MONTH(A73)=12, R72+X72, 0) + J73,
        VLOOKUP(questions!$C$5, Lookup!$Q:$R, 2)
      )
    )
)</f>
        <v>57377.28763</v>
      </c>
      <c r="AB73" s="65">
        <f t="shared" si="13"/>
        <v>0</v>
      </c>
      <c r="AC73" s="66">
        <f t="array" ref="AC73">IFS(B73&lt;66, XLOOKUP(year(A73),Lookup!$K$13:$K1000,Lookup!$L$13:$L1000,"missing",,1),B73&gt;65,XLOOKUP(questions!$C$5,Lookup!$K$13:$K1000,Lookup!$L$13:$L1000,"missing",,1))</f>
        <v>135515.0075</v>
      </c>
      <c r="AD73" s="66">
        <f t="array" ref="AD73">IFS(B73&lt;66, XLOOKUP(year(A73),Lookup!$K$13:$K1000,Lookup!$M$13:$M1000,"missing",,1),B73&gt;65, XLOOKUP(questions!$C$5,Lookup!$K$13:$K1000,Lookup!$M$13:$M1000,"missing",,1))</f>
        <v>271030.0149</v>
      </c>
      <c r="AE73" s="66">
        <f t="array" ref="AE73">IFS(B73&lt;66, XLOOKUP(year(A73),Lookup!$K$13:$K1000,Lookup!$N$13:$N1000,"missing",,1),B73&gt;65,XLOOKUP(questions!$C$5,Lookup!$K$13:$K1000,Lookup!$N$13:$N1000,"missing",,1))</f>
        <v>542060.0299</v>
      </c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</row>
    <row r="74">
      <c r="A74" s="55">
        <f t="shared" si="7"/>
        <v>48273</v>
      </c>
      <c r="B74" s="56">
        <f>round(YEARFRAC(EOMONTH(questions!$C$3, 0),A74,1),2)</f>
        <v>33.25</v>
      </c>
      <c r="C74" s="57">
        <f>IF(B74&lt;questions!$C$6,if(MONTH(A74)=1,C73*(1+questions!$C$12),C73),0)</f>
        <v>11940.52297</v>
      </c>
      <c r="D74" s="58">
        <f>IF(MONTH(A74)=12,C74*questions!$C$11,0)</f>
        <v>0</v>
      </c>
      <c r="E74" s="59">
        <f t="shared" si="2"/>
        <v>8000</v>
      </c>
      <c r="F74" s="59">
        <f t="shared" si="3"/>
        <v>0</v>
      </c>
      <c r="G74" s="60">
        <f t="array" ref="G74">if(YEAR(A74)=2025,XLOOKUP(B74,Lookup!$A$3:$A$7,Lookup!$D$3:$D$7,,1)*SUM(E74:F74), XLOOKUP(B74,Lookup!$A$14:$A$18,Lookup!$D$14:$D$18,,1)*SUM(E74:F74))</f>
        <v>2960</v>
      </c>
      <c r="H74" s="60">
        <f t="array" ref="H74">if(YEAR(A74)=2025,XLOOKUP(B74,Lookup!$F$3:$F$10,Lookup!$G$3:$G$10,,1)*G74, XLOOKUP(B74,Lookup!$F$14:$F$21,Lookup!$G$14:$G$21,,1)*G74)</f>
        <v>1840.232</v>
      </c>
      <c r="I74" s="60">
        <f t="array" ref="I74">if(B74&lt;55, if(YEAR(A74)=2025,XLOOKUP(B74,Lookup!$F$3:$F$10,Lookup!$H$3:$H$10,,1)*G74, XLOOKUP(B74,Lookup!$F$14:$F$21,Lookup!$H$14:$H$21,,1)*G74),0)</f>
        <v>479.816</v>
      </c>
      <c r="J74" s="60">
        <f t="array" ref="J74">if(YEAR(A74)=2025,XLOOKUP(B74,Lookup!$F$3:$F$10,Lookup!$I$3:$I$10,,1)*G74, XLOOKUP(B74,Lookup!$F$14:$F$21,Lookup!$I$14:$I$21,,1)*G74)</f>
        <v>639.952</v>
      </c>
      <c r="K74" s="61">
        <f t="array" ref="K74">if(B74&gt;54, if(YEAR(A74)=2025,XLOOKUP(B74,Lookup!$F$3:$F$10,Lookup!$H$3:$H$10,,1)*G74, XLOOKUP(B74,Lookup!$F$14:$F$21,Lookup!$H$14:$H$21,,1)*G74),0)</f>
        <v>0</v>
      </c>
      <c r="L74" s="62">
        <f>IF(and(A74&lt;questions!$C$19,questions!$C$18="yes"),questions!$C$20,0)</f>
        <v>700</v>
      </c>
      <c r="M74" s="63">
        <f>(Y73+H74)*Lookup!A$26/12</f>
        <v>224.3746762</v>
      </c>
      <c r="N74" s="63">
        <f>if(B74&lt;55, (Z73+I74)*Lookup!B$26/12, (AB73+K74)*Lookup!B$26/12)</f>
        <v>152.149974</v>
      </c>
      <c r="O74" s="63">
        <f>(AA73+J74)*Lookup!C$26/12</f>
        <v>193.3907988</v>
      </c>
      <c r="P74" s="63">
        <f t="shared" si="8"/>
        <v>446.373869</v>
      </c>
      <c r="Q74" s="63">
        <f t="shared" si="4"/>
        <v>302.7005614</v>
      </c>
      <c r="R74" s="63">
        <f t="shared" si="5"/>
        <v>384.6484242</v>
      </c>
      <c r="S74" s="64">
        <f t="shared" si="9"/>
        <v>16.66666667</v>
      </c>
      <c r="T74" s="64">
        <f t="shared" si="10"/>
        <v>33.33333333</v>
      </c>
      <c r="U74" s="64">
        <f t="shared" si="11"/>
        <v>0</v>
      </c>
      <c r="V74" s="64">
        <f t="shared" ref="V74:X74" si="82">IF(year($A74)=year($A73), V73+S74, S74)</f>
        <v>33.33333333</v>
      </c>
      <c r="W74" s="64">
        <f t="shared" si="82"/>
        <v>66.66666667</v>
      </c>
      <c r="X74" s="64">
        <f t="shared" si="82"/>
        <v>0</v>
      </c>
      <c r="Y74" s="65">
        <f>IFS(
  B74&lt;55,
    MAX(
      Y73 + IF(MONTH(A74)=12, P74+V74, 0) + H74 - L74
      + MAX(0,
          IF(AA73 &gt;= VLOOKUP(YEAR(A74), Lookup!$Q:$R, 2),
            Z73 + IF(MONTH(A74)=12, Q74+W74, 0) + I74
              + AA73 + IF(MONTH(A74)=12, R74+X74, 0)
              - VLOOKUP(YEAR(A74), Lookup!$Q:$R, 2) + J74,
            Z73 + IF(MONTH(A74)=12, Q74+W74, 0) + I74
          ) - VLOOKUP(YEAR(A74), Lookup!$K:$M, 3)
        ),
    0),
  B74=55,
    IF(Z73&gt;=AD74,
      MAX(Y73 + IF(MONTH(A74)=12, P74+V74, 0) + H74 - L74, 0),
      MAX(MAX(0, Y73-(AD74-Z73)) + IF(MONTH(A74)=12, P74+V74, 0) + H74 - L74, 0)
    ),
  B74&gt;55,
    IF(AB73&gt;=$AH$7,
      MAX(Y73 + IF(MONTH(A74)=12, P74+V74, 0) + H74 - L74 + K74 + Z73, 0),
      MAX(Y73 + IF(MONTH(A74)=12, P74+V74, 0) + H74 - L74, 0)
    )
)</f>
        <v>106999.8446</v>
      </c>
      <c r="Z74" s="65">
        <f>IFS(
  B74&lt;55,
    MIN(
      IF(AA73 &gt;= VLOOKUP(YEAR(A74), Lookup!$Q:$R, 2),
        Z73 + IF(MONTH(A74)=12, Q74+W74, 0) + I74
          + AA73 + IF(MONTH(A74)=12, R74+X74, 0) - VLOOKUP(YEAR(A74), Lookup!$Q:$R, 2) + J74,
        Z73 + IF(MONTH(A74)=12, Q74+W74, 0) + I74
      ),
      VLOOKUP(YEAR(A74), Lookup!$K:$M, 3)
    ),
  B74=55,
    IF(Z73 &gt;= AD74, Z73 - AD74, 0),
  B74&gt;55, 0
)</f>
        <v>45644.9922</v>
      </c>
      <c r="AA74" s="65">
        <f>IFS(
  B74&lt;65,
    IF(AA73+J74 &lt; VLOOKUP(YEAR(A74), Lookup!$Q:$R, 2),
      AA73 + IF(MONTH(A74)=12, R73+X73, 0) + J74,
      MIN(
        AA73 + IF(MONTH(A74)=12, R73+X73, 0) + J74 ,
        VLOOKUP(YEAR(A74), Lookup!$Q:$R, 2)
      )
    ),
  B74&gt;=65,
    IF(AA73+J74 &lt; VLOOKUP(questions!$C$5, Lookup!$Q:$R, 2),
      AA73 + IF(MONTH(A74)=12, R73+X73, 0) + J74 ,
      MIN(
        AA73 + IF(MONTH(A74)=12, R73+X73, 0) + J74,
        VLOOKUP(questions!$C$5, Lookup!$Q:$R, 2)
      )
    )
)</f>
        <v>58017.23963</v>
      </c>
      <c r="AB74" s="65">
        <f t="shared" si="13"/>
        <v>0</v>
      </c>
      <c r="AC74" s="66">
        <f t="array" ref="AC74">IFS(B74&lt;66, XLOOKUP(year(A74),Lookup!$K$13:$K1000,Lookup!$L$13:$L1000,"missing",,1),B74&gt;65,XLOOKUP(questions!$C$5,Lookup!$K$13:$K1000,Lookup!$L$13:$L1000,"missing",,1))</f>
        <v>135515.0075</v>
      </c>
      <c r="AD74" s="66">
        <f t="array" ref="AD74">IFS(B74&lt;66, XLOOKUP(year(A74),Lookup!$K$13:$K1000,Lookup!$M$13:$M1000,"missing",,1),B74&gt;65, XLOOKUP(questions!$C$5,Lookup!$K$13:$K1000,Lookup!$M$13:$M1000,"missing",,1))</f>
        <v>271030.0149</v>
      </c>
      <c r="AE74" s="66">
        <f t="array" ref="AE74">IFS(B74&lt;66, XLOOKUP(year(A74),Lookup!$K$13:$K1000,Lookup!$N$13:$N1000,"missing",,1),B74&gt;65,XLOOKUP(questions!$C$5,Lookup!$K$13:$K1000,Lookup!$N$13:$N1000,"missing",,1))</f>
        <v>542060.0299</v>
      </c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</row>
    <row r="75">
      <c r="A75" s="55">
        <f t="shared" si="7"/>
        <v>48304</v>
      </c>
      <c r="B75" s="56">
        <f>round(YEARFRAC(EOMONTH(questions!$C$3, 0),A75,1),2)</f>
        <v>33.33</v>
      </c>
      <c r="C75" s="57">
        <f>IF(B75&lt;questions!$C$6,if(MONTH(A75)=1,C74*(1+questions!$C$12),C74),0)</f>
        <v>11940.52297</v>
      </c>
      <c r="D75" s="58">
        <f>IF(MONTH(A75)=12,C75*questions!$C$11,0)</f>
        <v>0</v>
      </c>
      <c r="E75" s="59">
        <f t="shared" si="2"/>
        <v>8000</v>
      </c>
      <c r="F75" s="59">
        <f t="shared" si="3"/>
        <v>0</v>
      </c>
      <c r="G75" s="60">
        <f t="array" ref="G75">if(YEAR(A75)=2025,XLOOKUP(B75,Lookup!$A$3:$A$7,Lookup!$D$3:$D$7,,1)*SUM(E75:F75), XLOOKUP(B75,Lookup!$A$14:$A$18,Lookup!$D$14:$D$18,,1)*SUM(E75:F75))</f>
        <v>2960</v>
      </c>
      <c r="H75" s="60">
        <f t="array" ref="H75">if(YEAR(A75)=2025,XLOOKUP(B75,Lookup!$F$3:$F$10,Lookup!$G$3:$G$10,,1)*G75, XLOOKUP(B75,Lookup!$F$14:$F$21,Lookup!$G$14:$G$21,,1)*G75)</f>
        <v>1840.232</v>
      </c>
      <c r="I75" s="60">
        <f t="array" ref="I75">if(B75&lt;55, if(YEAR(A75)=2025,XLOOKUP(B75,Lookup!$F$3:$F$10,Lookup!$H$3:$H$10,,1)*G75, XLOOKUP(B75,Lookup!$F$14:$F$21,Lookup!$H$14:$H$21,,1)*G75),0)</f>
        <v>479.816</v>
      </c>
      <c r="J75" s="60">
        <f t="array" ref="J75">if(YEAR(A75)=2025,XLOOKUP(B75,Lookup!$F$3:$F$10,Lookup!$I$3:$I$10,,1)*G75, XLOOKUP(B75,Lookup!$F$14:$F$21,Lookup!$I$14:$I$21,,1)*G75)</f>
        <v>639.952</v>
      </c>
      <c r="K75" s="61">
        <f t="array" ref="K75">if(B75&gt;54, if(YEAR(A75)=2025,XLOOKUP(B75,Lookup!$F$3:$F$10,Lookup!$H$3:$H$10,,1)*G75, XLOOKUP(B75,Lookup!$F$14:$F$21,Lookup!$H$14:$H$21,,1)*G75),0)</f>
        <v>0</v>
      </c>
      <c r="L75" s="62">
        <f>IF(and(A75&lt;questions!$C$19,questions!$C$18="yes"),questions!$C$20,0)</f>
        <v>700</v>
      </c>
      <c r="M75" s="63">
        <f>(Y74+H75)*Lookup!A$26/12</f>
        <v>226.7501595</v>
      </c>
      <c r="N75" s="63">
        <f>if(B75&lt;55, (Z74+I75)*Lookup!B$26/12, (AB74+K75)*Lookup!B$26/12)</f>
        <v>153.7493607</v>
      </c>
      <c r="O75" s="63">
        <f>(AA74+J75)*Lookup!C$26/12</f>
        <v>195.5239721</v>
      </c>
      <c r="P75" s="63">
        <f t="shared" si="8"/>
        <v>673.1240285</v>
      </c>
      <c r="Q75" s="63">
        <f t="shared" si="4"/>
        <v>456.449922</v>
      </c>
      <c r="R75" s="63">
        <f t="shared" si="5"/>
        <v>580.1723963</v>
      </c>
      <c r="S75" s="64">
        <f t="shared" si="9"/>
        <v>16.66666667</v>
      </c>
      <c r="T75" s="64">
        <f t="shared" si="10"/>
        <v>33.33333333</v>
      </c>
      <c r="U75" s="64">
        <f t="shared" si="11"/>
        <v>0</v>
      </c>
      <c r="V75" s="64">
        <f t="shared" ref="V75:X75" si="83">IF(year($A75)=year($A74), V74+S75, S75)</f>
        <v>50</v>
      </c>
      <c r="W75" s="64">
        <f t="shared" si="83"/>
        <v>100</v>
      </c>
      <c r="X75" s="64">
        <f t="shared" si="83"/>
        <v>0</v>
      </c>
      <c r="Y75" s="65">
        <f>IFS(
  B75&lt;55,
    MAX(
      Y74 + IF(MONTH(A75)=12, P75+V75, 0) + H75 - L75
      + MAX(0,
          IF(AA74 &gt;= VLOOKUP(YEAR(A75), Lookup!$Q:$R, 2),
            Z74 + IF(MONTH(A75)=12, Q75+W75, 0) + I75
              + AA74 + IF(MONTH(A75)=12, R75+X75, 0)
              - VLOOKUP(YEAR(A75), Lookup!$Q:$R, 2) + J75,
            Z74 + IF(MONTH(A75)=12, Q75+W75, 0) + I75
          ) - VLOOKUP(YEAR(A75), Lookup!$K:$M, 3)
        ),
    0),
  B75=55,
    IF(Z74&gt;=AD75,
      MAX(Y74 + IF(MONTH(A75)=12, P75+V75, 0) + H75 - L75, 0),
      MAX(MAX(0, Y74-(AD75-Z74)) + IF(MONTH(A75)=12, P75+V75, 0) + H75 - L75, 0)
    ),
  B75&gt;55,
    IF(AB74&gt;=$AH$7,
      MAX(Y74 + IF(MONTH(A75)=12, P75+V75, 0) + H75 - L75 + K75 + Z74, 0),
      MAX(Y74 + IF(MONTH(A75)=12, P75+V75, 0) + H75 - L75, 0)
    )
)</f>
        <v>108140.0766</v>
      </c>
      <c r="Z75" s="65">
        <f>IFS(
  B75&lt;55,
    MIN(
      IF(AA74 &gt;= VLOOKUP(YEAR(A75), Lookup!$Q:$R, 2),
        Z74 + IF(MONTH(A75)=12, Q75+W75, 0) + I75
          + AA74 + IF(MONTH(A75)=12, R75+X75, 0) - VLOOKUP(YEAR(A75), Lookup!$Q:$R, 2) + J75,
        Z74 + IF(MONTH(A75)=12, Q75+W75, 0) + I75
      ),
      VLOOKUP(YEAR(A75), Lookup!$K:$M, 3)
    ),
  B75=55,
    IF(Z74 &gt;= AD75, Z74 - AD75, 0),
  B75&gt;55, 0
)</f>
        <v>46124.8082</v>
      </c>
      <c r="AA75" s="65">
        <f>IFS(
  B75&lt;65,
    IF(AA74+J75 &lt; VLOOKUP(YEAR(A75), Lookup!$Q:$R, 2),
      AA74 + IF(MONTH(A75)=12, R74+X74, 0) + J75,
      MIN(
        AA74 + IF(MONTH(A75)=12, R74+X74, 0) + J75 ,
        VLOOKUP(YEAR(A75), Lookup!$Q:$R, 2)
      )
    ),
  B75&gt;=65,
    IF(AA74+J75 &lt; VLOOKUP(questions!$C$5, Lookup!$Q:$R, 2),
      AA74 + IF(MONTH(A75)=12, R74+X74, 0) + J75 ,
      MIN(
        AA74 + IF(MONTH(A75)=12, R74+X74, 0) + J75,
        VLOOKUP(questions!$C$5, Lookup!$Q:$R, 2)
      )
    )
)</f>
        <v>58657.19163</v>
      </c>
      <c r="AB75" s="65">
        <f t="shared" si="13"/>
        <v>0</v>
      </c>
      <c r="AC75" s="66">
        <f t="array" ref="AC75">IFS(B75&lt;66, XLOOKUP(year(A75),Lookup!$K$13:$K1000,Lookup!$L$13:$L1000,"missing",,1),B75&gt;65,XLOOKUP(questions!$C$5,Lookup!$K$13:$K1000,Lookup!$L$13:$L1000,"missing",,1))</f>
        <v>135515.0075</v>
      </c>
      <c r="AD75" s="66">
        <f t="array" ref="AD75">IFS(B75&lt;66, XLOOKUP(year(A75),Lookup!$K$13:$K1000,Lookup!$M$13:$M1000,"missing",,1),B75&gt;65, XLOOKUP(questions!$C$5,Lookup!$K$13:$K1000,Lookup!$M$13:$M1000,"missing",,1))</f>
        <v>271030.0149</v>
      </c>
      <c r="AE75" s="66">
        <f t="array" ref="AE75">IFS(B75&lt;66, XLOOKUP(year(A75),Lookup!$K$13:$K1000,Lookup!$N$13:$N1000,"missing",,1),B75&gt;65,XLOOKUP(questions!$C$5,Lookup!$K$13:$K1000,Lookup!$N$13:$N1000,"missing",,1))</f>
        <v>542060.0299</v>
      </c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</row>
    <row r="76">
      <c r="A76" s="55">
        <f t="shared" si="7"/>
        <v>48334</v>
      </c>
      <c r="B76" s="56">
        <f>round(YEARFRAC(EOMONTH(questions!$C$3, 0),A76,1),2)</f>
        <v>33.42</v>
      </c>
      <c r="C76" s="57">
        <f>IF(B76&lt;questions!$C$6,if(MONTH(A76)=1,C75*(1+questions!$C$12),C75),0)</f>
        <v>11940.52297</v>
      </c>
      <c r="D76" s="58">
        <f>IF(MONTH(A76)=12,C76*questions!$C$11,0)</f>
        <v>0</v>
      </c>
      <c r="E76" s="59">
        <f t="shared" si="2"/>
        <v>8000</v>
      </c>
      <c r="F76" s="59">
        <f t="shared" si="3"/>
        <v>0</v>
      </c>
      <c r="G76" s="60">
        <f t="array" ref="G76">if(YEAR(A76)=2025,XLOOKUP(B76,Lookup!$A$3:$A$7,Lookup!$D$3:$D$7,,1)*SUM(E76:F76), XLOOKUP(B76,Lookup!$A$14:$A$18,Lookup!$D$14:$D$18,,1)*SUM(E76:F76))</f>
        <v>2960</v>
      </c>
      <c r="H76" s="60">
        <f t="array" ref="H76">if(YEAR(A76)=2025,XLOOKUP(B76,Lookup!$F$3:$F$10,Lookup!$G$3:$G$10,,1)*G76, XLOOKUP(B76,Lookup!$F$14:$F$21,Lookup!$G$14:$G$21,,1)*G76)</f>
        <v>1840.232</v>
      </c>
      <c r="I76" s="60">
        <f t="array" ref="I76">if(B76&lt;55, if(YEAR(A76)=2025,XLOOKUP(B76,Lookup!$F$3:$F$10,Lookup!$H$3:$H$10,,1)*G76, XLOOKUP(B76,Lookup!$F$14:$F$21,Lookup!$H$14:$H$21,,1)*G76),0)</f>
        <v>479.816</v>
      </c>
      <c r="J76" s="60">
        <f t="array" ref="J76">if(YEAR(A76)=2025,XLOOKUP(B76,Lookup!$F$3:$F$10,Lookup!$I$3:$I$10,,1)*G76, XLOOKUP(B76,Lookup!$F$14:$F$21,Lookup!$I$14:$I$21,,1)*G76)</f>
        <v>639.952</v>
      </c>
      <c r="K76" s="61">
        <f t="array" ref="K76">if(B76&gt;54, if(YEAR(A76)=2025,XLOOKUP(B76,Lookup!$F$3:$F$10,Lookup!$H$3:$H$10,,1)*G76, XLOOKUP(B76,Lookup!$F$14:$F$21,Lookup!$H$14:$H$21,,1)*G76),0)</f>
        <v>0</v>
      </c>
      <c r="L76" s="62">
        <f>IF(and(A76&lt;questions!$C$19,questions!$C$18="yes"),questions!$C$20,0)</f>
        <v>700</v>
      </c>
      <c r="M76" s="63">
        <f>(Y75+H76)*Lookup!A$26/12</f>
        <v>229.1256428</v>
      </c>
      <c r="N76" s="63">
        <f>if(B76&lt;55, (Z75+I76)*Lookup!B$26/12, (AB75+K76)*Lookup!B$26/12)</f>
        <v>155.3487473</v>
      </c>
      <c r="O76" s="63">
        <f>(AA75+J76)*Lookup!C$26/12</f>
        <v>197.6571454</v>
      </c>
      <c r="P76" s="63">
        <f t="shared" si="8"/>
        <v>902.2496713</v>
      </c>
      <c r="Q76" s="63">
        <f t="shared" si="4"/>
        <v>611.7986694</v>
      </c>
      <c r="R76" s="63">
        <f t="shared" si="5"/>
        <v>777.8295417</v>
      </c>
      <c r="S76" s="64">
        <f t="shared" si="9"/>
        <v>16.66666667</v>
      </c>
      <c r="T76" s="64">
        <f t="shared" si="10"/>
        <v>33.33333333</v>
      </c>
      <c r="U76" s="64">
        <f t="shared" si="11"/>
        <v>0</v>
      </c>
      <c r="V76" s="64">
        <f t="shared" ref="V76:X76" si="84">IF(year($A76)=year($A75), V75+S76, S76)</f>
        <v>66.66666667</v>
      </c>
      <c r="W76" s="64">
        <f t="shared" si="84"/>
        <v>133.3333333</v>
      </c>
      <c r="X76" s="64">
        <f t="shared" si="84"/>
        <v>0</v>
      </c>
      <c r="Y76" s="65">
        <f>IFS(
  B76&lt;55,
    MAX(
      Y75 + IF(MONTH(A76)=12, P76+V76, 0) + H76 - L76
      + MAX(0,
          IF(AA75 &gt;= VLOOKUP(YEAR(A76), Lookup!$Q:$R, 2),
            Z75 + IF(MONTH(A76)=12, Q76+W76, 0) + I76
              + AA75 + IF(MONTH(A76)=12, R76+X76, 0)
              - VLOOKUP(YEAR(A76), Lookup!$Q:$R, 2) + J76,
            Z75 + IF(MONTH(A76)=12, Q76+W76, 0) + I76
          ) - VLOOKUP(YEAR(A76), Lookup!$K:$M, 3)
        ),
    0),
  B76=55,
    IF(Z75&gt;=AD76,
      MAX(Y75 + IF(MONTH(A76)=12, P76+V76, 0) + H76 - L76, 0),
      MAX(MAX(0, Y75-(AD76-Z75)) + IF(MONTH(A76)=12, P76+V76, 0) + H76 - L76, 0)
    ),
  B76&gt;55,
    IF(AB75&gt;=$AH$7,
      MAX(Y75 + IF(MONTH(A76)=12, P76+V76, 0) + H76 - L76 + K76 + Z75, 0),
      MAX(Y75 + IF(MONTH(A76)=12, P76+V76, 0) + H76 - L76, 0)
    )
)</f>
        <v>109280.3086</v>
      </c>
      <c r="Z76" s="65">
        <f>IFS(
  B76&lt;55,
    MIN(
      IF(AA75 &gt;= VLOOKUP(YEAR(A76), Lookup!$Q:$R, 2),
        Z75 + IF(MONTH(A76)=12, Q76+W76, 0) + I76
          + AA75 + IF(MONTH(A76)=12, R76+X76, 0) - VLOOKUP(YEAR(A76), Lookup!$Q:$R, 2) + J76,
        Z75 + IF(MONTH(A76)=12, Q76+W76, 0) + I76
      ),
      VLOOKUP(YEAR(A76), Lookup!$K:$M, 3)
    ),
  B76=55,
    IF(Z75 &gt;= AD76, Z75 - AD76, 0),
  B76&gt;55, 0
)</f>
        <v>46604.6242</v>
      </c>
      <c r="AA76" s="65">
        <f>IFS(
  B76&lt;65,
    IF(AA75+J76 &lt; VLOOKUP(YEAR(A76), Lookup!$Q:$R, 2),
      AA75 + IF(MONTH(A76)=12, R75+X75, 0) + J76,
      MIN(
        AA75 + IF(MONTH(A76)=12, R75+X75, 0) + J76 ,
        VLOOKUP(YEAR(A76), Lookup!$Q:$R, 2)
      )
    ),
  B76&gt;=65,
    IF(AA75+J76 &lt; VLOOKUP(questions!$C$5, Lookup!$Q:$R, 2),
      AA75 + IF(MONTH(A76)=12, R75+X75, 0) + J76 ,
      MIN(
        AA75 + IF(MONTH(A76)=12, R75+X75, 0) + J76,
        VLOOKUP(questions!$C$5, Lookup!$Q:$R, 2)
      )
    )
)</f>
        <v>59297.14363</v>
      </c>
      <c r="AB76" s="65">
        <f t="shared" si="13"/>
        <v>0</v>
      </c>
      <c r="AC76" s="66">
        <f t="array" ref="AC76">IFS(B76&lt;66, XLOOKUP(year(A76),Lookup!$K$13:$K1000,Lookup!$L$13:$L1000,"missing",,1),B76&gt;65,XLOOKUP(questions!$C$5,Lookup!$K$13:$K1000,Lookup!$L$13:$L1000,"missing",,1))</f>
        <v>135515.0075</v>
      </c>
      <c r="AD76" s="66">
        <f t="array" ref="AD76">IFS(B76&lt;66, XLOOKUP(year(A76),Lookup!$K$13:$K1000,Lookup!$M$13:$M1000,"missing",,1),B76&gt;65, XLOOKUP(questions!$C$5,Lookup!$K$13:$K1000,Lookup!$M$13:$M1000,"missing",,1))</f>
        <v>271030.0149</v>
      </c>
      <c r="AE76" s="66">
        <f t="array" ref="AE76">IFS(B76&lt;66, XLOOKUP(year(A76),Lookup!$K$13:$K1000,Lookup!$N$13:$N1000,"missing",,1),B76&gt;65,XLOOKUP(questions!$C$5,Lookup!$K$13:$K1000,Lookup!$N$13:$N1000,"missing",,1))</f>
        <v>542060.0299</v>
      </c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</row>
    <row r="77">
      <c r="A77" s="55">
        <f t="shared" si="7"/>
        <v>48365</v>
      </c>
      <c r="B77" s="56">
        <f>round(YEARFRAC(EOMONTH(questions!$C$3, 0),A77,1),2)</f>
        <v>33.5</v>
      </c>
      <c r="C77" s="57">
        <f>IF(B77&lt;questions!$C$6,if(MONTH(A77)=1,C76*(1+questions!$C$12),C76),0)</f>
        <v>11940.52297</v>
      </c>
      <c r="D77" s="58">
        <f>IF(MONTH(A77)=12,C77*questions!$C$11,0)</f>
        <v>0</v>
      </c>
      <c r="E77" s="59">
        <f t="shared" si="2"/>
        <v>8000</v>
      </c>
      <c r="F77" s="59">
        <f t="shared" si="3"/>
        <v>0</v>
      </c>
      <c r="G77" s="60">
        <f t="array" ref="G77">if(YEAR(A77)=2025,XLOOKUP(B77,Lookup!$A$3:$A$7,Lookup!$D$3:$D$7,,1)*SUM(E77:F77), XLOOKUP(B77,Lookup!$A$14:$A$18,Lookup!$D$14:$D$18,,1)*SUM(E77:F77))</f>
        <v>2960</v>
      </c>
      <c r="H77" s="60">
        <f t="array" ref="H77">if(YEAR(A77)=2025,XLOOKUP(B77,Lookup!$F$3:$F$10,Lookup!$G$3:$G$10,,1)*G77, XLOOKUP(B77,Lookup!$F$14:$F$21,Lookup!$G$14:$G$21,,1)*G77)</f>
        <v>1840.232</v>
      </c>
      <c r="I77" s="60">
        <f t="array" ref="I77">if(B77&lt;55, if(YEAR(A77)=2025,XLOOKUP(B77,Lookup!$F$3:$F$10,Lookup!$H$3:$H$10,,1)*G77, XLOOKUP(B77,Lookup!$F$14:$F$21,Lookup!$H$14:$H$21,,1)*G77),0)</f>
        <v>479.816</v>
      </c>
      <c r="J77" s="60">
        <f t="array" ref="J77">if(YEAR(A77)=2025,XLOOKUP(B77,Lookup!$F$3:$F$10,Lookup!$I$3:$I$10,,1)*G77, XLOOKUP(B77,Lookup!$F$14:$F$21,Lookup!$I$14:$I$21,,1)*G77)</f>
        <v>639.952</v>
      </c>
      <c r="K77" s="61">
        <f t="array" ref="K77">if(B77&gt;54, if(YEAR(A77)=2025,XLOOKUP(B77,Lookup!$F$3:$F$10,Lookup!$H$3:$H$10,,1)*G77, XLOOKUP(B77,Lookup!$F$14:$F$21,Lookup!$H$14:$H$21,,1)*G77),0)</f>
        <v>0</v>
      </c>
      <c r="L77" s="62">
        <f>IF(and(A77&lt;questions!$C$19,questions!$C$18="yes"),questions!$C$20,0)</f>
        <v>700</v>
      </c>
      <c r="M77" s="63">
        <f>(Y76+H77)*Lookup!A$26/12</f>
        <v>231.5011262</v>
      </c>
      <c r="N77" s="63">
        <f>if(B77&lt;55, (Z76+I77)*Lookup!B$26/12, (AB76+K77)*Lookup!B$26/12)</f>
        <v>156.948134</v>
      </c>
      <c r="O77" s="63">
        <f>(AA76+J77)*Lookup!C$26/12</f>
        <v>199.7903188</v>
      </c>
      <c r="P77" s="63">
        <f t="shared" si="8"/>
        <v>1133.750797</v>
      </c>
      <c r="Q77" s="63">
        <f t="shared" si="4"/>
        <v>768.7468034</v>
      </c>
      <c r="R77" s="63">
        <f t="shared" si="5"/>
        <v>977.6198604</v>
      </c>
      <c r="S77" s="64">
        <f t="shared" si="9"/>
        <v>16.66666667</v>
      </c>
      <c r="T77" s="64">
        <f t="shared" si="10"/>
        <v>33.33333333</v>
      </c>
      <c r="U77" s="64">
        <f t="shared" si="11"/>
        <v>0</v>
      </c>
      <c r="V77" s="64">
        <f t="shared" ref="V77:X77" si="85">IF(year($A77)=year($A76), V76+S77, S77)</f>
        <v>83.33333333</v>
      </c>
      <c r="W77" s="64">
        <f t="shared" si="85"/>
        <v>166.6666667</v>
      </c>
      <c r="X77" s="64">
        <f t="shared" si="85"/>
        <v>0</v>
      </c>
      <c r="Y77" s="65">
        <f>IFS(
  B77&lt;55,
    MAX(
      Y76 + IF(MONTH(A77)=12, P77+V77, 0) + H77 - L77
      + MAX(0,
          IF(AA76 &gt;= VLOOKUP(YEAR(A77), Lookup!$Q:$R, 2),
            Z76 + IF(MONTH(A77)=12, Q77+W77, 0) + I77
              + AA76 + IF(MONTH(A77)=12, R77+X77, 0)
              - VLOOKUP(YEAR(A77), Lookup!$Q:$R, 2) + J77,
            Z76 + IF(MONTH(A77)=12, Q77+W77, 0) + I77
          ) - VLOOKUP(YEAR(A77), Lookup!$K:$M, 3)
        ),
    0),
  B77=55,
    IF(Z76&gt;=AD77,
      MAX(Y76 + IF(MONTH(A77)=12, P77+V77, 0) + H77 - L77, 0),
      MAX(MAX(0, Y76-(AD77-Z76)) + IF(MONTH(A77)=12, P77+V77, 0) + H77 - L77, 0)
    ),
  B77&gt;55,
    IF(AB76&gt;=$AH$7,
      MAX(Y76 + IF(MONTH(A77)=12, P77+V77, 0) + H77 - L77 + K77 + Z76, 0),
      MAX(Y76 + IF(MONTH(A77)=12, P77+V77, 0) + H77 - L77, 0)
    )
)</f>
        <v>110420.5406</v>
      </c>
      <c r="Z77" s="65">
        <f>IFS(
  B77&lt;55,
    MIN(
      IF(AA76 &gt;= VLOOKUP(YEAR(A77), Lookup!$Q:$R, 2),
        Z76 + IF(MONTH(A77)=12, Q77+W77, 0) + I77
          + AA76 + IF(MONTH(A77)=12, R77+X77, 0) - VLOOKUP(YEAR(A77), Lookup!$Q:$R, 2) + J77,
        Z76 + IF(MONTH(A77)=12, Q77+W77, 0) + I77
      ),
      VLOOKUP(YEAR(A77), Lookup!$K:$M, 3)
    ),
  B77=55,
    IF(Z76 &gt;= AD77, Z76 - AD77, 0),
  B77&gt;55, 0
)</f>
        <v>47084.4402</v>
      </c>
      <c r="AA77" s="65">
        <f>IFS(
  B77&lt;65,
    IF(AA76+J77 &lt; VLOOKUP(YEAR(A77), Lookup!$Q:$R, 2),
      AA76 + IF(MONTH(A77)=12, R76+X76, 0) + J77,
      MIN(
        AA76 + IF(MONTH(A77)=12, R76+X76, 0) + J77 ,
        VLOOKUP(YEAR(A77), Lookup!$Q:$R, 2)
      )
    ),
  B77&gt;=65,
    IF(AA76+J77 &lt; VLOOKUP(questions!$C$5, Lookup!$Q:$R, 2),
      AA76 + IF(MONTH(A77)=12, R76+X76, 0) + J77 ,
      MIN(
        AA76 + IF(MONTH(A77)=12, R76+X76, 0) + J77,
        VLOOKUP(questions!$C$5, Lookup!$Q:$R, 2)
      )
    )
)</f>
        <v>59937.09563</v>
      </c>
      <c r="AB77" s="65">
        <f t="shared" si="13"/>
        <v>0</v>
      </c>
      <c r="AC77" s="66">
        <f t="array" ref="AC77">IFS(B77&lt;66, XLOOKUP(year(A77),Lookup!$K$13:$K1000,Lookup!$L$13:$L1000,"missing",,1),B77&gt;65,XLOOKUP(questions!$C$5,Lookup!$K$13:$K1000,Lookup!$L$13:$L1000,"missing",,1))</f>
        <v>135515.0075</v>
      </c>
      <c r="AD77" s="66">
        <f t="array" ref="AD77">IFS(B77&lt;66, XLOOKUP(year(A77),Lookup!$K$13:$K1000,Lookup!$M$13:$M1000,"missing",,1),B77&gt;65, XLOOKUP(questions!$C$5,Lookup!$K$13:$K1000,Lookup!$M$13:$M1000,"missing",,1))</f>
        <v>271030.0149</v>
      </c>
      <c r="AE77" s="66">
        <f t="array" ref="AE77">IFS(B77&lt;66, XLOOKUP(year(A77),Lookup!$K$13:$K1000,Lookup!$N$13:$N1000,"missing",,1),B77&gt;65,XLOOKUP(questions!$C$5,Lookup!$K$13:$K1000,Lookup!$N$13:$N1000,"missing",,1))</f>
        <v>542060.0299</v>
      </c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</row>
    <row r="78">
      <c r="A78" s="55">
        <f t="shared" si="7"/>
        <v>48395</v>
      </c>
      <c r="B78" s="56">
        <f>round(YEARFRAC(EOMONTH(questions!$C$3, 0),A78,1),2)</f>
        <v>33.58</v>
      </c>
      <c r="C78" s="57">
        <f>IF(B78&lt;questions!$C$6,if(MONTH(A78)=1,C77*(1+questions!$C$12),C77),0)</f>
        <v>11940.52297</v>
      </c>
      <c r="D78" s="58">
        <f>IF(MONTH(A78)=12,C78*questions!$C$11,0)</f>
        <v>0</v>
      </c>
      <c r="E78" s="59">
        <f t="shared" si="2"/>
        <v>8000</v>
      </c>
      <c r="F78" s="59">
        <f t="shared" si="3"/>
        <v>0</v>
      </c>
      <c r="G78" s="60">
        <f t="array" ref="G78">if(YEAR(A78)=2025,XLOOKUP(B78,Lookup!$A$3:$A$7,Lookup!$D$3:$D$7,,1)*SUM(E78:F78), XLOOKUP(B78,Lookup!$A$14:$A$18,Lookup!$D$14:$D$18,,1)*SUM(E78:F78))</f>
        <v>2960</v>
      </c>
      <c r="H78" s="60">
        <f t="array" ref="H78">if(YEAR(A78)=2025,XLOOKUP(B78,Lookup!$F$3:$F$10,Lookup!$G$3:$G$10,,1)*G78, XLOOKUP(B78,Lookup!$F$14:$F$21,Lookup!$G$14:$G$21,,1)*G78)</f>
        <v>1840.232</v>
      </c>
      <c r="I78" s="60">
        <f t="array" ref="I78">if(B78&lt;55, if(YEAR(A78)=2025,XLOOKUP(B78,Lookup!$F$3:$F$10,Lookup!$H$3:$H$10,,1)*G78, XLOOKUP(B78,Lookup!$F$14:$F$21,Lookup!$H$14:$H$21,,1)*G78),0)</f>
        <v>479.816</v>
      </c>
      <c r="J78" s="60">
        <f t="array" ref="J78">if(YEAR(A78)=2025,XLOOKUP(B78,Lookup!$F$3:$F$10,Lookup!$I$3:$I$10,,1)*G78, XLOOKUP(B78,Lookup!$F$14:$F$21,Lookup!$I$14:$I$21,,1)*G78)</f>
        <v>639.952</v>
      </c>
      <c r="K78" s="61">
        <f t="array" ref="K78">if(B78&gt;54, if(YEAR(A78)=2025,XLOOKUP(B78,Lookup!$F$3:$F$10,Lookup!$H$3:$H$10,,1)*G78, XLOOKUP(B78,Lookup!$F$14:$F$21,Lookup!$H$14:$H$21,,1)*G78),0)</f>
        <v>0</v>
      </c>
      <c r="L78" s="62">
        <f>IF(and(A78&lt;questions!$C$19,questions!$C$18="yes"),questions!$C$20,0)</f>
        <v>700</v>
      </c>
      <c r="M78" s="63">
        <f>(Y77+H78)*Lookup!A$26/12</f>
        <v>233.8766095</v>
      </c>
      <c r="N78" s="63">
        <f>if(B78&lt;55, (Z77+I78)*Lookup!B$26/12, (AB77+K78)*Lookup!B$26/12)</f>
        <v>158.5475207</v>
      </c>
      <c r="O78" s="63">
        <f>(AA77+J78)*Lookup!C$26/12</f>
        <v>201.9234921</v>
      </c>
      <c r="P78" s="63">
        <f t="shared" si="8"/>
        <v>1367.627407</v>
      </c>
      <c r="Q78" s="63">
        <f t="shared" si="4"/>
        <v>927.2943241</v>
      </c>
      <c r="R78" s="63">
        <f t="shared" si="5"/>
        <v>1179.543353</v>
      </c>
      <c r="S78" s="64">
        <f t="shared" si="9"/>
        <v>16.66666667</v>
      </c>
      <c r="T78" s="64">
        <f t="shared" si="10"/>
        <v>33.33333333</v>
      </c>
      <c r="U78" s="64">
        <f t="shared" si="11"/>
        <v>0</v>
      </c>
      <c r="V78" s="64">
        <f t="shared" ref="V78:X78" si="86">IF(year($A78)=year($A77), V77+S78, S78)</f>
        <v>100</v>
      </c>
      <c r="W78" s="64">
        <f t="shared" si="86"/>
        <v>200</v>
      </c>
      <c r="X78" s="64">
        <f t="shared" si="86"/>
        <v>0</v>
      </c>
      <c r="Y78" s="65">
        <f>IFS(
  B78&lt;55,
    MAX(
      Y77 + IF(MONTH(A78)=12, P78+V78, 0) + H78 - L78
      + MAX(0,
          IF(AA77 &gt;= VLOOKUP(YEAR(A78), Lookup!$Q:$R, 2),
            Z77 + IF(MONTH(A78)=12, Q78+W78, 0) + I78
              + AA77 + IF(MONTH(A78)=12, R78+X78, 0)
              - VLOOKUP(YEAR(A78), Lookup!$Q:$R, 2) + J78,
            Z77 + IF(MONTH(A78)=12, Q78+W78, 0) + I78
          ) - VLOOKUP(YEAR(A78), Lookup!$K:$M, 3)
        ),
    0),
  B78=55,
    IF(Z77&gt;=AD78,
      MAX(Y77 + IF(MONTH(A78)=12, P78+V78, 0) + H78 - L78, 0),
      MAX(MAX(0, Y77-(AD78-Z77)) + IF(MONTH(A78)=12, P78+V78, 0) + H78 - L78, 0)
    ),
  B78&gt;55,
    IF(AB77&gt;=$AH$7,
      MAX(Y77 + IF(MONTH(A78)=12, P78+V78, 0) + H78 - L78 + K78 + Z77, 0),
      MAX(Y77 + IF(MONTH(A78)=12, P78+V78, 0) + H78 - L78, 0)
    )
)</f>
        <v>111560.7726</v>
      </c>
      <c r="Z78" s="65">
        <f>IFS(
  B78&lt;55,
    MIN(
      IF(AA77 &gt;= VLOOKUP(YEAR(A78), Lookup!$Q:$R, 2),
        Z77 + IF(MONTH(A78)=12, Q78+W78, 0) + I78
          + AA77 + IF(MONTH(A78)=12, R78+X78, 0) - VLOOKUP(YEAR(A78), Lookup!$Q:$R, 2) + J78,
        Z77 + IF(MONTH(A78)=12, Q78+W78, 0) + I78
      ),
      VLOOKUP(YEAR(A78), Lookup!$K:$M, 3)
    ),
  B78=55,
    IF(Z77 &gt;= AD78, Z77 - AD78, 0),
  B78&gt;55, 0
)</f>
        <v>47564.2562</v>
      </c>
      <c r="AA78" s="65">
        <f>IFS(
  B78&lt;65,
    IF(AA77+J78 &lt; VLOOKUP(YEAR(A78), Lookup!$Q:$R, 2),
      AA77 + IF(MONTH(A78)=12, R77+X77, 0) + J78,
      MIN(
        AA77 + IF(MONTH(A78)=12, R77+X77, 0) + J78 ,
        VLOOKUP(YEAR(A78), Lookup!$Q:$R, 2)
      )
    ),
  B78&gt;=65,
    IF(AA77+J78 &lt; VLOOKUP(questions!$C$5, Lookup!$Q:$R, 2),
      AA77 + IF(MONTH(A78)=12, R77+X77, 0) + J78 ,
      MIN(
        AA77 + IF(MONTH(A78)=12, R77+X77, 0) + J78,
        VLOOKUP(questions!$C$5, Lookup!$Q:$R, 2)
      )
    )
)</f>
        <v>60577.04763</v>
      </c>
      <c r="AB78" s="65">
        <f t="shared" si="13"/>
        <v>0</v>
      </c>
      <c r="AC78" s="66">
        <f t="array" ref="AC78">IFS(B78&lt;66, XLOOKUP(year(A78),Lookup!$K$13:$K1000,Lookup!$L$13:$L1000,"missing",,1),B78&gt;65,XLOOKUP(questions!$C$5,Lookup!$K$13:$K1000,Lookup!$L$13:$L1000,"missing",,1))</f>
        <v>135515.0075</v>
      </c>
      <c r="AD78" s="66">
        <f t="array" ref="AD78">IFS(B78&lt;66, XLOOKUP(year(A78),Lookup!$K$13:$K1000,Lookup!$M$13:$M1000,"missing",,1),B78&gt;65, XLOOKUP(questions!$C$5,Lookup!$K$13:$K1000,Lookup!$M$13:$M1000,"missing",,1))</f>
        <v>271030.0149</v>
      </c>
      <c r="AE78" s="66">
        <f t="array" ref="AE78">IFS(B78&lt;66, XLOOKUP(year(A78),Lookup!$K$13:$K1000,Lookup!$N$13:$N1000,"missing",,1),B78&gt;65,XLOOKUP(questions!$C$5,Lookup!$K$13:$K1000,Lookup!$N$13:$N1000,"missing",,1))</f>
        <v>542060.0299</v>
      </c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</row>
    <row r="79">
      <c r="A79" s="55">
        <f t="shared" si="7"/>
        <v>48426</v>
      </c>
      <c r="B79" s="56">
        <f>round(YEARFRAC(EOMONTH(questions!$C$3, 0),A79,1),2)</f>
        <v>33.67</v>
      </c>
      <c r="C79" s="57">
        <f>IF(B79&lt;questions!$C$6,if(MONTH(A79)=1,C78*(1+questions!$C$12),C78),0)</f>
        <v>11940.52297</v>
      </c>
      <c r="D79" s="58">
        <f>IF(MONTH(A79)=12,C79*questions!$C$11,0)</f>
        <v>0</v>
      </c>
      <c r="E79" s="59">
        <f t="shared" si="2"/>
        <v>8000</v>
      </c>
      <c r="F79" s="59">
        <f t="shared" si="3"/>
        <v>0</v>
      </c>
      <c r="G79" s="60">
        <f t="array" ref="G79">if(YEAR(A79)=2025,XLOOKUP(B79,Lookup!$A$3:$A$7,Lookup!$D$3:$D$7,,1)*SUM(E79:F79), XLOOKUP(B79,Lookup!$A$14:$A$18,Lookup!$D$14:$D$18,,1)*SUM(E79:F79))</f>
        <v>2960</v>
      </c>
      <c r="H79" s="60">
        <f t="array" ref="H79">if(YEAR(A79)=2025,XLOOKUP(B79,Lookup!$F$3:$F$10,Lookup!$G$3:$G$10,,1)*G79, XLOOKUP(B79,Lookup!$F$14:$F$21,Lookup!$G$14:$G$21,,1)*G79)</f>
        <v>1840.232</v>
      </c>
      <c r="I79" s="60">
        <f t="array" ref="I79">if(B79&lt;55, if(YEAR(A79)=2025,XLOOKUP(B79,Lookup!$F$3:$F$10,Lookup!$H$3:$H$10,,1)*G79, XLOOKUP(B79,Lookup!$F$14:$F$21,Lookup!$H$14:$H$21,,1)*G79),0)</f>
        <v>479.816</v>
      </c>
      <c r="J79" s="60">
        <f t="array" ref="J79">if(YEAR(A79)=2025,XLOOKUP(B79,Lookup!$F$3:$F$10,Lookup!$I$3:$I$10,,1)*G79, XLOOKUP(B79,Lookup!$F$14:$F$21,Lookup!$I$14:$I$21,,1)*G79)</f>
        <v>639.952</v>
      </c>
      <c r="K79" s="61">
        <f t="array" ref="K79">if(B79&gt;54, if(YEAR(A79)=2025,XLOOKUP(B79,Lookup!$F$3:$F$10,Lookup!$H$3:$H$10,,1)*G79, XLOOKUP(B79,Lookup!$F$14:$F$21,Lookup!$H$14:$H$21,,1)*G79),0)</f>
        <v>0</v>
      </c>
      <c r="L79" s="62">
        <f>IF(and(A79&lt;questions!$C$19,questions!$C$18="yes"),questions!$C$20,0)</f>
        <v>700</v>
      </c>
      <c r="M79" s="63">
        <f>(Y78+H79)*Lookup!A$26/12</f>
        <v>236.2520928</v>
      </c>
      <c r="N79" s="63">
        <f>if(B79&lt;55, (Z78+I79)*Lookup!B$26/12, (AB78+K79)*Lookup!B$26/12)</f>
        <v>160.1469073</v>
      </c>
      <c r="O79" s="63">
        <f>(AA78+J79)*Lookup!C$26/12</f>
        <v>204.0566654</v>
      </c>
      <c r="P79" s="63">
        <f t="shared" si="8"/>
        <v>1603.8795</v>
      </c>
      <c r="Q79" s="63">
        <f t="shared" si="4"/>
        <v>1087.441231</v>
      </c>
      <c r="R79" s="63">
        <f t="shared" si="5"/>
        <v>1383.600018</v>
      </c>
      <c r="S79" s="64">
        <f t="shared" si="9"/>
        <v>16.66666667</v>
      </c>
      <c r="T79" s="64">
        <f t="shared" si="10"/>
        <v>33.33333333</v>
      </c>
      <c r="U79" s="64">
        <f t="shared" si="11"/>
        <v>0</v>
      </c>
      <c r="V79" s="64">
        <f t="shared" ref="V79:X79" si="87">IF(year($A79)=year($A78), V78+S79, S79)</f>
        <v>116.6666667</v>
      </c>
      <c r="W79" s="64">
        <f t="shared" si="87"/>
        <v>233.3333333</v>
      </c>
      <c r="X79" s="64">
        <f t="shared" si="87"/>
        <v>0</v>
      </c>
      <c r="Y79" s="65">
        <f>IFS(
  B79&lt;55,
    MAX(
      Y78 + IF(MONTH(A79)=12, P79+V79, 0) + H79 - L79
      + MAX(0,
          IF(AA78 &gt;= VLOOKUP(YEAR(A79), Lookup!$Q:$R, 2),
            Z78 + IF(MONTH(A79)=12, Q79+W79, 0) + I79
              + AA78 + IF(MONTH(A79)=12, R79+X79, 0)
              - VLOOKUP(YEAR(A79), Lookup!$Q:$R, 2) + J79,
            Z78 + IF(MONTH(A79)=12, Q79+W79, 0) + I79
          ) - VLOOKUP(YEAR(A79), Lookup!$K:$M, 3)
        ),
    0),
  B79=55,
    IF(Z78&gt;=AD79,
      MAX(Y78 + IF(MONTH(A79)=12, P79+V79, 0) + H79 - L79, 0),
      MAX(MAX(0, Y78-(AD79-Z78)) + IF(MONTH(A79)=12, P79+V79, 0) + H79 - L79, 0)
    ),
  B79&gt;55,
    IF(AB78&gt;=$AH$7,
      MAX(Y78 + IF(MONTH(A79)=12, P79+V79, 0) + H79 - L79 + K79 + Z78, 0),
      MAX(Y78 + IF(MONTH(A79)=12, P79+V79, 0) + H79 - L79, 0)
    )
)</f>
        <v>112701.0046</v>
      </c>
      <c r="Z79" s="65">
        <f>IFS(
  B79&lt;55,
    MIN(
      IF(AA78 &gt;= VLOOKUP(YEAR(A79), Lookup!$Q:$R, 2),
        Z78 + IF(MONTH(A79)=12, Q79+W79, 0) + I79
          + AA78 + IF(MONTH(A79)=12, R79+X79, 0) - VLOOKUP(YEAR(A79), Lookup!$Q:$R, 2) + J79,
        Z78 + IF(MONTH(A79)=12, Q79+W79, 0) + I79
      ),
      VLOOKUP(YEAR(A79), Lookup!$K:$M, 3)
    ),
  B79=55,
    IF(Z78 &gt;= AD79, Z78 - AD79, 0),
  B79&gt;55, 0
)</f>
        <v>48044.0722</v>
      </c>
      <c r="AA79" s="65">
        <f>IFS(
  B79&lt;65,
    IF(AA78+J79 &lt; VLOOKUP(YEAR(A79), Lookup!$Q:$R, 2),
      AA78 + IF(MONTH(A79)=12, R78+X78, 0) + J79,
      MIN(
        AA78 + IF(MONTH(A79)=12, R78+X78, 0) + J79 ,
        VLOOKUP(YEAR(A79), Lookup!$Q:$R, 2)
      )
    ),
  B79&gt;=65,
    IF(AA78+J79 &lt; VLOOKUP(questions!$C$5, Lookup!$Q:$R, 2),
      AA78 + IF(MONTH(A79)=12, R78+X78, 0) + J79 ,
      MIN(
        AA78 + IF(MONTH(A79)=12, R78+X78, 0) + J79,
        VLOOKUP(questions!$C$5, Lookup!$Q:$R, 2)
      )
    )
)</f>
        <v>61216.99963</v>
      </c>
      <c r="AB79" s="65">
        <f t="shared" si="13"/>
        <v>0</v>
      </c>
      <c r="AC79" s="66">
        <f t="array" ref="AC79">IFS(B79&lt;66, XLOOKUP(year(A79),Lookup!$K$13:$K1000,Lookup!$L$13:$L1000,"missing",,1),B79&gt;65,XLOOKUP(questions!$C$5,Lookup!$K$13:$K1000,Lookup!$L$13:$L1000,"missing",,1))</f>
        <v>135515.0075</v>
      </c>
      <c r="AD79" s="66">
        <f t="array" ref="AD79">IFS(B79&lt;66, XLOOKUP(year(A79),Lookup!$K$13:$K1000,Lookup!$M$13:$M1000,"missing",,1),B79&gt;65, XLOOKUP(questions!$C$5,Lookup!$K$13:$K1000,Lookup!$M$13:$M1000,"missing",,1))</f>
        <v>271030.0149</v>
      </c>
      <c r="AE79" s="66">
        <f t="array" ref="AE79">IFS(B79&lt;66, XLOOKUP(year(A79),Lookup!$K$13:$K1000,Lookup!$N$13:$N1000,"missing",,1),B79&gt;65,XLOOKUP(questions!$C$5,Lookup!$K$13:$K1000,Lookup!$N$13:$N1000,"missing",,1))</f>
        <v>542060.0299</v>
      </c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</row>
    <row r="80">
      <c r="A80" s="55">
        <f t="shared" si="7"/>
        <v>48457</v>
      </c>
      <c r="B80" s="56">
        <f>round(YEARFRAC(EOMONTH(questions!$C$3, 0),A80,1),2)</f>
        <v>33.75</v>
      </c>
      <c r="C80" s="57">
        <f>IF(B80&lt;questions!$C$6,if(MONTH(A80)=1,C79*(1+questions!$C$12),C79),0)</f>
        <v>11940.52297</v>
      </c>
      <c r="D80" s="58">
        <f>IF(MONTH(A80)=12,C80*questions!$C$11,0)</f>
        <v>0</v>
      </c>
      <c r="E80" s="59">
        <f t="shared" si="2"/>
        <v>8000</v>
      </c>
      <c r="F80" s="59">
        <f t="shared" si="3"/>
        <v>0</v>
      </c>
      <c r="G80" s="60">
        <f t="array" ref="G80">if(YEAR(A80)=2025,XLOOKUP(B80,Lookup!$A$3:$A$7,Lookup!$D$3:$D$7,,1)*SUM(E80:F80), XLOOKUP(B80,Lookup!$A$14:$A$18,Lookup!$D$14:$D$18,,1)*SUM(E80:F80))</f>
        <v>2960</v>
      </c>
      <c r="H80" s="60">
        <f t="array" ref="H80">if(YEAR(A80)=2025,XLOOKUP(B80,Lookup!$F$3:$F$10,Lookup!$G$3:$G$10,,1)*G80, XLOOKUP(B80,Lookup!$F$14:$F$21,Lookup!$G$14:$G$21,,1)*G80)</f>
        <v>1840.232</v>
      </c>
      <c r="I80" s="60">
        <f t="array" ref="I80">if(B80&lt;55, if(YEAR(A80)=2025,XLOOKUP(B80,Lookup!$F$3:$F$10,Lookup!$H$3:$H$10,,1)*G80, XLOOKUP(B80,Lookup!$F$14:$F$21,Lookup!$H$14:$H$21,,1)*G80),0)</f>
        <v>479.816</v>
      </c>
      <c r="J80" s="60">
        <f t="array" ref="J80">if(YEAR(A80)=2025,XLOOKUP(B80,Lookup!$F$3:$F$10,Lookup!$I$3:$I$10,,1)*G80, XLOOKUP(B80,Lookup!$F$14:$F$21,Lookup!$I$14:$I$21,,1)*G80)</f>
        <v>639.952</v>
      </c>
      <c r="K80" s="61">
        <f t="array" ref="K80">if(B80&gt;54, if(YEAR(A80)=2025,XLOOKUP(B80,Lookup!$F$3:$F$10,Lookup!$H$3:$H$10,,1)*G80, XLOOKUP(B80,Lookup!$F$14:$F$21,Lookup!$H$14:$H$21,,1)*G80),0)</f>
        <v>0</v>
      </c>
      <c r="L80" s="62">
        <f>IF(and(A80&lt;questions!$C$19,questions!$C$18="yes"),questions!$C$20,0)</f>
        <v>700</v>
      </c>
      <c r="M80" s="63">
        <f>(Y79+H80)*Lookup!A$26/12</f>
        <v>238.6275762</v>
      </c>
      <c r="N80" s="63">
        <f>if(B80&lt;55, (Z79+I80)*Lookup!B$26/12, (AB79+K80)*Lookup!B$26/12)</f>
        <v>161.746294</v>
      </c>
      <c r="O80" s="63">
        <f>(AA79+J80)*Lookup!C$26/12</f>
        <v>206.1898388</v>
      </c>
      <c r="P80" s="63">
        <f t="shared" si="8"/>
        <v>1842.507076</v>
      </c>
      <c r="Q80" s="63">
        <f t="shared" si="4"/>
        <v>1249.187525</v>
      </c>
      <c r="R80" s="63">
        <f t="shared" si="5"/>
        <v>1589.789857</v>
      </c>
      <c r="S80" s="64">
        <f t="shared" si="9"/>
        <v>16.66666667</v>
      </c>
      <c r="T80" s="64">
        <f t="shared" si="10"/>
        <v>33.33333333</v>
      </c>
      <c r="U80" s="64">
        <f t="shared" si="11"/>
        <v>0</v>
      </c>
      <c r="V80" s="64">
        <f t="shared" ref="V80:X80" si="88">IF(year($A80)=year($A79), V79+S80, S80)</f>
        <v>133.3333333</v>
      </c>
      <c r="W80" s="64">
        <f t="shared" si="88"/>
        <v>266.6666667</v>
      </c>
      <c r="X80" s="64">
        <f t="shared" si="88"/>
        <v>0</v>
      </c>
      <c r="Y80" s="65">
        <f>IFS(
  B80&lt;55,
    MAX(
      Y79 + IF(MONTH(A80)=12, P80+V80, 0) + H80 - L80
      + MAX(0,
          IF(AA79 &gt;= VLOOKUP(YEAR(A80), Lookup!$Q:$R, 2),
            Z79 + IF(MONTH(A80)=12, Q80+W80, 0) + I80
              + AA79 + IF(MONTH(A80)=12, R80+X80, 0)
              - VLOOKUP(YEAR(A80), Lookup!$Q:$R, 2) + J80,
            Z79 + IF(MONTH(A80)=12, Q80+W80, 0) + I80
          ) - VLOOKUP(YEAR(A80), Lookup!$K:$M, 3)
        ),
    0),
  B80=55,
    IF(Z79&gt;=AD80,
      MAX(Y79 + IF(MONTH(A80)=12, P80+V80, 0) + H80 - L80, 0),
      MAX(MAX(0, Y79-(AD80-Z79)) + IF(MONTH(A80)=12, P80+V80, 0) + H80 - L80, 0)
    ),
  B80&gt;55,
    IF(AB79&gt;=$AH$7,
      MAX(Y79 + IF(MONTH(A80)=12, P80+V80, 0) + H80 - L80 + K80 + Z79, 0),
      MAX(Y79 + IF(MONTH(A80)=12, P80+V80, 0) + H80 - L80, 0)
    )
)</f>
        <v>113841.2366</v>
      </c>
      <c r="Z80" s="65">
        <f>IFS(
  B80&lt;55,
    MIN(
      IF(AA79 &gt;= VLOOKUP(YEAR(A80), Lookup!$Q:$R, 2),
        Z79 + IF(MONTH(A80)=12, Q80+W80, 0) + I80
          + AA79 + IF(MONTH(A80)=12, R80+X80, 0) - VLOOKUP(YEAR(A80), Lookup!$Q:$R, 2) + J80,
        Z79 + IF(MONTH(A80)=12, Q80+W80, 0) + I80
      ),
      VLOOKUP(YEAR(A80), Lookup!$K:$M, 3)
    ),
  B80=55,
    IF(Z79 &gt;= AD80, Z79 - AD80, 0),
  B80&gt;55, 0
)</f>
        <v>48523.8882</v>
      </c>
      <c r="AA80" s="65">
        <f>IFS(
  B80&lt;65,
    IF(AA79+J80 &lt; VLOOKUP(YEAR(A80), Lookup!$Q:$R, 2),
      AA79 + IF(MONTH(A80)=12, R79+X79, 0) + J80,
      MIN(
        AA79 + IF(MONTH(A80)=12, R79+X79, 0) + J80 ,
        VLOOKUP(YEAR(A80), Lookup!$Q:$R, 2)
      )
    ),
  B80&gt;=65,
    IF(AA79+J80 &lt; VLOOKUP(questions!$C$5, Lookup!$Q:$R, 2),
      AA79 + IF(MONTH(A80)=12, R79+X79, 0) + J80 ,
      MIN(
        AA79 + IF(MONTH(A80)=12, R79+X79, 0) + J80,
        VLOOKUP(questions!$C$5, Lookup!$Q:$R, 2)
      )
    )
)</f>
        <v>61856.95163</v>
      </c>
      <c r="AB80" s="65">
        <f t="shared" si="13"/>
        <v>0</v>
      </c>
      <c r="AC80" s="66">
        <f t="array" ref="AC80">IFS(B80&lt;66, XLOOKUP(year(A80),Lookup!$K$13:$K1000,Lookup!$L$13:$L1000,"missing",,1),B80&gt;65,XLOOKUP(questions!$C$5,Lookup!$K$13:$K1000,Lookup!$L$13:$L1000,"missing",,1))</f>
        <v>135515.0075</v>
      </c>
      <c r="AD80" s="66">
        <f t="array" ref="AD80">IFS(B80&lt;66, XLOOKUP(year(A80),Lookup!$K$13:$K1000,Lookup!$M$13:$M1000,"missing",,1),B80&gt;65, XLOOKUP(questions!$C$5,Lookup!$K$13:$K1000,Lookup!$M$13:$M1000,"missing",,1))</f>
        <v>271030.0149</v>
      </c>
      <c r="AE80" s="66">
        <f t="array" ref="AE80">IFS(B80&lt;66, XLOOKUP(year(A80),Lookup!$K$13:$K1000,Lookup!$N$13:$N1000,"missing",,1),B80&gt;65,XLOOKUP(questions!$C$5,Lookup!$K$13:$K1000,Lookup!$N$13:$N1000,"missing",,1))</f>
        <v>542060.0299</v>
      </c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</row>
    <row r="81">
      <c r="A81" s="55">
        <f t="shared" si="7"/>
        <v>48487</v>
      </c>
      <c r="B81" s="56">
        <f>round(YEARFRAC(EOMONTH(questions!$C$3, 0),A81,1),2)</f>
        <v>33.83</v>
      </c>
      <c r="C81" s="57">
        <f>IF(B81&lt;questions!$C$6,if(MONTH(A81)=1,C80*(1+questions!$C$12),C80),0)</f>
        <v>11940.52297</v>
      </c>
      <c r="D81" s="58">
        <f>IF(MONTH(A81)=12,C81*questions!$C$11,0)</f>
        <v>0</v>
      </c>
      <c r="E81" s="59">
        <f t="shared" si="2"/>
        <v>8000</v>
      </c>
      <c r="F81" s="59">
        <f t="shared" si="3"/>
        <v>0</v>
      </c>
      <c r="G81" s="60">
        <f t="array" ref="G81">if(YEAR(A81)=2025,XLOOKUP(B81,Lookup!$A$3:$A$7,Lookup!$D$3:$D$7,,1)*SUM(E81:F81), XLOOKUP(B81,Lookup!$A$14:$A$18,Lookup!$D$14:$D$18,,1)*SUM(E81:F81))</f>
        <v>2960</v>
      </c>
      <c r="H81" s="60">
        <f t="array" ref="H81">if(YEAR(A81)=2025,XLOOKUP(B81,Lookup!$F$3:$F$10,Lookup!$G$3:$G$10,,1)*G81, XLOOKUP(B81,Lookup!$F$14:$F$21,Lookup!$G$14:$G$21,,1)*G81)</f>
        <v>1840.232</v>
      </c>
      <c r="I81" s="60">
        <f t="array" ref="I81">if(B81&lt;55, if(YEAR(A81)=2025,XLOOKUP(B81,Lookup!$F$3:$F$10,Lookup!$H$3:$H$10,,1)*G81, XLOOKUP(B81,Lookup!$F$14:$F$21,Lookup!$H$14:$H$21,,1)*G81),0)</f>
        <v>479.816</v>
      </c>
      <c r="J81" s="60">
        <f t="array" ref="J81">if(YEAR(A81)=2025,XLOOKUP(B81,Lookup!$F$3:$F$10,Lookup!$I$3:$I$10,,1)*G81, XLOOKUP(B81,Lookup!$F$14:$F$21,Lookup!$I$14:$I$21,,1)*G81)</f>
        <v>639.952</v>
      </c>
      <c r="K81" s="61">
        <f t="array" ref="K81">if(B81&gt;54, if(YEAR(A81)=2025,XLOOKUP(B81,Lookup!$F$3:$F$10,Lookup!$H$3:$H$10,,1)*G81, XLOOKUP(B81,Lookup!$F$14:$F$21,Lookup!$H$14:$H$21,,1)*G81),0)</f>
        <v>0</v>
      </c>
      <c r="L81" s="62">
        <f>IF(and(A81&lt;questions!$C$19,questions!$C$18="yes"),questions!$C$20,0)</f>
        <v>700</v>
      </c>
      <c r="M81" s="63">
        <f>(Y80+H81)*Lookup!A$26/12</f>
        <v>241.0030595</v>
      </c>
      <c r="N81" s="63">
        <f>if(B81&lt;55, (Z80+I81)*Lookup!B$26/12, (AB80+K81)*Lookup!B$26/12)</f>
        <v>163.3456807</v>
      </c>
      <c r="O81" s="63">
        <f>(AA80+J81)*Lookup!C$26/12</f>
        <v>208.3230121</v>
      </c>
      <c r="P81" s="63">
        <f t="shared" si="8"/>
        <v>2083.510135</v>
      </c>
      <c r="Q81" s="63">
        <f t="shared" si="4"/>
        <v>1412.533206</v>
      </c>
      <c r="R81" s="63">
        <f t="shared" si="5"/>
        <v>1798.112869</v>
      </c>
      <c r="S81" s="64">
        <f t="shared" si="9"/>
        <v>16.66666667</v>
      </c>
      <c r="T81" s="64">
        <f t="shared" si="10"/>
        <v>33.33333333</v>
      </c>
      <c r="U81" s="64">
        <f t="shared" si="11"/>
        <v>0</v>
      </c>
      <c r="V81" s="64">
        <f t="shared" ref="V81:X81" si="89">IF(year($A81)=year($A80), V80+S81, S81)</f>
        <v>150</v>
      </c>
      <c r="W81" s="64">
        <f t="shared" si="89"/>
        <v>300</v>
      </c>
      <c r="X81" s="64">
        <f t="shared" si="89"/>
        <v>0</v>
      </c>
      <c r="Y81" s="65">
        <f>IFS(
  B81&lt;55,
    MAX(
      Y80 + IF(MONTH(A81)=12, P81+V81, 0) + H81 - L81
      + MAX(0,
          IF(AA80 &gt;= VLOOKUP(YEAR(A81), Lookup!$Q:$R, 2),
            Z80 + IF(MONTH(A81)=12, Q81+W81, 0) + I81
              + AA80 + IF(MONTH(A81)=12, R81+X81, 0)
              - VLOOKUP(YEAR(A81), Lookup!$Q:$R, 2) + J81,
            Z80 + IF(MONTH(A81)=12, Q81+W81, 0) + I81
          ) - VLOOKUP(YEAR(A81), Lookup!$K:$M, 3)
        ),
    0),
  B81=55,
    IF(Z80&gt;=AD81,
      MAX(Y80 + IF(MONTH(A81)=12, P81+V81, 0) + H81 - L81, 0),
      MAX(MAX(0, Y80-(AD81-Z80)) + IF(MONTH(A81)=12, P81+V81, 0) + H81 - L81, 0)
    ),
  B81&gt;55,
    IF(AB80&gt;=$AH$7,
      MAX(Y80 + IF(MONTH(A81)=12, P81+V81, 0) + H81 - L81 + K81 + Z80, 0),
      MAX(Y80 + IF(MONTH(A81)=12, P81+V81, 0) + H81 - L81, 0)
    )
)</f>
        <v>114981.4686</v>
      </c>
      <c r="Z81" s="65">
        <f>IFS(
  B81&lt;55,
    MIN(
      IF(AA80 &gt;= VLOOKUP(YEAR(A81), Lookup!$Q:$R, 2),
        Z80 + IF(MONTH(A81)=12, Q81+W81, 0) + I81
          + AA80 + IF(MONTH(A81)=12, R81+X81, 0) - VLOOKUP(YEAR(A81), Lookup!$Q:$R, 2) + J81,
        Z80 + IF(MONTH(A81)=12, Q81+W81, 0) + I81
      ),
      VLOOKUP(YEAR(A81), Lookup!$K:$M, 3)
    ),
  B81=55,
    IF(Z80 &gt;= AD81, Z80 - AD81, 0),
  B81&gt;55, 0
)</f>
        <v>49003.7042</v>
      </c>
      <c r="AA81" s="65">
        <f>IFS(
  B81&lt;65,
    IF(AA80+J81 &lt; VLOOKUP(YEAR(A81), Lookup!$Q:$R, 2),
      AA80 + IF(MONTH(A81)=12, R80+X80, 0) + J81,
      MIN(
        AA80 + IF(MONTH(A81)=12, R80+X80, 0) + J81 ,
        VLOOKUP(YEAR(A81), Lookup!$Q:$R, 2)
      )
    ),
  B81&gt;=65,
    IF(AA80+J81 &lt; VLOOKUP(questions!$C$5, Lookup!$Q:$R, 2),
      AA80 + IF(MONTH(A81)=12, R80+X80, 0) + J81 ,
      MIN(
        AA80 + IF(MONTH(A81)=12, R80+X80, 0) + J81,
        VLOOKUP(questions!$C$5, Lookup!$Q:$R, 2)
      )
    )
)</f>
        <v>62496.90363</v>
      </c>
      <c r="AB81" s="65">
        <f t="shared" si="13"/>
        <v>0</v>
      </c>
      <c r="AC81" s="66">
        <f t="array" ref="AC81">IFS(B81&lt;66, XLOOKUP(year(A81),Lookup!$K$13:$K1000,Lookup!$L$13:$L1000,"missing",,1),B81&gt;65,XLOOKUP(questions!$C$5,Lookup!$K$13:$K1000,Lookup!$L$13:$L1000,"missing",,1))</f>
        <v>135515.0075</v>
      </c>
      <c r="AD81" s="66">
        <f t="array" ref="AD81">IFS(B81&lt;66, XLOOKUP(year(A81),Lookup!$K$13:$K1000,Lookup!$M$13:$M1000,"missing",,1),B81&gt;65, XLOOKUP(questions!$C$5,Lookup!$K$13:$K1000,Lookup!$M$13:$M1000,"missing",,1))</f>
        <v>271030.0149</v>
      </c>
      <c r="AE81" s="66">
        <f t="array" ref="AE81">IFS(B81&lt;66, XLOOKUP(year(A81),Lookup!$K$13:$K1000,Lookup!$N$13:$N1000,"missing",,1),B81&gt;65,XLOOKUP(questions!$C$5,Lookup!$K$13:$K1000,Lookup!$N$13:$N1000,"missing",,1))</f>
        <v>542060.0299</v>
      </c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</row>
    <row r="82">
      <c r="A82" s="55">
        <f t="shared" si="7"/>
        <v>48518</v>
      </c>
      <c r="B82" s="56">
        <f>round(YEARFRAC(EOMONTH(questions!$C$3, 0),A82,1),2)</f>
        <v>33.92</v>
      </c>
      <c r="C82" s="57">
        <f>IF(B82&lt;questions!$C$6,if(MONTH(A82)=1,C81*(1+questions!$C$12),C81),0)</f>
        <v>11940.52297</v>
      </c>
      <c r="D82" s="58">
        <f>IF(MONTH(A82)=12,C82*questions!$C$11,0)</f>
        <v>0</v>
      </c>
      <c r="E82" s="59">
        <f t="shared" si="2"/>
        <v>8000</v>
      </c>
      <c r="F82" s="59">
        <f t="shared" si="3"/>
        <v>0</v>
      </c>
      <c r="G82" s="60">
        <f t="array" ref="G82">if(YEAR(A82)=2025,XLOOKUP(B82,Lookup!$A$3:$A$7,Lookup!$D$3:$D$7,,1)*SUM(E82:F82), XLOOKUP(B82,Lookup!$A$14:$A$18,Lookup!$D$14:$D$18,,1)*SUM(E82:F82))</f>
        <v>2960</v>
      </c>
      <c r="H82" s="60">
        <f t="array" ref="H82">if(YEAR(A82)=2025,XLOOKUP(B82,Lookup!$F$3:$F$10,Lookup!$G$3:$G$10,,1)*G82, XLOOKUP(B82,Lookup!$F$14:$F$21,Lookup!$G$14:$G$21,,1)*G82)</f>
        <v>1840.232</v>
      </c>
      <c r="I82" s="60">
        <f t="array" ref="I82">if(B82&lt;55, if(YEAR(A82)=2025,XLOOKUP(B82,Lookup!$F$3:$F$10,Lookup!$H$3:$H$10,,1)*G82, XLOOKUP(B82,Lookup!$F$14:$F$21,Lookup!$H$14:$H$21,,1)*G82),0)</f>
        <v>479.816</v>
      </c>
      <c r="J82" s="60">
        <f t="array" ref="J82">if(YEAR(A82)=2025,XLOOKUP(B82,Lookup!$F$3:$F$10,Lookup!$I$3:$I$10,,1)*G82, XLOOKUP(B82,Lookup!$F$14:$F$21,Lookup!$I$14:$I$21,,1)*G82)</f>
        <v>639.952</v>
      </c>
      <c r="K82" s="61">
        <f t="array" ref="K82">if(B82&gt;54, if(YEAR(A82)=2025,XLOOKUP(B82,Lookup!$F$3:$F$10,Lookup!$H$3:$H$10,,1)*G82, XLOOKUP(B82,Lookup!$F$14:$F$21,Lookup!$H$14:$H$21,,1)*G82),0)</f>
        <v>0</v>
      </c>
      <c r="L82" s="62">
        <f>IF(and(A82&lt;questions!$C$19,questions!$C$18="yes"),questions!$C$20,0)</f>
        <v>700</v>
      </c>
      <c r="M82" s="63">
        <f>(Y81+H82)*Lookup!A$26/12</f>
        <v>243.3785428</v>
      </c>
      <c r="N82" s="63">
        <f>if(B82&lt;55, (Z81+I82)*Lookup!B$26/12, (AB81+K82)*Lookup!B$26/12)</f>
        <v>164.9450673</v>
      </c>
      <c r="O82" s="63">
        <f>(AA81+J82)*Lookup!C$26/12</f>
        <v>210.4561854</v>
      </c>
      <c r="P82" s="63">
        <f t="shared" si="8"/>
        <v>2326.888678</v>
      </c>
      <c r="Q82" s="63">
        <f t="shared" si="4"/>
        <v>1577.478273</v>
      </c>
      <c r="R82" s="63">
        <f t="shared" si="5"/>
        <v>2008.569054</v>
      </c>
      <c r="S82" s="64">
        <f t="shared" si="9"/>
        <v>16.66666667</v>
      </c>
      <c r="T82" s="64">
        <f t="shared" si="10"/>
        <v>33.33333333</v>
      </c>
      <c r="U82" s="64">
        <f t="shared" si="11"/>
        <v>0</v>
      </c>
      <c r="V82" s="64">
        <f t="shared" ref="V82:X82" si="90">IF(year($A82)=year($A81), V81+S82, S82)</f>
        <v>166.6666667</v>
      </c>
      <c r="W82" s="64">
        <f t="shared" si="90"/>
        <v>333.3333333</v>
      </c>
      <c r="X82" s="64">
        <f t="shared" si="90"/>
        <v>0</v>
      </c>
      <c r="Y82" s="65">
        <f>IFS(
  B82&lt;55,
    MAX(
      Y81 + IF(MONTH(A82)=12, P82+V82, 0) + H82 - L82
      + MAX(0,
          IF(AA81 &gt;= VLOOKUP(YEAR(A82), Lookup!$Q:$R, 2),
            Z81 + IF(MONTH(A82)=12, Q82+W82, 0) + I82
              + AA81 + IF(MONTH(A82)=12, R82+X82, 0)
              - VLOOKUP(YEAR(A82), Lookup!$Q:$R, 2) + J82,
            Z81 + IF(MONTH(A82)=12, Q82+W82, 0) + I82
          ) - VLOOKUP(YEAR(A82), Lookup!$K:$M, 3)
        ),
    0),
  B82=55,
    IF(Z81&gt;=AD82,
      MAX(Y81 + IF(MONTH(A82)=12, P82+V82, 0) + H82 - L82, 0),
      MAX(MAX(0, Y81-(AD82-Z81)) + IF(MONTH(A82)=12, P82+V82, 0) + H82 - L82, 0)
    ),
  B82&gt;55,
    IF(AB81&gt;=$AH$7,
      MAX(Y81 + IF(MONTH(A82)=12, P82+V82, 0) + H82 - L82 + K82 + Z81, 0),
      MAX(Y81 + IF(MONTH(A82)=12, P82+V82, 0) + H82 - L82, 0)
    )
)</f>
        <v>116121.7006</v>
      </c>
      <c r="Z82" s="65">
        <f>IFS(
  B82&lt;55,
    MIN(
      IF(AA81 &gt;= VLOOKUP(YEAR(A82), Lookup!$Q:$R, 2),
        Z81 + IF(MONTH(A82)=12, Q82+W82, 0) + I82
          + AA81 + IF(MONTH(A82)=12, R82+X82, 0) - VLOOKUP(YEAR(A82), Lookup!$Q:$R, 2) + J82,
        Z81 + IF(MONTH(A82)=12, Q82+W82, 0) + I82
      ),
      VLOOKUP(YEAR(A82), Lookup!$K:$M, 3)
    ),
  B82=55,
    IF(Z81 &gt;= AD82, Z81 - AD82, 0),
  B82&gt;55, 0
)</f>
        <v>49483.5202</v>
      </c>
      <c r="AA82" s="65">
        <f>IFS(
  B82&lt;65,
    IF(AA81+J82 &lt; VLOOKUP(YEAR(A82), Lookup!$Q:$R, 2),
      AA81 + IF(MONTH(A82)=12, R81+X81, 0) + J82,
      MIN(
        AA81 + IF(MONTH(A82)=12, R81+X81, 0) + J82 ,
        VLOOKUP(YEAR(A82), Lookup!$Q:$R, 2)
      )
    ),
  B82&gt;=65,
    IF(AA81+J82 &lt; VLOOKUP(questions!$C$5, Lookup!$Q:$R, 2),
      AA81 + IF(MONTH(A82)=12, R81+X81, 0) + J82 ,
      MIN(
        AA81 + IF(MONTH(A82)=12, R81+X81, 0) + J82,
        VLOOKUP(questions!$C$5, Lookup!$Q:$R, 2)
      )
    )
)</f>
        <v>63136.85563</v>
      </c>
      <c r="AB82" s="65">
        <f t="shared" si="13"/>
        <v>0</v>
      </c>
      <c r="AC82" s="66">
        <f t="array" ref="AC82">IFS(B82&lt;66, XLOOKUP(year(A82),Lookup!$K$13:$K1000,Lookup!$L$13:$L1000,"missing",,1),B82&gt;65,XLOOKUP(questions!$C$5,Lookup!$K$13:$K1000,Lookup!$L$13:$L1000,"missing",,1))</f>
        <v>135515.0075</v>
      </c>
      <c r="AD82" s="66">
        <f t="array" ref="AD82">IFS(B82&lt;66, XLOOKUP(year(A82),Lookup!$K$13:$K1000,Lookup!$M$13:$M1000,"missing",,1),B82&gt;65, XLOOKUP(questions!$C$5,Lookup!$K$13:$K1000,Lookup!$M$13:$M1000,"missing",,1))</f>
        <v>271030.0149</v>
      </c>
      <c r="AE82" s="66">
        <f t="array" ref="AE82">IFS(B82&lt;66, XLOOKUP(year(A82),Lookup!$K$13:$K1000,Lookup!$N$13:$N1000,"missing",,1),B82&gt;65,XLOOKUP(questions!$C$5,Lookup!$K$13:$K1000,Lookup!$N$13:$N1000,"missing",,1))</f>
        <v>542060.0299</v>
      </c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</row>
    <row r="83">
      <c r="A83" s="55">
        <f t="shared" si="7"/>
        <v>48548</v>
      </c>
      <c r="B83" s="56">
        <f>round(YEARFRAC(EOMONTH(questions!$C$3, 0),A83,1),2)</f>
        <v>34</v>
      </c>
      <c r="C83" s="57">
        <f>IF(B83&lt;questions!$C$6,if(MONTH(A83)=1,C82*(1+questions!$C$12),C82),0)</f>
        <v>11940.52297</v>
      </c>
      <c r="D83" s="58">
        <f>IF(MONTH(A83)=12,C83*questions!$C$11,0)</f>
        <v>0</v>
      </c>
      <c r="E83" s="59">
        <f t="shared" si="2"/>
        <v>8000</v>
      </c>
      <c r="F83" s="59">
        <f t="shared" si="3"/>
        <v>0</v>
      </c>
      <c r="G83" s="60">
        <f t="array" ref="G83">if(YEAR(A83)=2025,XLOOKUP(B83,Lookup!$A$3:$A$7,Lookup!$D$3:$D$7,,1)*SUM(E83:F83), XLOOKUP(B83,Lookup!$A$14:$A$18,Lookup!$D$14:$D$18,,1)*SUM(E83:F83))</f>
        <v>2960</v>
      </c>
      <c r="H83" s="60">
        <f t="array" ref="H83">if(YEAR(A83)=2025,XLOOKUP(B83,Lookup!$F$3:$F$10,Lookup!$G$3:$G$10,,1)*G83, XLOOKUP(B83,Lookup!$F$14:$F$21,Lookup!$G$14:$G$21,,1)*G83)</f>
        <v>1840.232</v>
      </c>
      <c r="I83" s="60">
        <f t="array" ref="I83">if(B83&lt;55, if(YEAR(A83)=2025,XLOOKUP(B83,Lookup!$F$3:$F$10,Lookup!$H$3:$H$10,,1)*G83, XLOOKUP(B83,Lookup!$F$14:$F$21,Lookup!$H$14:$H$21,,1)*G83),0)</f>
        <v>479.816</v>
      </c>
      <c r="J83" s="60">
        <f t="array" ref="J83">if(YEAR(A83)=2025,XLOOKUP(B83,Lookup!$F$3:$F$10,Lookup!$I$3:$I$10,,1)*G83, XLOOKUP(B83,Lookup!$F$14:$F$21,Lookup!$I$14:$I$21,,1)*G83)</f>
        <v>639.952</v>
      </c>
      <c r="K83" s="61">
        <f t="array" ref="K83">if(B83&gt;54, if(YEAR(A83)=2025,XLOOKUP(B83,Lookup!$F$3:$F$10,Lookup!$H$3:$H$10,,1)*G83, XLOOKUP(B83,Lookup!$F$14:$F$21,Lookup!$H$14:$H$21,,1)*G83),0)</f>
        <v>0</v>
      </c>
      <c r="L83" s="62">
        <f>IF(and(A83&lt;questions!$C$19,questions!$C$18="yes"),questions!$C$20,0)</f>
        <v>700</v>
      </c>
      <c r="M83" s="63">
        <f>(Y82+H83)*Lookup!A$26/12</f>
        <v>245.7540262</v>
      </c>
      <c r="N83" s="63">
        <f>if(B83&lt;55, (Z82+I83)*Lookup!B$26/12, (AB82+K83)*Lookup!B$26/12)</f>
        <v>166.544454</v>
      </c>
      <c r="O83" s="63">
        <f>(AA82+J83)*Lookup!C$26/12</f>
        <v>212.5893588</v>
      </c>
      <c r="P83" s="63">
        <f t="shared" si="8"/>
        <v>2572.642704</v>
      </c>
      <c r="Q83" s="63">
        <f t="shared" si="4"/>
        <v>1744.022728</v>
      </c>
      <c r="R83" s="63">
        <f t="shared" si="5"/>
        <v>2221.158413</v>
      </c>
      <c r="S83" s="64">
        <f t="shared" si="9"/>
        <v>16.66666667</v>
      </c>
      <c r="T83" s="64">
        <f t="shared" si="10"/>
        <v>33.33333333</v>
      </c>
      <c r="U83" s="64">
        <f t="shared" si="11"/>
        <v>0</v>
      </c>
      <c r="V83" s="64">
        <f t="shared" ref="V83:X83" si="91">IF(year($A83)=year($A82), V82+S83, S83)</f>
        <v>183.3333333</v>
      </c>
      <c r="W83" s="64">
        <f t="shared" si="91"/>
        <v>366.6666667</v>
      </c>
      <c r="X83" s="64">
        <f t="shared" si="91"/>
        <v>0</v>
      </c>
      <c r="Y83" s="65">
        <f>IFS(
  B83&lt;55,
    MAX(
      Y82 + IF(MONTH(A83)=12, P83+V83, 0) + H83 - L83
      + MAX(0,
          IF(AA82 &gt;= VLOOKUP(YEAR(A83), Lookup!$Q:$R, 2),
            Z82 + IF(MONTH(A83)=12, Q83+W83, 0) + I83
              + AA82 + IF(MONTH(A83)=12, R83+X83, 0)
              - VLOOKUP(YEAR(A83), Lookup!$Q:$R, 2) + J83,
            Z82 + IF(MONTH(A83)=12, Q83+W83, 0) + I83
          ) - VLOOKUP(YEAR(A83), Lookup!$K:$M, 3)
        ),
    0),
  B83=55,
    IF(Z82&gt;=AD83,
      MAX(Y82 + IF(MONTH(A83)=12, P83+V83, 0) + H83 - L83, 0),
      MAX(MAX(0, Y82-(AD83-Z82)) + IF(MONTH(A83)=12, P83+V83, 0) + H83 - L83, 0)
    ),
  B83&gt;55,
    IF(AB82&gt;=$AH$7,
      MAX(Y82 + IF(MONTH(A83)=12, P83+V83, 0) + H83 - L83 + K83 + Z82, 0),
      MAX(Y82 + IF(MONTH(A83)=12, P83+V83, 0) + H83 - L83, 0)
    )
)</f>
        <v>117261.9326</v>
      </c>
      <c r="Z83" s="65">
        <f>IFS(
  B83&lt;55,
    MIN(
      IF(AA82 &gt;= VLOOKUP(YEAR(A83), Lookup!$Q:$R, 2),
        Z82 + IF(MONTH(A83)=12, Q83+W83, 0) + I83
          + AA82 + IF(MONTH(A83)=12, R83+X83, 0) - VLOOKUP(YEAR(A83), Lookup!$Q:$R, 2) + J83,
        Z82 + IF(MONTH(A83)=12, Q83+W83, 0) + I83
      ),
      VLOOKUP(YEAR(A83), Lookup!$K:$M, 3)
    ),
  B83=55,
    IF(Z82 &gt;= AD83, Z82 - AD83, 0),
  B83&gt;55, 0
)</f>
        <v>49963.3362</v>
      </c>
      <c r="AA83" s="65">
        <f>IFS(
  B83&lt;65,
    IF(AA82+J83 &lt; VLOOKUP(YEAR(A83), Lookup!$Q:$R, 2),
      AA82 + IF(MONTH(A83)=12, R82+X82, 0) + J83,
      MIN(
        AA82 + IF(MONTH(A83)=12, R82+X82, 0) + J83 ,
        VLOOKUP(YEAR(A83), Lookup!$Q:$R, 2)
      )
    ),
  B83&gt;=65,
    IF(AA82+J83 &lt; VLOOKUP(questions!$C$5, Lookup!$Q:$R, 2),
      AA82 + IF(MONTH(A83)=12, R82+X82, 0) + J83 ,
      MIN(
        AA82 + IF(MONTH(A83)=12, R82+X82, 0) + J83,
        VLOOKUP(questions!$C$5, Lookup!$Q:$R, 2)
      )
    )
)</f>
        <v>63776.80763</v>
      </c>
      <c r="AB83" s="65">
        <f t="shared" si="13"/>
        <v>0</v>
      </c>
      <c r="AC83" s="66">
        <f t="array" ref="AC83">IFS(B83&lt;66, XLOOKUP(year(A83),Lookup!$K$13:$K1000,Lookup!$L$13:$L1000,"missing",,1),B83&gt;65,XLOOKUP(questions!$C$5,Lookup!$K$13:$K1000,Lookup!$L$13:$L1000,"missing",,1))</f>
        <v>135515.0075</v>
      </c>
      <c r="AD83" s="66">
        <f t="array" ref="AD83">IFS(B83&lt;66, XLOOKUP(year(A83),Lookup!$K$13:$K1000,Lookup!$M$13:$M1000,"missing",,1),B83&gt;65, XLOOKUP(questions!$C$5,Lookup!$K$13:$K1000,Lookup!$M$13:$M1000,"missing",,1))</f>
        <v>271030.0149</v>
      </c>
      <c r="AE83" s="66">
        <f t="array" ref="AE83">IFS(B83&lt;66, XLOOKUP(year(A83),Lookup!$K$13:$K1000,Lookup!$N$13:$N1000,"missing",,1),B83&gt;65,XLOOKUP(questions!$C$5,Lookup!$K$13:$K1000,Lookup!$N$13:$N1000,"missing",,1))</f>
        <v>542060.0299</v>
      </c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</row>
    <row r="84">
      <c r="A84" s="55">
        <f t="shared" si="7"/>
        <v>48579</v>
      </c>
      <c r="B84" s="56">
        <f>round(YEARFRAC(EOMONTH(questions!$C$3, 0),A84,1),2)</f>
        <v>34.08</v>
      </c>
      <c r="C84" s="57">
        <f>IF(B84&lt;questions!$C$6,if(MONTH(A84)=1,C83*(1+questions!$C$12),C83),0)</f>
        <v>11940.52297</v>
      </c>
      <c r="D84" s="57">
        <f>IF(MONTH(A84)=12,C84*questions!$C$11,0)</f>
        <v>11940.52297</v>
      </c>
      <c r="E84" s="59">
        <f t="shared" si="2"/>
        <v>8000</v>
      </c>
      <c r="F84" s="59">
        <f t="shared" si="3"/>
        <v>6000</v>
      </c>
      <c r="G84" s="60">
        <f t="array" ref="G84">if(YEAR(A84)=2025,XLOOKUP(B84,Lookup!$A$3:$A$7,Lookup!$D$3:$D$7,,1)*SUM(E84:F84), XLOOKUP(B84,Lookup!$A$14:$A$18,Lookup!$D$14:$D$18,,1)*SUM(E84:F84))</f>
        <v>5180</v>
      </c>
      <c r="H84" s="60">
        <f t="array" ref="H84">if(YEAR(A84)=2025,XLOOKUP(B84,Lookup!$F$3:$F$10,Lookup!$G$3:$G$10,,1)*G84, XLOOKUP(B84,Lookup!$F$14:$F$21,Lookup!$G$14:$G$21,,1)*G84)</f>
        <v>3220.406</v>
      </c>
      <c r="I84" s="60">
        <f t="array" ref="I84">if(B84&lt;55, if(YEAR(A84)=2025,XLOOKUP(B84,Lookup!$F$3:$F$10,Lookup!$H$3:$H$10,,1)*G84, XLOOKUP(B84,Lookup!$F$14:$F$21,Lookup!$H$14:$H$21,,1)*G84),0)</f>
        <v>839.678</v>
      </c>
      <c r="J84" s="60">
        <f t="array" ref="J84">if(YEAR(A84)=2025,XLOOKUP(B84,Lookup!$F$3:$F$10,Lookup!$I$3:$I$10,,1)*G84, XLOOKUP(B84,Lookup!$F$14:$F$21,Lookup!$I$14:$I$21,,1)*G84)</f>
        <v>1119.916</v>
      </c>
      <c r="K84" s="61">
        <f t="array" ref="K84">if(B84&gt;54, if(YEAR(A84)=2025,XLOOKUP(B84,Lookup!$F$3:$F$10,Lookup!$H$3:$H$10,,1)*G84, XLOOKUP(B84,Lookup!$F$14:$F$21,Lookup!$H$14:$H$21,,1)*G84),0)</f>
        <v>0</v>
      </c>
      <c r="L84" s="62">
        <f>IF(and(A84&lt;questions!$C$19,questions!$C$18="yes"),questions!$C$20,0)</f>
        <v>700</v>
      </c>
      <c r="M84" s="63">
        <f>(Y83+H84)*Lookup!A$26/12</f>
        <v>251.004872</v>
      </c>
      <c r="N84" s="63">
        <f>if(B84&lt;55, (Z83+I84)*Lookup!B$26/12, (AB83+K84)*Lookup!B$26/12)</f>
        <v>169.3433807</v>
      </c>
      <c r="O84" s="63">
        <f>(AA83+J84)*Lookup!C$26/12</f>
        <v>216.3224121</v>
      </c>
      <c r="P84" s="63">
        <f t="shared" si="8"/>
        <v>2823.647576</v>
      </c>
      <c r="Q84" s="63">
        <f t="shared" si="4"/>
        <v>1913.366108</v>
      </c>
      <c r="R84" s="63">
        <f t="shared" si="5"/>
        <v>2437.480825</v>
      </c>
      <c r="S84" s="64">
        <f t="shared" si="9"/>
        <v>16.66666667</v>
      </c>
      <c r="T84" s="64">
        <f t="shared" si="10"/>
        <v>33.33333333</v>
      </c>
      <c r="U84" s="64">
        <f t="shared" si="11"/>
        <v>0</v>
      </c>
      <c r="V84" s="64">
        <f t="shared" ref="V84:X84" si="92">IF(year($A84)=year($A83), V83+S84, S84)</f>
        <v>200</v>
      </c>
      <c r="W84" s="64">
        <f t="shared" si="92"/>
        <v>400</v>
      </c>
      <c r="X84" s="64">
        <f t="shared" si="92"/>
        <v>0</v>
      </c>
      <c r="Y84" s="65">
        <f>IFS(
  B84&lt;55,
    MAX(
      Y83 + IF(MONTH(A84)=12, P84+V84, 0) + H84 - L84
      + MAX(0,
          IF(AA83 &gt;= VLOOKUP(YEAR(A84), Lookup!$Q:$R, 2),
            Z83 + IF(MONTH(A84)=12, Q84+W84, 0) + I84
              + AA83 + IF(MONTH(A84)=12, R84+X84, 0)
              - VLOOKUP(YEAR(A84), Lookup!$Q:$R, 2) + J84,
            Z83 + IF(MONTH(A84)=12, Q84+W84, 0) + I84
          ) - VLOOKUP(YEAR(A84), Lookup!$K:$M, 3)
        ),
    0),
  B84=55,
    IF(Z83&gt;=AD84,
      MAX(Y83 + IF(MONTH(A84)=12, P84+V84, 0) + H84 - L84, 0),
      MAX(MAX(0, Y83-(AD84-Z83)) + IF(MONTH(A84)=12, P84+V84, 0) + H84 - L84, 0)
    ),
  B84&gt;55,
    IF(AB83&gt;=$AH$7,
      MAX(Y83 + IF(MONTH(A84)=12, P84+V84, 0) + H84 - L84 + K84 + Z83, 0),
      MAX(Y83 + IF(MONTH(A84)=12, P84+V84, 0) + H84 - L84, 0)
    )
)</f>
        <v>122805.9861</v>
      </c>
      <c r="Z84" s="65">
        <f>IFS(
  B84&lt;55,
    MIN(
      IF(AA83 &gt;= VLOOKUP(YEAR(A84), Lookup!$Q:$R, 2),
        Z83 + IF(MONTH(A84)=12, Q84+W84, 0) + I84
          + AA83 + IF(MONTH(A84)=12, R84+X84, 0) - VLOOKUP(YEAR(A84), Lookup!$Q:$R, 2) + J84,
        Z83 + IF(MONTH(A84)=12, Q84+W84, 0) + I84
      ),
      VLOOKUP(YEAR(A84), Lookup!$K:$M, 3)
    ),
  B84=55,
    IF(Z83 &gt;= AD84, Z83 - AD84, 0),
  B84&gt;55, 0
)</f>
        <v>53116.38031</v>
      </c>
      <c r="AA84" s="65">
        <f>IFS(
  B84&lt;65,
    IF(AA83+J84 &lt; VLOOKUP(YEAR(A84), Lookup!$Q:$R, 2),
      AA83 + IF(MONTH(A84)=12, R83+X83, 0) + J84,
      MIN(
        AA83 + IF(MONTH(A84)=12, R83+X83, 0) + J84 ,
        VLOOKUP(YEAR(A84), Lookup!$Q:$R, 2)
      )
    ),
  B84&gt;=65,
    IF(AA83+J84 &lt; VLOOKUP(questions!$C$5, Lookup!$Q:$R, 2),
      AA83 + IF(MONTH(A84)=12, R83+X83, 0) + J84 ,
      MIN(
        AA83 + IF(MONTH(A84)=12, R83+X83, 0) + J84,
        VLOOKUP(questions!$C$5, Lookup!$Q:$R, 2)
      )
    )
)</f>
        <v>67117.88204</v>
      </c>
      <c r="AB84" s="65">
        <f t="shared" si="13"/>
        <v>0</v>
      </c>
      <c r="AC84" s="66">
        <f t="array" ref="AC84">IFS(B84&lt;66, XLOOKUP(year(A84),Lookup!$K$13:$K1000,Lookup!$L$13:$L1000,"missing",,1),B84&gt;65,XLOOKUP(questions!$C$5,Lookup!$K$13:$K1000,Lookup!$L$13:$L1000,"missing",,1))</f>
        <v>135515.0075</v>
      </c>
      <c r="AD84" s="66">
        <f t="array" ref="AD84">IFS(B84&lt;66, XLOOKUP(year(A84),Lookup!$K$13:$K1000,Lookup!$M$13:$M1000,"missing",,1),B84&gt;65, XLOOKUP(questions!$C$5,Lookup!$K$13:$K1000,Lookup!$M$13:$M1000,"missing",,1))</f>
        <v>271030.0149</v>
      </c>
      <c r="AE84" s="66">
        <f t="array" ref="AE84">IFS(B84&lt;66, XLOOKUP(year(A84),Lookup!$K$13:$K1000,Lookup!$N$13:$N1000,"missing",,1),B84&gt;65,XLOOKUP(questions!$C$5,Lookup!$K$13:$K1000,Lookup!$N$13:$N1000,"missing",,1))</f>
        <v>542060.0299</v>
      </c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</row>
    <row r="85">
      <c r="A85" s="55">
        <f t="shared" si="7"/>
        <v>48610</v>
      </c>
      <c r="B85" s="56">
        <f>round(YEARFRAC(EOMONTH(questions!$C$3, 0),A85,1),2)</f>
        <v>34.17</v>
      </c>
      <c r="C85" s="57">
        <f>IF(B85&lt;questions!$C$6,if(MONTH(A85)=1,C84*(1+questions!$C$12),C84),0)</f>
        <v>12298.73865</v>
      </c>
      <c r="D85" s="58">
        <f>IF(MONTH(A85)=12,C85*questions!$C$11,0)</f>
        <v>0</v>
      </c>
      <c r="E85" s="59">
        <f t="shared" si="2"/>
        <v>8000</v>
      </c>
      <c r="F85" s="59">
        <f t="shared" si="3"/>
        <v>0</v>
      </c>
      <c r="G85" s="60">
        <f t="array" ref="G85">if(YEAR(A85)=2025,XLOOKUP(B85,Lookup!$A$3:$A$7,Lookup!$D$3:$D$7,,1)*SUM(E85:F85), XLOOKUP(B85,Lookup!$A$14:$A$18,Lookup!$D$14:$D$18,,1)*SUM(E85:F85))</f>
        <v>2960</v>
      </c>
      <c r="H85" s="60">
        <f t="array" ref="H85">if(YEAR(A85)=2025,XLOOKUP(B85,Lookup!$F$3:$F$10,Lookup!$G$3:$G$10,,1)*G85, XLOOKUP(B85,Lookup!$F$14:$F$21,Lookup!$G$14:$G$21,,1)*G85)</f>
        <v>1840.232</v>
      </c>
      <c r="I85" s="60">
        <f t="array" ref="I85">if(B85&lt;55, if(YEAR(A85)=2025,XLOOKUP(B85,Lookup!$F$3:$F$10,Lookup!$H$3:$H$10,,1)*G85, XLOOKUP(B85,Lookup!$F$14:$F$21,Lookup!$H$14:$H$21,,1)*G85),0)</f>
        <v>479.816</v>
      </c>
      <c r="J85" s="60">
        <f t="array" ref="J85">if(YEAR(A85)=2025,XLOOKUP(B85,Lookup!$F$3:$F$10,Lookup!$I$3:$I$10,,1)*G85, XLOOKUP(B85,Lookup!$F$14:$F$21,Lookup!$I$14:$I$21,,1)*G85)</f>
        <v>639.952</v>
      </c>
      <c r="K85" s="61">
        <f t="array" ref="K85">if(B85&gt;54, if(YEAR(A85)=2025,XLOOKUP(B85,Lookup!$F$3:$F$10,Lookup!$H$3:$H$10,,1)*G85, XLOOKUP(B85,Lookup!$F$14:$F$21,Lookup!$H$14:$H$21,,1)*G85),0)</f>
        <v>0</v>
      </c>
      <c r="L85" s="62">
        <f>IF(and(A85&lt;questions!$C$19,questions!$C$18="yes"),questions!$C$20,0)</f>
        <v>700</v>
      </c>
      <c r="M85" s="63">
        <f>(Y84+H85)*Lookup!A$26/12</f>
        <v>259.6796211</v>
      </c>
      <c r="N85" s="63">
        <f>if(B85&lt;55, (Z84+I85)*Lookup!B$26/12, (AB84+K85)*Lookup!B$26/12)</f>
        <v>178.6539877</v>
      </c>
      <c r="O85" s="63">
        <f>(AA84+J85)*Lookup!C$26/12</f>
        <v>225.8594468</v>
      </c>
      <c r="P85" s="63">
        <f t="shared" si="8"/>
        <v>259.6796211</v>
      </c>
      <c r="Q85" s="63">
        <f t="shared" si="4"/>
        <v>178.6539877</v>
      </c>
      <c r="R85" s="63">
        <f t="shared" si="5"/>
        <v>225.8594468</v>
      </c>
      <c r="S85" s="64">
        <f t="shared" si="9"/>
        <v>16.66666667</v>
      </c>
      <c r="T85" s="64">
        <f t="shared" si="10"/>
        <v>33.33333333</v>
      </c>
      <c r="U85" s="64">
        <f t="shared" si="11"/>
        <v>0</v>
      </c>
      <c r="V85" s="64">
        <f t="shared" ref="V85:X85" si="93">IF(year($A85)=year($A84), V84+S85, S85)</f>
        <v>16.66666667</v>
      </c>
      <c r="W85" s="64">
        <f t="shared" si="93"/>
        <v>33.33333333</v>
      </c>
      <c r="X85" s="64">
        <f t="shared" si="93"/>
        <v>0</v>
      </c>
      <c r="Y85" s="65">
        <f>IFS(
  B85&lt;55,
    MAX(
      Y84 + IF(MONTH(A85)=12, P85+V85, 0) + H85 - L85
      + MAX(0,
          IF(AA84 &gt;= VLOOKUP(YEAR(A85), Lookup!$Q:$R, 2),
            Z84 + IF(MONTH(A85)=12, Q85+W85, 0) + I85
              + AA84 + IF(MONTH(A85)=12, R85+X85, 0)
              - VLOOKUP(YEAR(A85), Lookup!$Q:$R, 2) + J85,
            Z84 + IF(MONTH(A85)=12, Q85+W85, 0) + I85
          ) - VLOOKUP(YEAR(A85), Lookup!$K:$M, 3)
        ),
    0),
  B85=55,
    IF(Z84&gt;=AD85,
      MAX(Y84 + IF(MONTH(A85)=12, P85+V85, 0) + H85 - L85, 0),
      MAX(MAX(0, Y84-(AD85-Z84)) + IF(MONTH(A85)=12, P85+V85, 0) + H85 - L85, 0)
    ),
  B85&gt;55,
    IF(AB84&gt;=$AH$7,
      MAX(Y84 + IF(MONTH(A85)=12, P85+V85, 0) + H85 - L85 + K85 + Z84, 0),
      MAX(Y84 + IF(MONTH(A85)=12, P85+V85, 0) + H85 - L85, 0)
    )
)</f>
        <v>123946.2181</v>
      </c>
      <c r="Z85" s="65">
        <f>IFS(
  B85&lt;55,
    MIN(
      IF(AA84 &gt;= VLOOKUP(YEAR(A85), Lookup!$Q:$R, 2),
        Z84 + IF(MONTH(A85)=12, Q85+W85, 0) + I85
          + AA84 + IF(MONTH(A85)=12, R85+X85, 0) - VLOOKUP(YEAR(A85), Lookup!$Q:$R, 2) + J85,
        Z84 + IF(MONTH(A85)=12, Q85+W85, 0) + I85
      ),
      VLOOKUP(YEAR(A85), Lookup!$K:$M, 3)
    ),
  B85=55,
    IF(Z84 &gt;= AD85, Z84 - AD85, 0),
  B85&gt;55, 0
)</f>
        <v>53596.19631</v>
      </c>
      <c r="AA85" s="65">
        <f>IFS(
  B85&lt;65,
    IF(AA84+J85 &lt; VLOOKUP(YEAR(A85), Lookup!$Q:$R, 2),
      AA84 + IF(MONTH(A85)=12, R84+X84, 0) + J85,
      MIN(
        AA84 + IF(MONTH(A85)=12, R84+X84, 0) + J85 ,
        VLOOKUP(YEAR(A85), Lookup!$Q:$R, 2)
      )
    ),
  B85&gt;=65,
    IF(AA84+J85 &lt; VLOOKUP(questions!$C$5, Lookup!$Q:$R, 2),
      AA84 + IF(MONTH(A85)=12, R84+X84, 0) + J85 ,
      MIN(
        AA84 + IF(MONTH(A85)=12, R84+X84, 0) + J85,
        VLOOKUP(questions!$C$5, Lookup!$Q:$R, 2)
      )
    )
)</f>
        <v>67757.83404</v>
      </c>
      <c r="AB85" s="65">
        <f t="shared" si="13"/>
        <v>0</v>
      </c>
      <c r="AC85" s="66">
        <f t="array" ref="AC85">IFS(B85&lt;66, XLOOKUP(year(A85),Lookup!$K$13:$K1000,Lookup!$L$13:$L1000,"missing",,1),B85&gt;65,XLOOKUP(questions!$C$5,Lookup!$K$13:$K1000,Lookup!$L$13:$L1000,"missing",,1))</f>
        <v>140258.0327</v>
      </c>
      <c r="AD85" s="66">
        <f t="array" ref="AD85">IFS(B85&lt;66, XLOOKUP(year(A85),Lookup!$K$13:$K1000,Lookup!$M$13:$M1000,"missing",,1),B85&gt;65, XLOOKUP(questions!$C$5,Lookup!$K$13:$K1000,Lookup!$M$13:$M1000,"missing",,1))</f>
        <v>280516.0655</v>
      </c>
      <c r="AE85" s="66">
        <f t="array" ref="AE85">IFS(B85&lt;66, XLOOKUP(year(A85),Lookup!$K$13:$K1000,Lookup!$N$13:$N1000,"missing",,1),B85&gt;65,XLOOKUP(questions!$C$5,Lookup!$K$13:$K1000,Lookup!$N$13:$N1000,"missing",,1))</f>
        <v>561032.1309</v>
      </c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</row>
    <row r="86">
      <c r="A86" s="55">
        <f t="shared" si="7"/>
        <v>48638</v>
      </c>
      <c r="B86" s="56">
        <f>round(YEARFRAC(EOMONTH(questions!$C$3, 0),A86,1),2)</f>
        <v>34.25</v>
      </c>
      <c r="C86" s="57">
        <f>IF(B86&lt;questions!$C$6,if(MONTH(A86)=1,C85*(1+questions!$C$12),C85),0)</f>
        <v>12298.73865</v>
      </c>
      <c r="D86" s="58">
        <f>IF(MONTH(A86)=12,C86*questions!$C$11,0)</f>
        <v>0</v>
      </c>
      <c r="E86" s="59">
        <f t="shared" si="2"/>
        <v>8000</v>
      </c>
      <c r="F86" s="59">
        <f t="shared" si="3"/>
        <v>0</v>
      </c>
      <c r="G86" s="60">
        <f t="array" ref="G86">if(YEAR(A86)=2025,XLOOKUP(B86,Lookup!$A$3:$A$7,Lookup!$D$3:$D$7,,1)*SUM(E86:F86), XLOOKUP(B86,Lookup!$A$14:$A$18,Lookup!$D$14:$D$18,,1)*SUM(E86:F86))</f>
        <v>2960</v>
      </c>
      <c r="H86" s="60">
        <f t="array" ref="H86">if(YEAR(A86)=2025,XLOOKUP(B86,Lookup!$F$3:$F$10,Lookup!$G$3:$G$10,,1)*G86, XLOOKUP(B86,Lookup!$F$14:$F$21,Lookup!$G$14:$G$21,,1)*G86)</f>
        <v>1840.232</v>
      </c>
      <c r="I86" s="60">
        <f t="array" ref="I86">if(B86&lt;55, if(YEAR(A86)=2025,XLOOKUP(B86,Lookup!$F$3:$F$10,Lookup!$H$3:$H$10,,1)*G86, XLOOKUP(B86,Lookup!$F$14:$F$21,Lookup!$H$14:$H$21,,1)*G86),0)</f>
        <v>479.816</v>
      </c>
      <c r="J86" s="60">
        <f t="array" ref="J86">if(YEAR(A86)=2025,XLOOKUP(B86,Lookup!$F$3:$F$10,Lookup!$I$3:$I$10,,1)*G86, XLOOKUP(B86,Lookup!$F$14:$F$21,Lookup!$I$14:$I$21,,1)*G86)</f>
        <v>639.952</v>
      </c>
      <c r="K86" s="61">
        <f t="array" ref="K86">if(B86&gt;54, if(YEAR(A86)=2025,XLOOKUP(B86,Lookup!$F$3:$F$10,Lookup!$H$3:$H$10,,1)*G86, XLOOKUP(B86,Lookup!$F$14:$F$21,Lookup!$H$14:$H$21,,1)*G86),0)</f>
        <v>0</v>
      </c>
      <c r="L86" s="62">
        <f>IF(and(A86&lt;questions!$C$19,questions!$C$18="yes"),questions!$C$20,0)</f>
        <v>700</v>
      </c>
      <c r="M86" s="63">
        <f>(Y85+H86)*Lookup!A$26/12</f>
        <v>262.0551044</v>
      </c>
      <c r="N86" s="63">
        <f>if(B86&lt;55, (Z85+I86)*Lookup!B$26/12, (AB85+K86)*Lookup!B$26/12)</f>
        <v>180.2533744</v>
      </c>
      <c r="O86" s="63">
        <f>(AA85+J86)*Lookup!C$26/12</f>
        <v>227.9926201</v>
      </c>
      <c r="P86" s="63">
        <f t="shared" si="8"/>
        <v>521.7347255</v>
      </c>
      <c r="Q86" s="63">
        <f t="shared" si="4"/>
        <v>358.9073621</v>
      </c>
      <c r="R86" s="63">
        <f t="shared" si="5"/>
        <v>453.8520669</v>
      </c>
      <c r="S86" s="64">
        <f t="shared" si="9"/>
        <v>16.66666667</v>
      </c>
      <c r="T86" s="64">
        <f t="shared" si="10"/>
        <v>33.33333333</v>
      </c>
      <c r="U86" s="64">
        <f t="shared" si="11"/>
        <v>0</v>
      </c>
      <c r="V86" s="64">
        <f t="shared" ref="V86:X86" si="94">IF(year($A86)=year($A85), V85+S86, S86)</f>
        <v>33.33333333</v>
      </c>
      <c r="W86" s="64">
        <f t="shared" si="94"/>
        <v>66.66666667</v>
      </c>
      <c r="X86" s="64">
        <f t="shared" si="94"/>
        <v>0</v>
      </c>
      <c r="Y86" s="65">
        <f>IFS(
  B86&lt;55,
    MAX(
      Y85 + IF(MONTH(A86)=12, P86+V86, 0) + H86 - L86
      + MAX(0,
          IF(AA85 &gt;= VLOOKUP(YEAR(A86), Lookup!$Q:$R, 2),
            Z85 + IF(MONTH(A86)=12, Q86+W86, 0) + I86
              + AA85 + IF(MONTH(A86)=12, R86+X86, 0)
              - VLOOKUP(YEAR(A86), Lookup!$Q:$R, 2) + J86,
            Z85 + IF(MONTH(A86)=12, Q86+W86, 0) + I86
          ) - VLOOKUP(YEAR(A86), Lookup!$K:$M, 3)
        ),
    0),
  B86=55,
    IF(Z85&gt;=AD86,
      MAX(Y85 + IF(MONTH(A86)=12, P86+V86, 0) + H86 - L86, 0),
      MAX(MAX(0, Y85-(AD86-Z85)) + IF(MONTH(A86)=12, P86+V86, 0) + H86 - L86, 0)
    ),
  B86&gt;55,
    IF(AB85&gt;=$AH$7,
      MAX(Y85 + IF(MONTH(A86)=12, P86+V86, 0) + H86 - L86 + K86 + Z85, 0),
      MAX(Y85 + IF(MONTH(A86)=12, P86+V86, 0) + H86 - L86, 0)
    )
)</f>
        <v>125086.4501</v>
      </c>
      <c r="Z86" s="65">
        <f>IFS(
  B86&lt;55,
    MIN(
      IF(AA85 &gt;= VLOOKUP(YEAR(A86), Lookup!$Q:$R, 2),
        Z85 + IF(MONTH(A86)=12, Q86+W86, 0) + I86
          + AA85 + IF(MONTH(A86)=12, R86+X86, 0) - VLOOKUP(YEAR(A86), Lookup!$Q:$R, 2) + J86,
        Z85 + IF(MONTH(A86)=12, Q86+W86, 0) + I86
      ),
      VLOOKUP(YEAR(A86), Lookup!$K:$M, 3)
    ),
  B86=55,
    IF(Z85 &gt;= AD86, Z85 - AD86, 0),
  B86&gt;55, 0
)</f>
        <v>54076.01231</v>
      </c>
      <c r="AA86" s="65">
        <f>IFS(
  B86&lt;65,
    IF(AA85+J86 &lt; VLOOKUP(YEAR(A86), Lookup!$Q:$R, 2),
      AA85 + IF(MONTH(A86)=12, R85+X85, 0) + J86,
      MIN(
        AA85 + IF(MONTH(A86)=12, R85+X85, 0) + J86 ,
        VLOOKUP(YEAR(A86), Lookup!$Q:$R, 2)
      )
    ),
  B86&gt;=65,
    IF(AA85+J86 &lt; VLOOKUP(questions!$C$5, Lookup!$Q:$R, 2),
      AA85 + IF(MONTH(A86)=12, R85+X85, 0) + J86 ,
      MIN(
        AA85 + IF(MONTH(A86)=12, R85+X85, 0) + J86,
        VLOOKUP(questions!$C$5, Lookup!$Q:$R, 2)
      )
    )
)</f>
        <v>68397.78604</v>
      </c>
      <c r="AB86" s="65">
        <f t="shared" si="13"/>
        <v>0</v>
      </c>
      <c r="AC86" s="66">
        <f t="array" ref="AC86">IFS(B86&lt;66, XLOOKUP(year(A86),Lookup!$K$13:$K1000,Lookup!$L$13:$L1000,"missing",,1),B86&gt;65,XLOOKUP(questions!$C$5,Lookup!$K$13:$K1000,Lookup!$L$13:$L1000,"missing",,1))</f>
        <v>140258.0327</v>
      </c>
      <c r="AD86" s="66">
        <f t="array" ref="AD86">IFS(B86&lt;66, XLOOKUP(year(A86),Lookup!$K$13:$K1000,Lookup!$M$13:$M1000,"missing",,1),B86&gt;65, XLOOKUP(questions!$C$5,Lookup!$K$13:$K1000,Lookup!$M$13:$M1000,"missing",,1))</f>
        <v>280516.0655</v>
      </c>
      <c r="AE86" s="66">
        <f t="array" ref="AE86">IFS(B86&lt;66, XLOOKUP(year(A86),Lookup!$K$13:$K1000,Lookup!$N$13:$N1000,"missing",,1),B86&gt;65,XLOOKUP(questions!$C$5,Lookup!$K$13:$K1000,Lookup!$N$13:$N1000,"missing",,1))</f>
        <v>561032.1309</v>
      </c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</row>
    <row r="87">
      <c r="A87" s="55">
        <f t="shared" si="7"/>
        <v>48669</v>
      </c>
      <c r="B87" s="56">
        <f>round(YEARFRAC(EOMONTH(questions!$C$3, 0),A87,1),2)</f>
        <v>34.33</v>
      </c>
      <c r="C87" s="57">
        <f>IF(B87&lt;questions!$C$6,if(MONTH(A87)=1,C86*(1+questions!$C$12),C86),0)</f>
        <v>12298.73865</v>
      </c>
      <c r="D87" s="58">
        <f>IF(MONTH(A87)=12,C87*questions!$C$11,0)</f>
        <v>0</v>
      </c>
      <c r="E87" s="59">
        <f t="shared" si="2"/>
        <v>8000</v>
      </c>
      <c r="F87" s="59">
        <f t="shared" si="3"/>
        <v>0</v>
      </c>
      <c r="G87" s="60">
        <f t="array" ref="G87">if(YEAR(A87)=2025,XLOOKUP(B87,Lookup!$A$3:$A$7,Lookup!$D$3:$D$7,,1)*SUM(E87:F87), XLOOKUP(B87,Lookup!$A$14:$A$18,Lookup!$D$14:$D$18,,1)*SUM(E87:F87))</f>
        <v>2960</v>
      </c>
      <c r="H87" s="60">
        <f t="array" ref="H87">if(YEAR(A87)=2025,XLOOKUP(B87,Lookup!$F$3:$F$10,Lookup!$G$3:$G$10,,1)*G87, XLOOKUP(B87,Lookup!$F$14:$F$21,Lookup!$G$14:$G$21,,1)*G87)</f>
        <v>1840.232</v>
      </c>
      <c r="I87" s="60">
        <f t="array" ref="I87">if(B87&lt;55, if(YEAR(A87)=2025,XLOOKUP(B87,Lookup!$F$3:$F$10,Lookup!$H$3:$H$10,,1)*G87, XLOOKUP(B87,Lookup!$F$14:$F$21,Lookup!$H$14:$H$21,,1)*G87),0)</f>
        <v>479.816</v>
      </c>
      <c r="J87" s="60">
        <f t="array" ref="J87">if(YEAR(A87)=2025,XLOOKUP(B87,Lookup!$F$3:$F$10,Lookup!$I$3:$I$10,,1)*G87, XLOOKUP(B87,Lookup!$F$14:$F$21,Lookup!$I$14:$I$21,,1)*G87)</f>
        <v>639.952</v>
      </c>
      <c r="K87" s="61">
        <f t="array" ref="K87">if(B87&gt;54, if(YEAR(A87)=2025,XLOOKUP(B87,Lookup!$F$3:$F$10,Lookup!$H$3:$H$10,,1)*G87, XLOOKUP(B87,Lookup!$F$14:$F$21,Lookup!$H$14:$H$21,,1)*G87),0)</f>
        <v>0</v>
      </c>
      <c r="L87" s="62">
        <f>IF(and(A87&lt;questions!$C$19,questions!$C$18="yes"),questions!$C$20,0)</f>
        <v>700</v>
      </c>
      <c r="M87" s="63">
        <f>(Y86+H87)*Lookup!A$26/12</f>
        <v>264.4305878</v>
      </c>
      <c r="N87" s="63">
        <f>if(B87&lt;55, (Z86+I87)*Lookup!B$26/12, (AB86+K87)*Lookup!B$26/12)</f>
        <v>181.852761</v>
      </c>
      <c r="O87" s="63">
        <f>(AA86+J87)*Lookup!C$26/12</f>
        <v>230.1257935</v>
      </c>
      <c r="P87" s="63">
        <f t="shared" si="8"/>
        <v>786.1653133</v>
      </c>
      <c r="Q87" s="63">
        <f t="shared" si="4"/>
        <v>540.7601231</v>
      </c>
      <c r="R87" s="63">
        <f t="shared" si="5"/>
        <v>683.9778604</v>
      </c>
      <c r="S87" s="64">
        <f t="shared" si="9"/>
        <v>16.66666667</v>
      </c>
      <c r="T87" s="64">
        <f t="shared" si="10"/>
        <v>33.33333333</v>
      </c>
      <c r="U87" s="64">
        <f t="shared" si="11"/>
        <v>0</v>
      </c>
      <c r="V87" s="64">
        <f t="shared" ref="V87:X87" si="95">IF(year($A87)=year($A86), V86+S87, S87)</f>
        <v>50</v>
      </c>
      <c r="W87" s="64">
        <f t="shared" si="95"/>
        <v>100</v>
      </c>
      <c r="X87" s="64">
        <f t="shared" si="95"/>
        <v>0</v>
      </c>
      <c r="Y87" s="65">
        <f>IFS(
  B87&lt;55,
    MAX(
      Y86 + IF(MONTH(A87)=12, P87+V87, 0) + H87 - L87
      + MAX(0,
          IF(AA86 &gt;= VLOOKUP(YEAR(A87), Lookup!$Q:$R, 2),
            Z86 + IF(MONTH(A87)=12, Q87+W87, 0) + I87
              + AA86 + IF(MONTH(A87)=12, R87+X87, 0)
              - VLOOKUP(YEAR(A87), Lookup!$Q:$R, 2) + J87,
            Z86 + IF(MONTH(A87)=12, Q87+W87, 0) + I87
          ) - VLOOKUP(YEAR(A87), Lookup!$K:$M, 3)
        ),
    0),
  B87=55,
    IF(Z86&gt;=AD87,
      MAX(Y86 + IF(MONTH(A87)=12, P87+V87, 0) + H87 - L87, 0),
      MAX(MAX(0, Y86-(AD87-Z86)) + IF(MONTH(A87)=12, P87+V87, 0) + H87 - L87, 0)
    ),
  B87&gt;55,
    IF(AB86&gt;=$AH$7,
      MAX(Y86 + IF(MONTH(A87)=12, P87+V87, 0) + H87 - L87 + K87 + Z86, 0),
      MAX(Y86 + IF(MONTH(A87)=12, P87+V87, 0) + H87 - L87, 0)
    )
)</f>
        <v>126226.6821</v>
      </c>
      <c r="Z87" s="65">
        <f>IFS(
  B87&lt;55,
    MIN(
      IF(AA86 &gt;= VLOOKUP(YEAR(A87), Lookup!$Q:$R, 2),
        Z86 + IF(MONTH(A87)=12, Q87+W87, 0) + I87
          + AA86 + IF(MONTH(A87)=12, R87+X87, 0) - VLOOKUP(YEAR(A87), Lookup!$Q:$R, 2) + J87,
        Z86 + IF(MONTH(A87)=12, Q87+W87, 0) + I87
      ),
      VLOOKUP(YEAR(A87), Lookup!$K:$M, 3)
    ),
  B87=55,
    IF(Z86 &gt;= AD87, Z86 - AD87, 0),
  B87&gt;55, 0
)</f>
        <v>54555.82831</v>
      </c>
      <c r="AA87" s="65">
        <f>IFS(
  B87&lt;65,
    IF(AA86+J87 &lt; VLOOKUP(YEAR(A87), Lookup!$Q:$R, 2),
      AA86 + IF(MONTH(A87)=12, R86+X86, 0) + J87,
      MIN(
        AA86 + IF(MONTH(A87)=12, R86+X86, 0) + J87 ,
        VLOOKUP(YEAR(A87), Lookup!$Q:$R, 2)
      )
    ),
  B87&gt;=65,
    IF(AA86+J87 &lt; VLOOKUP(questions!$C$5, Lookup!$Q:$R, 2),
      AA86 + IF(MONTH(A87)=12, R86+X86, 0) + J87 ,
      MIN(
        AA86 + IF(MONTH(A87)=12, R86+X86, 0) + J87,
        VLOOKUP(questions!$C$5, Lookup!$Q:$R, 2)
      )
    )
)</f>
        <v>69037.73804</v>
      </c>
      <c r="AB87" s="65">
        <f t="shared" si="13"/>
        <v>0</v>
      </c>
      <c r="AC87" s="66">
        <f t="array" ref="AC87">IFS(B87&lt;66, XLOOKUP(year(A87),Lookup!$K$13:$K1000,Lookup!$L$13:$L1000,"missing",,1),B87&gt;65,XLOOKUP(questions!$C$5,Lookup!$K$13:$K1000,Lookup!$L$13:$L1000,"missing",,1))</f>
        <v>140258.0327</v>
      </c>
      <c r="AD87" s="66">
        <f t="array" ref="AD87">IFS(B87&lt;66, XLOOKUP(year(A87),Lookup!$K$13:$K1000,Lookup!$M$13:$M1000,"missing",,1),B87&gt;65, XLOOKUP(questions!$C$5,Lookup!$K$13:$K1000,Lookup!$M$13:$M1000,"missing",,1))</f>
        <v>280516.0655</v>
      </c>
      <c r="AE87" s="66">
        <f t="array" ref="AE87">IFS(B87&lt;66, XLOOKUP(year(A87),Lookup!$K$13:$K1000,Lookup!$N$13:$N1000,"missing",,1),B87&gt;65,XLOOKUP(questions!$C$5,Lookup!$K$13:$K1000,Lookup!$N$13:$N1000,"missing",,1))</f>
        <v>561032.1309</v>
      </c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</row>
    <row r="88">
      <c r="A88" s="55">
        <f t="shared" si="7"/>
        <v>48699</v>
      </c>
      <c r="B88" s="56">
        <f>round(YEARFRAC(EOMONTH(questions!$C$3, 0),A88,1),2)</f>
        <v>34.41</v>
      </c>
      <c r="C88" s="57">
        <f>IF(B88&lt;questions!$C$6,if(MONTH(A88)=1,C87*(1+questions!$C$12),C87),0)</f>
        <v>12298.73865</v>
      </c>
      <c r="D88" s="58">
        <f>IF(MONTH(A88)=12,C88*questions!$C$11,0)</f>
        <v>0</v>
      </c>
      <c r="E88" s="59">
        <f t="shared" si="2"/>
        <v>8000</v>
      </c>
      <c r="F88" s="59">
        <f t="shared" si="3"/>
        <v>0</v>
      </c>
      <c r="G88" s="60">
        <f t="array" ref="G88">if(YEAR(A88)=2025,XLOOKUP(B88,Lookup!$A$3:$A$7,Lookup!$D$3:$D$7,,1)*SUM(E88:F88), XLOOKUP(B88,Lookup!$A$14:$A$18,Lookup!$D$14:$D$18,,1)*SUM(E88:F88))</f>
        <v>2960</v>
      </c>
      <c r="H88" s="60">
        <f t="array" ref="H88">if(YEAR(A88)=2025,XLOOKUP(B88,Lookup!$F$3:$F$10,Lookup!$G$3:$G$10,,1)*G88, XLOOKUP(B88,Lookup!$F$14:$F$21,Lookup!$G$14:$G$21,,1)*G88)</f>
        <v>1840.232</v>
      </c>
      <c r="I88" s="60">
        <f t="array" ref="I88">if(B88&lt;55, if(YEAR(A88)=2025,XLOOKUP(B88,Lookup!$F$3:$F$10,Lookup!$H$3:$H$10,,1)*G88, XLOOKUP(B88,Lookup!$F$14:$F$21,Lookup!$H$14:$H$21,,1)*G88),0)</f>
        <v>479.816</v>
      </c>
      <c r="J88" s="60">
        <f t="array" ref="J88">if(YEAR(A88)=2025,XLOOKUP(B88,Lookup!$F$3:$F$10,Lookup!$I$3:$I$10,,1)*G88, XLOOKUP(B88,Lookup!$F$14:$F$21,Lookup!$I$14:$I$21,,1)*G88)</f>
        <v>639.952</v>
      </c>
      <c r="K88" s="61">
        <f t="array" ref="K88">if(B88&gt;54, if(YEAR(A88)=2025,XLOOKUP(B88,Lookup!$F$3:$F$10,Lookup!$H$3:$H$10,,1)*G88, XLOOKUP(B88,Lookup!$F$14:$F$21,Lookup!$H$14:$H$21,,1)*G88),0)</f>
        <v>0</v>
      </c>
      <c r="L88" s="62">
        <f>IF(and(A88&lt;questions!$C$19,questions!$C$18="yes"),questions!$C$20,0)</f>
        <v>700</v>
      </c>
      <c r="M88" s="63">
        <f>(Y87+H88)*Lookup!A$26/12</f>
        <v>266.8060711</v>
      </c>
      <c r="N88" s="63">
        <f>if(B88&lt;55, (Z87+I88)*Lookup!B$26/12, (AB87+K88)*Lookup!B$26/12)</f>
        <v>183.4521477</v>
      </c>
      <c r="O88" s="63">
        <f>(AA87+J88)*Lookup!C$26/12</f>
        <v>232.2589668</v>
      </c>
      <c r="P88" s="63">
        <f t="shared" si="8"/>
        <v>1052.971384</v>
      </c>
      <c r="Q88" s="63">
        <f t="shared" si="4"/>
        <v>724.2122708</v>
      </c>
      <c r="R88" s="63">
        <f t="shared" si="5"/>
        <v>916.2368272</v>
      </c>
      <c r="S88" s="64">
        <f t="shared" si="9"/>
        <v>16.66666667</v>
      </c>
      <c r="T88" s="64">
        <f t="shared" si="10"/>
        <v>33.33333333</v>
      </c>
      <c r="U88" s="64">
        <f t="shared" si="11"/>
        <v>0</v>
      </c>
      <c r="V88" s="64">
        <f t="shared" ref="V88:X88" si="96">IF(year($A88)=year($A87), V87+S88, S88)</f>
        <v>66.66666667</v>
      </c>
      <c r="W88" s="64">
        <f t="shared" si="96"/>
        <v>133.3333333</v>
      </c>
      <c r="X88" s="64">
        <f t="shared" si="96"/>
        <v>0</v>
      </c>
      <c r="Y88" s="65">
        <f>IFS(
  B88&lt;55,
    MAX(
      Y87 + IF(MONTH(A88)=12, P88+V88, 0) + H88 - L88
      + MAX(0,
          IF(AA87 &gt;= VLOOKUP(YEAR(A88), Lookup!$Q:$R, 2),
            Z87 + IF(MONTH(A88)=12, Q88+W88, 0) + I88
              + AA87 + IF(MONTH(A88)=12, R88+X88, 0)
              - VLOOKUP(YEAR(A88), Lookup!$Q:$R, 2) + J88,
            Z87 + IF(MONTH(A88)=12, Q88+W88, 0) + I88
          ) - VLOOKUP(YEAR(A88), Lookup!$K:$M, 3)
        ),
    0),
  B88=55,
    IF(Z87&gt;=AD88,
      MAX(Y87 + IF(MONTH(A88)=12, P88+V88, 0) + H88 - L88, 0),
      MAX(MAX(0, Y87-(AD88-Z87)) + IF(MONTH(A88)=12, P88+V88, 0) + H88 - L88, 0)
    ),
  B88&gt;55,
    IF(AB87&gt;=$AH$7,
      MAX(Y87 + IF(MONTH(A88)=12, P88+V88, 0) + H88 - L88 + K88 + Z87, 0),
      MAX(Y87 + IF(MONTH(A88)=12, P88+V88, 0) + H88 - L88, 0)
    )
)</f>
        <v>127366.9141</v>
      </c>
      <c r="Z88" s="65">
        <f>IFS(
  B88&lt;55,
    MIN(
      IF(AA87 &gt;= VLOOKUP(YEAR(A88), Lookup!$Q:$R, 2),
        Z87 + IF(MONTH(A88)=12, Q88+W88, 0) + I88
          + AA87 + IF(MONTH(A88)=12, R88+X88, 0) - VLOOKUP(YEAR(A88), Lookup!$Q:$R, 2) + J88,
        Z87 + IF(MONTH(A88)=12, Q88+W88, 0) + I88
      ),
      VLOOKUP(YEAR(A88), Lookup!$K:$M, 3)
    ),
  B88=55,
    IF(Z87 &gt;= AD88, Z87 - AD88, 0),
  B88&gt;55, 0
)</f>
        <v>55035.64431</v>
      </c>
      <c r="AA88" s="65">
        <f>IFS(
  B88&lt;65,
    IF(AA87+J88 &lt; VLOOKUP(YEAR(A88), Lookup!$Q:$R, 2),
      AA87 + IF(MONTH(A88)=12, R87+X87, 0) + J88,
      MIN(
        AA87 + IF(MONTH(A88)=12, R87+X87, 0) + J88 ,
        VLOOKUP(YEAR(A88), Lookup!$Q:$R, 2)
      )
    ),
  B88&gt;=65,
    IF(AA87+J88 &lt; VLOOKUP(questions!$C$5, Lookup!$Q:$R, 2),
      AA87 + IF(MONTH(A88)=12, R87+X87, 0) + J88 ,
      MIN(
        AA87 + IF(MONTH(A88)=12, R87+X87, 0) + J88,
        VLOOKUP(questions!$C$5, Lookup!$Q:$R, 2)
      )
    )
)</f>
        <v>69677.69004</v>
      </c>
      <c r="AB88" s="65">
        <f t="shared" si="13"/>
        <v>0</v>
      </c>
      <c r="AC88" s="66">
        <f t="array" ref="AC88">IFS(B88&lt;66, XLOOKUP(year(A88),Lookup!$K$13:$K1000,Lookup!$L$13:$L1000,"missing",,1),B88&gt;65,XLOOKUP(questions!$C$5,Lookup!$K$13:$K1000,Lookup!$L$13:$L1000,"missing",,1))</f>
        <v>140258.0327</v>
      </c>
      <c r="AD88" s="66">
        <f t="array" ref="AD88">IFS(B88&lt;66, XLOOKUP(year(A88),Lookup!$K$13:$K1000,Lookup!$M$13:$M1000,"missing",,1),B88&gt;65, XLOOKUP(questions!$C$5,Lookup!$K$13:$K1000,Lookup!$M$13:$M1000,"missing",,1))</f>
        <v>280516.0655</v>
      </c>
      <c r="AE88" s="66">
        <f t="array" ref="AE88">IFS(B88&lt;66, XLOOKUP(year(A88),Lookup!$K$13:$K1000,Lookup!$N$13:$N1000,"missing",,1),B88&gt;65,XLOOKUP(questions!$C$5,Lookup!$K$13:$K1000,Lookup!$N$13:$N1000,"missing",,1))</f>
        <v>561032.1309</v>
      </c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</row>
    <row r="89">
      <c r="A89" s="55">
        <f t="shared" si="7"/>
        <v>48730</v>
      </c>
      <c r="B89" s="56">
        <f>round(YEARFRAC(EOMONTH(questions!$C$3, 0),A89,1),2)</f>
        <v>34.5</v>
      </c>
      <c r="C89" s="57">
        <f>IF(B89&lt;questions!$C$6,if(MONTH(A89)=1,C88*(1+questions!$C$12),C88),0)</f>
        <v>12298.73865</v>
      </c>
      <c r="D89" s="58">
        <f>IF(MONTH(A89)=12,C89*questions!$C$11,0)</f>
        <v>0</v>
      </c>
      <c r="E89" s="59">
        <f t="shared" si="2"/>
        <v>8000</v>
      </c>
      <c r="F89" s="59">
        <f t="shared" si="3"/>
        <v>0</v>
      </c>
      <c r="G89" s="60">
        <f t="array" ref="G89">if(YEAR(A89)=2025,XLOOKUP(B89,Lookup!$A$3:$A$7,Lookup!$D$3:$D$7,,1)*SUM(E89:F89), XLOOKUP(B89,Lookup!$A$14:$A$18,Lookup!$D$14:$D$18,,1)*SUM(E89:F89))</f>
        <v>2960</v>
      </c>
      <c r="H89" s="60">
        <f t="array" ref="H89">if(YEAR(A89)=2025,XLOOKUP(B89,Lookup!$F$3:$F$10,Lookup!$G$3:$G$10,,1)*G89, XLOOKUP(B89,Lookup!$F$14:$F$21,Lookup!$G$14:$G$21,,1)*G89)</f>
        <v>1840.232</v>
      </c>
      <c r="I89" s="60">
        <f t="array" ref="I89">if(B89&lt;55, if(YEAR(A89)=2025,XLOOKUP(B89,Lookup!$F$3:$F$10,Lookup!$H$3:$H$10,,1)*G89, XLOOKUP(B89,Lookup!$F$14:$F$21,Lookup!$H$14:$H$21,,1)*G89),0)</f>
        <v>479.816</v>
      </c>
      <c r="J89" s="60">
        <f t="array" ref="J89">if(YEAR(A89)=2025,XLOOKUP(B89,Lookup!$F$3:$F$10,Lookup!$I$3:$I$10,,1)*G89, XLOOKUP(B89,Lookup!$F$14:$F$21,Lookup!$I$14:$I$21,,1)*G89)</f>
        <v>639.952</v>
      </c>
      <c r="K89" s="61">
        <f t="array" ref="K89">if(B89&gt;54, if(YEAR(A89)=2025,XLOOKUP(B89,Lookup!$F$3:$F$10,Lookup!$H$3:$H$10,,1)*G89, XLOOKUP(B89,Lookup!$F$14:$F$21,Lookup!$H$14:$H$21,,1)*G89),0)</f>
        <v>0</v>
      </c>
      <c r="L89" s="62">
        <f>IF(and(A89&lt;questions!$C$19,questions!$C$18="yes"),questions!$C$20,0)</f>
        <v>700</v>
      </c>
      <c r="M89" s="63">
        <f>(Y88+H89)*Lookup!A$26/12</f>
        <v>269.1815544</v>
      </c>
      <c r="N89" s="63">
        <f>if(B89&lt;55, (Z88+I89)*Lookup!B$26/12, (AB88+K89)*Lookup!B$26/12)</f>
        <v>185.0515344</v>
      </c>
      <c r="O89" s="63">
        <f>(AA88+J89)*Lookup!C$26/12</f>
        <v>234.3921401</v>
      </c>
      <c r="P89" s="63">
        <f t="shared" si="8"/>
        <v>1322.152939</v>
      </c>
      <c r="Q89" s="63">
        <f t="shared" si="4"/>
        <v>909.2638052</v>
      </c>
      <c r="R89" s="63">
        <f t="shared" si="5"/>
        <v>1150.628967</v>
      </c>
      <c r="S89" s="64">
        <f t="shared" si="9"/>
        <v>16.66666667</v>
      </c>
      <c r="T89" s="64">
        <f t="shared" si="10"/>
        <v>33.33333333</v>
      </c>
      <c r="U89" s="64">
        <f t="shared" si="11"/>
        <v>0</v>
      </c>
      <c r="V89" s="64">
        <f t="shared" ref="V89:X89" si="97">IF(year($A89)=year($A88), V88+S89, S89)</f>
        <v>83.33333333</v>
      </c>
      <c r="W89" s="64">
        <f t="shared" si="97"/>
        <v>166.6666667</v>
      </c>
      <c r="X89" s="64">
        <f t="shared" si="97"/>
        <v>0</v>
      </c>
      <c r="Y89" s="65">
        <f>IFS(
  B89&lt;55,
    MAX(
      Y88 + IF(MONTH(A89)=12, P89+V89, 0) + H89 - L89
      + MAX(0,
          IF(AA88 &gt;= VLOOKUP(YEAR(A89), Lookup!$Q:$R, 2),
            Z88 + IF(MONTH(A89)=12, Q89+W89, 0) + I89
              + AA88 + IF(MONTH(A89)=12, R89+X89, 0)
              - VLOOKUP(YEAR(A89), Lookup!$Q:$R, 2) + J89,
            Z88 + IF(MONTH(A89)=12, Q89+W89, 0) + I89
          ) - VLOOKUP(YEAR(A89), Lookup!$K:$M, 3)
        ),
    0),
  B89=55,
    IF(Z88&gt;=AD89,
      MAX(Y88 + IF(MONTH(A89)=12, P89+V89, 0) + H89 - L89, 0),
      MAX(MAX(0, Y88-(AD89-Z88)) + IF(MONTH(A89)=12, P89+V89, 0) + H89 - L89, 0)
    ),
  B89&gt;55,
    IF(AB88&gt;=$AH$7,
      MAX(Y88 + IF(MONTH(A89)=12, P89+V89, 0) + H89 - L89 + K89 + Z88, 0),
      MAX(Y88 + IF(MONTH(A89)=12, P89+V89, 0) + H89 - L89, 0)
    )
)</f>
        <v>128507.1461</v>
      </c>
      <c r="Z89" s="65">
        <f>IFS(
  B89&lt;55,
    MIN(
      IF(AA88 &gt;= VLOOKUP(YEAR(A89), Lookup!$Q:$R, 2),
        Z88 + IF(MONTH(A89)=12, Q89+W89, 0) + I89
          + AA88 + IF(MONTH(A89)=12, R89+X89, 0) - VLOOKUP(YEAR(A89), Lookup!$Q:$R, 2) + J89,
        Z88 + IF(MONTH(A89)=12, Q89+W89, 0) + I89
      ),
      VLOOKUP(YEAR(A89), Lookup!$K:$M, 3)
    ),
  B89=55,
    IF(Z88 &gt;= AD89, Z88 - AD89, 0),
  B89&gt;55, 0
)</f>
        <v>55515.46031</v>
      </c>
      <c r="AA89" s="65">
        <f>IFS(
  B89&lt;65,
    IF(AA88+J89 &lt; VLOOKUP(YEAR(A89), Lookup!$Q:$R, 2),
      AA88 + IF(MONTH(A89)=12, R88+X88, 0) + J89,
      MIN(
        AA88 + IF(MONTH(A89)=12, R88+X88, 0) + J89 ,
        VLOOKUP(YEAR(A89), Lookup!$Q:$R, 2)
      )
    ),
  B89&gt;=65,
    IF(AA88+J89 &lt; VLOOKUP(questions!$C$5, Lookup!$Q:$R, 2),
      AA88 + IF(MONTH(A89)=12, R88+X88, 0) + J89 ,
      MIN(
        AA88 + IF(MONTH(A89)=12, R88+X88, 0) + J89,
        VLOOKUP(questions!$C$5, Lookup!$Q:$R, 2)
      )
    )
)</f>
        <v>70317.64204</v>
      </c>
      <c r="AB89" s="65">
        <f t="shared" si="13"/>
        <v>0</v>
      </c>
      <c r="AC89" s="66">
        <f t="array" ref="AC89">IFS(B89&lt;66, XLOOKUP(year(A89),Lookup!$K$13:$K1000,Lookup!$L$13:$L1000,"missing",,1),B89&gt;65,XLOOKUP(questions!$C$5,Lookup!$K$13:$K1000,Lookup!$L$13:$L1000,"missing",,1))</f>
        <v>140258.0327</v>
      </c>
      <c r="AD89" s="66">
        <f t="array" ref="AD89">IFS(B89&lt;66, XLOOKUP(year(A89),Lookup!$K$13:$K1000,Lookup!$M$13:$M1000,"missing",,1),B89&gt;65, XLOOKUP(questions!$C$5,Lookup!$K$13:$K1000,Lookup!$M$13:$M1000,"missing",,1))</f>
        <v>280516.0655</v>
      </c>
      <c r="AE89" s="66">
        <f t="array" ref="AE89">IFS(B89&lt;66, XLOOKUP(year(A89),Lookup!$K$13:$K1000,Lookup!$N$13:$N1000,"missing",,1),B89&gt;65,XLOOKUP(questions!$C$5,Lookup!$K$13:$K1000,Lookup!$N$13:$N1000,"missing",,1))</f>
        <v>561032.1309</v>
      </c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</row>
    <row r="90">
      <c r="A90" s="55">
        <f t="shared" si="7"/>
        <v>48760</v>
      </c>
      <c r="B90" s="56">
        <f>round(YEARFRAC(EOMONTH(questions!$C$3, 0),A90,1),2)</f>
        <v>34.58</v>
      </c>
      <c r="C90" s="57">
        <f>IF(B90&lt;questions!$C$6,if(MONTH(A90)=1,C89*(1+questions!$C$12),C89),0)</f>
        <v>12298.73865</v>
      </c>
      <c r="D90" s="58">
        <f>IF(MONTH(A90)=12,C90*questions!$C$11,0)</f>
        <v>0</v>
      </c>
      <c r="E90" s="59">
        <f t="shared" si="2"/>
        <v>8000</v>
      </c>
      <c r="F90" s="59">
        <f t="shared" si="3"/>
        <v>0</v>
      </c>
      <c r="G90" s="60">
        <f t="array" ref="G90">if(YEAR(A90)=2025,XLOOKUP(B90,Lookup!$A$3:$A$7,Lookup!$D$3:$D$7,,1)*SUM(E90:F90), XLOOKUP(B90,Lookup!$A$14:$A$18,Lookup!$D$14:$D$18,,1)*SUM(E90:F90))</f>
        <v>2960</v>
      </c>
      <c r="H90" s="60">
        <f t="array" ref="H90">if(YEAR(A90)=2025,XLOOKUP(B90,Lookup!$F$3:$F$10,Lookup!$G$3:$G$10,,1)*G90, XLOOKUP(B90,Lookup!$F$14:$F$21,Lookup!$G$14:$G$21,,1)*G90)</f>
        <v>1840.232</v>
      </c>
      <c r="I90" s="60">
        <f t="array" ref="I90">if(B90&lt;55, if(YEAR(A90)=2025,XLOOKUP(B90,Lookup!$F$3:$F$10,Lookup!$H$3:$H$10,,1)*G90, XLOOKUP(B90,Lookup!$F$14:$F$21,Lookup!$H$14:$H$21,,1)*G90),0)</f>
        <v>479.816</v>
      </c>
      <c r="J90" s="60">
        <f t="array" ref="J90">if(YEAR(A90)=2025,XLOOKUP(B90,Lookup!$F$3:$F$10,Lookup!$I$3:$I$10,,1)*G90, XLOOKUP(B90,Lookup!$F$14:$F$21,Lookup!$I$14:$I$21,,1)*G90)</f>
        <v>639.952</v>
      </c>
      <c r="K90" s="61">
        <f t="array" ref="K90">if(B90&gt;54, if(YEAR(A90)=2025,XLOOKUP(B90,Lookup!$F$3:$F$10,Lookup!$H$3:$H$10,,1)*G90, XLOOKUP(B90,Lookup!$F$14:$F$21,Lookup!$H$14:$H$21,,1)*G90),0)</f>
        <v>0</v>
      </c>
      <c r="L90" s="62">
        <f>IF(and(A90&lt;questions!$C$19,questions!$C$18="yes"),questions!$C$20,0)</f>
        <v>700</v>
      </c>
      <c r="M90" s="63">
        <f>(Y89+H90)*Lookup!A$26/12</f>
        <v>271.5570378</v>
      </c>
      <c r="N90" s="63">
        <f>if(B90&lt;55, (Z89+I90)*Lookup!B$26/12, (AB89+K90)*Lookup!B$26/12)</f>
        <v>186.650921</v>
      </c>
      <c r="O90" s="63">
        <f>(AA89+J90)*Lookup!C$26/12</f>
        <v>236.5253135</v>
      </c>
      <c r="P90" s="63">
        <f t="shared" si="8"/>
        <v>1593.709977</v>
      </c>
      <c r="Q90" s="63">
        <f t="shared" si="4"/>
        <v>1095.914726</v>
      </c>
      <c r="R90" s="63">
        <f t="shared" si="5"/>
        <v>1387.154281</v>
      </c>
      <c r="S90" s="64">
        <f t="shared" si="9"/>
        <v>16.66666667</v>
      </c>
      <c r="T90" s="64">
        <f t="shared" si="10"/>
        <v>33.33333333</v>
      </c>
      <c r="U90" s="64">
        <f t="shared" si="11"/>
        <v>0</v>
      </c>
      <c r="V90" s="64">
        <f t="shared" ref="V90:X90" si="98">IF(year($A90)=year($A89), V89+S90, S90)</f>
        <v>100</v>
      </c>
      <c r="W90" s="64">
        <f t="shared" si="98"/>
        <v>200</v>
      </c>
      <c r="X90" s="64">
        <f t="shared" si="98"/>
        <v>0</v>
      </c>
      <c r="Y90" s="65">
        <f>IFS(
  B90&lt;55,
    MAX(
      Y89 + IF(MONTH(A90)=12, P90+V90, 0) + H90 - L90
      + MAX(0,
          IF(AA89 &gt;= VLOOKUP(YEAR(A90), Lookup!$Q:$R, 2),
            Z89 + IF(MONTH(A90)=12, Q90+W90, 0) + I90
              + AA89 + IF(MONTH(A90)=12, R90+X90, 0)
              - VLOOKUP(YEAR(A90), Lookup!$Q:$R, 2) + J90,
            Z89 + IF(MONTH(A90)=12, Q90+W90, 0) + I90
          ) - VLOOKUP(YEAR(A90), Lookup!$K:$M, 3)
        ),
    0),
  B90=55,
    IF(Z89&gt;=AD90,
      MAX(Y89 + IF(MONTH(A90)=12, P90+V90, 0) + H90 - L90, 0),
      MAX(MAX(0, Y89-(AD90-Z89)) + IF(MONTH(A90)=12, P90+V90, 0) + H90 - L90, 0)
    ),
  B90&gt;55,
    IF(AB89&gt;=$AH$7,
      MAX(Y89 + IF(MONTH(A90)=12, P90+V90, 0) + H90 - L90 + K90 + Z89, 0),
      MAX(Y89 + IF(MONTH(A90)=12, P90+V90, 0) + H90 - L90, 0)
    )
)</f>
        <v>129647.3781</v>
      </c>
      <c r="Z90" s="65">
        <f>IFS(
  B90&lt;55,
    MIN(
      IF(AA89 &gt;= VLOOKUP(YEAR(A90), Lookup!$Q:$R, 2),
        Z89 + IF(MONTH(A90)=12, Q90+W90, 0) + I90
          + AA89 + IF(MONTH(A90)=12, R90+X90, 0) - VLOOKUP(YEAR(A90), Lookup!$Q:$R, 2) + J90,
        Z89 + IF(MONTH(A90)=12, Q90+W90, 0) + I90
      ),
      VLOOKUP(YEAR(A90), Lookup!$K:$M, 3)
    ),
  B90=55,
    IF(Z89 &gt;= AD90, Z89 - AD90, 0),
  B90&gt;55, 0
)</f>
        <v>55995.27631</v>
      </c>
      <c r="AA90" s="65">
        <f>IFS(
  B90&lt;65,
    IF(AA89+J90 &lt; VLOOKUP(YEAR(A90), Lookup!$Q:$R, 2),
      AA89 + IF(MONTH(A90)=12, R89+X89, 0) + J90,
      MIN(
        AA89 + IF(MONTH(A90)=12, R89+X89, 0) + J90 ,
        VLOOKUP(YEAR(A90), Lookup!$Q:$R, 2)
      )
    ),
  B90&gt;=65,
    IF(AA89+J90 &lt; VLOOKUP(questions!$C$5, Lookup!$Q:$R, 2),
      AA89 + IF(MONTH(A90)=12, R89+X89, 0) + J90 ,
      MIN(
        AA89 + IF(MONTH(A90)=12, R89+X89, 0) + J90,
        VLOOKUP(questions!$C$5, Lookup!$Q:$R, 2)
      )
    )
)</f>
        <v>70957.59404</v>
      </c>
      <c r="AB90" s="65">
        <f t="shared" si="13"/>
        <v>0</v>
      </c>
      <c r="AC90" s="66">
        <f t="array" ref="AC90">IFS(B90&lt;66, XLOOKUP(year(A90),Lookup!$K$13:$K1000,Lookup!$L$13:$L1000,"missing",,1),B90&gt;65,XLOOKUP(questions!$C$5,Lookup!$K$13:$K1000,Lookup!$L$13:$L1000,"missing",,1))</f>
        <v>140258.0327</v>
      </c>
      <c r="AD90" s="66">
        <f t="array" ref="AD90">IFS(B90&lt;66, XLOOKUP(year(A90),Lookup!$K$13:$K1000,Lookup!$M$13:$M1000,"missing",,1),B90&gt;65, XLOOKUP(questions!$C$5,Lookup!$K$13:$K1000,Lookup!$M$13:$M1000,"missing",,1))</f>
        <v>280516.0655</v>
      </c>
      <c r="AE90" s="66">
        <f t="array" ref="AE90">IFS(B90&lt;66, XLOOKUP(year(A90),Lookup!$K$13:$K1000,Lookup!$N$13:$N1000,"missing",,1),B90&gt;65,XLOOKUP(questions!$C$5,Lookup!$K$13:$K1000,Lookup!$N$13:$N1000,"missing",,1))</f>
        <v>561032.1309</v>
      </c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</row>
    <row r="91">
      <c r="A91" s="55">
        <f t="shared" si="7"/>
        <v>48791</v>
      </c>
      <c r="B91" s="56">
        <f>round(YEARFRAC(EOMONTH(questions!$C$3, 0),A91,1),2)</f>
        <v>34.67</v>
      </c>
      <c r="C91" s="57">
        <f>IF(B91&lt;questions!$C$6,if(MONTH(A91)=1,C90*(1+questions!$C$12),C90),0)</f>
        <v>12298.73865</v>
      </c>
      <c r="D91" s="58">
        <f>IF(MONTH(A91)=12,C91*questions!$C$11,0)</f>
        <v>0</v>
      </c>
      <c r="E91" s="59">
        <f t="shared" si="2"/>
        <v>8000</v>
      </c>
      <c r="F91" s="59">
        <f t="shared" si="3"/>
        <v>0</v>
      </c>
      <c r="G91" s="60">
        <f t="array" ref="G91">if(YEAR(A91)=2025,XLOOKUP(B91,Lookup!$A$3:$A$7,Lookup!$D$3:$D$7,,1)*SUM(E91:F91), XLOOKUP(B91,Lookup!$A$14:$A$18,Lookup!$D$14:$D$18,,1)*SUM(E91:F91))</f>
        <v>2960</v>
      </c>
      <c r="H91" s="60">
        <f t="array" ref="H91">if(YEAR(A91)=2025,XLOOKUP(B91,Lookup!$F$3:$F$10,Lookup!$G$3:$G$10,,1)*G91, XLOOKUP(B91,Lookup!$F$14:$F$21,Lookup!$G$14:$G$21,,1)*G91)</f>
        <v>1840.232</v>
      </c>
      <c r="I91" s="60">
        <f t="array" ref="I91">if(B91&lt;55, if(YEAR(A91)=2025,XLOOKUP(B91,Lookup!$F$3:$F$10,Lookup!$H$3:$H$10,,1)*G91, XLOOKUP(B91,Lookup!$F$14:$F$21,Lookup!$H$14:$H$21,,1)*G91),0)</f>
        <v>479.816</v>
      </c>
      <c r="J91" s="60">
        <f t="array" ref="J91">if(YEAR(A91)=2025,XLOOKUP(B91,Lookup!$F$3:$F$10,Lookup!$I$3:$I$10,,1)*G91, XLOOKUP(B91,Lookup!$F$14:$F$21,Lookup!$I$14:$I$21,,1)*G91)</f>
        <v>639.952</v>
      </c>
      <c r="K91" s="61">
        <f t="array" ref="K91">if(B91&gt;54, if(YEAR(A91)=2025,XLOOKUP(B91,Lookup!$F$3:$F$10,Lookup!$H$3:$H$10,,1)*G91, XLOOKUP(B91,Lookup!$F$14:$F$21,Lookup!$H$14:$H$21,,1)*G91),0)</f>
        <v>0</v>
      </c>
      <c r="L91" s="62">
        <f>IF(and(A91&lt;questions!$C$19,questions!$C$18="yes"),questions!$C$20,0)</f>
        <v>700</v>
      </c>
      <c r="M91" s="63">
        <f>(Y90+H91)*Lookup!A$26/12</f>
        <v>273.9325211</v>
      </c>
      <c r="N91" s="63">
        <f>if(B91&lt;55, (Z90+I91)*Lookup!B$26/12, (AB90+K91)*Lookup!B$26/12)</f>
        <v>188.2503077</v>
      </c>
      <c r="O91" s="63">
        <f>(AA90+J91)*Lookup!C$26/12</f>
        <v>238.6584868</v>
      </c>
      <c r="P91" s="63">
        <f t="shared" si="8"/>
        <v>1867.642498</v>
      </c>
      <c r="Q91" s="63">
        <f t="shared" si="4"/>
        <v>1284.165034</v>
      </c>
      <c r="R91" s="63">
        <f t="shared" si="5"/>
        <v>1625.812768</v>
      </c>
      <c r="S91" s="64">
        <f t="shared" si="9"/>
        <v>16.66666667</v>
      </c>
      <c r="T91" s="64">
        <f t="shared" si="10"/>
        <v>33.33333333</v>
      </c>
      <c r="U91" s="64">
        <f t="shared" si="11"/>
        <v>0</v>
      </c>
      <c r="V91" s="64">
        <f t="shared" ref="V91:X91" si="99">IF(year($A91)=year($A90), V90+S91, S91)</f>
        <v>116.6666667</v>
      </c>
      <c r="W91" s="64">
        <f t="shared" si="99"/>
        <v>233.3333333</v>
      </c>
      <c r="X91" s="64">
        <f t="shared" si="99"/>
        <v>0</v>
      </c>
      <c r="Y91" s="65">
        <f>IFS(
  B91&lt;55,
    MAX(
      Y90 + IF(MONTH(A91)=12, P91+V91, 0) + H91 - L91
      + MAX(0,
          IF(AA90 &gt;= VLOOKUP(YEAR(A91), Lookup!$Q:$R, 2),
            Z90 + IF(MONTH(A91)=12, Q91+W91, 0) + I91
              + AA90 + IF(MONTH(A91)=12, R91+X91, 0)
              - VLOOKUP(YEAR(A91), Lookup!$Q:$R, 2) + J91,
            Z90 + IF(MONTH(A91)=12, Q91+W91, 0) + I91
          ) - VLOOKUP(YEAR(A91), Lookup!$K:$M, 3)
        ),
    0),
  B91=55,
    IF(Z90&gt;=AD91,
      MAX(Y90 + IF(MONTH(A91)=12, P91+V91, 0) + H91 - L91, 0),
      MAX(MAX(0, Y90-(AD91-Z90)) + IF(MONTH(A91)=12, P91+V91, 0) + H91 - L91, 0)
    ),
  B91&gt;55,
    IF(AB90&gt;=$AH$7,
      MAX(Y90 + IF(MONTH(A91)=12, P91+V91, 0) + H91 - L91 + K91 + Z90, 0),
      MAX(Y90 + IF(MONTH(A91)=12, P91+V91, 0) + H91 - L91, 0)
    )
)</f>
        <v>130787.6101</v>
      </c>
      <c r="Z91" s="65">
        <f>IFS(
  B91&lt;55,
    MIN(
      IF(AA90 &gt;= VLOOKUP(YEAR(A91), Lookup!$Q:$R, 2),
        Z90 + IF(MONTH(A91)=12, Q91+W91, 0) + I91
          + AA90 + IF(MONTH(A91)=12, R91+X91, 0) - VLOOKUP(YEAR(A91), Lookup!$Q:$R, 2) + J91,
        Z90 + IF(MONTH(A91)=12, Q91+W91, 0) + I91
      ),
      VLOOKUP(YEAR(A91), Lookup!$K:$M, 3)
    ),
  B91=55,
    IF(Z90 &gt;= AD91, Z90 - AD91, 0),
  B91&gt;55, 0
)</f>
        <v>56475.09231</v>
      </c>
      <c r="AA91" s="65">
        <f>IFS(
  B91&lt;65,
    IF(AA90+J91 &lt; VLOOKUP(YEAR(A91), Lookup!$Q:$R, 2),
      AA90 + IF(MONTH(A91)=12, R90+X90, 0) + J91,
      MIN(
        AA90 + IF(MONTH(A91)=12, R90+X90, 0) + J91 ,
        VLOOKUP(YEAR(A91), Lookup!$Q:$R, 2)
      )
    ),
  B91&gt;=65,
    IF(AA90+J91 &lt; VLOOKUP(questions!$C$5, Lookup!$Q:$R, 2),
      AA90 + IF(MONTH(A91)=12, R90+X90, 0) + J91 ,
      MIN(
        AA90 + IF(MONTH(A91)=12, R90+X90, 0) + J91,
        VLOOKUP(questions!$C$5, Lookup!$Q:$R, 2)
      )
    )
)</f>
        <v>71597.54604</v>
      </c>
      <c r="AB91" s="65">
        <f t="shared" si="13"/>
        <v>0</v>
      </c>
      <c r="AC91" s="66">
        <f t="array" ref="AC91">IFS(B91&lt;66, XLOOKUP(year(A91),Lookup!$K$13:$K1000,Lookup!$L$13:$L1000,"missing",,1),B91&gt;65,XLOOKUP(questions!$C$5,Lookup!$K$13:$K1000,Lookup!$L$13:$L1000,"missing",,1))</f>
        <v>140258.0327</v>
      </c>
      <c r="AD91" s="66">
        <f t="array" ref="AD91">IFS(B91&lt;66, XLOOKUP(year(A91),Lookup!$K$13:$K1000,Lookup!$M$13:$M1000,"missing",,1),B91&gt;65, XLOOKUP(questions!$C$5,Lookup!$K$13:$K1000,Lookup!$M$13:$M1000,"missing",,1))</f>
        <v>280516.0655</v>
      </c>
      <c r="AE91" s="66">
        <f t="array" ref="AE91">IFS(B91&lt;66, XLOOKUP(year(A91),Lookup!$K$13:$K1000,Lookup!$N$13:$N1000,"missing",,1),B91&gt;65,XLOOKUP(questions!$C$5,Lookup!$K$13:$K1000,Lookup!$N$13:$N1000,"missing",,1))</f>
        <v>561032.1309</v>
      </c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</row>
    <row r="92">
      <c r="A92" s="55">
        <f t="shared" si="7"/>
        <v>48822</v>
      </c>
      <c r="B92" s="56">
        <f>round(YEARFRAC(EOMONTH(questions!$C$3, 0),A92,1),2)</f>
        <v>34.75</v>
      </c>
      <c r="C92" s="57">
        <f>IF(B92&lt;questions!$C$6,if(MONTH(A92)=1,C91*(1+questions!$C$12),C91),0)</f>
        <v>12298.73865</v>
      </c>
      <c r="D92" s="58">
        <f>IF(MONTH(A92)=12,C92*questions!$C$11,0)</f>
        <v>0</v>
      </c>
      <c r="E92" s="59">
        <f t="shared" si="2"/>
        <v>8000</v>
      </c>
      <c r="F92" s="59">
        <f t="shared" si="3"/>
        <v>0</v>
      </c>
      <c r="G92" s="60">
        <f t="array" ref="G92">if(YEAR(A92)=2025,XLOOKUP(B92,Lookup!$A$3:$A$7,Lookup!$D$3:$D$7,,1)*SUM(E92:F92), XLOOKUP(B92,Lookup!$A$14:$A$18,Lookup!$D$14:$D$18,,1)*SUM(E92:F92))</f>
        <v>2960</v>
      </c>
      <c r="H92" s="60">
        <f t="array" ref="H92">if(YEAR(A92)=2025,XLOOKUP(B92,Lookup!$F$3:$F$10,Lookup!$G$3:$G$10,,1)*G92, XLOOKUP(B92,Lookup!$F$14:$F$21,Lookup!$G$14:$G$21,,1)*G92)</f>
        <v>1840.232</v>
      </c>
      <c r="I92" s="60">
        <f t="array" ref="I92">if(B92&lt;55, if(YEAR(A92)=2025,XLOOKUP(B92,Lookup!$F$3:$F$10,Lookup!$H$3:$H$10,,1)*G92, XLOOKUP(B92,Lookup!$F$14:$F$21,Lookup!$H$14:$H$21,,1)*G92),0)</f>
        <v>479.816</v>
      </c>
      <c r="J92" s="60">
        <f t="array" ref="J92">if(YEAR(A92)=2025,XLOOKUP(B92,Lookup!$F$3:$F$10,Lookup!$I$3:$I$10,,1)*G92, XLOOKUP(B92,Lookup!$F$14:$F$21,Lookup!$I$14:$I$21,,1)*G92)</f>
        <v>639.952</v>
      </c>
      <c r="K92" s="61">
        <f t="array" ref="K92">if(B92&gt;54, if(YEAR(A92)=2025,XLOOKUP(B92,Lookup!$F$3:$F$10,Lookup!$H$3:$H$10,,1)*G92, XLOOKUP(B92,Lookup!$F$14:$F$21,Lookup!$H$14:$H$21,,1)*G92),0)</f>
        <v>0</v>
      </c>
      <c r="L92" s="62">
        <f>IF(and(A92&lt;questions!$C$19,questions!$C$18="yes"),questions!$C$20,0)</f>
        <v>700</v>
      </c>
      <c r="M92" s="63">
        <f>(Y91+H92)*Lookup!A$26/12</f>
        <v>276.3080044</v>
      </c>
      <c r="N92" s="63">
        <f>if(B92&lt;55, (Z91+I92)*Lookup!B$26/12, (AB91+K92)*Lookup!B$26/12)</f>
        <v>189.8496944</v>
      </c>
      <c r="O92" s="63">
        <f>(AA91+J92)*Lookup!C$26/12</f>
        <v>240.7916601</v>
      </c>
      <c r="P92" s="63">
        <f t="shared" si="8"/>
        <v>2143.950502</v>
      </c>
      <c r="Q92" s="63">
        <f t="shared" si="4"/>
        <v>1474.014728</v>
      </c>
      <c r="R92" s="63">
        <f t="shared" si="5"/>
        <v>1866.604428</v>
      </c>
      <c r="S92" s="64">
        <f t="shared" si="9"/>
        <v>16.66666667</v>
      </c>
      <c r="T92" s="64">
        <f t="shared" si="10"/>
        <v>33.33333333</v>
      </c>
      <c r="U92" s="64">
        <f t="shared" si="11"/>
        <v>0</v>
      </c>
      <c r="V92" s="64">
        <f t="shared" ref="V92:X92" si="100">IF(year($A92)=year($A91), V91+S92, S92)</f>
        <v>133.3333333</v>
      </c>
      <c r="W92" s="64">
        <f t="shared" si="100"/>
        <v>266.6666667</v>
      </c>
      <c r="X92" s="64">
        <f t="shared" si="100"/>
        <v>0</v>
      </c>
      <c r="Y92" s="65">
        <f>IFS(
  B92&lt;55,
    MAX(
      Y91 + IF(MONTH(A92)=12, P92+V92, 0) + H92 - L92
      + MAX(0,
          IF(AA91 &gt;= VLOOKUP(YEAR(A92), Lookup!$Q:$R, 2),
            Z91 + IF(MONTH(A92)=12, Q92+W92, 0) + I92
              + AA91 + IF(MONTH(A92)=12, R92+X92, 0)
              - VLOOKUP(YEAR(A92), Lookup!$Q:$R, 2) + J92,
            Z91 + IF(MONTH(A92)=12, Q92+W92, 0) + I92
          ) - VLOOKUP(YEAR(A92), Lookup!$K:$M, 3)
        ),
    0),
  B92=55,
    IF(Z91&gt;=AD92,
      MAX(Y91 + IF(MONTH(A92)=12, P92+V92, 0) + H92 - L92, 0),
      MAX(MAX(0, Y91-(AD92-Z91)) + IF(MONTH(A92)=12, P92+V92, 0) + H92 - L92, 0)
    ),
  B92&gt;55,
    IF(AB91&gt;=$AH$7,
      MAX(Y91 + IF(MONTH(A92)=12, P92+V92, 0) + H92 - L92 + K92 + Z91, 0),
      MAX(Y91 + IF(MONTH(A92)=12, P92+V92, 0) + H92 - L92, 0)
    )
)</f>
        <v>131927.8421</v>
      </c>
      <c r="Z92" s="65">
        <f>IFS(
  B92&lt;55,
    MIN(
      IF(AA91 &gt;= VLOOKUP(YEAR(A92), Lookup!$Q:$R, 2),
        Z91 + IF(MONTH(A92)=12, Q92+W92, 0) + I92
          + AA91 + IF(MONTH(A92)=12, R92+X92, 0) - VLOOKUP(YEAR(A92), Lookup!$Q:$R, 2) + J92,
        Z91 + IF(MONTH(A92)=12, Q92+W92, 0) + I92
      ),
      VLOOKUP(YEAR(A92), Lookup!$K:$M, 3)
    ),
  B92=55,
    IF(Z91 &gt;= AD92, Z91 - AD92, 0),
  B92&gt;55, 0
)</f>
        <v>56954.90831</v>
      </c>
      <c r="AA92" s="65">
        <f>IFS(
  B92&lt;65,
    IF(AA91+J92 &lt; VLOOKUP(YEAR(A92), Lookup!$Q:$R, 2),
      AA91 + IF(MONTH(A92)=12, R91+X91, 0) + J92,
      MIN(
        AA91 + IF(MONTH(A92)=12, R91+X91, 0) + J92 ,
        VLOOKUP(YEAR(A92), Lookup!$Q:$R, 2)
      )
    ),
  B92&gt;=65,
    IF(AA91+J92 &lt; VLOOKUP(questions!$C$5, Lookup!$Q:$R, 2),
      AA91 + IF(MONTH(A92)=12, R91+X91, 0) + J92 ,
      MIN(
        AA91 + IF(MONTH(A92)=12, R91+X91, 0) + J92,
        VLOOKUP(questions!$C$5, Lookup!$Q:$R, 2)
      )
    )
)</f>
        <v>72237.49804</v>
      </c>
      <c r="AB92" s="65">
        <f t="shared" si="13"/>
        <v>0</v>
      </c>
      <c r="AC92" s="66">
        <f t="array" ref="AC92">IFS(B92&lt;66, XLOOKUP(year(A92),Lookup!$K$13:$K1000,Lookup!$L$13:$L1000,"missing",,1),B92&gt;65,XLOOKUP(questions!$C$5,Lookup!$K$13:$K1000,Lookup!$L$13:$L1000,"missing",,1))</f>
        <v>140258.0327</v>
      </c>
      <c r="AD92" s="66">
        <f t="array" ref="AD92">IFS(B92&lt;66, XLOOKUP(year(A92),Lookup!$K$13:$K1000,Lookup!$M$13:$M1000,"missing",,1),B92&gt;65, XLOOKUP(questions!$C$5,Lookup!$K$13:$K1000,Lookup!$M$13:$M1000,"missing",,1))</f>
        <v>280516.0655</v>
      </c>
      <c r="AE92" s="66">
        <f t="array" ref="AE92">IFS(B92&lt;66, XLOOKUP(year(A92),Lookup!$K$13:$K1000,Lookup!$N$13:$N1000,"missing",,1),B92&gt;65,XLOOKUP(questions!$C$5,Lookup!$K$13:$K1000,Lookup!$N$13:$N1000,"missing",,1))</f>
        <v>561032.1309</v>
      </c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</row>
    <row r="93">
      <c r="A93" s="55">
        <f t="shared" si="7"/>
        <v>48852</v>
      </c>
      <c r="B93" s="56">
        <f>round(YEARFRAC(EOMONTH(questions!$C$3, 0),A93,1),2)</f>
        <v>34.83</v>
      </c>
      <c r="C93" s="57">
        <f>IF(B93&lt;questions!$C$6,if(MONTH(A93)=1,C92*(1+questions!$C$12),C92),0)</f>
        <v>12298.73865</v>
      </c>
      <c r="D93" s="58">
        <f>IF(MONTH(A93)=12,C93*questions!$C$11,0)</f>
        <v>0</v>
      </c>
      <c r="E93" s="59">
        <f t="shared" si="2"/>
        <v>8000</v>
      </c>
      <c r="F93" s="59">
        <f t="shared" si="3"/>
        <v>0</v>
      </c>
      <c r="G93" s="60">
        <f t="array" ref="G93">if(YEAR(A93)=2025,XLOOKUP(B93,Lookup!$A$3:$A$7,Lookup!$D$3:$D$7,,1)*SUM(E93:F93), XLOOKUP(B93,Lookup!$A$14:$A$18,Lookup!$D$14:$D$18,,1)*SUM(E93:F93))</f>
        <v>2960</v>
      </c>
      <c r="H93" s="60">
        <f t="array" ref="H93">if(YEAR(A93)=2025,XLOOKUP(B93,Lookup!$F$3:$F$10,Lookup!$G$3:$G$10,,1)*G93, XLOOKUP(B93,Lookup!$F$14:$F$21,Lookup!$G$14:$G$21,,1)*G93)</f>
        <v>1840.232</v>
      </c>
      <c r="I93" s="60">
        <f t="array" ref="I93">if(B93&lt;55, if(YEAR(A93)=2025,XLOOKUP(B93,Lookup!$F$3:$F$10,Lookup!$H$3:$H$10,,1)*G93, XLOOKUP(B93,Lookup!$F$14:$F$21,Lookup!$H$14:$H$21,,1)*G93),0)</f>
        <v>479.816</v>
      </c>
      <c r="J93" s="60">
        <f t="array" ref="J93">if(YEAR(A93)=2025,XLOOKUP(B93,Lookup!$F$3:$F$10,Lookup!$I$3:$I$10,,1)*G93, XLOOKUP(B93,Lookup!$F$14:$F$21,Lookup!$I$14:$I$21,,1)*G93)</f>
        <v>639.952</v>
      </c>
      <c r="K93" s="61">
        <f t="array" ref="K93">if(B93&gt;54, if(YEAR(A93)=2025,XLOOKUP(B93,Lookup!$F$3:$F$10,Lookup!$H$3:$H$10,,1)*G93, XLOOKUP(B93,Lookup!$F$14:$F$21,Lookup!$H$14:$H$21,,1)*G93),0)</f>
        <v>0</v>
      </c>
      <c r="L93" s="62">
        <f>IF(and(A93&lt;questions!$C$19,questions!$C$18="yes"),questions!$C$20,0)</f>
        <v>700</v>
      </c>
      <c r="M93" s="63">
        <f>(Y92+H93)*Lookup!A$26/12</f>
        <v>278.6834878</v>
      </c>
      <c r="N93" s="63">
        <f>if(B93&lt;55, (Z92+I93)*Lookup!B$26/12, (AB92+K93)*Lookup!B$26/12)</f>
        <v>191.449081</v>
      </c>
      <c r="O93" s="63">
        <f>(AA92+J93)*Lookup!C$26/12</f>
        <v>242.9248335</v>
      </c>
      <c r="P93" s="63">
        <f t="shared" si="8"/>
        <v>2422.63399</v>
      </c>
      <c r="Q93" s="63">
        <f t="shared" si="4"/>
        <v>1665.463809</v>
      </c>
      <c r="R93" s="63">
        <f t="shared" si="5"/>
        <v>2109.529261</v>
      </c>
      <c r="S93" s="64">
        <f t="shared" si="9"/>
        <v>16.66666667</v>
      </c>
      <c r="T93" s="64">
        <f t="shared" si="10"/>
        <v>33.33333333</v>
      </c>
      <c r="U93" s="64">
        <f t="shared" si="11"/>
        <v>0</v>
      </c>
      <c r="V93" s="64">
        <f t="shared" ref="V93:X93" si="101">IF(year($A93)=year($A92), V92+S93, S93)</f>
        <v>150</v>
      </c>
      <c r="W93" s="64">
        <f t="shared" si="101"/>
        <v>300</v>
      </c>
      <c r="X93" s="64">
        <f t="shared" si="101"/>
        <v>0</v>
      </c>
      <c r="Y93" s="65">
        <f>IFS(
  B93&lt;55,
    MAX(
      Y92 + IF(MONTH(A93)=12, P93+V93, 0) + H93 - L93
      + MAX(0,
          IF(AA92 &gt;= VLOOKUP(YEAR(A93), Lookup!$Q:$R, 2),
            Z92 + IF(MONTH(A93)=12, Q93+W93, 0) + I93
              + AA92 + IF(MONTH(A93)=12, R93+X93, 0)
              - VLOOKUP(YEAR(A93), Lookup!$Q:$R, 2) + J93,
            Z92 + IF(MONTH(A93)=12, Q93+W93, 0) + I93
          ) - VLOOKUP(YEAR(A93), Lookup!$K:$M, 3)
        ),
    0),
  B93=55,
    IF(Z92&gt;=AD93,
      MAX(Y92 + IF(MONTH(A93)=12, P93+V93, 0) + H93 - L93, 0),
      MAX(MAX(0, Y92-(AD93-Z92)) + IF(MONTH(A93)=12, P93+V93, 0) + H93 - L93, 0)
    ),
  B93&gt;55,
    IF(AB92&gt;=$AH$7,
      MAX(Y92 + IF(MONTH(A93)=12, P93+V93, 0) + H93 - L93 + K93 + Z92, 0),
      MAX(Y92 + IF(MONTH(A93)=12, P93+V93, 0) + H93 - L93, 0)
    )
)</f>
        <v>133068.0741</v>
      </c>
      <c r="Z93" s="65">
        <f>IFS(
  B93&lt;55,
    MIN(
      IF(AA92 &gt;= VLOOKUP(YEAR(A93), Lookup!$Q:$R, 2),
        Z92 + IF(MONTH(A93)=12, Q93+W93, 0) + I93
          + AA92 + IF(MONTH(A93)=12, R93+X93, 0) - VLOOKUP(YEAR(A93), Lookup!$Q:$R, 2) + J93,
        Z92 + IF(MONTH(A93)=12, Q93+W93, 0) + I93
      ),
      VLOOKUP(YEAR(A93), Lookup!$K:$M, 3)
    ),
  B93=55,
    IF(Z92 &gt;= AD93, Z92 - AD93, 0),
  B93&gt;55, 0
)</f>
        <v>57434.72431</v>
      </c>
      <c r="AA93" s="65">
        <f>IFS(
  B93&lt;65,
    IF(AA92+J93 &lt; VLOOKUP(YEAR(A93), Lookup!$Q:$R, 2),
      AA92 + IF(MONTH(A93)=12, R92+X92, 0) + J93,
      MIN(
        AA92 + IF(MONTH(A93)=12, R92+X92, 0) + J93 ,
        VLOOKUP(YEAR(A93), Lookup!$Q:$R, 2)
      )
    ),
  B93&gt;=65,
    IF(AA92+J93 &lt; VLOOKUP(questions!$C$5, Lookup!$Q:$R, 2),
      AA92 + IF(MONTH(A93)=12, R92+X92, 0) + J93 ,
      MIN(
        AA92 + IF(MONTH(A93)=12, R92+X92, 0) + J93,
        VLOOKUP(questions!$C$5, Lookup!$Q:$R, 2)
      )
    )
)</f>
        <v>72877.45004</v>
      </c>
      <c r="AB93" s="65">
        <f t="shared" si="13"/>
        <v>0</v>
      </c>
      <c r="AC93" s="66">
        <f t="array" ref="AC93">IFS(B93&lt;66, XLOOKUP(year(A93),Lookup!$K$13:$K1000,Lookup!$L$13:$L1000,"missing",,1),B93&gt;65,XLOOKUP(questions!$C$5,Lookup!$K$13:$K1000,Lookup!$L$13:$L1000,"missing",,1))</f>
        <v>140258.0327</v>
      </c>
      <c r="AD93" s="66">
        <f t="array" ref="AD93">IFS(B93&lt;66, XLOOKUP(year(A93),Lookup!$K$13:$K1000,Lookup!$M$13:$M1000,"missing",,1),B93&gt;65, XLOOKUP(questions!$C$5,Lookup!$K$13:$K1000,Lookup!$M$13:$M1000,"missing",,1))</f>
        <v>280516.0655</v>
      </c>
      <c r="AE93" s="66">
        <f t="array" ref="AE93">IFS(B93&lt;66, XLOOKUP(year(A93),Lookup!$K$13:$K1000,Lookup!$N$13:$N1000,"missing",,1),B93&gt;65,XLOOKUP(questions!$C$5,Lookup!$K$13:$K1000,Lookup!$N$13:$N1000,"missing",,1))</f>
        <v>561032.1309</v>
      </c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</row>
    <row r="94">
      <c r="A94" s="55">
        <f t="shared" si="7"/>
        <v>48883</v>
      </c>
      <c r="B94" s="56">
        <f>round(YEARFRAC(EOMONTH(questions!$C$3, 0),A94,1),2)</f>
        <v>34.92</v>
      </c>
      <c r="C94" s="57">
        <f>IF(B94&lt;questions!$C$6,if(MONTH(A94)=1,C93*(1+questions!$C$12),C93),0)</f>
        <v>12298.73865</v>
      </c>
      <c r="D94" s="58">
        <f>IF(MONTH(A94)=12,C94*questions!$C$11,0)</f>
        <v>0</v>
      </c>
      <c r="E94" s="59">
        <f t="shared" si="2"/>
        <v>8000</v>
      </c>
      <c r="F94" s="59">
        <f t="shared" si="3"/>
        <v>0</v>
      </c>
      <c r="G94" s="60">
        <f t="array" ref="G94">if(YEAR(A94)=2025,XLOOKUP(B94,Lookup!$A$3:$A$7,Lookup!$D$3:$D$7,,1)*SUM(E94:F94), XLOOKUP(B94,Lookup!$A$14:$A$18,Lookup!$D$14:$D$18,,1)*SUM(E94:F94))</f>
        <v>2960</v>
      </c>
      <c r="H94" s="60">
        <f t="array" ref="H94">if(YEAR(A94)=2025,XLOOKUP(B94,Lookup!$F$3:$F$10,Lookup!$G$3:$G$10,,1)*G94, XLOOKUP(B94,Lookup!$F$14:$F$21,Lookup!$G$14:$G$21,,1)*G94)</f>
        <v>1840.232</v>
      </c>
      <c r="I94" s="60">
        <f t="array" ref="I94">if(B94&lt;55, if(YEAR(A94)=2025,XLOOKUP(B94,Lookup!$F$3:$F$10,Lookup!$H$3:$H$10,,1)*G94, XLOOKUP(B94,Lookup!$F$14:$F$21,Lookup!$H$14:$H$21,,1)*G94),0)</f>
        <v>479.816</v>
      </c>
      <c r="J94" s="60">
        <f t="array" ref="J94">if(YEAR(A94)=2025,XLOOKUP(B94,Lookup!$F$3:$F$10,Lookup!$I$3:$I$10,,1)*G94, XLOOKUP(B94,Lookup!$F$14:$F$21,Lookup!$I$14:$I$21,,1)*G94)</f>
        <v>639.952</v>
      </c>
      <c r="K94" s="61">
        <f t="array" ref="K94">if(B94&gt;54, if(YEAR(A94)=2025,XLOOKUP(B94,Lookup!$F$3:$F$10,Lookup!$H$3:$H$10,,1)*G94, XLOOKUP(B94,Lookup!$F$14:$F$21,Lookup!$H$14:$H$21,,1)*G94),0)</f>
        <v>0</v>
      </c>
      <c r="L94" s="62">
        <f>IF(and(A94&lt;questions!$C$19,questions!$C$18="yes"),questions!$C$20,0)</f>
        <v>700</v>
      </c>
      <c r="M94" s="63">
        <f>(Y93+H94)*Lookup!A$26/12</f>
        <v>281.0589711</v>
      </c>
      <c r="N94" s="63">
        <f>if(B94&lt;55, (Z93+I94)*Lookup!B$26/12, (AB93+K94)*Lookup!B$26/12)</f>
        <v>193.0484677</v>
      </c>
      <c r="O94" s="63">
        <f>(AA93+J94)*Lookup!C$26/12</f>
        <v>245.0580068</v>
      </c>
      <c r="P94" s="63">
        <f t="shared" si="8"/>
        <v>2703.692961</v>
      </c>
      <c r="Q94" s="63">
        <f t="shared" si="4"/>
        <v>1858.512277</v>
      </c>
      <c r="R94" s="63">
        <f t="shared" si="5"/>
        <v>2354.587268</v>
      </c>
      <c r="S94" s="64">
        <f t="shared" si="9"/>
        <v>16.66666667</v>
      </c>
      <c r="T94" s="64">
        <f t="shared" si="10"/>
        <v>33.33333333</v>
      </c>
      <c r="U94" s="64">
        <f t="shared" si="11"/>
        <v>0</v>
      </c>
      <c r="V94" s="64">
        <f t="shared" ref="V94:X94" si="102">IF(year($A94)=year($A93), V93+S94, S94)</f>
        <v>166.6666667</v>
      </c>
      <c r="W94" s="64">
        <f t="shared" si="102"/>
        <v>333.3333333</v>
      </c>
      <c r="X94" s="64">
        <f t="shared" si="102"/>
        <v>0</v>
      </c>
      <c r="Y94" s="65">
        <f>IFS(
  B94&lt;55,
    MAX(
      Y93 + IF(MONTH(A94)=12, P94+V94, 0) + H94 - L94
      + MAX(0,
          IF(AA93 &gt;= VLOOKUP(YEAR(A94), Lookup!$Q:$R, 2),
            Z93 + IF(MONTH(A94)=12, Q94+W94, 0) + I94
              + AA93 + IF(MONTH(A94)=12, R94+X94, 0)
              - VLOOKUP(YEAR(A94), Lookup!$Q:$R, 2) + J94,
            Z93 + IF(MONTH(A94)=12, Q94+W94, 0) + I94
          ) - VLOOKUP(YEAR(A94), Lookup!$K:$M, 3)
        ),
    0),
  B94=55,
    IF(Z93&gt;=AD94,
      MAX(Y93 + IF(MONTH(A94)=12, P94+V94, 0) + H94 - L94, 0),
      MAX(MAX(0, Y93-(AD94-Z93)) + IF(MONTH(A94)=12, P94+V94, 0) + H94 - L94, 0)
    ),
  B94&gt;55,
    IF(AB93&gt;=$AH$7,
      MAX(Y93 + IF(MONTH(A94)=12, P94+V94, 0) + H94 - L94 + K94 + Z93, 0),
      MAX(Y93 + IF(MONTH(A94)=12, P94+V94, 0) + H94 - L94, 0)
    )
)</f>
        <v>134208.3061</v>
      </c>
      <c r="Z94" s="65">
        <f>IFS(
  B94&lt;55,
    MIN(
      IF(AA93 &gt;= VLOOKUP(YEAR(A94), Lookup!$Q:$R, 2),
        Z93 + IF(MONTH(A94)=12, Q94+W94, 0) + I94
          + AA93 + IF(MONTH(A94)=12, R94+X94, 0) - VLOOKUP(YEAR(A94), Lookup!$Q:$R, 2) + J94,
        Z93 + IF(MONTH(A94)=12, Q94+W94, 0) + I94
      ),
      VLOOKUP(YEAR(A94), Lookup!$K:$M, 3)
    ),
  B94=55,
    IF(Z93 &gt;= AD94, Z93 - AD94, 0),
  B94&gt;55, 0
)</f>
        <v>57914.54031</v>
      </c>
      <c r="AA94" s="65">
        <f>IFS(
  B94&lt;65,
    IF(AA93+J94 &lt; VLOOKUP(YEAR(A94), Lookup!$Q:$R, 2),
      AA93 + IF(MONTH(A94)=12, R93+X93, 0) + J94,
      MIN(
        AA93 + IF(MONTH(A94)=12, R93+X93, 0) + J94 ,
        VLOOKUP(YEAR(A94), Lookup!$Q:$R, 2)
      )
    ),
  B94&gt;=65,
    IF(AA93+J94 &lt; VLOOKUP(questions!$C$5, Lookup!$Q:$R, 2),
      AA93 + IF(MONTH(A94)=12, R93+X93, 0) + J94 ,
      MIN(
        AA93 + IF(MONTH(A94)=12, R93+X93, 0) + J94,
        VLOOKUP(questions!$C$5, Lookup!$Q:$R, 2)
      )
    )
)</f>
        <v>73517.40204</v>
      </c>
      <c r="AB94" s="65">
        <f t="shared" si="13"/>
        <v>0</v>
      </c>
      <c r="AC94" s="66">
        <f t="array" ref="AC94">IFS(B94&lt;66, XLOOKUP(year(A94),Lookup!$K$13:$K1000,Lookup!$L$13:$L1000,"missing",,1),B94&gt;65,XLOOKUP(questions!$C$5,Lookup!$K$13:$K1000,Lookup!$L$13:$L1000,"missing",,1))</f>
        <v>140258.0327</v>
      </c>
      <c r="AD94" s="66">
        <f t="array" ref="AD94">IFS(B94&lt;66, XLOOKUP(year(A94),Lookup!$K$13:$K1000,Lookup!$M$13:$M1000,"missing",,1),B94&gt;65, XLOOKUP(questions!$C$5,Lookup!$K$13:$K1000,Lookup!$M$13:$M1000,"missing",,1))</f>
        <v>280516.0655</v>
      </c>
      <c r="AE94" s="66">
        <f t="array" ref="AE94">IFS(B94&lt;66, XLOOKUP(year(A94),Lookup!$K$13:$K1000,Lookup!$N$13:$N1000,"missing",,1),B94&gt;65,XLOOKUP(questions!$C$5,Lookup!$K$13:$K1000,Lookup!$N$13:$N1000,"missing",,1))</f>
        <v>561032.1309</v>
      </c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</row>
    <row r="95">
      <c r="A95" s="55">
        <f t="shared" si="7"/>
        <v>48913</v>
      </c>
      <c r="B95" s="56">
        <f>round(YEARFRAC(EOMONTH(questions!$C$3, 0),A95,1),2)</f>
        <v>35</v>
      </c>
      <c r="C95" s="57">
        <f>IF(B95&lt;questions!$C$6,if(MONTH(A95)=1,C94*(1+questions!$C$12),C94),0)</f>
        <v>12298.73865</v>
      </c>
      <c r="D95" s="58">
        <f>IF(MONTH(A95)=12,C95*questions!$C$11,0)</f>
        <v>0</v>
      </c>
      <c r="E95" s="59">
        <f t="shared" si="2"/>
        <v>8000</v>
      </c>
      <c r="F95" s="59">
        <f t="shared" si="3"/>
        <v>0</v>
      </c>
      <c r="G95" s="60">
        <f t="array" ref="G95">if(YEAR(A95)=2025,XLOOKUP(B95,Lookup!$A$3:$A$7,Lookup!$D$3:$D$7,,1)*SUM(E95:F95), XLOOKUP(B95,Lookup!$A$14:$A$18,Lookup!$D$14:$D$18,,1)*SUM(E95:F95))</f>
        <v>2960</v>
      </c>
      <c r="H95" s="60">
        <f t="array" ref="H95">if(YEAR(A95)=2025,XLOOKUP(B95,Lookup!$F$3:$F$10,Lookup!$G$3:$G$10,,1)*G95, XLOOKUP(B95,Lookup!$F$14:$F$21,Lookup!$G$14:$G$21,,1)*G95)</f>
        <v>1840.232</v>
      </c>
      <c r="I95" s="60">
        <f t="array" ref="I95">if(B95&lt;55, if(YEAR(A95)=2025,XLOOKUP(B95,Lookup!$F$3:$F$10,Lookup!$H$3:$H$10,,1)*G95, XLOOKUP(B95,Lookup!$F$14:$F$21,Lookup!$H$14:$H$21,,1)*G95),0)</f>
        <v>479.816</v>
      </c>
      <c r="J95" s="60">
        <f t="array" ref="J95">if(YEAR(A95)=2025,XLOOKUP(B95,Lookup!$F$3:$F$10,Lookup!$I$3:$I$10,,1)*G95, XLOOKUP(B95,Lookup!$F$14:$F$21,Lookup!$I$14:$I$21,,1)*G95)</f>
        <v>639.952</v>
      </c>
      <c r="K95" s="61">
        <f t="array" ref="K95">if(B95&gt;54, if(YEAR(A95)=2025,XLOOKUP(B95,Lookup!$F$3:$F$10,Lookup!$H$3:$H$10,,1)*G95, XLOOKUP(B95,Lookup!$F$14:$F$21,Lookup!$H$14:$H$21,,1)*G95),0)</f>
        <v>0</v>
      </c>
      <c r="L95" s="62">
        <f>IF(and(A95&lt;questions!$C$19,questions!$C$18="yes"),questions!$C$20,0)</f>
        <v>700</v>
      </c>
      <c r="M95" s="63">
        <f>(Y94+H95)*Lookup!A$26/12</f>
        <v>283.4344544</v>
      </c>
      <c r="N95" s="63">
        <f>if(B95&lt;55, (Z94+I95)*Lookup!B$26/12, (AB94+K95)*Lookup!B$26/12)</f>
        <v>194.6478544</v>
      </c>
      <c r="O95" s="63">
        <f>(AA94+J95)*Lookup!C$26/12</f>
        <v>247.1911801</v>
      </c>
      <c r="P95" s="63">
        <f t="shared" si="8"/>
        <v>2987.127416</v>
      </c>
      <c r="Q95" s="63">
        <f t="shared" si="4"/>
        <v>2053.160131</v>
      </c>
      <c r="R95" s="63">
        <f t="shared" si="5"/>
        <v>2601.778448</v>
      </c>
      <c r="S95" s="64">
        <f t="shared" si="9"/>
        <v>16.66666667</v>
      </c>
      <c r="T95" s="64">
        <f t="shared" si="10"/>
        <v>33.33333333</v>
      </c>
      <c r="U95" s="64">
        <f t="shared" si="11"/>
        <v>0</v>
      </c>
      <c r="V95" s="64">
        <f t="shared" ref="V95:X95" si="103">IF(year($A95)=year($A94), V94+S95, S95)</f>
        <v>183.3333333</v>
      </c>
      <c r="W95" s="64">
        <f t="shared" si="103"/>
        <v>366.6666667</v>
      </c>
      <c r="X95" s="64">
        <f t="shared" si="103"/>
        <v>0</v>
      </c>
      <c r="Y95" s="65">
        <f>IFS(
  B95&lt;55,
    MAX(
      Y94 + IF(MONTH(A95)=12, P95+V95, 0) + H95 - L95
      + MAX(0,
          IF(AA94 &gt;= VLOOKUP(YEAR(A95), Lookup!$Q:$R, 2),
            Z94 + IF(MONTH(A95)=12, Q95+W95, 0) + I95
              + AA94 + IF(MONTH(A95)=12, R95+X95, 0)
              - VLOOKUP(YEAR(A95), Lookup!$Q:$R, 2) + J95,
            Z94 + IF(MONTH(A95)=12, Q95+W95, 0) + I95
          ) - VLOOKUP(YEAR(A95), Lookup!$K:$M, 3)
        ),
    0),
  B95=55,
    IF(Z94&gt;=AD95,
      MAX(Y94 + IF(MONTH(A95)=12, P95+V95, 0) + H95 - L95, 0),
      MAX(MAX(0, Y94-(AD95-Z94)) + IF(MONTH(A95)=12, P95+V95, 0) + H95 - L95, 0)
    ),
  B95&gt;55,
    IF(AB94&gt;=$AH$7,
      MAX(Y94 + IF(MONTH(A95)=12, P95+V95, 0) + H95 - L95 + K95 + Z94, 0),
      MAX(Y94 + IF(MONTH(A95)=12, P95+V95, 0) + H95 - L95, 0)
    )
)</f>
        <v>135348.5381</v>
      </c>
      <c r="Z95" s="65">
        <f>IFS(
  B95&lt;55,
    MIN(
      IF(AA94 &gt;= VLOOKUP(YEAR(A95), Lookup!$Q:$R, 2),
        Z94 + IF(MONTH(A95)=12, Q95+W95, 0) + I95
          + AA94 + IF(MONTH(A95)=12, R95+X95, 0) - VLOOKUP(YEAR(A95), Lookup!$Q:$R, 2) + J95,
        Z94 + IF(MONTH(A95)=12, Q95+W95, 0) + I95
      ),
      VLOOKUP(YEAR(A95), Lookup!$K:$M, 3)
    ),
  B95=55,
    IF(Z94 &gt;= AD95, Z94 - AD95, 0),
  B95&gt;55, 0
)</f>
        <v>58394.35631</v>
      </c>
      <c r="AA95" s="65">
        <f>IFS(
  B95&lt;65,
    IF(AA94+J95 &lt; VLOOKUP(YEAR(A95), Lookup!$Q:$R, 2),
      AA94 + IF(MONTH(A95)=12, R94+X94, 0) + J95,
      MIN(
        AA94 + IF(MONTH(A95)=12, R94+X94, 0) + J95 ,
        VLOOKUP(YEAR(A95), Lookup!$Q:$R, 2)
      )
    ),
  B95&gt;=65,
    IF(AA94+J95 &lt; VLOOKUP(questions!$C$5, Lookup!$Q:$R, 2),
      AA94 + IF(MONTH(A95)=12, R94+X94, 0) + J95 ,
      MIN(
        AA94 + IF(MONTH(A95)=12, R94+X94, 0) + J95,
        VLOOKUP(questions!$C$5, Lookup!$Q:$R, 2)
      )
    )
)</f>
        <v>74157.35404</v>
      </c>
      <c r="AB95" s="65">
        <f t="shared" si="13"/>
        <v>0</v>
      </c>
      <c r="AC95" s="66">
        <f t="array" ref="AC95">IFS(B95&lt;66, XLOOKUP(year(A95),Lookup!$K$13:$K1000,Lookup!$L$13:$L1000,"missing",,1),B95&gt;65,XLOOKUP(questions!$C$5,Lookup!$K$13:$K1000,Lookup!$L$13:$L1000,"missing",,1))</f>
        <v>140258.0327</v>
      </c>
      <c r="AD95" s="66">
        <f t="array" ref="AD95">IFS(B95&lt;66, XLOOKUP(year(A95),Lookup!$K$13:$K1000,Lookup!$M$13:$M1000,"missing",,1),B95&gt;65, XLOOKUP(questions!$C$5,Lookup!$K$13:$K1000,Lookup!$M$13:$M1000,"missing",,1))</f>
        <v>280516.0655</v>
      </c>
      <c r="AE95" s="66">
        <f t="array" ref="AE95">IFS(B95&lt;66, XLOOKUP(year(A95),Lookup!$K$13:$K1000,Lookup!$N$13:$N1000,"missing",,1),B95&gt;65,XLOOKUP(questions!$C$5,Lookup!$K$13:$K1000,Lookup!$N$13:$N1000,"missing",,1))</f>
        <v>561032.1309</v>
      </c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</row>
    <row r="96">
      <c r="A96" s="55">
        <f t="shared" si="7"/>
        <v>48944</v>
      </c>
      <c r="B96" s="56">
        <f>round(YEARFRAC(EOMONTH(questions!$C$3, 0),A96,1),2)</f>
        <v>35.08</v>
      </c>
      <c r="C96" s="57">
        <f>IF(B96&lt;questions!$C$6,if(MONTH(A96)=1,C95*(1+questions!$C$12),C95),0)</f>
        <v>12298.73865</v>
      </c>
      <c r="D96" s="57">
        <f>IF(MONTH(A96)=12,C96*questions!$C$11,0)</f>
        <v>12298.73865</v>
      </c>
      <c r="E96" s="59">
        <f t="shared" si="2"/>
        <v>8000</v>
      </c>
      <c r="F96" s="59">
        <f t="shared" si="3"/>
        <v>6000</v>
      </c>
      <c r="G96" s="60">
        <f t="array" ref="G96">if(YEAR(A96)=2025,XLOOKUP(B96,Lookup!$A$3:$A$7,Lookup!$D$3:$D$7,,1)*SUM(E96:F96), XLOOKUP(B96,Lookup!$A$14:$A$18,Lookup!$D$14:$D$18,,1)*SUM(E96:F96))</f>
        <v>5180</v>
      </c>
      <c r="H96" s="60">
        <f t="array" ref="H96">if(YEAR(A96)=2025,XLOOKUP(B96,Lookup!$F$3:$F$10,Lookup!$G$3:$G$10,,1)*G96, XLOOKUP(B96,Lookup!$F$14:$F$21,Lookup!$G$14:$G$21,,1)*G96)</f>
        <v>2940.686</v>
      </c>
      <c r="I96" s="60">
        <f t="array" ref="I96">if(B96&lt;55, if(YEAR(A96)=2025,XLOOKUP(B96,Lookup!$F$3:$F$10,Lookup!$H$3:$H$10,,1)*G96, XLOOKUP(B96,Lookup!$F$14:$F$21,Lookup!$H$14:$H$21,,1)*G96),0)</f>
        <v>979.538</v>
      </c>
      <c r="J96" s="60">
        <f t="array" ref="J96">if(YEAR(A96)=2025,XLOOKUP(B96,Lookup!$F$3:$F$10,Lookup!$I$3:$I$10,,1)*G96, XLOOKUP(B96,Lookup!$F$14:$F$21,Lookup!$I$14:$I$21,,1)*G96)</f>
        <v>1259.776</v>
      </c>
      <c r="K96" s="61">
        <f t="array" ref="K96">if(B96&gt;54, if(YEAR(A96)=2025,XLOOKUP(B96,Lookup!$F$3:$F$10,Lookup!$H$3:$H$10,,1)*G96, XLOOKUP(B96,Lookup!$F$14:$F$21,Lookup!$H$14:$H$21,,1)*G96),0)</f>
        <v>0</v>
      </c>
      <c r="L96" s="62">
        <f>IF(and(A96&lt;questions!$C$19,questions!$C$18="yes"),questions!$C$20,0)</f>
        <v>700</v>
      </c>
      <c r="M96" s="63">
        <f>(Y95+H96)*Lookup!A$26/12</f>
        <v>288.1025503</v>
      </c>
      <c r="N96" s="63">
        <f>if(B96&lt;55, (Z95+I96)*Lookup!B$26/12, (AB95+K96)*Lookup!B$26/12)</f>
        <v>197.912981</v>
      </c>
      <c r="O96" s="63">
        <f>(AA95+J96)*Lookup!C$26/12</f>
        <v>251.3904335</v>
      </c>
      <c r="P96" s="63">
        <f t="shared" si="8"/>
        <v>3275.229966</v>
      </c>
      <c r="Q96" s="63">
        <f t="shared" si="4"/>
        <v>2251.073113</v>
      </c>
      <c r="R96" s="63">
        <f t="shared" si="5"/>
        <v>2853.168882</v>
      </c>
      <c r="S96" s="64">
        <f t="shared" si="9"/>
        <v>16.66666667</v>
      </c>
      <c r="T96" s="64">
        <f t="shared" si="10"/>
        <v>33.33333333</v>
      </c>
      <c r="U96" s="64">
        <f t="shared" si="11"/>
        <v>0</v>
      </c>
      <c r="V96" s="64">
        <f t="shared" ref="V96:X96" si="104">IF(year($A96)=year($A95), V95+S96, S96)</f>
        <v>200</v>
      </c>
      <c r="W96" s="64">
        <f t="shared" si="104"/>
        <v>400</v>
      </c>
      <c r="X96" s="64">
        <f t="shared" si="104"/>
        <v>0</v>
      </c>
      <c r="Y96" s="65">
        <f>IFS(
  B96&lt;55,
    MAX(
      Y95 + IF(MONTH(A96)=12, P96+V96, 0) + H96 - L96
      + MAX(0,
          IF(AA95 &gt;= VLOOKUP(YEAR(A96), Lookup!$Q:$R, 2),
            Z95 + IF(MONTH(A96)=12, Q96+W96, 0) + I96
              + AA95 + IF(MONTH(A96)=12, R96+X96, 0)
              - VLOOKUP(YEAR(A96), Lookup!$Q:$R, 2) + J96,
            Z95 + IF(MONTH(A96)=12, Q96+W96, 0) + I96
          ) - VLOOKUP(YEAR(A96), Lookup!$K:$M, 3)
        ),
    0),
  B96=55,
    IF(Z95&gt;=AD96,
      MAX(Y95 + IF(MONTH(A96)=12, P96+V96, 0) + H96 - L96, 0),
      MAX(MAX(0, Y95-(AD96-Z95)) + IF(MONTH(A96)=12, P96+V96, 0) + H96 - L96, 0)
    ),
  B96&gt;55,
    IF(AB95&gt;=$AH$7,
      MAX(Y95 + IF(MONTH(A96)=12, P96+V96, 0) + H96 - L96 + K96 + Z95, 0),
      MAX(Y95 + IF(MONTH(A96)=12, P96+V96, 0) + H96 - L96, 0)
    )
)</f>
        <v>141064.4541</v>
      </c>
      <c r="Z96" s="65">
        <f>IFS(
  B96&lt;55,
    MIN(
      IF(AA95 &gt;= VLOOKUP(YEAR(A96), Lookup!$Q:$R, 2),
        Z95 + IF(MONTH(A96)=12, Q96+W96, 0) + I96
          + AA95 + IF(MONTH(A96)=12, R96+X96, 0) - VLOOKUP(YEAR(A96), Lookup!$Q:$R, 2) + J96,
        Z95 + IF(MONTH(A96)=12, Q96+W96, 0) + I96
      ),
      VLOOKUP(YEAR(A96), Lookup!$K:$M, 3)
    ),
  B96=55,
    IF(Z95 &gt;= AD96, Z95 - AD96, 0),
  B96&gt;55, 0
)</f>
        <v>62024.96743</v>
      </c>
      <c r="AA96" s="65">
        <f>IFS(
  B96&lt;65,
    IF(AA95+J96 &lt; VLOOKUP(YEAR(A96), Lookup!$Q:$R, 2),
      AA95 + IF(MONTH(A96)=12, R95+X95, 0) + J96,
      MIN(
        AA95 + IF(MONTH(A96)=12, R95+X95, 0) + J96 ,
        VLOOKUP(YEAR(A96), Lookup!$Q:$R, 2)
      )
    ),
  B96&gt;=65,
    IF(AA95+J96 &lt; VLOOKUP(questions!$C$5, Lookup!$Q:$R, 2),
      AA95 + IF(MONTH(A96)=12, R95+X95, 0) + J96 ,
      MIN(
        AA95 + IF(MONTH(A96)=12, R95+X95, 0) + J96,
        VLOOKUP(questions!$C$5, Lookup!$Q:$R, 2)
      )
    )
)</f>
        <v>78018.90849</v>
      </c>
      <c r="AB96" s="65">
        <f t="shared" si="13"/>
        <v>0</v>
      </c>
      <c r="AC96" s="66">
        <f t="array" ref="AC96">IFS(B96&lt;66, XLOOKUP(year(A96),Lookup!$K$13:$K1000,Lookup!$L$13:$L1000,"missing",,1),B96&gt;65,XLOOKUP(questions!$C$5,Lookup!$K$13:$K1000,Lookup!$L$13:$L1000,"missing",,1))</f>
        <v>140258.0327</v>
      </c>
      <c r="AD96" s="66">
        <f t="array" ref="AD96">IFS(B96&lt;66, XLOOKUP(year(A96),Lookup!$K$13:$K1000,Lookup!$M$13:$M1000,"missing",,1),B96&gt;65, XLOOKUP(questions!$C$5,Lookup!$K$13:$K1000,Lookup!$M$13:$M1000,"missing",,1))</f>
        <v>280516.0655</v>
      </c>
      <c r="AE96" s="66">
        <f t="array" ref="AE96">IFS(B96&lt;66, XLOOKUP(year(A96),Lookup!$K$13:$K1000,Lookup!$N$13:$N1000,"missing",,1),B96&gt;65,XLOOKUP(questions!$C$5,Lookup!$K$13:$K1000,Lookup!$N$13:$N1000,"missing",,1))</f>
        <v>561032.1309</v>
      </c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</row>
    <row r="97">
      <c r="A97" s="55">
        <f t="shared" si="7"/>
        <v>48975</v>
      </c>
      <c r="B97" s="56">
        <f>round(YEARFRAC(EOMONTH(questions!$C$3, 0),A97,1),2)</f>
        <v>35.17</v>
      </c>
      <c r="C97" s="57">
        <f>IF(B97&lt;questions!$C$6,if(MONTH(A97)=1,C96*(1+questions!$C$12),C96),0)</f>
        <v>12667.70081</v>
      </c>
      <c r="D97" s="58">
        <f>IF(MONTH(A97)=12,C97*questions!$C$11,0)</f>
        <v>0</v>
      </c>
      <c r="E97" s="59">
        <f t="shared" si="2"/>
        <v>8000</v>
      </c>
      <c r="F97" s="59">
        <f t="shared" si="3"/>
        <v>0</v>
      </c>
      <c r="G97" s="60">
        <f t="array" ref="G97">if(YEAR(A97)=2025,XLOOKUP(B97,Lookup!$A$3:$A$7,Lookup!$D$3:$D$7,,1)*SUM(E97:F97), XLOOKUP(B97,Lookup!$A$14:$A$18,Lookup!$D$14:$D$18,,1)*SUM(E97:F97))</f>
        <v>2960</v>
      </c>
      <c r="H97" s="60">
        <f t="array" ref="H97">if(YEAR(A97)=2025,XLOOKUP(B97,Lookup!$F$3:$F$10,Lookup!$G$3:$G$10,,1)*G97, XLOOKUP(B97,Lookup!$F$14:$F$21,Lookup!$G$14:$G$21,,1)*G97)</f>
        <v>1680.392</v>
      </c>
      <c r="I97" s="60">
        <f t="array" ref="I97">if(B97&lt;55, if(YEAR(A97)=2025,XLOOKUP(B97,Lookup!$F$3:$F$10,Lookup!$H$3:$H$10,,1)*G97, XLOOKUP(B97,Lookup!$F$14:$F$21,Lookup!$H$14:$H$21,,1)*G97),0)</f>
        <v>559.736</v>
      </c>
      <c r="J97" s="60">
        <f t="array" ref="J97">if(YEAR(A97)=2025,XLOOKUP(B97,Lookup!$F$3:$F$10,Lookup!$I$3:$I$10,,1)*G97, XLOOKUP(B97,Lookup!$F$14:$F$21,Lookup!$I$14:$I$21,,1)*G97)</f>
        <v>719.872</v>
      </c>
      <c r="K97" s="61">
        <f t="array" ref="K97">if(B97&gt;54, if(YEAR(A97)=2025,XLOOKUP(B97,Lookup!$F$3:$F$10,Lookup!$H$3:$H$10,,1)*G97, XLOOKUP(B97,Lookup!$F$14:$F$21,Lookup!$H$14:$H$21,,1)*G97),0)</f>
        <v>0</v>
      </c>
      <c r="L97" s="62">
        <f>IF(and(A97&lt;questions!$C$19,questions!$C$18="yes"),questions!$C$20,0)</f>
        <v>700</v>
      </c>
      <c r="M97" s="63">
        <f>(Y96+H97)*Lookup!A$26/12</f>
        <v>297.385096</v>
      </c>
      <c r="N97" s="63">
        <f>if(B97&lt;55, (Z96+I97)*Lookup!B$26/12, (AB96+K97)*Lookup!B$26/12)</f>
        <v>208.6156781</v>
      </c>
      <c r="O97" s="63">
        <f>(AA96+J97)*Lookup!C$26/12</f>
        <v>262.4626016</v>
      </c>
      <c r="P97" s="63">
        <f t="shared" si="8"/>
        <v>297.385096</v>
      </c>
      <c r="Q97" s="63">
        <f t="shared" si="4"/>
        <v>208.6156781</v>
      </c>
      <c r="R97" s="63">
        <f t="shared" si="5"/>
        <v>262.4626016</v>
      </c>
      <c r="S97" s="64">
        <f t="shared" si="9"/>
        <v>16.66666667</v>
      </c>
      <c r="T97" s="64">
        <f t="shared" si="10"/>
        <v>33.33333333</v>
      </c>
      <c r="U97" s="64">
        <f t="shared" si="11"/>
        <v>0</v>
      </c>
      <c r="V97" s="64">
        <f t="shared" ref="V97:X97" si="105">IF(year($A97)=year($A96), V96+S97, S97)</f>
        <v>16.66666667</v>
      </c>
      <c r="W97" s="64">
        <f t="shared" si="105"/>
        <v>33.33333333</v>
      </c>
      <c r="X97" s="64">
        <f t="shared" si="105"/>
        <v>0</v>
      </c>
      <c r="Y97" s="65">
        <f>IFS(
  B97&lt;55,
    MAX(
      Y96 + IF(MONTH(A97)=12, P97+V97, 0) + H97 - L97
      + MAX(0,
          IF(AA96 &gt;= VLOOKUP(YEAR(A97), Lookup!$Q:$R, 2),
            Z96 + IF(MONTH(A97)=12, Q97+W97, 0) + I97
              + AA96 + IF(MONTH(A97)=12, R97+X97, 0)
              - VLOOKUP(YEAR(A97), Lookup!$Q:$R, 2) + J97,
            Z96 + IF(MONTH(A97)=12, Q97+W97, 0) + I97
          ) - VLOOKUP(YEAR(A97), Lookup!$K:$M, 3)
        ),
    0),
  B97=55,
    IF(Z96&gt;=AD97,
      MAX(Y96 + IF(MONTH(A97)=12, P97+V97, 0) + H97 - L97, 0),
      MAX(MAX(0, Y96-(AD97-Z96)) + IF(MONTH(A97)=12, P97+V97, 0) + H97 - L97, 0)
    ),
  B97&gt;55,
    IF(AB96&gt;=$AH$7,
      MAX(Y96 + IF(MONTH(A97)=12, P97+V97, 0) + H97 - L97 + K97 + Z96, 0),
      MAX(Y96 + IF(MONTH(A97)=12, P97+V97, 0) + H97 - L97, 0)
    )
)</f>
        <v>142044.8461</v>
      </c>
      <c r="Z97" s="65">
        <f>IFS(
  B97&lt;55,
    MIN(
      IF(AA96 &gt;= VLOOKUP(YEAR(A97), Lookup!$Q:$R, 2),
        Z96 + IF(MONTH(A97)=12, Q97+W97, 0) + I97
          + AA96 + IF(MONTH(A97)=12, R97+X97, 0) - VLOOKUP(YEAR(A97), Lookup!$Q:$R, 2) + J97,
        Z96 + IF(MONTH(A97)=12, Q97+W97, 0) + I97
      ),
      VLOOKUP(YEAR(A97), Lookup!$K:$M, 3)
    ),
  B97=55,
    IF(Z96 &gt;= AD97, Z96 - AD97, 0),
  B97&gt;55, 0
)</f>
        <v>62584.70343</v>
      </c>
      <c r="AA97" s="65">
        <f>IFS(
  B97&lt;65,
    IF(AA96+J97 &lt; VLOOKUP(YEAR(A97), Lookup!$Q:$R, 2),
      AA96 + IF(MONTH(A97)=12, R96+X96, 0) + J97,
      MIN(
        AA96 + IF(MONTH(A97)=12, R96+X96, 0) + J97 ,
        VLOOKUP(YEAR(A97), Lookup!$Q:$R, 2)
      )
    ),
  B97&gt;=65,
    IF(AA96+J97 &lt; VLOOKUP(questions!$C$5, Lookup!$Q:$R, 2),
      AA96 + IF(MONTH(A97)=12, R96+X96, 0) + J97 ,
      MIN(
        AA96 + IF(MONTH(A97)=12, R96+X96, 0) + J97,
        VLOOKUP(questions!$C$5, Lookup!$Q:$R, 2)
      )
    )
)</f>
        <v>78738.78049</v>
      </c>
      <c r="AB97" s="65">
        <f t="shared" si="13"/>
        <v>0</v>
      </c>
      <c r="AC97" s="66">
        <f t="array" ref="AC97">IFS(B97&lt;66, XLOOKUP(year(A97),Lookup!$K$13:$K1000,Lookup!$L$13:$L1000,"missing",,1),B97&gt;65,XLOOKUP(questions!$C$5,Lookup!$K$13:$K1000,Lookup!$L$13:$L1000,"missing",,1))</f>
        <v>145167.0639</v>
      </c>
      <c r="AD97" s="66">
        <f t="array" ref="AD97">IFS(B97&lt;66, XLOOKUP(year(A97),Lookup!$K$13:$K1000,Lookup!$M$13:$M1000,"missing",,1),B97&gt;65, XLOOKUP(questions!$C$5,Lookup!$K$13:$K1000,Lookup!$M$13:$M1000,"missing",,1))</f>
        <v>290334.1278</v>
      </c>
      <c r="AE97" s="66">
        <f t="array" ref="AE97">IFS(B97&lt;66, XLOOKUP(year(A97),Lookup!$K$13:$K1000,Lookup!$N$13:$N1000,"missing",,1),B97&gt;65,XLOOKUP(questions!$C$5,Lookup!$K$13:$K1000,Lookup!$N$13:$N1000,"missing",,1))</f>
        <v>580668.2555</v>
      </c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</row>
    <row r="98">
      <c r="A98" s="55">
        <f t="shared" si="7"/>
        <v>49003</v>
      </c>
      <c r="B98" s="56">
        <f>round(YEARFRAC(EOMONTH(questions!$C$3, 0),A98,1),2)</f>
        <v>35.25</v>
      </c>
      <c r="C98" s="57">
        <f>IF(B98&lt;questions!$C$6,if(MONTH(A98)=1,C97*(1+questions!$C$12),C97),0)</f>
        <v>12667.70081</v>
      </c>
      <c r="D98" s="58">
        <f>IF(MONTH(A98)=12,C98*questions!$C$11,0)</f>
        <v>0</v>
      </c>
      <c r="E98" s="59">
        <f t="shared" si="2"/>
        <v>8000</v>
      </c>
      <c r="F98" s="59">
        <f t="shared" si="3"/>
        <v>0</v>
      </c>
      <c r="G98" s="60">
        <f t="array" ref="G98">if(YEAR(A98)=2025,XLOOKUP(B98,Lookup!$A$3:$A$7,Lookup!$D$3:$D$7,,1)*SUM(E98:F98), XLOOKUP(B98,Lookup!$A$14:$A$18,Lookup!$D$14:$D$18,,1)*SUM(E98:F98))</f>
        <v>2960</v>
      </c>
      <c r="H98" s="60">
        <f t="array" ref="H98">if(YEAR(A98)=2025,XLOOKUP(B98,Lookup!$F$3:$F$10,Lookup!$G$3:$G$10,,1)*G98, XLOOKUP(B98,Lookup!$F$14:$F$21,Lookup!$G$14:$G$21,,1)*G98)</f>
        <v>1680.392</v>
      </c>
      <c r="I98" s="60">
        <f t="array" ref="I98">if(B98&lt;55, if(YEAR(A98)=2025,XLOOKUP(B98,Lookup!$F$3:$F$10,Lookup!$H$3:$H$10,,1)*G98, XLOOKUP(B98,Lookup!$F$14:$F$21,Lookup!$H$14:$H$21,,1)*G98),0)</f>
        <v>559.736</v>
      </c>
      <c r="J98" s="60">
        <f t="array" ref="J98">if(YEAR(A98)=2025,XLOOKUP(B98,Lookup!$F$3:$F$10,Lookup!$I$3:$I$10,,1)*G98, XLOOKUP(B98,Lookup!$F$14:$F$21,Lookup!$I$14:$I$21,,1)*G98)</f>
        <v>719.872</v>
      </c>
      <c r="K98" s="61">
        <f t="array" ref="K98">if(B98&gt;54, if(YEAR(A98)=2025,XLOOKUP(B98,Lookup!$F$3:$F$10,Lookup!$H$3:$H$10,,1)*G98, XLOOKUP(B98,Lookup!$F$14:$F$21,Lookup!$H$14:$H$21,,1)*G98),0)</f>
        <v>0</v>
      </c>
      <c r="L98" s="62">
        <f>IF(and(A98&lt;questions!$C$19,questions!$C$18="yes"),questions!$C$20,0)</f>
        <v>700</v>
      </c>
      <c r="M98" s="63">
        <f>(Y97+H98)*Lookup!A$26/12</f>
        <v>299.4275794</v>
      </c>
      <c r="N98" s="63">
        <f>if(B98&lt;55, (Z97+I98)*Lookup!B$26/12, (AB97+K98)*Lookup!B$26/12)</f>
        <v>210.4814648</v>
      </c>
      <c r="O98" s="63">
        <f>(AA97+J98)*Lookup!C$26/12</f>
        <v>264.862175</v>
      </c>
      <c r="P98" s="63">
        <f t="shared" si="8"/>
        <v>596.8126754</v>
      </c>
      <c r="Q98" s="63">
        <f t="shared" si="4"/>
        <v>419.0971428</v>
      </c>
      <c r="R98" s="63">
        <f t="shared" si="5"/>
        <v>527.3247766</v>
      </c>
      <c r="S98" s="64">
        <f t="shared" si="9"/>
        <v>16.66666667</v>
      </c>
      <c r="T98" s="64">
        <f t="shared" si="10"/>
        <v>33.33333333</v>
      </c>
      <c r="U98" s="64">
        <f t="shared" si="11"/>
        <v>0</v>
      </c>
      <c r="V98" s="64">
        <f t="shared" ref="V98:X98" si="106">IF(year($A98)=year($A97), V97+S98, S98)</f>
        <v>33.33333333</v>
      </c>
      <c r="W98" s="64">
        <f t="shared" si="106"/>
        <v>66.66666667</v>
      </c>
      <c r="X98" s="64">
        <f t="shared" si="106"/>
        <v>0</v>
      </c>
      <c r="Y98" s="65">
        <f>IFS(
  B98&lt;55,
    MAX(
      Y97 + IF(MONTH(A98)=12, P98+V98, 0) + H98 - L98
      + MAX(0,
          IF(AA97 &gt;= VLOOKUP(YEAR(A98), Lookup!$Q:$R, 2),
            Z97 + IF(MONTH(A98)=12, Q98+W98, 0) + I98
              + AA97 + IF(MONTH(A98)=12, R98+X98, 0)
              - VLOOKUP(YEAR(A98), Lookup!$Q:$R, 2) + J98,
            Z97 + IF(MONTH(A98)=12, Q98+W98, 0) + I98
          ) - VLOOKUP(YEAR(A98), Lookup!$K:$M, 3)
        ),
    0),
  B98=55,
    IF(Z97&gt;=AD98,
      MAX(Y97 + IF(MONTH(A98)=12, P98+V98, 0) + H98 - L98, 0),
      MAX(MAX(0, Y97-(AD98-Z97)) + IF(MONTH(A98)=12, P98+V98, 0) + H98 - L98, 0)
    ),
  B98&gt;55,
    IF(AB97&gt;=$AH$7,
      MAX(Y97 + IF(MONTH(A98)=12, P98+V98, 0) + H98 - L98 + K98 + Z97, 0),
      MAX(Y97 + IF(MONTH(A98)=12, P98+V98, 0) + H98 - L98, 0)
    )
)</f>
        <v>143025.2381</v>
      </c>
      <c r="Z98" s="65">
        <f>IFS(
  B98&lt;55,
    MIN(
      IF(AA97 &gt;= VLOOKUP(YEAR(A98), Lookup!$Q:$R, 2),
        Z97 + IF(MONTH(A98)=12, Q98+W98, 0) + I98
          + AA97 + IF(MONTH(A98)=12, R98+X98, 0) - VLOOKUP(YEAR(A98), Lookup!$Q:$R, 2) + J98,
        Z97 + IF(MONTH(A98)=12, Q98+W98, 0) + I98
      ),
      VLOOKUP(YEAR(A98), Lookup!$K:$M, 3)
    ),
  B98=55,
    IF(Z97 &gt;= AD98, Z97 - AD98, 0),
  B98&gt;55, 0
)</f>
        <v>63144.43943</v>
      </c>
      <c r="AA98" s="65">
        <f>IFS(
  B98&lt;65,
    IF(AA97+J98 &lt; VLOOKUP(YEAR(A98), Lookup!$Q:$R, 2),
      AA97 + IF(MONTH(A98)=12, R97+X97, 0) + J98,
      MIN(
        AA97 + IF(MONTH(A98)=12, R97+X97, 0) + J98 ,
        VLOOKUP(YEAR(A98), Lookup!$Q:$R, 2)
      )
    ),
  B98&gt;=65,
    IF(AA97+J98 &lt; VLOOKUP(questions!$C$5, Lookup!$Q:$R, 2),
      AA97 + IF(MONTH(A98)=12, R97+X97, 0) + J98 ,
      MIN(
        AA97 + IF(MONTH(A98)=12, R97+X97, 0) + J98,
        VLOOKUP(questions!$C$5, Lookup!$Q:$R, 2)
      )
    )
)</f>
        <v>79458.65249</v>
      </c>
      <c r="AB98" s="65">
        <f t="shared" si="13"/>
        <v>0</v>
      </c>
      <c r="AC98" s="66">
        <f t="array" ref="AC98">IFS(B98&lt;66, XLOOKUP(year(A98),Lookup!$K$13:$K1000,Lookup!$L$13:$L1000,"missing",,1),B98&gt;65,XLOOKUP(questions!$C$5,Lookup!$K$13:$K1000,Lookup!$L$13:$L1000,"missing",,1))</f>
        <v>145167.0639</v>
      </c>
      <c r="AD98" s="66">
        <f t="array" ref="AD98">IFS(B98&lt;66, XLOOKUP(year(A98),Lookup!$K$13:$K1000,Lookup!$M$13:$M1000,"missing",,1),B98&gt;65, XLOOKUP(questions!$C$5,Lookup!$K$13:$K1000,Lookup!$M$13:$M1000,"missing",,1))</f>
        <v>290334.1278</v>
      </c>
      <c r="AE98" s="66">
        <f t="array" ref="AE98">IFS(B98&lt;66, XLOOKUP(year(A98),Lookup!$K$13:$K1000,Lookup!$N$13:$N1000,"missing",,1),B98&gt;65,XLOOKUP(questions!$C$5,Lookup!$K$13:$K1000,Lookup!$N$13:$N1000,"missing",,1))</f>
        <v>580668.2555</v>
      </c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</row>
    <row r="99">
      <c r="A99" s="55">
        <f t="shared" si="7"/>
        <v>49034</v>
      </c>
      <c r="B99" s="56">
        <f>round(YEARFRAC(EOMONTH(questions!$C$3, 0),A99,1),2)</f>
        <v>35.33</v>
      </c>
      <c r="C99" s="57">
        <f>IF(B99&lt;questions!$C$6,if(MONTH(A99)=1,C98*(1+questions!$C$12),C98),0)</f>
        <v>12667.70081</v>
      </c>
      <c r="D99" s="58">
        <f>IF(MONTH(A99)=12,C99*questions!$C$11,0)</f>
        <v>0</v>
      </c>
      <c r="E99" s="59">
        <f t="shared" si="2"/>
        <v>8000</v>
      </c>
      <c r="F99" s="59">
        <f t="shared" si="3"/>
        <v>0</v>
      </c>
      <c r="G99" s="60">
        <f t="array" ref="G99">if(YEAR(A99)=2025,XLOOKUP(B99,Lookup!$A$3:$A$7,Lookup!$D$3:$D$7,,1)*SUM(E99:F99), XLOOKUP(B99,Lookup!$A$14:$A$18,Lookup!$D$14:$D$18,,1)*SUM(E99:F99))</f>
        <v>2960</v>
      </c>
      <c r="H99" s="60">
        <f t="array" ref="H99">if(YEAR(A99)=2025,XLOOKUP(B99,Lookup!$F$3:$F$10,Lookup!$G$3:$G$10,,1)*G99, XLOOKUP(B99,Lookup!$F$14:$F$21,Lookup!$G$14:$G$21,,1)*G99)</f>
        <v>1680.392</v>
      </c>
      <c r="I99" s="60">
        <f t="array" ref="I99">if(B99&lt;55, if(YEAR(A99)=2025,XLOOKUP(B99,Lookup!$F$3:$F$10,Lookup!$H$3:$H$10,,1)*G99, XLOOKUP(B99,Lookup!$F$14:$F$21,Lookup!$H$14:$H$21,,1)*G99),0)</f>
        <v>559.736</v>
      </c>
      <c r="J99" s="60">
        <f t="array" ref="J99">if(YEAR(A99)=2025,XLOOKUP(B99,Lookup!$F$3:$F$10,Lookup!$I$3:$I$10,,1)*G99, XLOOKUP(B99,Lookup!$F$14:$F$21,Lookup!$I$14:$I$21,,1)*G99)</f>
        <v>719.872</v>
      </c>
      <c r="K99" s="61">
        <f t="array" ref="K99">if(B99&gt;54, if(YEAR(A99)=2025,XLOOKUP(B99,Lookup!$F$3:$F$10,Lookup!$H$3:$H$10,,1)*G99, XLOOKUP(B99,Lookup!$F$14:$F$21,Lookup!$H$14:$H$21,,1)*G99),0)</f>
        <v>0</v>
      </c>
      <c r="L99" s="62">
        <f>IF(and(A99&lt;questions!$C$19,questions!$C$18="yes"),questions!$C$20,0)</f>
        <v>700</v>
      </c>
      <c r="M99" s="63">
        <f>(Y98+H99)*Lookup!A$26/12</f>
        <v>301.4700627</v>
      </c>
      <c r="N99" s="63">
        <f>if(B99&lt;55, (Z98+I99)*Lookup!B$26/12, (AB98+K99)*Lookup!B$26/12)</f>
        <v>212.3472514</v>
      </c>
      <c r="O99" s="63">
        <f>(AA98+J99)*Lookup!C$26/12</f>
        <v>267.2617483</v>
      </c>
      <c r="P99" s="63">
        <f t="shared" si="8"/>
        <v>898.2827381</v>
      </c>
      <c r="Q99" s="63">
        <f t="shared" si="4"/>
        <v>631.4443943</v>
      </c>
      <c r="R99" s="63">
        <f t="shared" si="5"/>
        <v>794.5865249</v>
      </c>
      <c r="S99" s="64">
        <f t="shared" si="9"/>
        <v>16.66666667</v>
      </c>
      <c r="T99" s="64">
        <f t="shared" si="10"/>
        <v>33.33333333</v>
      </c>
      <c r="U99" s="64">
        <f t="shared" si="11"/>
        <v>0</v>
      </c>
      <c r="V99" s="64">
        <f t="shared" ref="V99:X99" si="107">IF(year($A99)=year($A98), V98+S99, S99)</f>
        <v>50</v>
      </c>
      <c r="W99" s="64">
        <f t="shared" si="107"/>
        <v>100</v>
      </c>
      <c r="X99" s="64">
        <f t="shared" si="107"/>
        <v>0</v>
      </c>
      <c r="Y99" s="65">
        <f>IFS(
  B99&lt;55,
    MAX(
      Y98 + IF(MONTH(A99)=12, P99+V99, 0) + H99 - L99
      + MAX(0,
          IF(AA98 &gt;= VLOOKUP(YEAR(A99), Lookup!$Q:$R, 2),
            Z98 + IF(MONTH(A99)=12, Q99+W99, 0) + I99
              + AA98 + IF(MONTH(A99)=12, R99+X99, 0)
              - VLOOKUP(YEAR(A99), Lookup!$Q:$R, 2) + J99,
            Z98 + IF(MONTH(A99)=12, Q99+W99, 0) + I99
          ) - VLOOKUP(YEAR(A99), Lookup!$K:$M, 3)
        ),
    0),
  B99=55,
    IF(Z98&gt;=AD99,
      MAX(Y98 + IF(MONTH(A99)=12, P99+V99, 0) + H99 - L99, 0),
      MAX(MAX(0, Y98-(AD99-Z98)) + IF(MONTH(A99)=12, P99+V99, 0) + H99 - L99, 0)
    ),
  B99&gt;55,
    IF(AB98&gt;=$AH$7,
      MAX(Y98 + IF(MONTH(A99)=12, P99+V99, 0) + H99 - L99 + K99 + Z98, 0),
      MAX(Y98 + IF(MONTH(A99)=12, P99+V99, 0) + H99 - L99, 0)
    )
)</f>
        <v>144005.6301</v>
      </c>
      <c r="Z99" s="65">
        <f>IFS(
  B99&lt;55,
    MIN(
      IF(AA98 &gt;= VLOOKUP(YEAR(A99), Lookup!$Q:$R, 2),
        Z98 + IF(MONTH(A99)=12, Q99+W99, 0) + I99
          + AA98 + IF(MONTH(A99)=12, R99+X99, 0) - VLOOKUP(YEAR(A99), Lookup!$Q:$R, 2) + J99,
        Z98 + IF(MONTH(A99)=12, Q99+W99, 0) + I99
      ),
      VLOOKUP(YEAR(A99), Lookup!$K:$M, 3)
    ),
  B99=55,
    IF(Z98 &gt;= AD99, Z98 - AD99, 0),
  B99&gt;55, 0
)</f>
        <v>63704.17543</v>
      </c>
      <c r="AA99" s="65">
        <f>IFS(
  B99&lt;65,
    IF(AA98+J99 &lt; VLOOKUP(YEAR(A99), Lookup!$Q:$R, 2),
      AA98 + IF(MONTH(A99)=12, R98+X98, 0) + J99,
      MIN(
        AA98 + IF(MONTH(A99)=12, R98+X98, 0) + J99 ,
        VLOOKUP(YEAR(A99), Lookup!$Q:$R, 2)
      )
    ),
  B99&gt;=65,
    IF(AA98+J99 &lt; VLOOKUP(questions!$C$5, Lookup!$Q:$R, 2),
      AA98 + IF(MONTH(A99)=12, R98+X98, 0) + J99 ,
      MIN(
        AA98 + IF(MONTH(A99)=12, R98+X98, 0) + J99,
        VLOOKUP(questions!$C$5, Lookup!$Q:$R, 2)
      )
    )
)</f>
        <v>80178.52449</v>
      </c>
      <c r="AB99" s="65">
        <f t="shared" si="13"/>
        <v>0</v>
      </c>
      <c r="AC99" s="66">
        <f t="array" ref="AC99">IFS(B99&lt;66, XLOOKUP(year(A99),Lookup!$K$13:$K1000,Lookup!$L$13:$L1000,"missing",,1),B99&gt;65,XLOOKUP(questions!$C$5,Lookup!$K$13:$K1000,Lookup!$L$13:$L1000,"missing",,1))</f>
        <v>145167.0639</v>
      </c>
      <c r="AD99" s="66">
        <f t="array" ref="AD99">IFS(B99&lt;66, XLOOKUP(year(A99),Lookup!$K$13:$K1000,Lookup!$M$13:$M1000,"missing",,1),B99&gt;65, XLOOKUP(questions!$C$5,Lookup!$K$13:$K1000,Lookup!$M$13:$M1000,"missing",,1))</f>
        <v>290334.1278</v>
      </c>
      <c r="AE99" s="66">
        <f t="array" ref="AE99">IFS(B99&lt;66, XLOOKUP(year(A99),Lookup!$K$13:$K1000,Lookup!$N$13:$N1000,"missing",,1),B99&gt;65,XLOOKUP(questions!$C$5,Lookup!$K$13:$K1000,Lookup!$N$13:$N1000,"missing",,1))</f>
        <v>580668.2555</v>
      </c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</row>
    <row r="100">
      <c r="A100" s="55">
        <f t="shared" si="7"/>
        <v>49064</v>
      </c>
      <c r="B100" s="56">
        <f>round(YEARFRAC(EOMONTH(questions!$C$3, 0),A100,1),2)</f>
        <v>35.41</v>
      </c>
      <c r="C100" s="57">
        <f>IF(B100&lt;questions!$C$6,if(MONTH(A100)=1,C99*(1+questions!$C$12),C99),0)</f>
        <v>12667.70081</v>
      </c>
      <c r="D100" s="58">
        <f>IF(MONTH(A100)=12,C100*questions!$C$11,0)</f>
        <v>0</v>
      </c>
      <c r="E100" s="59">
        <f t="shared" si="2"/>
        <v>8000</v>
      </c>
      <c r="F100" s="59">
        <f t="shared" si="3"/>
        <v>0</v>
      </c>
      <c r="G100" s="60">
        <f t="array" ref="G100">if(YEAR(A100)=2025,XLOOKUP(B100,Lookup!$A$3:$A$7,Lookup!$D$3:$D$7,,1)*SUM(E100:F100), XLOOKUP(B100,Lookup!$A$14:$A$18,Lookup!$D$14:$D$18,,1)*SUM(E100:F100))</f>
        <v>2960</v>
      </c>
      <c r="H100" s="60">
        <f t="array" ref="H100">if(YEAR(A100)=2025,XLOOKUP(B100,Lookup!$F$3:$F$10,Lookup!$G$3:$G$10,,1)*G100, XLOOKUP(B100,Lookup!$F$14:$F$21,Lookup!$G$14:$G$21,,1)*G100)</f>
        <v>1680.392</v>
      </c>
      <c r="I100" s="60">
        <f t="array" ref="I100">if(B100&lt;55, if(YEAR(A100)=2025,XLOOKUP(B100,Lookup!$F$3:$F$10,Lookup!$H$3:$H$10,,1)*G100, XLOOKUP(B100,Lookup!$F$14:$F$21,Lookup!$H$14:$H$21,,1)*G100),0)</f>
        <v>559.736</v>
      </c>
      <c r="J100" s="60">
        <f t="array" ref="J100">if(YEAR(A100)=2025,XLOOKUP(B100,Lookup!$F$3:$F$10,Lookup!$I$3:$I$10,,1)*G100, XLOOKUP(B100,Lookup!$F$14:$F$21,Lookup!$I$14:$I$21,,1)*G100)</f>
        <v>719.872</v>
      </c>
      <c r="K100" s="61">
        <f t="array" ref="K100">if(B100&gt;54, if(YEAR(A100)=2025,XLOOKUP(B100,Lookup!$F$3:$F$10,Lookup!$H$3:$H$10,,1)*G100, XLOOKUP(B100,Lookup!$F$14:$F$21,Lookup!$H$14:$H$21,,1)*G100),0)</f>
        <v>0</v>
      </c>
      <c r="L100" s="62">
        <f>IF(and(A100&lt;questions!$C$19,questions!$C$18="yes"),questions!$C$20,0)</f>
        <v>700</v>
      </c>
      <c r="M100" s="63">
        <f>(Y99+H100)*Lookup!A$26/12</f>
        <v>303.512546</v>
      </c>
      <c r="N100" s="63">
        <f>if(B100&lt;55, (Z99+I100)*Lookup!B$26/12, (AB99+K100)*Lookup!B$26/12)</f>
        <v>214.2130381</v>
      </c>
      <c r="O100" s="63">
        <f>(AA99+J100)*Lookup!C$26/12</f>
        <v>269.6613216</v>
      </c>
      <c r="P100" s="63">
        <f t="shared" si="8"/>
        <v>1201.795284</v>
      </c>
      <c r="Q100" s="63">
        <f t="shared" si="4"/>
        <v>845.6574323</v>
      </c>
      <c r="R100" s="63">
        <f t="shared" si="5"/>
        <v>1064.247846</v>
      </c>
      <c r="S100" s="64">
        <f t="shared" si="9"/>
        <v>16.66666667</v>
      </c>
      <c r="T100" s="64">
        <f t="shared" si="10"/>
        <v>33.33333333</v>
      </c>
      <c r="U100" s="64">
        <f t="shared" si="11"/>
        <v>0</v>
      </c>
      <c r="V100" s="64">
        <f t="shared" ref="V100:X100" si="108">IF(year($A100)=year($A99), V99+S100, S100)</f>
        <v>66.66666667</v>
      </c>
      <c r="W100" s="64">
        <f t="shared" si="108"/>
        <v>133.3333333</v>
      </c>
      <c r="X100" s="64">
        <f t="shared" si="108"/>
        <v>0</v>
      </c>
      <c r="Y100" s="65">
        <f>IFS(
  B100&lt;55,
    MAX(
      Y99 + IF(MONTH(A100)=12, P100+V100, 0) + H100 - L100
      + MAX(0,
          IF(AA99 &gt;= VLOOKUP(YEAR(A100), Lookup!$Q:$R, 2),
            Z99 + IF(MONTH(A100)=12, Q100+W100, 0) + I100
              + AA99 + IF(MONTH(A100)=12, R100+X100, 0)
              - VLOOKUP(YEAR(A100), Lookup!$Q:$R, 2) + J100,
            Z99 + IF(MONTH(A100)=12, Q100+W100, 0) + I100
          ) - VLOOKUP(YEAR(A100), Lookup!$K:$M, 3)
        ),
    0),
  B100=55,
    IF(Z99&gt;=AD100,
      MAX(Y99 + IF(MONTH(A100)=12, P100+V100, 0) + H100 - L100, 0),
      MAX(MAX(0, Y99-(AD100-Z99)) + IF(MONTH(A100)=12, P100+V100, 0) + H100 - L100, 0)
    ),
  B100&gt;55,
    IF(AB99&gt;=$AH$7,
      MAX(Y99 + IF(MONTH(A100)=12, P100+V100, 0) + H100 - L100 + K100 + Z99, 0),
      MAX(Y99 + IF(MONTH(A100)=12, P100+V100, 0) + H100 - L100, 0)
    )
)</f>
        <v>144986.0221</v>
      </c>
      <c r="Z100" s="65">
        <f>IFS(
  B100&lt;55,
    MIN(
      IF(AA99 &gt;= VLOOKUP(YEAR(A100), Lookup!$Q:$R, 2),
        Z99 + IF(MONTH(A100)=12, Q100+W100, 0) + I100
          + AA99 + IF(MONTH(A100)=12, R100+X100, 0) - VLOOKUP(YEAR(A100), Lookup!$Q:$R, 2) + J100,
        Z99 + IF(MONTH(A100)=12, Q100+W100, 0) + I100
      ),
      VLOOKUP(YEAR(A100), Lookup!$K:$M, 3)
    ),
  B100=55,
    IF(Z99 &gt;= AD100, Z99 - AD100, 0),
  B100&gt;55, 0
)</f>
        <v>64263.91143</v>
      </c>
      <c r="AA100" s="65">
        <f>IFS(
  B100&lt;65,
    IF(AA99+J100 &lt; VLOOKUP(YEAR(A100), Lookup!$Q:$R, 2),
      AA99 + IF(MONTH(A100)=12, R99+X99, 0) + J100,
      MIN(
        AA99 + IF(MONTH(A100)=12, R99+X99, 0) + J100 ,
        VLOOKUP(YEAR(A100), Lookup!$Q:$R, 2)
      )
    ),
  B100&gt;=65,
    IF(AA99+J100 &lt; VLOOKUP(questions!$C$5, Lookup!$Q:$R, 2),
      AA99 + IF(MONTH(A100)=12, R99+X99, 0) + J100 ,
      MIN(
        AA99 + IF(MONTH(A100)=12, R99+X99, 0) + J100,
        VLOOKUP(questions!$C$5, Lookup!$Q:$R, 2)
      )
    )
)</f>
        <v>80898.39649</v>
      </c>
      <c r="AB100" s="65">
        <f t="shared" si="13"/>
        <v>0</v>
      </c>
      <c r="AC100" s="66">
        <f t="array" ref="AC100">IFS(B100&lt;66, XLOOKUP(year(A100),Lookup!$K$13:$K1000,Lookup!$L$13:$L1000,"missing",,1),B100&gt;65,XLOOKUP(questions!$C$5,Lookup!$K$13:$K1000,Lookup!$L$13:$L1000,"missing",,1))</f>
        <v>145167.0639</v>
      </c>
      <c r="AD100" s="66">
        <f t="array" ref="AD100">IFS(B100&lt;66, XLOOKUP(year(A100),Lookup!$K$13:$K1000,Lookup!$M$13:$M1000,"missing",,1),B100&gt;65, XLOOKUP(questions!$C$5,Lookup!$K$13:$K1000,Lookup!$M$13:$M1000,"missing",,1))</f>
        <v>290334.1278</v>
      </c>
      <c r="AE100" s="66">
        <f t="array" ref="AE100">IFS(B100&lt;66, XLOOKUP(year(A100),Lookup!$K$13:$K1000,Lookup!$N$13:$N1000,"missing",,1),B100&gt;65,XLOOKUP(questions!$C$5,Lookup!$K$13:$K1000,Lookup!$N$13:$N1000,"missing",,1))</f>
        <v>580668.2555</v>
      </c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</row>
    <row r="101">
      <c r="A101" s="55">
        <f t="shared" si="7"/>
        <v>49095</v>
      </c>
      <c r="B101" s="56">
        <f>round(YEARFRAC(EOMONTH(questions!$C$3, 0),A101,1),2)</f>
        <v>35.5</v>
      </c>
      <c r="C101" s="57">
        <f>IF(B101&lt;questions!$C$6,if(MONTH(A101)=1,C100*(1+questions!$C$12),C100),0)</f>
        <v>12667.70081</v>
      </c>
      <c r="D101" s="58">
        <f>IF(MONTH(A101)=12,C101*questions!$C$11,0)</f>
        <v>0</v>
      </c>
      <c r="E101" s="59">
        <f t="shared" si="2"/>
        <v>8000</v>
      </c>
      <c r="F101" s="59">
        <f t="shared" si="3"/>
        <v>0</v>
      </c>
      <c r="G101" s="60">
        <f t="array" ref="G101">if(YEAR(A101)=2025,XLOOKUP(B101,Lookup!$A$3:$A$7,Lookup!$D$3:$D$7,,1)*SUM(E101:F101), XLOOKUP(B101,Lookup!$A$14:$A$18,Lookup!$D$14:$D$18,,1)*SUM(E101:F101))</f>
        <v>2960</v>
      </c>
      <c r="H101" s="60">
        <f t="array" ref="H101">if(YEAR(A101)=2025,XLOOKUP(B101,Lookup!$F$3:$F$10,Lookup!$G$3:$G$10,,1)*G101, XLOOKUP(B101,Lookup!$F$14:$F$21,Lookup!$G$14:$G$21,,1)*G101)</f>
        <v>1680.392</v>
      </c>
      <c r="I101" s="60">
        <f t="array" ref="I101">if(B101&lt;55, if(YEAR(A101)=2025,XLOOKUP(B101,Lookup!$F$3:$F$10,Lookup!$H$3:$H$10,,1)*G101, XLOOKUP(B101,Lookup!$F$14:$F$21,Lookup!$H$14:$H$21,,1)*G101),0)</f>
        <v>559.736</v>
      </c>
      <c r="J101" s="60">
        <f t="array" ref="J101">if(YEAR(A101)=2025,XLOOKUP(B101,Lookup!$F$3:$F$10,Lookup!$I$3:$I$10,,1)*G101, XLOOKUP(B101,Lookup!$F$14:$F$21,Lookup!$I$14:$I$21,,1)*G101)</f>
        <v>719.872</v>
      </c>
      <c r="K101" s="61">
        <f t="array" ref="K101">if(B101&gt;54, if(YEAR(A101)=2025,XLOOKUP(B101,Lookup!$F$3:$F$10,Lookup!$H$3:$H$10,,1)*G101, XLOOKUP(B101,Lookup!$F$14:$F$21,Lookup!$H$14:$H$21,,1)*G101),0)</f>
        <v>0</v>
      </c>
      <c r="L101" s="62">
        <f>IF(and(A101&lt;questions!$C$19,questions!$C$18="yes"),questions!$C$20,0)</f>
        <v>700</v>
      </c>
      <c r="M101" s="63">
        <f>(Y100+H101)*Lookup!A$26/12</f>
        <v>305.5550294</v>
      </c>
      <c r="N101" s="63">
        <f>if(B101&lt;55, (Z100+I101)*Lookup!B$26/12, (AB100+K101)*Lookup!B$26/12)</f>
        <v>216.0788248</v>
      </c>
      <c r="O101" s="63">
        <f>(AA100+J101)*Lookup!C$26/12</f>
        <v>272.060895</v>
      </c>
      <c r="P101" s="63">
        <f t="shared" si="8"/>
        <v>1507.350314</v>
      </c>
      <c r="Q101" s="63">
        <f t="shared" si="4"/>
        <v>1061.736257</v>
      </c>
      <c r="R101" s="63">
        <f t="shared" si="5"/>
        <v>1336.308741</v>
      </c>
      <c r="S101" s="64">
        <f t="shared" si="9"/>
        <v>16.66666667</v>
      </c>
      <c r="T101" s="64">
        <f t="shared" si="10"/>
        <v>33.33333333</v>
      </c>
      <c r="U101" s="64">
        <f t="shared" si="11"/>
        <v>0</v>
      </c>
      <c r="V101" s="64">
        <f t="shared" ref="V101:X101" si="109">IF(year($A101)=year($A100), V100+S101, S101)</f>
        <v>83.33333333</v>
      </c>
      <c r="W101" s="64">
        <f t="shared" si="109"/>
        <v>166.6666667</v>
      </c>
      <c r="X101" s="64">
        <f t="shared" si="109"/>
        <v>0</v>
      </c>
      <c r="Y101" s="65">
        <f>IFS(
  B101&lt;55,
    MAX(
      Y100 + IF(MONTH(A101)=12, P101+V101, 0) + H101 - L101
      + MAX(0,
          IF(AA100 &gt;= VLOOKUP(YEAR(A101), Lookup!$Q:$R, 2),
            Z100 + IF(MONTH(A101)=12, Q101+W101, 0) + I101
              + AA100 + IF(MONTH(A101)=12, R101+X101, 0)
              - VLOOKUP(YEAR(A101), Lookup!$Q:$R, 2) + J101,
            Z100 + IF(MONTH(A101)=12, Q101+W101, 0) + I101
          ) - VLOOKUP(YEAR(A101), Lookup!$K:$M, 3)
        ),
    0),
  B101=55,
    IF(Z100&gt;=AD101,
      MAX(Y100 + IF(MONTH(A101)=12, P101+V101, 0) + H101 - L101, 0),
      MAX(MAX(0, Y100-(AD101-Z100)) + IF(MONTH(A101)=12, P101+V101, 0) + H101 - L101, 0)
    ),
  B101&gt;55,
    IF(AB100&gt;=$AH$7,
      MAX(Y100 + IF(MONTH(A101)=12, P101+V101, 0) + H101 - L101 + K101 + Z100, 0),
      MAX(Y100 + IF(MONTH(A101)=12, P101+V101, 0) + H101 - L101, 0)
    )
)</f>
        <v>145966.4141</v>
      </c>
      <c r="Z101" s="65">
        <f>IFS(
  B101&lt;55,
    MIN(
      IF(AA100 &gt;= VLOOKUP(YEAR(A101), Lookup!$Q:$R, 2),
        Z100 + IF(MONTH(A101)=12, Q101+W101, 0) + I101
          + AA100 + IF(MONTH(A101)=12, R101+X101, 0) - VLOOKUP(YEAR(A101), Lookup!$Q:$R, 2) + J101,
        Z100 + IF(MONTH(A101)=12, Q101+W101, 0) + I101
      ),
      VLOOKUP(YEAR(A101), Lookup!$K:$M, 3)
    ),
  B101=55,
    IF(Z100 &gt;= AD101, Z100 - AD101, 0),
  B101&gt;55, 0
)</f>
        <v>64823.64743</v>
      </c>
      <c r="AA101" s="65">
        <f>IFS(
  B101&lt;65,
    IF(AA100+J101 &lt; VLOOKUP(YEAR(A101), Lookup!$Q:$R, 2),
      AA100 + IF(MONTH(A101)=12, R100+X100, 0) + J101,
      MIN(
        AA100 + IF(MONTH(A101)=12, R100+X100, 0) + J101 ,
        VLOOKUP(YEAR(A101), Lookup!$Q:$R, 2)
      )
    ),
  B101&gt;=65,
    IF(AA100+J101 &lt; VLOOKUP(questions!$C$5, Lookup!$Q:$R, 2),
      AA100 + IF(MONTH(A101)=12, R100+X100, 0) + J101 ,
      MIN(
        AA100 + IF(MONTH(A101)=12, R100+X100, 0) + J101,
        VLOOKUP(questions!$C$5, Lookup!$Q:$R, 2)
      )
    )
)</f>
        <v>81618.26849</v>
      </c>
      <c r="AB101" s="65">
        <f t="shared" si="13"/>
        <v>0</v>
      </c>
      <c r="AC101" s="66">
        <f t="array" ref="AC101">IFS(B101&lt;66, XLOOKUP(year(A101),Lookup!$K$13:$K1000,Lookup!$L$13:$L1000,"missing",,1),B101&gt;65,XLOOKUP(questions!$C$5,Lookup!$K$13:$K1000,Lookup!$L$13:$L1000,"missing",,1))</f>
        <v>145167.0639</v>
      </c>
      <c r="AD101" s="66">
        <f t="array" ref="AD101">IFS(B101&lt;66, XLOOKUP(year(A101),Lookup!$K$13:$K1000,Lookup!$M$13:$M1000,"missing",,1),B101&gt;65, XLOOKUP(questions!$C$5,Lookup!$K$13:$K1000,Lookup!$M$13:$M1000,"missing",,1))</f>
        <v>290334.1278</v>
      </c>
      <c r="AE101" s="66">
        <f t="array" ref="AE101">IFS(B101&lt;66, XLOOKUP(year(A101),Lookup!$K$13:$K1000,Lookup!$N$13:$N1000,"missing",,1),B101&gt;65,XLOOKUP(questions!$C$5,Lookup!$K$13:$K1000,Lookup!$N$13:$N1000,"missing",,1))</f>
        <v>580668.2555</v>
      </c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</row>
    <row r="102">
      <c r="A102" s="55">
        <f t="shared" si="7"/>
        <v>49125</v>
      </c>
      <c r="B102" s="56">
        <f>round(YEARFRAC(EOMONTH(questions!$C$3, 0),A102,1),2)</f>
        <v>35.58</v>
      </c>
      <c r="C102" s="57">
        <f>IF(B102&lt;questions!$C$6,if(MONTH(A102)=1,C101*(1+questions!$C$12),C101),0)</f>
        <v>12667.70081</v>
      </c>
      <c r="D102" s="58">
        <f>IF(MONTH(A102)=12,C102*questions!$C$11,0)</f>
        <v>0</v>
      </c>
      <c r="E102" s="59">
        <f t="shared" si="2"/>
        <v>8000</v>
      </c>
      <c r="F102" s="59">
        <f t="shared" si="3"/>
        <v>0</v>
      </c>
      <c r="G102" s="60">
        <f t="array" ref="G102">if(YEAR(A102)=2025,XLOOKUP(B102,Lookup!$A$3:$A$7,Lookup!$D$3:$D$7,,1)*SUM(E102:F102), XLOOKUP(B102,Lookup!$A$14:$A$18,Lookup!$D$14:$D$18,,1)*SUM(E102:F102))</f>
        <v>2960</v>
      </c>
      <c r="H102" s="60">
        <f t="array" ref="H102">if(YEAR(A102)=2025,XLOOKUP(B102,Lookup!$F$3:$F$10,Lookup!$G$3:$G$10,,1)*G102, XLOOKUP(B102,Lookup!$F$14:$F$21,Lookup!$G$14:$G$21,,1)*G102)</f>
        <v>1680.392</v>
      </c>
      <c r="I102" s="60">
        <f t="array" ref="I102">if(B102&lt;55, if(YEAR(A102)=2025,XLOOKUP(B102,Lookup!$F$3:$F$10,Lookup!$H$3:$H$10,,1)*G102, XLOOKUP(B102,Lookup!$F$14:$F$21,Lookup!$H$14:$H$21,,1)*G102),0)</f>
        <v>559.736</v>
      </c>
      <c r="J102" s="60">
        <f t="array" ref="J102">if(YEAR(A102)=2025,XLOOKUP(B102,Lookup!$F$3:$F$10,Lookup!$I$3:$I$10,,1)*G102, XLOOKUP(B102,Lookup!$F$14:$F$21,Lookup!$I$14:$I$21,,1)*G102)</f>
        <v>719.872</v>
      </c>
      <c r="K102" s="61">
        <f t="array" ref="K102">if(B102&gt;54, if(YEAR(A102)=2025,XLOOKUP(B102,Lookup!$F$3:$F$10,Lookup!$H$3:$H$10,,1)*G102, XLOOKUP(B102,Lookup!$F$14:$F$21,Lookup!$H$14:$H$21,,1)*G102),0)</f>
        <v>0</v>
      </c>
      <c r="L102" s="62">
        <f>IF(and(A102&lt;questions!$C$19,questions!$C$18="yes"),questions!$C$20,0)</f>
        <v>700</v>
      </c>
      <c r="M102" s="63">
        <f>(Y101+H102)*Lookup!A$26/12</f>
        <v>307.5975127</v>
      </c>
      <c r="N102" s="63">
        <f>if(B102&lt;55, (Z101+I102)*Lookup!B$26/12, (AB101+K102)*Lookup!B$26/12)</f>
        <v>217.9446114</v>
      </c>
      <c r="O102" s="63">
        <f>(AA101+J102)*Lookup!C$26/12</f>
        <v>274.4604683</v>
      </c>
      <c r="P102" s="63">
        <f t="shared" si="8"/>
        <v>1814.947826</v>
      </c>
      <c r="Q102" s="63">
        <f t="shared" si="4"/>
        <v>1279.680869</v>
      </c>
      <c r="R102" s="63">
        <f t="shared" si="5"/>
        <v>1610.76921</v>
      </c>
      <c r="S102" s="64">
        <f t="shared" si="9"/>
        <v>16.66666667</v>
      </c>
      <c r="T102" s="64">
        <f t="shared" si="10"/>
        <v>33.33333333</v>
      </c>
      <c r="U102" s="64">
        <f t="shared" si="11"/>
        <v>0</v>
      </c>
      <c r="V102" s="64">
        <f t="shared" ref="V102:X102" si="110">IF(year($A102)=year($A101), V101+S102, S102)</f>
        <v>100</v>
      </c>
      <c r="W102" s="64">
        <f t="shared" si="110"/>
        <v>200</v>
      </c>
      <c r="X102" s="64">
        <f t="shared" si="110"/>
        <v>0</v>
      </c>
      <c r="Y102" s="65">
        <f>IFS(
  B102&lt;55,
    MAX(
      Y101 + IF(MONTH(A102)=12, P102+V102, 0) + H102 - L102
      + MAX(0,
          IF(AA101 &gt;= VLOOKUP(YEAR(A102), Lookup!$Q:$R, 2),
            Z101 + IF(MONTH(A102)=12, Q102+W102, 0) + I102
              + AA101 + IF(MONTH(A102)=12, R102+X102, 0)
              - VLOOKUP(YEAR(A102), Lookup!$Q:$R, 2) + J102,
            Z101 + IF(MONTH(A102)=12, Q102+W102, 0) + I102
          ) - VLOOKUP(YEAR(A102), Lookup!$K:$M, 3)
        ),
    0),
  B102=55,
    IF(Z101&gt;=AD102,
      MAX(Y101 + IF(MONTH(A102)=12, P102+V102, 0) + H102 - L102, 0),
      MAX(MAX(0, Y101-(AD102-Z101)) + IF(MONTH(A102)=12, P102+V102, 0) + H102 - L102, 0)
    ),
  B102&gt;55,
    IF(AB101&gt;=$AH$7,
      MAX(Y101 + IF(MONTH(A102)=12, P102+V102, 0) + H102 - L102 + K102 + Z101, 0),
      MAX(Y101 + IF(MONTH(A102)=12, P102+V102, 0) + H102 - L102, 0)
    )
)</f>
        <v>146946.8061</v>
      </c>
      <c r="Z102" s="65">
        <f>IFS(
  B102&lt;55,
    MIN(
      IF(AA101 &gt;= VLOOKUP(YEAR(A102), Lookup!$Q:$R, 2),
        Z101 + IF(MONTH(A102)=12, Q102+W102, 0) + I102
          + AA101 + IF(MONTH(A102)=12, R102+X102, 0) - VLOOKUP(YEAR(A102), Lookup!$Q:$R, 2) + J102,
        Z101 + IF(MONTH(A102)=12, Q102+W102, 0) + I102
      ),
      VLOOKUP(YEAR(A102), Lookup!$K:$M, 3)
    ),
  B102=55,
    IF(Z101 &gt;= AD102, Z101 - AD102, 0),
  B102&gt;55, 0
)</f>
        <v>65383.38343</v>
      </c>
      <c r="AA102" s="65">
        <f>IFS(
  B102&lt;65,
    IF(AA101+J102 &lt; VLOOKUP(YEAR(A102), Lookup!$Q:$R, 2),
      AA101 + IF(MONTH(A102)=12, R101+X101, 0) + J102,
      MIN(
        AA101 + IF(MONTH(A102)=12, R101+X101, 0) + J102 ,
        VLOOKUP(YEAR(A102), Lookup!$Q:$R, 2)
      )
    ),
  B102&gt;=65,
    IF(AA101+J102 &lt; VLOOKUP(questions!$C$5, Lookup!$Q:$R, 2),
      AA101 + IF(MONTH(A102)=12, R101+X101, 0) + J102 ,
      MIN(
        AA101 + IF(MONTH(A102)=12, R101+X101, 0) + J102,
        VLOOKUP(questions!$C$5, Lookup!$Q:$R, 2)
      )
    )
)</f>
        <v>82338.14049</v>
      </c>
      <c r="AB102" s="65">
        <f t="shared" si="13"/>
        <v>0</v>
      </c>
      <c r="AC102" s="66">
        <f t="array" ref="AC102">IFS(B102&lt;66, XLOOKUP(year(A102),Lookup!$K$13:$K1000,Lookup!$L$13:$L1000,"missing",,1),B102&gt;65,XLOOKUP(questions!$C$5,Lookup!$K$13:$K1000,Lookup!$L$13:$L1000,"missing",,1))</f>
        <v>145167.0639</v>
      </c>
      <c r="AD102" s="66">
        <f t="array" ref="AD102">IFS(B102&lt;66, XLOOKUP(year(A102),Lookup!$K$13:$K1000,Lookup!$M$13:$M1000,"missing",,1),B102&gt;65, XLOOKUP(questions!$C$5,Lookup!$K$13:$K1000,Lookup!$M$13:$M1000,"missing",,1))</f>
        <v>290334.1278</v>
      </c>
      <c r="AE102" s="66">
        <f t="array" ref="AE102">IFS(B102&lt;66, XLOOKUP(year(A102),Lookup!$K$13:$K1000,Lookup!$N$13:$N1000,"missing",,1),B102&gt;65,XLOOKUP(questions!$C$5,Lookup!$K$13:$K1000,Lookup!$N$13:$N1000,"missing",,1))</f>
        <v>580668.2555</v>
      </c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</row>
    <row r="103">
      <c r="A103" s="55">
        <f t="shared" si="7"/>
        <v>49156</v>
      </c>
      <c r="B103" s="56">
        <f>round(YEARFRAC(EOMONTH(questions!$C$3, 0),A103,1),2)</f>
        <v>35.67</v>
      </c>
      <c r="C103" s="57">
        <f>IF(B103&lt;questions!$C$6,if(MONTH(A103)=1,C102*(1+questions!$C$12),C102),0)</f>
        <v>12667.70081</v>
      </c>
      <c r="D103" s="58">
        <f>IF(MONTH(A103)=12,C103*questions!$C$11,0)</f>
        <v>0</v>
      </c>
      <c r="E103" s="59">
        <f t="shared" si="2"/>
        <v>8000</v>
      </c>
      <c r="F103" s="59">
        <f t="shared" si="3"/>
        <v>0</v>
      </c>
      <c r="G103" s="60">
        <f t="array" ref="G103">if(YEAR(A103)=2025,XLOOKUP(B103,Lookup!$A$3:$A$7,Lookup!$D$3:$D$7,,1)*SUM(E103:F103), XLOOKUP(B103,Lookup!$A$14:$A$18,Lookup!$D$14:$D$18,,1)*SUM(E103:F103))</f>
        <v>2960</v>
      </c>
      <c r="H103" s="60">
        <f t="array" ref="H103">if(YEAR(A103)=2025,XLOOKUP(B103,Lookup!$F$3:$F$10,Lookup!$G$3:$G$10,,1)*G103, XLOOKUP(B103,Lookup!$F$14:$F$21,Lookup!$G$14:$G$21,,1)*G103)</f>
        <v>1680.392</v>
      </c>
      <c r="I103" s="60">
        <f t="array" ref="I103">if(B103&lt;55, if(YEAR(A103)=2025,XLOOKUP(B103,Lookup!$F$3:$F$10,Lookup!$H$3:$H$10,,1)*G103, XLOOKUP(B103,Lookup!$F$14:$F$21,Lookup!$H$14:$H$21,,1)*G103),0)</f>
        <v>559.736</v>
      </c>
      <c r="J103" s="60">
        <f t="array" ref="J103">if(YEAR(A103)=2025,XLOOKUP(B103,Lookup!$F$3:$F$10,Lookup!$I$3:$I$10,,1)*G103, XLOOKUP(B103,Lookup!$F$14:$F$21,Lookup!$I$14:$I$21,,1)*G103)</f>
        <v>719.872</v>
      </c>
      <c r="K103" s="61">
        <f t="array" ref="K103">if(B103&gt;54, if(YEAR(A103)=2025,XLOOKUP(B103,Lookup!$F$3:$F$10,Lookup!$H$3:$H$10,,1)*G103, XLOOKUP(B103,Lookup!$F$14:$F$21,Lookup!$H$14:$H$21,,1)*G103),0)</f>
        <v>0</v>
      </c>
      <c r="L103" s="62">
        <f>IF(and(A103&lt;questions!$C$19,questions!$C$18="yes"),questions!$C$20,0)</f>
        <v>700</v>
      </c>
      <c r="M103" s="63">
        <f>(Y102+H103)*Lookup!A$26/12</f>
        <v>309.639996</v>
      </c>
      <c r="N103" s="63">
        <f>if(B103&lt;55, (Z102+I103)*Lookup!B$26/12, (AB102+K103)*Lookup!B$26/12)</f>
        <v>219.8103981</v>
      </c>
      <c r="O103" s="63">
        <f>(AA102+J103)*Lookup!C$26/12</f>
        <v>276.8600416</v>
      </c>
      <c r="P103" s="63">
        <f t="shared" si="8"/>
        <v>2124.587822</v>
      </c>
      <c r="Q103" s="63">
        <f t="shared" si="4"/>
        <v>1499.491267</v>
      </c>
      <c r="R103" s="63">
        <f t="shared" si="5"/>
        <v>1887.629251</v>
      </c>
      <c r="S103" s="64">
        <f t="shared" si="9"/>
        <v>16.66666667</v>
      </c>
      <c r="T103" s="64">
        <f t="shared" si="10"/>
        <v>33.33333333</v>
      </c>
      <c r="U103" s="64">
        <f t="shared" si="11"/>
        <v>0</v>
      </c>
      <c r="V103" s="64">
        <f t="shared" ref="V103:X103" si="111">IF(year($A103)=year($A102), V102+S103, S103)</f>
        <v>116.6666667</v>
      </c>
      <c r="W103" s="64">
        <f t="shared" si="111"/>
        <v>233.3333333</v>
      </c>
      <c r="X103" s="64">
        <f t="shared" si="111"/>
        <v>0</v>
      </c>
      <c r="Y103" s="65">
        <f>IFS(
  B103&lt;55,
    MAX(
      Y102 + IF(MONTH(A103)=12, P103+V103, 0) + H103 - L103
      + MAX(0,
          IF(AA102 &gt;= VLOOKUP(YEAR(A103), Lookup!$Q:$R, 2),
            Z102 + IF(MONTH(A103)=12, Q103+W103, 0) + I103
              + AA102 + IF(MONTH(A103)=12, R103+X103, 0)
              - VLOOKUP(YEAR(A103), Lookup!$Q:$R, 2) + J103,
            Z102 + IF(MONTH(A103)=12, Q103+W103, 0) + I103
          ) - VLOOKUP(YEAR(A103), Lookup!$K:$M, 3)
        ),
    0),
  B103=55,
    IF(Z102&gt;=AD103,
      MAX(Y102 + IF(MONTH(A103)=12, P103+V103, 0) + H103 - L103, 0),
      MAX(MAX(0, Y102-(AD103-Z102)) + IF(MONTH(A103)=12, P103+V103, 0) + H103 - L103, 0)
    ),
  B103&gt;55,
    IF(AB102&gt;=$AH$7,
      MAX(Y102 + IF(MONTH(A103)=12, P103+V103, 0) + H103 - L103 + K103 + Z102, 0),
      MAX(Y102 + IF(MONTH(A103)=12, P103+V103, 0) + H103 - L103, 0)
    )
)</f>
        <v>147927.1981</v>
      </c>
      <c r="Z103" s="65">
        <f>IFS(
  B103&lt;55,
    MIN(
      IF(AA102 &gt;= VLOOKUP(YEAR(A103), Lookup!$Q:$R, 2),
        Z102 + IF(MONTH(A103)=12, Q103+W103, 0) + I103
          + AA102 + IF(MONTH(A103)=12, R103+X103, 0) - VLOOKUP(YEAR(A103), Lookup!$Q:$R, 2) + J103,
        Z102 + IF(MONTH(A103)=12, Q103+W103, 0) + I103
      ),
      VLOOKUP(YEAR(A103), Lookup!$K:$M, 3)
    ),
  B103=55,
    IF(Z102 &gt;= AD103, Z102 - AD103, 0),
  B103&gt;55, 0
)</f>
        <v>65943.11943</v>
      </c>
      <c r="AA103" s="65">
        <f>IFS(
  B103&lt;65,
    IF(AA102+J103 &lt; VLOOKUP(YEAR(A103), Lookup!$Q:$R, 2),
      AA102 + IF(MONTH(A103)=12, R102+X102, 0) + J103,
      MIN(
        AA102 + IF(MONTH(A103)=12, R102+X102, 0) + J103 ,
        VLOOKUP(YEAR(A103), Lookup!$Q:$R, 2)
      )
    ),
  B103&gt;=65,
    IF(AA102+J103 &lt; VLOOKUP(questions!$C$5, Lookup!$Q:$R, 2),
      AA102 + IF(MONTH(A103)=12, R102+X102, 0) + J103 ,
      MIN(
        AA102 + IF(MONTH(A103)=12, R102+X102, 0) + J103,
        VLOOKUP(questions!$C$5, Lookup!$Q:$R, 2)
      )
    )
)</f>
        <v>83058.01249</v>
      </c>
      <c r="AB103" s="65">
        <f t="shared" si="13"/>
        <v>0</v>
      </c>
      <c r="AC103" s="66">
        <f t="array" ref="AC103">IFS(B103&lt;66, XLOOKUP(year(A103),Lookup!$K$13:$K1000,Lookup!$L$13:$L1000,"missing",,1),B103&gt;65,XLOOKUP(questions!$C$5,Lookup!$K$13:$K1000,Lookup!$L$13:$L1000,"missing",,1))</f>
        <v>145167.0639</v>
      </c>
      <c r="AD103" s="66">
        <f t="array" ref="AD103">IFS(B103&lt;66, XLOOKUP(year(A103),Lookup!$K$13:$K1000,Lookup!$M$13:$M1000,"missing",,1),B103&gt;65, XLOOKUP(questions!$C$5,Lookup!$K$13:$K1000,Lookup!$M$13:$M1000,"missing",,1))</f>
        <v>290334.1278</v>
      </c>
      <c r="AE103" s="66">
        <f t="array" ref="AE103">IFS(B103&lt;66, XLOOKUP(year(A103),Lookup!$K$13:$K1000,Lookup!$N$13:$N1000,"missing",,1),B103&gt;65,XLOOKUP(questions!$C$5,Lookup!$K$13:$K1000,Lookup!$N$13:$N1000,"missing",,1))</f>
        <v>580668.2555</v>
      </c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</row>
    <row r="104">
      <c r="A104" s="55">
        <f t="shared" si="7"/>
        <v>49187</v>
      </c>
      <c r="B104" s="56">
        <f>round(YEARFRAC(EOMONTH(questions!$C$3, 0),A104,1),2)</f>
        <v>35.75</v>
      </c>
      <c r="C104" s="57">
        <f>IF(B104&lt;questions!$C$6,if(MONTH(A104)=1,C103*(1+questions!$C$12),C103),0)</f>
        <v>12667.70081</v>
      </c>
      <c r="D104" s="58">
        <f>IF(MONTH(A104)=12,C104*questions!$C$11,0)</f>
        <v>0</v>
      </c>
      <c r="E104" s="59">
        <f t="shared" si="2"/>
        <v>8000</v>
      </c>
      <c r="F104" s="59">
        <f t="shared" si="3"/>
        <v>0</v>
      </c>
      <c r="G104" s="60">
        <f t="array" ref="G104">if(YEAR(A104)=2025,XLOOKUP(B104,Lookup!$A$3:$A$7,Lookup!$D$3:$D$7,,1)*SUM(E104:F104), XLOOKUP(B104,Lookup!$A$14:$A$18,Lookup!$D$14:$D$18,,1)*SUM(E104:F104))</f>
        <v>2960</v>
      </c>
      <c r="H104" s="60">
        <f t="array" ref="H104">if(YEAR(A104)=2025,XLOOKUP(B104,Lookup!$F$3:$F$10,Lookup!$G$3:$G$10,,1)*G104, XLOOKUP(B104,Lookup!$F$14:$F$21,Lookup!$G$14:$G$21,,1)*G104)</f>
        <v>1680.392</v>
      </c>
      <c r="I104" s="60">
        <f t="array" ref="I104">if(B104&lt;55, if(YEAR(A104)=2025,XLOOKUP(B104,Lookup!$F$3:$F$10,Lookup!$H$3:$H$10,,1)*G104, XLOOKUP(B104,Lookup!$F$14:$F$21,Lookup!$H$14:$H$21,,1)*G104),0)</f>
        <v>559.736</v>
      </c>
      <c r="J104" s="60">
        <f t="array" ref="J104">if(YEAR(A104)=2025,XLOOKUP(B104,Lookup!$F$3:$F$10,Lookup!$I$3:$I$10,,1)*G104, XLOOKUP(B104,Lookup!$F$14:$F$21,Lookup!$I$14:$I$21,,1)*G104)</f>
        <v>719.872</v>
      </c>
      <c r="K104" s="61">
        <f t="array" ref="K104">if(B104&gt;54, if(YEAR(A104)=2025,XLOOKUP(B104,Lookup!$F$3:$F$10,Lookup!$H$3:$H$10,,1)*G104, XLOOKUP(B104,Lookup!$F$14:$F$21,Lookup!$H$14:$H$21,,1)*G104),0)</f>
        <v>0</v>
      </c>
      <c r="L104" s="62">
        <f>IF(and(A104&lt;questions!$C$19,questions!$C$18="yes"),questions!$C$20,0)</f>
        <v>700</v>
      </c>
      <c r="M104" s="63">
        <f>(Y103+H104)*Lookup!A$26/12</f>
        <v>311.6824794</v>
      </c>
      <c r="N104" s="63">
        <f>if(B104&lt;55, (Z103+I104)*Lookup!B$26/12, (AB103+K104)*Lookup!B$26/12)</f>
        <v>221.6761848</v>
      </c>
      <c r="O104" s="63">
        <f>(AA103+J104)*Lookup!C$26/12</f>
        <v>279.259615</v>
      </c>
      <c r="P104" s="63">
        <f t="shared" si="8"/>
        <v>2436.270302</v>
      </c>
      <c r="Q104" s="63">
        <f t="shared" si="4"/>
        <v>1721.167451</v>
      </c>
      <c r="R104" s="63">
        <f t="shared" si="5"/>
        <v>2166.888866</v>
      </c>
      <c r="S104" s="64">
        <f t="shared" si="9"/>
        <v>16.66666667</v>
      </c>
      <c r="T104" s="64">
        <f t="shared" si="10"/>
        <v>33.33333333</v>
      </c>
      <c r="U104" s="64">
        <f t="shared" si="11"/>
        <v>0</v>
      </c>
      <c r="V104" s="64">
        <f t="shared" ref="V104:X104" si="112">IF(year($A104)=year($A103), V103+S104, S104)</f>
        <v>133.3333333</v>
      </c>
      <c r="W104" s="64">
        <f t="shared" si="112"/>
        <v>266.6666667</v>
      </c>
      <c r="X104" s="64">
        <f t="shared" si="112"/>
        <v>0</v>
      </c>
      <c r="Y104" s="65">
        <f>IFS(
  B104&lt;55,
    MAX(
      Y103 + IF(MONTH(A104)=12, P104+V104, 0) + H104 - L104
      + MAX(0,
          IF(AA103 &gt;= VLOOKUP(YEAR(A104), Lookup!$Q:$R, 2),
            Z103 + IF(MONTH(A104)=12, Q104+W104, 0) + I104
              + AA103 + IF(MONTH(A104)=12, R104+X104, 0)
              - VLOOKUP(YEAR(A104), Lookup!$Q:$R, 2) + J104,
            Z103 + IF(MONTH(A104)=12, Q104+W104, 0) + I104
          ) - VLOOKUP(YEAR(A104), Lookup!$K:$M, 3)
        ),
    0),
  B104=55,
    IF(Z103&gt;=AD104,
      MAX(Y103 + IF(MONTH(A104)=12, P104+V104, 0) + H104 - L104, 0),
      MAX(MAX(0, Y103-(AD104-Z103)) + IF(MONTH(A104)=12, P104+V104, 0) + H104 - L104, 0)
    ),
  B104&gt;55,
    IF(AB103&gt;=$AH$7,
      MAX(Y103 + IF(MONTH(A104)=12, P104+V104, 0) + H104 - L104 + K104 + Z103, 0),
      MAX(Y103 + IF(MONTH(A104)=12, P104+V104, 0) + H104 - L104, 0)
    )
)</f>
        <v>148907.5901</v>
      </c>
      <c r="Z104" s="65">
        <f>IFS(
  B104&lt;55,
    MIN(
      IF(AA103 &gt;= VLOOKUP(YEAR(A104), Lookup!$Q:$R, 2),
        Z103 + IF(MONTH(A104)=12, Q104+W104, 0) + I104
          + AA103 + IF(MONTH(A104)=12, R104+X104, 0) - VLOOKUP(YEAR(A104), Lookup!$Q:$R, 2) + J104,
        Z103 + IF(MONTH(A104)=12, Q104+W104, 0) + I104
      ),
      VLOOKUP(YEAR(A104), Lookup!$K:$M, 3)
    ),
  B104=55,
    IF(Z103 &gt;= AD104, Z103 - AD104, 0),
  B104&gt;55, 0
)</f>
        <v>66502.85543</v>
      </c>
      <c r="AA104" s="65">
        <f>IFS(
  B104&lt;65,
    IF(AA103+J104 &lt; VLOOKUP(YEAR(A104), Lookup!$Q:$R, 2),
      AA103 + IF(MONTH(A104)=12, R103+X103, 0) + J104,
      MIN(
        AA103 + IF(MONTH(A104)=12, R103+X103, 0) + J104 ,
        VLOOKUP(YEAR(A104), Lookup!$Q:$R, 2)
      )
    ),
  B104&gt;=65,
    IF(AA103+J104 &lt; VLOOKUP(questions!$C$5, Lookup!$Q:$R, 2),
      AA103 + IF(MONTH(A104)=12, R103+X103, 0) + J104 ,
      MIN(
        AA103 + IF(MONTH(A104)=12, R103+X103, 0) + J104,
        VLOOKUP(questions!$C$5, Lookup!$Q:$R, 2)
      )
    )
)</f>
        <v>83777.88449</v>
      </c>
      <c r="AB104" s="65">
        <f t="shared" si="13"/>
        <v>0</v>
      </c>
      <c r="AC104" s="66">
        <f t="array" ref="AC104">IFS(B104&lt;66, XLOOKUP(year(A104),Lookup!$K$13:$K1000,Lookup!$L$13:$L1000,"missing",,1),B104&gt;65,XLOOKUP(questions!$C$5,Lookup!$K$13:$K1000,Lookup!$L$13:$L1000,"missing",,1))</f>
        <v>145167.0639</v>
      </c>
      <c r="AD104" s="66">
        <f t="array" ref="AD104">IFS(B104&lt;66, XLOOKUP(year(A104),Lookup!$K$13:$K1000,Lookup!$M$13:$M1000,"missing",,1),B104&gt;65, XLOOKUP(questions!$C$5,Lookup!$K$13:$K1000,Lookup!$M$13:$M1000,"missing",,1))</f>
        <v>290334.1278</v>
      </c>
      <c r="AE104" s="66">
        <f t="array" ref="AE104">IFS(B104&lt;66, XLOOKUP(year(A104),Lookup!$K$13:$K1000,Lookup!$N$13:$N1000,"missing",,1),B104&gt;65,XLOOKUP(questions!$C$5,Lookup!$K$13:$K1000,Lookup!$N$13:$N1000,"missing",,1))</f>
        <v>580668.2555</v>
      </c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</row>
    <row r="105">
      <c r="A105" s="55">
        <f t="shared" si="7"/>
        <v>49217</v>
      </c>
      <c r="B105" s="56">
        <f>round(YEARFRAC(EOMONTH(questions!$C$3, 0),A105,1),2)</f>
        <v>35.83</v>
      </c>
      <c r="C105" s="57">
        <f>IF(B105&lt;questions!$C$6,if(MONTH(A105)=1,C104*(1+questions!$C$12),C104),0)</f>
        <v>12667.70081</v>
      </c>
      <c r="D105" s="58">
        <f>IF(MONTH(A105)=12,C105*questions!$C$11,0)</f>
        <v>0</v>
      </c>
      <c r="E105" s="59">
        <f t="shared" si="2"/>
        <v>8000</v>
      </c>
      <c r="F105" s="59">
        <f t="shared" si="3"/>
        <v>0</v>
      </c>
      <c r="G105" s="60">
        <f t="array" ref="G105">if(YEAR(A105)=2025,XLOOKUP(B105,Lookup!$A$3:$A$7,Lookup!$D$3:$D$7,,1)*SUM(E105:F105), XLOOKUP(B105,Lookup!$A$14:$A$18,Lookup!$D$14:$D$18,,1)*SUM(E105:F105))</f>
        <v>2960</v>
      </c>
      <c r="H105" s="60">
        <f t="array" ref="H105">if(YEAR(A105)=2025,XLOOKUP(B105,Lookup!$F$3:$F$10,Lookup!$G$3:$G$10,,1)*G105, XLOOKUP(B105,Lookup!$F$14:$F$21,Lookup!$G$14:$G$21,,1)*G105)</f>
        <v>1680.392</v>
      </c>
      <c r="I105" s="60">
        <f t="array" ref="I105">if(B105&lt;55, if(YEAR(A105)=2025,XLOOKUP(B105,Lookup!$F$3:$F$10,Lookup!$H$3:$H$10,,1)*G105, XLOOKUP(B105,Lookup!$F$14:$F$21,Lookup!$H$14:$H$21,,1)*G105),0)</f>
        <v>559.736</v>
      </c>
      <c r="J105" s="60">
        <f t="array" ref="J105">if(YEAR(A105)=2025,XLOOKUP(B105,Lookup!$F$3:$F$10,Lookup!$I$3:$I$10,,1)*G105, XLOOKUP(B105,Lookup!$F$14:$F$21,Lookup!$I$14:$I$21,,1)*G105)</f>
        <v>719.872</v>
      </c>
      <c r="K105" s="61">
        <f t="array" ref="K105">if(B105&gt;54, if(YEAR(A105)=2025,XLOOKUP(B105,Lookup!$F$3:$F$10,Lookup!$H$3:$H$10,,1)*G105, XLOOKUP(B105,Lookup!$F$14:$F$21,Lookup!$H$14:$H$21,,1)*G105),0)</f>
        <v>0</v>
      </c>
      <c r="L105" s="62">
        <f>IF(and(A105&lt;questions!$C$19,questions!$C$18="yes"),questions!$C$20,0)</f>
        <v>700</v>
      </c>
      <c r="M105" s="63">
        <f>(Y104+H105)*Lookup!A$26/12</f>
        <v>313.7249627</v>
      </c>
      <c r="N105" s="63">
        <f>if(B105&lt;55, (Z104+I105)*Lookup!B$26/12, (AB104+K105)*Lookup!B$26/12)</f>
        <v>223.5419714</v>
      </c>
      <c r="O105" s="63">
        <f>(AA104+J105)*Lookup!C$26/12</f>
        <v>281.6591883</v>
      </c>
      <c r="P105" s="63">
        <f t="shared" si="8"/>
        <v>2749.995264</v>
      </c>
      <c r="Q105" s="63">
        <f t="shared" si="4"/>
        <v>1944.709423</v>
      </c>
      <c r="R105" s="63">
        <f t="shared" si="5"/>
        <v>2448.548055</v>
      </c>
      <c r="S105" s="64">
        <f t="shared" si="9"/>
        <v>16.66666667</v>
      </c>
      <c r="T105" s="64">
        <f t="shared" si="10"/>
        <v>33.33333333</v>
      </c>
      <c r="U105" s="64">
        <f t="shared" si="11"/>
        <v>0</v>
      </c>
      <c r="V105" s="64">
        <f t="shared" ref="V105:X105" si="113">IF(year($A105)=year($A104), V104+S105, S105)</f>
        <v>150</v>
      </c>
      <c r="W105" s="64">
        <f t="shared" si="113"/>
        <v>300</v>
      </c>
      <c r="X105" s="64">
        <f t="shared" si="113"/>
        <v>0</v>
      </c>
      <c r="Y105" s="65">
        <f>IFS(
  B105&lt;55,
    MAX(
      Y104 + IF(MONTH(A105)=12, P105+V105, 0) + H105 - L105
      + MAX(0,
          IF(AA104 &gt;= VLOOKUP(YEAR(A105), Lookup!$Q:$R, 2),
            Z104 + IF(MONTH(A105)=12, Q105+W105, 0) + I105
              + AA104 + IF(MONTH(A105)=12, R105+X105, 0)
              - VLOOKUP(YEAR(A105), Lookup!$Q:$R, 2) + J105,
            Z104 + IF(MONTH(A105)=12, Q105+W105, 0) + I105
          ) - VLOOKUP(YEAR(A105), Lookup!$K:$M, 3)
        ),
    0),
  B105=55,
    IF(Z104&gt;=AD105,
      MAX(Y104 + IF(MONTH(A105)=12, P105+V105, 0) + H105 - L105, 0),
      MAX(MAX(0, Y104-(AD105-Z104)) + IF(MONTH(A105)=12, P105+V105, 0) + H105 - L105, 0)
    ),
  B105&gt;55,
    IF(AB104&gt;=$AH$7,
      MAX(Y104 + IF(MONTH(A105)=12, P105+V105, 0) + H105 - L105 + K105 + Z104, 0),
      MAX(Y104 + IF(MONTH(A105)=12, P105+V105, 0) + H105 - L105, 0)
    )
)</f>
        <v>149887.9821</v>
      </c>
      <c r="Z105" s="65">
        <f>IFS(
  B105&lt;55,
    MIN(
      IF(AA104 &gt;= VLOOKUP(YEAR(A105), Lookup!$Q:$R, 2),
        Z104 + IF(MONTH(A105)=12, Q105+W105, 0) + I105
          + AA104 + IF(MONTH(A105)=12, R105+X105, 0) - VLOOKUP(YEAR(A105), Lookup!$Q:$R, 2) + J105,
        Z104 + IF(MONTH(A105)=12, Q105+W105, 0) + I105
      ),
      VLOOKUP(YEAR(A105), Lookup!$K:$M, 3)
    ),
  B105=55,
    IF(Z104 &gt;= AD105, Z104 - AD105, 0),
  B105&gt;55, 0
)</f>
        <v>67062.59143</v>
      </c>
      <c r="AA105" s="65">
        <f>IFS(
  B105&lt;65,
    IF(AA104+J105 &lt; VLOOKUP(YEAR(A105), Lookup!$Q:$R, 2),
      AA104 + IF(MONTH(A105)=12, R104+X104, 0) + J105,
      MIN(
        AA104 + IF(MONTH(A105)=12, R104+X104, 0) + J105 ,
        VLOOKUP(YEAR(A105), Lookup!$Q:$R, 2)
      )
    ),
  B105&gt;=65,
    IF(AA104+J105 &lt; VLOOKUP(questions!$C$5, Lookup!$Q:$R, 2),
      AA104 + IF(MONTH(A105)=12, R104+X104, 0) + J105 ,
      MIN(
        AA104 + IF(MONTH(A105)=12, R104+X104, 0) + J105,
        VLOOKUP(questions!$C$5, Lookup!$Q:$R, 2)
      )
    )
)</f>
        <v>84497.75649</v>
      </c>
      <c r="AB105" s="65">
        <f t="shared" si="13"/>
        <v>0</v>
      </c>
      <c r="AC105" s="66">
        <f t="array" ref="AC105">IFS(B105&lt;66, XLOOKUP(year(A105),Lookup!$K$13:$K1000,Lookup!$L$13:$L1000,"missing",,1),B105&gt;65,XLOOKUP(questions!$C$5,Lookup!$K$13:$K1000,Lookup!$L$13:$L1000,"missing",,1))</f>
        <v>145167.0639</v>
      </c>
      <c r="AD105" s="66">
        <f t="array" ref="AD105">IFS(B105&lt;66, XLOOKUP(year(A105),Lookup!$K$13:$K1000,Lookup!$M$13:$M1000,"missing",,1),B105&gt;65, XLOOKUP(questions!$C$5,Lookup!$K$13:$K1000,Lookup!$M$13:$M1000,"missing",,1))</f>
        <v>290334.1278</v>
      </c>
      <c r="AE105" s="66">
        <f t="array" ref="AE105">IFS(B105&lt;66, XLOOKUP(year(A105),Lookup!$K$13:$K1000,Lookup!$N$13:$N1000,"missing",,1),B105&gt;65,XLOOKUP(questions!$C$5,Lookup!$K$13:$K1000,Lookup!$N$13:$N1000,"missing",,1))</f>
        <v>580668.2555</v>
      </c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</row>
    <row r="106">
      <c r="A106" s="55">
        <f t="shared" si="7"/>
        <v>49248</v>
      </c>
      <c r="B106" s="56">
        <f>round(YEARFRAC(EOMONTH(questions!$C$3, 0),A106,1),2)</f>
        <v>35.92</v>
      </c>
      <c r="C106" s="57">
        <f>IF(B106&lt;questions!$C$6,if(MONTH(A106)=1,C105*(1+questions!$C$12),C105),0)</f>
        <v>12667.70081</v>
      </c>
      <c r="D106" s="58">
        <f>IF(MONTH(A106)=12,C106*questions!$C$11,0)</f>
        <v>0</v>
      </c>
      <c r="E106" s="59">
        <f t="shared" si="2"/>
        <v>8000</v>
      </c>
      <c r="F106" s="59">
        <f t="shared" si="3"/>
        <v>0</v>
      </c>
      <c r="G106" s="60">
        <f t="array" ref="G106">if(YEAR(A106)=2025,XLOOKUP(B106,Lookup!$A$3:$A$7,Lookup!$D$3:$D$7,,1)*SUM(E106:F106), XLOOKUP(B106,Lookup!$A$14:$A$18,Lookup!$D$14:$D$18,,1)*SUM(E106:F106))</f>
        <v>2960</v>
      </c>
      <c r="H106" s="60">
        <f t="array" ref="H106">if(YEAR(A106)=2025,XLOOKUP(B106,Lookup!$F$3:$F$10,Lookup!$G$3:$G$10,,1)*G106, XLOOKUP(B106,Lookup!$F$14:$F$21,Lookup!$G$14:$G$21,,1)*G106)</f>
        <v>1680.392</v>
      </c>
      <c r="I106" s="60">
        <f t="array" ref="I106">if(B106&lt;55, if(YEAR(A106)=2025,XLOOKUP(B106,Lookup!$F$3:$F$10,Lookup!$H$3:$H$10,,1)*G106, XLOOKUP(B106,Lookup!$F$14:$F$21,Lookup!$H$14:$H$21,,1)*G106),0)</f>
        <v>559.736</v>
      </c>
      <c r="J106" s="60">
        <f t="array" ref="J106">if(YEAR(A106)=2025,XLOOKUP(B106,Lookup!$F$3:$F$10,Lookup!$I$3:$I$10,,1)*G106, XLOOKUP(B106,Lookup!$F$14:$F$21,Lookup!$I$14:$I$21,,1)*G106)</f>
        <v>719.872</v>
      </c>
      <c r="K106" s="61">
        <f t="array" ref="K106">if(B106&gt;54, if(YEAR(A106)=2025,XLOOKUP(B106,Lookup!$F$3:$F$10,Lookup!$H$3:$H$10,,1)*G106, XLOOKUP(B106,Lookup!$F$14:$F$21,Lookup!$H$14:$H$21,,1)*G106),0)</f>
        <v>0</v>
      </c>
      <c r="L106" s="62">
        <f>IF(and(A106&lt;questions!$C$19,questions!$C$18="yes"),questions!$C$20,0)</f>
        <v>700</v>
      </c>
      <c r="M106" s="63">
        <f>(Y105+H106)*Lookup!A$26/12</f>
        <v>315.767446</v>
      </c>
      <c r="N106" s="63">
        <f>if(B106&lt;55, (Z105+I106)*Lookup!B$26/12, (AB105+K106)*Lookup!B$26/12)</f>
        <v>225.4077581</v>
      </c>
      <c r="O106" s="63">
        <f>(AA105+J106)*Lookup!C$26/12</f>
        <v>284.0587616</v>
      </c>
      <c r="P106" s="63">
        <f t="shared" si="8"/>
        <v>3065.76271</v>
      </c>
      <c r="Q106" s="63">
        <f t="shared" si="4"/>
        <v>2170.117181</v>
      </c>
      <c r="R106" s="63">
        <f t="shared" si="5"/>
        <v>2732.606816</v>
      </c>
      <c r="S106" s="64">
        <f t="shared" si="9"/>
        <v>16.66666667</v>
      </c>
      <c r="T106" s="64">
        <f t="shared" si="10"/>
        <v>33.33333333</v>
      </c>
      <c r="U106" s="64">
        <f t="shared" si="11"/>
        <v>0</v>
      </c>
      <c r="V106" s="64">
        <f t="shared" ref="V106:X106" si="114">IF(year($A106)=year($A105), V105+S106, S106)</f>
        <v>166.6666667</v>
      </c>
      <c r="W106" s="64">
        <f t="shared" si="114"/>
        <v>333.3333333</v>
      </c>
      <c r="X106" s="64">
        <f t="shared" si="114"/>
        <v>0</v>
      </c>
      <c r="Y106" s="65">
        <f>IFS(
  B106&lt;55,
    MAX(
      Y105 + IF(MONTH(A106)=12, P106+V106, 0) + H106 - L106
      + MAX(0,
          IF(AA105 &gt;= VLOOKUP(YEAR(A106), Lookup!$Q:$R, 2),
            Z105 + IF(MONTH(A106)=12, Q106+W106, 0) + I106
              + AA105 + IF(MONTH(A106)=12, R106+X106, 0)
              - VLOOKUP(YEAR(A106), Lookup!$Q:$R, 2) + J106,
            Z105 + IF(MONTH(A106)=12, Q106+W106, 0) + I106
          ) - VLOOKUP(YEAR(A106), Lookup!$K:$M, 3)
        ),
    0),
  B106=55,
    IF(Z105&gt;=AD106,
      MAX(Y105 + IF(MONTH(A106)=12, P106+V106, 0) + H106 - L106, 0),
      MAX(MAX(0, Y105-(AD106-Z105)) + IF(MONTH(A106)=12, P106+V106, 0) + H106 - L106, 0)
    ),
  B106&gt;55,
    IF(AB105&gt;=$AH$7,
      MAX(Y105 + IF(MONTH(A106)=12, P106+V106, 0) + H106 - L106 + K106 + Z105, 0),
      MAX(Y105 + IF(MONTH(A106)=12, P106+V106, 0) + H106 - L106, 0)
    )
)</f>
        <v>150868.3741</v>
      </c>
      <c r="Z106" s="65">
        <f>IFS(
  B106&lt;55,
    MIN(
      IF(AA105 &gt;= VLOOKUP(YEAR(A106), Lookup!$Q:$R, 2),
        Z105 + IF(MONTH(A106)=12, Q106+W106, 0) + I106
          + AA105 + IF(MONTH(A106)=12, R106+X106, 0) - VLOOKUP(YEAR(A106), Lookup!$Q:$R, 2) + J106,
        Z105 + IF(MONTH(A106)=12, Q106+W106, 0) + I106
      ),
      VLOOKUP(YEAR(A106), Lookup!$K:$M, 3)
    ),
  B106=55,
    IF(Z105 &gt;= AD106, Z105 - AD106, 0),
  B106&gt;55, 0
)</f>
        <v>67622.32743</v>
      </c>
      <c r="AA106" s="65">
        <f>IFS(
  B106&lt;65,
    IF(AA105+J106 &lt; VLOOKUP(YEAR(A106), Lookup!$Q:$R, 2),
      AA105 + IF(MONTH(A106)=12, R105+X105, 0) + J106,
      MIN(
        AA105 + IF(MONTH(A106)=12, R105+X105, 0) + J106 ,
        VLOOKUP(YEAR(A106), Lookup!$Q:$R, 2)
      )
    ),
  B106&gt;=65,
    IF(AA105+J106 &lt; VLOOKUP(questions!$C$5, Lookup!$Q:$R, 2),
      AA105 + IF(MONTH(A106)=12, R105+X105, 0) + J106 ,
      MIN(
        AA105 + IF(MONTH(A106)=12, R105+X105, 0) + J106,
        VLOOKUP(questions!$C$5, Lookup!$Q:$R, 2)
      )
    )
)</f>
        <v>85217.62849</v>
      </c>
      <c r="AB106" s="65">
        <f t="shared" si="13"/>
        <v>0</v>
      </c>
      <c r="AC106" s="66">
        <f t="array" ref="AC106">IFS(B106&lt;66, XLOOKUP(year(A106),Lookup!$K$13:$K1000,Lookup!$L$13:$L1000,"missing",,1),B106&gt;65,XLOOKUP(questions!$C$5,Lookup!$K$13:$K1000,Lookup!$L$13:$L1000,"missing",,1))</f>
        <v>145167.0639</v>
      </c>
      <c r="AD106" s="66">
        <f t="array" ref="AD106">IFS(B106&lt;66, XLOOKUP(year(A106),Lookup!$K$13:$K1000,Lookup!$M$13:$M1000,"missing",,1),B106&gt;65, XLOOKUP(questions!$C$5,Lookup!$K$13:$K1000,Lookup!$M$13:$M1000,"missing",,1))</f>
        <v>290334.1278</v>
      </c>
      <c r="AE106" s="66">
        <f t="array" ref="AE106">IFS(B106&lt;66, XLOOKUP(year(A106),Lookup!$K$13:$K1000,Lookup!$N$13:$N1000,"missing",,1),B106&gt;65,XLOOKUP(questions!$C$5,Lookup!$K$13:$K1000,Lookup!$N$13:$N1000,"missing",,1))</f>
        <v>580668.2555</v>
      </c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</row>
    <row r="107">
      <c r="A107" s="55">
        <f t="shared" si="7"/>
        <v>49278</v>
      </c>
      <c r="B107" s="56">
        <f>round(YEARFRAC(EOMONTH(questions!$C$3, 0),A107,1),2)</f>
        <v>36</v>
      </c>
      <c r="C107" s="57">
        <f>IF(B107&lt;questions!$C$6,if(MONTH(A107)=1,C106*(1+questions!$C$12),C106),0)</f>
        <v>12667.70081</v>
      </c>
      <c r="D107" s="58">
        <f>IF(MONTH(A107)=12,C107*questions!$C$11,0)</f>
        <v>0</v>
      </c>
      <c r="E107" s="59">
        <f t="shared" si="2"/>
        <v>8000</v>
      </c>
      <c r="F107" s="59">
        <f t="shared" si="3"/>
        <v>0</v>
      </c>
      <c r="G107" s="60">
        <f t="array" ref="G107">if(YEAR(A107)=2025,XLOOKUP(B107,Lookup!$A$3:$A$7,Lookup!$D$3:$D$7,,1)*SUM(E107:F107), XLOOKUP(B107,Lookup!$A$14:$A$18,Lookup!$D$14:$D$18,,1)*SUM(E107:F107))</f>
        <v>2960</v>
      </c>
      <c r="H107" s="60">
        <f t="array" ref="H107">if(YEAR(A107)=2025,XLOOKUP(B107,Lookup!$F$3:$F$10,Lookup!$G$3:$G$10,,1)*G107, XLOOKUP(B107,Lookup!$F$14:$F$21,Lookup!$G$14:$G$21,,1)*G107)</f>
        <v>1680.392</v>
      </c>
      <c r="I107" s="60">
        <f t="array" ref="I107">if(B107&lt;55, if(YEAR(A107)=2025,XLOOKUP(B107,Lookup!$F$3:$F$10,Lookup!$H$3:$H$10,,1)*G107, XLOOKUP(B107,Lookup!$F$14:$F$21,Lookup!$H$14:$H$21,,1)*G107),0)</f>
        <v>559.736</v>
      </c>
      <c r="J107" s="60">
        <f t="array" ref="J107">if(YEAR(A107)=2025,XLOOKUP(B107,Lookup!$F$3:$F$10,Lookup!$I$3:$I$10,,1)*G107, XLOOKUP(B107,Lookup!$F$14:$F$21,Lookup!$I$14:$I$21,,1)*G107)</f>
        <v>719.872</v>
      </c>
      <c r="K107" s="61">
        <f t="array" ref="K107">if(B107&gt;54, if(YEAR(A107)=2025,XLOOKUP(B107,Lookup!$F$3:$F$10,Lookup!$H$3:$H$10,,1)*G107, XLOOKUP(B107,Lookup!$F$14:$F$21,Lookup!$H$14:$H$21,,1)*G107),0)</f>
        <v>0</v>
      </c>
      <c r="L107" s="62">
        <f>IF(and(A107&lt;questions!$C$19,questions!$C$18="yes"),questions!$C$20,0)</f>
        <v>700</v>
      </c>
      <c r="M107" s="63">
        <f>(Y106+H107)*Lookup!A$26/12</f>
        <v>317.8099294</v>
      </c>
      <c r="N107" s="63">
        <f>if(B107&lt;55, (Z106+I107)*Lookup!B$26/12, (AB106+K107)*Lookup!B$26/12)</f>
        <v>227.2735448</v>
      </c>
      <c r="O107" s="63">
        <f>(AA106+J107)*Lookup!C$26/12</f>
        <v>286.458335</v>
      </c>
      <c r="P107" s="63">
        <f t="shared" si="8"/>
        <v>3383.57264</v>
      </c>
      <c r="Q107" s="63">
        <f t="shared" si="4"/>
        <v>2397.390726</v>
      </c>
      <c r="R107" s="63">
        <f t="shared" si="5"/>
        <v>3019.065151</v>
      </c>
      <c r="S107" s="64">
        <f t="shared" si="9"/>
        <v>16.66666667</v>
      </c>
      <c r="T107" s="64">
        <f t="shared" si="10"/>
        <v>33.33333333</v>
      </c>
      <c r="U107" s="64">
        <f t="shared" si="11"/>
        <v>0</v>
      </c>
      <c r="V107" s="64">
        <f t="shared" ref="V107:X107" si="115">IF(year($A107)=year($A106), V106+S107, S107)</f>
        <v>183.3333333</v>
      </c>
      <c r="W107" s="64">
        <f t="shared" si="115"/>
        <v>366.6666667</v>
      </c>
      <c r="X107" s="64">
        <f t="shared" si="115"/>
        <v>0</v>
      </c>
      <c r="Y107" s="65">
        <f>IFS(
  B107&lt;55,
    MAX(
      Y106 + IF(MONTH(A107)=12, P107+V107, 0) + H107 - L107
      + MAX(0,
          IF(AA106 &gt;= VLOOKUP(YEAR(A107), Lookup!$Q:$R, 2),
            Z106 + IF(MONTH(A107)=12, Q107+W107, 0) + I107
              + AA106 + IF(MONTH(A107)=12, R107+X107, 0)
              - VLOOKUP(YEAR(A107), Lookup!$Q:$R, 2) + J107,
            Z106 + IF(MONTH(A107)=12, Q107+W107, 0) + I107
          ) - VLOOKUP(YEAR(A107), Lookup!$K:$M, 3)
        ),
    0),
  B107=55,
    IF(Z106&gt;=AD107,
      MAX(Y106 + IF(MONTH(A107)=12, P107+V107, 0) + H107 - L107, 0),
      MAX(MAX(0, Y106-(AD107-Z106)) + IF(MONTH(A107)=12, P107+V107, 0) + H107 - L107, 0)
    ),
  B107&gt;55,
    IF(AB106&gt;=$AH$7,
      MAX(Y106 + IF(MONTH(A107)=12, P107+V107, 0) + H107 - L107 + K107 + Z106, 0),
      MAX(Y106 + IF(MONTH(A107)=12, P107+V107, 0) + H107 - L107, 0)
    )
)</f>
        <v>151848.7661</v>
      </c>
      <c r="Z107" s="65">
        <f>IFS(
  B107&lt;55,
    MIN(
      IF(AA106 &gt;= VLOOKUP(YEAR(A107), Lookup!$Q:$R, 2),
        Z106 + IF(MONTH(A107)=12, Q107+W107, 0) + I107
          + AA106 + IF(MONTH(A107)=12, R107+X107, 0) - VLOOKUP(YEAR(A107), Lookup!$Q:$R, 2) + J107,
        Z106 + IF(MONTH(A107)=12, Q107+W107, 0) + I107
      ),
      VLOOKUP(YEAR(A107), Lookup!$K:$M, 3)
    ),
  B107=55,
    IF(Z106 &gt;= AD107, Z106 - AD107, 0),
  B107&gt;55, 0
)</f>
        <v>68182.06343</v>
      </c>
      <c r="AA107" s="65">
        <f>IFS(
  B107&lt;65,
    IF(AA106+J107 &lt; VLOOKUP(YEAR(A107), Lookup!$Q:$R, 2),
      AA106 + IF(MONTH(A107)=12, R106+X106, 0) + J107,
      MIN(
        AA106 + IF(MONTH(A107)=12, R106+X106, 0) + J107 ,
        VLOOKUP(YEAR(A107), Lookup!$Q:$R, 2)
      )
    ),
  B107&gt;=65,
    IF(AA106+J107 &lt; VLOOKUP(questions!$C$5, Lookup!$Q:$R, 2),
      AA106 + IF(MONTH(A107)=12, R106+X106, 0) + J107 ,
      MIN(
        AA106 + IF(MONTH(A107)=12, R106+X106, 0) + J107,
        VLOOKUP(questions!$C$5, Lookup!$Q:$R, 2)
      )
    )
)</f>
        <v>85937.50049</v>
      </c>
      <c r="AB107" s="65">
        <f t="shared" si="13"/>
        <v>0</v>
      </c>
      <c r="AC107" s="66">
        <f t="array" ref="AC107">IFS(B107&lt;66, XLOOKUP(year(A107),Lookup!$K$13:$K1000,Lookup!$L$13:$L1000,"missing",,1),B107&gt;65,XLOOKUP(questions!$C$5,Lookup!$K$13:$K1000,Lookup!$L$13:$L1000,"missing",,1))</f>
        <v>145167.0639</v>
      </c>
      <c r="AD107" s="66">
        <f t="array" ref="AD107">IFS(B107&lt;66, XLOOKUP(year(A107),Lookup!$K$13:$K1000,Lookup!$M$13:$M1000,"missing",,1),B107&gt;65, XLOOKUP(questions!$C$5,Lookup!$K$13:$K1000,Lookup!$M$13:$M1000,"missing",,1))</f>
        <v>290334.1278</v>
      </c>
      <c r="AE107" s="66">
        <f t="array" ref="AE107">IFS(B107&lt;66, XLOOKUP(year(A107),Lookup!$K$13:$K1000,Lookup!$N$13:$N1000,"missing",,1),B107&gt;65,XLOOKUP(questions!$C$5,Lookup!$K$13:$K1000,Lookup!$N$13:$N1000,"missing",,1))</f>
        <v>580668.2555</v>
      </c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</row>
    <row r="108">
      <c r="A108" s="55">
        <f t="shared" si="7"/>
        <v>49309</v>
      </c>
      <c r="B108" s="56">
        <f>round(YEARFRAC(EOMONTH(questions!$C$3, 0),A108,1),2)</f>
        <v>36.08</v>
      </c>
      <c r="C108" s="57">
        <f>IF(B108&lt;questions!$C$6,if(MONTH(A108)=1,C107*(1+questions!$C$12),C107),0)</f>
        <v>12667.70081</v>
      </c>
      <c r="D108" s="57">
        <f>IF(MONTH(A108)=12,C108*questions!$C$11,0)</f>
        <v>12667.70081</v>
      </c>
      <c r="E108" s="59">
        <f t="shared" si="2"/>
        <v>8000</v>
      </c>
      <c r="F108" s="59">
        <f t="shared" si="3"/>
        <v>6000</v>
      </c>
      <c r="G108" s="60">
        <f t="array" ref="G108">if(YEAR(A108)=2025,XLOOKUP(B108,Lookup!$A$3:$A$7,Lookup!$D$3:$D$7,,1)*SUM(E108:F108), XLOOKUP(B108,Lookup!$A$14:$A$18,Lookup!$D$14:$D$18,,1)*SUM(E108:F108))</f>
        <v>5180</v>
      </c>
      <c r="H108" s="60">
        <f t="array" ref="H108">if(YEAR(A108)=2025,XLOOKUP(B108,Lookup!$F$3:$F$10,Lookup!$G$3:$G$10,,1)*G108, XLOOKUP(B108,Lookup!$F$14:$F$21,Lookup!$G$14:$G$21,,1)*G108)</f>
        <v>2940.686</v>
      </c>
      <c r="I108" s="60">
        <f t="array" ref="I108">if(B108&lt;55, if(YEAR(A108)=2025,XLOOKUP(B108,Lookup!$F$3:$F$10,Lookup!$H$3:$H$10,,1)*G108, XLOOKUP(B108,Lookup!$F$14:$F$21,Lookup!$H$14:$H$21,,1)*G108),0)</f>
        <v>979.538</v>
      </c>
      <c r="J108" s="60">
        <f t="array" ref="J108">if(YEAR(A108)=2025,XLOOKUP(B108,Lookup!$F$3:$F$10,Lookup!$I$3:$I$10,,1)*G108, XLOOKUP(B108,Lookup!$F$14:$F$21,Lookup!$I$14:$I$21,,1)*G108)</f>
        <v>1259.776</v>
      </c>
      <c r="K108" s="61">
        <f t="array" ref="K108">if(B108&gt;54, if(YEAR(A108)=2025,XLOOKUP(B108,Lookup!$F$3:$F$10,Lookup!$H$3:$H$10,,1)*G108, XLOOKUP(B108,Lookup!$F$14:$F$21,Lookup!$H$14:$H$21,,1)*G108),0)</f>
        <v>0</v>
      </c>
      <c r="L108" s="62">
        <f>IF(and(A108&lt;questions!$C$19,questions!$C$18="yes"),questions!$C$20,0)</f>
        <v>700</v>
      </c>
      <c r="M108" s="63">
        <f>(Y107+H108)*Lookup!A$26/12</f>
        <v>322.4780252</v>
      </c>
      <c r="N108" s="63">
        <f>if(B108&lt;55, (Z107+I108)*Lookup!B$26/12, (AB107+K108)*Lookup!B$26/12)</f>
        <v>230.5386714</v>
      </c>
      <c r="O108" s="63">
        <f>(AA107+J108)*Lookup!C$26/12</f>
        <v>290.6575883</v>
      </c>
      <c r="P108" s="63">
        <f t="shared" si="8"/>
        <v>3706.050665</v>
      </c>
      <c r="Q108" s="63">
        <f t="shared" si="4"/>
        <v>2627.929397</v>
      </c>
      <c r="R108" s="63">
        <f t="shared" si="5"/>
        <v>3309.722739</v>
      </c>
      <c r="S108" s="64">
        <f t="shared" si="9"/>
        <v>16.66666667</v>
      </c>
      <c r="T108" s="64">
        <f t="shared" si="10"/>
        <v>33.33333333</v>
      </c>
      <c r="U108" s="64">
        <f t="shared" si="11"/>
        <v>0</v>
      </c>
      <c r="V108" s="64">
        <f t="shared" ref="V108:X108" si="116">IF(year($A108)=year($A107), V107+S108, S108)</f>
        <v>200</v>
      </c>
      <c r="W108" s="64">
        <f t="shared" si="116"/>
        <v>400</v>
      </c>
      <c r="X108" s="64">
        <f t="shared" si="116"/>
        <v>0</v>
      </c>
      <c r="Y108" s="65">
        <f>IFS(
  B108&lt;55,
    MAX(
      Y107 + IF(MONTH(A108)=12, P108+V108, 0) + H108 - L108
      + MAX(0,
          IF(AA107 &gt;= VLOOKUP(YEAR(A108), Lookup!$Q:$R, 2),
            Z107 + IF(MONTH(A108)=12, Q108+W108, 0) + I108
              + AA107 + IF(MONTH(A108)=12, R108+X108, 0)
              - VLOOKUP(YEAR(A108), Lookup!$Q:$R, 2) + J108,
            Z107 + IF(MONTH(A108)=12, Q108+W108, 0) + I108
          ) - VLOOKUP(YEAR(A108), Lookup!$K:$M, 3)
        ),
    0),
  B108=55,
    IF(Z107&gt;=AD108,
      MAX(Y107 + IF(MONTH(A108)=12, P108+V108, 0) + H108 - L108, 0),
      MAX(MAX(0, Y107-(AD108-Z107)) + IF(MONTH(A108)=12, P108+V108, 0) + H108 - L108, 0)
    ),
  B108&gt;55,
    IF(AB107&gt;=$AH$7,
      MAX(Y107 + IF(MONTH(A108)=12, P108+V108, 0) + H108 - L108 + K108 + Z107, 0),
      MAX(Y107 + IF(MONTH(A108)=12, P108+V108, 0) + H108 - L108, 0)
    )
)</f>
        <v>157995.5028</v>
      </c>
      <c r="Z108" s="65">
        <f>IFS(
  B108&lt;55,
    MIN(
      IF(AA107 &gt;= VLOOKUP(YEAR(A108), Lookup!$Q:$R, 2),
        Z107 + IF(MONTH(A108)=12, Q108+W108, 0) + I108
          + AA107 + IF(MONTH(A108)=12, R108+X108, 0) - VLOOKUP(YEAR(A108), Lookup!$Q:$R, 2) + J108,
        Z107 + IF(MONTH(A108)=12, Q108+W108, 0) + I108
      ),
      VLOOKUP(YEAR(A108), Lookup!$K:$M, 3)
    ),
  B108=55,
    IF(Z107 &gt;= AD108, Z107 - AD108, 0),
  B108&gt;55, 0
)</f>
        <v>72189.53082</v>
      </c>
      <c r="AA108" s="65">
        <f>IFS(
  B108&lt;65,
    IF(AA107+J108 &lt; VLOOKUP(YEAR(A108), Lookup!$Q:$R, 2),
      AA107 + IF(MONTH(A108)=12, R107+X107, 0) + J108,
      MIN(
        AA107 + IF(MONTH(A108)=12, R107+X107, 0) + J108 ,
        VLOOKUP(YEAR(A108), Lookup!$Q:$R, 2)
      )
    ),
  B108&gt;=65,
    IF(AA107+J108 &lt; VLOOKUP(questions!$C$5, Lookup!$Q:$R, 2),
      AA107 + IF(MONTH(A108)=12, R107+X107, 0) + J108 ,
      MIN(
        AA107 + IF(MONTH(A108)=12, R107+X107, 0) + J108,
        VLOOKUP(questions!$C$5, Lookup!$Q:$R, 2)
      )
    )
)</f>
        <v>90216.34164</v>
      </c>
      <c r="AB108" s="65">
        <f t="shared" si="13"/>
        <v>0</v>
      </c>
      <c r="AC108" s="66">
        <f t="array" ref="AC108">IFS(B108&lt;66, XLOOKUP(year(A108),Lookup!$K$13:$K1000,Lookup!$L$13:$L1000,"missing",,1),B108&gt;65,XLOOKUP(questions!$C$5,Lookup!$K$13:$K1000,Lookup!$L$13:$L1000,"missing",,1))</f>
        <v>145167.0639</v>
      </c>
      <c r="AD108" s="66">
        <f t="array" ref="AD108">IFS(B108&lt;66, XLOOKUP(year(A108),Lookup!$K$13:$K1000,Lookup!$M$13:$M1000,"missing",,1),B108&gt;65, XLOOKUP(questions!$C$5,Lookup!$K$13:$K1000,Lookup!$M$13:$M1000,"missing",,1))</f>
        <v>290334.1278</v>
      </c>
      <c r="AE108" s="66">
        <f t="array" ref="AE108">IFS(B108&lt;66, XLOOKUP(year(A108),Lookup!$K$13:$K1000,Lookup!$N$13:$N1000,"missing",,1),B108&gt;65,XLOOKUP(questions!$C$5,Lookup!$K$13:$K1000,Lookup!$N$13:$N1000,"missing",,1))</f>
        <v>580668.2555</v>
      </c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</row>
    <row r="109">
      <c r="A109" s="55">
        <f t="shared" si="7"/>
        <v>49340</v>
      </c>
      <c r="B109" s="56">
        <f>round(YEARFRAC(EOMONTH(questions!$C$3, 0),A109,1),2)</f>
        <v>36.17</v>
      </c>
      <c r="C109" s="57">
        <f>IF(B109&lt;questions!$C$6,if(MONTH(A109)=1,C108*(1+questions!$C$12),C108),0)</f>
        <v>13047.73184</v>
      </c>
      <c r="D109" s="58">
        <f>IF(MONTH(A109)=12,C109*questions!$C$11,0)</f>
        <v>0</v>
      </c>
      <c r="E109" s="59">
        <f t="shared" si="2"/>
        <v>8000</v>
      </c>
      <c r="F109" s="59">
        <f t="shared" si="3"/>
        <v>0</v>
      </c>
      <c r="G109" s="60">
        <f t="array" ref="G109">if(YEAR(A109)=2025,XLOOKUP(B109,Lookup!$A$3:$A$7,Lookup!$D$3:$D$7,,1)*SUM(E109:F109), XLOOKUP(B109,Lookup!$A$14:$A$18,Lookup!$D$14:$D$18,,1)*SUM(E109:F109))</f>
        <v>2960</v>
      </c>
      <c r="H109" s="60">
        <f t="array" ref="H109">if(YEAR(A109)=2025,XLOOKUP(B109,Lookup!$F$3:$F$10,Lookup!$G$3:$G$10,,1)*G109, XLOOKUP(B109,Lookup!$F$14:$F$21,Lookup!$G$14:$G$21,,1)*G109)</f>
        <v>1680.392</v>
      </c>
      <c r="I109" s="60">
        <f t="array" ref="I109">if(B109&lt;55, if(YEAR(A109)=2025,XLOOKUP(B109,Lookup!$F$3:$F$10,Lookup!$H$3:$H$10,,1)*G109, XLOOKUP(B109,Lookup!$F$14:$F$21,Lookup!$H$14:$H$21,,1)*G109),0)</f>
        <v>559.736</v>
      </c>
      <c r="J109" s="60">
        <f t="array" ref="J109">if(YEAR(A109)=2025,XLOOKUP(B109,Lookup!$F$3:$F$10,Lookup!$I$3:$I$10,,1)*G109, XLOOKUP(B109,Lookup!$F$14:$F$21,Lookup!$I$14:$I$21,,1)*G109)</f>
        <v>719.872</v>
      </c>
      <c r="K109" s="61">
        <f t="array" ref="K109">if(B109&gt;54, if(YEAR(A109)=2025,XLOOKUP(B109,Lookup!$F$3:$F$10,Lookup!$H$3:$H$10,,1)*G109, XLOOKUP(B109,Lookup!$F$14:$F$21,Lookup!$H$14:$H$21,,1)*G109),0)</f>
        <v>0</v>
      </c>
      <c r="L109" s="62">
        <f>IF(and(A109&lt;questions!$C$19,questions!$C$18="yes"),questions!$C$20,0)</f>
        <v>700</v>
      </c>
      <c r="M109" s="63">
        <f>(Y108+H109)*Lookup!A$26/12</f>
        <v>332.6581141</v>
      </c>
      <c r="N109" s="63">
        <f>if(B109&lt;55, (Z108+I109)*Lookup!B$26/12, (AB108+K109)*Lookup!B$26/12)</f>
        <v>242.4975561</v>
      </c>
      <c r="O109" s="63">
        <f>(AA108+J109)*Lookup!C$26/12</f>
        <v>303.1207121</v>
      </c>
      <c r="P109" s="63">
        <f t="shared" si="8"/>
        <v>332.6581141</v>
      </c>
      <c r="Q109" s="63">
        <f t="shared" si="4"/>
        <v>242.4975561</v>
      </c>
      <c r="R109" s="63">
        <f t="shared" si="5"/>
        <v>303.1207121</v>
      </c>
      <c r="S109" s="64">
        <f t="shared" si="9"/>
        <v>16.66666667</v>
      </c>
      <c r="T109" s="64">
        <f t="shared" si="10"/>
        <v>33.33333333</v>
      </c>
      <c r="U109" s="64">
        <f t="shared" si="11"/>
        <v>0</v>
      </c>
      <c r="V109" s="64">
        <f t="shared" ref="V109:X109" si="117">IF(year($A109)=year($A108), V108+S109, S109)</f>
        <v>16.66666667</v>
      </c>
      <c r="W109" s="64">
        <f t="shared" si="117"/>
        <v>33.33333333</v>
      </c>
      <c r="X109" s="64">
        <f t="shared" si="117"/>
        <v>0</v>
      </c>
      <c r="Y109" s="65">
        <f>IFS(
  B109&lt;55,
    MAX(
      Y108 + IF(MONTH(A109)=12, P109+V109, 0) + H109 - L109
      + MAX(0,
          IF(AA108 &gt;= VLOOKUP(YEAR(A109), Lookup!$Q:$R, 2),
            Z108 + IF(MONTH(A109)=12, Q109+W109, 0) + I109
              + AA108 + IF(MONTH(A109)=12, R109+X109, 0)
              - VLOOKUP(YEAR(A109), Lookup!$Q:$R, 2) + J109,
            Z108 + IF(MONTH(A109)=12, Q109+W109, 0) + I109
          ) - VLOOKUP(YEAR(A109), Lookup!$K:$M, 3)
        ),
    0),
  B109=55,
    IF(Z108&gt;=AD109,
      MAX(Y108 + IF(MONTH(A109)=12, P109+V109, 0) + H109 - L109, 0),
      MAX(MAX(0, Y108-(AD109-Z108)) + IF(MONTH(A109)=12, P109+V109, 0) + H109 - L109, 0)
    ),
  B109&gt;55,
    IF(AB108&gt;=$AH$7,
      MAX(Y108 + IF(MONTH(A109)=12, P109+V109, 0) + H109 - L109 + K109 + Z108, 0),
      MAX(Y108 + IF(MONTH(A109)=12, P109+V109, 0) + H109 - L109, 0)
    )
)</f>
        <v>158975.8948</v>
      </c>
      <c r="Z109" s="65">
        <f>IFS(
  B109&lt;55,
    MIN(
      IF(AA108 &gt;= VLOOKUP(YEAR(A109), Lookup!$Q:$R, 2),
        Z108 + IF(MONTH(A109)=12, Q109+W109, 0) + I109
          + AA108 + IF(MONTH(A109)=12, R109+X109, 0) - VLOOKUP(YEAR(A109), Lookup!$Q:$R, 2) + J109,
        Z108 + IF(MONTH(A109)=12, Q109+W109, 0) + I109
      ),
      VLOOKUP(YEAR(A109), Lookup!$K:$M, 3)
    ),
  B109=55,
    IF(Z108 &gt;= AD109, Z108 - AD109, 0),
  B109&gt;55, 0
)</f>
        <v>72749.26682</v>
      </c>
      <c r="AA109" s="65">
        <f>IFS(
  B109&lt;65,
    IF(AA108+J109 &lt; VLOOKUP(YEAR(A109), Lookup!$Q:$R, 2),
      AA108 + IF(MONTH(A109)=12, R108+X108, 0) + J109,
      MIN(
        AA108 + IF(MONTH(A109)=12, R108+X108, 0) + J109 ,
        VLOOKUP(YEAR(A109), Lookup!$Q:$R, 2)
      )
    ),
  B109&gt;=65,
    IF(AA108+J109 &lt; VLOOKUP(questions!$C$5, Lookup!$Q:$R, 2),
      AA108 + IF(MONTH(A109)=12, R108+X108, 0) + J109 ,
      MIN(
        AA108 + IF(MONTH(A109)=12, R108+X108, 0) + J109,
        VLOOKUP(questions!$C$5, Lookup!$Q:$R, 2)
      )
    )
)</f>
        <v>90936.21364</v>
      </c>
      <c r="AB109" s="65">
        <f t="shared" si="13"/>
        <v>0</v>
      </c>
      <c r="AC109" s="66">
        <f t="array" ref="AC109">IFS(B109&lt;66, XLOOKUP(year(A109),Lookup!$K$13:$K1000,Lookup!$L$13:$L1000,"missing",,1),B109&gt;65,XLOOKUP(questions!$C$5,Lookup!$K$13:$K1000,Lookup!$L$13:$L1000,"missing",,1))</f>
        <v>150247.9111</v>
      </c>
      <c r="AD109" s="66">
        <f t="array" ref="AD109">IFS(B109&lt;66, XLOOKUP(year(A109),Lookup!$K$13:$K1000,Lookup!$M$13:$M1000,"missing",,1),B109&gt;65, XLOOKUP(questions!$C$5,Lookup!$K$13:$K1000,Lookup!$M$13:$M1000,"missing",,1))</f>
        <v>300495.8222</v>
      </c>
      <c r="AE109" s="66">
        <f t="array" ref="AE109">IFS(B109&lt;66, XLOOKUP(year(A109),Lookup!$K$13:$K1000,Lookup!$N$13:$N1000,"missing",,1),B109&gt;65,XLOOKUP(questions!$C$5,Lookup!$K$13:$K1000,Lookup!$N$13:$N1000,"missing",,1))</f>
        <v>600991.6445</v>
      </c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</row>
    <row r="110">
      <c r="A110" s="55">
        <f t="shared" si="7"/>
        <v>49368</v>
      </c>
      <c r="B110" s="56">
        <f>round(YEARFRAC(EOMONTH(questions!$C$3, 0),A110,1),2)</f>
        <v>36.25</v>
      </c>
      <c r="C110" s="57">
        <f>IF(B110&lt;questions!$C$6,if(MONTH(A110)=1,C109*(1+questions!$C$12),C109),0)</f>
        <v>13047.73184</v>
      </c>
      <c r="D110" s="58">
        <f>IF(MONTH(A110)=12,C110*questions!$C$11,0)</f>
        <v>0</v>
      </c>
      <c r="E110" s="59">
        <f t="shared" si="2"/>
        <v>8000</v>
      </c>
      <c r="F110" s="59">
        <f t="shared" si="3"/>
        <v>0</v>
      </c>
      <c r="G110" s="60">
        <f t="array" ref="G110">if(YEAR(A110)=2025,XLOOKUP(B110,Lookup!$A$3:$A$7,Lookup!$D$3:$D$7,,1)*SUM(E110:F110), XLOOKUP(B110,Lookup!$A$14:$A$18,Lookup!$D$14:$D$18,,1)*SUM(E110:F110))</f>
        <v>2960</v>
      </c>
      <c r="H110" s="60">
        <f t="array" ref="H110">if(YEAR(A110)=2025,XLOOKUP(B110,Lookup!$F$3:$F$10,Lookup!$G$3:$G$10,,1)*G110, XLOOKUP(B110,Lookup!$F$14:$F$21,Lookup!$G$14:$G$21,,1)*G110)</f>
        <v>1680.392</v>
      </c>
      <c r="I110" s="60">
        <f t="array" ref="I110">if(B110&lt;55, if(YEAR(A110)=2025,XLOOKUP(B110,Lookup!$F$3:$F$10,Lookup!$H$3:$H$10,,1)*G110, XLOOKUP(B110,Lookup!$F$14:$F$21,Lookup!$H$14:$H$21,,1)*G110),0)</f>
        <v>559.736</v>
      </c>
      <c r="J110" s="60">
        <f t="array" ref="J110">if(YEAR(A110)=2025,XLOOKUP(B110,Lookup!$F$3:$F$10,Lookup!$I$3:$I$10,,1)*G110, XLOOKUP(B110,Lookup!$F$14:$F$21,Lookup!$I$14:$I$21,,1)*G110)</f>
        <v>719.872</v>
      </c>
      <c r="K110" s="61">
        <f t="array" ref="K110">if(B110&gt;54, if(YEAR(A110)=2025,XLOOKUP(B110,Lookup!$F$3:$F$10,Lookup!$H$3:$H$10,,1)*G110, XLOOKUP(B110,Lookup!$F$14:$F$21,Lookup!$H$14:$H$21,,1)*G110),0)</f>
        <v>0</v>
      </c>
      <c r="L110" s="62">
        <f>IF(and(A110&lt;questions!$C$19,questions!$C$18="yes"),questions!$C$20,0)</f>
        <v>700</v>
      </c>
      <c r="M110" s="63">
        <f>(Y109+H110)*Lookup!A$26/12</f>
        <v>334.7005974</v>
      </c>
      <c r="N110" s="63">
        <f>if(B110&lt;55, (Z109+I110)*Lookup!B$26/12, (AB109+K110)*Lookup!B$26/12)</f>
        <v>244.3633427</v>
      </c>
      <c r="O110" s="63">
        <f>(AA109+J110)*Lookup!C$26/12</f>
        <v>305.5202855</v>
      </c>
      <c r="P110" s="63">
        <f t="shared" si="8"/>
        <v>667.3587115</v>
      </c>
      <c r="Q110" s="63">
        <f t="shared" si="4"/>
        <v>486.8608988</v>
      </c>
      <c r="R110" s="63">
        <f t="shared" si="5"/>
        <v>608.6409976</v>
      </c>
      <c r="S110" s="64">
        <f t="shared" si="9"/>
        <v>16.66666667</v>
      </c>
      <c r="T110" s="64">
        <f t="shared" si="10"/>
        <v>33.33333333</v>
      </c>
      <c r="U110" s="64">
        <f t="shared" si="11"/>
        <v>0</v>
      </c>
      <c r="V110" s="64">
        <f t="shared" ref="V110:X110" si="118">IF(year($A110)=year($A109), V109+S110, S110)</f>
        <v>33.33333333</v>
      </c>
      <c r="W110" s="64">
        <f t="shared" si="118"/>
        <v>66.66666667</v>
      </c>
      <c r="X110" s="64">
        <f t="shared" si="118"/>
        <v>0</v>
      </c>
      <c r="Y110" s="65">
        <f>IFS(
  B110&lt;55,
    MAX(
      Y109 + IF(MONTH(A110)=12, P110+V110, 0) + H110 - L110
      + MAX(0,
          IF(AA109 &gt;= VLOOKUP(YEAR(A110), Lookup!$Q:$R, 2),
            Z109 + IF(MONTH(A110)=12, Q110+W110, 0) + I110
              + AA109 + IF(MONTH(A110)=12, R110+X110, 0)
              - VLOOKUP(YEAR(A110), Lookup!$Q:$R, 2) + J110,
            Z109 + IF(MONTH(A110)=12, Q110+W110, 0) + I110
          ) - VLOOKUP(YEAR(A110), Lookup!$K:$M, 3)
        ),
    0),
  B110=55,
    IF(Z109&gt;=AD110,
      MAX(Y109 + IF(MONTH(A110)=12, P110+V110, 0) + H110 - L110, 0),
      MAX(MAX(0, Y109-(AD110-Z109)) + IF(MONTH(A110)=12, P110+V110, 0) + H110 - L110, 0)
    ),
  B110&gt;55,
    IF(AB109&gt;=$AH$7,
      MAX(Y109 + IF(MONTH(A110)=12, P110+V110, 0) + H110 - L110 + K110 + Z109, 0),
      MAX(Y109 + IF(MONTH(A110)=12, P110+V110, 0) + H110 - L110, 0)
    )
)</f>
        <v>159956.2868</v>
      </c>
      <c r="Z110" s="65">
        <f>IFS(
  B110&lt;55,
    MIN(
      IF(AA109 &gt;= VLOOKUP(YEAR(A110), Lookup!$Q:$R, 2),
        Z109 + IF(MONTH(A110)=12, Q110+W110, 0) + I110
          + AA109 + IF(MONTH(A110)=12, R110+X110, 0) - VLOOKUP(YEAR(A110), Lookup!$Q:$R, 2) + J110,
        Z109 + IF(MONTH(A110)=12, Q110+W110, 0) + I110
      ),
      VLOOKUP(YEAR(A110), Lookup!$K:$M, 3)
    ),
  B110=55,
    IF(Z109 &gt;= AD110, Z109 - AD110, 0),
  B110&gt;55, 0
)</f>
        <v>73309.00282</v>
      </c>
      <c r="AA110" s="65">
        <f>IFS(
  B110&lt;65,
    IF(AA109+J110 &lt; VLOOKUP(YEAR(A110), Lookup!$Q:$R, 2),
      AA109 + IF(MONTH(A110)=12, R109+X109, 0) + J110,
      MIN(
        AA109 + IF(MONTH(A110)=12, R109+X109, 0) + J110 ,
        VLOOKUP(YEAR(A110), Lookup!$Q:$R, 2)
      )
    ),
  B110&gt;=65,
    IF(AA109+J110 &lt; VLOOKUP(questions!$C$5, Lookup!$Q:$R, 2),
      AA109 + IF(MONTH(A110)=12, R109+X109, 0) + J110 ,
      MIN(
        AA109 + IF(MONTH(A110)=12, R109+X109, 0) + J110,
        VLOOKUP(questions!$C$5, Lookup!$Q:$R, 2)
      )
    )
)</f>
        <v>91656.08564</v>
      </c>
      <c r="AB110" s="65">
        <f t="shared" si="13"/>
        <v>0</v>
      </c>
      <c r="AC110" s="66">
        <f t="array" ref="AC110">IFS(B110&lt;66, XLOOKUP(year(A110),Lookup!$K$13:$K1000,Lookup!$L$13:$L1000,"missing",,1),B110&gt;65,XLOOKUP(questions!$C$5,Lookup!$K$13:$K1000,Lookup!$L$13:$L1000,"missing",,1))</f>
        <v>150247.9111</v>
      </c>
      <c r="AD110" s="66">
        <f t="array" ref="AD110">IFS(B110&lt;66, XLOOKUP(year(A110),Lookup!$K$13:$K1000,Lookup!$M$13:$M1000,"missing",,1),B110&gt;65, XLOOKUP(questions!$C$5,Lookup!$K$13:$K1000,Lookup!$M$13:$M1000,"missing",,1))</f>
        <v>300495.8222</v>
      </c>
      <c r="AE110" s="66">
        <f t="array" ref="AE110">IFS(B110&lt;66, XLOOKUP(year(A110),Lookup!$K$13:$K1000,Lookup!$N$13:$N1000,"missing",,1),B110&gt;65,XLOOKUP(questions!$C$5,Lookup!$K$13:$K1000,Lookup!$N$13:$N1000,"missing",,1))</f>
        <v>600991.6445</v>
      </c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</row>
    <row r="111">
      <c r="A111" s="55">
        <f t="shared" si="7"/>
        <v>49399</v>
      </c>
      <c r="B111" s="56">
        <f>round(YEARFRAC(EOMONTH(questions!$C$3, 0),A111,1),2)</f>
        <v>36.33</v>
      </c>
      <c r="C111" s="57">
        <f>IF(B111&lt;questions!$C$6,if(MONTH(A111)=1,C110*(1+questions!$C$12),C110),0)</f>
        <v>13047.73184</v>
      </c>
      <c r="D111" s="58">
        <f>IF(MONTH(A111)=12,C111*questions!$C$11,0)</f>
        <v>0</v>
      </c>
      <c r="E111" s="59">
        <f t="shared" si="2"/>
        <v>8000</v>
      </c>
      <c r="F111" s="59">
        <f t="shared" si="3"/>
        <v>0</v>
      </c>
      <c r="G111" s="60">
        <f t="array" ref="G111">if(YEAR(A111)=2025,XLOOKUP(B111,Lookup!$A$3:$A$7,Lookup!$D$3:$D$7,,1)*SUM(E111:F111), XLOOKUP(B111,Lookup!$A$14:$A$18,Lookup!$D$14:$D$18,,1)*SUM(E111:F111))</f>
        <v>2960</v>
      </c>
      <c r="H111" s="60">
        <f t="array" ref="H111">if(YEAR(A111)=2025,XLOOKUP(B111,Lookup!$F$3:$F$10,Lookup!$G$3:$G$10,,1)*G111, XLOOKUP(B111,Lookup!$F$14:$F$21,Lookup!$G$14:$G$21,,1)*G111)</f>
        <v>1680.392</v>
      </c>
      <c r="I111" s="60">
        <f t="array" ref="I111">if(B111&lt;55, if(YEAR(A111)=2025,XLOOKUP(B111,Lookup!$F$3:$F$10,Lookup!$H$3:$H$10,,1)*G111, XLOOKUP(B111,Lookup!$F$14:$F$21,Lookup!$H$14:$H$21,,1)*G111),0)</f>
        <v>559.736</v>
      </c>
      <c r="J111" s="60">
        <f t="array" ref="J111">if(YEAR(A111)=2025,XLOOKUP(B111,Lookup!$F$3:$F$10,Lookup!$I$3:$I$10,,1)*G111, XLOOKUP(B111,Lookup!$F$14:$F$21,Lookup!$I$14:$I$21,,1)*G111)</f>
        <v>719.872</v>
      </c>
      <c r="K111" s="61">
        <f t="array" ref="K111">if(B111&gt;54, if(YEAR(A111)=2025,XLOOKUP(B111,Lookup!$F$3:$F$10,Lookup!$H$3:$H$10,,1)*G111, XLOOKUP(B111,Lookup!$F$14:$F$21,Lookup!$H$14:$H$21,,1)*G111),0)</f>
        <v>0</v>
      </c>
      <c r="L111" s="62">
        <f>IF(and(A111&lt;questions!$C$19,questions!$C$18="yes"),questions!$C$20,0)</f>
        <v>700</v>
      </c>
      <c r="M111" s="63">
        <f>(Y110+H111)*Lookup!A$26/12</f>
        <v>336.7430808</v>
      </c>
      <c r="N111" s="63">
        <f>if(B111&lt;55, (Z110+I111)*Lookup!B$26/12, (AB110+K111)*Lookup!B$26/12)</f>
        <v>246.2291294</v>
      </c>
      <c r="O111" s="63">
        <f>(AA110+J111)*Lookup!C$26/12</f>
        <v>307.9198588</v>
      </c>
      <c r="P111" s="63">
        <f t="shared" si="8"/>
        <v>1004.101792</v>
      </c>
      <c r="Q111" s="63">
        <f t="shared" si="4"/>
        <v>733.0900282</v>
      </c>
      <c r="R111" s="63">
        <f t="shared" si="5"/>
        <v>916.5608564</v>
      </c>
      <c r="S111" s="64">
        <f t="shared" si="9"/>
        <v>16.66666667</v>
      </c>
      <c r="T111" s="64">
        <f t="shared" si="10"/>
        <v>33.33333333</v>
      </c>
      <c r="U111" s="64">
        <f t="shared" si="11"/>
        <v>0</v>
      </c>
      <c r="V111" s="64">
        <f t="shared" ref="V111:X111" si="119">IF(year($A111)=year($A110), V110+S111, S111)</f>
        <v>50</v>
      </c>
      <c r="W111" s="64">
        <f t="shared" si="119"/>
        <v>100</v>
      </c>
      <c r="X111" s="64">
        <f t="shared" si="119"/>
        <v>0</v>
      </c>
      <c r="Y111" s="65">
        <f>IFS(
  B111&lt;55,
    MAX(
      Y110 + IF(MONTH(A111)=12, P111+V111, 0) + H111 - L111
      + MAX(0,
          IF(AA110 &gt;= VLOOKUP(YEAR(A111), Lookup!$Q:$R, 2),
            Z110 + IF(MONTH(A111)=12, Q111+W111, 0) + I111
              + AA110 + IF(MONTH(A111)=12, R111+X111, 0)
              - VLOOKUP(YEAR(A111), Lookup!$Q:$R, 2) + J111,
            Z110 + IF(MONTH(A111)=12, Q111+W111, 0) + I111
          ) - VLOOKUP(YEAR(A111), Lookup!$K:$M, 3)
        ),
    0),
  B111=55,
    IF(Z110&gt;=AD111,
      MAX(Y110 + IF(MONTH(A111)=12, P111+V111, 0) + H111 - L111, 0),
      MAX(MAX(0, Y110-(AD111-Z110)) + IF(MONTH(A111)=12, P111+V111, 0) + H111 - L111, 0)
    ),
  B111&gt;55,
    IF(AB110&gt;=$AH$7,
      MAX(Y110 + IF(MONTH(A111)=12, P111+V111, 0) + H111 - L111 + K111 + Z110, 0),
      MAX(Y110 + IF(MONTH(A111)=12, P111+V111, 0) + H111 - L111, 0)
    )
)</f>
        <v>160936.6788</v>
      </c>
      <c r="Z111" s="65">
        <f>IFS(
  B111&lt;55,
    MIN(
      IF(AA110 &gt;= VLOOKUP(YEAR(A111), Lookup!$Q:$R, 2),
        Z110 + IF(MONTH(A111)=12, Q111+W111, 0) + I111
          + AA110 + IF(MONTH(A111)=12, R111+X111, 0) - VLOOKUP(YEAR(A111), Lookup!$Q:$R, 2) + J111,
        Z110 + IF(MONTH(A111)=12, Q111+W111, 0) + I111
      ),
      VLOOKUP(YEAR(A111), Lookup!$K:$M, 3)
    ),
  B111=55,
    IF(Z110 &gt;= AD111, Z110 - AD111, 0),
  B111&gt;55, 0
)</f>
        <v>73868.73882</v>
      </c>
      <c r="AA111" s="65">
        <f>IFS(
  B111&lt;65,
    IF(AA110+J111 &lt; VLOOKUP(YEAR(A111), Lookup!$Q:$R, 2),
      AA110 + IF(MONTH(A111)=12, R110+X110, 0) + J111,
      MIN(
        AA110 + IF(MONTH(A111)=12, R110+X110, 0) + J111 ,
        VLOOKUP(YEAR(A111), Lookup!$Q:$R, 2)
      )
    ),
  B111&gt;=65,
    IF(AA110+J111 &lt; VLOOKUP(questions!$C$5, Lookup!$Q:$R, 2),
      AA110 + IF(MONTH(A111)=12, R110+X110, 0) + J111 ,
      MIN(
        AA110 + IF(MONTH(A111)=12, R110+X110, 0) + J111,
        VLOOKUP(questions!$C$5, Lookup!$Q:$R, 2)
      )
    )
)</f>
        <v>92375.95764</v>
      </c>
      <c r="AB111" s="65">
        <f t="shared" si="13"/>
        <v>0</v>
      </c>
      <c r="AC111" s="66">
        <f t="array" ref="AC111">IFS(B111&lt;66, XLOOKUP(year(A111),Lookup!$K$13:$K1000,Lookup!$L$13:$L1000,"missing",,1),B111&gt;65,XLOOKUP(questions!$C$5,Lookup!$K$13:$K1000,Lookup!$L$13:$L1000,"missing",,1))</f>
        <v>150247.9111</v>
      </c>
      <c r="AD111" s="66">
        <f t="array" ref="AD111">IFS(B111&lt;66, XLOOKUP(year(A111),Lookup!$K$13:$K1000,Lookup!$M$13:$M1000,"missing",,1),B111&gt;65, XLOOKUP(questions!$C$5,Lookup!$K$13:$K1000,Lookup!$M$13:$M1000,"missing",,1))</f>
        <v>300495.8222</v>
      </c>
      <c r="AE111" s="66">
        <f t="array" ref="AE111">IFS(B111&lt;66, XLOOKUP(year(A111),Lookup!$K$13:$K1000,Lookup!$N$13:$N1000,"missing",,1),B111&gt;65,XLOOKUP(questions!$C$5,Lookup!$K$13:$K1000,Lookup!$N$13:$N1000,"missing",,1))</f>
        <v>600991.6445</v>
      </c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</row>
    <row r="112">
      <c r="A112" s="55">
        <f t="shared" si="7"/>
        <v>49429</v>
      </c>
      <c r="B112" s="56">
        <f>round(YEARFRAC(EOMONTH(questions!$C$3, 0),A112,1),2)</f>
        <v>36.41</v>
      </c>
      <c r="C112" s="57">
        <f>IF(B112&lt;questions!$C$6,if(MONTH(A112)=1,C111*(1+questions!$C$12),C111),0)</f>
        <v>13047.73184</v>
      </c>
      <c r="D112" s="58">
        <f>IF(MONTH(A112)=12,C112*questions!$C$11,0)</f>
        <v>0</v>
      </c>
      <c r="E112" s="59">
        <f t="shared" si="2"/>
        <v>8000</v>
      </c>
      <c r="F112" s="59">
        <f t="shared" si="3"/>
        <v>0</v>
      </c>
      <c r="G112" s="60">
        <f t="array" ref="G112">if(YEAR(A112)=2025,XLOOKUP(B112,Lookup!$A$3:$A$7,Lookup!$D$3:$D$7,,1)*SUM(E112:F112), XLOOKUP(B112,Lookup!$A$14:$A$18,Lookup!$D$14:$D$18,,1)*SUM(E112:F112))</f>
        <v>2960</v>
      </c>
      <c r="H112" s="60">
        <f t="array" ref="H112">if(YEAR(A112)=2025,XLOOKUP(B112,Lookup!$F$3:$F$10,Lookup!$G$3:$G$10,,1)*G112, XLOOKUP(B112,Lookup!$F$14:$F$21,Lookup!$G$14:$G$21,,1)*G112)</f>
        <v>1680.392</v>
      </c>
      <c r="I112" s="60">
        <f t="array" ref="I112">if(B112&lt;55, if(YEAR(A112)=2025,XLOOKUP(B112,Lookup!$F$3:$F$10,Lookup!$H$3:$H$10,,1)*G112, XLOOKUP(B112,Lookup!$F$14:$F$21,Lookup!$H$14:$H$21,,1)*G112),0)</f>
        <v>559.736</v>
      </c>
      <c r="J112" s="60">
        <f t="array" ref="J112">if(YEAR(A112)=2025,XLOOKUP(B112,Lookup!$F$3:$F$10,Lookup!$I$3:$I$10,,1)*G112, XLOOKUP(B112,Lookup!$F$14:$F$21,Lookup!$I$14:$I$21,,1)*G112)</f>
        <v>719.872</v>
      </c>
      <c r="K112" s="61">
        <f t="array" ref="K112">if(B112&gt;54, if(YEAR(A112)=2025,XLOOKUP(B112,Lookup!$F$3:$F$10,Lookup!$H$3:$H$10,,1)*G112, XLOOKUP(B112,Lookup!$F$14:$F$21,Lookup!$H$14:$H$21,,1)*G112),0)</f>
        <v>0</v>
      </c>
      <c r="L112" s="62">
        <f>IF(and(A112&lt;questions!$C$19,questions!$C$18="yes"),questions!$C$20,0)</f>
        <v>700</v>
      </c>
      <c r="M112" s="63">
        <f>(Y111+H112)*Lookup!A$26/12</f>
        <v>338.7855641</v>
      </c>
      <c r="N112" s="63">
        <f>if(B112&lt;55, (Z111+I112)*Lookup!B$26/12, (AB111+K112)*Lookup!B$26/12)</f>
        <v>248.0949161</v>
      </c>
      <c r="O112" s="63">
        <f>(AA111+J112)*Lookup!C$26/12</f>
        <v>310.3194321</v>
      </c>
      <c r="P112" s="63">
        <f t="shared" si="8"/>
        <v>1342.887356</v>
      </c>
      <c r="Q112" s="63">
        <f t="shared" si="4"/>
        <v>981.1849443</v>
      </c>
      <c r="R112" s="63">
        <f t="shared" si="5"/>
        <v>1226.880289</v>
      </c>
      <c r="S112" s="64">
        <f t="shared" si="9"/>
        <v>16.66666667</v>
      </c>
      <c r="T112" s="64">
        <f t="shared" si="10"/>
        <v>33.33333333</v>
      </c>
      <c r="U112" s="64">
        <f t="shared" si="11"/>
        <v>0</v>
      </c>
      <c r="V112" s="64">
        <f t="shared" ref="V112:X112" si="120">IF(year($A112)=year($A111), V111+S112, S112)</f>
        <v>66.66666667</v>
      </c>
      <c r="W112" s="64">
        <f t="shared" si="120"/>
        <v>133.3333333</v>
      </c>
      <c r="X112" s="64">
        <f t="shared" si="120"/>
        <v>0</v>
      </c>
      <c r="Y112" s="65">
        <f>IFS(
  B112&lt;55,
    MAX(
      Y111 + IF(MONTH(A112)=12, P112+V112, 0) + H112 - L112
      + MAX(0,
          IF(AA111 &gt;= VLOOKUP(YEAR(A112), Lookup!$Q:$R, 2),
            Z111 + IF(MONTH(A112)=12, Q112+W112, 0) + I112
              + AA111 + IF(MONTH(A112)=12, R112+X112, 0)
              - VLOOKUP(YEAR(A112), Lookup!$Q:$R, 2) + J112,
            Z111 + IF(MONTH(A112)=12, Q112+W112, 0) + I112
          ) - VLOOKUP(YEAR(A112), Lookup!$K:$M, 3)
        ),
    0),
  B112=55,
    IF(Z111&gt;=AD112,
      MAX(Y111 + IF(MONTH(A112)=12, P112+V112, 0) + H112 - L112, 0),
      MAX(MAX(0, Y111-(AD112-Z111)) + IF(MONTH(A112)=12, P112+V112, 0) + H112 - L112, 0)
    ),
  B112&gt;55,
    IF(AB111&gt;=$AH$7,
      MAX(Y111 + IF(MONTH(A112)=12, P112+V112, 0) + H112 - L112 + K112 + Z111, 0),
      MAX(Y111 + IF(MONTH(A112)=12, P112+V112, 0) + H112 - L112, 0)
    )
)</f>
        <v>161917.0708</v>
      </c>
      <c r="Z112" s="65">
        <f>IFS(
  B112&lt;55,
    MIN(
      IF(AA111 &gt;= VLOOKUP(YEAR(A112), Lookup!$Q:$R, 2),
        Z111 + IF(MONTH(A112)=12, Q112+W112, 0) + I112
          + AA111 + IF(MONTH(A112)=12, R112+X112, 0) - VLOOKUP(YEAR(A112), Lookup!$Q:$R, 2) + J112,
        Z111 + IF(MONTH(A112)=12, Q112+W112, 0) + I112
      ),
      VLOOKUP(YEAR(A112), Lookup!$K:$M, 3)
    ),
  B112=55,
    IF(Z111 &gt;= AD112, Z111 - AD112, 0),
  B112&gt;55, 0
)</f>
        <v>74428.47482</v>
      </c>
      <c r="AA112" s="65">
        <f>IFS(
  B112&lt;65,
    IF(AA111+J112 &lt; VLOOKUP(YEAR(A112), Lookup!$Q:$R, 2),
      AA111 + IF(MONTH(A112)=12, R111+X111, 0) + J112,
      MIN(
        AA111 + IF(MONTH(A112)=12, R111+X111, 0) + J112 ,
        VLOOKUP(YEAR(A112), Lookup!$Q:$R, 2)
      )
    ),
  B112&gt;=65,
    IF(AA111+J112 &lt; VLOOKUP(questions!$C$5, Lookup!$Q:$R, 2),
      AA111 + IF(MONTH(A112)=12, R111+X111, 0) + J112 ,
      MIN(
        AA111 + IF(MONTH(A112)=12, R111+X111, 0) + J112,
        VLOOKUP(questions!$C$5, Lookup!$Q:$R, 2)
      )
    )
)</f>
        <v>93095.82964</v>
      </c>
      <c r="AB112" s="65">
        <f t="shared" si="13"/>
        <v>0</v>
      </c>
      <c r="AC112" s="66">
        <f t="array" ref="AC112">IFS(B112&lt;66, XLOOKUP(year(A112),Lookup!$K$13:$K1000,Lookup!$L$13:$L1000,"missing",,1),B112&gt;65,XLOOKUP(questions!$C$5,Lookup!$K$13:$K1000,Lookup!$L$13:$L1000,"missing",,1))</f>
        <v>150247.9111</v>
      </c>
      <c r="AD112" s="66">
        <f t="array" ref="AD112">IFS(B112&lt;66, XLOOKUP(year(A112),Lookup!$K$13:$K1000,Lookup!$M$13:$M1000,"missing",,1),B112&gt;65, XLOOKUP(questions!$C$5,Lookup!$K$13:$K1000,Lookup!$M$13:$M1000,"missing",,1))</f>
        <v>300495.8222</v>
      </c>
      <c r="AE112" s="66">
        <f t="array" ref="AE112">IFS(B112&lt;66, XLOOKUP(year(A112),Lookup!$K$13:$K1000,Lookup!$N$13:$N1000,"missing",,1),B112&gt;65,XLOOKUP(questions!$C$5,Lookup!$K$13:$K1000,Lookup!$N$13:$N1000,"missing",,1))</f>
        <v>600991.6445</v>
      </c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</row>
    <row r="113">
      <c r="A113" s="55">
        <f t="shared" si="7"/>
        <v>49460</v>
      </c>
      <c r="B113" s="56">
        <f>round(YEARFRAC(EOMONTH(questions!$C$3, 0),A113,1),2)</f>
        <v>36.5</v>
      </c>
      <c r="C113" s="57">
        <f>IF(B113&lt;questions!$C$6,if(MONTH(A113)=1,C112*(1+questions!$C$12),C112),0)</f>
        <v>13047.73184</v>
      </c>
      <c r="D113" s="58">
        <f>IF(MONTH(A113)=12,C113*questions!$C$11,0)</f>
        <v>0</v>
      </c>
      <c r="E113" s="59">
        <f t="shared" si="2"/>
        <v>8000</v>
      </c>
      <c r="F113" s="59">
        <f t="shared" si="3"/>
        <v>0</v>
      </c>
      <c r="G113" s="60">
        <f t="array" ref="G113">if(YEAR(A113)=2025,XLOOKUP(B113,Lookup!$A$3:$A$7,Lookup!$D$3:$D$7,,1)*SUM(E113:F113), XLOOKUP(B113,Lookup!$A$14:$A$18,Lookup!$D$14:$D$18,,1)*SUM(E113:F113))</f>
        <v>2960</v>
      </c>
      <c r="H113" s="60">
        <f t="array" ref="H113">if(YEAR(A113)=2025,XLOOKUP(B113,Lookup!$F$3:$F$10,Lookup!$G$3:$G$10,,1)*G113, XLOOKUP(B113,Lookup!$F$14:$F$21,Lookup!$G$14:$G$21,,1)*G113)</f>
        <v>1680.392</v>
      </c>
      <c r="I113" s="60">
        <f t="array" ref="I113">if(B113&lt;55, if(YEAR(A113)=2025,XLOOKUP(B113,Lookup!$F$3:$F$10,Lookup!$H$3:$H$10,,1)*G113, XLOOKUP(B113,Lookup!$F$14:$F$21,Lookup!$H$14:$H$21,,1)*G113),0)</f>
        <v>559.736</v>
      </c>
      <c r="J113" s="60">
        <f t="array" ref="J113">if(YEAR(A113)=2025,XLOOKUP(B113,Lookup!$F$3:$F$10,Lookup!$I$3:$I$10,,1)*G113, XLOOKUP(B113,Lookup!$F$14:$F$21,Lookup!$I$14:$I$21,,1)*G113)</f>
        <v>719.872</v>
      </c>
      <c r="K113" s="61">
        <f t="array" ref="K113">if(B113&gt;54, if(YEAR(A113)=2025,XLOOKUP(B113,Lookup!$F$3:$F$10,Lookup!$H$3:$H$10,,1)*G113, XLOOKUP(B113,Lookup!$F$14:$F$21,Lookup!$H$14:$H$21,,1)*G113),0)</f>
        <v>0</v>
      </c>
      <c r="L113" s="62">
        <f>IF(and(A113&lt;questions!$C$19,questions!$C$18="yes"),questions!$C$20,0)</f>
        <v>700</v>
      </c>
      <c r="M113" s="63">
        <f>(Y112+H113)*Lookup!A$26/12</f>
        <v>340.8280474</v>
      </c>
      <c r="N113" s="63">
        <f>if(B113&lt;55, (Z112+I113)*Lookup!B$26/12, (AB112+K113)*Lookup!B$26/12)</f>
        <v>249.9607027</v>
      </c>
      <c r="O113" s="63">
        <f>(AA112+J113)*Lookup!C$26/12</f>
        <v>312.7190055</v>
      </c>
      <c r="P113" s="63">
        <f t="shared" si="8"/>
        <v>1683.715404</v>
      </c>
      <c r="Q113" s="63">
        <f t="shared" si="4"/>
        <v>1231.145647</v>
      </c>
      <c r="R113" s="63">
        <f t="shared" si="5"/>
        <v>1539.599294</v>
      </c>
      <c r="S113" s="64">
        <f t="shared" si="9"/>
        <v>16.66666667</v>
      </c>
      <c r="T113" s="64">
        <f t="shared" si="10"/>
        <v>33.33333333</v>
      </c>
      <c r="U113" s="64">
        <f t="shared" si="11"/>
        <v>0</v>
      </c>
      <c r="V113" s="64">
        <f t="shared" ref="V113:X113" si="121">IF(year($A113)=year($A112), V112+S113, S113)</f>
        <v>83.33333333</v>
      </c>
      <c r="W113" s="64">
        <f t="shared" si="121"/>
        <v>166.6666667</v>
      </c>
      <c r="X113" s="64">
        <f t="shared" si="121"/>
        <v>0</v>
      </c>
      <c r="Y113" s="65">
        <f>IFS(
  B113&lt;55,
    MAX(
      Y112 + IF(MONTH(A113)=12, P113+V113, 0) + H113 - L113
      + MAX(0,
          IF(AA112 &gt;= VLOOKUP(YEAR(A113), Lookup!$Q:$R, 2),
            Z112 + IF(MONTH(A113)=12, Q113+W113, 0) + I113
              + AA112 + IF(MONTH(A113)=12, R113+X113, 0)
              - VLOOKUP(YEAR(A113), Lookup!$Q:$R, 2) + J113,
            Z112 + IF(MONTH(A113)=12, Q113+W113, 0) + I113
          ) - VLOOKUP(YEAR(A113), Lookup!$K:$M, 3)
        ),
    0),
  B113=55,
    IF(Z112&gt;=AD113,
      MAX(Y112 + IF(MONTH(A113)=12, P113+V113, 0) + H113 - L113, 0),
      MAX(MAX(0, Y112-(AD113-Z112)) + IF(MONTH(A113)=12, P113+V113, 0) + H113 - L113, 0)
    ),
  B113&gt;55,
    IF(AB112&gt;=$AH$7,
      MAX(Y112 + IF(MONTH(A113)=12, P113+V113, 0) + H113 - L113 + K113 + Z112, 0),
      MAX(Y112 + IF(MONTH(A113)=12, P113+V113, 0) + H113 - L113, 0)
    )
)</f>
        <v>162897.4628</v>
      </c>
      <c r="Z113" s="65">
        <f>IFS(
  B113&lt;55,
    MIN(
      IF(AA112 &gt;= VLOOKUP(YEAR(A113), Lookup!$Q:$R, 2),
        Z112 + IF(MONTH(A113)=12, Q113+W113, 0) + I113
          + AA112 + IF(MONTH(A113)=12, R113+X113, 0) - VLOOKUP(YEAR(A113), Lookup!$Q:$R, 2) + J113,
        Z112 + IF(MONTH(A113)=12, Q113+W113, 0) + I113
      ),
      VLOOKUP(YEAR(A113), Lookup!$K:$M, 3)
    ),
  B113=55,
    IF(Z112 &gt;= AD113, Z112 - AD113, 0),
  B113&gt;55, 0
)</f>
        <v>74988.21082</v>
      </c>
      <c r="AA113" s="65">
        <f>IFS(
  B113&lt;65,
    IF(AA112+J113 &lt; VLOOKUP(YEAR(A113), Lookup!$Q:$R, 2),
      AA112 + IF(MONTH(A113)=12, R112+X112, 0) + J113,
      MIN(
        AA112 + IF(MONTH(A113)=12, R112+X112, 0) + J113 ,
        VLOOKUP(YEAR(A113), Lookup!$Q:$R, 2)
      )
    ),
  B113&gt;=65,
    IF(AA112+J113 &lt; VLOOKUP(questions!$C$5, Lookup!$Q:$R, 2),
      AA112 + IF(MONTH(A113)=12, R112+X112, 0) + J113 ,
      MIN(
        AA112 + IF(MONTH(A113)=12, R112+X112, 0) + J113,
        VLOOKUP(questions!$C$5, Lookup!$Q:$R, 2)
      )
    )
)</f>
        <v>93815.70164</v>
      </c>
      <c r="AB113" s="65">
        <f t="shared" si="13"/>
        <v>0</v>
      </c>
      <c r="AC113" s="66">
        <f t="array" ref="AC113">IFS(B113&lt;66, XLOOKUP(year(A113),Lookup!$K$13:$K1000,Lookup!$L$13:$L1000,"missing",,1),B113&gt;65,XLOOKUP(questions!$C$5,Lookup!$K$13:$K1000,Lookup!$L$13:$L1000,"missing",,1))</f>
        <v>150247.9111</v>
      </c>
      <c r="AD113" s="66">
        <f t="array" ref="AD113">IFS(B113&lt;66, XLOOKUP(year(A113),Lookup!$K$13:$K1000,Lookup!$M$13:$M1000,"missing",,1),B113&gt;65, XLOOKUP(questions!$C$5,Lookup!$K$13:$K1000,Lookup!$M$13:$M1000,"missing",,1))</f>
        <v>300495.8222</v>
      </c>
      <c r="AE113" s="66">
        <f t="array" ref="AE113">IFS(B113&lt;66, XLOOKUP(year(A113),Lookup!$K$13:$K1000,Lookup!$N$13:$N1000,"missing",,1),B113&gt;65,XLOOKUP(questions!$C$5,Lookup!$K$13:$K1000,Lookup!$N$13:$N1000,"missing",,1))</f>
        <v>600991.6445</v>
      </c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</row>
    <row r="114">
      <c r="A114" s="55">
        <f t="shared" si="7"/>
        <v>49490</v>
      </c>
      <c r="B114" s="56">
        <f>round(YEARFRAC(EOMONTH(questions!$C$3, 0),A114,1),2)</f>
        <v>36.58</v>
      </c>
      <c r="C114" s="57">
        <f>IF(B114&lt;questions!$C$6,if(MONTH(A114)=1,C113*(1+questions!$C$12),C113),0)</f>
        <v>13047.73184</v>
      </c>
      <c r="D114" s="58">
        <f>IF(MONTH(A114)=12,C114*questions!$C$11,0)</f>
        <v>0</v>
      </c>
      <c r="E114" s="59">
        <f t="shared" si="2"/>
        <v>8000</v>
      </c>
      <c r="F114" s="59">
        <f t="shared" si="3"/>
        <v>0</v>
      </c>
      <c r="G114" s="60">
        <f t="array" ref="G114">if(YEAR(A114)=2025,XLOOKUP(B114,Lookup!$A$3:$A$7,Lookup!$D$3:$D$7,,1)*SUM(E114:F114), XLOOKUP(B114,Lookup!$A$14:$A$18,Lookup!$D$14:$D$18,,1)*SUM(E114:F114))</f>
        <v>2960</v>
      </c>
      <c r="H114" s="60">
        <f t="array" ref="H114">if(YEAR(A114)=2025,XLOOKUP(B114,Lookup!$F$3:$F$10,Lookup!$G$3:$G$10,,1)*G114, XLOOKUP(B114,Lookup!$F$14:$F$21,Lookup!$G$14:$G$21,,1)*G114)</f>
        <v>1680.392</v>
      </c>
      <c r="I114" s="60">
        <f t="array" ref="I114">if(B114&lt;55, if(YEAR(A114)=2025,XLOOKUP(B114,Lookup!$F$3:$F$10,Lookup!$H$3:$H$10,,1)*G114, XLOOKUP(B114,Lookup!$F$14:$F$21,Lookup!$H$14:$H$21,,1)*G114),0)</f>
        <v>559.736</v>
      </c>
      <c r="J114" s="60">
        <f t="array" ref="J114">if(YEAR(A114)=2025,XLOOKUP(B114,Lookup!$F$3:$F$10,Lookup!$I$3:$I$10,,1)*G114, XLOOKUP(B114,Lookup!$F$14:$F$21,Lookup!$I$14:$I$21,,1)*G114)</f>
        <v>719.872</v>
      </c>
      <c r="K114" s="61">
        <f t="array" ref="K114">if(B114&gt;54, if(YEAR(A114)=2025,XLOOKUP(B114,Lookup!$F$3:$F$10,Lookup!$H$3:$H$10,,1)*G114, XLOOKUP(B114,Lookup!$F$14:$F$21,Lookup!$H$14:$H$21,,1)*G114),0)</f>
        <v>0</v>
      </c>
      <c r="L114" s="62">
        <f>IF(and(A114&lt;questions!$C$19,questions!$C$18="yes"),questions!$C$20,0)</f>
        <v>700</v>
      </c>
      <c r="M114" s="63">
        <f>(Y113+H114)*Lookup!A$26/12</f>
        <v>342.8705308</v>
      </c>
      <c r="N114" s="63">
        <f>if(B114&lt;55, (Z113+I114)*Lookup!B$26/12, (AB113+K114)*Lookup!B$26/12)</f>
        <v>251.8264894</v>
      </c>
      <c r="O114" s="63">
        <f>(AA113+J114)*Lookup!C$26/12</f>
        <v>315.1185788</v>
      </c>
      <c r="P114" s="63">
        <f t="shared" si="8"/>
        <v>2026.585935</v>
      </c>
      <c r="Q114" s="63">
        <f t="shared" si="4"/>
        <v>1482.972136</v>
      </c>
      <c r="R114" s="63">
        <f t="shared" si="5"/>
        <v>1854.717873</v>
      </c>
      <c r="S114" s="64">
        <f t="shared" si="9"/>
        <v>16.66666667</v>
      </c>
      <c r="T114" s="64">
        <f t="shared" si="10"/>
        <v>33.33333333</v>
      </c>
      <c r="U114" s="64">
        <f t="shared" si="11"/>
        <v>0</v>
      </c>
      <c r="V114" s="64">
        <f t="shared" ref="V114:X114" si="122">IF(year($A114)=year($A113), V113+S114, S114)</f>
        <v>100</v>
      </c>
      <c r="W114" s="64">
        <f t="shared" si="122"/>
        <v>200</v>
      </c>
      <c r="X114" s="64">
        <f t="shared" si="122"/>
        <v>0</v>
      </c>
      <c r="Y114" s="65">
        <f>IFS(
  B114&lt;55,
    MAX(
      Y113 + IF(MONTH(A114)=12, P114+V114, 0) + H114 - L114
      + MAX(0,
          IF(AA113 &gt;= VLOOKUP(YEAR(A114), Lookup!$Q:$R, 2),
            Z113 + IF(MONTH(A114)=12, Q114+W114, 0) + I114
              + AA113 + IF(MONTH(A114)=12, R114+X114, 0)
              - VLOOKUP(YEAR(A114), Lookup!$Q:$R, 2) + J114,
            Z113 + IF(MONTH(A114)=12, Q114+W114, 0) + I114
          ) - VLOOKUP(YEAR(A114), Lookup!$K:$M, 3)
        ),
    0),
  B114=55,
    IF(Z113&gt;=AD114,
      MAX(Y113 + IF(MONTH(A114)=12, P114+V114, 0) + H114 - L114, 0),
      MAX(MAX(0, Y113-(AD114-Z113)) + IF(MONTH(A114)=12, P114+V114, 0) + H114 - L114, 0)
    ),
  B114&gt;55,
    IF(AB113&gt;=$AH$7,
      MAX(Y113 + IF(MONTH(A114)=12, P114+V114, 0) + H114 - L114 + K114 + Z113, 0),
      MAX(Y113 + IF(MONTH(A114)=12, P114+V114, 0) + H114 - L114, 0)
    )
)</f>
        <v>163877.8548</v>
      </c>
      <c r="Z114" s="65">
        <f>IFS(
  B114&lt;55,
    MIN(
      IF(AA113 &gt;= VLOOKUP(YEAR(A114), Lookup!$Q:$R, 2),
        Z113 + IF(MONTH(A114)=12, Q114+W114, 0) + I114
          + AA113 + IF(MONTH(A114)=12, R114+X114, 0) - VLOOKUP(YEAR(A114), Lookup!$Q:$R, 2) + J114,
        Z113 + IF(MONTH(A114)=12, Q114+W114, 0) + I114
      ),
      VLOOKUP(YEAR(A114), Lookup!$K:$M, 3)
    ),
  B114=55,
    IF(Z113 &gt;= AD114, Z113 - AD114, 0),
  B114&gt;55, 0
)</f>
        <v>75547.94682</v>
      </c>
      <c r="AA114" s="65">
        <f>IFS(
  B114&lt;65,
    IF(AA113+J114 &lt; VLOOKUP(YEAR(A114), Lookup!$Q:$R, 2),
      AA113 + IF(MONTH(A114)=12, R113+X113, 0) + J114,
      MIN(
        AA113 + IF(MONTH(A114)=12, R113+X113, 0) + J114 ,
        VLOOKUP(YEAR(A114), Lookup!$Q:$R, 2)
      )
    ),
  B114&gt;=65,
    IF(AA113+J114 &lt; VLOOKUP(questions!$C$5, Lookup!$Q:$R, 2),
      AA113 + IF(MONTH(A114)=12, R113+X113, 0) + J114 ,
      MIN(
        AA113 + IF(MONTH(A114)=12, R113+X113, 0) + J114,
        VLOOKUP(questions!$C$5, Lookup!$Q:$R, 2)
      )
    )
)</f>
        <v>94535.57364</v>
      </c>
      <c r="AB114" s="65">
        <f t="shared" si="13"/>
        <v>0</v>
      </c>
      <c r="AC114" s="66">
        <f t="array" ref="AC114">IFS(B114&lt;66, XLOOKUP(year(A114),Lookup!$K$13:$K1000,Lookup!$L$13:$L1000,"missing",,1),B114&gt;65,XLOOKUP(questions!$C$5,Lookup!$K$13:$K1000,Lookup!$L$13:$L1000,"missing",,1))</f>
        <v>150247.9111</v>
      </c>
      <c r="AD114" s="66">
        <f t="array" ref="AD114">IFS(B114&lt;66, XLOOKUP(year(A114),Lookup!$K$13:$K1000,Lookup!$M$13:$M1000,"missing",,1),B114&gt;65, XLOOKUP(questions!$C$5,Lookup!$K$13:$K1000,Lookup!$M$13:$M1000,"missing",,1))</f>
        <v>300495.8222</v>
      </c>
      <c r="AE114" s="66">
        <f t="array" ref="AE114">IFS(B114&lt;66, XLOOKUP(year(A114),Lookup!$K$13:$K1000,Lookup!$N$13:$N1000,"missing",,1),B114&gt;65,XLOOKUP(questions!$C$5,Lookup!$K$13:$K1000,Lookup!$N$13:$N1000,"missing",,1))</f>
        <v>600991.6445</v>
      </c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</row>
    <row r="115">
      <c r="A115" s="55">
        <f t="shared" si="7"/>
        <v>49521</v>
      </c>
      <c r="B115" s="56">
        <f>round(YEARFRAC(EOMONTH(questions!$C$3, 0),A115,1),2)</f>
        <v>36.67</v>
      </c>
      <c r="C115" s="57">
        <f>IF(B115&lt;questions!$C$6,if(MONTH(A115)=1,C114*(1+questions!$C$12),C114),0)</f>
        <v>13047.73184</v>
      </c>
      <c r="D115" s="58">
        <f>IF(MONTH(A115)=12,C115*questions!$C$11,0)</f>
        <v>0</v>
      </c>
      <c r="E115" s="59">
        <f t="shared" si="2"/>
        <v>8000</v>
      </c>
      <c r="F115" s="59">
        <f t="shared" si="3"/>
        <v>0</v>
      </c>
      <c r="G115" s="60">
        <f t="array" ref="G115">if(YEAR(A115)=2025,XLOOKUP(B115,Lookup!$A$3:$A$7,Lookup!$D$3:$D$7,,1)*SUM(E115:F115), XLOOKUP(B115,Lookup!$A$14:$A$18,Lookup!$D$14:$D$18,,1)*SUM(E115:F115))</f>
        <v>2960</v>
      </c>
      <c r="H115" s="60">
        <f t="array" ref="H115">if(YEAR(A115)=2025,XLOOKUP(B115,Lookup!$F$3:$F$10,Lookup!$G$3:$G$10,,1)*G115, XLOOKUP(B115,Lookup!$F$14:$F$21,Lookup!$G$14:$G$21,,1)*G115)</f>
        <v>1680.392</v>
      </c>
      <c r="I115" s="60">
        <f t="array" ref="I115">if(B115&lt;55, if(YEAR(A115)=2025,XLOOKUP(B115,Lookup!$F$3:$F$10,Lookup!$H$3:$H$10,,1)*G115, XLOOKUP(B115,Lookup!$F$14:$F$21,Lookup!$H$14:$H$21,,1)*G115),0)</f>
        <v>559.736</v>
      </c>
      <c r="J115" s="60">
        <f t="array" ref="J115">if(YEAR(A115)=2025,XLOOKUP(B115,Lookup!$F$3:$F$10,Lookup!$I$3:$I$10,,1)*G115, XLOOKUP(B115,Lookup!$F$14:$F$21,Lookup!$I$14:$I$21,,1)*G115)</f>
        <v>719.872</v>
      </c>
      <c r="K115" s="61">
        <f t="array" ref="K115">if(B115&gt;54, if(YEAR(A115)=2025,XLOOKUP(B115,Lookup!$F$3:$F$10,Lookup!$H$3:$H$10,,1)*G115, XLOOKUP(B115,Lookup!$F$14:$F$21,Lookup!$H$14:$H$21,,1)*G115),0)</f>
        <v>0</v>
      </c>
      <c r="L115" s="62">
        <f>IF(and(A115&lt;questions!$C$19,questions!$C$18="yes"),questions!$C$20,0)</f>
        <v>700</v>
      </c>
      <c r="M115" s="63">
        <f>(Y114+H115)*Lookup!A$26/12</f>
        <v>344.9130141</v>
      </c>
      <c r="N115" s="63">
        <f>if(B115&lt;55, (Z114+I115)*Lookup!B$26/12, (AB114+K115)*Lookup!B$26/12)</f>
        <v>253.6922761</v>
      </c>
      <c r="O115" s="63">
        <f>(AA114+J115)*Lookup!C$26/12</f>
        <v>317.5181521</v>
      </c>
      <c r="P115" s="63">
        <f t="shared" si="8"/>
        <v>2371.498949</v>
      </c>
      <c r="Q115" s="63">
        <f t="shared" si="4"/>
        <v>1736.664413</v>
      </c>
      <c r="R115" s="63">
        <f t="shared" si="5"/>
        <v>2172.236025</v>
      </c>
      <c r="S115" s="64">
        <f t="shared" si="9"/>
        <v>16.66666667</v>
      </c>
      <c r="T115" s="64">
        <f t="shared" si="10"/>
        <v>33.33333333</v>
      </c>
      <c r="U115" s="64">
        <f t="shared" si="11"/>
        <v>0</v>
      </c>
      <c r="V115" s="64">
        <f t="shared" ref="V115:X115" si="123">IF(year($A115)=year($A114), V114+S115, S115)</f>
        <v>116.6666667</v>
      </c>
      <c r="W115" s="64">
        <f t="shared" si="123"/>
        <v>233.3333333</v>
      </c>
      <c r="X115" s="64">
        <f t="shared" si="123"/>
        <v>0</v>
      </c>
      <c r="Y115" s="65">
        <f>IFS(
  B115&lt;55,
    MAX(
      Y114 + IF(MONTH(A115)=12, P115+V115, 0) + H115 - L115
      + MAX(0,
          IF(AA114 &gt;= VLOOKUP(YEAR(A115), Lookup!$Q:$R, 2),
            Z114 + IF(MONTH(A115)=12, Q115+W115, 0) + I115
              + AA114 + IF(MONTH(A115)=12, R115+X115, 0)
              - VLOOKUP(YEAR(A115), Lookup!$Q:$R, 2) + J115,
            Z114 + IF(MONTH(A115)=12, Q115+W115, 0) + I115
          ) - VLOOKUP(YEAR(A115), Lookup!$K:$M, 3)
        ),
    0),
  B115=55,
    IF(Z114&gt;=AD115,
      MAX(Y114 + IF(MONTH(A115)=12, P115+V115, 0) + H115 - L115, 0),
      MAX(MAX(0, Y114-(AD115-Z114)) + IF(MONTH(A115)=12, P115+V115, 0) + H115 - L115, 0)
    ),
  B115&gt;55,
    IF(AB114&gt;=$AH$7,
      MAX(Y114 + IF(MONTH(A115)=12, P115+V115, 0) + H115 - L115 + K115 + Z114, 0),
      MAX(Y114 + IF(MONTH(A115)=12, P115+V115, 0) + H115 - L115, 0)
    )
)</f>
        <v>164858.2468</v>
      </c>
      <c r="Z115" s="65">
        <f>IFS(
  B115&lt;55,
    MIN(
      IF(AA114 &gt;= VLOOKUP(YEAR(A115), Lookup!$Q:$R, 2),
        Z114 + IF(MONTH(A115)=12, Q115+W115, 0) + I115
          + AA114 + IF(MONTH(A115)=12, R115+X115, 0) - VLOOKUP(YEAR(A115), Lookup!$Q:$R, 2) + J115,
        Z114 + IF(MONTH(A115)=12, Q115+W115, 0) + I115
      ),
      VLOOKUP(YEAR(A115), Lookup!$K:$M, 3)
    ),
  B115=55,
    IF(Z114 &gt;= AD115, Z114 - AD115, 0),
  B115&gt;55, 0
)</f>
        <v>76107.68282</v>
      </c>
      <c r="AA115" s="65">
        <f>IFS(
  B115&lt;65,
    IF(AA114+J115 &lt; VLOOKUP(YEAR(A115), Lookup!$Q:$R, 2),
      AA114 + IF(MONTH(A115)=12, R114+X114, 0) + J115,
      MIN(
        AA114 + IF(MONTH(A115)=12, R114+X114, 0) + J115 ,
        VLOOKUP(YEAR(A115), Lookup!$Q:$R, 2)
      )
    ),
  B115&gt;=65,
    IF(AA114+J115 &lt; VLOOKUP(questions!$C$5, Lookup!$Q:$R, 2),
      AA114 + IF(MONTH(A115)=12, R114+X114, 0) + J115 ,
      MIN(
        AA114 + IF(MONTH(A115)=12, R114+X114, 0) + J115,
        VLOOKUP(questions!$C$5, Lookup!$Q:$R, 2)
      )
    )
)</f>
        <v>95255.44564</v>
      </c>
      <c r="AB115" s="65">
        <f t="shared" si="13"/>
        <v>0</v>
      </c>
      <c r="AC115" s="66">
        <f t="array" ref="AC115">IFS(B115&lt;66, XLOOKUP(year(A115),Lookup!$K$13:$K1000,Lookup!$L$13:$L1000,"missing",,1),B115&gt;65,XLOOKUP(questions!$C$5,Lookup!$K$13:$K1000,Lookup!$L$13:$L1000,"missing",,1))</f>
        <v>150247.9111</v>
      </c>
      <c r="AD115" s="66">
        <f t="array" ref="AD115">IFS(B115&lt;66, XLOOKUP(year(A115),Lookup!$K$13:$K1000,Lookup!$M$13:$M1000,"missing",,1),B115&gt;65, XLOOKUP(questions!$C$5,Lookup!$K$13:$K1000,Lookup!$M$13:$M1000,"missing",,1))</f>
        <v>300495.8222</v>
      </c>
      <c r="AE115" s="66">
        <f t="array" ref="AE115">IFS(B115&lt;66, XLOOKUP(year(A115),Lookup!$K$13:$K1000,Lookup!$N$13:$N1000,"missing",,1),B115&gt;65,XLOOKUP(questions!$C$5,Lookup!$K$13:$K1000,Lookup!$N$13:$N1000,"missing",,1))</f>
        <v>600991.6445</v>
      </c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</row>
    <row r="116">
      <c r="A116" s="55">
        <f t="shared" si="7"/>
        <v>49552</v>
      </c>
      <c r="B116" s="56">
        <f>round(YEARFRAC(EOMONTH(questions!$C$3, 0),A116,1),2)</f>
        <v>36.75</v>
      </c>
      <c r="C116" s="57">
        <f>IF(B116&lt;questions!$C$6,if(MONTH(A116)=1,C115*(1+questions!$C$12),C115),0)</f>
        <v>13047.73184</v>
      </c>
      <c r="D116" s="58">
        <f>IF(MONTH(A116)=12,C116*questions!$C$11,0)</f>
        <v>0</v>
      </c>
      <c r="E116" s="59">
        <f t="shared" si="2"/>
        <v>8000</v>
      </c>
      <c r="F116" s="59">
        <f t="shared" si="3"/>
        <v>0</v>
      </c>
      <c r="G116" s="60">
        <f t="array" ref="G116">if(YEAR(A116)=2025,XLOOKUP(B116,Lookup!$A$3:$A$7,Lookup!$D$3:$D$7,,1)*SUM(E116:F116), XLOOKUP(B116,Lookup!$A$14:$A$18,Lookup!$D$14:$D$18,,1)*SUM(E116:F116))</f>
        <v>2960</v>
      </c>
      <c r="H116" s="60">
        <f t="array" ref="H116">if(YEAR(A116)=2025,XLOOKUP(B116,Lookup!$F$3:$F$10,Lookup!$G$3:$G$10,,1)*G116, XLOOKUP(B116,Lookup!$F$14:$F$21,Lookup!$G$14:$G$21,,1)*G116)</f>
        <v>1680.392</v>
      </c>
      <c r="I116" s="60">
        <f t="array" ref="I116">if(B116&lt;55, if(YEAR(A116)=2025,XLOOKUP(B116,Lookup!$F$3:$F$10,Lookup!$H$3:$H$10,,1)*G116, XLOOKUP(B116,Lookup!$F$14:$F$21,Lookup!$H$14:$H$21,,1)*G116),0)</f>
        <v>559.736</v>
      </c>
      <c r="J116" s="60">
        <f t="array" ref="J116">if(YEAR(A116)=2025,XLOOKUP(B116,Lookup!$F$3:$F$10,Lookup!$I$3:$I$10,,1)*G116, XLOOKUP(B116,Lookup!$F$14:$F$21,Lookup!$I$14:$I$21,,1)*G116)</f>
        <v>719.872</v>
      </c>
      <c r="K116" s="61">
        <f t="array" ref="K116">if(B116&gt;54, if(YEAR(A116)=2025,XLOOKUP(B116,Lookup!$F$3:$F$10,Lookup!$H$3:$H$10,,1)*G116, XLOOKUP(B116,Lookup!$F$14:$F$21,Lookup!$H$14:$H$21,,1)*G116),0)</f>
        <v>0</v>
      </c>
      <c r="L116" s="62">
        <f>IF(and(A116&lt;questions!$C$19,questions!$C$18="yes"),questions!$C$20,0)</f>
        <v>700</v>
      </c>
      <c r="M116" s="63">
        <f>(Y115+H116)*Lookup!A$26/12</f>
        <v>346.9554974</v>
      </c>
      <c r="N116" s="63">
        <f>if(B116&lt;55, (Z115+I116)*Lookup!B$26/12, (AB115+K116)*Lookup!B$26/12)</f>
        <v>255.5580627</v>
      </c>
      <c r="O116" s="63">
        <f>(AA115+J116)*Lookup!C$26/12</f>
        <v>319.9177255</v>
      </c>
      <c r="P116" s="63">
        <f t="shared" si="8"/>
        <v>2718.454446</v>
      </c>
      <c r="Q116" s="63">
        <f t="shared" si="4"/>
        <v>1992.222475</v>
      </c>
      <c r="R116" s="63">
        <f t="shared" si="5"/>
        <v>2492.15375</v>
      </c>
      <c r="S116" s="64">
        <f t="shared" si="9"/>
        <v>16.66666667</v>
      </c>
      <c r="T116" s="64">
        <f t="shared" si="10"/>
        <v>33.33333333</v>
      </c>
      <c r="U116" s="64">
        <f t="shared" si="11"/>
        <v>0</v>
      </c>
      <c r="V116" s="64">
        <f t="shared" ref="V116:X116" si="124">IF(year($A116)=year($A115), V115+S116, S116)</f>
        <v>133.3333333</v>
      </c>
      <c r="W116" s="64">
        <f t="shared" si="124"/>
        <v>266.6666667</v>
      </c>
      <c r="X116" s="64">
        <f t="shared" si="124"/>
        <v>0</v>
      </c>
      <c r="Y116" s="65">
        <f>IFS(
  B116&lt;55,
    MAX(
      Y115 + IF(MONTH(A116)=12, P116+V116, 0) + H116 - L116
      + MAX(0,
          IF(AA115 &gt;= VLOOKUP(YEAR(A116), Lookup!$Q:$R, 2),
            Z115 + IF(MONTH(A116)=12, Q116+W116, 0) + I116
              + AA115 + IF(MONTH(A116)=12, R116+X116, 0)
              - VLOOKUP(YEAR(A116), Lookup!$Q:$R, 2) + J116,
            Z115 + IF(MONTH(A116)=12, Q116+W116, 0) + I116
          ) - VLOOKUP(YEAR(A116), Lookup!$K:$M, 3)
        ),
    0),
  B116=55,
    IF(Z115&gt;=AD116,
      MAX(Y115 + IF(MONTH(A116)=12, P116+V116, 0) + H116 - L116, 0),
      MAX(MAX(0, Y115-(AD116-Z115)) + IF(MONTH(A116)=12, P116+V116, 0) + H116 - L116, 0)
    ),
  B116&gt;55,
    IF(AB115&gt;=$AH$7,
      MAX(Y115 + IF(MONTH(A116)=12, P116+V116, 0) + H116 - L116 + K116 + Z115, 0),
      MAX(Y115 + IF(MONTH(A116)=12, P116+V116, 0) + H116 - L116, 0)
    )
)</f>
        <v>165838.6388</v>
      </c>
      <c r="Z116" s="65">
        <f>IFS(
  B116&lt;55,
    MIN(
      IF(AA115 &gt;= VLOOKUP(YEAR(A116), Lookup!$Q:$R, 2),
        Z115 + IF(MONTH(A116)=12, Q116+W116, 0) + I116
          + AA115 + IF(MONTH(A116)=12, R116+X116, 0) - VLOOKUP(YEAR(A116), Lookup!$Q:$R, 2) + J116,
        Z115 + IF(MONTH(A116)=12, Q116+W116, 0) + I116
      ),
      VLOOKUP(YEAR(A116), Lookup!$K:$M, 3)
    ),
  B116=55,
    IF(Z115 &gt;= AD116, Z115 - AD116, 0),
  B116&gt;55, 0
)</f>
        <v>76667.41882</v>
      </c>
      <c r="AA116" s="65">
        <f>IFS(
  B116&lt;65,
    IF(AA115+J116 &lt; VLOOKUP(YEAR(A116), Lookup!$Q:$R, 2),
      AA115 + IF(MONTH(A116)=12, R115+X115, 0) + J116,
      MIN(
        AA115 + IF(MONTH(A116)=12, R115+X115, 0) + J116 ,
        VLOOKUP(YEAR(A116), Lookup!$Q:$R, 2)
      )
    ),
  B116&gt;=65,
    IF(AA115+J116 &lt; VLOOKUP(questions!$C$5, Lookup!$Q:$R, 2),
      AA115 + IF(MONTH(A116)=12, R115+X115, 0) + J116 ,
      MIN(
        AA115 + IF(MONTH(A116)=12, R115+X115, 0) + J116,
        VLOOKUP(questions!$C$5, Lookup!$Q:$R, 2)
      )
    )
)</f>
        <v>95975.31764</v>
      </c>
      <c r="AB116" s="65">
        <f t="shared" si="13"/>
        <v>0</v>
      </c>
      <c r="AC116" s="66">
        <f t="array" ref="AC116">IFS(B116&lt;66, XLOOKUP(year(A116),Lookup!$K$13:$K1000,Lookup!$L$13:$L1000,"missing",,1),B116&gt;65,XLOOKUP(questions!$C$5,Lookup!$K$13:$K1000,Lookup!$L$13:$L1000,"missing",,1))</f>
        <v>150247.9111</v>
      </c>
      <c r="AD116" s="66">
        <f t="array" ref="AD116">IFS(B116&lt;66, XLOOKUP(year(A116),Lookup!$K$13:$K1000,Lookup!$M$13:$M1000,"missing",,1),B116&gt;65, XLOOKUP(questions!$C$5,Lookup!$K$13:$K1000,Lookup!$M$13:$M1000,"missing",,1))</f>
        <v>300495.8222</v>
      </c>
      <c r="AE116" s="66">
        <f t="array" ref="AE116">IFS(B116&lt;66, XLOOKUP(year(A116),Lookup!$K$13:$K1000,Lookup!$N$13:$N1000,"missing",,1),B116&gt;65,XLOOKUP(questions!$C$5,Lookup!$K$13:$K1000,Lookup!$N$13:$N1000,"missing",,1))</f>
        <v>600991.6445</v>
      </c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</row>
    <row r="117">
      <c r="A117" s="55">
        <f t="shared" si="7"/>
        <v>49582</v>
      </c>
      <c r="B117" s="56">
        <f>round(YEARFRAC(EOMONTH(questions!$C$3, 0),A117,1),2)</f>
        <v>36.83</v>
      </c>
      <c r="C117" s="57">
        <f>IF(B117&lt;questions!$C$6,if(MONTH(A117)=1,C116*(1+questions!$C$12),C116),0)</f>
        <v>13047.73184</v>
      </c>
      <c r="D117" s="58">
        <f>IF(MONTH(A117)=12,C117*questions!$C$11,0)</f>
        <v>0</v>
      </c>
      <c r="E117" s="59">
        <f t="shared" si="2"/>
        <v>8000</v>
      </c>
      <c r="F117" s="59">
        <f t="shared" si="3"/>
        <v>0</v>
      </c>
      <c r="G117" s="60">
        <f t="array" ref="G117">if(YEAR(A117)=2025,XLOOKUP(B117,Lookup!$A$3:$A$7,Lookup!$D$3:$D$7,,1)*SUM(E117:F117), XLOOKUP(B117,Lookup!$A$14:$A$18,Lookup!$D$14:$D$18,,1)*SUM(E117:F117))</f>
        <v>2960</v>
      </c>
      <c r="H117" s="60">
        <f t="array" ref="H117">if(YEAR(A117)=2025,XLOOKUP(B117,Lookup!$F$3:$F$10,Lookup!$G$3:$G$10,,1)*G117, XLOOKUP(B117,Lookup!$F$14:$F$21,Lookup!$G$14:$G$21,,1)*G117)</f>
        <v>1680.392</v>
      </c>
      <c r="I117" s="60">
        <f t="array" ref="I117">if(B117&lt;55, if(YEAR(A117)=2025,XLOOKUP(B117,Lookup!$F$3:$F$10,Lookup!$H$3:$H$10,,1)*G117, XLOOKUP(B117,Lookup!$F$14:$F$21,Lookup!$H$14:$H$21,,1)*G117),0)</f>
        <v>559.736</v>
      </c>
      <c r="J117" s="60">
        <f t="array" ref="J117">if(YEAR(A117)=2025,XLOOKUP(B117,Lookup!$F$3:$F$10,Lookup!$I$3:$I$10,,1)*G117, XLOOKUP(B117,Lookup!$F$14:$F$21,Lookup!$I$14:$I$21,,1)*G117)</f>
        <v>719.872</v>
      </c>
      <c r="K117" s="61">
        <f t="array" ref="K117">if(B117&gt;54, if(YEAR(A117)=2025,XLOOKUP(B117,Lookup!$F$3:$F$10,Lookup!$H$3:$H$10,,1)*G117, XLOOKUP(B117,Lookup!$F$14:$F$21,Lookup!$H$14:$H$21,,1)*G117),0)</f>
        <v>0</v>
      </c>
      <c r="L117" s="62">
        <f>IF(and(A117&lt;questions!$C$19,questions!$C$18="yes"),questions!$C$20,0)</f>
        <v>700</v>
      </c>
      <c r="M117" s="63">
        <f>(Y116+H117)*Lookup!A$26/12</f>
        <v>348.9979808</v>
      </c>
      <c r="N117" s="63">
        <f>if(B117&lt;55, (Z116+I117)*Lookup!B$26/12, (AB116+K117)*Lookup!B$26/12)</f>
        <v>257.4238494</v>
      </c>
      <c r="O117" s="63">
        <f>(AA116+J117)*Lookup!C$26/12</f>
        <v>322.3172988</v>
      </c>
      <c r="P117" s="63">
        <f t="shared" si="8"/>
        <v>3067.452427</v>
      </c>
      <c r="Q117" s="63">
        <f t="shared" si="4"/>
        <v>2249.646325</v>
      </c>
      <c r="R117" s="63">
        <f t="shared" si="5"/>
        <v>2814.471049</v>
      </c>
      <c r="S117" s="64">
        <f t="shared" si="9"/>
        <v>16.66666667</v>
      </c>
      <c r="T117" s="64">
        <f t="shared" si="10"/>
        <v>33.33333333</v>
      </c>
      <c r="U117" s="64">
        <f t="shared" si="11"/>
        <v>0</v>
      </c>
      <c r="V117" s="64">
        <f t="shared" ref="V117:X117" si="125">IF(year($A117)=year($A116), V116+S117, S117)</f>
        <v>150</v>
      </c>
      <c r="W117" s="64">
        <f t="shared" si="125"/>
        <v>300</v>
      </c>
      <c r="X117" s="64">
        <f t="shared" si="125"/>
        <v>0</v>
      </c>
      <c r="Y117" s="65">
        <f>IFS(
  B117&lt;55,
    MAX(
      Y116 + IF(MONTH(A117)=12, P117+V117, 0) + H117 - L117
      + MAX(0,
          IF(AA116 &gt;= VLOOKUP(YEAR(A117), Lookup!$Q:$R, 2),
            Z116 + IF(MONTH(A117)=12, Q117+W117, 0) + I117
              + AA116 + IF(MONTH(A117)=12, R117+X117, 0)
              - VLOOKUP(YEAR(A117), Lookup!$Q:$R, 2) + J117,
            Z116 + IF(MONTH(A117)=12, Q117+W117, 0) + I117
          ) - VLOOKUP(YEAR(A117), Lookup!$K:$M, 3)
        ),
    0),
  B117=55,
    IF(Z116&gt;=AD117,
      MAX(Y116 + IF(MONTH(A117)=12, P117+V117, 0) + H117 - L117, 0),
      MAX(MAX(0, Y116-(AD117-Z116)) + IF(MONTH(A117)=12, P117+V117, 0) + H117 - L117, 0)
    ),
  B117&gt;55,
    IF(AB116&gt;=$AH$7,
      MAX(Y116 + IF(MONTH(A117)=12, P117+V117, 0) + H117 - L117 + K117 + Z116, 0),
      MAX(Y116 + IF(MONTH(A117)=12, P117+V117, 0) + H117 - L117, 0)
    )
)</f>
        <v>166819.0308</v>
      </c>
      <c r="Z117" s="65">
        <f>IFS(
  B117&lt;55,
    MIN(
      IF(AA116 &gt;= VLOOKUP(YEAR(A117), Lookup!$Q:$R, 2),
        Z116 + IF(MONTH(A117)=12, Q117+W117, 0) + I117
          + AA116 + IF(MONTH(A117)=12, R117+X117, 0) - VLOOKUP(YEAR(A117), Lookup!$Q:$R, 2) + J117,
        Z116 + IF(MONTH(A117)=12, Q117+W117, 0) + I117
      ),
      VLOOKUP(YEAR(A117), Lookup!$K:$M, 3)
    ),
  B117=55,
    IF(Z116 &gt;= AD117, Z116 - AD117, 0),
  B117&gt;55, 0
)</f>
        <v>77227.15482</v>
      </c>
      <c r="AA117" s="65">
        <f>IFS(
  B117&lt;65,
    IF(AA116+J117 &lt; VLOOKUP(YEAR(A117), Lookup!$Q:$R, 2),
      AA116 + IF(MONTH(A117)=12, R116+X116, 0) + J117,
      MIN(
        AA116 + IF(MONTH(A117)=12, R116+X116, 0) + J117 ,
        VLOOKUP(YEAR(A117), Lookup!$Q:$R, 2)
      )
    ),
  B117&gt;=65,
    IF(AA116+J117 &lt; VLOOKUP(questions!$C$5, Lookup!$Q:$R, 2),
      AA116 + IF(MONTH(A117)=12, R116+X116, 0) + J117 ,
      MIN(
        AA116 + IF(MONTH(A117)=12, R116+X116, 0) + J117,
        VLOOKUP(questions!$C$5, Lookup!$Q:$R, 2)
      )
    )
)</f>
        <v>96695.18964</v>
      </c>
      <c r="AB117" s="65">
        <f t="shared" si="13"/>
        <v>0</v>
      </c>
      <c r="AC117" s="66">
        <f t="array" ref="AC117">IFS(B117&lt;66, XLOOKUP(year(A117),Lookup!$K$13:$K1000,Lookup!$L$13:$L1000,"missing",,1),B117&gt;65,XLOOKUP(questions!$C$5,Lookup!$K$13:$K1000,Lookup!$L$13:$L1000,"missing",,1))</f>
        <v>150247.9111</v>
      </c>
      <c r="AD117" s="66">
        <f t="array" ref="AD117">IFS(B117&lt;66, XLOOKUP(year(A117),Lookup!$K$13:$K1000,Lookup!$M$13:$M1000,"missing",,1),B117&gt;65, XLOOKUP(questions!$C$5,Lookup!$K$13:$K1000,Lookup!$M$13:$M1000,"missing",,1))</f>
        <v>300495.8222</v>
      </c>
      <c r="AE117" s="66">
        <f t="array" ref="AE117">IFS(B117&lt;66, XLOOKUP(year(A117),Lookup!$K$13:$K1000,Lookup!$N$13:$N1000,"missing",,1),B117&gt;65,XLOOKUP(questions!$C$5,Lookup!$K$13:$K1000,Lookup!$N$13:$N1000,"missing",,1))</f>
        <v>600991.6445</v>
      </c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</row>
    <row r="118">
      <c r="A118" s="55">
        <f t="shared" si="7"/>
        <v>49613</v>
      </c>
      <c r="B118" s="56">
        <f>round(YEARFRAC(EOMONTH(questions!$C$3, 0),A118,1),2)</f>
        <v>36.92</v>
      </c>
      <c r="C118" s="57">
        <f>IF(B118&lt;questions!$C$6,if(MONTH(A118)=1,C117*(1+questions!$C$12),C117),0)</f>
        <v>13047.73184</v>
      </c>
      <c r="D118" s="58">
        <f>IF(MONTH(A118)=12,C118*questions!$C$11,0)</f>
        <v>0</v>
      </c>
      <c r="E118" s="59">
        <f t="shared" si="2"/>
        <v>8000</v>
      </c>
      <c r="F118" s="59">
        <f t="shared" si="3"/>
        <v>0</v>
      </c>
      <c r="G118" s="60">
        <f t="array" ref="G118">if(YEAR(A118)=2025,XLOOKUP(B118,Lookup!$A$3:$A$7,Lookup!$D$3:$D$7,,1)*SUM(E118:F118), XLOOKUP(B118,Lookup!$A$14:$A$18,Lookup!$D$14:$D$18,,1)*SUM(E118:F118))</f>
        <v>2960</v>
      </c>
      <c r="H118" s="60">
        <f t="array" ref="H118">if(YEAR(A118)=2025,XLOOKUP(B118,Lookup!$F$3:$F$10,Lookup!$G$3:$G$10,,1)*G118, XLOOKUP(B118,Lookup!$F$14:$F$21,Lookup!$G$14:$G$21,,1)*G118)</f>
        <v>1680.392</v>
      </c>
      <c r="I118" s="60">
        <f t="array" ref="I118">if(B118&lt;55, if(YEAR(A118)=2025,XLOOKUP(B118,Lookup!$F$3:$F$10,Lookup!$H$3:$H$10,,1)*G118, XLOOKUP(B118,Lookup!$F$14:$F$21,Lookup!$H$14:$H$21,,1)*G118),0)</f>
        <v>559.736</v>
      </c>
      <c r="J118" s="60">
        <f t="array" ref="J118">if(YEAR(A118)=2025,XLOOKUP(B118,Lookup!$F$3:$F$10,Lookup!$I$3:$I$10,,1)*G118, XLOOKUP(B118,Lookup!$F$14:$F$21,Lookup!$I$14:$I$21,,1)*G118)</f>
        <v>719.872</v>
      </c>
      <c r="K118" s="61">
        <f t="array" ref="K118">if(B118&gt;54, if(YEAR(A118)=2025,XLOOKUP(B118,Lookup!$F$3:$F$10,Lookup!$H$3:$H$10,,1)*G118, XLOOKUP(B118,Lookup!$F$14:$F$21,Lookup!$H$14:$H$21,,1)*G118),0)</f>
        <v>0</v>
      </c>
      <c r="L118" s="62">
        <f>IF(and(A118&lt;questions!$C$19,questions!$C$18="yes"),questions!$C$20,0)</f>
        <v>700</v>
      </c>
      <c r="M118" s="63">
        <f>(Y117+H118)*Lookup!A$26/12</f>
        <v>351.0404641</v>
      </c>
      <c r="N118" s="63">
        <f>if(B118&lt;55, (Z117+I118)*Lookup!B$26/12, (AB117+K118)*Lookup!B$26/12)</f>
        <v>259.2896361</v>
      </c>
      <c r="O118" s="63">
        <f>(AA117+J118)*Lookup!C$26/12</f>
        <v>324.7168721</v>
      </c>
      <c r="P118" s="63">
        <f t="shared" si="8"/>
        <v>3418.492891</v>
      </c>
      <c r="Q118" s="63">
        <f t="shared" si="4"/>
        <v>2508.935961</v>
      </c>
      <c r="R118" s="63">
        <f t="shared" si="5"/>
        <v>3139.187921</v>
      </c>
      <c r="S118" s="64">
        <f t="shared" si="9"/>
        <v>16.66666667</v>
      </c>
      <c r="T118" s="64">
        <f t="shared" si="10"/>
        <v>33.33333333</v>
      </c>
      <c r="U118" s="64">
        <f t="shared" si="11"/>
        <v>0</v>
      </c>
      <c r="V118" s="64">
        <f t="shared" ref="V118:X118" si="126">IF(year($A118)=year($A117), V117+S118, S118)</f>
        <v>166.6666667</v>
      </c>
      <c r="W118" s="64">
        <f t="shared" si="126"/>
        <v>333.3333333</v>
      </c>
      <c r="X118" s="64">
        <f t="shared" si="126"/>
        <v>0</v>
      </c>
      <c r="Y118" s="65">
        <f>IFS(
  B118&lt;55,
    MAX(
      Y117 + IF(MONTH(A118)=12, P118+V118, 0) + H118 - L118
      + MAX(0,
          IF(AA117 &gt;= VLOOKUP(YEAR(A118), Lookup!$Q:$R, 2),
            Z117 + IF(MONTH(A118)=12, Q118+W118, 0) + I118
              + AA117 + IF(MONTH(A118)=12, R118+X118, 0)
              - VLOOKUP(YEAR(A118), Lookup!$Q:$R, 2) + J118,
            Z117 + IF(MONTH(A118)=12, Q118+W118, 0) + I118
          ) - VLOOKUP(YEAR(A118), Lookup!$K:$M, 3)
        ),
    0),
  B118=55,
    IF(Z117&gt;=AD118,
      MAX(Y117 + IF(MONTH(A118)=12, P118+V118, 0) + H118 - L118, 0),
      MAX(MAX(0, Y117-(AD118-Z117)) + IF(MONTH(A118)=12, P118+V118, 0) + H118 - L118, 0)
    ),
  B118&gt;55,
    IF(AB117&gt;=$AH$7,
      MAX(Y117 + IF(MONTH(A118)=12, P118+V118, 0) + H118 - L118 + K118 + Z117, 0),
      MAX(Y117 + IF(MONTH(A118)=12, P118+V118, 0) + H118 - L118, 0)
    )
)</f>
        <v>167799.4228</v>
      </c>
      <c r="Z118" s="65">
        <f>IFS(
  B118&lt;55,
    MIN(
      IF(AA117 &gt;= VLOOKUP(YEAR(A118), Lookup!$Q:$R, 2),
        Z117 + IF(MONTH(A118)=12, Q118+W118, 0) + I118
          + AA117 + IF(MONTH(A118)=12, R118+X118, 0) - VLOOKUP(YEAR(A118), Lookup!$Q:$R, 2) + J118,
        Z117 + IF(MONTH(A118)=12, Q118+W118, 0) + I118
      ),
      VLOOKUP(YEAR(A118), Lookup!$K:$M, 3)
    ),
  B118=55,
    IF(Z117 &gt;= AD118, Z117 - AD118, 0),
  B118&gt;55, 0
)</f>
        <v>77786.89082</v>
      </c>
      <c r="AA118" s="65">
        <f>IFS(
  B118&lt;65,
    IF(AA117+J118 &lt; VLOOKUP(YEAR(A118), Lookup!$Q:$R, 2),
      AA117 + IF(MONTH(A118)=12, R117+X117, 0) + J118,
      MIN(
        AA117 + IF(MONTH(A118)=12, R117+X117, 0) + J118 ,
        VLOOKUP(YEAR(A118), Lookup!$Q:$R, 2)
      )
    ),
  B118&gt;=65,
    IF(AA117+J118 &lt; VLOOKUP(questions!$C$5, Lookup!$Q:$R, 2),
      AA117 + IF(MONTH(A118)=12, R117+X117, 0) + J118 ,
      MIN(
        AA117 + IF(MONTH(A118)=12, R117+X117, 0) + J118,
        VLOOKUP(questions!$C$5, Lookup!$Q:$R, 2)
      )
    )
)</f>
        <v>97415.06164</v>
      </c>
      <c r="AB118" s="65">
        <f t="shared" si="13"/>
        <v>0</v>
      </c>
      <c r="AC118" s="66">
        <f t="array" ref="AC118">IFS(B118&lt;66, XLOOKUP(year(A118),Lookup!$K$13:$K1000,Lookup!$L$13:$L1000,"missing",,1),B118&gt;65,XLOOKUP(questions!$C$5,Lookup!$K$13:$K1000,Lookup!$L$13:$L1000,"missing",,1))</f>
        <v>150247.9111</v>
      </c>
      <c r="AD118" s="66">
        <f t="array" ref="AD118">IFS(B118&lt;66, XLOOKUP(year(A118),Lookup!$K$13:$K1000,Lookup!$M$13:$M1000,"missing",,1),B118&gt;65, XLOOKUP(questions!$C$5,Lookup!$K$13:$K1000,Lookup!$M$13:$M1000,"missing",,1))</f>
        <v>300495.8222</v>
      </c>
      <c r="AE118" s="66">
        <f t="array" ref="AE118">IFS(B118&lt;66, XLOOKUP(year(A118),Lookup!$K$13:$K1000,Lookup!$N$13:$N1000,"missing",,1),B118&gt;65,XLOOKUP(questions!$C$5,Lookup!$K$13:$K1000,Lookup!$N$13:$N1000,"missing",,1))</f>
        <v>600991.6445</v>
      </c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</row>
    <row r="119">
      <c r="A119" s="55">
        <f t="shared" si="7"/>
        <v>49643</v>
      </c>
      <c r="B119" s="56">
        <f>round(YEARFRAC(EOMONTH(questions!$C$3, 0),A119,1),2)</f>
        <v>37</v>
      </c>
      <c r="C119" s="57">
        <f>IF(B119&lt;questions!$C$6,if(MONTH(A119)=1,C118*(1+questions!$C$12),C118),0)</f>
        <v>13047.73184</v>
      </c>
      <c r="D119" s="58">
        <f>IF(MONTH(A119)=12,C119*questions!$C$11,0)</f>
        <v>0</v>
      </c>
      <c r="E119" s="59">
        <f t="shared" si="2"/>
        <v>8000</v>
      </c>
      <c r="F119" s="59">
        <f t="shared" si="3"/>
        <v>0</v>
      </c>
      <c r="G119" s="60">
        <f t="array" ref="G119">if(YEAR(A119)=2025,XLOOKUP(B119,Lookup!$A$3:$A$7,Lookup!$D$3:$D$7,,1)*SUM(E119:F119), XLOOKUP(B119,Lookup!$A$14:$A$18,Lookup!$D$14:$D$18,,1)*SUM(E119:F119))</f>
        <v>2960</v>
      </c>
      <c r="H119" s="60">
        <f t="array" ref="H119">if(YEAR(A119)=2025,XLOOKUP(B119,Lookup!$F$3:$F$10,Lookup!$G$3:$G$10,,1)*G119, XLOOKUP(B119,Lookup!$F$14:$F$21,Lookup!$G$14:$G$21,,1)*G119)</f>
        <v>1680.392</v>
      </c>
      <c r="I119" s="60">
        <f t="array" ref="I119">if(B119&lt;55, if(YEAR(A119)=2025,XLOOKUP(B119,Lookup!$F$3:$F$10,Lookup!$H$3:$H$10,,1)*G119, XLOOKUP(B119,Lookup!$F$14:$F$21,Lookup!$H$14:$H$21,,1)*G119),0)</f>
        <v>559.736</v>
      </c>
      <c r="J119" s="60">
        <f t="array" ref="J119">if(YEAR(A119)=2025,XLOOKUP(B119,Lookup!$F$3:$F$10,Lookup!$I$3:$I$10,,1)*G119, XLOOKUP(B119,Lookup!$F$14:$F$21,Lookup!$I$14:$I$21,,1)*G119)</f>
        <v>719.872</v>
      </c>
      <c r="K119" s="61">
        <f t="array" ref="K119">if(B119&gt;54, if(YEAR(A119)=2025,XLOOKUP(B119,Lookup!$F$3:$F$10,Lookup!$H$3:$H$10,,1)*G119, XLOOKUP(B119,Lookup!$F$14:$F$21,Lookup!$H$14:$H$21,,1)*G119),0)</f>
        <v>0</v>
      </c>
      <c r="L119" s="62">
        <f>IF(and(A119&lt;questions!$C$19,questions!$C$18="yes"),questions!$C$20,0)</f>
        <v>700</v>
      </c>
      <c r="M119" s="63">
        <f>(Y118+H119)*Lookup!A$26/12</f>
        <v>353.0829474</v>
      </c>
      <c r="N119" s="63">
        <f>if(B119&lt;55, (Z118+I119)*Lookup!B$26/12, (AB118+K119)*Lookup!B$26/12)</f>
        <v>261.1554227</v>
      </c>
      <c r="O119" s="63">
        <f>(AA118+J119)*Lookup!C$26/12</f>
        <v>327.1164455</v>
      </c>
      <c r="P119" s="63">
        <f t="shared" si="8"/>
        <v>3771.575838</v>
      </c>
      <c r="Q119" s="63">
        <f t="shared" si="4"/>
        <v>2770.091383</v>
      </c>
      <c r="R119" s="63">
        <f t="shared" si="5"/>
        <v>3466.304367</v>
      </c>
      <c r="S119" s="64">
        <f t="shared" si="9"/>
        <v>16.66666667</v>
      </c>
      <c r="T119" s="64">
        <f t="shared" si="10"/>
        <v>33.33333333</v>
      </c>
      <c r="U119" s="64">
        <f t="shared" si="11"/>
        <v>0</v>
      </c>
      <c r="V119" s="64">
        <f t="shared" ref="V119:X119" si="127">IF(year($A119)=year($A118), V118+S119, S119)</f>
        <v>183.3333333</v>
      </c>
      <c r="W119" s="64">
        <f t="shared" si="127"/>
        <v>366.6666667</v>
      </c>
      <c r="X119" s="64">
        <f t="shared" si="127"/>
        <v>0</v>
      </c>
      <c r="Y119" s="65">
        <f>IFS(
  B119&lt;55,
    MAX(
      Y118 + IF(MONTH(A119)=12, P119+V119, 0) + H119 - L119
      + MAX(0,
          IF(AA118 &gt;= VLOOKUP(YEAR(A119), Lookup!$Q:$R, 2),
            Z118 + IF(MONTH(A119)=12, Q119+W119, 0) + I119
              + AA118 + IF(MONTH(A119)=12, R119+X119, 0)
              - VLOOKUP(YEAR(A119), Lookup!$Q:$R, 2) + J119,
            Z118 + IF(MONTH(A119)=12, Q119+W119, 0) + I119
          ) - VLOOKUP(YEAR(A119), Lookup!$K:$M, 3)
        ),
    0),
  B119=55,
    IF(Z118&gt;=AD119,
      MAX(Y118 + IF(MONTH(A119)=12, P119+V119, 0) + H119 - L119, 0),
      MAX(MAX(0, Y118-(AD119-Z118)) + IF(MONTH(A119)=12, P119+V119, 0) + H119 - L119, 0)
    ),
  B119&gt;55,
    IF(AB118&gt;=$AH$7,
      MAX(Y118 + IF(MONTH(A119)=12, P119+V119, 0) + H119 - L119 + K119 + Z118, 0),
      MAX(Y118 + IF(MONTH(A119)=12, P119+V119, 0) + H119 - L119, 0)
    )
)</f>
        <v>168779.8148</v>
      </c>
      <c r="Z119" s="65">
        <f>IFS(
  B119&lt;55,
    MIN(
      IF(AA118 &gt;= VLOOKUP(YEAR(A119), Lookup!$Q:$R, 2),
        Z118 + IF(MONTH(A119)=12, Q119+W119, 0) + I119
          + AA118 + IF(MONTH(A119)=12, R119+X119, 0) - VLOOKUP(YEAR(A119), Lookup!$Q:$R, 2) + J119,
        Z118 + IF(MONTH(A119)=12, Q119+W119, 0) + I119
      ),
      VLOOKUP(YEAR(A119), Lookup!$K:$M, 3)
    ),
  B119=55,
    IF(Z118 &gt;= AD119, Z118 - AD119, 0),
  B119&gt;55, 0
)</f>
        <v>78346.62682</v>
      </c>
      <c r="AA119" s="65">
        <f>IFS(
  B119&lt;65,
    IF(AA118+J119 &lt; VLOOKUP(YEAR(A119), Lookup!$Q:$R, 2),
      AA118 + IF(MONTH(A119)=12, R118+X118, 0) + J119,
      MIN(
        AA118 + IF(MONTH(A119)=12, R118+X118, 0) + J119 ,
        VLOOKUP(YEAR(A119), Lookup!$Q:$R, 2)
      )
    ),
  B119&gt;=65,
    IF(AA118+J119 &lt; VLOOKUP(questions!$C$5, Lookup!$Q:$R, 2),
      AA118 + IF(MONTH(A119)=12, R118+X118, 0) + J119 ,
      MIN(
        AA118 + IF(MONTH(A119)=12, R118+X118, 0) + J119,
        VLOOKUP(questions!$C$5, Lookup!$Q:$R, 2)
      )
    )
)</f>
        <v>98134.93364</v>
      </c>
      <c r="AB119" s="65">
        <f t="shared" si="13"/>
        <v>0</v>
      </c>
      <c r="AC119" s="66">
        <f t="array" ref="AC119">IFS(B119&lt;66, XLOOKUP(year(A119),Lookup!$K$13:$K1000,Lookup!$L$13:$L1000,"missing",,1),B119&gt;65,XLOOKUP(questions!$C$5,Lookup!$K$13:$K1000,Lookup!$L$13:$L1000,"missing",,1))</f>
        <v>150247.9111</v>
      </c>
      <c r="AD119" s="66">
        <f t="array" ref="AD119">IFS(B119&lt;66, XLOOKUP(year(A119),Lookup!$K$13:$K1000,Lookup!$M$13:$M1000,"missing",,1),B119&gt;65, XLOOKUP(questions!$C$5,Lookup!$K$13:$K1000,Lookup!$M$13:$M1000,"missing",,1))</f>
        <v>300495.8222</v>
      </c>
      <c r="AE119" s="66">
        <f t="array" ref="AE119">IFS(B119&lt;66, XLOOKUP(year(A119),Lookup!$K$13:$K1000,Lookup!$N$13:$N1000,"missing",,1),B119&gt;65,XLOOKUP(questions!$C$5,Lookup!$K$13:$K1000,Lookup!$N$13:$N1000,"missing",,1))</f>
        <v>600991.6445</v>
      </c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</row>
    <row r="120">
      <c r="A120" s="55">
        <f t="shared" si="7"/>
        <v>49674</v>
      </c>
      <c r="B120" s="56">
        <f>round(YEARFRAC(EOMONTH(questions!$C$3, 0),A120,1),2)</f>
        <v>37.08</v>
      </c>
      <c r="C120" s="57">
        <f>IF(B120&lt;questions!$C$6,if(MONTH(A120)=1,C119*(1+questions!$C$12),C119),0)</f>
        <v>13047.73184</v>
      </c>
      <c r="D120" s="57">
        <f>IF(MONTH(A120)=12,C120*questions!$C$11,0)</f>
        <v>13047.73184</v>
      </c>
      <c r="E120" s="59">
        <f t="shared" si="2"/>
        <v>8000</v>
      </c>
      <c r="F120" s="59">
        <f t="shared" si="3"/>
        <v>6000</v>
      </c>
      <c r="G120" s="60">
        <f t="array" ref="G120">if(YEAR(A120)=2025,XLOOKUP(B120,Lookup!$A$3:$A$7,Lookup!$D$3:$D$7,,1)*SUM(E120:F120), XLOOKUP(B120,Lookup!$A$14:$A$18,Lookup!$D$14:$D$18,,1)*SUM(E120:F120))</f>
        <v>5180</v>
      </c>
      <c r="H120" s="60">
        <f t="array" ref="H120">if(YEAR(A120)=2025,XLOOKUP(B120,Lookup!$F$3:$F$10,Lookup!$G$3:$G$10,,1)*G120, XLOOKUP(B120,Lookup!$F$14:$F$21,Lookup!$G$14:$G$21,,1)*G120)</f>
        <v>2940.686</v>
      </c>
      <c r="I120" s="60">
        <f t="array" ref="I120">if(B120&lt;55, if(YEAR(A120)=2025,XLOOKUP(B120,Lookup!$F$3:$F$10,Lookup!$H$3:$H$10,,1)*G120, XLOOKUP(B120,Lookup!$F$14:$F$21,Lookup!$H$14:$H$21,,1)*G120),0)</f>
        <v>979.538</v>
      </c>
      <c r="J120" s="60">
        <f t="array" ref="J120">if(YEAR(A120)=2025,XLOOKUP(B120,Lookup!$F$3:$F$10,Lookup!$I$3:$I$10,,1)*G120, XLOOKUP(B120,Lookup!$F$14:$F$21,Lookup!$I$14:$I$21,,1)*G120)</f>
        <v>1259.776</v>
      </c>
      <c r="K120" s="61">
        <f t="array" ref="K120">if(B120&gt;54, if(YEAR(A120)=2025,XLOOKUP(B120,Lookup!$F$3:$F$10,Lookup!$H$3:$H$10,,1)*G120, XLOOKUP(B120,Lookup!$F$14:$F$21,Lookup!$H$14:$H$21,,1)*G120),0)</f>
        <v>0</v>
      </c>
      <c r="L120" s="62">
        <f>IF(and(A120&lt;questions!$C$19,questions!$C$18="yes"),questions!$C$20,0)</f>
        <v>700</v>
      </c>
      <c r="M120" s="63">
        <f>(Y119+H120)*Lookup!A$26/12</f>
        <v>357.7510433</v>
      </c>
      <c r="N120" s="63">
        <f>if(B120&lt;55, (Z119+I120)*Lookup!B$26/12, (AB119+K120)*Lookup!B$26/12)</f>
        <v>264.4205494</v>
      </c>
      <c r="O120" s="63">
        <f>(AA119+J120)*Lookup!C$26/12</f>
        <v>331.3156988</v>
      </c>
      <c r="P120" s="63">
        <f t="shared" si="8"/>
        <v>4129.326882</v>
      </c>
      <c r="Q120" s="63">
        <f t="shared" si="4"/>
        <v>3034.511933</v>
      </c>
      <c r="R120" s="63">
        <f t="shared" si="5"/>
        <v>3797.620066</v>
      </c>
      <c r="S120" s="64">
        <f t="shared" si="9"/>
        <v>16.66666667</v>
      </c>
      <c r="T120" s="64">
        <f t="shared" si="10"/>
        <v>33.33333333</v>
      </c>
      <c r="U120" s="64">
        <f t="shared" si="11"/>
        <v>0</v>
      </c>
      <c r="V120" s="64">
        <f t="shared" ref="V120:X120" si="128">IF(year($A120)=year($A119), V119+S120, S120)</f>
        <v>200</v>
      </c>
      <c r="W120" s="64">
        <f t="shared" si="128"/>
        <v>400</v>
      </c>
      <c r="X120" s="64">
        <f t="shared" si="128"/>
        <v>0</v>
      </c>
      <c r="Y120" s="65">
        <f>IFS(
  B120&lt;55,
    MAX(
      Y119 + IF(MONTH(A120)=12, P120+V120, 0) + H120 - L120
      + MAX(0,
          IF(AA119 &gt;= VLOOKUP(YEAR(A120), Lookup!$Q:$R, 2),
            Z119 + IF(MONTH(A120)=12, Q120+W120, 0) + I120
              + AA119 + IF(MONTH(A120)=12, R120+X120, 0)
              - VLOOKUP(YEAR(A120), Lookup!$Q:$R, 2) + J120,
            Z119 + IF(MONTH(A120)=12, Q120+W120, 0) + I120
          ) - VLOOKUP(YEAR(A120), Lookup!$K:$M, 3)
        ),
    0),
  B120=55,
    IF(Z119&gt;=AD120,
      MAX(Y119 + IF(MONTH(A120)=12, P120+V120, 0) + H120 - L120, 0),
      MAX(MAX(0, Y119-(AD120-Z119)) + IF(MONTH(A120)=12, P120+V120, 0) + H120 - L120, 0)
    ),
  B120&gt;55,
    IF(AB119&gt;=$AH$7,
      MAX(Y119 + IF(MONTH(A120)=12, P120+V120, 0) + H120 - L120 + K120 + Z119, 0),
      MAX(Y119 + IF(MONTH(A120)=12, P120+V120, 0) + H120 - L120, 0)
    )
)</f>
        <v>175349.8276</v>
      </c>
      <c r="Z120" s="65">
        <f>IFS(
  B120&lt;55,
    MIN(
      IF(AA119 &gt;= VLOOKUP(YEAR(A120), Lookup!$Q:$R, 2),
        Z119 + IF(MONTH(A120)=12, Q120+W120, 0) + I120
          + AA119 + IF(MONTH(A120)=12, R120+X120, 0) - VLOOKUP(YEAR(A120), Lookup!$Q:$R, 2) + J120,
        Z119 + IF(MONTH(A120)=12, Q120+W120, 0) + I120
      ),
      VLOOKUP(YEAR(A120), Lookup!$K:$M, 3)
    ),
  B120=55,
    IF(Z119 &gt;= AD120, Z119 - AD120, 0),
  B120&gt;55, 0
)</f>
        <v>82760.67676</v>
      </c>
      <c r="AA120" s="65">
        <f>IFS(
  B120&lt;65,
    IF(AA119+J120 &lt; VLOOKUP(YEAR(A120), Lookup!$Q:$R, 2),
      AA119 + IF(MONTH(A120)=12, R119+X119, 0) + J120,
      MIN(
        AA119 + IF(MONTH(A120)=12, R119+X119, 0) + J120 ,
        VLOOKUP(YEAR(A120), Lookup!$Q:$R, 2)
      )
    ),
  B120&gt;=65,
    IF(AA119+J120 &lt; VLOOKUP(questions!$C$5, Lookup!$Q:$R, 2),
      AA119 + IF(MONTH(A120)=12, R119+X119, 0) + J120 ,
      MIN(
        AA119 + IF(MONTH(A120)=12, R119+X119, 0) + J120,
        VLOOKUP(questions!$C$5, Lookup!$Q:$R, 2)
      )
    )
)</f>
        <v>102861.014</v>
      </c>
      <c r="AB120" s="65">
        <f t="shared" si="13"/>
        <v>0</v>
      </c>
      <c r="AC120" s="66">
        <f t="array" ref="AC120">IFS(B120&lt;66, XLOOKUP(year(A120),Lookup!$K$13:$K1000,Lookup!$L$13:$L1000,"missing",,1),B120&gt;65,XLOOKUP(questions!$C$5,Lookup!$K$13:$K1000,Lookup!$L$13:$L1000,"missing",,1))</f>
        <v>150247.9111</v>
      </c>
      <c r="AD120" s="66">
        <f t="array" ref="AD120">IFS(B120&lt;66, XLOOKUP(year(A120),Lookup!$K$13:$K1000,Lookup!$M$13:$M1000,"missing",,1),B120&gt;65, XLOOKUP(questions!$C$5,Lookup!$K$13:$K1000,Lookup!$M$13:$M1000,"missing",,1))</f>
        <v>300495.8222</v>
      </c>
      <c r="AE120" s="66">
        <f t="array" ref="AE120">IFS(B120&lt;66, XLOOKUP(year(A120),Lookup!$K$13:$K1000,Lookup!$N$13:$N1000,"missing",,1),B120&gt;65,XLOOKUP(questions!$C$5,Lookup!$K$13:$K1000,Lookup!$N$13:$N1000,"missing",,1))</f>
        <v>600991.6445</v>
      </c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</row>
    <row r="121">
      <c r="A121" s="55">
        <f t="shared" si="7"/>
        <v>49705</v>
      </c>
      <c r="B121" s="56">
        <f>round(YEARFRAC(EOMONTH(questions!$C$3, 0),A121,1),2)</f>
        <v>37.17</v>
      </c>
      <c r="C121" s="57">
        <f>IF(B121&lt;questions!$C$6,if(MONTH(A121)=1,C120*(1+questions!$C$12),C120),0)</f>
        <v>13439.16379</v>
      </c>
      <c r="D121" s="58">
        <f>IF(MONTH(A121)=12,C121*questions!$C$11,0)</f>
        <v>0</v>
      </c>
      <c r="E121" s="59">
        <f t="shared" si="2"/>
        <v>8000</v>
      </c>
      <c r="F121" s="59">
        <f t="shared" si="3"/>
        <v>0</v>
      </c>
      <c r="G121" s="60">
        <f t="array" ref="G121">if(YEAR(A121)=2025,XLOOKUP(B121,Lookup!$A$3:$A$7,Lookup!$D$3:$D$7,,1)*SUM(E121:F121), XLOOKUP(B121,Lookup!$A$14:$A$18,Lookup!$D$14:$D$18,,1)*SUM(E121:F121))</f>
        <v>2960</v>
      </c>
      <c r="H121" s="60">
        <f t="array" ref="H121">if(YEAR(A121)=2025,XLOOKUP(B121,Lookup!$F$3:$F$10,Lookup!$G$3:$G$10,,1)*G121, XLOOKUP(B121,Lookup!$F$14:$F$21,Lookup!$G$14:$G$21,,1)*G121)</f>
        <v>1680.392</v>
      </c>
      <c r="I121" s="60">
        <f t="array" ref="I121">if(B121&lt;55, if(YEAR(A121)=2025,XLOOKUP(B121,Lookup!$F$3:$F$10,Lookup!$H$3:$H$10,,1)*G121, XLOOKUP(B121,Lookup!$F$14:$F$21,Lookup!$H$14:$H$21,,1)*G121),0)</f>
        <v>559.736</v>
      </c>
      <c r="J121" s="60">
        <f t="array" ref="J121">if(YEAR(A121)=2025,XLOOKUP(B121,Lookup!$F$3:$F$10,Lookup!$I$3:$I$10,,1)*G121, XLOOKUP(B121,Lookup!$F$14:$F$21,Lookup!$I$14:$I$21,,1)*G121)</f>
        <v>719.872</v>
      </c>
      <c r="K121" s="61">
        <f t="array" ref="K121">if(B121&gt;54, if(YEAR(A121)=2025,XLOOKUP(B121,Lookup!$F$3:$F$10,Lookup!$H$3:$H$10,,1)*G121, XLOOKUP(B121,Lookup!$F$14:$F$21,Lookup!$H$14:$H$21,,1)*G121),0)</f>
        <v>0</v>
      </c>
      <c r="L121" s="62">
        <f>IF(and(A121&lt;questions!$C$19,questions!$C$18="yes"),questions!$C$20,0)</f>
        <v>700</v>
      </c>
      <c r="M121" s="63">
        <f>(Y120+H121)*Lookup!A$26/12</f>
        <v>368.8129576</v>
      </c>
      <c r="N121" s="63">
        <f>if(B121&lt;55, (Z120+I121)*Lookup!B$26/12, (AB120+K121)*Lookup!B$26/12)</f>
        <v>277.7347092</v>
      </c>
      <c r="O121" s="63">
        <f>(AA120+J121)*Lookup!C$26/12</f>
        <v>345.26962</v>
      </c>
      <c r="P121" s="63">
        <f t="shared" si="8"/>
        <v>368.8129576</v>
      </c>
      <c r="Q121" s="63">
        <f t="shared" si="4"/>
        <v>277.7347092</v>
      </c>
      <c r="R121" s="63">
        <f t="shared" si="5"/>
        <v>345.26962</v>
      </c>
      <c r="S121" s="64">
        <f t="shared" si="9"/>
        <v>16.66666667</v>
      </c>
      <c r="T121" s="64">
        <f t="shared" si="10"/>
        <v>33.33333333</v>
      </c>
      <c r="U121" s="64">
        <f t="shared" si="11"/>
        <v>0</v>
      </c>
      <c r="V121" s="64">
        <f t="shared" ref="V121:X121" si="129">IF(year($A121)=year($A120), V120+S121, S121)</f>
        <v>16.66666667</v>
      </c>
      <c r="W121" s="64">
        <f t="shared" si="129"/>
        <v>33.33333333</v>
      </c>
      <c r="X121" s="64">
        <f t="shared" si="129"/>
        <v>0</v>
      </c>
      <c r="Y121" s="65">
        <f>IFS(
  B121&lt;55,
    MAX(
      Y120 + IF(MONTH(A121)=12, P121+V121, 0) + H121 - L121
      + MAX(0,
          IF(AA120 &gt;= VLOOKUP(YEAR(A121), Lookup!$Q:$R, 2),
            Z120 + IF(MONTH(A121)=12, Q121+W121, 0) + I121
              + AA120 + IF(MONTH(A121)=12, R121+X121, 0)
              - VLOOKUP(YEAR(A121), Lookup!$Q:$R, 2) + J121,
            Z120 + IF(MONTH(A121)=12, Q121+W121, 0) + I121
          ) - VLOOKUP(YEAR(A121), Lookup!$K:$M, 3)
        ),
    0),
  B121=55,
    IF(Z120&gt;=AD121,
      MAX(Y120 + IF(MONTH(A121)=12, P121+V121, 0) + H121 - L121, 0),
      MAX(MAX(0, Y120-(AD121-Z120)) + IF(MONTH(A121)=12, P121+V121, 0) + H121 - L121, 0)
    ),
  B121&gt;55,
    IF(AB120&gt;=$AH$7,
      MAX(Y120 + IF(MONTH(A121)=12, P121+V121, 0) + H121 - L121 + K121 + Z120, 0),
      MAX(Y120 + IF(MONTH(A121)=12, P121+V121, 0) + H121 - L121, 0)
    )
)</f>
        <v>176330.2196</v>
      </c>
      <c r="Z121" s="65">
        <f>IFS(
  B121&lt;55,
    MIN(
      IF(AA120 &gt;= VLOOKUP(YEAR(A121), Lookup!$Q:$R, 2),
        Z120 + IF(MONTH(A121)=12, Q121+W121, 0) + I121
          + AA120 + IF(MONTH(A121)=12, R121+X121, 0) - VLOOKUP(YEAR(A121), Lookup!$Q:$R, 2) + J121,
        Z120 + IF(MONTH(A121)=12, Q121+W121, 0) + I121
      ),
      VLOOKUP(YEAR(A121), Lookup!$K:$M, 3)
    ),
  B121=55,
    IF(Z120 &gt;= AD121, Z120 - AD121, 0),
  B121&gt;55, 0
)</f>
        <v>83320.41276</v>
      </c>
      <c r="AA121" s="65">
        <f>IFS(
  B121&lt;65,
    IF(AA120+J121 &lt; VLOOKUP(YEAR(A121), Lookup!$Q:$R, 2),
      AA120 + IF(MONTH(A121)=12, R120+X120, 0) + J121,
      MIN(
        AA120 + IF(MONTH(A121)=12, R120+X120, 0) + J121 ,
        VLOOKUP(YEAR(A121), Lookup!$Q:$R, 2)
      )
    ),
  B121&gt;=65,
    IF(AA120+J121 &lt; VLOOKUP(questions!$C$5, Lookup!$Q:$R, 2),
      AA120 + IF(MONTH(A121)=12, R120+X120, 0) + J121 ,
      MIN(
        AA120 + IF(MONTH(A121)=12, R120+X120, 0) + J121,
        VLOOKUP(questions!$C$5, Lookup!$Q:$R, 2)
      )
    )
)</f>
        <v>103580.886</v>
      </c>
      <c r="AB121" s="65">
        <f t="shared" si="13"/>
        <v>0</v>
      </c>
      <c r="AC121" s="66">
        <f t="array" ref="AC121">IFS(B121&lt;66, XLOOKUP(year(A121),Lookup!$K$13:$K1000,Lookup!$L$13:$L1000,"missing",,1),B121&gt;65,XLOOKUP(questions!$C$5,Lookup!$K$13:$K1000,Lookup!$L$13:$L1000,"missing",,1))</f>
        <v>155506.588</v>
      </c>
      <c r="AD121" s="66">
        <f t="array" ref="AD121">IFS(B121&lt;66, XLOOKUP(year(A121),Lookup!$K$13:$K1000,Lookup!$M$13:$M1000,"missing",,1),B121&gt;65, XLOOKUP(questions!$C$5,Lookup!$K$13:$K1000,Lookup!$M$13:$M1000,"missing",,1))</f>
        <v>311013.176</v>
      </c>
      <c r="AE121" s="66">
        <f t="array" ref="AE121">IFS(B121&lt;66, XLOOKUP(year(A121),Lookup!$K$13:$K1000,Lookup!$N$13:$N1000,"missing",,1),B121&gt;65,XLOOKUP(questions!$C$5,Lookup!$K$13:$K1000,Lookup!$N$13:$N1000,"missing",,1))</f>
        <v>622026.352</v>
      </c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</row>
    <row r="122">
      <c r="A122" s="55">
        <f t="shared" si="7"/>
        <v>49734</v>
      </c>
      <c r="B122" s="56">
        <f>round(YEARFRAC(EOMONTH(questions!$C$3, 0),A122,1),2)</f>
        <v>37.25</v>
      </c>
      <c r="C122" s="57">
        <f>IF(B122&lt;questions!$C$6,if(MONTH(A122)=1,C121*(1+questions!$C$12),C121),0)</f>
        <v>13439.16379</v>
      </c>
      <c r="D122" s="58">
        <f>IF(MONTH(A122)=12,C122*questions!$C$11,0)</f>
        <v>0</v>
      </c>
      <c r="E122" s="59">
        <f t="shared" si="2"/>
        <v>8000</v>
      </c>
      <c r="F122" s="59">
        <f t="shared" si="3"/>
        <v>0</v>
      </c>
      <c r="G122" s="60">
        <f t="array" ref="G122">if(YEAR(A122)=2025,XLOOKUP(B122,Lookup!$A$3:$A$7,Lookup!$D$3:$D$7,,1)*SUM(E122:F122), XLOOKUP(B122,Lookup!$A$14:$A$18,Lookup!$D$14:$D$18,,1)*SUM(E122:F122))</f>
        <v>2960</v>
      </c>
      <c r="H122" s="60">
        <f t="array" ref="H122">if(YEAR(A122)=2025,XLOOKUP(B122,Lookup!$F$3:$F$10,Lookup!$G$3:$G$10,,1)*G122, XLOOKUP(B122,Lookup!$F$14:$F$21,Lookup!$G$14:$G$21,,1)*G122)</f>
        <v>1680.392</v>
      </c>
      <c r="I122" s="60">
        <f t="array" ref="I122">if(B122&lt;55, if(YEAR(A122)=2025,XLOOKUP(B122,Lookup!$F$3:$F$10,Lookup!$H$3:$H$10,,1)*G122, XLOOKUP(B122,Lookup!$F$14:$F$21,Lookup!$H$14:$H$21,,1)*G122),0)</f>
        <v>559.736</v>
      </c>
      <c r="J122" s="60">
        <f t="array" ref="J122">if(YEAR(A122)=2025,XLOOKUP(B122,Lookup!$F$3:$F$10,Lookup!$I$3:$I$10,,1)*G122, XLOOKUP(B122,Lookup!$F$14:$F$21,Lookup!$I$14:$I$21,,1)*G122)</f>
        <v>719.872</v>
      </c>
      <c r="K122" s="61">
        <f t="array" ref="K122">if(B122&gt;54, if(YEAR(A122)=2025,XLOOKUP(B122,Lookup!$F$3:$F$10,Lookup!$H$3:$H$10,,1)*G122, XLOOKUP(B122,Lookup!$F$14:$F$21,Lookup!$H$14:$H$21,,1)*G122),0)</f>
        <v>0</v>
      </c>
      <c r="L122" s="62">
        <f>IF(and(A122&lt;questions!$C$19,questions!$C$18="yes"),questions!$C$20,0)</f>
        <v>700</v>
      </c>
      <c r="M122" s="63">
        <f>(Y121+H122)*Lookup!A$26/12</f>
        <v>370.8554409</v>
      </c>
      <c r="N122" s="63">
        <f>if(B122&lt;55, (Z121+I122)*Lookup!B$26/12, (AB121+K122)*Lookup!B$26/12)</f>
        <v>279.6004959</v>
      </c>
      <c r="O122" s="63">
        <f>(AA121+J122)*Lookup!C$26/12</f>
        <v>347.6691934</v>
      </c>
      <c r="P122" s="63">
        <f t="shared" si="8"/>
        <v>739.6683985</v>
      </c>
      <c r="Q122" s="63">
        <f t="shared" si="4"/>
        <v>557.335205</v>
      </c>
      <c r="R122" s="63">
        <f t="shared" si="5"/>
        <v>692.9388134</v>
      </c>
      <c r="S122" s="64">
        <f t="shared" si="9"/>
        <v>16.66666667</v>
      </c>
      <c r="T122" s="64">
        <f t="shared" si="10"/>
        <v>33.33333333</v>
      </c>
      <c r="U122" s="64">
        <f t="shared" si="11"/>
        <v>0</v>
      </c>
      <c r="V122" s="64">
        <f t="shared" ref="V122:X122" si="130">IF(year($A122)=year($A121), V121+S122, S122)</f>
        <v>33.33333333</v>
      </c>
      <c r="W122" s="64">
        <f t="shared" si="130"/>
        <v>66.66666667</v>
      </c>
      <c r="X122" s="64">
        <f t="shared" si="130"/>
        <v>0</v>
      </c>
      <c r="Y122" s="65">
        <f>IFS(
  B122&lt;55,
    MAX(
      Y121 + IF(MONTH(A122)=12, P122+V122, 0) + H122 - L122
      + MAX(0,
          IF(AA121 &gt;= VLOOKUP(YEAR(A122), Lookup!$Q:$R, 2),
            Z121 + IF(MONTH(A122)=12, Q122+W122, 0) + I122
              + AA121 + IF(MONTH(A122)=12, R122+X122, 0)
              - VLOOKUP(YEAR(A122), Lookup!$Q:$R, 2) + J122,
            Z121 + IF(MONTH(A122)=12, Q122+W122, 0) + I122
          ) - VLOOKUP(YEAR(A122), Lookup!$K:$M, 3)
        ),
    0),
  B122=55,
    IF(Z121&gt;=AD122,
      MAX(Y121 + IF(MONTH(A122)=12, P122+V122, 0) + H122 - L122, 0),
      MAX(MAX(0, Y121-(AD122-Z121)) + IF(MONTH(A122)=12, P122+V122, 0) + H122 - L122, 0)
    ),
  B122&gt;55,
    IF(AB121&gt;=$AH$7,
      MAX(Y121 + IF(MONTH(A122)=12, P122+V122, 0) + H122 - L122 + K122 + Z121, 0),
      MAX(Y121 + IF(MONTH(A122)=12, P122+V122, 0) + H122 - L122, 0)
    )
)</f>
        <v>177310.6116</v>
      </c>
      <c r="Z122" s="65">
        <f>IFS(
  B122&lt;55,
    MIN(
      IF(AA121 &gt;= VLOOKUP(YEAR(A122), Lookup!$Q:$R, 2),
        Z121 + IF(MONTH(A122)=12, Q122+W122, 0) + I122
          + AA121 + IF(MONTH(A122)=12, R122+X122, 0) - VLOOKUP(YEAR(A122), Lookup!$Q:$R, 2) + J122,
        Z121 + IF(MONTH(A122)=12, Q122+W122, 0) + I122
      ),
      VLOOKUP(YEAR(A122), Lookup!$K:$M, 3)
    ),
  B122=55,
    IF(Z121 &gt;= AD122, Z121 - AD122, 0),
  B122&gt;55, 0
)</f>
        <v>83880.14876</v>
      </c>
      <c r="AA122" s="65">
        <f>IFS(
  B122&lt;65,
    IF(AA121+J122 &lt; VLOOKUP(YEAR(A122), Lookup!$Q:$R, 2),
      AA121 + IF(MONTH(A122)=12, R121+X121, 0) + J122,
      MIN(
        AA121 + IF(MONTH(A122)=12, R121+X121, 0) + J122 ,
        VLOOKUP(YEAR(A122), Lookup!$Q:$R, 2)
      )
    ),
  B122&gt;=65,
    IF(AA121+J122 &lt; VLOOKUP(questions!$C$5, Lookup!$Q:$R, 2),
      AA121 + IF(MONTH(A122)=12, R121+X121, 0) + J122 ,
      MIN(
        AA121 + IF(MONTH(A122)=12, R121+X121, 0) + J122,
        VLOOKUP(questions!$C$5, Lookup!$Q:$R, 2)
      )
    )
)</f>
        <v>104300.758</v>
      </c>
      <c r="AB122" s="65">
        <f t="shared" si="13"/>
        <v>0</v>
      </c>
      <c r="AC122" s="66">
        <f t="array" ref="AC122">IFS(B122&lt;66, XLOOKUP(year(A122),Lookup!$K$13:$K1000,Lookup!$L$13:$L1000,"missing",,1),B122&gt;65,XLOOKUP(questions!$C$5,Lookup!$K$13:$K1000,Lookup!$L$13:$L1000,"missing",,1))</f>
        <v>155506.588</v>
      </c>
      <c r="AD122" s="66">
        <f t="array" ref="AD122">IFS(B122&lt;66, XLOOKUP(year(A122),Lookup!$K$13:$K1000,Lookup!$M$13:$M1000,"missing",,1),B122&gt;65, XLOOKUP(questions!$C$5,Lookup!$K$13:$K1000,Lookup!$M$13:$M1000,"missing",,1))</f>
        <v>311013.176</v>
      </c>
      <c r="AE122" s="66">
        <f t="array" ref="AE122">IFS(B122&lt;66, XLOOKUP(year(A122),Lookup!$K$13:$K1000,Lookup!$N$13:$N1000,"missing",,1),B122&gt;65,XLOOKUP(questions!$C$5,Lookup!$K$13:$K1000,Lookup!$N$13:$N1000,"missing",,1))</f>
        <v>622026.352</v>
      </c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</row>
    <row r="123">
      <c r="A123" s="55">
        <f t="shared" si="7"/>
        <v>49765</v>
      </c>
      <c r="B123" s="56">
        <f>round(YEARFRAC(EOMONTH(questions!$C$3, 0),A123,1),2)</f>
        <v>37.33</v>
      </c>
      <c r="C123" s="57">
        <f>IF(B123&lt;questions!$C$6,if(MONTH(A123)=1,C122*(1+questions!$C$12),C122),0)</f>
        <v>13439.16379</v>
      </c>
      <c r="D123" s="58">
        <f>IF(MONTH(A123)=12,C123*questions!$C$11,0)</f>
        <v>0</v>
      </c>
      <c r="E123" s="59">
        <f t="shared" si="2"/>
        <v>8000</v>
      </c>
      <c r="F123" s="59">
        <f t="shared" si="3"/>
        <v>0</v>
      </c>
      <c r="G123" s="60">
        <f t="array" ref="G123">if(YEAR(A123)=2025,XLOOKUP(B123,Lookup!$A$3:$A$7,Lookup!$D$3:$D$7,,1)*SUM(E123:F123), XLOOKUP(B123,Lookup!$A$14:$A$18,Lookup!$D$14:$D$18,,1)*SUM(E123:F123))</f>
        <v>2960</v>
      </c>
      <c r="H123" s="60">
        <f t="array" ref="H123">if(YEAR(A123)=2025,XLOOKUP(B123,Lookup!$F$3:$F$10,Lookup!$G$3:$G$10,,1)*G123, XLOOKUP(B123,Lookup!$F$14:$F$21,Lookup!$G$14:$G$21,,1)*G123)</f>
        <v>1680.392</v>
      </c>
      <c r="I123" s="60">
        <f t="array" ref="I123">if(B123&lt;55, if(YEAR(A123)=2025,XLOOKUP(B123,Lookup!$F$3:$F$10,Lookup!$H$3:$H$10,,1)*G123, XLOOKUP(B123,Lookup!$F$14:$F$21,Lookup!$H$14:$H$21,,1)*G123),0)</f>
        <v>559.736</v>
      </c>
      <c r="J123" s="60">
        <f t="array" ref="J123">if(YEAR(A123)=2025,XLOOKUP(B123,Lookup!$F$3:$F$10,Lookup!$I$3:$I$10,,1)*G123, XLOOKUP(B123,Lookup!$F$14:$F$21,Lookup!$I$14:$I$21,,1)*G123)</f>
        <v>719.872</v>
      </c>
      <c r="K123" s="61">
        <f t="array" ref="K123">if(B123&gt;54, if(YEAR(A123)=2025,XLOOKUP(B123,Lookup!$F$3:$F$10,Lookup!$H$3:$H$10,,1)*G123, XLOOKUP(B123,Lookup!$F$14:$F$21,Lookup!$H$14:$H$21,,1)*G123),0)</f>
        <v>0</v>
      </c>
      <c r="L123" s="62">
        <f>IF(and(A123&lt;questions!$C$19,questions!$C$18="yes"),questions!$C$20,0)</f>
        <v>700</v>
      </c>
      <c r="M123" s="63">
        <f>(Y122+H123)*Lookup!A$26/12</f>
        <v>372.8979243</v>
      </c>
      <c r="N123" s="63">
        <f>if(B123&lt;55, (Z122+I123)*Lookup!B$26/12, (AB122+K123)*Lookup!B$26/12)</f>
        <v>281.4662825</v>
      </c>
      <c r="O123" s="63">
        <f>(AA122+J123)*Lookup!C$26/12</f>
        <v>350.0687667</v>
      </c>
      <c r="P123" s="63">
        <f t="shared" si="8"/>
        <v>1112.566323</v>
      </c>
      <c r="Q123" s="63">
        <f t="shared" si="4"/>
        <v>838.8014876</v>
      </c>
      <c r="R123" s="63">
        <f t="shared" si="5"/>
        <v>1043.00758</v>
      </c>
      <c r="S123" s="64">
        <f t="shared" si="9"/>
        <v>16.66666667</v>
      </c>
      <c r="T123" s="64">
        <f t="shared" si="10"/>
        <v>33.33333333</v>
      </c>
      <c r="U123" s="64">
        <f t="shared" si="11"/>
        <v>0</v>
      </c>
      <c r="V123" s="64">
        <f t="shared" ref="V123:X123" si="131">IF(year($A123)=year($A122), V122+S123, S123)</f>
        <v>50</v>
      </c>
      <c r="W123" s="64">
        <f t="shared" si="131"/>
        <v>100</v>
      </c>
      <c r="X123" s="64">
        <f t="shared" si="131"/>
        <v>0</v>
      </c>
      <c r="Y123" s="65">
        <f>IFS(
  B123&lt;55,
    MAX(
      Y122 + IF(MONTH(A123)=12, P123+V123, 0) + H123 - L123
      + MAX(0,
          IF(AA122 &gt;= VLOOKUP(YEAR(A123), Lookup!$Q:$R, 2),
            Z122 + IF(MONTH(A123)=12, Q123+W123, 0) + I123
              + AA122 + IF(MONTH(A123)=12, R123+X123, 0)
              - VLOOKUP(YEAR(A123), Lookup!$Q:$R, 2) + J123,
            Z122 + IF(MONTH(A123)=12, Q123+W123, 0) + I123
          ) - VLOOKUP(YEAR(A123), Lookup!$K:$M, 3)
        ),
    0),
  B123=55,
    IF(Z122&gt;=AD123,
      MAX(Y122 + IF(MONTH(A123)=12, P123+V123, 0) + H123 - L123, 0),
      MAX(MAX(0, Y122-(AD123-Z122)) + IF(MONTH(A123)=12, P123+V123, 0) + H123 - L123, 0)
    ),
  B123&gt;55,
    IF(AB122&gt;=$AH$7,
      MAX(Y122 + IF(MONTH(A123)=12, P123+V123, 0) + H123 - L123 + K123 + Z122, 0),
      MAX(Y122 + IF(MONTH(A123)=12, P123+V123, 0) + H123 - L123, 0)
    )
)</f>
        <v>178291.0036</v>
      </c>
      <c r="Z123" s="65">
        <f>IFS(
  B123&lt;55,
    MIN(
      IF(AA122 &gt;= VLOOKUP(YEAR(A123), Lookup!$Q:$R, 2),
        Z122 + IF(MONTH(A123)=12, Q123+W123, 0) + I123
          + AA122 + IF(MONTH(A123)=12, R123+X123, 0) - VLOOKUP(YEAR(A123), Lookup!$Q:$R, 2) + J123,
        Z122 + IF(MONTH(A123)=12, Q123+W123, 0) + I123
      ),
      VLOOKUP(YEAR(A123), Lookup!$K:$M, 3)
    ),
  B123=55,
    IF(Z122 &gt;= AD123, Z122 - AD123, 0),
  B123&gt;55, 0
)</f>
        <v>84439.88476</v>
      </c>
      <c r="AA123" s="65">
        <f>IFS(
  B123&lt;65,
    IF(AA122+J123 &lt; VLOOKUP(YEAR(A123), Lookup!$Q:$R, 2),
      AA122 + IF(MONTH(A123)=12, R122+X122, 0) + J123,
      MIN(
        AA122 + IF(MONTH(A123)=12, R122+X122, 0) + J123 ,
        VLOOKUP(YEAR(A123), Lookup!$Q:$R, 2)
      )
    ),
  B123&gt;=65,
    IF(AA122+J123 &lt; VLOOKUP(questions!$C$5, Lookup!$Q:$R, 2),
      AA122 + IF(MONTH(A123)=12, R122+X122, 0) + J123 ,
      MIN(
        AA122 + IF(MONTH(A123)=12, R122+X122, 0) + J123,
        VLOOKUP(questions!$C$5, Lookup!$Q:$R, 2)
      )
    )
)</f>
        <v>105020.63</v>
      </c>
      <c r="AB123" s="65">
        <f t="shared" si="13"/>
        <v>0</v>
      </c>
      <c r="AC123" s="66">
        <f t="array" ref="AC123">IFS(B123&lt;66, XLOOKUP(year(A123),Lookup!$K$13:$K1000,Lookup!$L$13:$L1000,"missing",,1),B123&gt;65,XLOOKUP(questions!$C$5,Lookup!$K$13:$K1000,Lookup!$L$13:$L1000,"missing",,1))</f>
        <v>155506.588</v>
      </c>
      <c r="AD123" s="66">
        <f t="array" ref="AD123">IFS(B123&lt;66, XLOOKUP(year(A123),Lookup!$K$13:$K1000,Lookup!$M$13:$M1000,"missing",,1),B123&gt;65, XLOOKUP(questions!$C$5,Lookup!$K$13:$K1000,Lookup!$M$13:$M1000,"missing",,1))</f>
        <v>311013.176</v>
      </c>
      <c r="AE123" s="66">
        <f t="array" ref="AE123">IFS(B123&lt;66, XLOOKUP(year(A123),Lookup!$K$13:$K1000,Lookup!$N$13:$N1000,"missing",,1),B123&gt;65,XLOOKUP(questions!$C$5,Lookup!$K$13:$K1000,Lookup!$N$13:$N1000,"missing",,1))</f>
        <v>622026.352</v>
      </c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</row>
    <row r="124">
      <c r="A124" s="55">
        <f t="shared" si="7"/>
        <v>49795</v>
      </c>
      <c r="B124" s="56">
        <f>round(YEARFRAC(EOMONTH(questions!$C$3, 0),A124,1),2)</f>
        <v>37.42</v>
      </c>
      <c r="C124" s="57">
        <f>IF(B124&lt;questions!$C$6,if(MONTH(A124)=1,C123*(1+questions!$C$12),C123),0)</f>
        <v>13439.16379</v>
      </c>
      <c r="D124" s="58">
        <f>IF(MONTH(A124)=12,C124*questions!$C$11,0)</f>
        <v>0</v>
      </c>
      <c r="E124" s="59">
        <f t="shared" si="2"/>
        <v>8000</v>
      </c>
      <c r="F124" s="59">
        <f t="shared" si="3"/>
        <v>0</v>
      </c>
      <c r="G124" s="60">
        <f t="array" ref="G124">if(YEAR(A124)=2025,XLOOKUP(B124,Lookup!$A$3:$A$7,Lookup!$D$3:$D$7,,1)*SUM(E124:F124), XLOOKUP(B124,Lookup!$A$14:$A$18,Lookup!$D$14:$D$18,,1)*SUM(E124:F124))</f>
        <v>2960</v>
      </c>
      <c r="H124" s="60">
        <f t="array" ref="H124">if(YEAR(A124)=2025,XLOOKUP(B124,Lookup!$F$3:$F$10,Lookup!$G$3:$G$10,,1)*G124, XLOOKUP(B124,Lookup!$F$14:$F$21,Lookup!$G$14:$G$21,,1)*G124)</f>
        <v>1680.392</v>
      </c>
      <c r="I124" s="60">
        <f t="array" ref="I124">if(B124&lt;55, if(YEAR(A124)=2025,XLOOKUP(B124,Lookup!$F$3:$F$10,Lookup!$H$3:$H$10,,1)*G124, XLOOKUP(B124,Lookup!$F$14:$F$21,Lookup!$H$14:$H$21,,1)*G124),0)</f>
        <v>559.736</v>
      </c>
      <c r="J124" s="60">
        <f t="array" ref="J124">if(YEAR(A124)=2025,XLOOKUP(B124,Lookup!$F$3:$F$10,Lookup!$I$3:$I$10,,1)*G124, XLOOKUP(B124,Lookup!$F$14:$F$21,Lookup!$I$14:$I$21,,1)*G124)</f>
        <v>719.872</v>
      </c>
      <c r="K124" s="61">
        <f t="array" ref="K124">if(B124&gt;54, if(YEAR(A124)=2025,XLOOKUP(B124,Lookup!$F$3:$F$10,Lookup!$H$3:$H$10,,1)*G124, XLOOKUP(B124,Lookup!$F$14:$F$21,Lookup!$H$14:$H$21,,1)*G124),0)</f>
        <v>0</v>
      </c>
      <c r="L124" s="62">
        <f>IF(and(A124&lt;questions!$C$19,questions!$C$18="yes"),questions!$C$20,0)</f>
        <v>700</v>
      </c>
      <c r="M124" s="63">
        <f>(Y123+H124)*Lookup!A$26/12</f>
        <v>374.9404076</v>
      </c>
      <c r="N124" s="63">
        <f>if(B124&lt;55, (Z123+I124)*Lookup!B$26/12, (AB123+K124)*Lookup!B$26/12)</f>
        <v>283.3320692</v>
      </c>
      <c r="O124" s="63">
        <f>(AA123+J124)*Lookup!C$26/12</f>
        <v>352.46834</v>
      </c>
      <c r="P124" s="63">
        <f t="shared" si="8"/>
        <v>1487.50673</v>
      </c>
      <c r="Q124" s="63">
        <f t="shared" si="4"/>
        <v>1122.133557</v>
      </c>
      <c r="R124" s="63">
        <f t="shared" si="5"/>
        <v>1395.47592</v>
      </c>
      <c r="S124" s="64">
        <f t="shared" si="9"/>
        <v>16.66666667</v>
      </c>
      <c r="T124" s="64">
        <f t="shared" si="10"/>
        <v>33.33333333</v>
      </c>
      <c r="U124" s="64">
        <f t="shared" si="11"/>
        <v>0</v>
      </c>
      <c r="V124" s="64">
        <f t="shared" ref="V124:X124" si="132">IF(year($A124)=year($A123), V123+S124, S124)</f>
        <v>66.66666667</v>
      </c>
      <c r="W124" s="64">
        <f t="shared" si="132"/>
        <v>133.3333333</v>
      </c>
      <c r="X124" s="64">
        <f t="shared" si="132"/>
        <v>0</v>
      </c>
      <c r="Y124" s="65">
        <f>IFS(
  B124&lt;55,
    MAX(
      Y123 + IF(MONTH(A124)=12, P124+V124, 0) + H124 - L124
      + MAX(0,
          IF(AA123 &gt;= VLOOKUP(YEAR(A124), Lookup!$Q:$R, 2),
            Z123 + IF(MONTH(A124)=12, Q124+W124, 0) + I124
              + AA123 + IF(MONTH(A124)=12, R124+X124, 0)
              - VLOOKUP(YEAR(A124), Lookup!$Q:$R, 2) + J124,
            Z123 + IF(MONTH(A124)=12, Q124+W124, 0) + I124
          ) - VLOOKUP(YEAR(A124), Lookup!$K:$M, 3)
        ),
    0),
  B124=55,
    IF(Z123&gt;=AD124,
      MAX(Y123 + IF(MONTH(A124)=12, P124+V124, 0) + H124 - L124, 0),
      MAX(MAX(0, Y123-(AD124-Z123)) + IF(MONTH(A124)=12, P124+V124, 0) + H124 - L124, 0)
    ),
  B124&gt;55,
    IF(AB123&gt;=$AH$7,
      MAX(Y123 + IF(MONTH(A124)=12, P124+V124, 0) + H124 - L124 + K124 + Z123, 0),
      MAX(Y123 + IF(MONTH(A124)=12, P124+V124, 0) + H124 - L124, 0)
    )
)</f>
        <v>179271.3956</v>
      </c>
      <c r="Z124" s="65">
        <f>IFS(
  B124&lt;55,
    MIN(
      IF(AA123 &gt;= VLOOKUP(YEAR(A124), Lookup!$Q:$R, 2),
        Z123 + IF(MONTH(A124)=12, Q124+W124, 0) + I124
          + AA123 + IF(MONTH(A124)=12, R124+X124, 0) - VLOOKUP(YEAR(A124), Lookup!$Q:$R, 2) + J124,
        Z123 + IF(MONTH(A124)=12, Q124+W124, 0) + I124
      ),
      VLOOKUP(YEAR(A124), Lookup!$K:$M, 3)
    ),
  B124=55,
    IF(Z123 &gt;= AD124, Z123 - AD124, 0),
  B124&gt;55, 0
)</f>
        <v>84999.62076</v>
      </c>
      <c r="AA124" s="65">
        <f>IFS(
  B124&lt;65,
    IF(AA123+J124 &lt; VLOOKUP(YEAR(A124), Lookup!$Q:$R, 2),
      AA123 + IF(MONTH(A124)=12, R123+X123, 0) + J124,
      MIN(
        AA123 + IF(MONTH(A124)=12, R123+X123, 0) + J124 ,
        VLOOKUP(YEAR(A124), Lookup!$Q:$R, 2)
      )
    ),
  B124&gt;=65,
    IF(AA123+J124 &lt; VLOOKUP(questions!$C$5, Lookup!$Q:$R, 2),
      AA123 + IF(MONTH(A124)=12, R123+X123, 0) + J124 ,
      MIN(
        AA123 + IF(MONTH(A124)=12, R123+X123, 0) + J124,
        VLOOKUP(questions!$C$5, Lookup!$Q:$R, 2)
      )
    )
)</f>
        <v>105740.502</v>
      </c>
      <c r="AB124" s="65">
        <f t="shared" si="13"/>
        <v>0</v>
      </c>
      <c r="AC124" s="66">
        <f t="array" ref="AC124">IFS(B124&lt;66, XLOOKUP(year(A124),Lookup!$K$13:$K1000,Lookup!$L$13:$L1000,"missing",,1),B124&gt;65,XLOOKUP(questions!$C$5,Lookup!$K$13:$K1000,Lookup!$L$13:$L1000,"missing",,1))</f>
        <v>155506.588</v>
      </c>
      <c r="AD124" s="66">
        <f t="array" ref="AD124">IFS(B124&lt;66, XLOOKUP(year(A124),Lookup!$K$13:$K1000,Lookup!$M$13:$M1000,"missing",,1),B124&gt;65, XLOOKUP(questions!$C$5,Lookup!$K$13:$K1000,Lookup!$M$13:$M1000,"missing",,1))</f>
        <v>311013.176</v>
      </c>
      <c r="AE124" s="66">
        <f t="array" ref="AE124">IFS(B124&lt;66, XLOOKUP(year(A124),Lookup!$K$13:$K1000,Lookup!$N$13:$N1000,"missing",,1),B124&gt;65,XLOOKUP(questions!$C$5,Lookup!$K$13:$K1000,Lookup!$N$13:$N1000,"missing",,1))</f>
        <v>622026.352</v>
      </c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</row>
    <row r="125">
      <c r="A125" s="55">
        <f t="shared" si="7"/>
        <v>49826</v>
      </c>
      <c r="B125" s="56">
        <f>round(YEARFRAC(EOMONTH(questions!$C$3, 0),A125,1),2)</f>
        <v>37.5</v>
      </c>
      <c r="C125" s="57">
        <f>IF(B125&lt;questions!$C$6,if(MONTH(A125)=1,C124*(1+questions!$C$12),C124),0)</f>
        <v>13439.16379</v>
      </c>
      <c r="D125" s="58">
        <f>IF(MONTH(A125)=12,C125*questions!$C$11,0)</f>
        <v>0</v>
      </c>
      <c r="E125" s="59">
        <f t="shared" si="2"/>
        <v>8000</v>
      </c>
      <c r="F125" s="59">
        <f t="shared" si="3"/>
        <v>0</v>
      </c>
      <c r="G125" s="60">
        <f t="array" ref="G125">if(YEAR(A125)=2025,XLOOKUP(B125,Lookup!$A$3:$A$7,Lookup!$D$3:$D$7,,1)*SUM(E125:F125), XLOOKUP(B125,Lookup!$A$14:$A$18,Lookup!$D$14:$D$18,,1)*SUM(E125:F125))</f>
        <v>2960</v>
      </c>
      <c r="H125" s="60">
        <f t="array" ref="H125">if(YEAR(A125)=2025,XLOOKUP(B125,Lookup!$F$3:$F$10,Lookup!$G$3:$G$10,,1)*G125, XLOOKUP(B125,Lookup!$F$14:$F$21,Lookup!$G$14:$G$21,,1)*G125)</f>
        <v>1680.392</v>
      </c>
      <c r="I125" s="60">
        <f t="array" ref="I125">if(B125&lt;55, if(YEAR(A125)=2025,XLOOKUP(B125,Lookup!$F$3:$F$10,Lookup!$H$3:$H$10,,1)*G125, XLOOKUP(B125,Lookup!$F$14:$F$21,Lookup!$H$14:$H$21,,1)*G125),0)</f>
        <v>559.736</v>
      </c>
      <c r="J125" s="60">
        <f t="array" ref="J125">if(YEAR(A125)=2025,XLOOKUP(B125,Lookup!$F$3:$F$10,Lookup!$I$3:$I$10,,1)*G125, XLOOKUP(B125,Lookup!$F$14:$F$21,Lookup!$I$14:$I$21,,1)*G125)</f>
        <v>719.872</v>
      </c>
      <c r="K125" s="61">
        <f t="array" ref="K125">if(B125&gt;54, if(YEAR(A125)=2025,XLOOKUP(B125,Lookup!$F$3:$F$10,Lookup!$H$3:$H$10,,1)*G125, XLOOKUP(B125,Lookup!$F$14:$F$21,Lookup!$H$14:$H$21,,1)*G125),0)</f>
        <v>0</v>
      </c>
      <c r="L125" s="62">
        <f>IF(and(A125&lt;questions!$C$19,questions!$C$18="yes"),questions!$C$20,0)</f>
        <v>700</v>
      </c>
      <c r="M125" s="63">
        <f>(Y124+H125)*Lookup!A$26/12</f>
        <v>376.9828909</v>
      </c>
      <c r="N125" s="63">
        <f>if(B125&lt;55, (Z124+I125)*Lookup!B$26/12, (AB124+K125)*Lookup!B$26/12)</f>
        <v>285.1978559</v>
      </c>
      <c r="O125" s="63">
        <f>(AA124+J125)*Lookup!C$26/12</f>
        <v>354.8679134</v>
      </c>
      <c r="P125" s="63">
        <f t="shared" si="8"/>
        <v>1864.489621</v>
      </c>
      <c r="Q125" s="63">
        <f t="shared" si="4"/>
        <v>1407.331413</v>
      </c>
      <c r="R125" s="63">
        <f t="shared" si="5"/>
        <v>1750.343833</v>
      </c>
      <c r="S125" s="64">
        <f t="shared" si="9"/>
        <v>16.66666667</v>
      </c>
      <c r="T125" s="64">
        <f t="shared" si="10"/>
        <v>33.33333333</v>
      </c>
      <c r="U125" s="64">
        <f t="shared" si="11"/>
        <v>0</v>
      </c>
      <c r="V125" s="64">
        <f t="shared" ref="V125:X125" si="133">IF(year($A125)=year($A124), V124+S125, S125)</f>
        <v>83.33333333</v>
      </c>
      <c r="W125" s="64">
        <f t="shared" si="133"/>
        <v>166.6666667</v>
      </c>
      <c r="X125" s="64">
        <f t="shared" si="133"/>
        <v>0</v>
      </c>
      <c r="Y125" s="65">
        <f>IFS(
  B125&lt;55,
    MAX(
      Y124 + IF(MONTH(A125)=12, P125+V125, 0) + H125 - L125
      + MAX(0,
          IF(AA124 &gt;= VLOOKUP(YEAR(A125), Lookup!$Q:$R, 2),
            Z124 + IF(MONTH(A125)=12, Q125+W125, 0) + I125
              + AA124 + IF(MONTH(A125)=12, R125+X125, 0)
              - VLOOKUP(YEAR(A125), Lookup!$Q:$R, 2) + J125,
            Z124 + IF(MONTH(A125)=12, Q125+W125, 0) + I125
          ) - VLOOKUP(YEAR(A125), Lookup!$K:$M, 3)
        ),
    0),
  B125=55,
    IF(Z124&gt;=AD125,
      MAX(Y124 + IF(MONTH(A125)=12, P125+V125, 0) + H125 - L125, 0),
      MAX(MAX(0, Y124-(AD125-Z124)) + IF(MONTH(A125)=12, P125+V125, 0) + H125 - L125, 0)
    ),
  B125&gt;55,
    IF(AB124&gt;=$AH$7,
      MAX(Y124 + IF(MONTH(A125)=12, P125+V125, 0) + H125 - L125 + K125 + Z124, 0),
      MAX(Y124 + IF(MONTH(A125)=12, P125+V125, 0) + H125 - L125, 0)
    )
)</f>
        <v>180251.7876</v>
      </c>
      <c r="Z125" s="65">
        <f>IFS(
  B125&lt;55,
    MIN(
      IF(AA124 &gt;= VLOOKUP(YEAR(A125), Lookup!$Q:$R, 2),
        Z124 + IF(MONTH(A125)=12, Q125+W125, 0) + I125
          + AA124 + IF(MONTH(A125)=12, R125+X125, 0) - VLOOKUP(YEAR(A125), Lookup!$Q:$R, 2) + J125,
        Z124 + IF(MONTH(A125)=12, Q125+W125, 0) + I125
      ),
      VLOOKUP(YEAR(A125), Lookup!$K:$M, 3)
    ),
  B125=55,
    IF(Z124 &gt;= AD125, Z124 - AD125, 0),
  B125&gt;55, 0
)</f>
        <v>85559.35676</v>
      </c>
      <c r="AA125" s="65">
        <f>IFS(
  B125&lt;65,
    IF(AA124+J125 &lt; VLOOKUP(YEAR(A125), Lookup!$Q:$R, 2),
      AA124 + IF(MONTH(A125)=12, R124+X124, 0) + J125,
      MIN(
        AA124 + IF(MONTH(A125)=12, R124+X124, 0) + J125 ,
        VLOOKUP(YEAR(A125), Lookup!$Q:$R, 2)
      )
    ),
  B125&gt;=65,
    IF(AA124+J125 &lt; VLOOKUP(questions!$C$5, Lookup!$Q:$R, 2),
      AA124 + IF(MONTH(A125)=12, R124+X124, 0) + J125 ,
      MIN(
        AA124 + IF(MONTH(A125)=12, R124+X124, 0) + J125,
        VLOOKUP(questions!$C$5, Lookup!$Q:$R, 2)
      )
    )
)</f>
        <v>106460.374</v>
      </c>
      <c r="AB125" s="65">
        <f t="shared" si="13"/>
        <v>0</v>
      </c>
      <c r="AC125" s="66">
        <f t="array" ref="AC125">IFS(B125&lt;66, XLOOKUP(year(A125),Lookup!$K$13:$K1000,Lookup!$L$13:$L1000,"missing",,1),B125&gt;65,XLOOKUP(questions!$C$5,Lookup!$K$13:$K1000,Lookup!$L$13:$L1000,"missing",,1))</f>
        <v>155506.588</v>
      </c>
      <c r="AD125" s="66">
        <f t="array" ref="AD125">IFS(B125&lt;66, XLOOKUP(year(A125),Lookup!$K$13:$K1000,Lookup!$M$13:$M1000,"missing",,1),B125&gt;65, XLOOKUP(questions!$C$5,Lookup!$K$13:$K1000,Lookup!$M$13:$M1000,"missing",,1))</f>
        <v>311013.176</v>
      </c>
      <c r="AE125" s="66">
        <f t="array" ref="AE125">IFS(B125&lt;66, XLOOKUP(year(A125),Lookup!$K$13:$K1000,Lookup!$N$13:$N1000,"missing",,1),B125&gt;65,XLOOKUP(questions!$C$5,Lookup!$K$13:$K1000,Lookup!$N$13:$N1000,"missing",,1))</f>
        <v>622026.352</v>
      </c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</row>
    <row r="126">
      <c r="A126" s="55">
        <f t="shared" si="7"/>
        <v>49856</v>
      </c>
      <c r="B126" s="56">
        <f>round(YEARFRAC(EOMONTH(questions!$C$3, 0),A126,1),2)</f>
        <v>37.58</v>
      </c>
      <c r="C126" s="57">
        <f>IF(B126&lt;questions!$C$6,if(MONTH(A126)=1,C125*(1+questions!$C$12),C125),0)</f>
        <v>13439.16379</v>
      </c>
      <c r="D126" s="58">
        <f>IF(MONTH(A126)=12,C126*questions!$C$11,0)</f>
        <v>0</v>
      </c>
      <c r="E126" s="59">
        <f t="shared" si="2"/>
        <v>8000</v>
      </c>
      <c r="F126" s="59">
        <f t="shared" si="3"/>
        <v>0</v>
      </c>
      <c r="G126" s="60">
        <f t="array" ref="G126">if(YEAR(A126)=2025,XLOOKUP(B126,Lookup!$A$3:$A$7,Lookup!$D$3:$D$7,,1)*SUM(E126:F126), XLOOKUP(B126,Lookup!$A$14:$A$18,Lookup!$D$14:$D$18,,1)*SUM(E126:F126))</f>
        <v>2960</v>
      </c>
      <c r="H126" s="60">
        <f t="array" ref="H126">if(YEAR(A126)=2025,XLOOKUP(B126,Lookup!$F$3:$F$10,Lookup!$G$3:$G$10,,1)*G126, XLOOKUP(B126,Lookup!$F$14:$F$21,Lookup!$G$14:$G$21,,1)*G126)</f>
        <v>1680.392</v>
      </c>
      <c r="I126" s="60">
        <f t="array" ref="I126">if(B126&lt;55, if(YEAR(A126)=2025,XLOOKUP(B126,Lookup!$F$3:$F$10,Lookup!$H$3:$H$10,,1)*G126, XLOOKUP(B126,Lookup!$F$14:$F$21,Lookup!$H$14:$H$21,,1)*G126),0)</f>
        <v>559.736</v>
      </c>
      <c r="J126" s="60">
        <f t="array" ref="J126">if(YEAR(A126)=2025,XLOOKUP(B126,Lookup!$F$3:$F$10,Lookup!$I$3:$I$10,,1)*G126, XLOOKUP(B126,Lookup!$F$14:$F$21,Lookup!$I$14:$I$21,,1)*G126)</f>
        <v>719.872</v>
      </c>
      <c r="K126" s="61">
        <f t="array" ref="K126">if(B126&gt;54, if(YEAR(A126)=2025,XLOOKUP(B126,Lookup!$F$3:$F$10,Lookup!$H$3:$H$10,,1)*G126, XLOOKUP(B126,Lookup!$F$14:$F$21,Lookup!$H$14:$H$21,,1)*G126),0)</f>
        <v>0</v>
      </c>
      <c r="L126" s="62">
        <f>IF(and(A126&lt;questions!$C$19,questions!$C$18="yes"),questions!$C$20,0)</f>
        <v>700</v>
      </c>
      <c r="M126" s="63">
        <f>(Y125+H126)*Lookup!A$26/12</f>
        <v>379.0253743</v>
      </c>
      <c r="N126" s="63">
        <f>if(B126&lt;55, (Z125+I126)*Lookup!B$26/12, (AB125+K126)*Lookup!B$26/12)</f>
        <v>287.0636425</v>
      </c>
      <c r="O126" s="63">
        <f>(AA125+J126)*Lookup!C$26/12</f>
        <v>357.2674867</v>
      </c>
      <c r="P126" s="63">
        <f t="shared" si="8"/>
        <v>2243.514996</v>
      </c>
      <c r="Q126" s="63">
        <f t="shared" si="4"/>
        <v>1694.395055</v>
      </c>
      <c r="R126" s="63">
        <f t="shared" si="5"/>
        <v>2107.61132</v>
      </c>
      <c r="S126" s="64">
        <f t="shared" si="9"/>
        <v>16.66666667</v>
      </c>
      <c r="T126" s="64">
        <f t="shared" si="10"/>
        <v>33.33333333</v>
      </c>
      <c r="U126" s="64">
        <f t="shared" si="11"/>
        <v>0</v>
      </c>
      <c r="V126" s="64">
        <f t="shared" ref="V126:X126" si="134">IF(year($A126)=year($A125), V125+S126, S126)</f>
        <v>100</v>
      </c>
      <c r="W126" s="64">
        <f t="shared" si="134"/>
        <v>200</v>
      </c>
      <c r="X126" s="64">
        <f t="shared" si="134"/>
        <v>0</v>
      </c>
      <c r="Y126" s="65">
        <f>IFS(
  B126&lt;55,
    MAX(
      Y125 + IF(MONTH(A126)=12, P126+V126, 0) + H126 - L126
      + MAX(0,
          IF(AA125 &gt;= VLOOKUP(YEAR(A126), Lookup!$Q:$R, 2),
            Z125 + IF(MONTH(A126)=12, Q126+W126, 0) + I126
              + AA125 + IF(MONTH(A126)=12, R126+X126, 0)
              - VLOOKUP(YEAR(A126), Lookup!$Q:$R, 2) + J126,
            Z125 + IF(MONTH(A126)=12, Q126+W126, 0) + I126
          ) - VLOOKUP(YEAR(A126), Lookup!$K:$M, 3)
        ),
    0),
  B126=55,
    IF(Z125&gt;=AD126,
      MAX(Y125 + IF(MONTH(A126)=12, P126+V126, 0) + H126 - L126, 0),
      MAX(MAX(0, Y125-(AD126-Z125)) + IF(MONTH(A126)=12, P126+V126, 0) + H126 - L126, 0)
    ),
  B126&gt;55,
    IF(AB125&gt;=$AH$7,
      MAX(Y125 + IF(MONTH(A126)=12, P126+V126, 0) + H126 - L126 + K126 + Z125, 0),
      MAX(Y125 + IF(MONTH(A126)=12, P126+V126, 0) + H126 - L126, 0)
    )
)</f>
        <v>181232.1796</v>
      </c>
      <c r="Z126" s="65">
        <f>IFS(
  B126&lt;55,
    MIN(
      IF(AA125 &gt;= VLOOKUP(YEAR(A126), Lookup!$Q:$R, 2),
        Z125 + IF(MONTH(A126)=12, Q126+W126, 0) + I126
          + AA125 + IF(MONTH(A126)=12, R126+X126, 0) - VLOOKUP(YEAR(A126), Lookup!$Q:$R, 2) + J126,
        Z125 + IF(MONTH(A126)=12, Q126+W126, 0) + I126
      ),
      VLOOKUP(YEAR(A126), Lookup!$K:$M, 3)
    ),
  B126=55,
    IF(Z125 &gt;= AD126, Z125 - AD126, 0),
  B126&gt;55, 0
)</f>
        <v>86119.09276</v>
      </c>
      <c r="AA126" s="65">
        <f>IFS(
  B126&lt;65,
    IF(AA125+J126 &lt; VLOOKUP(YEAR(A126), Lookup!$Q:$R, 2),
      AA125 + IF(MONTH(A126)=12, R125+X125, 0) + J126,
      MIN(
        AA125 + IF(MONTH(A126)=12, R125+X125, 0) + J126 ,
        VLOOKUP(YEAR(A126), Lookup!$Q:$R, 2)
      )
    ),
  B126&gt;=65,
    IF(AA125+J126 &lt; VLOOKUP(questions!$C$5, Lookup!$Q:$R, 2),
      AA125 + IF(MONTH(A126)=12, R125+X125, 0) + J126 ,
      MIN(
        AA125 + IF(MONTH(A126)=12, R125+X125, 0) + J126,
        VLOOKUP(questions!$C$5, Lookup!$Q:$R, 2)
      )
    )
)</f>
        <v>107180.246</v>
      </c>
      <c r="AB126" s="65">
        <f t="shared" si="13"/>
        <v>0</v>
      </c>
      <c r="AC126" s="66">
        <f t="array" ref="AC126">IFS(B126&lt;66, XLOOKUP(year(A126),Lookup!$K$13:$K1000,Lookup!$L$13:$L1000,"missing",,1),B126&gt;65,XLOOKUP(questions!$C$5,Lookup!$K$13:$K1000,Lookup!$L$13:$L1000,"missing",,1))</f>
        <v>155506.588</v>
      </c>
      <c r="AD126" s="66">
        <f t="array" ref="AD126">IFS(B126&lt;66, XLOOKUP(year(A126),Lookup!$K$13:$K1000,Lookup!$M$13:$M1000,"missing",,1),B126&gt;65, XLOOKUP(questions!$C$5,Lookup!$K$13:$K1000,Lookup!$M$13:$M1000,"missing",,1))</f>
        <v>311013.176</v>
      </c>
      <c r="AE126" s="66">
        <f t="array" ref="AE126">IFS(B126&lt;66, XLOOKUP(year(A126),Lookup!$K$13:$K1000,Lookup!$N$13:$N1000,"missing",,1),B126&gt;65,XLOOKUP(questions!$C$5,Lookup!$K$13:$K1000,Lookup!$N$13:$N1000,"missing",,1))</f>
        <v>622026.352</v>
      </c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</row>
    <row r="127">
      <c r="A127" s="55">
        <f t="shared" si="7"/>
        <v>49887</v>
      </c>
      <c r="B127" s="56">
        <f>round(YEARFRAC(EOMONTH(questions!$C$3, 0),A127,1),2)</f>
        <v>37.67</v>
      </c>
      <c r="C127" s="57">
        <f>IF(B127&lt;questions!$C$6,if(MONTH(A127)=1,C126*(1+questions!$C$12),C126),0)</f>
        <v>13439.16379</v>
      </c>
      <c r="D127" s="58">
        <f>IF(MONTH(A127)=12,C127*questions!$C$11,0)</f>
        <v>0</v>
      </c>
      <c r="E127" s="59">
        <f t="shared" si="2"/>
        <v>8000</v>
      </c>
      <c r="F127" s="59">
        <f t="shared" si="3"/>
        <v>0</v>
      </c>
      <c r="G127" s="60">
        <f t="array" ref="G127">if(YEAR(A127)=2025,XLOOKUP(B127,Lookup!$A$3:$A$7,Lookup!$D$3:$D$7,,1)*SUM(E127:F127), XLOOKUP(B127,Lookup!$A$14:$A$18,Lookup!$D$14:$D$18,,1)*SUM(E127:F127))</f>
        <v>2960</v>
      </c>
      <c r="H127" s="60">
        <f t="array" ref="H127">if(YEAR(A127)=2025,XLOOKUP(B127,Lookup!$F$3:$F$10,Lookup!$G$3:$G$10,,1)*G127, XLOOKUP(B127,Lookup!$F$14:$F$21,Lookup!$G$14:$G$21,,1)*G127)</f>
        <v>1680.392</v>
      </c>
      <c r="I127" s="60">
        <f t="array" ref="I127">if(B127&lt;55, if(YEAR(A127)=2025,XLOOKUP(B127,Lookup!$F$3:$F$10,Lookup!$H$3:$H$10,,1)*G127, XLOOKUP(B127,Lookup!$F$14:$F$21,Lookup!$H$14:$H$21,,1)*G127),0)</f>
        <v>559.736</v>
      </c>
      <c r="J127" s="60">
        <f t="array" ref="J127">if(YEAR(A127)=2025,XLOOKUP(B127,Lookup!$F$3:$F$10,Lookup!$I$3:$I$10,,1)*G127, XLOOKUP(B127,Lookup!$F$14:$F$21,Lookup!$I$14:$I$21,,1)*G127)</f>
        <v>719.872</v>
      </c>
      <c r="K127" s="61">
        <f t="array" ref="K127">if(B127&gt;54, if(YEAR(A127)=2025,XLOOKUP(B127,Lookup!$F$3:$F$10,Lookup!$H$3:$H$10,,1)*G127, XLOOKUP(B127,Lookup!$F$14:$F$21,Lookup!$H$14:$H$21,,1)*G127),0)</f>
        <v>0</v>
      </c>
      <c r="L127" s="62">
        <f>IF(and(A127&lt;questions!$C$19,questions!$C$18="yes"),questions!$C$20,0)</f>
        <v>700</v>
      </c>
      <c r="M127" s="63">
        <f>(Y126+H127)*Lookup!A$26/12</f>
        <v>381.0678576</v>
      </c>
      <c r="N127" s="63">
        <f>if(B127&lt;55, (Z126+I127)*Lookup!B$26/12, (AB126+K127)*Lookup!B$26/12)</f>
        <v>288.9294292</v>
      </c>
      <c r="O127" s="63">
        <f>(AA126+J127)*Lookup!C$26/12</f>
        <v>359.66706</v>
      </c>
      <c r="P127" s="63">
        <f t="shared" si="8"/>
        <v>2624.582853</v>
      </c>
      <c r="Q127" s="63">
        <f t="shared" si="4"/>
        <v>1983.324484</v>
      </c>
      <c r="R127" s="63">
        <f t="shared" si="5"/>
        <v>2467.27838</v>
      </c>
      <c r="S127" s="64">
        <f t="shared" si="9"/>
        <v>16.66666667</v>
      </c>
      <c r="T127" s="64">
        <f t="shared" si="10"/>
        <v>33.33333333</v>
      </c>
      <c r="U127" s="64">
        <f t="shared" si="11"/>
        <v>0</v>
      </c>
      <c r="V127" s="64">
        <f t="shared" ref="V127:X127" si="135">IF(year($A127)=year($A126), V126+S127, S127)</f>
        <v>116.6666667</v>
      </c>
      <c r="W127" s="64">
        <f t="shared" si="135"/>
        <v>233.3333333</v>
      </c>
      <c r="X127" s="64">
        <f t="shared" si="135"/>
        <v>0</v>
      </c>
      <c r="Y127" s="65">
        <f>IFS(
  B127&lt;55,
    MAX(
      Y126 + IF(MONTH(A127)=12, P127+V127, 0) + H127 - L127
      + MAX(0,
          IF(AA126 &gt;= VLOOKUP(YEAR(A127), Lookup!$Q:$R, 2),
            Z126 + IF(MONTH(A127)=12, Q127+W127, 0) + I127
              + AA126 + IF(MONTH(A127)=12, R127+X127, 0)
              - VLOOKUP(YEAR(A127), Lookup!$Q:$R, 2) + J127,
            Z126 + IF(MONTH(A127)=12, Q127+W127, 0) + I127
          ) - VLOOKUP(YEAR(A127), Lookup!$K:$M, 3)
        ),
    0),
  B127=55,
    IF(Z126&gt;=AD127,
      MAX(Y126 + IF(MONTH(A127)=12, P127+V127, 0) + H127 - L127, 0),
      MAX(MAX(0, Y126-(AD127-Z126)) + IF(MONTH(A127)=12, P127+V127, 0) + H127 - L127, 0)
    ),
  B127&gt;55,
    IF(AB126&gt;=$AH$7,
      MAX(Y126 + IF(MONTH(A127)=12, P127+V127, 0) + H127 - L127 + K127 + Z126, 0),
      MAX(Y126 + IF(MONTH(A127)=12, P127+V127, 0) + H127 - L127, 0)
    )
)</f>
        <v>182212.5716</v>
      </c>
      <c r="Z127" s="65">
        <f>IFS(
  B127&lt;55,
    MIN(
      IF(AA126 &gt;= VLOOKUP(YEAR(A127), Lookup!$Q:$R, 2),
        Z126 + IF(MONTH(A127)=12, Q127+W127, 0) + I127
          + AA126 + IF(MONTH(A127)=12, R127+X127, 0) - VLOOKUP(YEAR(A127), Lookup!$Q:$R, 2) + J127,
        Z126 + IF(MONTH(A127)=12, Q127+W127, 0) + I127
      ),
      VLOOKUP(YEAR(A127), Lookup!$K:$M, 3)
    ),
  B127=55,
    IF(Z126 &gt;= AD127, Z126 - AD127, 0),
  B127&gt;55, 0
)</f>
        <v>86678.82876</v>
      </c>
      <c r="AA127" s="65">
        <f>IFS(
  B127&lt;65,
    IF(AA126+J127 &lt; VLOOKUP(YEAR(A127), Lookup!$Q:$R, 2),
      AA126 + IF(MONTH(A127)=12, R126+X126, 0) + J127,
      MIN(
        AA126 + IF(MONTH(A127)=12, R126+X126, 0) + J127 ,
        VLOOKUP(YEAR(A127), Lookup!$Q:$R, 2)
      )
    ),
  B127&gt;=65,
    IF(AA126+J127 &lt; VLOOKUP(questions!$C$5, Lookup!$Q:$R, 2),
      AA126 + IF(MONTH(A127)=12, R126+X126, 0) + J127 ,
      MIN(
        AA126 + IF(MONTH(A127)=12, R126+X126, 0) + J127,
        VLOOKUP(questions!$C$5, Lookup!$Q:$R, 2)
      )
    )
)</f>
        <v>107900.118</v>
      </c>
      <c r="AB127" s="65">
        <f t="shared" si="13"/>
        <v>0</v>
      </c>
      <c r="AC127" s="66">
        <f t="array" ref="AC127">IFS(B127&lt;66, XLOOKUP(year(A127),Lookup!$K$13:$K1000,Lookup!$L$13:$L1000,"missing",,1),B127&gt;65,XLOOKUP(questions!$C$5,Lookup!$K$13:$K1000,Lookup!$L$13:$L1000,"missing",,1))</f>
        <v>155506.588</v>
      </c>
      <c r="AD127" s="66">
        <f t="array" ref="AD127">IFS(B127&lt;66, XLOOKUP(year(A127),Lookup!$K$13:$K1000,Lookup!$M$13:$M1000,"missing",,1),B127&gt;65, XLOOKUP(questions!$C$5,Lookup!$K$13:$K1000,Lookup!$M$13:$M1000,"missing",,1))</f>
        <v>311013.176</v>
      </c>
      <c r="AE127" s="66">
        <f t="array" ref="AE127">IFS(B127&lt;66, XLOOKUP(year(A127),Lookup!$K$13:$K1000,Lookup!$N$13:$N1000,"missing",,1),B127&gt;65,XLOOKUP(questions!$C$5,Lookup!$K$13:$K1000,Lookup!$N$13:$N1000,"missing",,1))</f>
        <v>622026.352</v>
      </c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</row>
    <row r="128">
      <c r="A128" s="55">
        <f t="shared" si="7"/>
        <v>49918</v>
      </c>
      <c r="B128" s="56">
        <f>round(YEARFRAC(EOMONTH(questions!$C$3, 0),A128,1),2)</f>
        <v>37.75</v>
      </c>
      <c r="C128" s="57">
        <f>IF(B128&lt;questions!$C$6,if(MONTH(A128)=1,C127*(1+questions!$C$12),C127),0)</f>
        <v>13439.16379</v>
      </c>
      <c r="D128" s="58">
        <f>IF(MONTH(A128)=12,C128*questions!$C$11,0)</f>
        <v>0</v>
      </c>
      <c r="E128" s="59">
        <f t="shared" si="2"/>
        <v>8000</v>
      </c>
      <c r="F128" s="59">
        <f t="shared" si="3"/>
        <v>0</v>
      </c>
      <c r="G128" s="60">
        <f t="array" ref="G128">if(YEAR(A128)=2025,XLOOKUP(B128,Lookup!$A$3:$A$7,Lookup!$D$3:$D$7,,1)*SUM(E128:F128), XLOOKUP(B128,Lookup!$A$14:$A$18,Lookup!$D$14:$D$18,,1)*SUM(E128:F128))</f>
        <v>2960</v>
      </c>
      <c r="H128" s="60">
        <f t="array" ref="H128">if(YEAR(A128)=2025,XLOOKUP(B128,Lookup!$F$3:$F$10,Lookup!$G$3:$G$10,,1)*G128, XLOOKUP(B128,Lookup!$F$14:$F$21,Lookup!$G$14:$G$21,,1)*G128)</f>
        <v>1680.392</v>
      </c>
      <c r="I128" s="60">
        <f t="array" ref="I128">if(B128&lt;55, if(YEAR(A128)=2025,XLOOKUP(B128,Lookup!$F$3:$F$10,Lookup!$H$3:$H$10,,1)*G128, XLOOKUP(B128,Lookup!$F$14:$F$21,Lookup!$H$14:$H$21,,1)*G128),0)</f>
        <v>559.736</v>
      </c>
      <c r="J128" s="60">
        <f t="array" ref="J128">if(YEAR(A128)=2025,XLOOKUP(B128,Lookup!$F$3:$F$10,Lookup!$I$3:$I$10,,1)*G128, XLOOKUP(B128,Lookup!$F$14:$F$21,Lookup!$I$14:$I$21,,1)*G128)</f>
        <v>719.872</v>
      </c>
      <c r="K128" s="61">
        <f t="array" ref="K128">if(B128&gt;54, if(YEAR(A128)=2025,XLOOKUP(B128,Lookup!$F$3:$F$10,Lookup!$H$3:$H$10,,1)*G128, XLOOKUP(B128,Lookup!$F$14:$F$21,Lookup!$H$14:$H$21,,1)*G128),0)</f>
        <v>0</v>
      </c>
      <c r="L128" s="62">
        <f>IF(and(A128&lt;questions!$C$19,questions!$C$18="yes"),questions!$C$20,0)</f>
        <v>700</v>
      </c>
      <c r="M128" s="63">
        <f>(Y127+H128)*Lookup!A$26/12</f>
        <v>383.1103409</v>
      </c>
      <c r="N128" s="63">
        <f>if(B128&lt;55, (Z127+I128)*Lookup!B$26/12, (AB127+K128)*Lookup!B$26/12)</f>
        <v>290.7952159</v>
      </c>
      <c r="O128" s="63">
        <f>(AA127+J128)*Lookup!C$26/12</f>
        <v>362.0666334</v>
      </c>
      <c r="P128" s="63">
        <f t="shared" si="8"/>
        <v>3007.693194</v>
      </c>
      <c r="Q128" s="63">
        <f t="shared" si="4"/>
        <v>2274.1197</v>
      </c>
      <c r="R128" s="63">
        <f t="shared" si="5"/>
        <v>2829.345013</v>
      </c>
      <c r="S128" s="64">
        <f t="shared" si="9"/>
        <v>16.66666667</v>
      </c>
      <c r="T128" s="64">
        <f t="shared" si="10"/>
        <v>33.33333333</v>
      </c>
      <c r="U128" s="64">
        <f t="shared" si="11"/>
        <v>0</v>
      </c>
      <c r="V128" s="64">
        <f t="shared" ref="V128:X128" si="136">IF(year($A128)=year($A127), V127+S128, S128)</f>
        <v>133.3333333</v>
      </c>
      <c r="W128" s="64">
        <f t="shared" si="136"/>
        <v>266.6666667</v>
      </c>
      <c r="X128" s="64">
        <f t="shared" si="136"/>
        <v>0</v>
      </c>
      <c r="Y128" s="65">
        <f>IFS(
  B128&lt;55,
    MAX(
      Y127 + IF(MONTH(A128)=12, P128+V128, 0) + H128 - L128
      + MAX(0,
          IF(AA127 &gt;= VLOOKUP(YEAR(A128), Lookup!$Q:$R, 2),
            Z127 + IF(MONTH(A128)=12, Q128+W128, 0) + I128
              + AA127 + IF(MONTH(A128)=12, R128+X128, 0)
              - VLOOKUP(YEAR(A128), Lookup!$Q:$R, 2) + J128,
            Z127 + IF(MONTH(A128)=12, Q128+W128, 0) + I128
          ) - VLOOKUP(YEAR(A128), Lookup!$K:$M, 3)
        ),
    0),
  B128=55,
    IF(Z127&gt;=AD128,
      MAX(Y127 + IF(MONTH(A128)=12, P128+V128, 0) + H128 - L128, 0),
      MAX(MAX(0, Y127-(AD128-Z127)) + IF(MONTH(A128)=12, P128+V128, 0) + H128 - L128, 0)
    ),
  B128&gt;55,
    IF(AB127&gt;=$AH$7,
      MAX(Y127 + IF(MONTH(A128)=12, P128+V128, 0) + H128 - L128 + K128 + Z127, 0),
      MAX(Y127 + IF(MONTH(A128)=12, P128+V128, 0) + H128 - L128, 0)
    )
)</f>
        <v>183192.9636</v>
      </c>
      <c r="Z128" s="65">
        <f>IFS(
  B128&lt;55,
    MIN(
      IF(AA127 &gt;= VLOOKUP(YEAR(A128), Lookup!$Q:$R, 2),
        Z127 + IF(MONTH(A128)=12, Q128+W128, 0) + I128
          + AA127 + IF(MONTH(A128)=12, R128+X128, 0) - VLOOKUP(YEAR(A128), Lookup!$Q:$R, 2) + J128,
        Z127 + IF(MONTH(A128)=12, Q128+W128, 0) + I128
      ),
      VLOOKUP(YEAR(A128), Lookup!$K:$M, 3)
    ),
  B128=55,
    IF(Z127 &gt;= AD128, Z127 - AD128, 0),
  B128&gt;55, 0
)</f>
        <v>87238.56476</v>
      </c>
      <c r="AA128" s="65">
        <f>IFS(
  B128&lt;65,
    IF(AA127+J128 &lt; VLOOKUP(YEAR(A128), Lookup!$Q:$R, 2),
      AA127 + IF(MONTH(A128)=12, R127+X127, 0) + J128,
      MIN(
        AA127 + IF(MONTH(A128)=12, R127+X127, 0) + J128 ,
        VLOOKUP(YEAR(A128), Lookup!$Q:$R, 2)
      )
    ),
  B128&gt;=65,
    IF(AA127+J128 &lt; VLOOKUP(questions!$C$5, Lookup!$Q:$R, 2),
      AA127 + IF(MONTH(A128)=12, R127+X127, 0) + J128 ,
      MIN(
        AA127 + IF(MONTH(A128)=12, R127+X127, 0) + J128,
        VLOOKUP(questions!$C$5, Lookup!$Q:$R, 2)
      )
    )
)</f>
        <v>108619.99</v>
      </c>
      <c r="AB128" s="65">
        <f t="shared" si="13"/>
        <v>0</v>
      </c>
      <c r="AC128" s="66">
        <f t="array" ref="AC128">IFS(B128&lt;66, XLOOKUP(year(A128),Lookup!$K$13:$K1000,Lookup!$L$13:$L1000,"missing",,1),B128&gt;65,XLOOKUP(questions!$C$5,Lookup!$K$13:$K1000,Lookup!$L$13:$L1000,"missing",,1))</f>
        <v>155506.588</v>
      </c>
      <c r="AD128" s="66">
        <f t="array" ref="AD128">IFS(B128&lt;66, XLOOKUP(year(A128),Lookup!$K$13:$K1000,Lookup!$M$13:$M1000,"missing",,1),B128&gt;65, XLOOKUP(questions!$C$5,Lookup!$K$13:$K1000,Lookup!$M$13:$M1000,"missing",,1))</f>
        <v>311013.176</v>
      </c>
      <c r="AE128" s="66">
        <f t="array" ref="AE128">IFS(B128&lt;66, XLOOKUP(year(A128),Lookup!$K$13:$K1000,Lookup!$N$13:$N1000,"missing",,1),B128&gt;65,XLOOKUP(questions!$C$5,Lookup!$K$13:$K1000,Lookup!$N$13:$N1000,"missing",,1))</f>
        <v>622026.352</v>
      </c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</row>
    <row r="129">
      <c r="A129" s="55">
        <f t="shared" si="7"/>
        <v>49948</v>
      </c>
      <c r="B129" s="56">
        <f>round(YEARFRAC(EOMONTH(questions!$C$3, 0),A129,1),2)</f>
        <v>37.83</v>
      </c>
      <c r="C129" s="57">
        <f>IF(B129&lt;questions!$C$6,if(MONTH(A129)=1,C128*(1+questions!$C$12),C128),0)</f>
        <v>13439.16379</v>
      </c>
      <c r="D129" s="58">
        <f>IF(MONTH(A129)=12,C129*questions!$C$11,0)</f>
        <v>0</v>
      </c>
      <c r="E129" s="59">
        <f t="shared" si="2"/>
        <v>8000</v>
      </c>
      <c r="F129" s="59">
        <f t="shared" si="3"/>
        <v>0</v>
      </c>
      <c r="G129" s="60">
        <f t="array" ref="G129">if(YEAR(A129)=2025,XLOOKUP(B129,Lookup!$A$3:$A$7,Lookup!$D$3:$D$7,,1)*SUM(E129:F129), XLOOKUP(B129,Lookup!$A$14:$A$18,Lookup!$D$14:$D$18,,1)*SUM(E129:F129))</f>
        <v>2960</v>
      </c>
      <c r="H129" s="60">
        <f t="array" ref="H129">if(YEAR(A129)=2025,XLOOKUP(B129,Lookup!$F$3:$F$10,Lookup!$G$3:$G$10,,1)*G129, XLOOKUP(B129,Lookup!$F$14:$F$21,Lookup!$G$14:$G$21,,1)*G129)</f>
        <v>1680.392</v>
      </c>
      <c r="I129" s="60">
        <f t="array" ref="I129">if(B129&lt;55, if(YEAR(A129)=2025,XLOOKUP(B129,Lookup!$F$3:$F$10,Lookup!$H$3:$H$10,,1)*G129, XLOOKUP(B129,Lookup!$F$14:$F$21,Lookup!$H$14:$H$21,,1)*G129),0)</f>
        <v>559.736</v>
      </c>
      <c r="J129" s="60">
        <f t="array" ref="J129">if(YEAR(A129)=2025,XLOOKUP(B129,Lookup!$F$3:$F$10,Lookup!$I$3:$I$10,,1)*G129, XLOOKUP(B129,Lookup!$F$14:$F$21,Lookup!$I$14:$I$21,,1)*G129)</f>
        <v>719.872</v>
      </c>
      <c r="K129" s="61">
        <f t="array" ref="K129">if(B129&gt;54, if(YEAR(A129)=2025,XLOOKUP(B129,Lookup!$F$3:$F$10,Lookup!$H$3:$H$10,,1)*G129, XLOOKUP(B129,Lookup!$F$14:$F$21,Lookup!$H$14:$H$21,,1)*G129),0)</f>
        <v>0</v>
      </c>
      <c r="L129" s="62">
        <f>IF(and(A129&lt;questions!$C$19,questions!$C$18="yes"),questions!$C$20,0)</f>
        <v>700</v>
      </c>
      <c r="M129" s="63">
        <f>(Y128+H129)*Lookup!A$26/12</f>
        <v>385.1528243</v>
      </c>
      <c r="N129" s="63">
        <f>if(B129&lt;55, (Z128+I129)*Lookup!B$26/12, (AB128+K129)*Lookup!B$26/12)</f>
        <v>292.6610025</v>
      </c>
      <c r="O129" s="63">
        <f>(AA128+J129)*Lookup!C$26/12</f>
        <v>364.4662067</v>
      </c>
      <c r="P129" s="63">
        <f t="shared" si="8"/>
        <v>3392.846018</v>
      </c>
      <c r="Q129" s="63">
        <f t="shared" si="4"/>
        <v>2566.780703</v>
      </c>
      <c r="R129" s="63">
        <f t="shared" si="5"/>
        <v>3193.81122</v>
      </c>
      <c r="S129" s="64">
        <f t="shared" si="9"/>
        <v>16.66666667</v>
      </c>
      <c r="T129" s="64">
        <f t="shared" si="10"/>
        <v>33.33333333</v>
      </c>
      <c r="U129" s="64">
        <f t="shared" si="11"/>
        <v>0</v>
      </c>
      <c r="V129" s="64">
        <f t="shared" ref="V129:X129" si="137">IF(year($A129)=year($A128), V128+S129, S129)</f>
        <v>150</v>
      </c>
      <c r="W129" s="64">
        <f t="shared" si="137"/>
        <v>300</v>
      </c>
      <c r="X129" s="64">
        <f t="shared" si="137"/>
        <v>0</v>
      </c>
      <c r="Y129" s="65">
        <f>IFS(
  B129&lt;55,
    MAX(
      Y128 + IF(MONTH(A129)=12, P129+V129, 0) + H129 - L129
      + MAX(0,
          IF(AA128 &gt;= VLOOKUP(YEAR(A129), Lookup!$Q:$R, 2),
            Z128 + IF(MONTH(A129)=12, Q129+W129, 0) + I129
              + AA128 + IF(MONTH(A129)=12, R129+X129, 0)
              - VLOOKUP(YEAR(A129), Lookup!$Q:$R, 2) + J129,
            Z128 + IF(MONTH(A129)=12, Q129+W129, 0) + I129
          ) - VLOOKUP(YEAR(A129), Lookup!$K:$M, 3)
        ),
    0),
  B129=55,
    IF(Z128&gt;=AD129,
      MAX(Y128 + IF(MONTH(A129)=12, P129+V129, 0) + H129 - L129, 0),
      MAX(MAX(0, Y128-(AD129-Z128)) + IF(MONTH(A129)=12, P129+V129, 0) + H129 - L129, 0)
    ),
  B129&gt;55,
    IF(AB128&gt;=$AH$7,
      MAX(Y128 + IF(MONTH(A129)=12, P129+V129, 0) + H129 - L129 + K129 + Z128, 0),
      MAX(Y128 + IF(MONTH(A129)=12, P129+V129, 0) + H129 - L129, 0)
    )
)</f>
        <v>184173.3556</v>
      </c>
      <c r="Z129" s="65">
        <f>IFS(
  B129&lt;55,
    MIN(
      IF(AA128 &gt;= VLOOKUP(YEAR(A129), Lookup!$Q:$R, 2),
        Z128 + IF(MONTH(A129)=12, Q129+W129, 0) + I129
          + AA128 + IF(MONTH(A129)=12, R129+X129, 0) - VLOOKUP(YEAR(A129), Lookup!$Q:$R, 2) + J129,
        Z128 + IF(MONTH(A129)=12, Q129+W129, 0) + I129
      ),
      VLOOKUP(YEAR(A129), Lookup!$K:$M, 3)
    ),
  B129=55,
    IF(Z128 &gt;= AD129, Z128 - AD129, 0),
  B129&gt;55, 0
)</f>
        <v>87798.30076</v>
      </c>
      <c r="AA129" s="65">
        <f>IFS(
  B129&lt;65,
    IF(AA128+J129 &lt; VLOOKUP(YEAR(A129), Lookup!$Q:$R, 2),
      AA128 + IF(MONTH(A129)=12, R128+X128, 0) + J129,
      MIN(
        AA128 + IF(MONTH(A129)=12, R128+X128, 0) + J129 ,
        VLOOKUP(YEAR(A129), Lookup!$Q:$R, 2)
      )
    ),
  B129&gt;=65,
    IF(AA128+J129 &lt; VLOOKUP(questions!$C$5, Lookup!$Q:$R, 2),
      AA128 + IF(MONTH(A129)=12, R128+X128, 0) + J129 ,
      MIN(
        AA128 + IF(MONTH(A129)=12, R128+X128, 0) + J129,
        VLOOKUP(questions!$C$5, Lookup!$Q:$R, 2)
      )
    )
)</f>
        <v>109339.862</v>
      </c>
      <c r="AB129" s="65">
        <f t="shared" si="13"/>
        <v>0</v>
      </c>
      <c r="AC129" s="66">
        <f t="array" ref="AC129">IFS(B129&lt;66, XLOOKUP(year(A129),Lookup!$K$13:$K1000,Lookup!$L$13:$L1000,"missing",,1),B129&gt;65,XLOOKUP(questions!$C$5,Lookup!$K$13:$K1000,Lookup!$L$13:$L1000,"missing",,1))</f>
        <v>155506.588</v>
      </c>
      <c r="AD129" s="66">
        <f t="array" ref="AD129">IFS(B129&lt;66, XLOOKUP(year(A129),Lookup!$K$13:$K1000,Lookup!$M$13:$M1000,"missing",,1),B129&gt;65, XLOOKUP(questions!$C$5,Lookup!$K$13:$K1000,Lookup!$M$13:$M1000,"missing",,1))</f>
        <v>311013.176</v>
      </c>
      <c r="AE129" s="66">
        <f t="array" ref="AE129">IFS(B129&lt;66, XLOOKUP(year(A129),Lookup!$K$13:$K1000,Lookup!$N$13:$N1000,"missing",,1),B129&gt;65,XLOOKUP(questions!$C$5,Lookup!$K$13:$K1000,Lookup!$N$13:$N1000,"missing",,1))</f>
        <v>622026.352</v>
      </c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</row>
    <row r="130">
      <c r="A130" s="55">
        <f t="shared" si="7"/>
        <v>49979</v>
      </c>
      <c r="B130" s="56">
        <f>round(YEARFRAC(EOMONTH(questions!$C$3, 0),A130,1),2)</f>
        <v>37.92</v>
      </c>
      <c r="C130" s="57">
        <f>IF(B130&lt;questions!$C$6,if(MONTH(A130)=1,C129*(1+questions!$C$12),C129),0)</f>
        <v>13439.16379</v>
      </c>
      <c r="D130" s="58">
        <f>IF(MONTH(A130)=12,C130*questions!$C$11,0)</f>
        <v>0</v>
      </c>
      <c r="E130" s="59">
        <f t="shared" si="2"/>
        <v>8000</v>
      </c>
      <c r="F130" s="59">
        <f t="shared" si="3"/>
        <v>0</v>
      </c>
      <c r="G130" s="60">
        <f t="array" ref="G130">if(YEAR(A130)=2025,XLOOKUP(B130,Lookup!$A$3:$A$7,Lookup!$D$3:$D$7,,1)*SUM(E130:F130), XLOOKUP(B130,Lookup!$A$14:$A$18,Lookup!$D$14:$D$18,,1)*SUM(E130:F130))</f>
        <v>2960</v>
      </c>
      <c r="H130" s="60">
        <f t="array" ref="H130">if(YEAR(A130)=2025,XLOOKUP(B130,Lookup!$F$3:$F$10,Lookup!$G$3:$G$10,,1)*G130, XLOOKUP(B130,Lookup!$F$14:$F$21,Lookup!$G$14:$G$21,,1)*G130)</f>
        <v>1680.392</v>
      </c>
      <c r="I130" s="60">
        <f t="array" ref="I130">if(B130&lt;55, if(YEAR(A130)=2025,XLOOKUP(B130,Lookup!$F$3:$F$10,Lookup!$H$3:$H$10,,1)*G130, XLOOKUP(B130,Lookup!$F$14:$F$21,Lookup!$H$14:$H$21,,1)*G130),0)</f>
        <v>559.736</v>
      </c>
      <c r="J130" s="60">
        <f t="array" ref="J130">if(YEAR(A130)=2025,XLOOKUP(B130,Lookup!$F$3:$F$10,Lookup!$I$3:$I$10,,1)*G130, XLOOKUP(B130,Lookup!$F$14:$F$21,Lookup!$I$14:$I$21,,1)*G130)</f>
        <v>719.872</v>
      </c>
      <c r="K130" s="61">
        <f t="array" ref="K130">if(B130&gt;54, if(YEAR(A130)=2025,XLOOKUP(B130,Lookup!$F$3:$F$10,Lookup!$H$3:$H$10,,1)*G130, XLOOKUP(B130,Lookup!$F$14:$F$21,Lookup!$H$14:$H$21,,1)*G130),0)</f>
        <v>0</v>
      </c>
      <c r="L130" s="62">
        <f>IF(and(A130&lt;questions!$C$19,questions!$C$18="yes"),questions!$C$20,0)</f>
        <v>700</v>
      </c>
      <c r="M130" s="63">
        <f>(Y129+H130)*Lookup!A$26/12</f>
        <v>387.1953076</v>
      </c>
      <c r="N130" s="63">
        <f>if(B130&lt;55, (Z129+I130)*Lookup!B$26/12, (AB129+K130)*Lookup!B$26/12)</f>
        <v>294.5267892</v>
      </c>
      <c r="O130" s="63">
        <f>(AA129+J130)*Lookup!C$26/12</f>
        <v>366.86578</v>
      </c>
      <c r="P130" s="63">
        <f t="shared" si="8"/>
        <v>3780.041326</v>
      </c>
      <c r="Q130" s="63">
        <f t="shared" si="4"/>
        <v>2861.307492</v>
      </c>
      <c r="R130" s="63">
        <f t="shared" si="5"/>
        <v>3560.677</v>
      </c>
      <c r="S130" s="64">
        <f t="shared" si="9"/>
        <v>16.66666667</v>
      </c>
      <c r="T130" s="64">
        <f t="shared" si="10"/>
        <v>33.33333333</v>
      </c>
      <c r="U130" s="64">
        <f t="shared" si="11"/>
        <v>0</v>
      </c>
      <c r="V130" s="64">
        <f t="shared" ref="V130:X130" si="138">IF(year($A130)=year($A129), V129+S130, S130)</f>
        <v>166.6666667</v>
      </c>
      <c r="W130" s="64">
        <f t="shared" si="138"/>
        <v>333.3333333</v>
      </c>
      <c r="X130" s="64">
        <f t="shared" si="138"/>
        <v>0</v>
      </c>
      <c r="Y130" s="65">
        <f>IFS(
  B130&lt;55,
    MAX(
      Y129 + IF(MONTH(A130)=12, P130+V130, 0) + H130 - L130
      + MAX(0,
          IF(AA129 &gt;= VLOOKUP(YEAR(A130), Lookup!$Q:$R, 2),
            Z129 + IF(MONTH(A130)=12, Q130+W130, 0) + I130
              + AA129 + IF(MONTH(A130)=12, R130+X130, 0)
              - VLOOKUP(YEAR(A130), Lookup!$Q:$R, 2) + J130,
            Z129 + IF(MONTH(A130)=12, Q130+W130, 0) + I130
          ) - VLOOKUP(YEAR(A130), Lookup!$K:$M, 3)
        ),
    0),
  B130=55,
    IF(Z129&gt;=AD130,
      MAX(Y129 + IF(MONTH(A130)=12, P130+V130, 0) + H130 - L130, 0),
      MAX(MAX(0, Y129-(AD130-Z129)) + IF(MONTH(A130)=12, P130+V130, 0) + H130 - L130, 0)
    ),
  B130&gt;55,
    IF(AB129&gt;=$AH$7,
      MAX(Y129 + IF(MONTH(A130)=12, P130+V130, 0) + H130 - L130 + K130 + Z129, 0),
      MAX(Y129 + IF(MONTH(A130)=12, P130+V130, 0) + H130 - L130, 0)
    )
)</f>
        <v>185153.7476</v>
      </c>
      <c r="Z130" s="65">
        <f>IFS(
  B130&lt;55,
    MIN(
      IF(AA129 &gt;= VLOOKUP(YEAR(A130), Lookup!$Q:$R, 2),
        Z129 + IF(MONTH(A130)=12, Q130+W130, 0) + I130
          + AA129 + IF(MONTH(A130)=12, R130+X130, 0) - VLOOKUP(YEAR(A130), Lookup!$Q:$R, 2) + J130,
        Z129 + IF(MONTH(A130)=12, Q130+W130, 0) + I130
      ),
      VLOOKUP(YEAR(A130), Lookup!$K:$M, 3)
    ),
  B130=55,
    IF(Z129 &gt;= AD130, Z129 - AD130, 0),
  B130&gt;55, 0
)</f>
        <v>88358.03676</v>
      </c>
      <c r="AA130" s="65">
        <f>IFS(
  B130&lt;65,
    IF(AA129+J130 &lt; VLOOKUP(YEAR(A130), Lookup!$Q:$R, 2),
      AA129 + IF(MONTH(A130)=12, R129+X129, 0) + J130,
      MIN(
        AA129 + IF(MONTH(A130)=12, R129+X129, 0) + J130 ,
        VLOOKUP(YEAR(A130), Lookup!$Q:$R, 2)
      )
    ),
  B130&gt;=65,
    IF(AA129+J130 &lt; VLOOKUP(questions!$C$5, Lookup!$Q:$R, 2),
      AA129 + IF(MONTH(A130)=12, R129+X129, 0) + J130 ,
      MIN(
        AA129 + IF(MONTH(A130)=12, R129+X129, 0) + J130,
        VLOOKUP(questions!$C$5, Lookup!$Q:$R, 2)
      )
    )
)</f>
        <v>110059.734</v>
      </c>
      <c r="AB130" s="65">
        <f t="shared" si="13"/>
        <v>0</v>
      </c>
      <c r="AC130" s="66">
        <f t="array" ref="AC130">IFS(B130&lt;66, XLOOKUP(year(A130),Lookup!$K$13:$K1000,Lookup!$L$13:$L1000,"missing",,1),B130&gt;65,XLOOKUP(questions!$C$5,Lookup!$K$13:$K1000,Lookup!$L$13:$L1000,"missing",,1))</f>
        <v>155506.588</v>
      </c>
      <c r="AD130" s="66">
        <f t="array" ref="AD130">IFS(B130&lt;66, XLOOKUP(year(A130),Lookup!$K$13:$K1000,Lookup!$M$13:$M1000,"missing",,1),B130&gt;65, XLOOKUP(questions!$C$5,Lookup!$K$13:$K1000,Lookup!$M$13:$M1000,"missing",,1))</f>
        <v>311013.176</v>
      </c>
      <c r="AE130" s="66">
        <f t="array" ref="AE130">IFS(B130&lt;66, XLOOKUP(year(A130),Lookup!$K$13:$K1000,Lookup!$N$13:$N1000,"missing",,1),B130&gt;65,XLOOKUP(questions!$C$5,Lookup!$K$13:$K1000,Lookup!$N$13:$N1000,"missing",,1))</f>
        <v>622026.352</v>
      </c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</row>
    <row r="131">
      <c r="A131" s="55">
        <f t="shared" si="7"/>
        <v>50009</v>
      </c>
      <c r="B131" s="56">
        <f>round(YEARFRAC(EOMONTH(questions!$C$3, 0),A131,1),2)</f>
        <v>38</v>
      </c>
      <c r="C131" s="57">
        <f>IF(B131&lt;questions!$C$6,if(MONTH(A131)=1,C130*(1+questions!$C$12),C130),0)</f>
        <v>13439.16379</v>
      </c>
      <c r="D131" s="58">
        <f>IF(MONTH(A131)=12,C131*questions!$C$11,0)</f>
        <v>0</v>
      </c>
      <c r="E131" s="59">
        <f t="shared" si="2"/>
        <v>8000</v>
      </c>
      <c r="F131" s="59">
        <f t="shared" si="3"/>
        <v>0</v>
      </c>
      <c r="G131" s="60">
        <f t="array" ref="G131">if(YEAR(A131)=2025,XLOOKUP(B131,Lookup!$A$3:$A$7,Lookup!$D$3:$D$7,,1)*SUM(E131:F131), XLOOKUP(B131,Lookup!$A$14:$A$18,Lookup!$D$14:$D$18,,1)*SUM(E131:F131))</f>
        <v>2960</v>
      </c>
      <c r="H131" s="60">
        <f t="array" ref="H131">if(YEAR(A131)=2025,XLOOKUP(B131,Lookup!$F$3:$F$10,Lookup!$G$3:$G$10,,1)*G131, XLOOKUP(B131,Lookup!$F$14:$F$21,Lookup!$G$14:$G$21,,1)*G131)</f>
        <v>1680.392</v>
      </c>
      <c r="I131" s="60">
        <f t="array" ref="I131">if(B131&lt;55, if(YEAR(A131)=2025,XLOOKUP(B131,Lookup!$F$3:$F$10,Lookup!$H$3:$H$10,,1)*G131, XLOOKUP(B131,Lookup!$F$14:$F$21,Lookup!$H$14:$H$21,,1)*G131),0)</f>
        <v>559.736</v>
      </c>
      <c r="J131" s="60">
        <f t="array" ref="J131">if(YEAR(A131)=2025,XLOOKUP(B131,Lookup!$F$3:$F$10,Lookup!$I$3:$I$10,,1)*G131, XLOOKUP(B131,Lookup!$F$14:$F$21,Lookup!$I$14:$I$21,,1)*G131)</f>
        <v>719.872</v>
      </c>
      <c r="K131" s="61">
        <f t="array" ref="K131">if(B131&gt;54, if(YEAR(A131)=2025,XLOOKUP(B131,Lookup!$F$3:$F$10,Lookup!$H$3:$H$10,,1)*G131, XLOOKUP(B131,Lookup!$F$14:$F$21,Lookup!$H$14:$H$21,,1)*G131),0)</f>
        <v>0</v>
      </c>
      <c r="L131" s="62">
        <f>IF(and(A131&lt;questions!$C$19,questions!$C$18="yes"),questions!$C$20,0)</f>
        <v>700</v>
      </c>
      <c r="M131" s="63">
        <f>(Y130+H131)*Lookup!A$26/12</f>
        <v>389.2377909</v>
      </c>
      <c r="N131" s="63">
        <f>if(B131&lt;55, (Z130+I131)*Lookup!B$26/12, (AB130+K131)*Lookup!B$26/12)</f>
        <v>296.3925759</v>
      </c>
      <c r="O131" s="63">
        <f>(AA130+J131)*Lookup!C$26/12</f>
        <v>369.2653534</v>
      </c>
      <c r="P131" s="63">
        <f t="shared" si="8"/>
        <v>4169.279117</v>
      </c>
      <c r="Q131" s="63">
        <f t="shared" si="4"/>
        <v>3157.700068</v>
      </c>
      <c r="R131" s="63">
        <f t="shared" si="5"/>
        <v>3929.942354</v>
      </c>
      <c r="S131" s="64">
        <f t="shared" si="9"/>
        <v>16.66666667</v>
      </c>
      <c r="T131" s="64">
        <f t="shared" si="10"/>
        <v>33.33333333</v>
      </c>
      <c r="U131" s="64">
        <f t="shared" si="11"/>
        <v>0</v>
      </c>
      <c r="V131" s="64">
        <f t="shared" ref="V131:X131" si="139">IF(year($A131)=year($A130), V130+S131, S131)</f>
        <v>183.3333333</v>
      </c>
      <c r="W131" s="64">
        <f t="shared" si="139"/>
        <v>366.6666667</v>
      </c>
      <c r="X131" s="64">
        <f t="shared" si="139"/>
        <v>0</v>
      </c>
      <c r="Y131" s="65">
        <f>IFS(
  B131&lt;55,
    MAX(
      Y130 + IF(MONTH(A131)=12, P131+V131, 0) + H131 - L131
      + MAX(0,
          IF(AA130 &gt;= VLOOKUP(YEAR(A131), Lookup!$Q:$R, 2),
            Z130 + IF(MONTH(A131)=12, Q131+W131, 0) + I131
              + AA130 + IF(MONTH(A131)=12, R131+X131, 0)
              - VLOOKUP(YEAR(A131), Lookup!$Q:$R, 2) + J131,
            Z130 + IF(MONTH(A131)=12, Q131+W131, 0) + I131
          ) - VLOOKUP(YEAR(A131), Lookup!$K:$M, 3)
        ),
    0),
  B131=55,
    IF(Z130&gt;=AD131,
      MAX(Y130 + IF(MONTH(A131)=12, P131+V131, 0) + H131 - L131, 0),
      MAX(MAX(0, Y130-(AD131-Z130)) + IF(MONTH(A131)=12, P131+V131, 0) + H131 - L131, 0)
    ),
  B131&gt;55,
    IF(AB130&gt;=$AH$7,
      MAX(Y130 + IF(MONTH(A131)=12, P131+V131, 0) + H131 - L131 + K131 + Z130, 0),
      MAX(Y130 + IF(MONTH(A131)=12, P131+V131, 0) + H131 - L131, 0)
    )
)</f>
        <v>186134.1396</v>
      </c>
      <c r="Z131" s="65">
        <f>IFS(
  B131&lt;55,
    MIN(
      IF(AA130 &gt;= VLOOKUP(YEAR(A131), Lookup!$Q:$R, 2),
        Z130 + IF(MONTH(A131)=12, Q131+W131, 0) + I131
          + AA130 + IF(MONTH(A131)=12, R131+X131, 0) - VLOOKUP(YEAR(A131), Lookup!$Q:$R, 2) + J131,
        Z130 + IF(MONTH(A131)=12, Q131+W131, 0) + I131
      ),
      VLOOKUP(YEAR(A131), Lookup!$K:$M, 3)
    ),
  B131=55,
    IF(Z130 &gt;= AD131, Z130 - AD131, 0),
  B131&gt;55, 0
)</f>
        <v>88917.77276</v>
      </c>
      <c r="AA131" s="65">
        <f>IFS(
  B131&lt;65,
    IF(AA130+J131 &lt; VLOOKUP(YEAR(A131), Lookup!$Q:$R, 2),
      AA130 + IF(MONTH(A131)=12, R130+X130, 0) + J131,
      MIN(
        AA130 + IF(MONTH(A131)=12, R130+X130, 0) + J131 ,
        VLOOKUP(YEAR(A131), Lookup!$Q:$R, 2)
      )
    ),
  B131&gt;=65,
    IF(AA130+J131 &lt; VLOOKUP(questions!$C$5, Lookup!$Q:$R, 2),
      AA130 + IF(MONTH(A131)=12, R130+X130, 0) + J131 ,
      MIN(
        AA130 + IF(MONTH(A131)=12, R130+X130, 0) + J131,
        VLOOKUP(questions!$C$5, Lookup!$Q:$R, 2)
      )
    )
)</f>
        <v>110779.606</v>
      </c>
      <c r="AB131" s="65">
        <f t="shared" si="13"/>
        <v>0</v>
      </c>
      <c r="AC131" s="66">
        <f t="array" ref="AC131">IFS(B131&lt;66, XLOOKUP(year(A131),Lookup!$K$13:$K1000,Lookup!$L$13:$L1000,"missing",,1),B131&gt;65,XLOOKUP(questions!$C$5,Lookup!$K$13:$K1000,Lookup!$L$13:$L1000,"missing",,1))</f>
        <v>155506.588</v>
      </c>
      <c r="AD131" s="66">
        <f t="array" ref="AD131">IFS(B131&lt;66, XLOOKUP(year(A131),Lookup!$K$13:$K1000,Lookup!$M$13:$M1000,"missing",,1),B131&gt;65, XLOOKUP(questions!$C$5,Lookup!$K$13:$K1000,Lookup!$M$13:$M1000,"missing",,1))</f>
        <v>311013.176</v>
      </c>
      <c r="AE131" s="66">
        <f t="array" ref="AE131">IFS(B131&lt;66, XLOOKUP(year(A131),Lookup!$K$13:$K1000,Lookup!$N$13:$N1000,"missing",,1),B131&gt;65,XLOOKUP(questions!$C$5,Lookup!$K$13:$K1000,Lookup!$N$13:$N1000,"missing",,1))</f>
        <v>622026.352</v>
      </c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</row>
    <row r="132">
      <c r="A132" s="55">
        <f t="shared" si="7"/>
        <v>50040</v>
      </c>
      <c r="B132" s="56">
        <f>round(YEARFRAC(EOMONTH(questions!$C$3, 0),A132,1),2)</f>
        <v>38.08</v>
      </c>
      <c r="C132" s="57">
        <f>IF(B132&lt;questions!$C$6,if(MONTH(A132)=1,C131*(1+questions!$C$12),C131),0)</f>
        <v>13439.16379</v>
      </c>
      <c r="D132" s="57">
        <f>IF(MONTH(A132)=12,C132*questions!$C$11,0)</f>
        <v>13439.16379</v>
      </c>
      <c r="E132" s="59">
        <f t="shared" si="2"/>
        <v>8000</v>
      </c>
      <c r="F132" s="59">
        <f t="shared" si="3"/>
        <v>6000</v>
      </c>
      <c r="G132" s="60">
        <f t="array" ref="G132">if(YEAR(A132)=2025,XLOOKUP(B132,Lookup!$A$3:$A$7,Lookup!$D$3:$D$7,,1)*SUM(E132:F132), XLOOKUP(B132,Lookup!$A$14:$A$18,Lookup!$D$14:$D$18,,1)*SUM(E132:F132))</f>
        <v>5180</v>
      </c>
      <c r="H132" s="60">
        <f t="array" ref="H132">if(YEAR(A132)=2025,XLOOKUP(B132,Lookup!$F$3:$F$10,Lookup!$G$3:$G$10,,1)*G132, XLOOKUP(B132,Lookup!$F$14:$F$21,Lookup!$G$14:$G$21,,1)*G132)</f>
        <v>2940.686</v>
      </c>
      <c r="I132" s="60">
        <f t="array" ref="I132">if(B132&lt;55, if(YEAR(A132)=2025,XLOOKUP(B132,Lookup!$F$3:$F$10,Lookup!$H$3:$H$10,,1)*G132, XLOOKUP(B132,Lookup!$F$14:$F$21,Lookup!$H$14:$H$21,,1)*G132),0)</f>
        <v>979.538</v>
      </c>
      <c r="J132" s="60">
        <f t="array" ref="J132">if(YEAR(A132)=2025,XLOOKUP(B132,Lookup!$F$3:$F$10,Lookup!$I$3:$I$10,,1)*G132, XLOOKUP(B132,Lookup!$F$14:$F$21,Lookup!$I$14:$I$21,,1)*G132)</f>
        <v>1259.776</v>
      </c>
      <c r="K132" s="61">
        <f t="array" ref="K132">if(B132&gt;54, if(YEAR(A132)=2025,XLOOKUP(B132,Lookup!$F$3:$F$10,Lookup!$H$3:$H$10,,1)*G132, XLOOKUP(B132,Lookup!$F$14:$F$21,Lookup!$H$14:$H$21,,1)*G132),0)</f>
        <v>0</v>
      </c>
      <c r="L132" s="62">
        <f>IF(and(A132&lt;questions!$C$19,questions!$C$18="yes"),questions!$C$20,0)</f>
        <v>700</v>
      </c>
      <c r="M132" s="63">
        <f>(Y131+H132)*Lookup!A$26/12</f>
        <v>393.9058868</v>
      </c>
      <c r="N132" s="63">
        <f>if(B132&lt;55, (Z131+I132)*Lookup!B$26/12, (AB131+K132)*Lookup!B$26/12)</f>
        <v>299.6577025</v>
      </c>
      <c r="O132" s="63">
        <f>(AA131+J132)*Lookup!C$26/12</f>
        <v>373.4646067</v>
      </c>
      <c r="P132" s="63">
        <f t="shared" si="8"/>
        <v>4563.185004</v>
      </c>
      <c r="Q132" s="63">
        <f t="shared" si="4"/>
        <v>3457.35777</v>
      </c>
      <c r="R132" s="63">
        <f t="shared" si="5"/>
        <v>4303.40696</v>
      </c>
      <c r="S132" s="64">
        <f t="shared" si="9"/>
        <v>16.66666667</v>
      </c>
      <c r="T132" s="64">
        <f t="shared" si="10"/>
        <v>33.33333333</v>
      </c>
      <c r="U132" s="64">
        <f t="shared" si="11"/>
        <v>0</v>
      </c>
      <c r="V132" s="64">
        <f t="shared" ref="V132:X132" si="140">IF(year($A132)=year($A131), V131+S132, S132)</f>
        <v>200</v>
      </c>
      <c r="W132" s="64">
        <f t="shared" si="140"/>
        <v>400</v>
      </c>
      <c r="X132" s="64">
        <f t="shared" si="140"/>
        <v>0</v>
      </c>
      <c r="Y132" s="65">
        <f>IFS(
  B132&lt;55,
    MAX(
      Y131 + IF(MONTH(A132)=12, P132+V132, 0) + H132 - L132
      + MAX(0,
          IF(AA131 &gt;= VLOOKUP(YEAR(A132), Lookup!$Q:$R, 2),
            Z131 + IF(MONTH(A132)=12, Q132+W132, 0) + I132
              + AA131 + IF(MONTH(A132)=12, R132+X132, 0)
              - VLOOKUP(YEAR(A132), Lookup!$Q:$R, 2) + J132,
            Z131 + IF(MONTH(A132)=12, Q132+W132, 0) + I132
          ) - VLOOKUP(YEAR(A132), Lookup!$K:$M, 3)
        ),
    0),
  B132=55,
    IF(Z131&gt;=AD132,
      MAX(Y131 + IF(MONTH(A132)=12, P132+V132, 0) + H132 - L132, 0),
      MAX(MAX(0, Y131-(AD132-Z131)) + IF(MONTH(A132)=12, P132+V132, 0) + H132 - L132, 0)
    ),
  B132&gt;55,
    IF(AB131&gt;=$AH$7,
      MAX(Y131 + IF(MONTH(A132)=12, P132+V132, 0) + H132 - L132 + K132 + Z131, 0),
      MAX(Y131 + IF(MONTH(A132)=12, P132+V132, 0) + H132 - L132, 0)
    )
)</f>
        <v>193138.0106</v>
      </c>
      <c r="Z132" s="65">
        <f>IFS(
  B132&lt;55,
    MIN(
      IF(AA131 &gt;= VLOOKUP(YEAR(A132), Lookup!$Q:$R, 2),
        Z131 + IF(MONTH(A132)=12, Q132+W132, 0) + I132
          + AA131 + IF(MONTH(A132)=12, R132+X132, 0) - VLOOKUP(YEAR(A132), Lookup!$Q:$R, 2) + J132,
        Z131 + IF(MONTH(A132)=12, Q132+W132, 0) + I132
      ),
      VLOOKUP(YEAR(A132), Lookup!$K:$M, 3)
    ),
  B132=55,
    IF(Z131 &gt;= AD132, Z131 - AD132, 0),
  B132&gt;55, 0
)</f>
        <v>93754.66853</v>
      </c>
      <c r="AA132" s="65">
        <f>IFS(
  B132&lt;65,
    IF(AA131+J132 &lt; VLOOKUP(YEAR(A132), Lookup!$Q:$R, 2),
      AA131 + IF(MONTH(A132)=12, R131+X131, 0) + J132,
      MIN(
        AA131 + IF(MONTH(A132)=12, R131+X131, 0) + J132 ,
        VLOOKUP(YEAR(A132), Lookup!$Q:$R, 2)
      )
    ),
  B132&gt;=65,
    IF(AA131+J132 &lt; VLOOKUP(questions!$C$5, Lookup!$Q:$R, 2),
      AA131 + IF(MONTH(A132)=12, R131+X131, 0) + J132 ,
      MIN(
        AA131 + IF(MONTH(A132)=12, R131+X131, 0) + J132,
        VLOOKUP(questions!$C$5, Lookup!$Q:$R, 2)
      )
    )
)</f>
        <v>111437.3021</v>
      </c>
      <c r="AB132" s="65">
        <f t="shared" si="13"/>
        <v>0</v>
      </c>
      <c r="AC132" s="66">
        <f t="array" ref="AC132">IFS(B132&lt;66, XLOOKUP(year(A132),Lookup!$K$13:$K1000,Lookup!$L$13:$L1000,"missing",,1),B132&gt;65,XLOOKUP(questions!$C$5,Lookup!$K$13:$K1000,Lookup!$L$13:$L1000,"missing",,1))</f>
        <v>155506.588</v>
      </c>
      <c r="AD132" s="66">
        <f t="array" ref="AD132">IFS(B132&lt;66, XLOOKUP(year(A132),Lookup!$K$13:$K1000,Lookup!$M$13:$M1000,"missing",,1),B132&gt;65, XLOOKUP(questions!$C$5,Lookup!$K$13:$K1000,Lookup!$M$13:$M1000,"missing",,1))</f>
        <v>311013.176</v>
      </c>
      <c r="AE132" s="66">
        <f t="array" ref="AE132">IFS(B132&lt;66, XLOOKUP(year(A132),Lookup!$K$13:$K1000,Lookup!$N$13:$N1000,"missing",,1),B132&gt;65,XLOOKUP(questions!$C$5,Lookup!$K$13:$K1000,Lookup!$N$13:$N1000,"missing",,1))</f>
        <v>622026.352</v>
      </c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</row>
    <row r="133">
      <c r="A133" s="55">
        <f t="shared" si="7"/>
        <v>50071</v>
      </c>
      <c r="B133" s="56">
        <f>round(YEARFRAC(EOMONTH(questions!$C$3, 0),A133,1),2)</f>
        <v>38.17</v>
      </c>
      <c r="C133" s="57">
        <f>IF(B133&lt;questions!$C$6,if(MONTH(A133)=1,C132*(1+questions!$C$12),C132),0)</f>
        <v>13842.33871</v>
      </c>
      <c r="D133" s="58">
        <f>IF(MONTH(A133)=12,C133*questions!$C$11,0)</f>
        <v>0</v>
      </c>
      <c r="E133" s="59">
        <f t="shared" si="2"/>
        <v>8000</v>
      </c>
      <c r="F133" s="59">
        <f t="shared" si="3"/>
        <v>0</v>
      </c>
      <c r="G133" s="60">
        <f t="array" ref="G133">if(YEAR(A133)=2025,XLOOKUP(B133,Lookup!$A$3:$A$7,Lookup!$D$3:$D$7,,1)*SUM(E133:F133), XLOOKUP(B133,Lookup!$A$14:$A$18,Lookup!$D$14:$D$18,,1)*SUM(E133:F133))</f>
        <v>2960</v>
      </c>
      <c r="H133" s="60">
        <f t="array" ref="H133">if(YEAR(A133)=2025,XLOOKUP(B133,Lookup!$F$3:$F$10,Lookup!$G$3:$G$10,,1)*G133, XLOOKUP(B133,Lookup!$F$14:$F$21,Lookup!$G$14:$G$21,,1)*G133)</f>
        <v>1680.392</v>
      </c>
      <c r="I133" s="60">
        <f t="array" ref="I133">if(B133&lt;55, if(YEAR(A133)=2025,XLOOKUP(B133,Lookup!$F$3:$F$10,Lookup!$H$3:$H$10,,1)*G133, XLOOKUP(B133,Lookup!$F$14:$F$21,Lookup!$H$14:$H$21,,1)*G133),0)</f>
        <v>559.736</v>
      </c>
      <c r="J133" s="60">
        <f t="array" ref="J133">if(YEAR(A133)=2025,XLOOKUP(B133,Lookup!$F$3:$F$10,Lookup!$I$3:$I$10,,1)*G133, XLOOKUP(B133,Lookup!$F$14:$F$21,Lookup!$I$14:$I$21,,1)*G133)</f>
        <v>719.872</v>
      </c>
      <c r="K133" s="61">
        <f t="array" ref="K133">if(B133&gt;54, if(YEAR(A133)=2025,XLOOKUP(B133,Lookup!$F$3:$F$10,Lookup!$H$3:$H$10,,1)*G133, XLOOKUP(B133,Lookup!$F$14:$F$21,Lookup!$H$14:$H$21,,1)*G133),0)</f>
        <v>0</v>
      </c>
      <c r="L133" s="62">
        <f>IF(and(A133&lt;questions!$C$19,questions!$C$18="yes"),questions!$C$20,0)</f>
        <v>700</v>
      </c>
      <c r="M133" s="63">
        <f>(Y132+H133)*Lookup!A$26/12</f>
        <v>405.8716722</v>
      </c>
      <c r="N133" s="63">
        <f>if(B133&lt;55, (Z132+I133)*Lookup!B$26/12, (AB132+K133)*Lookup!B$26/12)</f>
        <v>314.3813484</v>
      </c>
      <c r="O133" s="63">
        <f>(AA132+J133)*Lookup!C$26/12</f>
        <v>373.857247</v>
      </c>
      <c r="P133" s="63">
        <f t="shared" si="8"/>
        <v>405.8716722</v>
      </c>
      <c r="Q133" s="63">
        <f t="shared" si="4"/>
        <v>314.3813484</v>
      </c>
      <c r="R133" s="63">
        <f t="shared" si="5"/>
        <v>373.857247</v>
      </c>
      <c r="S133" s="64">
        <f t="shared" si="9"/>
        <v>16.66666667</v>
      </c>
      <c r="T133" s="64">
        <f t="shared" si="10"/>
        <v>33.33333333</v>
      </c>
      <c r="U133" s="64">
        <f t="shared" si="11"/>
        <v>0</v>
      </c>
      <c r="V133" s="64">
        <f t="shared" ref="V133:X133" si="141">IF(year($A133)=year($A132), V132+S133, S133)</f>
        <v>16.66666667</v>
      </c>
      <c r="W133" s="64">
        <f t="shared" si="141"/>
        <v>33.33333333</v>
      </c>
      <c r="X133" s="64">
        <f t="shared" si="141"/>
        <v>0</v>
      </c>
      <c r="Y133" s="65">
        <f>IFS(
  B133&lt;55,
    MAX(
      Y132 + IF(MONTH(A133)=12, P133+V133, 0) + H133 - L133
      + MAX(0,
          IF(AA132 &gt;= VLOOKUP(YEAR(A133), Lookup!$Q:$R, 2),
            Z132 + IF(MONTH(A133)=12, Q133+W133, 0) + I133
              + AA132 + IF(MONTH(A133)=12, R133+X133, 0)
              - VLOOKUP(YEAR(A133), Lookup!$Q:$R, 2) + J133,
            Z132 + IF(MONTH(A133)=12, Q133+W133, 0) + I133
          ) - VLOOKUP(YEAR(A133), Lookup!$K:$M, 3)
        ),
    0),
  B133=55,
    IF(Z132&gt;=AD133,
      MAX(Y132 + IF(MONTH(A133)=12, P133+V133, 0) + H133 - L133, 0),
      MAX(MAX(0, Y132-(AD133-Z132)) + IF(MONTH(A133)=12, P133+V133, 0) + H133 - L133, 0)
    ),
  B133&gt;55,
    IF(AB132&gt;=$AH$7,
      MAX(Y132 + IF(MONTH(A133)=12, P133+V133, 0) + H133 - L133 + K133 + Z132, 0),
      MAX(Y132 + IF(MONTH(A133)=12, P133+V133, 0) + H133 - L133, 0)
    )
)</f>
        <v>194118.4026</v>
      </c>
      <c r="Z133" s="65">
        <f>IFS(
  B133&lt;55,
    MIN(
      IF(AA132 &gt;= VLOOKUP(YEAR(A133), Lookup!$Q:$R, 2),
        Z132 + IF(MONTH(A133)=12, Q133+W133, 0) + I133
          + AA132 + IF(MONTH(A133)=12, R133+X133, 0) - VLOOKUP(YEAR(A133), Lookup!$Q:$R, 2) + J133,
        Z132 + IF(MONTH(A133)=12, Q133+W133, 0) + I133
      ),
      VLOOKUP(YEAR(A133), Lookup!$K:$M, 3)
    ),
  B133=55,
    IF(Z132 &gt;= AD133, Z132 - AD133, 0),
  B133&gt;55, 0
)</f>
        <v>94314.40453</v>
      </c>
      <c r="AA133" s="65">
        <f>IFS(
  B133&lt;65,
    IF(AA132+J133 &lt; VLOOKUP(YEAR(A133), Lookup!$Q:$R, 2),
      AA132 + IF(MONTH(A133)=12, R132+X132, 0) + J133,
      MIN(
        AA132 + IF(MONTH(A133)=12, R132+X132, 0) + J133 ,
        VLOOKUP(YEAR(A133), Lookup!$Q:$R, 2)
      )
    ),
  B133&gt;=65,
    IF(AA132+J133 &lt; VLOOKUP(questions!$C$5, Lookup!$Q:$R, 2),
      AA132 + IF(MONTH(A133)=12, R132+X132, 0) + J133 ,
      MIN(
        AA132 + IF(MONTH(A133)=12, R132+X132, 0) + J133,
        VLOOKUP(questions!$C$5, Lookup!$Q:$R, 2)
      )
    )
)</f>
        <v>112157.1741</v>
      </c>
      <c r="AB133" s="65">
        <f t="shared" si="13"/>
        <v>0</v>
      </c>
      <c r="AC133" s="66">
        <f t="array" ref="AC133">IFS(B133&lt;66, XLOOKUP(year(A133),Lookup!$K$13:$K1000,Lookup!$L$13:$L1000,"missing",,1),B133&gt;65,XLOOKUP(questions!$C$5,Lookup!$K$13:$K1000,Lookup!$L$13:$L1000,"missing",,1))</f>
        <v>160949.3186</v>
      </c>
      <c r="AD133" s="66">
        <f t="array" ref="AD133">IFS(B133&lt;66, XLOOKUP(year(A133),Lookup!$K$13:$K1000,Lookup!$M$13:$M1000,"missing",,1),B133&gt;65, XLOOKUP(questions!$C$5,Lookup!$K$13:$K1000,Lookup!$M$13:$M1000,"missing",,1))</f>
        <v>321898.6372</v>
      </c>
      <c r="AE133" s="66">
        <f t="array" ref="AE133">IFS(B133&lt;66, XLOOKUP(year(A133),Lookup!$K$13:$K1000,Lookup!$N$13:$N1000,"missing",,1),B133&gt;65,XLOOKUP(questions!$C$5,Lookup!$K$13:$K1000,Lookup!$N$13:$N1000,"missing",,1))</f>
        <v>643797.2743</v>
      </c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</row>
    <row r="134">
      <c r="A134" s="55">
        <f t="shared" si="7"/>
        <v>50099</v>
      </c>
      <c r="B134" s="56">
        <f>round(YEARFRAC(EOMONTH(questions!$C$3, 0),A134,1),2)</f>
        <v>38.25</v>
      </c>
      <c r="C134" s="57">
        <f>IF(B134&lt;questions!$C$6,if(MONTH(A134)=1,C133*(1+questions!$C$12),C133),0)</f>
        <v>13842.33871</v>
      </c>
      <c r="D134" s="58">
        <f>IF(MONTH(A134)=12,C134*questions!$C$11,0)</f>
        <v>0</v>
      </c>
      <c r="E134" s="59">
        <f t="shared" si="2"/>
        <v>8000</v>
      </c>
      <c r="F134" s="59">
        <f t="shared" si="3"/>
        <v>0</v>
      </c>
      <c r="G134" s="60">
        <f t="array" ref="G134">if(YEAR(A134)=2025,XLOOKUP(B134,Lookup!$A$3:$A$7,Lookup!$D$3:$D$7,,1)*SUM(E134:F134), XLOOKUP(B134,Lookup!$A$14:$A$18,Lookup!$D$14:$D$18,,1)*SUM(E134:F134))</f>
        <v>2960</v>
      </c>
      <c r="H134" s="60">
        <f t="array" ref="H134">if(YEAR(A134)=2025,XLOOKUP(B134,Lookup!$F$3:$F$10,Lookup!$G$3:$G$10,,1)*G134, XLOOKUP(B134,Lookup!$F$14:$F$21,Lookup!$G$14:$G$21,,1)*G134)</f>
        <v>1680.392</v>
      </c>
      <c r="I134" s="60">
        <f t="array" ref="I134">if(B134&lt;55, if(YEAR(A134)=2025,XLOOKUP(B134,Lookup!$F$3:$F$10,Lookup!$H$3:$H$10,,1)*G134, XLOOKUP(B134,Lookup!$F$14:$F$21,Lookup!$H$14:$H$21,,1)*G134),0)</f>
        <v>559.736</v>
      </c>
      <c r="J134" s="60">
        <f t="array" ref="J134">if(YEAR(A134)=2025,XLOOKUP(B134,Lookup!$F$3:$F$10,Lookup!$I$3:$I$10,,1)*G134, XLOOKUP(B134,Lookup!$F$14:$F$21,Lookup!$I$14:$I$21,,1)*G134)</f>
        <v>719.872</v>
      </c>
      <c r="K134" s="61">
        <f t="array" ref="K134">if(B134&gt;54, if(YEAR(A134)=2025,XLOOKUP(B134,Lookup!$F$3:$F$10,Lookup!$H$3:$H$10,,1)*G134, XLOOKUP(B134,Lookup!$F$14:$F$21,Lookup!$H$14:$H$21,,1)*G134),0)</f>
        <v>0</v>
      </c>
      <c r="L134" s="62">
        <f>IF(and(A134&lt;questions!$C$19,questions!$C$18="yes"),questions!$C$20,0)</f>
        <v>700</v>
      </c>
      <c r="M134" s="63">
        <f>(Y133+H134)*Lookup!A$26/12</f>
        <v>407.9141555</v>
      </c>
      <c r="N134" s="63">
        <f>if(B134&lt;55, (Z133+I134)*Lookup!B$26/12, (AB133+K134)*Lookup!B$26/12)</f>
        <v>316.2471351</v>
      </c>
      <c r="O134" s="63">
        <f>(AA133+J134)*Lookup!C$26/12</f>
        <v>376.2568203</v>
      </c>
      <c r="P134" s="63">
        <f t="shared" si="8"/>
        <v>813.7858277</v>
      </c>
      <c r="Q134" s="63">
        <f t="shared" si="4"/>
        <v>630.6284835</v>
      </c>
      <c r="R134" s="63">
        <f t="shared" si="5"/>
        <v>750.1140673</v>
      </c>
      <c r="S134" s="64">
        <f t="shared" si="9"/>
        <v>16.66666667</v>
      </c>
      <c r="T134" s="64">
        <f t="shared" si="10"/>
        <v>33.33333333</v>
      </c>
      <c r="U134" s="64">
        <f t="shared" si="11"/>
        <v>0</v>
      </c>
      <c r="V134" s="64">
        <f t="shared" ref="V134:X134" si="142">IF(year($A134)=year($A133), V133+S134, S134)</f>
        <v>33.33333333</v>
      </c>
      <c r="W134" s="64">
        <f t="shared" si="142"/>
        <v>66.66666667</v>
      </c>
      <c r="X134" s="64">
        <f t="shared" si="142"/>
        <v>0</v>
      </c>
      <c r="Y134" s="65">
        <f>IFS(
  B134&lt;55,
    MAX(
      Y133 + IF(MONTH(A134)=12, P134+V134, 0) + H134 - L134
      + MAX(0,
          IF(AA133 &gt;= VLOOKUP(YEAR(A134), Lookup!$Q:$R, 2),
            Z133 + IF(MONTH(A134)=12, Q134+W134, 0) + I134
              + AA133 + IF(MONTH(A134)=12, R134+X134, 0)
              - VLOOKUP(YEAR(A134), Lookup!$Q:$R, 2) + J134,
            Z133 + IF(MONTH(A134)=12, Q134+W134, 0) + I134
          ) - VLOOKUP(YEAR(A134), Lookup!$K:$M, 3)
        ),
    0),
  B134=55,
    IF(Z133&gt;=AD134,
      MAX(Y133 + IF(MONTH(A134)=12, P134+V134, 0) + H134 - L134, 0),
      MAX(MAX(0, Y133-(AD134-Z133)) + IF(MONTH(A134)=12, P134+V134, 0) + H134 - L134, 0)
    ),
  B134&gt;55,
    IF(AB133&gt;=$AH$7,
      MAX(Y133 + IF(MONTH(A134)=12, P134+V134, 0) + H134 - L134 + K134 + Z133, 0),
      MAX(Y133 + IF(MONTH(A134)=12, P134+V134, 0) + H134 - L134, 0)
    )
)</f>
        <v>195098.7946</v>
      </c>
      <c r="Z134" s="65">
        <f>IFS(
  B134&lt;55,
    MIN(
      IF(AA133 &gt;= VLOOKUP(YEAR(A134), Lookup!$Q:$R, 2),
        Z133 + IF(MONTH(A134)=12, Q134+W134, 0) + I134
          + AA133 + IF(MONTH(A134)=12, R134+X134, 0) - VLOOKUP(YEAR(A134), Lookup!$Q:$R, 2) + J134,
        Z133 + IF(MONTH(A134)=12, Q134+W134, 0) + I134
      ),
      VLOOKUP(YEAR(A134), Lookup!$K:$M, 3)
    ),
  B134=55,
    IF(Z133 &gt;= AD134, Z133 - AD134, 0),
  B134&gt;55, 0
)</f>
        <v>94874.14053</v>
      </c>
      <c r="AA134" s="65">
        <f>IFS(
  B134&lt;65,
    IF(AA133+J134 &lt; VLOOKUP(YEAR(A134), Lookup!$Q:$R, 2),
      AA133 + IF(MONTH(A134)=12, R133+X133, 0) + J134,
      MIN(
        AA133 + IF(MONTH(A134)=12, R133+X133, 0) + J134 ,
        VLOOKUP(YEAR(A134), Lookup!$Q:$R, 2)
      )
    ),
  B134&gt;=65,
    IF(AA133+J134 &lt; VLOOKUP(questions!$C$5, Lookup!$Q:$R, 2),
      AA133 + IF(MONTH(A134)=12, R133+X133, 0) + J134 ,
      MIN(
        AA133 + IF(MONTH(A134)=12, R133+X133, 0) + J134,
        VLOOKUP(questions!$C$5, Lookup!$Q:$R, 2)
      )
    )
)</f>
        <v>112877.0461</v>
      </c>
      <c r="AB134" s="65">
        <f t="shared" si="13"/>
        <v>0</v>
      </c>
      <c r="AC134" s="66">
        <f t="array" ref="AC134">IFS(B134&lt;66, XLOOKUP(year(A134),Lookup!$K$13:$K1000,Lookup!$L$13:$L1000,"missing",,1),B134&gt;65,XLOOKUP(questions!$C$5,Lookup!$K$13:$K1000,Lookup!$L$13:$L1000,"missing",,1))</f>
        <v>160949.3186</v>
      </c>
      <c r="AD134" s="66">
        <f t="array" ref="AD134">IFS(B134&lt;66, XLOOKUP(year(A134),Lookup!$K$13:$K1000,Lookup!$M$13:$M1000,"missing",,1),B134&gt;65, XLOOKUP(questions!$C$5,Lookup!$K$13:$K1000,Lookup!$M$13:$M1000,"missing",,1))</f>
        <v>321898.6372</v>
      </c>
      <c r="AE134" s="66">
        <f t="array" ref="AE134">IFS(B134&lt;66, XLOOKUP(year(A134),Lookup!$K$13:$K1000,Lookup!$N$13:$N1000,"missing",,1),B134&gt;65,XLOOKUP(questions!$C$5,Lookup!$K$13:$K1000,Lookup!$N$13:$N1000,"missing",,1))</f>
        <v>643797.2743</v>
      </c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</row>
    <row r="135">
      <c r="A135" s="55">
        <f t="shared" si="7"/>
        <v>50130</v>
      </c>
      <c r="B135" s="56">
        <f>round(YEARFRAC(EOMONTH(questions!$C$3, 0),A135,1),2)</f>
        <v>38.33</v>
      </c>
      <c r="C135" s="57">
        <f>IF(B135&lt;questions!$C$6,if(MONTH(A135)=1,C134*(1+questions!$C$12),C134),0)</f>
        <v>13842.33871</v>
      </c>
      <c r="D135" s="58">
        <f>IF(MONTH(A135)=12,C135*questions!$C$11,0)</f>
        <v>0</v>
      </c>
      <c r="E135" s="59">
        <f t="shared" si="2"/>
        <v>8000</v>
      </c>
      <c r="F135" s="59">
        <f t="shared" si="3"/>
        <v>0</v>
      </c>
      <c r="G135" s="60">
        <f t="array" ref="G135">if(YEAR(A135)=2025,XLOOKUP(B135,Lookup!$A$3:$A$7,Lookup!$D$3:$D$7,,1)*SUM(E135:F135), XLOOKUP(B135,Lookup!$A$14:$A$18,Lookup!$D$14:$D$18,,1)*SUM(E135:F135))</f>
        <v>2960</v>
      </c>
      <c r="H135" s="60">
        <f t="array" ref="H135">if(YEAR(A135)=2025,XLOOKUP(B135,Lookup!$F$3:$F$10,Lookup!$G$3:$G$10,,1)*G135, XLOOKUP(B135,Lookup!$F$14:$F$21,Lookup!$G$14:$G$21,,1)*G135)</f>
        <v>1680.392</v>
      </c>
      <c r="I135" s="60">
        <f t="array" ref="I135">if(B135&lt;55, if(YEAR(A135)=2025,XLOOKUP(B135,Lookup!$F$3:$F$10,Lookup!$H$3:$H$10,,1)*G135, XLOOKUP(B135,Lookup!$F$14:$F$21,Lookup!$H$14:$H$21,,1)*G135),0)</f>
        <v>559.736</v>
      </c>
      <c r="J135" s="60">
        <f t="array" ref="J135">if(YEAR(A135)=2025,XLOOKUP(B135,Lookup!$F$3:$F$10,Lookup!$I$3:$I$10,,1)*G135, XLOOKUP(B135,Lookup!$F$14:$F$21,Lookup!$I$14:$I$21,,1)*G135)</f>
        <v>719.872</v>
      </c>
      <c r="K135" s="61">
        <f t="array" ref="K135">if(B135&gt;54, if(YEAR(A135)=2025,XLOOKUP(B135,Lookup!$F$3:$F$10,Lookup!$H$3:$H$10,,1)*G135, XLOOKUP(B135,Lookup!$F$14:$F$21,Lookup!$H$14:$H$21,,1)*G135),0)</f>
        <v>0</v>
      </c>
      <c r="L135" s="62">
        <f>IF(and(A135&lt;questions!$C$19,questions!$C$18="yes"),questions!$C$20,0)</f>
        <v>700</v>
      </c>
      <c r="M135" s="63">
        <f>(Y134+H135)*Lookup!A$26/12</f>
        <v>409.9566388</v>
      </c>
      <c r="N135" s="63">
        <f>if(B135&lt;55, (Z134+I135)*Lookup!B$26/12, (AB134+K135)*Lookup!B$26/12)</f>
        <v>318.1129218</v>
      </c>
      <c r="O135" s="63">
        <f>(AA134+J135)*Lookup!C$26/12</f>
        <v>378.6563936</v>
      </c>
      <c r="P135" s="63">
        <f t="shared" si="8"/>
        <v>1223.742467</v>
      </c>
      <c r="Q135" s="63">
        <f t="shared" si="4"/>
        <v>948.7414053</v>
      </c>
      <c r="R135" s="63">
        <f t="shared" si="5"/>
        <v>1128.770461</v>
      </c>
      <c r="S135" s="64">
        <f t="shared" si="9"/>
        <v>16.66666667</v>
      </c>
      <c r="T135" s="64">
        <f t="shared" si="10"/>
        <v>33.33333333</v>
      </c>
      <c r="U135" s="64">
        <f t="shared" si="11"/>
        <v>0</v>
      </c>
      <c r="V135" s="64">
        <f t="shared" ref="V135:X135" si="143">IF(year($A135)=year($A134), V134+S135, S135)</f>
        <v>50</v>
      </c>
      <c r="W135" s="64">
        <f t="shared" si="143"/>
        <v>100</v>
      </c>
      <c r="X135" s="64">
        <f t="shared" si="143"/>
        <v>0</v>
      </c>
      <c r="Y135" s="65">
        <f>IFS(
  B135&lt;55,
    MAX(
      Y134 + IF(MONTH(A135)=12, P135+V135, 0) + H135 - L135
      + MAX(0,
          IF(AA134 &gt;= VLOOKUP(YEAR(A135), Lookup!$Q:$R, 2),
            Z134 + IF(MONTH(A135)=12, Q135+W135, 0) + I135
              + AA134 + IF(MONTH(A135)=12, R135+X135, 0)
              - VLOOKUP(YEAR(A135), Lookup!$Q:$R, 2) + J135,
            Z134 + IF(MONTH(A135)=12, Q135+W135, 0) + I135
          ) - VLOOKUP(YEAR(A135), Lookup!$K:$M, 3)
        ),
    0),
  B135=55,
    IF(Z134&gt;=AD135,
      MAX(Y134 + IF(MONTH(A135)=12, P135+V135, 0) + H135 - L135, 0),
      MAX(MAX(0, Y134-(AD135-Z134)) + IF(MONTH(A135)=12, P135+V135, 0) + H135 - L135, 0)
    ),
  B135&gt;55,
    IF(AB134&gt;=$AH$7,
      MAX(Y134 + IF(MONTH(A135)=12, P135+V135, 0) + H135 - L135 + K135 + Z134, 0),
      MAX(Y134 + IF(MONTH(A135)=12, P135+V135, 0) + H135 - L135, 0)
    )
)</f>
        <v>196079.1866</v>
      </c>
      <c r="Z135" s="65">
        <f>IFS(
  B135&lt;55,
    MIN(
      IF(AA134 &gt;= VLOOKUP(YEAR(A135), Lookup!$Q:$R, 2),
        Z134 + IF(MONTH(A135)=12, Q135+W135, 0) + I135
          + AA134 + IF(MONTH(A135)=12, R135+X135, 0) - VLOOKUP(YEAR(A135), Lookup!$Q:$R, 2) + J135,
        Z134 + IF(MONTH(A135)=12, Q135+W135, 0) + I135
      ),
      VLOOKUP(YEAR(A135), Lookup!$K:$M, 3)
    ),
  B135=55,
    IF(Z134 &gt;= AD135, Z134 - AD135, 0),
  B135&gt;55, 0
)</f>
        <v>95433.87653</v>
      </c>
      <c r="AA135" s="65">
        <f>IFS(
  B135&lt;65,
    IF(AA134+J135 &lt; VLOOKUP(YEAR(A135), Lookup!$Q:$R, 2),
      AA134 + IF(MONTH(A135)=12, R134+X134, 0) + J135,
      MIN(
        AA134 + IF(MONTH(A135)=12, R134+X134, 0) + J135 ,
        VLOOKUP(YEAR(A135), Lookup!$Q:$R, 2)
      )
    ),
  B135&gt;=65,
    IF(AA134+J135 &lt; VLOOKUP(questions!$C$5, Lookup!$Q:$R, 2),
      AA134 + IF(MONTH(A135)=12, R134+X134, 0) + J135 ,
      MIN(
        AA134 + IF(MONTH(A135)=12, R134+X134, 0) + J135,
        VLOOKUP(questions!$C$5, Lookup!$Q:$R, 2)
      )
    )
)</f>
        <v>113596.9181</v>
      </c>
      <c r="AB135" s="65">
        <f t="shared" si="13"/>
        <v>0</v>
      </c>
      <c r="AC135" s="66">
        <f t="array" ref="AC135">IFS(B135&lt;66, XLOOKUP(year(A135),Lookup!$K$13:$K1000,Lookup!$L$13:$L1000,"missing",,1),B135&gt;65,XLOOKUP(questions!$C$5,Lookup!$K$13:$K1000,Lookup!$L$13:$L1000,"missing",,1))</f>
        <v>160949.3186</v>
      </c>
      <c r="AD135" s="66">
        <f t="array" ref="AD135">IFS(B135&lt;66, XLOOKUP(year(A135),Lookup!$K$13:$K1000,Lookup!$M$13:$M1000,"missing",,1),B135&gt;65, XLOOKUP(questions!$C$5,Lookup!$K$13:$K1000,Lookup!$M$13:$M1000,"missing",,1))</f>
        <v>321898.6372</v>
      </c>
      <c r="AE135" s="66">
        <f t="array" ref="AE135">IFS(B135&lt;66, XLOOKUP(year(A135),Lookup!$K$13:$K1000,Lookup!$N$13:$N1000,"missing",,1),B135&gt;65,XLOOKUP(questions!$C$5,Lookup!$K$13:$K1000,Lookup!$N$13:$N1000,"missing",,1))</f>
        <v>643797.2743</v>
      </c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</row>
    <row r="136">
      <c r="A136" s="55">
        <f t="shared" si="7"/>
        <v>50160</v>
      </c>
      <c r="B136" s="56">
        <f>round(YEARFRAC(EOMONTH(questions!$C$3, 0),A136,1),2)</f>
        <v>38.41</v>
      </c>
      <c r="C136" s="57">
        <f>IF(B136&lt;questions!$C$6,if(MONTH(A136)=1,C135*(1+questions!$C$12),C135),0)</f>
        <v>13842.33871</v>
      </c>
      <c r="D136" s="58">
        <f>IF(MONTH(A136)=12,C136*questions!$C$11,0)</f>
        <v>0</v>
      </c>
      <c r="E136" s="59">
        <f t="shared" si="2"/>
        <v>8000</v>
      </c>
      <c r="F136" s="59">
        <f t="shared" si="3"/>
        <v>0</v>
      </c>
      <c r="G136" s="60">
        <f t="array" ref="G136">if(YEAR(A136)=2025,XLOOKUP(B136,Lookup!$A$3:$A$7,Lookup!$D$3:$D$7,,1)*SUM(E136:F136), XLOOKUP(B136,Lookup!$A$14:$A$18,Lookup!$D$14:$D$18,,1)*SUM(E136:F136))</f>
        <v>2960</v>
      </c>
      <c r="H136" s="60">
        <f t="array" ref="H136">if(YEAR(A136)=2025,XLOOKUP(B136,Lookup!$F$3:$F$10,Lookup!$G$3:$G$10,,1)*G136, XLOOKUP(B136,Lookup!$F$14:$F$21,Lookup!$G$14:$G$21,,1)*G136)</f>
        <v>1680.392</v>
      </c>
      <c r="I136" s="60">
        <f t="array" ref="I136">if(B136&lt;55, if(YEAR(A136)=2025,XLOOKUP(B136,Lookup!$F$3:$F$10,Lookup!$H$3:$H$10,,1)*G136, XLOOKUP(B136,Lookup!$F$14:$F$21,Lookup!$H$14:$H$21,,1)*G136),0)</f>
        <v>559.736</v>
      </c>
      <c r="J136" s="60">
        <f t="array" ref="J136">if(YEAR(A136)=2025,XLOOKUP(B136,Lookup!$F$3:$F$10,Lookup!$I$3:$I$10,,1)*G136, XLOOKUP(B136,Lookup!$F$14:$F$21,Lookup!$I$14:$I$21,,1)*G136)</f>
        <v>719.872</v>
      </c>
      <c r="K136" s="61">
        <f t="array" ref="K136">if(B136&gt;54, if(YEAR(A136)=2025,XLOOKUP(B136,Lookup!$F$3:$F$10,Lookup!$H$3:$H$10,,1)*G136, XLOOKUP(B136,Lookup!$F$14:$F$21,Lookup!$H$14:$H$21,,1)*G136),0)</f>
        <v>0</v>
      </c>
      <c r="L136" s="62">
        <f>IF(and(A136&lt;questions!$C$19,questions!$C$18="yes"),questions!$C$20,0)</f>
        <v>700</v>
      </c>
      <c r="M136" s="63">
        <f>(Y135+H136)*Lookup!A$26/12</f>
        <v>411.9991222</v>
      </c>
      <c r="N136" s="63">
        <f>if(B136&lt;55, (Z135+I136)*Lookup!B$26/12, (AB135+K136)*Lookup!B$26/12)</f>
        <v>319.9787084</v>
      </c>
      <c r="O136" s="63">
        <f>(AA135+J136)*Lookup!C$26/12</f>
        <v>381.055967</v>
      </c>
      <c r="P136" s="63">
        <f t="shared" si="8"/>
        <v>1635.741589</v>
      </c>
      <c r="Q136" s="63">
        <f t="shared" si="4"/>
        <v>1268.720114</v>
      </c>
      <c r="R136" s="63">
        <f t="shared" si="5"/>
        <v>1509.826428</v>
      </c>
      <c r="S136" s="64">
        <f t="shared" si="9"/>
        <v>16.66666667</v>
      </c>
      <c r="T136" s="64">
        <f t="shared" si="10"/>
        <v>33.33333333</v>
      </c>
      <c r="U136" s="64">
        <f t="shared" si="11"/>
        <v>0</v>
      </c>
      <c r="V136" s="64">
        <f t="shared" ref="V136:X136" si="144">IF(year($A136)=year($A135), V135+S136, S136)</f>
        <v>66.66666667</v>
      </c>
      <c r="W136" s="64">
        <f t="shared" si="144"/>
        <v>133.3333333</v>
      </c>
      <c r="X136" s="64">
        <f t="shared" si="144"/>
        <v>0</v>
      </c>
      <c r="Y136" s="65">
        <f>IFS(
  B136&lt;55,
    MAX(
      Y135 + IF(MONTH(A136)=12, P136+V136, 0) + H136 - L136
      + MAX(0,
          IF(AA135 &gt;= VLOOKUP(YEAR(A136), Lookup!$Q:$R, 2),
            Z135 + IF(MONTH(A136)=12, Q136+W136, 0) + I136
              + AA135 + IF(MONTH(A136)=12, R136+X136, 0)
              - VLOOKUP(YEAR(A136), Lookup!$Q:$R, 2) + J136,
            Z135 + IF(MONTH(A136)=12, Q136+W136, 0) + I136
          ) - VLOOKUP(YEAR(A136), Lookup!$K:$M, 3)
        ),
    0),
  B136=55,
    IF(Z135&gt;=AD136,
      MAX(Y135 + IF(MONTH(A136)=12, P136+V136, 0) + H136 - L136, 0),
      MAX(MAX(0, Y135-(AD136-Z135)) + IF(MONTH(A136)=12, P136+V136, 0) + H136 - L136, 0)
    ),
  B136&gt;55,
    IF(AB135&gt;=$AH$7,
      MAX(Y135 + IF(MONTH(A136)=12, P136+V136, 0) + H136 - L136 + K136 + Z135, 0),
      MAX(Y135 + IF(MONTH(A136)=12, P136+V136, 0) + H136 - L136, 0)
    )
)</f>
        <v>197059.5786</v>
      </c>
      <c r="Z136" s="65">
        <f>IFS(
  B136&lt;55,
    MIN(
      IF(AA135 &gt;= VLOOKUP(YEAR(A136), Lookup!$Q:$R, 2),
        Z135 + IF(MONTH(A136)=12, Q136+W136, 0) + I136
          + AA135 + IF(MONTH(A136)=12, R136+X136, 0) - VLOOKUP(YEAR(A136), Lookup!$Q:$R, 2) + J136,
        Z135 + IF(MONTH(A136)=12, Q136+W136, 0) + I136
      ),
      VLOOKUP(YEAR(A136), Lookup!$K:$M, 3)
    ),
  B136=55,
    IF(Z135 &gt;= AD136, Z135 - AD136, 0),
  B136&gt;55, 0
)</f>
        <v>95993.61253</v>
      </c>
      <c r="AA136" s="65">
        <f>IFS(
  B136&lt;65,
    IF(AA135+J136 &lt; VLOOKUP(YEAR(A136), Lookup!$Q:$R, 2),
      AA135 + IF(MONTH(A136)=12, R135+X135, 0) + J136,
      MIN(
        AA135 + IF(MONTH(A136)=12, R135+X135, 0) + J136 ,
        VLOOKUP(YEAR(A136), Lookup!$Q:$R, 2)
      )
    ),
  B136&gt;=65,
    IF(AA135+J136 &lt; VLOOKUP(questions!$C$5, Lookup!$Q:$R, 2),
      AA135 + IF(MONTH(A136)=12, R135+X135, 0) + J136 ,
      MIN(
        AA135 + IF(MONTH(A136)=12, R135+X135, 0) + J136,
        VLOOKUP(questions!$C$5, Lookup!$Q:$R, 2)
      )
    )
)</f>
        <v>114316.7901</v>
      </c>
      <c r="AB136" s="65">
        <f t="shared" si="13"/>
        <v>0</v>
      </c>
      <c r="AC136" s="66">
        <f t="array" ref="AC136">IFS(B136&lt;66, XLOOKUP(year(A136),Lookup!$K$13:$K1000,Lookup!$L$13:$L1000,"missing",,1),B136&gt;65,XLOOKUP(questions!$C$5,Lookup!$K$13:$K1000,Lookup!$L$13:$L1000,"missing",,1))</f>
        <v>160949.3186</v>
      </c>
      <c r="AD136" s="66">
        <f t="array" ref="AD136">IFS(B136&lt;66, XLOOKUP(year(A136),Lookup!$K$13:$K1000,Lookup!$M$13:$M1000,"missing",,1),B136&gt;65, XLOOKUP(questions!$C$5,Lookup!$K$13:$K1000,Lookup!$M$13:$M1000,"missing",,1))</f>
        <v>321898.6372</v>
      </c>
      <c r="AE136" s="66">
        <f t="array" ref="AE136">IFS(B136&lt;66, XLOOKUP(year(A136),Lookup!$K$13:$K1000,Lookup!$N$13:$N1000,"missing",,1),B136&gt;65,XLOOKUP(questions!$C$5,Lookup!$K$13:$K1000,Lookup!$N$13:$N1000,"missing",,1))</f>
        <v>643797.2743</v>
      </c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</row>
    <row r="137">
      <c r="A137" s="55">
        <f t="shared" si="7"/>
        <v>50191</v>
      </c>
      <c r="B137" s="56">
        <f>round(YEARFRAC(EOMONTH(questions!$C$3, 0),A137,1),2)</f>
        <v>38.5</v>
      </c>
      <c r="C137" s="57">
        <f>IF(B137&lt;questions!$C$6,if(MONTH(A137)=1,C136*(1+questions!$C$12),C136),0)</f>
        <v>13842.33871</v>
      </c>
      <c r="D137" s="58">
        <f>IF(MONTH(A137)=12,C137*questions!$C$11,0)</f>
        <v>0</v>
      </c>
      <c r="E137" s="59">
        <f t="shared" si="2"/>
        <v>8000</v>
      </c>
      <c r="F137" s="59">
        <f t="shared" si="3"/>
        <v>0</v>
      </c>
      <c r="G137" s="60">
        <f t="array" ref="G137">if(YEAR(A137)=2025,XLOOKUP(B137,Lookup!$A$3:$A$7,Lookup!$D$3:$D$7,,1)*SUM(E137:F137), XLOOKUP(B137,Lookup!$A$14:$A$18,Lookup!$D$14:$D$18,,1)*SUM(E137:F137))</f>
        <v>2960</v>
      </c>
      <c r="H137" s="60">
        <f t="array" ref="H137">if(YEAR(A137)=2025,XLOOKUP(B137,Lookup!$F$3:$F$10,Lookup!$G$3:$G$10,,1)*G137, XLOOKUP(B137,Lookup!$F$14:$F$21,Lookup!$G$14:$G$21,,1)*G137)</f>
        <v>1680.392</v>
      </c>
      <c r="I137" s="60">
        <f t="array" ref="I137">if(B137&lt;55, if(YEAR(A137)=2025,XLOOKUP(B137,Lookup!$F$3:$F$10,Lookup!$H$3:$H$10,,1)*G137, XLOOKUP(B137,Lookup!$F$14:$F$21,Lookup!$H$14:$H$21,,1)*G137),0)</f>
        <v>559.736</v>
      </c>
      <c r="J137" s="60">
        <f t="array" ref="J137">if(YEAR(A137)=2025,XLOOKUP(B137,Lookup!$F$3:$F$10,Lookup!$I$3:$I$10,,1)*G137, XLOOKUP(B137,Lookup!$F$14:$F$21,Lookup!$I$14:$I$21,,1)*G137)</f>
        <v>719.872</v>
      </c>
      <c r="K137" s="61">
        <f t="array" ref="K137">if(B137&gt;54, if(YEAR(A137)=2025,XLOOKUP(B137,Lookup!$F$3:$F$10,Lookup!$H$3:$H$10,,1)*G137, XLOOKUP(B137,Lookup!$F$14:$F$21,Lookup!$H$14:$H$21,,1)*G137),0)</f>
        <v>0</v>
      </c>
      <c r="L137" s="62">
        <f>IF(and(A137&lt;questions!$C$19,questions!$C$18="yes"),questions!$C$20,0)</f>
        <v>700</v>
      </c>
      <c r="M137" s="63">
        <f>(Y136+H137)*Lookup!A$26/12</f>
        <v>414.0416055</v>
      </c>
      <c r="N137" s="63">
        <f>if(B137&lt;55, (Z136+I137)*Lookup!B$26/12, (AB136+K137)*Lookup!B$26/12)</f>
        <v>321.8444951</v>
      </c>
      <c r="O137" s="63">
        <f>(AA136+J137)*Lookup!C$26/12</f>
        <v>383.4555403</v>
      </c>
      <c r="P137" s="63">
        <f t="shared" si="8"/>
        <v>2049.783194</v>
      </c>
      <c r="Q137" s="63">
        <f t="shared" si="4"/>
        <v>1590.564609</v>
      </c>
      <c r="R137" s="63">
        <f t="shared" si="5"/>
        <v>1893.281968</v>
      </c>
      <c r="S137" s="64">
        <f t="shared" si="9"/>
        <v>16.66666667</v>
      </c>
      <c r="T137" s="64">
        <f t="shared" si="10"/>
        <v>33.33333333</v>
      </c>
      <c r="U137" s="64">
        <f t="shared" si="11"/>
        <v>0</v>
      </c>
      <c r="V137" s="64">
        <f t="shared" ref="V137:X137" si="145">IF(year($A137)=year($A136), V136+S137, S137)</f>
        <v>83.33333333</v>
      </c>
      <c r="W137" s="64">
        <f t="shared" si="145"/>
        <v>166.6666667</v>
      </c>
      <c r="X137" s="64">
        <f t="shared" si="145"/>
        <v>0</v>
      </c>
      <c r="Y137" s="65">
        <f>IFS(
  B137&lt;55,
    MAX(
      Y136 + IF(MONTH(A137)=12, P137+V137, 0) + H137 - L137
      + MAX(0,
          IF(AA136 &gt;= VLOOKUP(YEAR(A137), Lookup!$Q:$R, 2),
            Z136 + IF(MONTH(A137)=12, Q137+W137, 0) + I137
              + AA136 + IF(MONTH(A137)=12, R137+X137, 0)
              - VLOOKUP(YEAR(A137), Lookup!$Q:$R, 2) + J137,
            Z136 + IF(MONTH(A137)=12, Q137+W137, 0) + I137
          ) - VLOOKUP(YEAR(A137), Lookup!$K:$M, 3)
        ),
    0),
  B137=55,
    IF(Z136&gt;=AD137,
      MAX(Y136 + IF(MONTH(A137)=12, P137+V137, 0) + H137 - L137, 0),
      MAX(MAX(0, Y136-(AD137-Z136)) + IF(MONTH(A137)=12, P137+V137, 0) + H137 - L137, 0)
    ),
  B137&gt;55,
    IF(AB136&gt;=$AH$7,
      MAX(Y136 + IF(MONTH(A137)=12, P137+V137, 0) + H137 - L137 + K137 + Z136, 0),
      MAX(Y136 + IF(MONTH(A137)=12, P137+V137, 0) + H137 - L137, 0)
    )
)</f>
        <v>198039.9706</v>
      </c>
      <c r="Z137" s="65">
        <f>IFS(
  B137&lt;55,
    MIN(
      IF(AA136 &gt;= VLOOKUP(YEAR(A137), Lookup!$Q:$R, 2),
        Z136 + IF(MONTH(A137)=12, Q137+W137, 0) + I137
          + AA136 + IF(MONTH(A137)=12, R137+X137, 0) - VLOOKUP(YEAR(A137), Lookup!$Q:$R, 2) + J137,
        Z136 + IF(MONTH(A137)=12, Q137+W137, 0) + I137
      ),
      VLOOKUP(YEAR(A137), Lookup!$K:$M, 3)
    ),
  B137=55,
    IF(Z136 &gt;= AD137, Z136 - AD137, 0),
  B137&gt;55, 0
)</f>
        <v>96553.34853</v>
      </c>
      <c r="AA137" s="65">
        <f>IFS(
  B137&lt;65,
    IF(AA136+J137 &lt; VLOOKUP(YEAR(A137), Lookup!$Q:$R, 2),
      AA136 + IF(MONTH(A137)=12, R136+X136, 0) + J137,
      MIN(
        AA136 + IF(MONTH(A137)=12, R136+X136, 0) + J137 ,
        VLOOKUP(YEAR(A137), Lookup!$Q:$R, 2)
      )
    ),
  B137&gt;=65,
    IF(AA136+J137 &lt; VLOOKUP(questions!$C$5, Lookup!$Q:$R, 2),
      AA136 + IF(MONTH(A137)=12, R136+X136, 0) + J137 ,
      MIN(
        AA136 + IF(MONTH(A137)=12, R136+X136, 0) + J137,
        VLOOKUP(questions!$C$5, Lookup!$Q:$R, 2)
      )
    )
)</f>
        <v>115036.6621</v>
      </c>
      <c r="AB137" s="65">
        <f t="shared" si="13"/>
        <v>0</v>
      </c>
      <c r="AC137" s="66">
        <f t="array" ref="AC137">IFS(B137&lt;66, XLOOKUP(year(A137),Lookup!$K$13:$K1000,Lookup!$L$13:$L1000,"missing",,1),B137&gt;65,XLOOKUP(questions!$C$5,Lookup!$K$13:$K1000,Lookup!$L$13:$L1000,"missing",,1))</f>
        <v>160949.3186</v>
      </c>
      <c r="AD137" s="66">
        <f t="array" ref="AD137">IFS(B137&lt;66, XLOOKUP(year(A137),Lookup!$K$13:$K1000,Lookup!$M$13:$M1000,"missing",,1),B137&gt;65, XLOOKUP(questions!$C$5,Lookup!$K$13:$K1000,Lookup!$M$13:$M1000,"missing",,1))</f>
        <v>321898.6372</v>
      </c>
      <c r="AE137" s="66">
        <f t="array" ref="AE137">IFS(B137&lt;66, XLOOKUP(year(A137),Lookup!$K$13:$K1000,Lookup!$N$13:$N1000,"missing",,1),B137&gt;65,XLOOKUP(questions!$C$5,Lookup!$K$13:$K1000,Lookup!$N$13:$N1000,"missing",,1))</f>
        <v>643797.2743</v>
      </c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</row>
    <row r="138">
      <c r="A138" s="55">
        <f t="shared" si="7"/>
        <v>50221</v>
      </c>
      <c r="B138" s="56">
        <f>round(YEARFRAC(EOMONTH(questions!$C$3, 0),A138,1),2)</f>
        <v>38.58</v>
      </c>
      <c r="C138" s="57">
        <f>IF(B138&lt;questions!$C$6,if(MONTH(A138)=1,C137*(1+questions!$C$12),C137),0)</f>
        <v>13842.33871</v>
      </c>
      <c r="D138" s="58">
        <f>IF(MONTH(A138)=12,C138*questions!$C$11,0)</f>
        <v>0</v>
      </c>
      <c r="E138" s="59">
        <f t="shared" si="2"/>
        <v>8000</v>
      </c>
      <c r="F138" s="59">
        <f t="shared" si="3"/>
        <v>0</v>
      </c>
      <c r="G138" s="60">
        <f t="array" ref="G138">if(YEAR(A138)=2025,XLOOKUP(B138,Lookup!$A$3:$A$7,Lookup!$D$3:$D$7,,1)*SUM(E138:F138), XLOOKUP(B138,Lookup!$A$14:$A$18,Lookup!$D$14:$D$18,,1)*SUM(E138:F138))</f>
        <v>2960</v>
      </c>
      <c r="H138" s="60">
        <f t="array" ref="H138">if(YEAR(A138)=2025,XLOOKUP(B138,Lookup!$F$3:$F$10,Lookup!$G$3:$G$10,,1)*G138, XLOOKUP(B138,Lookup!$F$14:$F$21,Lookup!$G$14:$G$21,,1)*G138)</f>
        <v>1680.392</v>
      </c>
      <c r="I138" s="60">
        <f t="array" ref="I138">if(B138&lt;55, if(YEAR(A138)=2025,XLOOKUP(B138,Lookup!$F$3:$F$10,Lookup!$H$3:$H$10,,1)*G138, XLOOKUP(B138,Lookup!$F$14:$F$21,Lookup!$H$14:$H$21,,1)*G138),0)</f>
        <v>559.736</v>
      </c>
      <c r="J138" s="60">
        <f t="array" ref="J138">if(YEAR(A138)=2025,XLOOKUP(B138,Lookup!$F$3:$F$10,Lookup!$I$3:$I$10,,1)*G138, XLOOKUP(B138,Lookup!$F$14:$F$21,Lookup!$I$14:$I$21,,1)*G138)</f>
        <v>719.872</v>
      </c>
      <c r="K138" s="61">
        <f t="array" ref="K138">if(B138&gt;54, if(YEAR(A138)=2025,XLOOKUP(B138,Lookup!$F$3:$F$10,Lookup!$H$3:$H$10,,1)*G138, XLOOKUP(B138,Lookup!$F$14:$F$21,Lookup!$H$14:$H$21,,1)*G138),0)</f>
        <v>0</v>
      </c>
      <c r="L138" s="62">
        <f>IF(and(A138&lt;questions!$C$19,questions!$C$18="yes"),questions!$C$20,0)</f>
        <v>700</v>
      </c>
      <c r="M138" s="63">
        <f>(Y137+H138)*Lookup!A$26/12</f>
        <v>416.0840888</v>
      </c>
      <c r="N138" s="63">
        <f>if(B138&lt;55, (Z137+I138)*Lookup!B$26/12, (AB137+K138)*Lookup!B$26/12)</f>
        <v>323.7102818</v>
      </c>
      <c r="O138" s="63">
        <f>(AA137+J138)*Lookup!C$26/12</f>
        <v>385.8551136</v>
      </c>
      <c r="P138" s="63">
        <f t="shared" si="8"/>
        <v>2465.867283</v>
      </c>
      <c r="Q138" s="63">
        <f t="shared" si="4"/>
        <v>1914.274891</v>
      </c>
      <c r="R138" s="63">
        <f t="shared" si="5"/>
        <v>2279.137082</v>
      </c>
      <c r="S138" s="64">
        <f t="shared" si="9"/>
        <v>16.66666667</v>
      </c>
      <c r="T138" s="64">
        <f t="shared" si="10"/>
        <v>33.33333333</v>
      </c>
      <c r="U138" s="64">
        <f t="shared" si="11"/>
        <v>0</v>
      </c>
      <c r="V138" s="64">
        <f t="shared" ref="V138:X138" si="146">IF(year($A138)=year($A137), V137+S138, S138)</f>
        <v>100</v>
      </c>
      <c r="W138" s="64">
        <f t="shared" si="146"/>
        <v>200</v>
      </c>
      <c r="X138" s="64">
        <f t="shared" si="146"/>
        <v>0</v>
      </c>
      <c r="Y138" s="65">
        <f>IFS(
  B138&lt;55,
    MAX(
      Y137 + IF(MONTH(A138)=12, P138+V138, 0) + H138 - L138
      + MAX(0,
          IF(AA137 &gt;= VLOOKUP(YEAR(A138), Lookup!$Q:$R, 2),
            Z137 + IF(MONTH(A138)=12, Q138+W138, 0) + I138
              + AA137 + IF(MONTH(A138)=12, R138+X138, 0)
              - VLOOKUP(YEAR(A138), Lookup!$Q:$R, 2) + J138,
            Z137 + IF(MONTH(A138)=12, Q138+W138, 0) + I138
          ) - VLOOKUP(YEAR(A138), Lookup!$K:$M, 3)
        ),
    0),
  B138=55,
    IF(Z137&gt;=AD138,
      MAX(Y137 + IF(MONTH(A138)=12, P138+V138, 0) + H138 - L138, 0),
      MAX(MAX(0, Y137-(AD138-Z137)) + IF(MONTH(A138)=12, P138+V138, 0) + H138 - L138, 0)
    ),
  B138&gt;55,
    IF(AB137&gt;=$AH$7,
      MAX(Y137 + IF(MONTH(A138)=12, P138+V138, 0) + H138 - L138 + K138 + Z137, 0),
      MAX(Y137 + IF(MONTH(A138)=12, P138+V138, 0) + H138 - L138, 0)
    )
)</f>
        <v>199020.3626</v>
      </c>
      <c r="Z138" s="65">
        <f>IFS(
  B138&lt;55,
    MIN(
      IF(AA137 &gt;= VLOOKUP(YEAR(A138), Lookup!$Q:$R, 2),
        Z137 + IF(MONTH(A138)=12, Q138+W138, 0) + I138
          + AA137 + IF(MONTH(A138)=12, R138+X138, 0) - VLOOKUP(YEAR(A138), Lookup!$Q:$R, 2) + J138,
        Z137 + IF(MONTH(A138)=12, Q138+W138, 0) + I138
      ),
      VLOOKUP(YEAR(A138), Lookup!$K:$M, 3)
    ),
  B138=55,
    IF(Z137 &gt;= AD138, Z137 - AD138, 0),
  B138&gt;55, 0
)</f>
        <v>97113.08453</v>
      </c>
      <c r="AA138" s="65">
        <f>IFS(
  B138&lt;65,
    IF(AA137+J138 &lt; VLOOKUP(YEAR(A138), Lookup!$Q:$R, 2),
      AA137 + IF(MONTH(A138)=12, R137+X137, 0) + J138,
      MIN(
        AA137 + IF(MONTH(A138)=12, R137+X137, 0) + J138 ,
        VLOOKUP(YEAR(A138), Lookup!$Q:$R, 2)
      )
    ),
  B138&gt;=65,
    IF(AA137+J138 &lt; VLOOKUP(questions!$C$5, Lookup!$Q:$R, 2),
      AA137 + IF(MONTH(A138)=12, R137+X137, 0) + J138 ,
      MIN(
        AA137 + IF(MONTH(A138)=12, R137+X137, 0) + J138,
        VLOOKUP(questions!$C$5, Lookup!$Q:$R, 2)
      )
    )
)</f>
        <v>115337.6077</v>
      </c>
      <c r="AB138" s="65">
        <f t="shared" si="13"/>
        <v>0</v>
      </c>
      <c r="AC138" s="66">
        <f t="array" ref="AC138">IFS(B138&lt;66, XLOOKUP(year(A138),Lookup!$K$13:$K1000,Lookup!$L$13:$L1000,"missing",,1),B138&gt;65,XLOOKUP(questions!$C$5,Lookup!$K$13:$K1000,Lookup!$L$13:$L1000,"missing",,1))</f>
        <v>160949.3186</v>
      </c>
      <c r="AD138" s="66">
        <f t="array" ref="AD138">IFS(B138&lt;66, XLOOKUP(year(A138),Lookup!$K$13:$K1000,Lookup!$M$13:$M1000,"missing",,1),B138&gt;65, XLOOKUP(questions!$C$5,Lookup!$K$13:$K1000,Lookup!$M$13:$M1000,"missing",,1))</f>
        <v>321898.6372</v>
      </c>
      <c r="AE138" s="66">
        <f t="array" ref="AE138">IFS(B138&lt;66, XLOOKUP(year(A138),Lookup!$K$13:$K1000,Lookup!$N$13:$N1000,"missing",,1),B138&gt;65,XLOOKUP(questions!$C$5,Lookup!$K$13:$K1000,Lookup!$N$13:$N1000,"missing",,1))</f>
        <v>643797.2743</v>
      </c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</row>
    <row r="139">
      <c r="A139" s="55">
        <f t="shared" si="7"/>
        <v>50252</v>
      </c>
      <c r="B139" s="56">
        <f>round(YEARFRAC(EOMONTH(questions!$C$3, 0),A139,1),2)</f>
        <v>38.67</v>
      </c>
      <c r="C139" s="57">
        <f>IF(B139&lt;questions!$C$6,if(MONTH(A139)=1,C138*(1+questions!$C$12),C138),0)</f>
        <v>13842.33871</v>
      </c>
      <c r="D139" s="58">
        <f>IF(MONTH(A139)=12,C139*questions!$C$11,0)</f>
        <v>0</v>
      </c>
      <c r="E139" s="59">
        <f t="shared" si="2"/>
        <v>8000</v>
      </c>
      <c r="F139" s="59">
        <f t="shared" si="3"/>
        <v>0</v>
      </c>
      <c r="G139" s="60">
        <f t="array" ref="G139">if(YEAR(A139)=2025,XLOOKUP(B139,Lookup!$A$3:$A$7,Lookup!$D$3:$D$7,,1)*SUM(E139:F139), XLOOKUP(B139,Lookup!$A$14:$A$18,Lookup!$D$14:$D$18,,1)*SUM(E139:F139))</f>
        <v>2960</v>
      </c>
      <c r="H139" s="60">
        <f t="array" ref="H139">if(YEAR(A139)=2025,XLOOKUP(B139,Lookup!$F$3:$F$10,Lookup!$G$3:$G$10,,1)*G139, XLOOKUP(B139,Lookup!$F$14:$F$21,Lookup!$G$14:$G$21,,1)*G139)</f>
        <v>1680.392</v>
      </c>
      <c r="I139" s="60">
        <f t="array" ref="I139">if(B139&lt;55, if(YEAR(A139)=2025,XLOOKUP(B139,Lookup!$F$3:$F$10,Lookup!$H$3:$H$10,,1)*G139, XLOOKUP(B139,Lookup!$F$14:$F$21,Lookup!$H$14:$H$21,,1)*G139),0)</f>
        <v>559.736</v>
      </c>
      <c r="J139" s="60">
        <f t="array" ref="J139">if(YEAR(A139)=2025,XLOOKUP(B139,Lookup!$F$3:$F$10,Lookup!$I$3:$I$10,,1)*G139, XLOOKUP(B139,Lookup!$F$14:$F$21,Lookup!$I$14:$I$21,,1)*G139)</f>
        <v>719.872</v>
      </c>
      <c r="K139" s="61">
        <f t="array" ref="K139">if(B139&gt;54, if(YEAR(A139)=2025,XLOOKUP(B139,Lookup!$F$3:$F$10,Lookup!$H$3:$H$10,,1)*G139, XLOOKUP(B139,Lookup!$F$14:$F$21,Lookup!$H$14:$H$21,,1)*G139),0)</f>
        <v>0</v>
      </c>
      <c r="L139" s="62">
        <f>IF(and(A139&lt;questions!$C$19,questions!$C$18="yes"),questions!$C$20,0)</f>
        <v>700</v>
      </c>
      <c r="M139" s="63">
        <f>(Y138+H139)*Lookup!A$26/12</f>
        <v>418.1265722</v>
      </c>
      <c r="N139" s="63">
        <f>if(B139&lt;55, (Z138+I139)*Lookup!B$26/12, (AB138+K139)*Lookup!B$26/12)</f>
        <v>325.5760684</v>
      </c>
      <c r="O139" s="63">
        <f>(AA138+J139)*Lookup!C$26/12</f>
        <v>386.8582655</v>
      </c>
      <c r="P139" s="63">
        <f t="shared" si="8"/>
        <v>2883.993855</v>
      </c>
      <c r="Q139" s="63">
        <f t="shared" si="4"/>
        <v>2239.850959</v>
      </c>
      <c r="R139" s="63">
        <f t="shared" si="5"/>
        <v>2665.995347</v>
      </c>
      <c r="S139" s="64">
        <f t="shared" si="9"/>
        <v>16.66666667</v>
      </c>
      <c r="T139" s="64">
        <f t="shared" si="10"/>
        <v>33.33333333</v>
      </c>
      <c r="U139" s="64">
        <f t="shared" si="11"/>
        <v>0</v>
      </c>
      <c r="V139" s="64">
        <f t="shared" ref="V139:X139" si="147">IF(year($A139)=year($A138), V138+S139, S139)</f>
        <v>116.6666667</v>
      </c>
      <c r="W139" s="64">
        <f t="shared" si="147"/>
        <v>233.3333333</v>
      </c>
      <c r="X139" s="64">
        <f t="shared" si="147"/>
        <v>0</v>
      </c>
      <c r="Y139" s="65">
        <f>IFS(
  B139&lt;55,
    MAX(
      Y138 + IF(MONTH(A139)=12, P139+V139, 0) + H139 - L139
      + MAX(0,
          IF(AA138 &gt;= VLOOKUP(YEAR(A139), Lookup!$Q:$R, 2),
            Z138 + IF(MONTH(A139)=12, Q139+W139, 0) + I139
              + AA138 + IF(MONTH(A139)=12, R139+X139, 0)
              - VLOOKUP(YEAR(A139), Lookup!$Q:$R, 2) + J139,
            Z138 + IF(MONTH(A139)=12, Q139+W139, 0) + I139
          ) - VLOOKUP(YEAR(A139), Lookup!$K:$M, 3)
        ),
    0),
  B139=55,
    IF(Z138&gt;=AD139,
      MAX(Y138 + IF(MONTH(A139)=12, P139+V139, 0) + H139 - L139, 0),
      MAX(MAX(0, Y138-(AD139-Z138)) + IF(MONTH(A139)=12, P139+V139, 0) + H139 - L139, 0)
    ),
  B139&gt;55,
    IF(AB138&gt;=$AH$7,
      MAX(Y138 + IF(MONTH(A139)=12, P139+V139, 0) + H139 - L139 + K139 + Z138, 0),
      MAX(Y138 + IF(MONTH(A139)=12, P139+V139, 0) + H139 - L139, 0)
    )
)</f>
        <v>200000.7546</v>
      </c>
      <c r="Z139" s="65">
        <f>IFS(
  B139&lt;55,
    MIN(
      IF(AA138 &gt;= VLOOKUP(YEAR(A139), Lookup!$Q:$R, 2),
        Z138 + IF(MONTH(A139)=12, Q139+W139, 0) + I139
          + AA138 + IF(MONTH(A139)=12, R139+X139, 0) - VLOOKUP(YEAR(A139), Lookup!$Q:$R, 2) + J139,
        Z138 + IF(MONTH(A139)=12, Q139+W139, 0) + I139
      ),
      VLOOKUP(YEAR(A139), Lookup!$K:$M, 3)
    ),
  B139=55,
    IF(Z138 &gt;= AD139, Z138 - AD139, 0),
  B139&gt;55, 0
)</f>
        <v>98392.69253</v>
      </c>
      <c r="AA139" s="65">
        <f>IFS(
  B139&lt;65,
    IF(AA138+J139 &lt; VLOOKUP(YEAR(A139), Lookup!$Q:$R, 2),
      AA138 + IF(MONTH(A139)=12, R138+X138, 0) + J139,
      MIN(
        AA138 + IF(MONTH(A139)=12, R138+X138, 0) + J139 ,
        VLOOKUP(YEAR(A139), Lookup!$Q:$R, 2)
      )
    ),
  B139&gt;=65,
    IF(AA138+J139 &lt; VLOOKUP(questions!$C$5, Lookup!$Q:$R, 2),
      AA138 + IF(MONTH(A139)=12, R138+X138, 0) + J139 ,
      MIN(
        AA138 + IF(MONTH(A139)=12, R138+X138, 0) + J139,
        VLOOKUP(questions!$C$5, Lookup!$Q:$R, 2)
      )
    )
)</f>
        <v>115337.6077</v>
      </c>
      <c r="AB139" s="65">
        <f t="shared" si="13"/>
        <v>0</v>
      </c>
      <c r="AC139" s="66">
        <f t="array" ref="AC139">IFS(B139&lt;66, XLOOKUP(year(A139),Lookup!$K$13:$K1000,Lookup!$L$13:$L1000,"missing",,1),B139&gt;65,XLOOKUP(questions!$C$5,Lookup!$K$13:$K1000,Lookup!$L$13:$L1000,"missing",,1))</f>
        <v>160949.3186</v>
      </c>
      <c r="AD139" s="66">
        <f t="array" ref="AD139">IFS(B139&lt;66, XLOOKUP(year(A139),Lookup!$K$13:$K1000,Lookup!$M$13:$M1000,"missing",,1),B139&gt;65, XLOOKUP(questions!$C$5,Lookup!$K$13:$K1000,Lookup!$M$13:$M1000,"missing",,1))</f>
        <v>321898.6372</v>
      </c>
      <c r="AE139" s="66">
        <f t="array" ref="AE139">IFS(B139&lt;66, XLOOKUP(year(A139),Lookup!$K$13:$K1000,Lookup!$N$13:$N1000,"missing",,1),B139&gt;65,XLOOKUP(questions!$C$5,Lookup!$K$13:$K1000,Lookup!$N$13:$N1000,"missing",,1))</f>
        <v>643797.2743</v>
      </c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</row>
    <row r="140">
      <c r="A140" s="55">
        <f t="shared" si="7"/>
        <v>50283</v>
      </c>
      <c r="B140" s="56">
        <f>round(YEARFRAC(EOMONTH(questions!$C$3, 0),A140,1),2)</f>
        <v>38.75</v>
      </c>
      <c r="C140" s="57">
        <f>IF(B140&lt;questions!$C$6,if(MONTH(A140)=1,C139*(1+questions!$C$12),C139),0)</f>
        <v>13842.33871</v>
      </c>
      <c r="D140" s="58">
        <f>IF(MONTH(A140)=12,C140*questions!$C$11,0)</f>
        <v>0</v>
      </c>
      <c r="E140" s="59">
        <f t="shared" si="2"/>
        <v>8000</v>
      </c>
      <c r="F140" s="59">
        <f t="shared" si="3"/>
        <v>0</v>
      </c>
      <c r="G140" s="60">
        <f t="array" ref="G140">if(YEAR(A140)=2025,XLOOKUP(B140,Lookup!$A$3:$A$7,Lookup!$D$3:$D$7,,1)*SUM(E140:F140), XLOOKUP(B140,Lookup!$A$14:$A$18,Lookup!$D$14:$D$18,,1)*SUM(E140:F140))</f>
        <v>2960</v>
      </c>
      <c r="H140" s="60">
        <f t="array" ref="H140">if(YEAR(A140)=2025,XLOOKUP(B140,Lookup!$F$3:$F$10,Lookup!$G$3:$G$10,,1)*G140, XLOOKUP(B140,Lookup!$F$14:$F$21,Lookup!$G$14:$G$21,,1)*G140)</f>
        <v>1680.392</v>
      </c>
      <c r="I140" s="60">
        <f t="array" ref="I140">if(B140&lt;55, if(YEAR(A140)=2025,XLOOKUP(B140,Lookup!$F$3:$F$10,Lookup!$H$3:$H$10,,1)*G140, XLOOKUP(B140,Lookup!$F$14:$F$21,Lookup!$H$14:$H$21,,1)*G140),0)</f>
        <v>559.736</v>
      </c>
      <c r="J140" s="60">
        <f t="array" ref="J140">if(YEAR(A140)=2025,XLOOKUP(B140,Lookup!$F$3:$F$10,Lookup!$I$3:$I$10,,1)*G140, XLOOKUP(B140,Lookup!$F$14:$F$21,Lookup!$I$14:$I$21,,1)*G140)</f>
        <v>719.872</v>
      </c>
      <c r="K140" s="61">
        <f t="array" ref="K140">if(B140&gt;54, if(YEAR(A140)=2025,XLOOKUP(B140,Lookup!$F$3:$F$10,Lookup!$H$3:$H$10,,1)*G140, XLOOKUP(B140,Lookup!$F$14:$F$21,Lookup!$H$14:$H$21,,1)*G140),0)</f>
        <v>0</v>
      </c>
      <c r="L140" s="62">
        <f>IF(and(A140&lt;questions!$C$19,questions!$C$18="yes"),questions!$C$20,0)</f>
        <v>700</v>
      </c>
      <c r="M140" s="63">
        <f>(Y139+H140)*Lookup!A$26/12</f>
        <v>420.1690555</v>
      </c>
      <c r="N140" s="63">
        <f>if(B140&lt;55, (Z139+I140)*Lookup!B$26/12, (AB139+K140)*Lookup!B$26/12)</f>
        <v>329.8414284</v>
      </c>
      <c r="O140" s="63">
        <f>(AA139+J140)*Lookup!C$26/12</f>
        <v>386.8582655</v>
      </c>
      <c r="P140" s="63">
        <f t="shared" si="8"/>
        <v>3304.162911</v>
      </c>
      <c r="Q140" s="63">
        <f t="shared" si="4"/>
        <v>2569.692387</v>
      </c>
      <c r="R140" s="63">
        <f t="shared" si="5"/>
        <v>3052.853613</v>
      </c>
      <c r="S140" s="64">
        <f t="shared" si="9"/>
        <v>16.66666667</v>
      </c>
      <c r="T140" s="64">
        <f t="shared" si="10"/>
        <v>33.33333333</v>
      </c>
      <c r="U140" s="64">
        <f t="shared" si="11"/>
        <v>0</v>
      </c>
      <c r="V140" s="64">
        <f t="shared" ref="V140:X140" si="148">IF(year($A140)=year($A139), V139+S140, S140)</f>
        <v>133.3333333</v>
      </c>
      <c r="W140" s="64">
        <f t="shared" si="148"/>
        <v>266.6666667</v>
      </c>
      <c r="X140" s="64">
        <f t="shared" si="148"/>
        <v>0</v>
      </c>
      <c r="Y140" s="65">
        <f>IFS(
  B140&lt;55,
    MAX(
      Y139 + IF(MONTH(A140)=12, P140+V140, 0) + H140 - L140
      + MAX(0,
          IF(AA139 &gt;= VLOOKUP(YEAR(A140), Lookup!$Q:$R, 2),
            Z139 + IF(MONTH(A140)=12, Q140+W140, 0) + I140
              + AA139 + IF(MONTH(A140)=12, R140+X140, 0)
              - VLOOKUP(YEAR(A140), Lookup!$Q:$R, 2) + J140,
            Z139 + IF(MONTH(A140)=12, Q140+W140, 0) + I140
          ) - VLOOKUP(YEAR(A140), Lookup!$K:$M, 3)
        ),
    0),
  B140=55,
    IF(Z139&gt;=AD140,
      MAX(Y139 + IF(MONTH(A140)=12, P140+V140, 0) + H140 - L140, 0),
      MAX(MAX(0, Y139-(AD140-Z139)) + IF(MONTH(A140)=12, P140+V140, 0) + H140 - L140, 0)
    ),
  B140&gt;55,
    IF(AB139&gt;=$AH$7,
      MAX(Y139 + IF(MONTH(A140)=12, P140+V140, 0) + H140 - L140 + K140 + Z139, 0),
      MAX(Y139 + IF(MONTH(A140)=12, P140+V140, 0) + H140 - L140, 0)
    )
)</f>
        <v>200981.1466</v>
      </c>
      <c r="Z140" s="65">
        <f>IFS(
  B140&lt;55,
    MIN(
      IF(AA139 &gt;= VLOOKUP(YEAR(A140), Lookup!$Q:$R, 2),
        Z139 + IF(MONTH(A140)=12, Q140+W140, 0) + I140
          + AA139 + IF(MONTH(A140)=12, R140+X140, 0) - VLOOKUP(YEAR(A140), Lookup!$Q:$R, 2) + J140,
        Z139 + IF(MONTH(A140)=12, Q140+W140, 0) + I140
      ),
      VLOOKUP(YEAR(A140), Lookup!$K:$M, 3)
    ),
  B140=55,
    IF(Z139 &gt;= AD140, Z139 - AD140, 0),
  B140&gt;55, 0
)</f>
        <v>99672.30053</v>
      </c>
      <c r="AA140" s="65">
        <f>IFS(
  B140&lt;65,
    IF(AA139+J140 &lt; VLOOKUP(YEAR(A140), Lookup!$Q:$R, 2),
      AA139 + IF(MONTH(A140)=12, R139+X139, 0) + J140,
      MIN(
        AA139 + IF(MONTH(A140)=12, R139+X139, 0) + J140 ,
        VLOOKUP(YEAR(A140), Lookup!$Q:$R, 2)
      )
    ),
  B140&gt;=65,
    IF(AA139+J140 &lt; VLOOKUP(questions!$C$5, Lookup!$Q:$R, 2),
      AA139 + IF(MONTH(A140)=12, R139+X139, 0) + J140 ,
      MIN(
        AA139 + IF(MONTH(A140)=12, R139+X139, 0) + J140,
        VLOOKUP(questions!$C$5, Lookup!$Q:$R, 2)
      )
    )
)</f>
        <v>115337.6077</v>
      </c>
      <c r="AB140" s="65">
        <f t="shared" si="13"/>
        <v>0</v>
      </c>
      <c r="AC140" s="66">
        <f t="array" ref="AC140">IFS(B140&lt;66, XLOOKUP(year(A140),Lookup!$K$13:$K1000,Lookup!$L$13:$L1000,"missing",,1),B140&gt;65,XLOOKUP(questions!$C$5,Lookup!$K$13:$K1000,Lookup!$L$13:$L1000,"missing",,1))</f>
        <v>160949.3186</v>
      </c>
      <c r="AD140" s="66">
        <f t="array" ref="AD140">IFS(B140&lt;66, XLOOKUP(year(A140),Lookup!$K$13:$K1000,Lookup!$M$13:$M1000,"missing",,1),B140&gt;65, XLOOKUP(questions!$C$5,Lookup!$K$13:$K1000,Lookup!$M$13:$M1000,"missing",,1))</f>
        <v>321898.6372</v>
      </c>
      <c r="AE140" s="66">
        <f t="array" ref="AE140">IFS(B140&lt;66, XLOOKUP(year(A140),Lookup!$K$13:$K1000,Lookup!$N$13:$N1000,"missing",,1),B140&gt;65,XLOOKUP(questions!$C$5,Lookup!$K$13:$K1000,Lookup!$N$13:$N1000,"missing",,1))</f>
        <v>643797.2743</v>
      </c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</row>
    <row r="141">
      <c r="A141" s="55">
        <f t="shared" si="7"/>
        <v>50313</v>
      </c>
      <c r="B141" s="56">
        <f>round(YEARFRAC(EOMONTH(questions!$C$3, 0),A141,1),2)</f>
        <v>38.83</v>
      </c>
      <c r="C141" s="57">
        <f>IF(B141&lt;questions!$C$6,if(MONTH(A141)=1,C140*(1+questions!$C$12),C140),0)</f>
        <v>13842.33871</v>
      </c>
      <c r="D141" s="58">
        <f>IF(MONTH(A141)=12,C141*questions!$C$11,0)</f>
        <v>0</v>
      </c>
      <c r="E141" s="59">
        <f t="shared" si="2"/>
        <v>8000</v>
      </c>
      <c r="F141" s="59">
        <f t="shared" si="3"/>
        <v>0</v>
      </c>
      <c r="G141" s="60">
        <f t="array" ref="G141">if(YEAR(A141)=2025,XLOOKUP(B141,Lookup!$A$3:$A$7,Lookup!$D$3:$D$7,,1)*SUM(E141:F141), XLOOKUP(B141,Lookup!$A$14:$A$18,Lookup!$D$14:$D$18,,1)*SUM(E141:F141))</f>
        <v>2960</v>
      </c>
      <c r="H141" s="60">
        <f t="array" ref="H141">if(YEAR(A141)=2025,XLOOKUP(B141,Lookup!$F$3:$F$10,Lookup!$G$3:$G$10,,1)*G141, XLOOKUP(B141,Lookup!$F$14:$F$21,Lookup!$G$14:$G$21,,1)*G141)</f>
        <v>1680.392</v>
      </c>
      <c r="I141" s="60">
        <f t="array" ref="I141">if(B141&lt;55, if(YEAR(A141)=2025,XLOOKUP(B141,Lookup!$F$3:$F$10,Lookup!$H$3:$H$10,,1)*G141, XLOOKUP(B141,Lookup!$F$14:$F$21,Lookup!$H$14:$H$21,,1)*G141),0)</f>
        <v>559.736</v>
      </c>
      <c r="J141" s="60">
        <f t="array" ref="J141">if(YEAR(A141)=2025,XLOOKUP(B141,Lookup!$F$3:$F$10,Lookup!$I$3:$I$10,,1)*G141, XLOOKUP(B141,Lookup!$F$14:$F$21,Lookup!$I$14:$I$21,,1)*G141)</f>
        <v>719.872</v>
      </c>
      <c r="K141" s="61">
        <f t="array" ref="K141">if(B141&gt;54, if(YEAR(A141)=2025,XLOOKUP(B141,Lookup!$F$3:$F$10,Lookup!$H$3:$H$10,,1)*G141, XLOOKUP(B141,Lookup!$F$14:$F$21,Lookup!$H$14:$H$21,,1)*G141),0)</f>
        <v>0</v>
      </c>
      <c r="L141" s="62">
        <f>IF(and(A141&lt;questions!$C$19,questions!$C$18="yes"),questions!$C$20,0)</f>
        <v>700</v>
      </c>
      <c r="M141" s="63">
        <f>(Y140+H141)*Lookup!A$26/12</f>
        <v>422.2115388</v>
      </c>
      <c r="N141" s="63">
        <f>if(B141&lt;55, (Z140+I141)*Lookup!B$26/12, (AB140+K141)*Lookup!B$26/12)</f>
        <v>334.1067884</v>
      </c>
      <c r="O141" s="63">
        <f>(AA140+J141)*Lookup!C$26/12</f>
        <v>386.8582655</v>
      </c>
      <c r="P141" s="63">
        <f t="shared" si="8"/>
        <v>3726.37445</v>
      </c>
      <c r="Q141" s="63">
        <f t="shared" si="4"/>
        <v>2903.799176</v>
      </c>
      <c r="R141" s="63">
        <f t="shared" si="5"/>
        <v>3439.711878</v>
      </c>
      <c r="S141" s="64">
        <f t="shared" si="9"/>
        <v>16.66666667</v>
      </c>
      <c r="T141" s="64">
        <f t="shared" si="10"/>
        <v>33.33333333</v>
      </c>
      <c r="U141" s="64">
        <f t="shared" si="11"/>
        <v>0</v>
      </c>
      <c r="V141" s="64">
        <f t="shared" ref="V141:X141" si="149">IF(year($A141)=year($A140), V140+S141, S141)</f>
        <v>150</v>
      </c>
      <c r="W141" s="64">
        <f t="shared" si="149"/>
        <v>300</v>
      </c>
      <c r="X141" s="64">
        <f t="shared" si="149"/>
        <v>0</v>
      </c>
      <c r="Y141" s="65">
        <f>IFS(
  B141&lt;55,
    MAX(
      Y140 + IF(MONTH(A141)=12, P141+V141, 0) + H141 - L141
      + MAX(0,
          IF(AA140 &gt;= VLOOKUP(YEAR(A141), Lookup!$Q:$R, 2),
            Z140 + IF(MONTH(A141)=12, Q141+W141, 0) + I141
              + AA140 + IF(MONTH(A141)=12, R141+X141, 0)
              - VLOOKUP(YEAR(A141), Lookup!$Q:$R, 2) + J141,
            Z140 + IF(MONTH(A141)=12, Q141+W141, 0) + I141
          ) - VLOOKUP(YEAR(A141), Lookup!$K:$M, 3)
        ),
    0),
  B141=55,
    IF(Z140&gt;=AD141,
      MAX(Y140 + IF(MONTH(A141)=12, P141+V141, 0) + H141 - L141, 0),
      MAX(MAX(0, Y140-(AD141-Z140)) + IF(MONTH(A141)=12, P141+V141, 0) + H141 - L141, 0)
    ),
  B141&gt;55,
    IF(AB140&gt;=$AH$7,
      MAX(Y140 + IF(MONTH(A141)=12, P141+V141, 0) + H141 - L141 + K141 + Z140, 0),
      MAX(Y140 + IF(MONTH(A141)=12, P141+V141, 0) + H141 - L141, 0)
    )
)</f>
        <v>201961.5386</v>
      </c>
      <c r="Z141" s="65">
        <f>IFS(
  B141&lt;55,
    MIN(
      IF(AA140 &gt;= VLOOKUP(YEAR(A141), Lookup!$Q:$R, 2),
        Z140 + IF(MONTH(A141)=12, Q141+W141, 0) + I141
          + AA140 + IF(MONTH(A141)=12, R141+X141, 0) - VLOOKUP(YEAR(A141), Lookup!$Q:$R, 2) + J141,
        Z140 + IF(MONTH(A141)=12, Q141+W141, 0) + I141
      ),
      VLOOKUP(YEAR(A141), Lookup!$K:$M, 3)
    ),
  B141=55,
    IF(Z140 &gt;= AD141, Z140 - AD141, 0),
  B141&gt;55, 0
)</f>
        <v>100951.9085</v>
      </c>
      <c r="AA141" s="65">
        <f>IFS(
  B141&lt;65,
    IF(AA140+J141 &lt; VLOOKUP(YEAR(A141), Lookup!$Q:$R, 2),
      AA140 + IF(MONTH(A141)=12, R140+X140, 0) + J141,
      MIN(
        AA140 + IF(MONTH(A141)=12, R140+X140, 0) + J141 ,
        VLOOKUP(YEAR(A141), Lookup!$Q:$R, 2)
      )
    ),
  B141&gt;=65,
    IF(AA140+J141 &lt; VLOOKUP(questions!$C$5, Lookup!$Q:$R, 2),
      AA140 + IF(MONTH(A141)=12, R140+X140, 0) + J141 ,
      MIN(
        AA140 + IF(MONTH(A141)=12, R140+X140, 0) + J141,
        VLOOKUP(questions!$C$5, Lookup!$Q:$R, 2)
      )
    )
)</f>
        <v>115337.6077</v>
      </c>
      <c r="AB141" s="65">
        <f t="shared" si="13"/>
        <v>0</v>
      </c>
      <c r="AC141" s="66">
        <f t="array" ref="AC141">IFS(B141&lt;66, XLOOKUP(year(A141),Lookup!$K$13:$K1000,Lookup!$L$13:$L1000,"missing",,1),B141&gt;65,XLOOKUP(questions!$C$5,Lookup!$K$13:$K1000,Lookup!$L$13:$L1000,"missing",,1))</f>
        <v>160949.3186</v>
      </c>
      <c r="AD141" s="66">
        <f t="array" ref="AD141">IFS(B141&lt;66, XLOOKUP(year(A141),Lookup!$K$13:$K1000,Lookup!$M$13:$M1000,"missing",,1),B141&gt;65, XLOOKUP(questions!$C$5,Lookup!$K$13:$K1000,Lookup!$M$13:$M1000,"missing",,1))</f>
        <v>321898.6372</v>
      </c>
      <c r="AE141" s="66">
        <f t="array" ref="AE141">IFS(B141&lt;66, XLOOKUP(year(A141),Lookup!$K$13:$K1000,Lookup!$N$13:$N1000,"missing",,1),B141&gt;65,XLOOKUP(questions!$C$5,Lookup!$K$13:$K1000,Lookup!$N$13:$N1000,"missing",,1))</f>
        <v>643797.2743</v>
      </c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</row>
    <row r="142">
      <c r="A142" s="55">
        <f t="shared" si="7"/>
        <v>50344</v>
      </c>
      <c r="B142" s="56">
        <f>round(YEARFRAC(EOMONTH(questions!$C$3, 0),A142,1),2)</f>
        <v>38.92</v>
      </c>
      <c r="C142" s="57">
        <f>IF(B142&lt;questions!$C$6,if(MONTH(A142)=1,C141*(1+questions!$C$12),C141),0)</f>
        <v>13842.33871</v>
      </c>
      <c r="D142" s="58">
        <f>IF(MONTH(A142)=12,C142*questions!$C$11,0)</f>
        <v>0</v>
      </c>
      <c r="E142" s="59">
        <f t="shared" si="2"/>
        <v>8000</v>
      </c>
      <c r="F142" s="59">
        <f t="shared" si="3"/>
        <v>0</v>
      </c>
      <c r="G142" s="60">
        <f t="array" ref="G142">if(YEAR(A142)=2025,XLOOKUP(B142,Lookup!$A$3:$A$7,Lookup!$D$3:$D$7,,1)*SUM(E142:F142), XLOOKUP(B142,Lookup!$A$14:$A$18,Lookup!$D$14:$D$18,,1)*SUM(E142:F142))</f>
        <v>2960</v>
      </c>
      <c r="H142" s="60">
        <f t="array" ref="H142">if(YEAR(A142)=2025,XLOOKUP(B142,Lookup!$F$3:$F$10,Lookup!$G$3:$G$10,,1)*G142, XLOOKUP(B142,Lookup!$F$14:$F$21,Lookup!$G$14:$G$21,,1)*G142)</f>
        <v>1680.392</v>
      </c>
      <c r="I142" s="60">
        <f t="array" ref="I142">if(B142&lt;55, if(YEAR(A142)=2025,XLOOKUP(B142,Lookup!$F$3:$F$10,Lookup!$H$3:$H$10,,1)*G142, XLOOKUP(B142,Lookup!$F$14:$F$21,Lookup!$H$14:$H$21,,1)*G142),0)</f>
        <v>559.736</v>
      </c>
      <c r="J142" s="60">
        <f t="array" ref="J142">if(YEAR(A142)=2025,XLOOKUP(B142,Lookup!$F$3:$F$10,Lookup!$I$3:$I$10,,1)*G142, XLOOKUP(B142,Lookup!$F$14:$F$21,Lookup!$I$14:$I$21,,1)*G142)</f>
        <v>719.872</v>
      </c>
      <c r="K142" s="61">
        <f t="array" ref="K142">if(B142&gt;54, if(YEAR(A142)=2025,XLOOKUP(B142,Lookup!$F$3:$F$10,Lookup!$H$3:$H$10,,1)*G142, XLOOKUP(B142,Lookup!$F$14:$F$21,Lookup!$H$14:$H$21,,1)*G142),0)</f>
        <v>0</v>
      </c>
      <c r="L142" s="62">
        <f>IF(and(A142&lt;questions!$C$19,questions!$C$18="yes"),questions!$C$20,0)</f>
        <v>700</v>
      </c>
      <c r="M142" s="63">
        <f>(Y141+H142)*Lookup!A$26/12</f>
        <v>424.2540222</v>
      </c>
      <c r="N142" s="63">
        <f>if(B142&lt;55, (Z141+I142)*Lookup!B$26/12, (AB141+K142)*Lookup!B$26/12)</f>
        <v>338.3721484</v>
      </c>
      <c r="O142" s="63">
        <f>(AA141+J142)*Lookup!C$26/12</f>
        <v>386.8582655</v>
      </c>
      <c r="P142" s="63">
        <f t="shared" si="8"/>
        <v>4150.628472</v>
      </c>
      <c r="Q142" s="63">
        <f t="shared" si="4"/>
        <v>3242.171324</v>
      </c>
      <c r="R142" s="63">
        <f t="shared" si="5"/>
        <v>3826.570144</v>
      </c>
      <c r="S142" s="64">
        <f t="shared" si="9"/>
        <v>16.66666667</v>
      </c>
      <c r="T142" s="64">
        <f t="shared" si="10"/>
        <v>33.33333333</v>
      </c>
      <c r="U142" s="64">
        <f t="shared" si="11"/>
        <v>0</v>
      </c>
      <c r="V142" s="64">
        <f t="shared" ref="V142:X142" si="150">IF(year($A142)=year($A141), V141+S142, S142)</f>
        <v>166.6666667</v>
      </c>
      <c r="W142" s="64">
        <f t="shared" si="150"/>
        <v>333.3333333</v>
      </c>
      <c r="X142" s="64">
        <f t="shared" si="150"/>
        <v>0</v>
      </c>
      <c r="Y142" s="65">
        <f>IFS(
  B142&lt;55,
    MAX(
      Y141 + IF(MONTH(A142)=12, P142+V142, 0) + H142 - L142
      + MAX(0,
          IF(AA141 &gt;= VLOOKUP(YEAR(A142), Lookup!$Q:$R, 2),
            Z141 + IF(MONTH(A142)=12, Q142+W142, 0) + I142
              + AA141 + IF(MONTH(A142)=12, R142+X142, 0)
              - VLOOKUP(YEAR(A142), Lookup!$Q:$R, 2) + J142,
            Z141 + IF(MONTH(A142)=12, Q142+W142, 0) + I142
          ) - VLOOKUP(YEAR(A142), Lookup!$K:$M, 3)
        ),
    0),
  B142=55,
    IF(Z141&gt;=AD142,
      MAX(Y141 + IF(MONTH(A142)=12, P142+V142, 0) + H142 - L142, 0),
      MAX(MAX(0, Y141-(AD142-Z141)) + IF(MONTH(A142)=12, P142+V142, 0) + H142 - L142, 0)
    ),
  B142&gt;55,
    IF(AB141&gt;=$AH$7,
      MAX(Y141 + IF(MONTH(A142)=12, P142+V142, 0) + H142 - L142 + K142 + Z141, 0),
      MAX(Y141 + IF(MONTH(A142)=12, P142+V142, 0) + H142 - L142, 0)
    )
)</f>
        <v>202941.9306</v>
      </c>
      <c r="Z142" s="65">
        <f>IFS(
  B142&lt;55,
    MIN(
      IF(AA141 &gt;= VLOOKUP(YEAR(A142), Lookup!$Q:$R, 2),
        Z141 + IF(MONTH(A142)=12, Q142+W142, 0) + I142
          + AA141 + IF(MONTH(A142)=12, R142+X142, 0) - VLOOKUP(YEAR(A142), Lookup!$Q:$R, 2) + J142,
        Z141 + IF(MONTH(A142)=12, Q142+W142, 0) + I142
      ),
      VLOOKUP(YEAR(A142), Lookup!$K:$M, 3)
    ),
  B142=55,
    IF(Z141 &gt;= AD142, Z141 - AD142, 0),
  B142&gt;55, 0
)</f>
        <v>102231.5165</v>
      </c>
      <c r="AA142" s="65">
        <f>IFS(
  B142&lt;65,
    IF(AA141+J142 &lt; VLOOKUP(YEAR(A142), Lookup!$Q:$R, 2),
      AA141 + IF(MONTH(A142)=12, R141+X141, 0) + J142,
      MIN(
        AA141 + IF(MONTH(A142)=12, R141+X141, 0) + J142 ,
        VLOOKUP(YEAR(A142), Lookup!$Q:$R, 2)
      )
    ),
  B142&gt;=65,
    IF(AA141+J142 &lt; VLOOKUP(questions!$C$5, Lookup!$Q:$R, 2),
      AA141 + IF(MONTH(A142)=12, R141+X141, 0) + J142 ,
      MIN(
        AA141 + IF(MONTH(A142)=12, R141+X141, 0) + J142,
        VLOOKUP(questions!$C$5, Lookup!$Q:$R, 2)
      )
    )
)</f>
        <v>115337.6077</v>
      </c>
      <c r="AB142" s="65">
        <f t="shared" si="13"/>
        <v>0</v>
      </c>
      <c r="AC142" s="66">
        <f t="array" ref="AC142">IFS(B142&lt;66, XLOOKUP(year(A142),Lookup!$K$13:$K1000,Lookup!$L$13:$L1000,"missing",,1),B142&gt;65,XLOOKUP(questions!$C$5,Lookup!$K$13:$K1000,Lookup!$L$13:$L1000,"missing",,1))</f>
        <v>160949.3186</v>
      </c>
      <c r="AD142" s="66">
        <f t="array" ref="AD142">IFS(B142&lt;66, XLOOKUP(year(A142),Lookup!$K$13:$K1000,Lookup!$M$13:$M1000,"missing",,1),B142&gt;65, XLOOKUP(questions!$C$5,Lookup!$K$13:$K1000,Lookup!$M$13:$M1000,"missing",,1))</f>
        <v>321898.6372</v>
      </c>
      <c r="AE142" s="66">
        <f t="array" ref="AE142">IFS(B142&lt;66, XLOOKUP(year(A142),Lookup!$K$13:$K1000,Lookup!$N$13:$N1000,"missing",,1),B142&gt;65,XLOOKUP(questions!$C$5,Lookup!$K$13:$K1000,Lookup!$N$13:$N1000,"missing",,1))</f>
        <v>643797.2743</v>
      </c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</row>
    <row r="143">
      <c r="A143" s="55">
        <f t="shared" si="7"/>
        <v>50374</v>
      </c>
      <c r="B143" s="56">
        <f>round(YEARFRAC(EOMONTH(questions!$C$3, 0),A143,1),2)</f>
        <v>39</v>
      </c>
      <c r="C143" s="57">
        <f>IF(B143&lt;questions!$C$6,if(MONTH(A143)=1,C142*(1+questions!$C$12),C142),0)</f>
        <v>13842.33871</v>
      </c>
      <c r="D143" s="58">
        <f>IF(MONTH(A143)=12,C143*questions!$C$11,0)</f>
        <v>0</v>
      </c>
      <c r="E143" s="59">
        <f t="shared" si="2"/>
        <v>8000</v>
      </c>
      <c r="F143" s="59">
        <f t="shared" si="3"/>
        <v>0</v>
      </c>
      <c r="G143" s="60">
        <f t="array" ref="G143">if(YEAR(A143)=2025,XLOOKUP(B143,Lookup!$A$3:$A$7,Lookup!$D$3:$D$7,,1)*SUM(E143:F143), XLOOKUP(B143,Lookup!$A$14:$A$18,Lookup!$D$14:$D$18,,1)*SUM(E143:F143))</f>
        <v>2960</v>
      </c>
      <c r="H143" s="60">
        <f t="array" ref="H143">if(YEAR(A143)=2025,XLOOKUP(B143,Lookup!$F$3:$F$10,Lookup!$G$3:$G$10,,1)*G143, XLOOKUP(B143,Lookup!$F$14:$F$21,Lookup!$G$14:$G$21,,1)*G143)</f>
        <v>1680.392</v>
      </c>
      <c r="I143" s="60">
        <f t="array" ref="I143">if(B143&lt;55, if(YEAR(A143)=2025,XLOOKUP(B143,Lookup!$F$3:$F$10,Lookup!$H$3:$H$10,,1)*G143, XLOOKUP(B143,Lookup!$F$14:$F$21,Lookup!$H$14:$H$21,,1)*G143),0)</f>
        <v>559.736</v>
      </c>
      <c r="J143" s="60">
        <f t="array" ref="J143">if(YEAR(A143)=2025,XLOOKUP(B143,Lookup!$F$3:$F$10,Lookup!$I$3:$I$10,,1)*G143, XLOOKUP(B143,Lookup!$F$14:$F$21,Lookup!$I$14:$I$21,,1)*G143)</f>
        <v>719.872</v>
      </c>
      <c r="K143" s="61">
        <f t="array" ref="K143">if(B143&gt;54, if(YEAR(A143)=2025,XLOOKUP(B143,Lookup!$F$3:$F$10,Lookup!$H$3:$H$10,,1)*G143, XLOOKUP(B143,Lookup!$F$14:$F$21,Lookup!$H$14:$H$21,,1)*G143),0)</f>
        <v>0</v>
      </c>
      <c r="L143" s="62">
        <f>IF(and(A143&lt;questions!$C$19,questions!$C$18="yes"),questions!$C$20,0)</f>
        <v>700</v>
      </c>
      <c r="M143" s="63">
        <f>(Y142+H143)*Lookup!A$26/12</f>
        <v>426.2965055</v>
      </c>
      <c r="N143" s="63">
        <f>if(B143&lt;55, (Z142+I143)*Lookup!B$26/12, (AB142+K143)*Lookup!B$26/12)</f>
        <v>342.6375084</v>
      </c>
      <c r="O143" s="63">
        <f>(AA142+J143)*Lookup!C$26/12</f>
        <v>386.8582655</v>
      </c>
      <c r="P143" s="63">
        <f t="shared" si="8"/>
        <v>4576.924977</v>
      </c>
      <c r="Q143" s="63">
        <f t="shared" si="4"/>
        <v>3584.808833</v>
      </c>
      <c r="R143" s="63">
        <f t="shared" si="5"/>
        <v>4213.428409</v>
      </c>
      <c r="S143" s="64">
        <f t="shared" si="9"/>
        <v>16.66666667</v>
      </c>
      <c r="T143" s="64">
        <f t="shared" si="10"/>
        <v>33.33333333</v>
      </c>
      <c r="U143" s="64">
        <f t="shared" si="11"/>
        <v>0</v>
      </c>
      <c r="V143" s="64">
        <f t="shared" ref="V143:X143" si="151">IF(year($A143)=year($A142), V142+S143, S143)</f>
        <v>183.3333333</v>
      </c>
      <c r="W143" s="64">
        <f t="shared" si="151"/>
        <v>366.6666667</v>
      </c>
      <c r="X143" s="64">
        <f t="shared" si="151"/>
        <v>0</v>
      </c>
      <c r="Y143" s="65">
        <f>IFS(
  B143&lt;55,
    MAX(
      Y142 + IF(MONTH(A143)=12, P143+V143, 0) + H143 - L143
      + MAX(0,
          IF(AA142 &gt;= VLOOKUP(YEAR(A143), Lookup!$Q:$R, 2),
            Z142 + IF(MONTH(A143)=12, Q143+W143, 0) + I143
              + AA142 + IF(MONTH(A143)=12, R143+X143, 0)
              - VLOOKUP(YEAR(A143), Lookup!$Q:$R, 2) + J143,
            Z142 + IF(MONTH(A143)=12, Q143+W143, 0) + I143
          ) - VLOOKUP(YEAR(A143), Lookup!$K:$M, 3)
        ),
    0),
  B143=55,
    IF(Z142&gt;=AD143,
      MAX(Y142 + IF(MONTH(A143)=12, P143+V143, 0) + H143 - L143, 0),
      MAX(MAX(0, Y142-(AD143-Z142)) + IF(MONTH(A143)=12, P143+V143, 0) + H143 - L143, 0)
    ),
  B143&gt;55,
    IF(AB142&gt;=$AH$7,
      MAX(Y142 + IF(MONTH(A143)=12, P143+V143, 0) + H143 - L143 + K143 + Z142, 0),
      MAX(Y142 + IF(MONTH(A143)=12, P143+V143, 0) + H143 - L143, 0)
    )
)</f>
        <v>203922.3226</v>
      </c>
      <c r="Z143" s="65">
        <f>IFS(
  B143&lt;55,
    MIN(
      IF(AA142 &gt;= VLOOKUP(YEAR(A143), Lookup!$Q:$R, 2),
        Z142 + IF(MONTH(A143)=12, Q143+W143, 0) + I143
          + AA142 + IF(MONTH(A143)=12, R143+X143, 0) - VLOOKUP(YEAR(A143), Lookup!$Q:$R, 2) + J143,
        Z142 + IF(MONTH(A143)=12, Q143+W143, 0) + I143
      ),
      VLOOKUP(YEAR(A143), Lookup!$K:$M, 3)
    ),
  B143=55,
    IF(Z142 &gt;= AD143, Z142 - AD143, 0),
  B143&gt;55, 0
)</f>
        <v>103511.1245</v>
      </c>
      <c r="AA143" s="65">
        <f>IFS(
  B143&lt;65,
    IF(AA142+J143 &lt; VLOOKUP(YEAR(A143), Lookup!$Q:$R, 2),
      AA142 + IF(MONTH(A143)=12, R142+X142, 0) + J143,
      MIN(
        AA142 + IF(MONTH(A143)=12, R142+X142, 0) + J143 ,
        VLOOKUP(YEAR(A143), Lookup!$Q:$R, 2)
      )
    ),
  B143&gt;=65,
    IF(AA142+J143 &lt; VLOOKUP(questions!$C$5, Lookup!$Q:$R, 2),
      AA142 + IF(MONTH(A143)=12, R142+X142, 0) + J143 ,
      MIN(
        AA142 + IF(MONTH(A143)=12, R142+X142, 0) + J143,
        VLOOKUP(questions!$C$5, Lookup!$Q:$R, 2)
      )
    )
)</f>
        <v>115337.6077</v>
      </c>
      <c r="AB143" s="65">
        <f t="shared" si="13"/>
        <v>0</v>
      </c>
      <c r="AC143" s="66">
        <f t="array" ref="AC143">IFS(B143&lt;66, XLOOKUP(year(A143),Lookup!$K$13:$K1000,Lookup!$L$13:$L1000,"missing",,1),B143&gt;65,XLOOKUP(questions!$C$5,Lookup!$K$13:$K1000,Lookup!$L$13:$L1000,"missing",,1))</f>
        <v>160949.3186</v>
      </c>
      <c r="AD143" s="66">
        <f t="array" ref="AD143">IFS(B143&lt;66, XLOOKUP(year(A143),Lookup!$K$13:$K1000,Lookup!$M$13:$M1000,"missing",,1),B143&gt;65, XLOOKUP(questions!$C$5,Lookup!$K$13:$K1000,Lookup!$M$13:$M1000,"missing",,1))</f>
        <v>321898.6372</v>
      </c>
      <c r="AE143" s="66">
        <f t="array" ref="AE143">IFS(B143&lt;66, XLOOKUP(year(A143),Lookup!$K$13:$K1000,Lookup!$N$13:$N1000,"missing",,1),B143&gt;65,XLOOKUP(questions!$C$5,Lookup!$K$13:$K1000,Lookup!$N$13:$N1000,"missing",,1))</f>
        <v>643797.2743</v>
      </c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</row>
    <row r="144">
      <c r="A144" s="55">
        <f t="shared" si="7"/>
        <v>50405</v>
      </c>
      <c r="B144" s="56">
        <f>round(YEARFRAC(EOMONTH(questions!$C$3, 0),A144,1),2)</f>
        <v>39.08</v>
      </c>
      <c r="C144" s="57">
        <f>IF(B144&lt;questions!$C$6,if(MONTH(A144)=1,C143*(1+questions!$C$12),C143),0)</f>
        <v>13842.33871</v>
      </c>
      <c r="D144" s="57">
        <f>IF(MONTH(A144)=12,C144*questions!$C$11,0)</f>
        <v>13842.33871</v>
      </c>
      <c r="E144" s="59">
        <f t="shared" si="2"/>
        <v>8000</v>
      </c>
      <c r="F144" s="59">
        <f t="shared" si="3"/>
        <v>6000</v>
      </c>
      <c r="G144" s="60">
        <f t="array" ref="G144">if(YEAR(A144)=2025,XLOOKUP(B144,Lookup!$A$3:$A$7,Lookup!$D$3:$D$7,,1)*SUM(E144:F144), XLOOKUP(B144,Lookup!$A$14:$A$18,Lookup!$D$14:$D$18,,1)*SUM(E144:F144))</f>
        <v>5180</v>
      </c>
      <c r="H144" s="60">
        <f t="array" ref="H144">if(YEAR(A144)=2025,XLOOKUP(B144,Lookup!$F$3:$F$10,Lookup!$G$3:$G$10,,1)*G144, XLOOKUP(B144,Lookup!$F$14:$F$21,Lookup!$G$14:$G$21,,1)*G144)</f>
        <v>2940.686</v>
      </c>
      <c r="I144" s="60">
        <f t="array" ref="I144">if(B144&lt;55, if(YEAR(A144)=2025,XLOOKUP(B144,Lookup!$F$3:$F$10,Lookup!$H$3:$H$10,,1)*G144, XLOOKUP(B144,Lookup!$F$14:$F$21,Lookup!$H$14:$H$21,,1)*G144),0)</f>
        <v>979.538</v>
      </c>
      <c r="J144" s="60">
        <f t="array" ref="J144">if(YEAR(A144)=2025,XLOOKUP(B144,Lookup!$F$3:$F$10,Lookup!$I$3:$I$10,,1)*G144, XLOOKUP(B144,Lookup!$F$14:$F$21,Lookup!$I$14:$I$21,,1)*G144)</f>
        <v>1259.776</v>
      </c>
      <c r="K144" s="61">
        <f t="array" ref="K144">if(B144&gt;54, if(YEAR(A144)=2025,XLOOKUP(B144,Lookup!$F$3:$F$10,Lookup!$H$3:$H$10,,1)*G144, XLOOKUP(B144,Lookup!$F$14:$F$21,Lookup!$H$14:$H$21,,1)*G144),0)</f>
        <v>0</v>
      </c>
      <c r="L144" s="62">
        <f>IF(and(A144&lt;questions!$C$19,questions!$C$18="yes"),questions!$C$20,0)</f>
        <v>700</v>
      </c>
      <c r="M144" s="63">
        <f>(Y143+H144)*Lookup!A$26/12</f>
        <v>430.9646013</v>
      </c>
      <c r="N144" s="63">
        <f>if(B144&lt;55, (Z143+I144)*Lookup!B$26/12, (AB143+K144)*Lookup!B$26/12)</f>
        <v>348.3022084</v>
      </c>
      <c r="O144" s="63">
        <f>(AA143+J144)*Lookup!C$26/12</f>
        <v>388.6579455</v>
      </c>
      <c r="P144" s="63">
        <f t="shared" si="8"/>
        <v>5007.889579</v>
      </c>
      <c r="Q144" s="63">
        <f t="shared" si="4"/>
        <v>3933.111041</v>
      </c>
      <c r="R144" s="63">
        <f t="shared" si="5"/>
        <v>4602.086355</v>
      </c>
      <c r="S144" s="64">
        <f t="shared" si="9"/>
        <v>16.66666667</v>
      </c>
      <c r="T144" s="64">
        <f t="shared" si="10"/>
        <v>33.33333333</v>
      </c>
      <c r="U144" s="64">
        <f t="shared" si="11"/>
        <v>0</v>
      </c>
      <c r="V144" s="64">
        <f t="shared" ref="V144:X144" si="152">IF(year($A144)=year($A143), V143+S144, S144)</f>
        <v>200</v>
      </c>
      <c r="W144" s="64">
        <f t="shared" si="152"/>
        <v>400</v>
      </c>
      <c r="X144" s="64">
        <f t="shared" si="152"/>
        <v>0</v>
      </c>
      <c r="Y144" s="65">
        <f>IFS(
  B144&lt;55,
    MAX(
      Y143 + IF(MONTH(A144)=12, P144+V144, 0) + H144 - L144
      + MAX(0,
          IF(AA143 &gt;= VLOOKUP(YEAR(A144), Lookup!$Q:$R, 2),
            Z143 + IF(MONTH(A144)=12, Q144+W144, 0) + I144
              + AA143 + IF(MONTH(A144)=12, R144+X144, 0)
              - VLOOKUP(YEAR(A144), Lookup!$Q:$R, 2) + J144,
            Z143 + IF(MONTH(A144)=12, Q144+W144, 0) + I144
          ) - VLOOKUP(YEAR(A144), Lookup!$K:$M, 3)
        ),
    0),
  B144=55,
    IF(Z143&gt;=AD144,
      MAX(Y143 + IF(MONTH(A144)=12, P144+V144, 0) + H144 - L144, 0),
      MAX(MAX(0, Y143-(AD144-Z143)) + IF(MONTH(A144)=12, P144+V144, 0) + H144 - L144, 0)
    ),
  B144&gt;55,
    IF(AB143&gt;=$AH$7,
      MAX(Y143 + IF(MONTH(A144)=12, P144+V144, 0) + H144 - L144 + K144 + Z143, 0),
      MAX(Y143 + IF(MONTH(A144)=12, P144+V144, 0) + H144 - L144, 0)
    )
)</f>
        <v>211370.8982</v>
      </c>
      <c r="Z144" s="65">
        <f>IFS(
  B144&lt;55,
    MIN(
      IF(AA143 &gt;= VLOOKUP(YEAR(A144), Lookup!$Q:$R, 2),
        Z143 + IF(MONTH(A144)=12, Q144+W144, 0) + I144
          + AA143 + IF(MONTH(A144)=12, R144+X144, 0) - VLOOKUP(YEAR(A144), Lookup!$Q:$R, 2) + J144,
        Z143 + IF(MONTH(A144)=12, Q144+W144, 0) + I144
      ),
      VLOOKUP(YEAR(A144), Lookup!$K:$M, 3)
    ),
  B144=55,
    IF(Z143 &gt;= AD144, Z143 - AD144, 0),
  B144&gt;55, 0
)</f>
        <v>114685.6359</v>
      </c>
      <c r="AA144" s="65">
        <f>IFS(
  B144&lt;65,
    IF(AA143+J144 &lt; VLOOKUP(YEAR(A144), Lookup!$Q:$R, 2),
      AA143 + IF(MONTH(A144)=12, R143+X143, 0) + J144,
      MIN(
        AA143 + IF(MONTH(A144)=12, R143+X143, 0) + J144 ,
        VLOOKUP(YEAR(A144), Lookup!$Q:$R, 2)
      )
    ),
  B144&gt;=65,
    IF(AA143+J144 &lt; VLOOKUP(questions!$C$5, Lookup!$Q:$R, 2),
      AA143 + IF(MONTH(A144)=12, R143+X143, 0) + J144 ,
      MIN(
        AA143 + IF(MONTH(A144)=12, R143+X143, 0) + J144,
        VLOOKUP(questions!$C$5, Lookup!$Q:$R, 2)
      )
    )
)</f>
        <v>115337.6077</v>
      </c>
      <c r="AB144" s="65">
        <f t="shared" si="13"/>
        <v>0</v>
      </c>
      <c r="AC144" s="66">
        <f t="array" ref="AC144">IFS(B144&lt;66, XLOOKUP(year(A144),Lookup!$K$13:$K1000,Lookup!$L$13:$L1000,"missing",,1),B144&gt;65,XLOOKUP(questions!$C$5,Lookup!$K$13:$K1000,Lookup!$L$13:$L1000,"missing",,1))</f>
        <v>160949.3186</v>
      </c>
      <c r="AD144" s="66">
        <f t="array" ref="AD144">IFS(B144&lt;66, XLOOKUP(year(A144),Lookup!$K$13:$K1000,Lookup!$M$13:$M1000,"missing",,1),B144&gt;65, XLOOKUP(questions!$C$5,Lookup!$K$13:$K1000,Lookup!$M$13:$M1000,"missing",,1))</f>
        <v>321898.6372</v>
      </c>
      <c r="AE144" s="66">
        <f t="array" ref="AE144">IFS(B144&lt;66, XLOOKUP(year(A144),Lookup!$K$13:$K1000,Lookup!$N$13:$N1000,"missing",,1),B144&gt;65,XLOOKUP(questions!$C$5,Lookup!$K$13:$K1000,Lookup!$N$13:$N1000,"missing",,1))</f>
        <v>643797.2743</v>
      </c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</row>
    <row r="145">
      <c r="A145" s="55">
        <f t="shared" si="7"/>
        <v>50436</v>
      </c>
      <c r="B145" s="56">
        <f>round(YEARFRAC(EOMONTH(questions!$C$3, 0),A145,1),2)</f>
        <v>39.17</v>
      </c>
      <c r="C145" s="57">
        <f>IF(B145&lt;questions!$C$6,if(MONTH(A145)=1,C144*(1+questions!$C$12),C144),0)</f>
        <v>14257.60887</v>
      </c>
      <c r="D145" s="58">
        <f>IF(MONTH(A145)=12,C145*questions!$C$11,0)</f>
        <v>0</v>
      </c>
      <c r="E145" s="59">
        <f t="shared" si="2"/>
        <v>8000</v>
      </c>
      <c r="F145" s="59">
        <f t="shared" si="3"/>
        <v>0</v>
      </c>
      <c r="G145" s="60">
        <f t="array" ref="G145">if(YEAR(A145)=2025,XLOOKUP(B145,Lookup!$A$3:$A$7,Lookup!$D$3:$D$7,,1)*SUM(E145:F145), XLOOKUP(B145,Lookup!$A$14:$A$18,Lookup!$D$14:$D$18,,1)*SUM(E145:F145))</f>
        <v>2960</v>
      </c>
      <c r="H145" s="60">
        <f t="array" ref="H145">if(YEAR(A145)=2025,XLOOKUP(B145,Lookup!$F$3:$F$10,Lookup!$G$3:$G$10,,1)*G145, XLOOKUP(B145,Lookup!$F$14:$F$21,Lookup!$G$14:$G$21,,1)*G145)</f>
        <v>1680.392</v>
      </c>
      <c r="I145" s="60">
        <f t="array" ref="I145">if(B145&lt;55, if(YEAR(A145)=2025,XLOOKUP(B145,Lookup!$F$3:$F$10,Lookup!$H$3:$H$10,,1)*G145, XLOOKUP(B145,Lookup!$F$14:$F$21,Lookup!$H$14:$H$21,,1)*G145),0)</f>
        <v>559.736</v>
      </c>
      <c r="J145" s="60">
        <f t="array" ref="J145">if(YEAR(A145)=2025,XLOOKUP(B145,Lookup!$F$3:$F$10,Lookup!$I$3:$I$10,,1)*G145, XLOOKUP(B145,Lookup!$F$14:$F$21,Lookup!$I$14:$I$21,,1)*G145)</f>
        <v>719.872</v>
      </c>
      <c r="K145" s="61">
        <f t="array" ref="K145">if(B145&gt;54, if(YEAR(A145)=2025,XLOOKUP(B145,Lookup!$F$3:$F$10,Lookup!$H$3:$H$10,,1)*G145, XLOOKUP(B145,Lookup!$F$14:$F$21,Lookup!$H$14:$H$21,,1)*G145),0)</f>
        <v>0</v>
      </c>
      <c r="L145" s="62">
        <f>IF(and(A145&lt;questions!$C$19,questions!$C$18="yes"),questions!$C$20,0)</f>
        <v>700</v>
      </c>
      <c r="M145" s="63">
        <f>(Y144+H145)*Lookup!A$26/12</f>
        <v>443.8568546</v>
      </c>
      <c r="N145" s="63">
        <f>if(B145&lt;55, (Z144+I145)*Lookup!B$26/12, (AB144+K145)*Lookup!B$26/12)</f>
        <v>384.1512397</v>
      </c>
      <c r="O145" s="63">
        <f>(AA144+J145)*Lookup!C$26/12</f>
        <v>386.8582655</v>
      </c>
      <c r="P145" s="63">
        <f t="shared" si="8"/>
        <v>443.8568546</v>
      </c>
      <c r="Q145" s="63">
        <f t="shared" si="4"/>
        <v>384.1512397</v>
      </c>
      <c r="R145" s="63">
        <f t="shared" si="5"/>
        <v>386.8582655</v>
      </c>
      <c r="S145" s="64">
        <f t="shared" si="9"/>
        <v>16.66666667</v>
      </c>
      <c r="T145" s="64">
        <f t="shared" si="10"/>
        <v>33.33333333</v>
      </c>
      <c r="U145" s="64">
        <f t="shared" si="11"/>
        <v>0</v>
      </c>
      <c r="V145" s="64">
        <f t="shared" ref="V145:X145" si="153">IF(year($A145)=year($A144), V144+S145, S145)</f>
        <v>16.66666667</v>
      </c>
      <c r="W145" s="64">
        <f t="shared" si="153"/>
        <v>33.33333333</v>
      </c>
      <c r="X145" s="64">
        <f t="shared" si="153"/>
        <v>0</v>
      </c>
      <c r="Y145" s="65">
        <f>IFS(
  B145&lt;55,
    MAX(
      Y144 + IF(MONTH(A145)=12, P145+V145, 0) + H145 - L145
      + MAX(0,
          IF(AA144 &gt;= VLOOKUP(YEAR(A145), Lookup!$Q:$R, 2),
            Z144 + IF(MONTH(A145)=12, Q145+W145, 0) + I145
              + AA144 + IF(MONTH(A145)=12, R145+X145, 0)
              - VLOOKUP(YEAR(A145), Lookup!$Q:$R, 2) + J145,
            Z144 + IF(MONTH(A145)=12, Q145+W145, 0) + I145
          ) - VLOOKUP(YEAR(A145), Lookup!$K:$M, 3)
        ),
    0),
  B145=55,
    IF(Z144&gt;=AD145,
      MAX(Y144 + IF(MONTH(A145)=12, P145+V145, 0) + H145 - L145, 0),
      MAX(MAX(0, Y144-(AD145-Z144)) + IF(MONTH(A145)=12, P145+V145, 0) + H145 - L145, 0)
    ),
  B145&gt;55,
    IF(AB144&gt;=$AH$7,
      MAX(Y144 + IF(MONTH(A145)=12, P145+V145, 0) + H145 - L145 + K145 + Z144, 0),
      MAX(Y144 + IF(MONTH(A145)=12, P145+V145, 0) + H145 - L145, 0)
    )
)</f>
        <v>212351.2902</v>
      </c>
      <c r="Z145" s="65">
        <f>IFS(
  B145&lt;55,
    MIN(
      IF(AA144 &gt;= VLOOKUP(YEAR(A145), Lookup!$Q:$R, 2),
        Z144 + IF(MONTH(A145)=12, Q145+W145, 0) + I145
          + AA144 + IF(MONTH(A145)=12, R145+X145, 0) - VLOOKUP(YEAR(A145), Lookup!$Q:$R, 2) + J145,
        Z144 + IF(MONTH(A145)=12, Q145+W145, 0) + I145
      ),
      VLOOKUP(YEAR(A145), Lookup!$K:$M, 3)
    ),
  B145=55,
    IF(Z144 &gt;= AD145, Z144 - AD145, 0),
  B145&gt;55, 0
)</f>
        <v>115245.3719</v>
      </c>
      <c r="AA145" s="65">
        <f>IFS(
  B145&lt;65,
    IF(AA144+J145 &lt; VLOOKUP(YEAR(A145), Lookup!$Q:$R, 2),
      AA144 + IF(MONTH(A145)=12, R144+X144, 0) + J145,
      MIN(
        AA144 + IF(MONTH(A145)=12, R144+X144, 0) + J145 ,
        VLOOKUP(YEAR(A145), Lookup!$Q:$R, 2)
      )
    ),
  B145&gt;=65,
    IF(AA144+J145 &lt; VLOOKUP(questions!$C$5, Lookup!$Q:$R, 2),
      AA144 + IF(MONTH(A145)=12, R144+X144, 0) + J145 ,
      MIN(
        AA144 + IF(MONTH(A145)=12, R144+X144, 0) + J145,
        VLOOKUP(questions!$C$5, Lookup!$Q:$R, 2)
      )
    )
)</f>
        <v>116057.4797</v>
      </c>
      <c r="AB145" s="65">
        <f t="shared" si="13"/>
        <v>0</v>
      </c>
      <c r="AC145" s="66">
        <f t="array" ref="AC145">IFS(B145&lt;66, XLOOKUP(year(A145),Lookup!$K$13:$K1000,Lookup!$L$13:$L1000,"missing",,1),B145&gt;65,XLOOKUP(questions!$C$5,Lookup!$K$13:$K1000,Lookup!$L$13:$L1000,"missing",,1))</f>
        <v>166582.5447</v>
      </c>
      <c r="AD145" s="66">
        <f t="array" ref="AD145">IFS(B145&lt;66, XLOOKUP(year(A145),Lookup!$K$13:$K1000,Lookup!$M$13:$M1000,"missing",,1),B145&gt;65, XLOOKUP(questions!$C$5,Lookup!$K$13:$K1000,Lookup!$M$13:$M1000,"missing",,1))</f>
        <v>333165.0895</v>
      </c>
      <c r="AE145" s="66">
        <f t="array" ref="AE145">IFS(B145&lt;66, XLOOKUP(year(A145),Lookup!$K$13:$K1000,Lookup!$N$13:$N1000,"missing",,1),B145&gt;65,XLOOKUP(questions!$C$5,Lookup!$K$13:$K1000,Lookup!$N$13:$N1000,"missing",,1))</f>
        <v>666330.1789</v>
      </c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</row>
    <row r="146">
      <c r="A146" s="55">
        <f t="shared" si="7"/>
        <v>50464</v>
      </c>
      <c r="B146" s="56">
        <f>round(YEARFRAC(EOMONTH(questions!$C$3, 0),A146,1),2)</f>
        <v>39.25</v>
      </c>
      <c r="C146" s="57">
        <f>IF(B146&lt;questions!$C$6,if(MONTH(A146)=1,C145*(1+questions!$C$12),C145),0)</f>
        <v>14257.60887</v>
      </c>
      <c r="D146" s="58">
        <f>IF(MONTH(A146)=12,C146*questions!$C$11,0)</f>
        <v>0</v>
      </c>
      <c r="E146" s="59">
        <f t="shared" si="2"/>
        <v>8000</v>
      </c>
      <c r="F146" s="59">
        <f t="shared" si="3"/>
        <v>0</v>
      </c>
      <c r="G146" s="60">
        <f t="array" ref="G146">if(YEAR(A146)=2025,XLOOKUP(B146,Lookup!$A$3:$A$7,Lookup!$D$3:$D$7,,1)*SUM(E146:F146), XLOOKUP(B146,Lookup!$A$14:$A$18,Lookup!$D$14:$D$18,,1)*SUM(E146:F146))</f>
        <v>2960</v>
      </c>
      <c r="H146" s="60">
        <f t="array" ref="H146">if(YEAR(A146)=2025,XLOOKUP(B146,Lookup!$F$3:$F$10,Lookup!$G$3:$G$10,,1)*G146, XLOOKUP(B146,Lookup!$F$14:$F$21,Lookup!$G$14:$G$21,,1)*G146)</f>
        <v>1680.392</v>
      </c>
      <c r="I146" s="60">
        <f t="array" ref="I146">if(B146&lt;55, if(YEAR(A146)=2025,XLOOKUP(B146,Lookup!$F$3:$F$10,Lookup!$H$3:$H$10,,1)*G146, XLOOKUP(B146,Lookup!$F$14:$F$21,Lookup!$H$14:$H$21,,1)*G146),0)</f>
        <v>559.736</v>
      </c>
      <c r="J146" s="60">
        <f t="array" ref="J146">if(YEAR(A146)=2025,XLOOKUP(B146,Lookup!$F$3:$F$10,Lookup!$I$3:$I$10,,1)*G146, XLOOKUP(B146,Lookup!$F$14:$F$21,Lookup!$I$14:$I$21,,1)*G146)</f>
        <v>719.872</v>
      </c>
      <c r="K146" s="61">
        <f t="array" ref="K146">if(B146&gt;54, if(YEAR(A146)=2025,XLOOKUP(B146,Lookup!$F$3:$F$10,Lookup!$H$3:$H$10,,1)*G146, XLOOKUP(B146,Lookup!$F$14:$F$21,Lookup!$H$14:$H$21,,1)*G146),0)</f>
        <v>0</v>
      </c>
      <c r="L146" s="62">
        <f>IF(and(A146&lt;questions!$C$19,questions!$C$18="yes"),questions!$C$20,0)</f>
        <v>700</v>
      </c>
      <c r="M146" s="63">
        <f>(Y145+H146)*Lookup!A$26/12</f>
        <v>445.899338</v>
      </c>
      <c r="N146" s="63">
        <f>if(B146&lt;55, (Z145+I146)*Lookup!B$26/12, (AB145+K146)*Lookup!B$26/12)</f>
        <v>386.0170264</v>
      </c>
      <c r="O146" s="63">
        <f>(AA145+J146)*Lookup!C$26/12</f>
        <v>389.2578389</v>
      </c>
      <c r="P146" s="63">
        <f t="shared" si="8"/>
        <v>889.7561926</v>
      </c>
      <c r="Q146" s="63">
        <f t="shared" si="4"/>
        <v>770.1682661</v>
      </c>
      <c r="R146" s="63">
        <f t="shared" si="5"/>
        <v>776.1161044</v>
      </c>
      <c r="S146" s="64">
        <f t="shared" si="9"/>
        <v>16.66666667</v>
      </c>
      <c r="T146" s="64">
        <f t="shared" si="10"/>
        <v>33.33333333</v>
      </c>
      <c r="U146" s="64">
        <f t="shared" si="11"/>
        <v>0</v>
      </c>
      <c r="V146" s="64">
        <f t="shared" ref="V146:X146" si="154">IF(year($A146)=year($A145), V145+S146, S146)</f>
        <v>33.33333333</v>
      </c>
      <c r="W146" s="64">
        <f t="shared" si="154"/>
        <v>66.66666667</v>
      </c>
      <c r="X146" s="64">
        <f t="shared" si="154"/>
        <v>0</v>
      </c>
      <c r="Y146" s="65">
        <f>IFS(
  B146&lt;55,
    MAX(
      Y145 + IF(MONTH(A146)=12, P146+V146, 0) + H146 - L146
      + MAX(0,
          IF(AA145 &gt;= VLOOKUP(YEAR(A146), Lookup!$Q:$R, 2),
            Z145 + IF(MONTH(A146)=12, Q146+W146, 0) + I146
              + AA145 + IF(MONTH(A146)=12, R146+X146, 0)
              - VLOOKUP(YEAR(A146), Lookup!$Q:$R, 2) + J146,
            Z145 + IF(MONTH(A146)=12, Q146+W146, 0) + I146
          ) - VLOOKUP(YEAR(A146), Lookup!$K:$M, 3)
        ),
    0),
  B146=55,
    IF(Z145&gt;=AD146,
      MAX(Y145 + IF(MONTH(A146)=12, P146+V146, 0) + H146 - L146, 0),
      MAX(MAX(0, Y145-(AD146-Z145)) + IF(MONTH(A146)=12, P146+V146, 0) + H146 - L146, 0)
    ),
  B146&gt;55,
    IF(AB145&gt;=$AH$7,
      MAX(Y145 + IF(MONTH(A146)=12, P146+V146, 0) + H146 - L146 + K146 + Z145, 0),
      MAX(Y145 + IF(MONTH(A146)=12, P146+V146, 0) + H146 - L146, 0)
    )
)</f>
        <v>213331.6822</v>
      </c>
      <c r="Z146" s="65">
        <f>IFS(
  B146&lt;55,
    MIN(
      IF(AA145 &gt;= VLOOKUP(YEAR(A146), Lookup!$Q:$R, 2),
        Z145 + IF(MONTH(A146)=12, Q146+W146, 0) + I146
          + AA145 + IF(MONTH(A146)=12, R146+X146, 0) - VLOOKUP(YEAR(A146), Lookup!$Q:$R, 2) + J146,
        Z145 + IF(MONTH(A146)=12, Q146+W146, 0) + I146
      ),
      VLOOKUP(YEAR(A146), Lookup!$K:$M, 3)
    ),
  B146=55,
    IF(Z145 &gt;= AD146, Z145 - AD146, 0),
  B146&gt;55, 0
)</f>
        <v>115805.1079</v>
      </c>
      <c r="AA146" s="65">
        <f>IFS(
  B146&lt;65,
    IF(AA145+J146 &lt; VLOOKUP(YEAR(A146), Lookup!$Q:$R, 2),
      AA145 + IF(MONTH(A146)=12, R145+X145, 0) + J146,
      MIN(
        AA145 + IF(MONTH(A146)=12, R145+X145, 0) + J146 ,
        VLOOKUP(YEAR(A146), Lookup!$Q:$R, 2)
      )
    ),
  B146&gt;=65,
    IF(AA145+J146 &lt; VLOOKUP(questions!$C$5, Lookup!$Q:$R, 2),
      AA145 + IF(MONTH(A146)=12, R145+X145, 0) + J146 ,
      MIN(
        AA145 + IF(MONTH(A146)=12, R145+X145, 0) + J146,
        VLOOKUP(questions!$C$5, Lookup!$Q:$R, 2)
      )
    )
)</f>
        <v>116777.3517</v>
      </c>
      <c r="AB146" s="65">
        <f t="shared" si="13"/>
        <v>0</v>
      </c>
      <c r="AC146" s="66">
        <f t="array" ref="AC146">IFS(B146&lt;66, XLOOKUP(year(A146),Lookup!$K$13:$K1000,Lookup!$L$13:$L1000,"missing",,1),B146&gt;65,XLOOKUP(questions!$C$5,Lookup!$K$13:$K1000,Lookup!$L$13:$L1000,"missing",,1))</f>
        <v>166582.5447</v>
      </c>
      <c r="AD146" s="66">
        <f t="array" ref="AD146">IFS(B146&lt;66, XLOOKUP(year(A146),Lookup!$K$13:$K1000,Lookup!$M$13:$M1000,"missing",,1),B146&gt;65, XLOOKUP(questions!$C$5,Lookup!$K$13:$K1000,Lookup!$M$13:$M1000,"missing",,1))</f>
        <v>333165.0895</v>
      </c>
      <c r="AE146" s="66">
        <f t="array" ref="AE146">IFS(B146&lt;66, XLOOKUP(year(A146),Lookup!$K$13:$K1000,Lookup!$N$13:$N1000,"missing",,1),B146&gt;65,XLOOKUP(questions!$C$5,Lookup!$K$13:$K1000,Lookup!$N$13:$N1000,"missing",,1))</f>
        <v>666330.1789</v>
      </c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</row>
    <row r="147">
      <c r="A147" s="55">
        <f t="shared" si="7"/>
        <v>50495</v>
      </c>
      <c r="B147" s="56">
        <f>round(YEARFRAC(EOMONTH(questions!$C$3, 0),A147,1),2)</f>
        <v>39.33</v>
      </c>
      <c r="C147" s="57">
        <f>IF(B147&lt;questions!$C$6,if(MONTH(A147)=1,C146*(1+questions!$C$12),C146),0)</f>
        <v>14257.60887</v>
      </c>
      <c r="D147" s="58">
        <f>IF(MONTH(A147)=12,C147*questions!$C$11,0)</f>
        <v>0</v>
      </c>
      <c r="E147" s="59">
        <f t="shared" si="2"/>
        <v>8000</v>
      </c>
      <c r="F147" s="59">
        <f t="shared" si="3"/>
        <v>0</v>
      </c>
      <c r="G147" s="60">
        <f t="array" ref="G147">if(YEAR(A147)=2025,XLOOKUP(B147,Lookup!$A$3:$A$7,Lookup!$D$3:$D$7,,1)*SUM(E147:F147), XLOOKUP(B147,Lookup!$A$14:$A$18,Lookup!$D$14:$D$18,,1)*SUM(E147:F147))</f>
        <v>2960</v>
      </c>
      <c r="H147" s="60">
        <f t="array" ref="H147">if(YEAR(A147)=2025,XLOOKUP(B147,Lookup!$F$3:$F$10,Lookup!$G$3:$G$10,,1)*G147, XLOOKUP(B147,Lookup!$F$14:$F$21,Lookup!$G$14:$G$21,,1)*G147)</f>
        <v>1680.392</v>
      </c>
      <c r="I147" s="60">
        <f t="array" ref="I147">if(B147&lt;55, if(YEAR(A147)=2025,XLOOKUP(B147,Lookup!$F$3:$F$10,Lookup!$H$3:$H$10,,1)*G147, XLOOKUP(B147,Lookup!$F$14:$F$21,Lookup!$H$14:$H$21,,1)*G147),0)</f>
        <v>559.736</v>
      </c>
      <c r="J147" s="60">
        <f t="array" ref="J147">if(YEAR(A147)=2025,XLOOKUP(B147,Lookup!$F$3:$F$10,Lookup!$I$3:$I$10,,1)*G147, XLOOKUP(B147,Lookup!$F$14:$F$21,Lookup!$I$14:$I$21,,1)*G147)</f>
        <v>719.872</v>
      </c>
      <c r="K147" s="61">
        <f t="array" ref="K147">if(B147&gt;54, if(YEAR(A147)=2025,XLOOKUP(B147,Lookup!$F$3:$F$10,Lookup!$H$3:$H$10,,1)*G147, XLOOKUP(B147,Lookup!$F$14:$F$21,Lookup!$H$14:$H$21,,1)*G147),0)</f>
        <v>0</v>
      </c>
      <c r="L147" s="62">
        <f>IF(and(A147&lt;questions!$C$19,questions!$C$18="yes"),questions!$C$20,0)</f>
        <v>700</v>
      </c>
      <c r="M147" s="63">
        <f>(Y146+H147)*Lookup!A$26/12</f>
        <v>447.9418213</v>
      </c>
      <c r="N147" s="63">
        <f>if(B147&lt;55, (Z146+I147)*Lookup!B$26/12, (AB146+K147)*Lookup!B$26/12)</f>
        <v>387.8828131</v>
      </c>
      <c r="O147" s="63">
        <f>(AA146+J147)*Lookup!C$26/12</f>
        <v>391.6574122</v>
      </c>
      <c r="P147" s="63">
        <f t="shared" si="8"/>
        <v>1337.698014</v>
      </c>
      <c r="Q147" s="63">
        <f t="shared" si="4"/>
        <v>1158.051079</v>
      </c>
      <c r="R147" s="63">
        <f t="shared" si="5"/>
        <v>1167.773517</v>
      </c>
      <c r="S147" s="64">
        <f t="shared" si="9"/>
        <v>16.66666667</v>
      </c>
      <c r="T147" s="64">
        <f t="shared" si="10"/>
        <v>33.33333333</v>
      </c>
      <c r="U147" s="64">
        <f t="shared" si="11"/>
        <v>0</v>
      </c>
      <c r="V147" s="64">
        <f t="shared" ref="V147:X147" si="155">IF(year($A147)=year($A146), V146+S147, S147)</f>
        <v>50</v>
      </c>
      <c r="W147" s="64">
        <f t="shared" si="155"/>
        <v>100</v>
      </c>
      <c r="X147" s="64">
        <f t="shared" si="155"/>
        <v>0</v>
      </c>
      <c r="Y147" s="65">
        <f>IFS(
  B147&lt;55,
    MAX(
      Y146 + IF(MONTH(A147)=12, P147+V147, 0) + H147 - L147
      + MAX(0,
          IF(AA146 &gt;= VLOOKUP(YEAR(A147), Lookup!$Q:$R, 2),
            Z146 + IF(MONTH(A147)=12, Q147+W147, 0) + I147
              + AA146 + IF(MONTH(A147)=12, R147+X147, 0)
              - VLOOKUP(YEAR(A147), Lookup!$Q:$R, 2) + J147,
            Z146 + IF(MONTH(A147)=12, Q147+W147, 0) + I147
          ) - VLOOKUP(YEAR(A147), Lookup!$K:$M, 3)
        ),
    0),
  B147=55,
    IF(Z146&gt;=AD147,
      MAX(Y146 + IF(MONTH(A147)=12, P147+V147, 0) + H147 - L147, 0),
      MAX(MAX(0, Y146-(AD147-Z146)) + IF(MONTH(A147)=12, P147+V147, 0) + H147 - L147, 0)
    ),
  B147&gt;55,
    IF(AB146&gt;=$AH$7,
      MAX(Y146 + IF(MONTH(A147)=12, P147+V147, 0) + H147 - L147 + K147 + Z146, 0),
      MAX(Y146 + IF(MONTH(A147)=12, P147+V147, 0) + H147 - L147, 0)
    )
)</f>
        <v>214312.0742</v>
      </c>
      <c r="Z147" s="65">
        <f>IFS(
  B147&lt;55,
    MIN(
      IF(AA146 &gt;= VLOOKUP(YEAR(A147), Lookup!$Q:$R, 2),
        Z146 + IF(MONTH(A147)=12, Q147+W147, 0) + I147
          + AA146 + IF(MONTH(A147)=12, R147+X147, 0) - VLOOKUP(YEAR(A147), Lookup!$Q:$R, 2) + J147,
        Z146 + IF(MONTH(A147)=12, Q147+W147, 0) + I147
      ),
      VLOOKUP(YEAR(A147), Lookup!$K:$M, 3)
    ),
  B147=55,
    IF(Z146 &gt;= AD147, Z146 - AD147, 0),
  B147&gt;55, 0
)</f>
        <v>116364.8439</v>
      </c>
      <c r="AA147" s="65">
        <f>IFS(
  B147&lt;65,
    IF(AA146+J147 &lt; VLOOKUP(YEAR(A147), Lookup!$Q:$R, 2),
      AA146 + IF(MONTH(A147)=12, R146+X146, 0) + J147,
      MIN(
        AA146 + IF(MONTH(A147)=12, R146+X146, 0) + J147 ,
        VLOOKUP(YEAR(A147), Lookup!$Q:$R, 2)
      )
    ),
  B147&gt;=65,
    IF(AA146+J147 &lt; VLOOKUP(questions!$C$5, Lookup!$Q:$R, 2),
      AA146 + IF(MONTH(A147)=12, R146+X146, 0) + J147 ,
      MIN(
        AA146 + IF(MONTH(A147)=12, R146+X146, 0) + J147,
        VLOOKUP(questions!$C$5, Lookup!$Q:$R, 2)
      )
    )
)</f>
        <v>117497.2237</v>
      </c>
      <c r="AB147" s="65">
        <f t="shared" si="13"/>
        <v>0</v>
      </c>
      <c r="AC147" s="66">
        <f t="array" ref="AC147">IFS(B147&lt;66, XLOOKUP(year(A147),Lookup!$K$13:$K1000,Lookup!$L$13:$L1000,"missing",,1),B147&gt;65,XLOOKUP(questions!$C$5,Lookup!$K$13:$K1000,Lookup!$L$13:$L1000,"missing",,1))</f>
        <v>166582.5447</v>
      </c>
      <c r="AD147" s="66">
        <f t="array" ref="AD147">IFS(B147&lt;66, XLOOKUP(year(A147),Lookup!$K$13:$K1000,Lookup!$M$13:$M1000,"missing",,1),B147&gt;65, XLOOKUP(questions!$C$5,Lookup!$K$13:$K1000,Lookup!$M$13:$M1000,"missing",,1))</f>
        <v>333165.0895</v>
      </c>
      <c r="AE147" s="66">
        <f t="array" ref="AE147">IFS(B147&lt;66, XLOOKUP(year(A147),Lookup!$K$13:$K1000,Lookup!$N$13:$N1000,"missing",,1),B147&gt;65,XLOOKUP(questions!$C$5,Lookup!$K$13:$K1000,Lookup!$N$13:$N1000,"missing",,1))</f>
        <v>666330.1789</v>
      </c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</row>
    <row r="148">
      <c r="A148" s="55">
        <f t="shared" si="7"/>
        <v>50525</v>
      </c>
      <c r="B148" s="56">
        <f>round(YEARFRAC(EOMONTH(questions!$C$3, 0),A148,1),2)</f>
        <v>39.41</v>
      </c>
      <c r="C148" s="57">
        <f>IF(B148&lt;questions!$C$6,if(MONTH(A148)=1,C147*(1+questions!$C$12),C147),0)</f>
        <v>14257.60887</v>
      </c>
      <c r="D148" s="58">
        <f>IF(MONTH(A148)=12,C148*questions!$C$11,0)</f>
        <v>0</v>
      </c>
      <c r="E148" s="59">
        <f t="shared" si="2"/>
        <v>8000</v>
      </c>
      <c r="F148" s="59">
        <f t="shared" si="3"/>
        <v>0</v>
      </c>
      <c r="G148" s="60">
        <f t="array" ref="G148">if(YEAR(A148)=2025,XLOOKUP(B148,Lookup!$A$3:$A$7,Lookup!$D$3:$D$7,,1)*SUM(E148:F148), XLOOKUP(B148,Lookup!$A$14:$A$18,Lookup!$D$14:$D$18,,1)*SUM(E148:F148))</f>
        <v>2960</v>
      </c>
      <c r="H148" s="60">
        <f t="array" ref="H148">if(YEAR(A148)=2025,XLOOKUP(B148,Lookup!$F$3:$F$10,Lookup!$G$3:$G$10,,1)*G148, XLOOKUP(B148,Lookup!$F$14:$F$21,Lookup!$G$14:$G$21,,1)*G148)</f>
        <v>1680.392</v>
      </c>
      <c r="I148" s="60">
        <f t="array" ref="I148">if(B148&lt;55, if(YEAR(A148)=2025,XLOOKUP(B148,Lookup!$F$3:$F$10,Lookup!$H$3:$H$10,,1)*G148, XLOOKUP(B148,Lookup!$F$14:$F$21,Lookup!$H$14:$H$21,,1)*G148),0)</f>
        <v>559.736</v>
      </c>
      <c r="J148" s="60">
        <f t="array" ref="J148">if(YEAR(A148)=2025,XLOOKUP(B148,Lookup!$F$3:$F$10,Lookup!$I$3:$I$10,,1)*G148, XLOOKUP(B148,Lookup!$F$14:$F$21,Lookup!$I$14:$I$21,,1)*G148)</f>
        <v>719.872</v>
      </c>
      <c r="K148" s="61">
        <f t="array" ref="K148">if(B148&gt;54, if(YEAR(A148)=2025,XLOOKUP(B148,Lookup!$F$3:$F$10,Lookup!$H$3:$H$10,,1)*G148, XLOOKUP(B148,Lookup!$F$14:$F$21,Lookup!$H$14:$H$21,,1)*G148),0)</f>
        <v>0</v>
      </c>
      <c r="L148" s="62">
        <f>IF(and(A148&lt;questions!$C$19,questions!$C$18="yes"),questions!$C$20,0)</f>
        <v>700</v>
      </c>
      <c r="M148" s="63">
        <f>(Y147+H148)*Lookup!A$26/12</f>
        <v>449.9843046</v>
      </c>
      <c r="N148" s="63">
        <f>if(B148&lt;55, (Z147+I148)*Lookup!B$26/12, (AB147+K148)*Lookup!B$26/12)</f>
        <v>389.7485997</v>
      </c>
      <c r="O148" s="63">
        <f>(AA147+J148)*Lookup!C$26/12</f>
        <v>394.0569855</v>
      </c>
      <c r="P148" s="63">
        <f t="shared" si="8"/>
        <v>1787.682319</v>
      </c>
      <c r="Q148" s="63">
        <f t="shared" si="4"/>
        <v>1547.799679</v>
      </c>
      <c r="R148" s="63">
        <f t="shared" si="5"/>
        <v>1561.830502</v>
      </c>
      <c r="S148" s="64">
        <f t="shared" si="9"/>
        <v>16.66666667</v>
      </c>
      <c r="T148" s="64">
        <f t="shared" si="10"/>
        <v>33.33333333</v>
      </c>
      <c r="U148" s="64">
        <f t="shared" si="11"/>
        <v>0</v>
      </c>
      <c r="V148" s="64">
        <f t="shared" ref="V148:X148" si="156">IF(year($A148)=year($A147), V147+S148, S148)</f>
        <v>66.66666667</v>
      </c>
      <c r="W148" s="64">
        <f t="shared" si="156"/>
        <v>133.3333333</v>
      </c>
      <c r="X148" s="64">
        <f t="shared" si="156"/>
        <v>0</v>
      </c>
      <c r="Y148" s="65">
        <f>IFS(
  B148&lt;55,
    MAX(
      Y147 + IF(MONTH(A148)=12, P148+V148, 0) + H148 - L148
      + MAX(0,
          IF(AA147 &gt;= VLOOKUP(YEAR(A148), Lookup!$Q:$R, 2),
            Z147 + IF(MONTH(A148)=12, Q148+W148, 0) + I148
              + AA147 + IF(MONTH(A148)=12, R148+X148, 0)
              - VLOOKUP(YEAR(A148), Lookup!$Q:$R, 2) + J148,
            Z147 + IF(MONTH(A148)=12, Q148+W148, 0) + I148
          ) - VLOOKUP(YEAR(A148), Lookup!$K:$M, 3)
        ),
    0),
  B148=55,
    IF(Z147&gt;=AD148,
      MAX(Y147 + IF(MONTH(A148)=12, P148+V148, 0) + H148 - L148, 0),
      MAX(MAX(0, Y147-(AD148-Z147)) + IF(MONTH(A148)=12, P148+V148, 0) + H148 - L148, 0)
    ),
  B148&gt;55,
    IF(AB147&gt;=$AH$7,
      MAX(Y147 + IF(MONTH(A148)=12, P148+V148, 0) + H148 - L148 + K148 + Z147, 0),
      MAX(Y147 + IF(MONTH(A148)=12, P148+V148, 0) + H148 - L148, 0)
    )
)</f>
        <v>215292.4662</v>
      </c>
      <c r="Z148" s="65">
        <f>IFS(
  B148&lt;55,
    MIN(
      IF(AA147 &gt;= VLOOKUP(YEAR(A148), Lookup!$Q:$R, 2),
        Z147 + IF(MONTH(A148)=12, Q148+W148, 0) + I148
          + AA147 + IF(MONTH(A148)=12, R148+X148, 0) - VLOOKUP(YEAR(A148), Lookup!$Q:$R, 2) + J148,
        Z147 + IF(MONTH(A148)=12, Q148+W148, 0) + I148
      ),
      VLOOKUP(YEAR(A148), Lookup!$K:$M, 3)
    ),
  B148=55,
    IF(Z147 &gt;= AD148, Z147 - AD148, 0),
  B148&gt;55, 0
)</f>
        <v>116924.5799</v>
      </c>
      <c r="AA148" s="65">
        <f>IFS(
  B148&lt;65,
    IF(AA147+J148 &lt; VLOOKUP(YEAR(A148), Lookup!$Q:$R, 2),
      AA147 + IF(MONTH(A148)=12, R147+X147, 0) + J148,
      MIN(
        AA147 + IF(MONTH(A148)=12, R147+X147, 0) + J148 ,
        VLOOKUP(YEAR(A148), Lookup!$Q:$R, 2)
      )
    ),
  B148&gt;=65,
    IF(AA147+J148 &lt; VLOOKUP(questions!$C$5, Lookup!$Q:$R, 2),
      AA147 + IF(MONTH(A148)=12, R147+X147, 0) + J148 ,
      MIN(
        AA147 + IF(MONTH(A148)=12, R147+X147, 0) + J148,
        VLOOKUP(questions!$C$5, Lookup!$Q:$R, 2)
      )
    )
)</f>
        <v>118217.0957</v>
      </c>
      <c r="AB148" s="65">
        <f t="shared" si="13"/>
        <v>0</v>
      </c>
      <c r="AC148" s="66">
        <f t="array" ref="AC148">IFS(B148&lt;66, XLOOKUP(year(A148),Lookup!$K$13:$K1000,Lookup!$L$13:$L1000,"missing",,1),B148&gt;65,XLOOKUP(questions!$C$5,Lookup!$K$13:$K1000,Lookup!$L$13:$L1000,"missing",,1))</f>
        <v>166582.5447</v>
      </c>
      <c r="AD148" s="66">
        <f t="array" ref="AD148">IFS(B148&lt;66, XLOOKUP(year(A148),Lookup!$K$13:$K1000,Lookup!$M$13:$M1000,"missing",,1),B148&gt;65, XLOOKUP(questions!$C$5,Lookup!$K$13:$K1000,Lookup!$M$13:$M1000,"missing",,1))</f>
        <v>333165.0895</v>
      </c>
      <c r="AE148" s="66">
        <f t="array" ref="AE148">IFS(B148&lt;66, XLOOKUP(year(A148),Lookup!$K$13:$K1000,Lookup!$N$13:$N1000,"missing",,1),B148&gt;65,XLOOKUP(questions!$C$5,Lookup!$K$13:$K1000,Lookup!$N$13:$N1000,"missing",,1))</f>
        <v>666330.1789</v>
      </c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</row>
    <row r="149">
      <c r="A149" s="55">
        <f t="shared" si="7"/>
        <v>50556</v>
      </c>
      <c r="B149" s="56">
        <f>round(YEARFRAC(EOMONTH(questions!$C$3, 0),A149,1),2)</f>
        <v>39.5</v>
      </c>
      <c r="C149" s="57">
        <f>IF(B149&lt;questions!$C$6,if(MONTH(A149)=1,C148*(1+questions!$C$12),C148),0)</f>
        <v>14257.60887</v>
      </c>
      <c r="D149" s="58">
        <f>IF(MONTH(A149)=12,C149*questions!$C$11,0)</f>
        <v>0</v>
      </c>
      <c r="E149" s="59">
        <f t="shared" si="2"/>
        <v>8000</v>
      </c>
      <c r="F149" s="59">
        <f t="shared" si="3"/>
        <v>0</v>
      </c>
      <c r="G149" s="60">
        <f t="array" ref="G149">if(YEAR(A149)=2025,XLOOKUP(B149,Lookup!$A$3:$A$7,Lookup!$D$3:$D$7,,1)*SUM(E149:F149), XLOOKUP(B149,Lookup!$A$14:$A$18,Lookup!$D$14:$D$18,,1)*SUM(E149:F149))</f>
        <v>2960</v>
      </c>
      <c r="H149" s="60">
        <f t="array" ref="H149">if(YEAR(A149)=2025,XLOOKUP(B149,Lookup!$F$3:$F$10,Lookup!$G$3:$G$10,,1)*G149, XLOOKUP(B149,Lookup!$F$14:$F$21,Lookup!$G$14:$G$21,,1)*G149)</f>
        <v>1680.392</v>
      </c>
      <c r="I149" s="60">
        <f t="array" ref="I149">if(B149&lt;55, if(YEAR(A149)=2025,XLOOKUP(B149,Lookup!$F$3:$F$10,Lookup!$H$3:$H$10,,1)*G149, XLOOKUP(B149,Lookup!$F$14:$F$21,Lookup!$H$14:$H$21,,1)*G149),0)</f>
        <v>559.736</v>
      </c>
      <c r="J149" s="60">
        <f t="array" ref="J149">if(YEAR(A149)=2025,XLOOKUP(B149,Lookup!$F$3:$F$10,Lookup!$I$3:$I$10,,1)*G149, XLOOKUP(B149,Lookup!$F$14:$F$21,Lookup!$I$14:$I$21,,1)*G149)</f>
        <v>719.872</v>
      </c>
      <c r="K149" s="61">
        <f t="array" ref="K149">if(B149&gt;54, if(YEAR(A149)=2025,XLOOKUP(B149,Lookup!$F$3:$F$10,Lookup!$H$3:$H$10,,1)*G149, XLOOKUP(B149,Lookup!$F$14:$F$21,Lookup!$H$14:$H$21,,1)*G149),0)</f>
        <v>0</v>
      </c>
      <c r="L149" s="62">
        <f>IF(and(A149&lt;questions!$C$19,questions!$C$18="yes"),questions!$C$20,0)</f>
        <v>700</v>
      </c>
      <c r="M149" s="63">
        <f>(Y148+H149)*Lookup!A$26/12</f>
        <v>452.026788</v>
      </c>
      <c r="N149" s="63">
        <f>if(B149&lt;55, (Z148+I149)*Lookup!B$26/12, (AB148+K149)*Lookup!B$26/12)</f>
        <v>391.6143864</v>
      </c>
      <c r="O149" s="63">
        <f>(AA148+J149)*Lookup!C$26/12</f>
        <v>396.4565589</v>
      </c>
      <c r="P149" s="63">
        <f t="shared" si="8"/>
        <v>2239.709107</v>
      </c>
      <c r="Q149" s="63">
        <f t="shared" si="4"/>
        <v>1939.414065</v>
      </c>
      <c r="R149" s="63">
        <f t="shared" si="5"/>
        <v>1958.287061</v>
      </c>
      <c r="S149" s="64">
        <f t="shared" si="9"/>
        <v>16.66666667</v>
      </c>
      <c r="T149" s="64">
        <f t="shared" si="10"/>
        <v>33.33333333</v>
      </c>
      <c r="U149" s="64">
        <f t="shared" si="11"/>
        <v>0</v>
      </c>
      <c r="V149" s="64">
        <f t="shared" ref="V149:X149" si="157">IF(year($A149)=year($A148), V148+S149, S149)</f>
        <v>83.33333333</v>
      </c>
      <c r="W149" s="64">
        <f t="shared" si="157"/>
        <v>166.6666667</v>
      </c>
      <c r="X149" s="64">
        <f t="shared" si="157"/>
        <v>0</v>
      </c>
      <c r="Y149" s="65">
        <f>IFS(
  B149&lt;55,
    MAX(
      Y148 + IF(MONTH(A149)=12, P149+V149, 0) + H149 - L149
      + MAX(0,
          IF(AA148 &gt;= VLOOKUP(YEAR(A149), Lookup!$Q:$R, 2),
            Z148 + IF(MONTH(A149)=12, Q149+W149, 0) + I149
              + AA148 + IF(MONTH(A149)=12, R149+X149, 0)
              - VLOOKUP(YEAR(A149), Lookup!$Q:$R, 2) + J149,
            Z148 + IF(MONTH(A149)=12, Q149+W149, 0) + I149
          ) - VLOOKUP(YEAR(A149), Lookup!$K:$M, 3)
        ),
    0),
  B149=55,
    IF(Z148&gt;=AD149,
      MAX(Y148 + IF(MONTH(A149)=12, P149+V149, 0) + H149 - L149, 0),
      MAX(MAX(0, Y148-(AD149-Z148)) + IF(MONTH(A149)=12, P149+V149, 0) + H149 - L149, 0)
    ),
  B149&gt;55,
    IF(AB148&gt;=$AH$7,
      MAX(Y148 + IF(MONTH(A149)=12, P149+V149, 0) + H149 - L149 + K149 + Z148, 0),
      MAX(Y148 + IF(MONTH(A149)=12, P149+V149, 0) + H149 - L149, 0)
    )
)</f>
        <v>216272.8582</v>
      </c>
      <c r="Z149" s="65">
        <f>IFS(
  B149&lt;55,
    MIN(
      IF(AA148 &gt;= VLOOKUP(YEAR(A149), Lookup!$Q:$R, 2),
        Z148 + IF(MONTH(A149)=12, Q149+W149, 0) + I149
          + AA148 + IF(MONTH(A149)=12, R149+X149, 0) - VLOOKUP(YEAR(A149), Lookup!$Q:$R, 2) + J149,
        Z148 + IF(MONTH(A149)=12, Q149+W149, 0) + I149
      ),
      VLOOKUP(YEAR(A149), Lookup!$K:$M, 3)
    ),
  B149=55,
    IF(Z148 &gt;= AD149, Z148 - AD149, 0),
  B149&gt;55, 0
)</f>
        <v>117484.3159</v>
      </c>
      <c r="AA149" s="65">
        <f>IFS(
  B149&lt;65,
    IF(AA148+J149 &lt; VLOOKUP(YEAR(A149), Lookup!$Q:$R, 2),
      AA148 + IF(MONTH(A149)=12, R148+X148, 0) + J149,
      MIN(
        AA148 + IF(MONTH(A149)=12, R148+X148, 0) + J149 ,
        VLOOKUP(YEAR(A149), Lookup!$Q:$R, 2)
      )
    ),
  B149&gt;=65,
    IF(AA148+J149 &lt; VLOOKUP(questions!$C$5, Lookup!$Q:$R, 2),
      AA148 + IF(MONTH(A149)=12, R148+X148, 0) + J149 ,
      MIN(
        AA148 + IF(MONTH(A149)=12, R148+X148, 0) + J149,
        VLOOKUP(questions!$C$5, Lookup!$Q:$R, 2)
      )
    )
)</f>
        <v>118936.9677</v>
      </c>
      <c r="AB149" s="65">
        <f t="shared" si="13"/>
        <v>0</v>
      </c>
      <c r="AC149" s="66">
        <f t="array" ref="AC149">IFS(B149&lt;66, XLOOKUP(year(A149),Lookup!$K$13:$K1000,Lookup!$L$13:$L1000,"missing",,1),B149&gt;65,XLOOKUP(questions!$C$5,Lookup!$K$13:$K1000,Lookup!$L$13:$L1000,"missing",,1))</f>
        <v>166582.5447</v>
      </c>
      <c r="AD149" s="66">
        <f t="array" ref="AD149">IFS(B149&lt;66, XLOOKUP(year(A149),Lookup!$K$13:$K1000,Lookup!$M$13:$M1000,"missing",,1),B149&gt;65, XLOOKUP(questions!$C$5,Lookup!$K$13:$K1000,Lookup!$M$13:$M1000,"missing",,1))</f>
        <v>333165.0895</v>
      </c>
      <c r="AE149" s="66">
        <f t="array" ref="AE149">IFS(B149&lt;66, XLOOKUP(year(A149),Lookup!$K$13:$K1000,Lookup!$N$13:$N1000,"missing",,1),B149&gt;65,XLOOKUP(questions!$C$5,Lookup!$K$13:$K1000,Lookup!$N$13:$N1000,"missing",,1))</f>
        <v>666330.1789</v>
      </c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</row>
    <row r="150">
      <c r="A150" s="55">
        <f t="shared" si="7"/>
        <v>50586</v>
      </c>
      <c r="B150" s="56">
        <f>round(YEARFRAC(EOMONTH(questions!$C$3, 0),A150,1),2)</f>
        <v>39.58</v>
      </c>
      <c r="C150" s="57">
        <f>IF(B150&lt;questions!$C$6,if(MONTH(A150)=1,C149*(1+questions!$C$12),C149),0)</f>
        <v>14257.60887</v>
      </c>
      <c r="D150" s="58">
        <f>IF(MONTH(A150)=12,C150*questions!$C$11,0)</f>
        <v>0</v>
      </c>
      <c r="E150" s="59">
        <f t="shared" si="2"/>
        <v>8000</v>
      </c>
      <c r="F150" s="59">
        <f t="shared" si="3"/>
        <v>0</v>
      </c>
      <c r="G150" s="60">
        <f t="array" ref="G150">if(YEAR(A150)=2025,XLOOKUP(B150,Lookup!$A$3:$A$7,Lookup!$D$3:$D$7,,1)*SUM(E150:F150), XLOOKUP(B150,Lookup!$A$14:$A$18,Lookup!$D$14:$D$18,,1)*SUM(E150:F150))</f>
        <v>2960</v>
      </c>
      <c r="H150" s="60">
        <f t="array" ref="H150">if(YEAR(A150)=2025,XLOOKUP(B150,Lookup!$F$3:$F$10,Lookup!$G$3:$G$10,,1)*G150, XLOOKUP(B150,Lookup!$F$14:$F$21,Lookup!$G$14:$G$21,,1)*G150)</f>
        <v>1680.392</v>
      </c>
      <c r="I150" s="60">
        <f t="array" ref="I150">if(B150&lt;55, if(YEAR(A150)=2025,XLOOKUP(B150,Lookup!$F$3:$F$10,Lookup!$H$3:$H$10,,1)*G150, XLOOKUP(B150,Lookup!$F$14:$F$21,Lookup!$H$14:$H$21,,1)*G150),0)</f>
        <v>559.736</v>
      </c>
      <c r="J150" s="60">
        <f t="array" ref="J150">if(YEAR(A150)=2025,XLOOKUP(B150,Lookup!$F$3:$F$10,Lookup!$I$3:$I$10,,1)*G150, XLOOKUP(B150,Lookup!$F$14:$F$21,Lookup!$I$14:$I$21,,1)*G150)</f>
        <v>719.872</v>
      </c>
      <c r="K150" s="61">
        <f t="array" ref="K150">if(B150&gt;54, if(YEAR(A150)=2025,XLOOKUP(B150,Lookup!$F$3:$F$10,Lookup!$H$3:$H$10,,1)*G150, XLOOKUP(B150,Lookup!$F$14:$F$21,Lookup!$H$14:$H$21,,1)*G150),0)</f>
        <v>0</v>
      </c>
      <c r="L150" s="62">
        <f>IF(and(A150&lt;questions!$C$19,questions!$C$18="yes"),questions!$C$20,0)</f>
        <v>700</v>
      </c>
      <c r="M150" s="63">
        <f>(Y149+H150)*Lookup!A$26/12</f>
        <v>454.0692713</v>
      </c>
      <c r="N150" s="63">
        <f>if(B150&lt;55, (Z149+I150)*Lookup!B$26/12, (AB149+K150)*Lookup!B$26/12)</f>
        <v>393.4801731</v>
      </c>
      <c r="O150" s="63">
        <f>(AA149+J150)*Lookup!C$26/12</f>
        <v>398.8561322</v>
      </c>
      <c r="P150" s="63">
        <f t="shared" si="8"/>
        <v>2693.778378</v>
      </c>
      <c r="Q150" s="63">
        <f t="shared" si="4"/>
        <v>2332.894238</v>
      </c>
      <c r="R150" s="63">
        <f t="shared" si="5"/>
        <v>2357.143193</v>
      </c>
      <c r="S150" s="64">
        <f t="shared" si="9"/>
        <v>16.66666667</v>
      </c>
      <c r="T150" s="64">
        <f t="shared" si="10"/>
        <v>33.33333333</v>
      </c>
      <c r="U150" s="64">
        <f t="shared" si="11"/>
        <v>0</v>
      </c>
      <c r="V150" s="64">
        <f t="shared" ref="V150:X150" si="158">IF(year($A150)=year($A149), V149+S150, S150)</f>
        <v>100</v>
      </c>
      <c r="W150" s="64">
        <f t="shared" si="158"/>
        <v>200</v>
      </c>
      <c r="X150" s="64">
        <f t="shared" si="158"/>
        <v>0</v>
      </c>
      <c r="Y150" s="65">
        <f>IFS(
  B150&lt;55,
    MAX(
      Y149 + IF(MONTH(A150)=12, P150+V150, 0) + H150 - L150
      + MAX(0,
          IF(AA149 &gt;= VLOOKUP(YEAR(A150), Lookup!$Q:$R, 2),
            Z149 + IF(MONTH(A150)=12, Q150+W150, 0) + I150
              + AA149 + IF(MONTH(A150)=12, R150+X150, 0)
              - VLOOKUP(YEAR(A150), Lookup!$Q:$R, 2) + J150,
            Z149 + IF(MONTH(A150)=12, Q150+W150, 0) + I150
          ) - VLOOKUP(YEAR(A150), Lookup!$K:$M, 3)
        ),
    0),
  B150=55,
    IF(Z149&gt;=AD150,
      MAX(Y149 + IF(MONTH(A150)=12, P150+V150, 0) + H150 - L150, 0),
      MAX(MAX(0, Y149-(AD150-Z149)) + IF(MONTH(A150)=12, P150+V150, 0) + H150 - L150, 0)
    ),
  B150&gt;55,
    IF(AB149&gt;=$AH$7,
      MAX(Y149 + IF(MONTH(A150)=12, P150+V150, 0) + H150 - L150 + K150 + Z149, 0),
      MAX(Y149 + IF(MONTH(A150)=12, P150+V150, 0) + H150 - L150, 0)
    )
)</f>
        <v>217253.2502</v>
      </c>
      <c r="Z150" s="65">
        <f>IFS(
  B150&lt;55,
    MIN(
      IF(AA149 &gt;= VLOOKUP(YEAR(A150), Lookup!$Q:$R, 2),
        Z149 + IF(MONTH(A150)=12, Q150+W150, 0) + I150
          + AA149 + IF(MONTH(A150)=12, R150+X150, 0) - VLOOKUP(YEAR(A150), Lookup!$Q:$R, 2) + J150,
        Z149 + IF(MONTH(A150)=12, Q150+W150, 0) + I150
      ),
      VLOOKUP(YEAR(A150), Lookup!$K:$M, 3)
    ),
  B150=55,
    IF(Z149 &gt;= AD150, Z149 - AD150, 0),
  B150&gt;55, 0
)</f>
        <v>118044.0519</v>
      </c>
      <c r="AA150" s="65">
        <f>IFS(
  B150&lt;65,
    IF(AA149+J150 &lt; VLOOKUP(YEAR(A150), Lookup!$Q:$R, 2),
      AA149 + IF(MONTH(A150)=12, R149+X149, 0) + J150,
      MIN(
        AA149 + IF(MONTH(A150)=12, R149+X149, 0) + J150 ,
        VLOOKUP(YEAR(A150), Lookup!$Q:$R, 2)
      )
    ),
  B150&gt;=65,
    IF(AA149+J150 &lt; VLOOKUP(questions!$C$5, Lookup!$Q:$R, 2),
      AA149 + IF(MONTH(A150)=12, R149+X149, 0) + J150 ,
      MIN(
        AA149 + IF(MONTH(A150)=12, R149+X149, 0) + J150,
        VLOOKUP(questions!$C$5, Lookup!$Q:$R, 2)
      )
    )
)</f>
        <v>119374.4239</v>
      </c>
      <c r="AB150" s="65">
        <f t="shared" si="13"/>
        <v>0</v>
      </c>
      <c r="AC150" s="66">
        <f t="array" ref="AC150">IFS(B150&lt;66, XLOOKUP(year(A150),Lookup!$K$13:$K1000,Lookup!$L$13:$L1000,"missing",,1),B150&gt;65,XLOOKUP(questions!$C$5,Lookup!$K$13:$K1000,Lookup!$L$13:$L1000,"missing",,1))</f>
        <v>166582.5447</v>
      </c>
      <c r="AD150" s="66">
        <f t="array" ref="AD150">IFS(B150&lt;66, XLOOKUP(year(A150),Lookup!$K$13:$K1000,Lookup!$M$13:$M1000,"missing",,1),B150&gt;65, XLOOKUP(questions!$C$5,Lookup!$K$13:$K1000,Lookup!$M$13:$M1000,"missing",,1))</f>
        <v>333165.0895</v>
      </c>
      <c r="AE150" s="66">
        <f t="array" ref="AE150">IFS(B150&lt;66, XLOOKUP(year(A150),Lookup!$K$13:$K1000,Lookup!$N$13:$N1000,"missing",,1),B150&gt;65,XLOOKUP(questions!$C$5,Lookup!$K$13:$K1000,Lookup!$N$13:$N1000,"missing",,1))</f>
        <v>666330.1789</v>
      </c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</row>
    <row r="151">
      <c r="A151" s="55">
        <f t="shared" si="7"/>
        <v>50617</v>
      </c>
      <c r="B151" s="56">
        <f>round(YEARFRAC(EOMONTH(questions!$C$3, 0),A151,1),2)</f>
        <v>39.67</v>
      </c>
      <c r="C151" s="57">
        <f>IF(B151&lt;questions!$C$6,if(MONTH(A151)=1,C150*(1+questions!$C$12),C150),0)</f>
        <v>14257.60887</v>
      </c>
      <c r="D151" s="58">
        <f>IF(MONTH(A151)=12,C151*questions!$C$11,0)</f>
        <v>0</v>
      </c>
      <c r="E151" s="59">
        <f t="shared" si="2"/>
        <v>8000</v>
      </c>
      <c r="F151" s="59">
        <f t="shared" si="3"/>
        <v>0</v>
      </c>
      <c r="G151" s="60">
        <f t="array" ref="G151">if(YEAR(A151)=2025,XLOOKUP(B151,Lookup!$A$3:$A$7,Lookup!$D$3:$D$7,,1)*SUM(E151:F151), XLOOKUP(B151,Lookup!$A$14:$A$18,Lookup!$D$14:$D$18,,1)*SUM(E151:F151))</f>
        <v>2960</v>
      </c>
      <c r="H151" s="60">
        <f t="array" ref="H151">if(YEAR(A151)=2025,XLOOKUP(B151,Lookup!$F$3:$F$10,Lookup!$G$3:$G$10,,1)*G151, XLOOKUP(B151,Lookup!$F$14:$F$21,Lookup!$G$14:$G$21,,1)*G151)</f>
        <v>1680.392</v>
      </c>
      <c r="I151" s="60">
        <f t="array" ref="I151">if(B151&lt;55, if(YEAR(A151)=2025,XLOOKUP(B151,Lookup!$F$3:$F$10,Lookup!$H$3:$H$10,,1)*G151, XLOOKUP(B151,Lookup!$F$14:$F$21,Lookup!$H$14:$H$21,,1)*G151),0)</f>
        <v>559.736</v>
      </c>
      <c r="J151" s="60">
        <f t="array" ref="J151">if(YEAR(A151)=2025,XLOOKUP(B151,Lookup!$F$3:$F$10,Lookup!$I$3:$I$10,,1)*G151, XLOOKUP(B151,Lookup!$F$14:$F$21,Lookup!$I$14:$I$21,,1)*G151)</f>
        <v>719.872</v>
      </c>
      <c r="K151" s="61">
        <f t="array" ref="K151">if(B151&gt;54, if(YEAR(A151)=2025,XLOOKUP(B151,Lookup!$F$3:$F$10,Lookup!$H$3:$H$10,,1)*G151, XLOOKUP(B151,Lookup!$F$14:$F$21,Lookup!$H$14:$H$21,,1)*G151),0)</f>
        <v>0</v>
      </c>
      <c r="L151" s="62">
        <f>IF(and(A151&lt;questions!$C$19,questions!$C$18="yes"),questions!$C$20,0)</f>
        <v>700</v>
      </c>
      <c r="M151" s="63">
        <f>(Y150+H151)*Lookup!A$26/12</f>
        <v>456.1117546</v>
      </c>
      <c r="N151" s="63">
        <f>if(B151&lt;55, (Z150+I151)*Lookup!B$26/12, (AB150+K151)*Lookup!B$26/12)</f>
        <v>395.3459597</v>
      </c>
      <c r="O151" s="63">
        <f>(AA150+J151)*Lookup!C$26/12</f>
        <v>400.3143198</v>
      </c>
      <c r="P151" s="63">
        <f t="shared" si="8"/>
        <v>3149.890132</v>
      </c>
      <c r="Q151" s="63">
        <f t="shared" si="4"/>
        <v>2728.240198</v>
      </c>
      <c r="R151" s="63">
        <f t="shared" si="5"/>
        <v>2757.457513</v>
      </c>
      <c r="S151" s="64">
        <f t="shared" si="9"/>
        <v>16.66666667</v>
      </c>
      <c r="T151" s="64">
        <f t="shared" si="10"/>
        <v>33.33333333</v>
      </c>
      <c r="U151" s="64">
        <f t="shared" si="11"/>
        <v>0</v>
      </c>
      <c r="V151" s="64">
        <f t="shared" ref="V151:X151" si="159">IF(year($A151)=year($A150), V150+S151, S151)</f>
        <v>116.6666667</v>
      </c>
      <c r="W151" s="64">
        <f t="shared" si="159"/>
        <v>233.3333333</v>
      </c>
      <c r="X151" s="64">
        <f t="shared" si="159"/>
        <v>0</v>
      </c>
      <c r="Y151" s="65">
        <f>IFS(
  B151&lt;55,
    MAX(
      Y150 + IF(MONTH(A151)=12, P151+V151, 0) + H151 - L151
      + MAX(0,
          IF(AA150 &gt;= VLOOKUP(YEAR(A151), Lookup!$Q:$R, 2),
            Z150 + IF(MONTH(A151)=12, Q151+W151, 0) + I151
              + AA150 + IF(MONTH(A151)=12, R151+X151, 0)
              - VLOOKUP(YEAR(A151), Lookup!$Q:$R, 2) + J151,
            Z150 + IF(MONTH(A151)=12, Q151+W151, 0) + I151
          ) - VLOOKUP(YEAR(A151), Lookup!$K:$M, 3)
        ),
    0),
  B151=55,
    IF(Z150&gt;=AD151,
      MAX(Y150 + IF(MONTH(A151)=12, P151+V151, 0) + H151 - L151, 0),
      MAX(MAX(0, Y150-(AD151-Z150)) + IF(MONTH(A151)=12, P151+V151, 0) + H151 - L151, 0)
    ),
  B151&gt;55,
    IF(AB150&gt;=$AH$7,
      MAX(Y150 + IF(MONTH(A151)=12, P151+V151, 0) + H151 - L151 + K151 + Z150, 0),
      MAX(Y150 + IF(MONTH(A151)=12, P151+V151, 0) + H151 - L151, 0)
    )
)</f>
        <v>218233.6422</v>
      </c>
      <c r="Z151" s="65">
        <f>IFS(
  B151&lt;55,
    MIN(
      IF(AA150 &gt;= VLOOKUP(YEAR(A151), Lookup!$Q:$R, 2),
        Z150 + IF(MONTH(A151)=12, Q151+W151, 0) + I151
          + AA150 + IF(MONTH(A151)=12, R151+X151, 0) - VLOOKUP(YEAR(A151), Lookup!$Q:$R, 2) + J151,
        Z150 + IF(MONTH(A151)=12, Q151+W151, 0) + I151
      ),
      VLOOKUP(YEAR(A151), Lookup!$K:$M, 3)
    ),
  B151=55,
    IF(Z150 &gt;= AD151, Z150 - AD151, 0),
  B151&gt;55, 0
)</f>
        <v>119323.6599</v>
      </c>
      <c r="AA151" s="65">
        <f>IFS(
  B151&lt;65,
    IF(AA150+J151 &lt; VLOOKUP(YEAR(A151), Lookup!$Q:$R, 2),
      AA150 + IF(MONTH(A151)=12, R150+X150, 0) + J151,
      MIN(
        AA150 + IF(MONTH(A151)=12, R150+X150, 0) + J151 ,
        VLOOKUP(YEAR(A151), Lookup!$Q:$R, 2)
      )
    ),
  B151&gt;=65,
    IF(AA150+J151 &lt; VLOOKUP(questions!$C$5, Lookup!$Q:$R, 2),
      AA150 + IF(MONTH(A151)=12, R150+X150, 0) + J151 ,
      MIN(
        AA150 + IF(MONTH(A151)=12, R150+X150, 0) + J151,
        VLOOKUP(questions!$C$5, Lookup!$Q:$R, 2)
      )
    )
)</f>
        <v>119374.4239</v>
      </c>
      <c r="AB151" s="65">
        <f t="shared" si="13"/>
        <v>0</v>
      </c>
      <c r="AC151" s="66">
        <f t="array" ref="AC151">IFS(B151&lt;66, XLOOKUP(year(A151),Lookup!$K$13:$K1000,Lookup!$L$13:$L1000,"missing",,1),B151&gt;65,XLOOKUP(questions!$C$5,Lookup!$K$13:$K1000,Lookup!$L$13:$L1000,"missing",,1))</f>
        <v>166582.5447</v>
      </c>
      <c r="AD151" s="66">
        <f t="array" ref="AD151">IFS(B151&lt;66, XLOOKUP(year(A151),Lookup!$K$13:$K1000,Lookup!$M$13:$M1000,"missing",,1),B151&gt;65, XLOOKUP(questions!$C$5,Lookup!$K$13:$K1000,Lookup!$M$13:$M1000,"missing",,1))</f>
        <v>333165.0895</v>
      </c>
      <c r="AE151" s="66">
        <f t="array" ref="AE151">IFS(B151&lt;66, XLOOKUP(year(A151),Lookup!$K$13:$K1000,Lookup!$N$13:$N1000,"missing",,1),B151&gt;65,XLOOKUP(questions!$C$5,Lookup!$K$13:$K1000,Lookup!$N$13:$N1000,"missing",,1))</f>
        <v>666330.1789</v>
      </c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</row>
    <row r="152">
      <c r="A152" s="55">
        <f t="shared" si="7"/>
        <v>50648</v>
      </c>
      <c r="B152" s="56">
        <f>round(YEARFRAC(EOMONTH(questions!$C$3, 0),A152,1),2)</f>
        <v>39.75</v>
      </c>
      <c r="C152" s="57">
        <f>IF(B152&lt;questions!$C$6,if(MONTH(A152)=1,C151*(1+questions!$C$12),C151),0)</f>
        <v>14257.60887</v>
      </c>
      <c r="D152" s="58">
        <f>IF(MONTH(A152)=12,C152*questions!$C$11,0)</f>
        <v>0</v>
      </c>
      <c r="E152" s="59">
        <f t="shared" si="2"/>
        <v>8000</v>
      </c>
      <c r="F152" s="59">
        <f t="shared" si="3"/>
        <v>0</v>
      </c>
      <c r="G152" s="60">
        <f t="array" ref="G152">if(YEAR(A152)=2025,XLOOKUP(B152,Lookup!$A$3:$A$7,Lookup!$D$3:$D$7,,1)*SUM(E152:F152), XLOOKUP(B152,Lookup!$A$14:$A$18,Lookup!$D$14:$D$18,,1)*SUM(E152:F152))</f>
        <v>2960</v>
      </c>
      <c r="H152" s="60">
        <f t="array" ref="H152">if(YEAR(A152)=2025,XLOOKUP(B152,Lookup!$F$3:$F$10,Lookup!$G$3:$G$10,,1)*G152, XLOOKUP(B152,Lookup!$F$14:$F$21,Lookup!$G$14:$G$21,,1)*G152)</f>
        <v>1680.392</v>
      </c>
      <c r="I152" s="60">
        <f t="array" ref="I152">if(B152&lt;55, if(YEAR(A152)=2025,XLOOKUP(B152,Lookup!$F$3:$F$10,Lookup!$H$3:$H$10,,1)*G152, XLOOKUP(B152,Lookup!$F$14:$F$21,Lookup!$H$14:$H$21,,1)*G152),0)</f>
        <v>559.736</v>
      </c>
      <c r="J152" s="60">
        <f t="array" ref="J152">if(YEAR(A152)=2025,XLOOKUP(B152,Lookup!$F$3:$F$10,Lookup!$I$3:$I$10,,1)*G152, XLOOKUP(B152,Lookup!$F$14:$F$21,Lookup!$I$14:$I$21,,1)*G152)</f>
        <v>719.872</v>
      </c>
      <c r="K152" s="61">
        <f t="array" ref="K152">if(B152&gt;54, if(YEAR(A152)=2025,XLOOKUP(B152,Lookup!$F$3:$F$10,Lookup!$H$3:$H$10,,1)*G152, XLOOKUP(B152,Lookup!$F$14:$F$21,Lookup!$H$14:$H$21,,1)*G152),0)</f>
        <v>0</v>
      </c>
      <c r="L152" s="62">
        <f>IF(and(A152&lt;questions!$C$19,questions!$C$18="yes"),questions!$C$20,0)</f>
        <v>700</v>
      </c>
      <c r="M152" s="63">
        <f>(Y151+H152)*Lookup!A$26/12</f>
        <v>458.154238</v>
      </c>
      <c r="N152" s="63">
        <f>if(B152&lt;55, (Z151+I152)*Lookup!B$26/12, (AB151+K152)*Lookup!B$26/12)</f>
        <v>399.6113197</v>
      </c>
      <c r="O152" s="63">
        <f>(AA151+J152)*Lookup!C$26/12</f>
        <v>400.3143198</v>
      </c>
      <c r="P152" s="63">
        <f t="shared" si="8"/>
        <v>3608.04437</v>
      </c>
      <c r="Q152" s="63">
        <f t="shared" si="4"/>
        <v>3127.851518</v>
      </c>
      <c r="R152" s="63">
        <f t="shared" si="5"/>
        <v>3157.771833</v>
      </c>
      <c r="S152" s="64">
        <f t="shared" si="9"/>
        <v>16.66666667</v>
      </c>
      <c r="T152" s="64">
        <f t="shared" si="10"/>
        <v>33.33333333</v>
      </c>
      <c r="U152" s="64">
        <f t="shared" si="11"/>
        <v>0</v>
      </c>
      <c r="V152" s="64">
        <f t="shared" ref="V152:X152" si="160">IF(year($A152)=year($A151), V151+S152, S152)</f>
        <v>133.3333333</v>
      </c>
      <c r="W152" s="64">
        <f t="shared" si="160"/>
        <v>266.6666667</v>
      </c>
      <c r="X152" s="64">
        <f t="shared" si="160"/>
        <v>0</v>
      </c>
      <c r="Y152" s="65">
        <f>IFS(
  B152&lt;55,
    MAX(
      Y151 + IF(MONTH(A152)=12, P152+V152, 0) + H152 - L152
      + MAX(0,
          IF(AA151 &gt;= VLOOKUP(YEAR(A152), Lookup!$Q:$R, 2),
            Z151 + IF(MONTH(A152)=12, Q152+W152, 0) + I152
              + AA151 + IF(MONTH(A152)=12, R152+X152, 0)
              - VLOOKUP(YEAR(A152), Lookup!$Q:$R, 2) + J152,
            Z151 + IF(MONTH(A152)=12, Q152+W152, 0) + I152
          ) - VLOOKUP(YEAR(A152), Lookup!$K:$M, 3)
        ),
    0),
  B152=55,
    IF(Z151&gt;=AD152,
      MAX(Y151 + IF(MONTH(A152)=12, P152+V152, 0) + H152 - L152, 0),
      MAX(MAX(0, Y151-(AD152-Z151)) + IF(MONTH(A152)=12, P152+V152, 0) + H152 - L152, 0)
    ),
  B152&gt;55,
    IF(AB151&gt;=$AH$7,
      MAX(Y151 + IF(MONTH(A152)=12, P152+V152, 0) + H152 - L152 + K152 + Z151, 0),
      MAX(Y151 + IF(MONTH(A152)=12, P152+V152, 0) + H152 - L152, 0)
    )
)</f>
        <v>219214.0342</v>
      </c>
      <c r="Z152" s="65">
        <f>IFS(
  B152&lt;55,
    MIN(
      IF(AA151 &gt;= VLOOKUP(YEAR(A152), Lookup!$Q:$R, 2),
        Z151 + IF(MONTH(A152)=12, Q152+W152, 0) + I152
          + AA151 + IF(MONTH(A152)=12, R152+X152, 0) - VLOOKUP(YEAR(A152), Lookup!$Q:$R, 2) + J152,
        Z151 + IF(MONTH(A152)=12, Q152+W152, 0) + I152
      ),
      VLOOKUP(YEAR(A152), Lookup!$K:$M, 3)
    ),
  B152=55,
    IF(Z151 &gt;= AD152, Z151 - AD152, 0),
  B152&gt;55, 0
)</f>
        <v>120603.2679</v>
      </c>
      <c r="AA152" s="65">
        <f>IFS(
  B152&lt;65,
    IF(AA151+J152 &lt; VLOOKUP(YEAR(A152), Lookup!$Q:$R, 2),
      AA151 + IF(MONTH(A152)=12, R151+X151, 0) + J152,
      MIN(
        AA151 + IF(MONTH(A152)=12, R151+X151, 0) + J152 ,
        VLOOKUP(YEAR(A152), Lookup!$Q:$R, 2)
      )
    ),
  B152&gt;=65,
    IF(AA151+J152 &lt; VLOOKUP(questions!$C$5, Lookup!$Q:$R, 2),
      AA151 + IF(MONTH(A152)=12, R151+X151, 0) + J152 ,
      MIN(
        AA151 + IF(MONTH(A152)=12, R151+X151, 0) + J152,
        VLOOKUP(questions!$C$5, Lookup!$Q:$R, 2)
      )
    )
)</f>
        <v>119374.4239</v>
      </c>
      <c r="AB152" s="65">
        <f t="shared" si="13"/>
        <v>0</v>
      </c>
      <c r="AC152" s="66">
        <f t="array" ref="AC152">IFS(B152&lt;66, XLOOKUP(year(A152),Lookup!$K$13:$K1000,Lookup!$L$13:$L1000,"missing",,1),B152&gt;65,XLOOKUP(questions!$C$5,Lookup!$K$13:$K1000,Lookup!$L$13:$L1000,"missing",,1))</f>
        <v>166582.5447</v>
      </c>
      <c r="AD152" s="66">
        <f t="array" ref="AD152">IFS(B152&lt;66, XLOOKUP(year(A152),Lookup!$K$13:$K1000,Lookup!$M$13:$M1000,"missing",,1),B152&gt;65, XLOOKUP(questions!$C$5,Lookup!$K$13:$K1000,Lookup!$M$13:$M1000,"missing",,1))</f>
        <v>333165.0895</v>
      </c>
      <c r="AE152" s="66">
        <f t="array" ref="AE152">IFS(B152&lt;66, XLOOKUP(year(A152),Lookup!$K$13:$K1000,Lookup!$N$13:$N1000,"missing",,1),B152&gt;65,XLOOKUP(questions!$C$5,Lookup!$K$13:$K1000,Lookup!$N$13:$N1000,"missing",,1))</f>
        <v>666330.1789</v>
      </c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</row>
    <row r="153">
      <c r="A153" s="55">
        <f t="shared" si="7"/>
        <v>50678</v>
      </c>
      <c r="B153" s="56">
        <f>round(YEARFRAC(EOMONTH(questions!$C$3, 0),A153,1),2)</f>
        <v>39.83</v>
      </c>
      <c r="C153" s="57">
        <f>IF(B153&lt;questions!$C$6,if(MONTH(A153)=1,C152*(1+questions!$C$12),C152),0)</f>
        <v>14257.60887</v>
      </c>
      <c r="D153" s="58">
        <f>IF(MONTH(A153)=12,C153*questions!$C$11,0)</f>
        <v>0</v>
      </c>
      <c r="E153" s="59">
        <f t="shared" si="2"/>
        <v>8000</v>
      </c>
      <c r="F153" s="59">
        <f t="shared" si="3"/>
        <v>0</v>
      </c>
      <c r="G153" s="60">
        <f t="array" ref="G153">if(YEAR(A153)=2025,XLOOKUP(B153,Lookup!$A$3:$A$7,Lookup!$D$3:$D$7,,1)*SUM(E153:F153), XLOOKUP(B153,Lookup!$A$14:$A$18,Lookup!$D$14:$D$18,,1)*SUM(E153:F153))</f>
        <v>2960</v>
      </c>
      <c r="H153" s="60">
        <f t="array" ref="H153">if(YEAR(A153)=2025,XLOOKUP(B153,Lookup!$F$3:$F$10,Lookup!$G$3:$G$10,,1)*G153, XLOOKUP(B153,Lookup!$F$14:$F$21,Lookup!$G$14:$G$21,,1)*G153)</f>
        <v>1680.392</v>
      </c>
      <c r="I153" s="60">
        <f t="array" ref="I153">if(B153&lt;55, if(YEAR(A153)=2025,XLOOKUP(B153,Lookup!$F$3:$F$10,Lookup!$H$3:$H$10,,1)*G153, XLOOKUP(B153,Lookup!$F$14:$F$21,Lookup!$H$14:$H$21,,1)*G153),0)</f>
        <v>559.736</v>
      </c>
      <c r="J153" s="60">
        <f t="array" ref="J153">if(YEAR(A153)=2025,XLOOKUP(B153,Lookup!$F$3:$F$10,Lookup!$I$3:$I$10,,1)*G153, XLOOKUP(B153,Lookup!$F$14:$F$21,Lookup!$I$14:$I$21,,1)*G153)</f>
        <v>719.872</v>
      </c>
      <c r="K153" s="61">
        <f t="array" ref="K153">if(B153&gt;54, if(YEAR(A153)=2025,XLOOKUP(B153,Lookup!$F$3:$F$10,Lookup!$H$3:$H$10,,1)*G153, XLOOKUP(B153,Lookup!$F$14:$F$21,Lookup!$H$14:$H$21,,1)*G153),0)</f>
        <v>0</v>
      </c>
      <c r="L153" s="62">
        <f>IF(and(A153&lt;questions!$C$19,questions!$C$18="yes"),questions!$C$20,0)</f>
        <v>700</v>
      </c>
      <c r="M153" s="63">
        <f>(Y152+H153)*Lookup!A$26/12</f>
        <v>460.1967213</v>
      </c>
      <c r="N153" s="63">
        <f>if(B153&lt;55, (Z152+I153)*Lookup!B$26/12, (AB152+K153)*Lookup!B$26/12)</f>
        <v>403.8766797</v>
      </c>
      <c r="O153" s="63">
        <f>(AA152+J153)*Lookup!C$26/12</f>
        <v>400.3143198</v>
      </c>
      <c r="P153" s="63">
        <f t="shared" si="8"/>
        <v>4068.241092</v>
      </c>
      <c r="Q153" s="63">
        <f t="shared" si="4"/>
        <v>3531.728198</v>
      </c>
      <c r="R153" s="63">
        <f t="shared" si="5"/>
        <v>3558.086153</v>
      </c>
      <c r="S153" s="64">
        <f t="shared" si="9"/>
        <v>16.66666667</v>
      </c>
      <c r="T153" s="64">
        <f t="shared" si="10"/>
        <v>33.33333333</v>
      </c>
      <c r="U153" s="64">
        <f t="shared" si="11"/>
        <v>0</v>
      </c>
      <c r="V153" s="64">
        <f t="shared" ref="V153:X153" si="161">IF(year($A153)=year($A152), V152+S153, S153)</f>
        <v>150</v>
      </c>
      <c r="W153" s="64">
        <f t="shared" si="161"/>
        <v>300</v>
      </c>
      <c r="X153" s="64">
        <f t="shared" si="161"/>
        <v>0</v>
      </c>
      <c r="Y153" s="65">
        <f>IFS(
  B153&lt;55,
    MAX(
      Y152 + IF(MONTH(A153)=12, P153+V153, 0) + H153 - L153
      + MAX(0,
          IF(AA152 &gt;= VLOOKUP(YEAR(A153), Lookup!$Q:$R, 2),
            Z152 + IF(MONTH(A153)=12, Q153+W153, 0) + I153
              + AA152 + IF(MONTH(A153)=12, R153+X153, 0)
              - VLOOKUP(YEAR(A153), Lookup!$Q:$R, 2) + J153,
            Z152 + IF(MONTH(A153)=12, Q153+W153, 0) + I153
          ) - VLOOKUP(YEAR(A153), Lookup!$K:$M, 3)
        ),
    0),
  B153=55,
    IF(Z152&gt;=AD153,
      MAX(Y152 + IF(MONTH(A153)=12, P153+V153, 0) + H153 - L153, 0),
      MAX(MAX(0, Y152-(AD153-Z152)) + IF(MONTH(A153)=12, P153+V153, 0) + H153 - L153, 0)
    ),
  B153&gt;55,
    IF(AB152&gt;=$AH$7,
      MAX(Y152 + IF(MONTH(A153)=12, P153+V153, 0) + H153 - L153 + K153 + Z152, 0),
      MAX(Y152 + IF(MONTH(A153)=12, P153+V153, 0) + H153 - L153, 0)
    )
)</f>
        <v>220194.4262</v>
      </c>
      <c r="Z153" s="65">
        <f>IFS(
  B153&lt;55,
    MIN(
      IF(AA152 &gt;= VLOOKUP(YEAR(A153), Lookup!$Q:$R, 2),
        Z152 + IF(MONTH(A153)=12, Q153+W153, 0) + I153
          + AA152 + IF(MONTH(A153)=12, R153+X153, 0) - VLOOKUP(YEAR(A153), Lookup!$Q:$R, 2) + J153,
        Z152 + IF(MONTH(A153)=12, Q153+W153, 0) + I153
      ),
      VLOOKUP(YEAR(A153), Lookup!$K:$M, 3)
    ),
  B153=55,
    IF(Z152 &gt;= AD153, Z152 - AD153, 0),
  B153&gt;55, 0
)</f>
        <v>121882.8759</v>
      </c>
      <c r="AA153" s="65">
        <f>IFS(
  B153&lt;65,
    IF(AA152+J153 &lt; VLOOKUP(YEAR(A153), Lookup!$Q:$R, 2),
      AA152 + IF(MONTH(A153)=12, R152+X152, 0) + J153,
      MIN(
        AA152 + IF(MONTH(A153)=12, R152+X152, 0) + J153 ,
        VLOOKUP(YEAR(A153), Lookup!$Q:$R, 2)
      )
    ),
  B153&gt;=65,
    IF(AA152+J153 &lt; VLOOKUP(questions!$C$5, Lookup!$Q:$R, 2),
      AA152 + IF(MONTH(A153)=12, R152+X152, 0) + J153 ,
      MIN(
        AA152 + IF(MONTH(A153)=12, R152+X152, 0) + J153,
        VLOOKUP(questions!$C$5, Lookup!$Q:$R, 2)
      )
    )
)</f>
        <v>119374.4239</v>
      </c>
      <c r="AB153" s="65">
        <f t="shared" si="13"/>
        <v>0</v>
      </c>
      <c r="AC153" s="66">
        <f t="array" ref="AC153">IFS(B153&lt;66, XLOOKUP(year(A153),Lookup!$K$13:$K1000,Lookup!$L$13:$L1000,"missing",,1),B153&gt;65,XLOOKUP(questions!$C$5,Lookup!$K$13:$K1000,Lookup!$L$13:$L1000,"missing",,1))</f>
        <v>166582.5447</v>
      </c>
      <c r="AD153" s="66">
        <f t="array" ref="AD153">IFS(B153&lt;66, XLOOKUP(year(A153),Lookup!$K$13:$K1000,Lookup!$M$13:$M1000,"missing",,1),B153&gt;65, XLOOKUP(questions!$C$5,Lookup!$K$13:$K1000,Lookup!$M$13:$M1000,"missing",,1))</f>
        <v>333165.0895</v>
      </c>
      <c r="AE153" s="66">
        <f t="array" ref="AE153">IFS(B153&lt;66, XLOOKUP(year(A153),Lookup!$K$13:$K1000,Lookup!$N$13:$N1000,"missing",,1),B153&gt;65,XLOOKUP(questions!$C$5,Lookup!$K$13:$K1000,Lookup!$N$13:$N1000,"missing",,1))</f>
        <v>666330.1789</v>
      </c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</row>
    <row r="154">
      <c r="A154" s="55">
        <f t="shared" si="7"/>
        <v>50709</v>
      </c>
      <c r="B154" s="56">
        <f>round(YEARFRAC(EOMONTH(questions!$C$3, 0),A154,1),2)</f>
        <v>39.92</v>
      </c>
      <c r="C154" s="57">
        <f>IF(B154&lt;questions!$C$6,if(MONTH(A154)=1,C153*(1+questions!$C$12),C153),0)</f>
        <v>14257.60887</v>
      </c>
      <c r="D154" s="58">
        <f>IF(MONTH(A154)=12,C154*questions!$C$11,0)</f>
        <v>0</v>
      </c>
      <c r="E154" s="59">
        <f t="shared" si="2"/>
        <v>8000</v>
      </c>
      <c r="F154" s="59">
        <f t="shared" si="3"/>
        <v>0</v>
      </c>
      <c r="G154" s="60">
        <f t="array" ref="G154">if(YEAR(A154)=2025,XLOOKUP(B154,Lookup!$A$3:$A$7,Lookup!$D$3:$D$7,,1)*SUM(E154:F154), XLOOKUP(B154,Lookup!$A$14:$A$18,Lookup!$D$14:$D$18,,1)*SUM(E154:F154))</f>
        <v>2960</v>
      </c>
      <c r="H154" s="60">
        <f t="array" ref="H154">if(YEAR(A154)=2025,XLOOKUP(B154,Lookup!$F$3:$F$10,Lookup!$G$3:$G$10,,1)*G154, XLOOKUP(B154,Lookup!$F$14:$F$21,Lookup!$G$14:$G$21,,1)*G154)</f>
        <v>1680.392</v>
      </c>
      <c r="I154" s="60">
        <f t="array" ref="I154">if(B154&lt;55, if(YEAR(A154)=2025,XLOOKUP(B154,Lookup!$F$3:$F$10,Lookup!$H$3:$H$10,,1)*G154, XLOOKUP(B154,Lookup!$F$14:$F$21,Lookup!$H$14:$H$21,,1)*G154),0)</f>
        <v>559.736</v>
      </c>
      <c r="J154" s="60">
        <f t="array" ref="J154">if(YEAR(A154)=2025,XLOOKUP(B154,Lookup!$F$3:$F$10,Lookup!$I$3:$I$10,,1)*G154, XLOOKUP(B154,Lookup!$F$14:$F$21,Lookup!$I$14:$I$21,,1)*G154)</f>
        <v>719.872</v>
      </c>
      <c r="K154" s="61">
        <f t="array" ref="K154">if(B154&gt;54, if(YEAR(A154)=2025,XLOOKUP(B154,Lookup!$F$3:$F$10,Lookup!$H$3:$H$10,,1)*G154, XLOOKUP(B154,Lookup!$F$14:$F$21,Lookup!$H$14:$H$21,,1)*G154),0)</f>
        <v>0</v>
      </c>
      <c r="L154" s="62">
        <f>IF(and(A154&lt;questions!$C$19,questions!$C$18="yes"),questions!$C$20,0)</f>
        <v>700</v>
      </c>
      <c r="M154" s="63">
        <f>(Y153+H154)*Lookup!A$26/12</f>
        <v>462.2392046</v>
      </c>
      <c r="N154" s="63">
        <f>if(B154&lt;55, (Z153+I154)*Lookup!B$26/12, (AB153+K154)*Lookup!B$26/12)</f>
        <v>408.1420397</v>
      </c>
      <c r="O154" s="63">
        <f>(AA153+J154)*Lookup!C$26/12</f>
        <v>400.3143198</v>
      </c>
      <c r="P154" s="63">
        <f t="shared" si="8"/>
        <v>4530.480296</v>
      </c>
      <c r="Q154" s="63">
        <f t="shared" si="4"/>
        <v>3939.870237</v>
      </c>
      <c r="R154" s="63">
        <f t="shared" si="5"/>
        <v>3958.400472</v>
      </c>
      <c r="S154" s="64">
        <f t="shared" si="9"/>
        <v>16.66666667</v>
      </c>
      <c r="T154" s="64">
        <f t="shared" si="10"/>
        <v>33.33333333</v>
      </c>
      <c r="U154" s="64">
        <f t="shared" si="11"/>
        <v>0</v>
      </c>
      <c r="V154" s="64">
        <f t="shared" ref="V154:X154" si="162">IF(year($A154)=year($A153), V153+S154, S154)</f>
        <v>166.6666667</v>
      </c>
      <c r="W154" s="64">
        <f t="shared" si="162"/>
        <v>333.3333333</v>
      </c>
      <c r="X154" s="64">
        <f t="shared" si="162"/>
        <v>0</v>
      </c>
      <c r="Y154" s="65">
        <f>IFS(
  B154&lt;55,
    MAX(
      Y153 + IF(MONTH(A154)=12, P154+V154, 0) + H154 - L154
      + MAX(0,
          IF(AA153 &gt;= VLOOKUP(YEAR(A154), Lookup!$Q:$R, 2),
            Z153 + IF(MONTH(A154)=12, Q154+W154, 0) + I154
              + AA153 + IF(MONTH(A154)=12, R154+X154, 0)
              - VLOOKUP(YEAR(A154), Lookup!$Q:$R, 2) + J154,
            Z153 + IF(MONTH(A154)=12, Q154+W154, 0) + I154
          ) - VLOOKUP(YEAR(A154), Lookup!$K:$M, 3)
        ),
    0),
  B154=55,
    IF(Z153&gt;=AD154,
      MAX(Y153 + IF(MONTH(A154)=12, P154+V154, 0) + H154 - L154, 0),
      MAX(MAX(0, Y153-(AD154-Z153)) + IF(MONTH(A154)=12, P154+V154, 0) + H154 - L154, 0)
    ),
  B154&gt;55,
    IF(AB153&gt;=$AH$7,
      MAX(Y153 + IF(MONTH(A154)=12, P154+V154, 0) + H154 - L154 + K154 + Z153, 0),
      MAX(Y153 + IF(MONTH(A154)=12, P154+V154, 0) + H154 - L154, 0)
    )
)</f>
        <v>221174.8182</v>
      </c>
      <c r="Z154" s="65">
        <f>IFS(
  B154&lt;55,
    MIN(
      IF(AA153 &gt;= VLOOKUP(YEAR(A154), Lookup!$Q:$R, 2),
        Z153 + IF(MONTH(A154)=12, Q154+W154, 0) + I154
          + AA153 + IF(MONTH(A154)=12, R154+X154, 0) - VLOOKUP(YEAR(A154), Lookup!$Q:$R, 2) + J154,
        Z153 + IF(MONTH(A154)=12, Q154+W154, 0) + I154
      ),
      VLOOKUP(YEAR(A154), Lookup!$K:$M, 3)
    ),
  B154=55,
    IF(Z153 &gt;= AD154, Z153 - AD154, 0),
  B154&gt;55, 0
)</f>
        <v>123162.4839</v>
      </c>
      <c r="AA154" s="65">
        <f>IFS(
  B154&lt;65,
    IF(AA153+J154 &lt; VLOOKUP(YEAR(A154), Lookup!$Q:$R, 2),
      AA153 + IF(MONTH(A154)=12, R153+X153, 0) + J154,
      MIN(
        AA153 + IF(MONTH(A154)=12, R153+X153, 0) + J154 ,
        VLOOKUP(YEAR(A154), Lookup!$Q:$R, 2)
      )
    ),
  B154&gt;=65,
    IF(AA153+J154 &lt; VLOOKUP(questions!$C$5, Lookup!$Q:$R, 2),
      AA153 + IF(MONTH(A154)=12, R153+X153, 0) + J154 ,
      MIN(
        AA153 + IF(MONTH(A154)=12, R153+X153, 0) + J154,
        VLOOKUP(questions!$C$5, Lookup!$Q:$R, 2)
      )
    )
)</f>
        <v>119374.4239</v>
      </c>
      <c r="AB154" s="65">
        <f t="shared" si="13"/>
        <v>0</v>
      </c>
      <c r="AC154" s="66">
        <f t="array" ref="AC154">IFS(B154&lt;66, XLOOKUP(year(A154),Lookup!$K$13:$K1000,Lookup!$L$13:$L1000,"missing",,1),B154&gt;65,XLOOKUP(questions!$C$5,Lookup!$K$13:$K1000,Lookup!$L$13:$L1000,"missing",,1))</f>
        <v>166582.5447</v>
      </c>
      <c r="AD154" s="66">
        <f t="array" ref="AD154">IFS(B154&lt;66, XLOOKUP(year(A154),Lookup!$K$13:$K1000,Lookup!$M$13:$M1000,"missing",,1),B154&gt;65, XLOOKUP(questions!$C$5,Lookup!$K$13:$K1000,Lookup!$M$13:$M1000,"missing",,1))</f>
        <v>333165.0895</v>
      </c>
      <c r="AE154" s="66">
        <f t="array" ref="AE154">IFS(B154&lt;66, XLOOKUP(year(A154),Lookup!$K$13:$K1000,Lookup!$N$13:$N1000,"missing",,1),B154&gt;65,XLOOKUP(questions!$C$5,Lookup!$K$13:$K1000,Lookup!$N$13:$N1000,"missing",,1))</f>
        <v>666330.1789</v>
      </c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</row>
    <row r="155">
      <c r="A155" s="55">
        <f t="shared" si="7"/>
        <v>50739</v>
      </c>
      <c r="B155" s="56">
        <f>round(YEARFRAC(EOMONTH(questions!$C$3, 0),A155,1),2)</f>
        <v>40</v>
      </c>
      <c r="C155" s="57">
        <f>IF(B155&lt;questions!$C$6,if(MONTH(A155)=1,C154*(1+questions!$C$12),C154),0)</f>
        <v>14257.60887</v>
      </c>
      <c r="D155" s="58">
        <f>IF(MONTH(A155)=12,C155*questions!$C$11,0)</f>
        <v>0</v>
      </c>
      <c r="E155" s="59">
        <f t="shared" si="2"/>
        <v>8000</v>
      </c>
      <c r="F155" s="59">
        <f t="shared" si="3"/>
        <v>0</v>
      </c>
      <c r="G155" s="60">
        <f t="array" ref="G155">if(YEAR(A155)=2025,XLOOKUP(B155,Lookup!$A$3:$A$7,Lookup!$D$3:$D$7,,1)*SUM(E155:F155), XLOOKUP(B155,Lookup!$A$14:$A$18,Lookup!$D$14:$D$18,,1)*SUM(E155:F155))</f>
        <v>2960</v>
      </c>
      <c r="H155" s="60">
        <f t="array" ref="H155">if(YEAR(A155)=2025,XLOOKUP(B155,Lookup!$F$3:$F$10,Lookup!$G$3:$G$10,,1)*G155, XLOOKUP(B155,Lookup!$F$14:$F$21,Lookup!$G$14:$G$21,,1)*G155)</f>
        <v>1680.392</v>
      </c>
      <c r="I155" s="60">
        <f t="array" ref="I155">if(B155&lt;55, if(YEAR(A155)=2025,XLOOKUP(B155,Lookup!$F$3:$F$10,Lookup!$H$3:$H$10,,1)*G155, XLOOKUP(B155,Lookup!$F$14:$F$21,Lookup!$H$14:$H$21,,1)*G155),0)</f>
        <v>559.736</v>
      </c>
      <c r="J155" s="60">
        <f t="array" ref="J155">if(YEAR(A155)=2025,XLOOKUP(B155,Lookup!$F$3:$F$10,Lookup!$I$3:$I$10,,1)*G155, XLOOKUP(B155,Lookup!$F$14:$F$21,Lookup!$I$14:$I$21,,1)*G155)</f>
        <v>719.872</v>
      </c>
      <c r="K155" s="61">
        <f t="array" ref="K155">if(B155&gt;54, if(YEAR(A155)=2025,XLOOKUP(B155,Lookup!$F$3:$F$10,Lookup!$H$3:$H$10,,1)*G155, XLOOKUP(B155,Lookup!$F$14:$F$21,Lookup!$H$14:$H$21,,1)*G155),0)</f>
        <v>0</v>
      </c>
      <c r="L155" s="62">
        <f>IF(and(A155&lt;questions!$C$19,questions!$C$18="yes"),questions!$C$20,0)</f>
        <v>700</v>
      </c>
      <c r="M155" s="63">
        <f>(Y154+H155)*Lookup!A$26/12</f>
        <v>464.281688</v>
      </c>
      <c r="N155" s="63">
        <f>if(B155&lt;55, (Z154+I155)*Lookup!B$26/12, (AB154+K155)*Lookup!B$26/12)</f>
        <v>412.4073997</v>
      </c>
      <c r="O155" s="63">
        <f>(AA154+J155)*Lookup!C$26/12</f>
        <v>400.3143198</v>
      </c>
      <c r="P155" s="63">
        <f t="shared" si="8"/>
        <v>4994.761984</v>
      </c>
      <c r="Q155" s="63">
        <f t="shared" si="4"/>
        <v>4352.277637</v>
      </c>
      <c r="R155" s="63">
        <f t="shared" si="5"/>
        <v>4358.714792</v>
      </c>
      <c r="S155" s="64">
        <f t="shared" si="9"/>
        <v>16.66666667</v>
      </c>
      <c r="T155" s="64">
        <f t="shared" si="10"/>
        <v>33.33333333</v>
      </c>
      <c r="U155" s="64">
        <f t="shared" si="11"/>
        <v>0</v>
      </c>
      <c r="V155" s="64">
        <f t="shared" ref="V155:X155" si="163">IF(year($A155)=year($A154), V154+S155, S155)</f>
        <v>183.3333333</v>
      </c>
      <c r="W155" s="64">
        <f t="shared" si="163"/>
        <v>366.6666667</v>
      </c>
      <c r="X155" s="64">
        <f t="shared" si="163"/>
        <v>0</v>
      </c>
      <c r="Y155" s="65">
        <f>IFS(
  B155&lt;55,
    MAX(
      Y154 + IF(MONTH(A155)=12, P155+V155, 0) + H155 - L155
      + MAX(0,
          IF(AA154 &gt;= VLOOKUP(YEAR(A155), Lookup!$Q:$R, 2),
            Z154 + IF(MONTH(A155)=12, Q155+W155, 0) + I155
              + AA154 + IF(MONTH(A155)=12, R155+X155, 0)
              - VLOOKUP(YEAR(A155), Lookup!$Q:$R, 2) + J155,
            Z154 + IF(MONTH(A155)=12, Q155+W155, 0) + I155
          ) - VLOOKUP(YEAR(A155), Lookup!$K:$M, 3)
        ),
    0),
  B155=55,
    IF(Z154&gt;=AD155,
      MAX(Y154 + IF(MONTH(A155)=12, P155+V155, 0) + H155 - L155, 0),
      MAX(MAX(0, Y154-(AD155-Z154)) + IF(MONTH(A155)=12, P155+V155, 0) + H155 - L155, 0)
    ),
  B155&gt;55,
    IF(AB154&gt;=$AH$7,
      MAX(Y154 + IF(MONTH(A155)=12, P155+V155, 0) + H155 - L155 + K155 + Z154, 0),
      MAX(Y154 + IF(MONTH(A155)=12, P155+V155, 0) + H155 - L155, 0)
    )
)</f>
        <v>222155.2102</v>
      </c>
      <c r="Z155" s="65">
        <f>IFS(
  B155&lt;55,
    MIN(
      IF(AA154 &gt;= VLOOKUP(YEAR(A155), Lookup!$Q:$R, 2),
        Z154 + IF(MONTH(A155)=12, Q155+W155, 0) + I155
          + AA154 + IF(MONTH(A155)=12, R155+X155, 0) - VLOOKUP(YEAR(A155), Lookup!$Q:$R, 2) + J155,
        Z154 + IF(MONTH(A155)=12, Q155+W155, 0) + I155
      ),
      VLOOKUP(YEAR(A155), Lookup!$K:$M, 3)
    ),
  B155=55,
    IF(Z154 &gt;= AD155, Z154 - AD155, 0),
  B155&gt;55, 0
)</f>
        <v>124442.0919</v>
      </c>
      <c r="AA155" s="65">
        <f>IFS(
  B155&lt;65,
    IF(AA154+J155 &lt; VLOOKUP(YEAR(A155), Lookup!$Q:$R, 2),
      AA154 + IF(MONTH(A155)=12, R154+X154, 0) + J155,
      MIN(
        AA154 + IF(MONTH(A155)=12, R154+X154, 0) + J155 ,
        VLOOKUP(YEAR(A155), Lookup!$Q:$R, 2)
      )
    ),
  B155&gt;=65,
    IF(AA154+J155 &lt; VLOOKUP(questions!$C$5, Lookup!$Q:$R, 2),
      AA154 + IF(MONTH(A155)=12, R154+X154, 0) + J155 ,
      MIN(
        AA154 + IF(MONTH(A155)=12, R154+X154, 0) + J155,
        VLOOKUP(questions!$C$5, Lookup!$Q:$R, 2)
      )
    )
)</f>
        <v>119374.4239</v>
      </c>
      <c r="AB155" s="65">
        <f t="shared" si="13"/>
        <v>0</v>
      </c>
      <c r="AC155" s="66">
        <f t="array" ref="AC155">IFS(B155&lt;66, XLOOKUP(year(A155),Lookup!$K$13:$K1000,Lookup!$L$13:$L1000,"missing",,1),B155&gt;65,XLOOKUP(questions!$C$5,Lookup!$K$13:$K1000,Lookup!$L$13:$L1000,"missing",,1))</f>
        <v>166582.5447</v>
      </c>
      <c r="AD155" s="66">
        <f t="array" ref="AD155">IFS(B155&lt;66, XLOOKUP(year(A155),Lookup!$K$13:$K1000,Lookup!$M$13:$M1000,"missing",,1),B155&gt;65, XLOOKUP(questions!$C$5,Lookup!$K$13:$K1000,Lookup!$M$13:$M1000,"missing",,1))</f>
        <v>333165.0895</v>
      </c>
      <c r="AE155" s="66">
        <f t="array" ref="AE155">IFS(B155&lt;66, XLOOKUP(year(A155),Lookup!$K$13:$K1000,Lookup!$N$13:$N1000,"missing",,1),B155&gt;65,XLOOKUP(questions!$C$5,Lookup!$K$13:$K1000,Lookup!$N$13:$N1000,"missing",,1))</f>
        <v>666330.1789</v>
      </c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</row>
    <row r="156">
      <c r="A156" s="55">
        <f t="shared" si="7"/>
        <v>50770</v>
      </c>
      <c r="B156" s="56">
        <f>round(YEARFRAC(EOMONTH(questions!$C$3, 0),A156,1),2)</f>
        <v>40.08</v>
      </c>
      <c r="C156" s="57">
        <f>IF(B156&lt;questions!$C$6,if(MONTH(A156)=1,C155*(1+questions!$C$12),C155),0)</f>
        <v>14257.60887</v>
      </c>
      <c r="D156" s="57">
        <f>IF(MONTH(A156)=12,C156*questions!$C$11,0)</f>
        <v>14257.60887</v>
      </c>
      <c r="E156" s="59">
        <f t="shared" si="2"/>
        <v>8000</v>
      </c>
      <c r="F156" s="59">
        <f t="shared" si="3"/>
        <v>6000</v>
      </c>
      <c r="G156" s="60">
        <f t="array" ref="G156">if(YEAR(A156)=2025,XLOOKUP(B156,Lookup!$A$3:$A$7,Lookup!$D$3:$D$7,,1)*SUM(E156:F156), XLOOKUP(B156,Lookup!$A$14:$A$18,Lookup!$D$14:$D$18,,1)*SUM(E156:F156))</f>
        <v>5180</v>
      </c>
      <c r="H156" s="60">
        <f t="array" ref="H156">if(YEAR(A156)=2025,XLOOKUP(B156,Lookup!$F$3:$F$10,Lookup!$G$3:$G$10,,1)*G156, XLOOKUP(B156,Lookup!$F$14:$F$21,Lookup!$G$14:$G$21,,1)*G156)</f>
        <v>2940.686</v>
      </c>
      <c r="I156" s="60">
        <f t="array" ref="I156">if(B156&lt;55, if(YEAR(A156)=2025,XLOOKUP(B156,Lookup!$F$3:$F$10,Lookup!$H$3:$H$10,,1)*G156, XLOOKUP(B156,Lookup!$F$14:$F$21,Lookup!$H$14:$H$21,,1)*G156),0)</f>
        <v>979.538</v>
      </c>
      <c r="J156" s="60">
        <f t="array" ref="J156">if(YEAR(A156)=2025,XLOOKUP(B156,Lookup!$F$3:$F$10,Lookup!$I$3:$I$10,,1)*G156, XLOOKUP(B156,Lookup!$F$14:$F$21,Lookup!$I$14:$I$21,,1)*G156)</f>
        <v>1259.776</v>
      </c>
      <c r="K156" s="61">
        <f t="array" ref="K156">if(B156&gt;54, if(YEAR(A156)=2025,XLOOKUP(B156,Lookup!$F$3:$F$10,Lookup!$H$3:$H$10,,1)*G156, XLOOKUP(B156,Lookup!$F$14:$F$21,Lookup!$H$14:$H$21,,1)*G156),0)</f>
        <v>0</v>
      </c>
      <c r="L156" s="62">
        <f>IF(and(A156&lt;questions!$C$19,questions!$C$18="yes"),questions!$C$20,0)</f>
        <v>700</v>
      </c>
      <c r="M156" s="63">
        <f>(Y155+H156)*Lookup!A$26/12</f>
        <v>468.9497838</v>
      </c>
      <c r="N156" s="63">
        <f>if(B156&lt;55, (Z155+I156)*Lookup!B$26/12, (AB155+K156)*Lookup!B$26/12)</f>
        <v>418.0720997</v>
      </c>
      <c r="O156" s="63">
        <f>(AA155+J156)*Lookup!C$26/12</f>
        <v>402.1139998</v>
      </c>
      <c r="P156" s="63">
        <f t="shared" si="8"/>
        <v>5463.711768</v>
      </c>
      <c r="Q156" s="63">
        <f t="shared" si="4"/>
        <v>4770.349737</v>
      </c>
      <c r="R156" s="63">
        <f t="shared" si="5"/>
        <v>4760.828792</v>
      </c>
      <c r="S156" s="64">
        <f t="shared" si="9"/>
        <v>16.66666667</v>
      </c>
      <c r="T156" s="64">
        <f t="shared" si="10"/>
        <v>33.33333333</v>
      </c>
      <c r="U156" s="64">
        <f t="shared" si="11"/>
        <v>0</v>
      </c>
      <c r="V156" s="64">
        <f t="shared" ref="V156:X156" si="164">IF(year($A156)=year($A155), V155+S156, S156)</f>
        <v>200</v>
      </c>
      <c r="W156" s="64">
        <f t="shared" si="164"/>
        <v>400</v>
      </c>
      <c r="X156" s="64">
        <f t="shared" si="164"/>
        <v>0</v>
      </c>
      <c r="Y156" s="65">
        <f>IFS(
  B156&lt;55,
    MAX(
      Y155 + IF(MONTH(A156)=12, P156+V156, 0) + H156 - L156
      + MAX(0,
          IF(AA155 &gt;= VLOOKUP(YEAR(A156), Lookup!$Q:$R, 2),
            Z155 + IF(MONTH(A156)=12, Q156+W156, 0) + I156
              + AA155 + IF(MONTH(A156)=12, R156+X156, 0)
              - VLOOKUP(YEAR(A156), Lookup!$Q:$R, 2) + J156,
            Z155 + IF(MONTH(A156)=12, Q156+W156, 0) + I156
          ) - VLOOKUP(YEAR(A156), Lookup!$K:$M, 3)
        ),
    0),
  B156=55,
    IF(Z155&gt;=AD156,
      MAX(Y155 + IF(MONTH(A156)=12, P156+V156, 0) + H156 - L156, 0),
      MAX(MAX(0, Y155-(AD156-Z155)) + IF(MONTH(A156)=12, P156+V156, 0) + H156 - L156, 0)
    ),
  B156&gt;55,
    IF(AB155&gt;=$AH$7,
      MAX(Y155 + IF(MONTH(A156)=12, P156+V156, 0) + H156 - L156 + K156 + Z155, 0),
      MAX(Y155 + IF(MONTH(A156)=12, P156+V156, 0) + H156 - L156, 0)
    )
)</f>
        <v>230059.608</v>
      </c>
      <c r="Z156" s="65">
        <f>IFS(
  B156&lt;55,
    MIN(
      IF(AA155 &gt;= VLOOKUP(YEAR(A156), Lookup!$Q:$R, 2),
        Z155 + IF(MONTH(A156)=12, Q156+W156, 0) + I156
          + AA155 + IF(MONTH(A156)=12, R156+X156, 0) - VLOOKUP(YEAR(A156), Lookup!$Q:$R, 2) + J156,
        Z155 + IF(MONTH(A156)=12, Q156+W156, 0) + I156
      ),
      VLOOKUP(YEAR(A156), Lookup!$K:$M, 3)
    ),
  B156=55,
    IF(Z155 &gt;= AD156, Z155 - AD156, 0),
  B156&gt;55, 0
)</f>
        <v>136612.5845</v>
      </c>
      <c r="AA156" s="65">
        <f>IFS(
  B156&lt;65,
    IF(AA155+J156 &lt; VLOOKUP(YEAR(A156), Lookup!$Q:$R, 2),
      AA155 + IF(MONTH(A156)=12, R155+X155, 0) + J156,
      MIN(
        AA155 + IF(MONTH(A156)=12, R155+X155, 0) + J156 ,
        VLOOKUP(YEAR(A156), Lookup!$Q:$R, 2)
      )
    ),
  B156&gt;=65,
    IF(AA155+J156 &lt; VLOOKUP(questions!$C$5, Lookup!$Q:$R, 2),
      AA155 + IF(MONTH(A156)=12, R155+X155, 0) + J156 ,
      MIN(
        AA155 + IF(MONTH(A156)=12, R155+X155, 0) + J156,
        VLOOKUP(questions!$C$5, Lookup!$Q:$R, 2)
      )
    )
)</f>
        <v>119374.4239</v>
      </c>
      <c r="AB156" s="65">
        <f t="shared" si="13"/>
        <v>0</v>
      </c>
      <c r="AC156" s="66">
        <f t="array" ref="AC156">IFS(B156&lt;66, XLOOKUP(year(A156),Lookup!$K$13:$K1000,Lookup!$L$13:$L1000,"missing",,1),B156&gt;65,XLOOKUP(questions!$C$5,Lookup!$K$13:$K1000,Lookup!$L$13:$L1000,"missing",,1))</f>
        <v>166582.5447</v>
      </c>
      <c r="AD156" s="66">
        <f t="array" ref="AD156">IFS(B156&lt;66, XLOOKUP(year(A156),Lookup!$K$13:$K1000,Lookup!$M$13:$M1000,"missing",,1),B156&gt;65, XLOOKUP(questions!$C$5,Lookup!$K$13:$K1000,Lookup!$M$13:$M1000,"missing",,1))</f>
        <v>333165.0895</v>
      </c>
      <c r="AE156" s="66">
        <f t="array" ref="AE156">IFS(B156&lt;66, XLOOKUP(year(A156),Lookup!$K$13:$K1000,Lookup!$N$13:$N1000,"missing",,1),B156&gt;65,XLOOKUP(questions!$C$5,Lookup!$K$13:$K1000,Lookup!$N$13:$N1000,"missing",,1))</f>
        <v>666330.1789</v>
      </c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</row>
    <row r="157">
      <c r="A157" s="55">
        <f t="shared" si="7"/>
        <v>50801</v>
      </c>
      <c r="B157" s="56">
        <f>round(YEARFRAC(EOMONTH(questions!$C$3, 0),A157,1),2)</f>
        <v>40.17</v>
      </c>
      <c r="C157" s="57">
        <f>IF(B157&lt;questions!$C$6,if(MONTH(A157)=1,C156*(1+questions!$C$12),C156),0)</f>
        <v>14685.33713</v>
      </c>
      <c r="D157" s="58">
        <f>IF(MONTH(A157)=12,C157*questions!$C$11,0)</f>
        <v>0</v>
      </c>
      <c r="E157" s="59">
        <f t="shared" si="2"/>
        <v>8000</v>
      </c>
      <c r="F157" s="59">
        <f t="shared" si="3"/>
        <v>0</v>
      </c>
      <c r="G157" s="60">
        <f t="array" ref="G157">if(YEAR(A157)=2025,XLOOKUP(B157,Lookup!$A$3:$A$7,Lookup!$D$3:$D$7,,1)*SUM(E157:F157), XLOOKUP(B157,Lookup!$A$14:$A$18,Lookup!$D$14:$D$18,,1)*SUM(E157:F157))</f>
        <v>2960</v>
      </c>
      <c r="H157" s="60">
        <f t="array" ref="H157">if(YEAR(A157)=2025,XLOOKUP(B157,Lookup!$F$3:$F$10,Lookup!$G$3:$G$10,,1)*G157, XLOOKUP(B157,Lookup!$F$14:$F$21,Lookup!$G$14:$G$21,,1)*G157)</f>
        <v>1680.392</v>
      </c>
      <c r="I157" s="60">
        <f t="array" ref="I157">if(B157&lt;55, if(YEAR(A157)=2025,XLOOKUP(B157,Lookup!$F$3:$F$10,Lookup!$H$3:$H$10,,1)*G157, XLOOKUP(B157,Lookup!$F$14:$F$21,Lookup!$H$14:$H$21,,1)*G157),0)</f>
        <v>559.736</v>
      </c>
      <c r="J157" s="60">
        <f t="array" ref="J157">if(YEAR(A157)=2025,XLOOKUP(B157,Lookup!$F$3:$F$10,Lookup!$I$3:$I$10,,1)*G157, XLOOKUP(B157,Lookup!$F$14:$F$21,Lookup!$I$14:$I$21,,1)*G157)</f>
        <v>719.872</v>
      </c>
      <c r="K157" s="61">
        <f t="array" ref="K157">if(B157&gt;54, if(YEAR(A157)=2025,XLOOKUP(B157,Lookup!$F$3:$F$10,Lookup!$H$3:$H$10,,1)*G157, XLOOKUP(B157,Lookup!$F$14:$F$21,Lookup!$H$14:$H$21,,1)*G157),0)</f>
        <v>0</v>
      </c>
      <c r="L157" s="62">
        <f>IF(and(A157&lt;questions!$C$19,questions!$C$18="yes"),questions!$C$20,0)</f>
        <v>700</v>
      </c>
      <c r="M157" s="63">
        <f>(Y156+H157)*Lookup!A$26/12</f>
        <v>482.7916667</v>
      </c>
      <c r="N157" s="63">
        <f>if(B157&lt;55, (Z156+I157)*Lookup!B$26/12, (AB156+K157)*Lookup!B$26/12)</f>
        <v>457.2410682</v>
      </c>
      <c r="O157" s="63">
        <f>(AA156+J157)*Lookup!C$26/12</f>
        <v>400.3143198</v>
      </c>
      <c r="P157" s="63">
        <f t="shared" si="8"/>
        <v>482.7916667</v>
      </c>
      <c r="Q157" s="63">
        <f t="shared" si="4"/>
        <v>457.2410682</v>
      </c>
      <c r="R157" s="63">
        <f t="shared" si="5"/>
        <v>400.3143198</v>
      </c>
      <c r="S157" s="64">
        <f t="shared" si="9"/>
        <v>16.66666667</v>
      </c>
      <c r="T157" s="64">
        <f t="shared" si="10"/>
        <v>33.33333333</v>
      </c>
      <c r="U157" s="64">
        <f t="shared" si="11"/>
        <v>0</v>
      </c>
      <c r="V157" s="64">
        <f t="shared" ref="V157:X157" si="165">IF(year($A157)=year($A156), V156+S157, S157)</f>
        <v>16.66666667</v>
      </c>
      <c r="W157" s="64">
        <f t="shared" si="165"/>
        <v>33.33333333</v>
      </c>
      <c r="X157" s="64">
        <f t="shared" si="165"/>
        <v>0</v>
      </c>
      <c r="Y157" s="65">
        <f>IFS(
  B157&lt;55,
    MAX(
      Y156 + IF(MONTH(A157)=12, P157+V157, 0) + H157 - L157
      + MAX(0,
          IF(AA156 &gt;= VLOOKUP(YEAR(A157), Lookup!$Q:$R, 2),
            Z156 + IF(MONTH(A157)=12, Q157+W157, 0) + I157
              + AA156 + IF(MONTH(A157)=12, R157+X157, 0)
              - VLOOKUP(YEAR(A157), Lookup!$Q:$R, 2) + J157,
            Z156 + IF(MONTH(A157)=12, Q157+W157, 0) + I157
          ) - VLOOKUP(YEAR(A157), Lookup!$K:$M, 3)
        ),
    0),
  B157=55,
    IF(Z156&gt;=AD157,
      MAX(Y156 + IF(MONTH(A157)=12, P157+V157, 0) + H157 - L157, 0),
      MAX(MAX(0, Y156-(AD157-Z156)) + IF(MONTH(A157)=12, P157+V157, 0) + H157 - L157, 0)
    ),
  B157&gt;55,
    IF(AB156&gt;=$AH$7,
      MAX(Y156 + IF(MONTH(A157)=12, P157+V157, 0) + H157 - L157 + K157 + Z156, 0),
      MAX(Y156 + IF(MONTH(A157)=12, P157+V157, 0) + H157 - L157, 0)
    )
)</f>
        <v>231040</v>
      </c>
      <c r="Z157" s="65">
        <f>IFS(
  B157&lt;55,
    MIN(
      IF(AA156 &gt;= VLOOKUP(YEAR(A157), Lookup!$Q:$R, 2),
        Z156 + IF(MONTH(A157)=12, Q157+W157, 0) + I157
          + AA156 + IF(MONTH(A157)=12, R157+X157, 0) - VLOOKUP(YEAR(A157), Lookup!$Q:$R, 2) + J157,
        Z156 + IF(MONTH(A157)=12, Q157+W157, 0) + I157
      ),
      VLOOKUP(YEAR(A157), Lookup!$K:$M, 3)
    ),
  B157=55,
    IF(Z156 &gt;= AD157, Z156 - AD157, 0),
  B157&gt;55, 0
)</f>
        <v>137172.3205</v>
      </c>
      <c r="AA157" s="65">
        <f>IFS(
  B157&lt;65,
    IF(AA156+J157 &lt; VLOOKUP(YEAR(A157), Lookup!$Q:$R, 2),
      AA156 + IF(MONTH(A157)=12, R156+X156, 0) + J157,
      MIN(
        AA156 + IF(MONTH(A157)=12, R156+X156, 0) + J157 ,
        VLOOKUP(YEAR(A157), Lookup!$Q:$R, 2)
      )
    ),
  B157&gt;=65,
    IF(AA156+J157 &lt; VLOOKUP(questions!$C$5, Lookup!$Q:$R, 2),
      AA156 + IF(MONTH(A157)=12, R156+X156, 0) + J157 ,
      MIN(
        AA156 + IF(MONTH(A157)=12, R156+X156, 0) + J157,
        VLOOKUP(questions!$C$5, Lookup!$Q:$R, 2)
      )
    )
)</f>
        <v>120094.2959</v>
      </c>
      <c r="AB157" s="65">
        <f t="shared" si="13"/>
        <v>0</v>
      </c>
      <c r="AC157" s="66">
        <f t="array" ref="AC157">IFS(B157&lt;66, XLOOKUP(year(A157),Lookup!$K$13:$K1000,Lookup!$L$13:$L1000,"missing",,1),B157&gt;65,XLOOKUP(questions!$C$5,Lookup!$K$13:$K1000,Lookup!$L$13:$L1000,"missing",,1))</f>
        <v>172412.9338</v>
      </c>
      <c r="AD157" s="66">
        <f t="array" ref="AD157">IFS(B157&lt;66, XLOOKUP(year(A157),Lookup!$K$13:$K1000,Lookup!$M$13:$M1000,"missing",,1),B157&gt;65, XLOOKUP(questions!$C$5,Lookup!$K$13:$K1000,Lookup!$M$13:$M1000,"missing",,1))</f>
        <v>344825.8676</v>
      </c>
      <c r="AE157" s="66">
        <f t="array" ref="AE157">IFS(B157&lt;66, XLOOKUP(year(A157),Lookup!$K$13:$K1000,Lookup!$N$13:$N1000,"missing",,1),B157&gt;65,XLOOKUP(questions!$C$5,Lookup!$K$13:$K1000,Lookup!$N$13:$N1000,"missing",,1))</f>
        <v>689651.7352</v>
      </c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</row>
    <row r="158">
      <c r="A158" s="55">
        <f t="shared" si="7"/>
        <v>50829</v>
      </c>
      <c r="B158" s="56">
        <f>round(YEARFRAC(EOMONTH(questions!$C$3, 0),A158,1),2)</f>
        <v>40.25</v>
      </c>
      <c r="C158" s="57">
        <f>IF(B158&lt;questions!$C$6,if(MONTH(A158)=1,C157*(1+questions!$C$12),C157),0)</f>
        <v>14685.33713</v>
      </c>
      <c r="D158" s="58">
        <f>IF(MONTH(A158)=12,C158*questions!$C$11,0)</f>
        <v>0</v>
      </c>
      <c r="E158" s="59">
        <f t="shared" si="2"/>
        <v>8000</v>
      </c>
      <c r="F158" s="59">
        <f t="shared" si="3"/>
        <v>0</v>
      </c>
      <c r="G158" s="60">
        <f t="array" ref="G158">if(YEAR(A158)=2025,XLOOKUP(B158,Lookup!$A$3:$A$7,Lookup!$D$3:$D$7,,1)*SUM(E158:F158), XLOOKUP(B158,Lookup!$A$14:$A$18,Lookup!$D$14:$D$18,,1)*SUM(E158:F158))</f>
        <v>2960</v>
      </c>
      <c r="H158" s="60">
        <f t="array" ref="H158">if(YEAR(A158)=2025,XLOOKUP(B158,Lookup!$F$3:$F$10,Lookup!$G$3:$G$10,,1)*G158, XLOOKUP(B158,Lookup!$F$14:$F$21,Lookup!$G$14:$G$21,,1)*G158)</f>
        <v>1680.392</v>
      </c>
      <c r="I158" s="60">
        <f t="array" ref="I158">if(B158&lt;55, if(YEAR(A158)=2025,XLOOKUP(B158,Lookup!$F$3:$F$10,Lookup!$H$3:$H$10,,1)*G158, XLOOKUP(B158,Lookup!$F$14:$F$21,Lookup!$H$14:$H$21,,1)*G158),0)</f>
        <v>559.736</v>
      </c>
      <c r="J158" s="60">
        <f t="array" ref="J158">if(YEAR(A158)=2025,XLOOKUP(B158,Lookup!$F$3:$F$10,Lookup!$I$3:$I$10,,1)*G158, XLOOKUP(B158,Lookup!$F$14:$F$21,Lookup!$I$14:$I$21,,1)*G158)</f>
        <v>719.872</v>
      </c>
      <c r="K158" s="61">
        <f t="array" ref="K158">if(B158&gt;54, if(YEAR(A158)=2025,XLOOKUP(B158,Lookup!$F$3:$F$10,Lookup!$H$3:$H$10,,1)*G158, XLOOKUP(B158,Lookup!$F$14:$F$21,Lookup!$H$14:$H$21,,1)*G158),0)</f>
        <v>0</v>
      </c>
      <c r="L158" s="62">
        <f>IF(and(A158&lt;questions!$C$19,questions!$C$18="yes"),questions!$C$20,0)</f>
        <v>700</v>
      </c>
      <c r="M158" s="63">
        <f>(Y157+H158)*Lookup!A$26/12</f>
        <v>484.83415</v>
      </c>
      <c r="N158" s="63">
        <f>if(B158&lt;55, (Z157+I158)*Lookup!B$26/12, (AB157+K158)*Lookup!B$26/12)</f>
        <v>459.1068548</v>
      </c>
      <c r="O158" s="63">
        <f>(AA157+J158)*Lookup!C$26/12</f>
        <v>402.7138931</v>
      </c>
      <c r="P158" s="63">
        <f t="shared" si="8"/>
        <v>967.6258166</v>
      </c>
      <c r="Q158" s="63">
        <f t="shared" si="4"/>
        <v>916.347923</v>
      </c>
      <c r="R158" s="63">
        <f t="shared" si="5"/>
        <v>803.0282129</v>
      </c>
      <c r="S158" s="64">
        <f t="shared" si="9"/>
        <v>16.66666667</v>
      </c>
      <c r="T158" s="64">
        <f t="shared" si="10"/>
        <v>33.33333333</v>
      </c>
      <c r="U158" s="64">
        <f t="shared" si="11"/>
        <v>0</v>
      </c>
      <c r="V158" s="64">
        <f t="shared" ref="V158:X158" si="166">IF(year($A158)=year($A157), V157+S158, S158)</f>
        <v>33.33333333</v>
      </c>
      <c r="W158" s="64">
        <f t="shared" si="166"/>
        <v>66.66666667</v>
      </c>
      <c r="X158" s="64">
        <f t="shared" si="166"/>
        <v>0</v>
      </c>
      <c r="Y158" s="65">
        <f>IFS(
  B158&lt;55,
    MAX(
      Y157 + IF(MONTH(A158)=12, P158+V158, 0) + H158 - L158
      + MAX(0,
          IF(AA157 &gt;= VLOOKUP(YEAR(A158), Lookup!$Q:$R, 2),
            Z157 + IF(MONTH(A158)=12, Q158+W158, 0) + I158
              + AA157 + IF(MONTH(A158)=12, R158+X158, 0)
              - VLOOKUP(YEAR(A158), Lookup!$Q:$R, 2) + J158,
            Z157 + IF(MONTH(A158)=12, Q158+W158, 0) + I158
          ) - VLOOKUP(YEAR(A158), Lookup!$K:$M, 3)
        ),
    0),
  B158=55,
    IF(Z157&gt;=AD158,
      MAX(Y157 + IF(MONTH(A158)=12, P158+V158, 0) + H158 - L158, 0),
      MAX(MAX(0, Y157-(AD158-Z157)) + IF(MONTH(A158)=12, P158+V158, 0) + H158 - L158, 0)
    ),
  B158&gt;55,
    IF(AB157&gt;=$AH$7,
      MAX(Y157 + IF(MONTH(A158)=12, P158+V158, 0) + H158 - L158 + K158 + Z157, 0),
      MAX(Y157 + IF(MONTH(A158)=12, P158+V158, 0) + H158 - L158, 0)
    )
)</f>
        <v>232020.392</v>
      </c>
      <c r="Z158" s="65">
        <f>IFS(
  B158&lt;55,
    MIN(
      IF(AA157 &gt;= VLOOKUP(YEAR(A158), Lookup!$Q:$R, 2),
        Z157 + IF(MONTH(A158)=12, Q158+W158, 0) + I158
          + AA157 + IF(MONTH(A158)=12, R158+X158, 0) - VLOOKUP(YEAR(A158), Lookup!$Q:$R, 2) + J158,
        Z157 + IF(MONTH(A158)=12, Q158+W158, 0) + I158
      ),
      VLOOKUP(YEAR(A158), Lookup!$K:$M, 3)
    ),
  B158=55,
    IF(Z157 &gt;= AD158, Z157 - AD158, 0),
  B158&gt;55, 0
)</f>
        <v>137732.0565</v>
      </c>
      <c r="AA158" s="65">
        <f>IFS(
  B158&lt;65,
    IF(AA157+J158 &lt; VLOOKUP(YEAR(A158), Lookup!$Q:$R, 2),
      AA157 + IF(MONTH(A158)=12, R157+X157, 0) + J158,
      MIN(
        AA157 + IF(MONTH(A158)=12, R157+X157, 0) + J158 ,
        VLOOKUP(YEAR(A158), Lookup!$Q:$R, 2)
      )
    ),
  B158&gt;=65,
    IF(AA157+J158 &lt; VLOOKUP(questions!$C$5, Lookup!$Q:$R, 2),
      AA157 + IF(MONTH(A158)=12, R157+X157, 0) + J158 ,
      MIN(
        AA157 + IF(MONTH(A158)=12, R157+X157, 0) + J158,
        VLOOKUP(questions!$C$5, Lookup!$Q:$R, 2)
      )
    )
)</f>
        <v>120814.1679</v>
      </c>
      <c r="AB158" s="65">
        <f t="shared" si="13"/>
        <v>0</v>
      </c>
      <c r="AC158" s="66">
        <f t="array" ref="AC158">IFS(B158&lt;66, XLOOKUP(year(A158),Lookup!$K$13:$K1000,Lookup!$L$13:$L1000,"missing",,1),B158&gt;65,XLOOKUP(questions!$C$5,Lookup!$K$13:$K1000,Lookup!$L$13:$L1000,"missing",,1))</f>
        <v>172412.9338</v>
      </c>
      <c r="AD158" s="66">
        <f t="array" ref="AD158">IFS(B158&lt;66, XLOOKUP(year(A158),Lookup!$K$13:$K1000,Lookup!$M$13:$M1000,"missing",,1),B158&gt;65, XLOOKUP(questions!$C$5,Lookup!$K$13:$K1000,Lookup!$M$13:$M1000,"missing",,1))</f>
        <v>344825.8676</v>
      </c>
      <c r="AE158" s="66">
        <f t="array" ref="AE158">IFS(B158&lt;66, XLOOKUP(year(A158),Lookup!$K$13:$K1000,Lookup!$N$13:$N1000,"missing",,1),B158&gt;65,XLOOKUP(questions!$C$5,Lookup!$K$13:$K1000,Lookup!$N$13:$N1000,"missing",,1))</f>
        <v>689651.7352</v>
      </c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</row>
    <row r="159">
      <c r="A159" s="55">
        <f t="shared" si="7"/>
        <v>50860</v>
      </c>
      <c r="B159" s="56">
        <f>round(YEARFRAC(EOMONTH(questions!$C$3, 0),A159,1),2)</f>
        <v>40.33</v>
      </c>
      <c r="C159" s="57">
        <f>IF(B159&lt;questions!$C$6,if(MONTH(A159)=1,C158*(1+questions!$C$12),C158),0)</f>
        <v>14685.33713</v>
      </c>
      <c r="D159" s="58">
        <f>IF(MONTH(A159)=12,C159*questions!$C$11,0)</f>
        <v>0</v>
      </c>
      <c r="E159" s="59">
        <f t="shared" si="2"/>
        <v>8000</v>
      </c>
      <c r="F159" s="59">
        <f t="shared" si="3"/>
        <v>0</v>
      </c>
      <c r="G159" s="60">
        <f t="array" ref="G159">if(YEAR(A159)=2025,XLOOKUP(B159,Lookup!$A$3:$A$7,Lookup!$D$3:$D$7,,1)*SUM(E159:F159), XLOOKUP(B159,Lookup!$A$14:$A$18,Lookup!$D$14:$D$18,,1)*SUM(E159:F159))</f>
        <v>2960</v>
      </c>
      <c r="H159" s="60">
        <f t="array" ref="H159">if(YEAR(A159)=2025,XLOOKUP(B159,Lookup!$F$3:$F$10,Lookup!$G$3:$G$10,,1)*G159, XLOOKUP(B159,Lookup!$F$14:$F$21,Lookup!$G$14:$G$21,,1)*G159)</f>
        <v>1680.392</v>
      </c>
      <c r="I159" s="60">
        <f t="array" ref="I159">if(B159&lt;55, if(YEAR(A159)=2025,XLOOKUP(B159,Lookup!$F$3:$F$10,Lookup!$H$3:$H$10,,1)*G159, XLOOKUP(B159,Lookup!$F$14:$F$21,Lookup!$H$14:$H$21,,1)*G159),0)</f>
        <v>559.736</v>
      </c>
      <c r="J159" s="60">
        <f t="array" ref="J159">if(YEAR(A159)=2025,XLOOKUP(B159,Lookup!$F$3:$F$10,Lookup!$I$3:$I$10,,1)*G159, XLOOKUP(B159,Lookup!$F$14:$F$21,Lookup!$I$14:$I$21,,1)*G159)</f>
        <v>719.872</v>
      </c>
      <c r="K159" s="61">
        <f t="array" ref="K159">if(B159&gt;54, if(YEAR(A159)=2025,XLOOKUP(B159,Lookup!$F$3:$F$10,Lookup!$H$3:$H$10,,1)*G159, XLOOKUP(B159,Lookup!$F$14:$F$21,Lookup!$H$14:$H$21,,1)*G159),0)</f>
        <v>0</v>
      </c>
      <c r="L159" s="62">
        <f>IF(and(A159&lt;questions!$C$19,questions!$C$18="yes"),questions!$C$20,0)</f>
        <v>700</v>
      </c>
      <c r="M159" s="63">
        <f>(Y158+H159)*Lookup!A$26/12</f>
        <v>486.8766333</v>
      </c>
      <c r="N159" s="63">
        <f>if(B159&lt;55, (Z158+I159)*Lookup!B$26/12, (AB158+K159)*Lookup!B$26/12)</f>
        <v>460.9726415</v>
      </c>
      <c r="O159" s="63">
        <f>(AA158+J159)*Lookup!C$26/12</f>
        <v>405.1134664</v>
      </c>
      <c r="P159" s="63">
        <f t="shared" si="8"/>
        <v>1454.50245</v>
      </c>
      <c r="Q159" s="63">
        <f t="shared" si="4"/>
        <v>1377.320565</v>
      </c>
      <c r="R159" s="63">
        <f t="shared" si="5"/>
        <v>1208.141679</v>
      </c>
      <c r="S159" s="64">
        <f t="shared" si="9"/>
        <v>16.66666667</v>
      </c>
      <c r="T159" s="64">
        <f t="shared" si="10"/>
        <v>33.33333333</v>
      </c>
      <c r="U159" s="64">
        <f t="shared" si="11"/>
        <v>0</v>
      </c>
      <c r="V159" s="64">
        <f t="shared" ref="V159:X159" si="167">IF(year($A159)=year($A158), V158+S159, S159)</f>
        <v>50</v>
      </c>
      <c r="W159" s="64">
        <f t="shared" si="167"/>
        <v>100</v>
      </c>
      <c r="X159" s="64">
        <f t="shared" si="167"/>
        <v>0</v>
      </c>
      <c r="Y159" s="65">
        <f>IFS(
  B159&lt;55,
    MAX(
      Y158 + IF(MONTH(A159)=12, P159+V159, 0) + H159 - L159
      + MAX(0,
          IF(AA158 &gt;= VLOOKUP(YEAR(A159), Lookup!$Q:$R, 2),
            Z158 + IF(MONTH(A159)=12, Q159+W159, 0) + I159
              + AA158 + IF(MONTH(A159)=12, R159+X159, 0)
              - VLOOKUP(YEAR(A159), Lookup!$Q:$R, 2) + J159,
            Z158 + IF(MONTH(A159)=12, Q159+W159, 0) + I159
          ) - VLOOKUP(YEAR(A159), Lookup!$K:$M, 3)
        ),
    0),
  B159=55,
    IF(Z158&gt;=AD159,
      MAX(Y158 + IF(MONTH(A159)=12, P159+V159, 0) + H159 - L159, 0),
      MAX(MAX(0, Y158-(AD159-Z158)) + IF(MONTH(A159)=12, P159+V159, 0) + H159 - L159, 0)
    ),
  B159&gt;55,
    IF(AB158&gt;=$AH$7,
      MAX(Y158 + IF(MONTH(A159)=12, P159+V159, 0) + H159 - L159 + K159 + Z158, 0),
      MAX(Y158 + IF(MONTH(A159)=12, P159+V159, 0) + H159 - L159, 0)
    )
)</f>
        <v>233000.784</v>
      </c>
      <c r="Z159" s="65">
        <f>IFS(
  B159&lt;55,
    MIN(
      IF(AA158 &gt;= VLOOKUP(YEAR(A159), Lookup!$Q:$R, 2),
        Z158 + IF(MONTH(A159)=12, Q159+W159, 0) + I159
          + AA158 + IF(MONTH(A159)=12, R159+X159, 0) - VLOOKUP(YEAR(A159), Lookup!$Q:$R, 2) + J159,
        Z158 + IF(MONTH(A159)=12, Q159+W159, 0) + I159
      ),
      VLOOKUP(YEAR(A159), Lookup!$K:$M, 3)
    ),
  B159=55,
    IF(Z158 &gt;= AD159, Z158 - AD159, 0),
  B159&gt;55, 0
)</f>
        <v>138291.7925</v>
      </c>
      <c r="AA159" s="65">
        <f>IFS(
  B159&lt;65,
    IF(AA158+J159 &lt; VLOOKUP(YEAR(A159), Lookup!$Q:$R, 2),
      AA158 + IF(MONTH(A159)=12, R158+X158, 0) + J159,
      MIN(
        AA158 + IF(MONTH(A159)=12, R158+X158, 0) + J159 ,
        VLOOKUP(YEAR(A159), Lookup!$Q:$R, 2)
      )
    ),
  B159&gt;=65,
    IF(AA158+J159 &lt; VLOOKUP(questions!$C$5, Lookup!$Q:$R, 2),
      AA158 + IF(MONTH(A159)=12, R158+X158, 0) + J159 ,
      MIN(
        AA158 + IF(MONTH(A159)=12, R158+X158, 0) + J159,
        VLOOKUP(questions!$C$5, Lookup!$Q:$R, 2)
      )
    )
)</f>
        <v>121534.0399</v>
      </c>
      <c r="AB159" s="65">
        <f t="shared" si="13"/>
        <v>0</v>
      </c>
      <c r="AC159" s="66">
        <f t="array" ref="AC159">IFS(B159&lt;66, XLOOKUP(year(A159),Lookup!$K$13:$K1000,Lookup!$L$13:$L1000,"missing",,1),B159&gt;65,XLOOKUP(questions!$C$5,Lookup!$K$13:$K1000,Lookup!$L$13:$L1000,"missing",,1))</f>
        <v>172412.9338</v>
      </c>
      <c r="AD159" s="66">
        <f t="array" ref="AD159">IFS(B159&lt;66, XLOOKUP(year(A159),Lookup!$K$13:$K1000,Lookup!$M$13:$M1000,"missing",,1),B159&gt;65, XLOOKUP(questions!$C$5,Lookup!$K$13:$K1000,Lookup!$M$13:$M1000,"missing",,1))</f>
        <v>344825.8676</v>
      </c>
      <c r="AE159" s="66">
        <f t="array" ref="AE159">IFS(B159&lt;66, XLOOKUP(year(A159),Lookup!$K$13:$K1000,Lookup!$N$13:$N1000,"missing",,1),B159&gt;65,XLOOKUP(questions!$C$5,Lookup!$K$13:$K1000,Lookup!$N$13:$N1000,"missing",,1))</f>
        <v>689651.7352</v>
      </c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</row>
    <row r="160">
      <c r="A160" s="55">
        <f t="shared" si="7"/>
        <v>50890</v>
      </c>
      <c r="B160" s="56">
        <f>round(YEARFRAC(EOMONTH(questions!$C$3, 0),A160,1),2)</f>
        <v>40.41</v>
      </c>
      <c r="C160" s="57">
        <f>IF(B160&lt;questions!$C$6,if(MONTH(A160)=1,C159*(1+questions!$C$12),C159),0)</f>
        <v>14685.33713</v>
      </c>
      <c r="D160" s="58">
        <f>IF(MONTH(A160)=12,C160*questions!$C$11,0)</f>
        <v>0</v>
      </c>
      <c r="E160" s="59">
        <f t="shared" si="2"/>
        <v>8000</v>
      </c>
      <c r="F160" s="59">
        <f t="shared" si="3"/>
        <v>0</v>
      </c>
      <c r="G160" s="60">
        <f t="array" ref="G160">if(YEAR(A160)=2025,XLOOKUP(B160,Lookup!$A$3:$A$7,Lookup!$D$3:$D$7,,1)*SUM(E160:F160), XLOOKUP(B160,Lookup!$A$14:$A$18,Lookup!$D$14:$D$18,,1)*SUM(E160:F160))</f>
        <v>2960</v>
      </c>
      <c r="H160" s="60">
        <f t="array" ref="H160">if(YEAR(A160)=2025,XLOOKUP(B160,Lookup!$F$3:$F$10,Lookup!$G$3:$G$10,,1)*G160, XLOOKUP(B160,Lookup!$F$14:$F$21,Lookup!$G$14:$G$21,,1)*G160)</f>
        <v>1680.392</v>
      </c>
      <c r="I160" s="60">
        <f t="array" ref="I160">if(B160&lt;55, if(YEAR(A160)=2025,XLOOKUP(B160,Lookup!$F$3:$F$10,Lookup!$H$3:$H$10,,1)*G160, XLOOKUP(B160,Lookup!$F$14:$F$21,Lookup!$H$14:$H$21,,1)*G160),0)</f>
        <v>559.736</v>
      </c>
      <c r="J160" s="60">
        <f t="array" ref="J160">if(YEAR(A160)=2025,XLOOKUP(B160,Lookup!$F$3:$F$10,Lookup!$I$3:$I$10,,1)*G160, XLOOKUP(B160,Lookup!$F$14:$F$21,Lookup!$I$14:$I$21,,1)*G160)</f>
        <v>719.872</v>
      </c>
      <c r="K160" s="61">
        <f t="array" ref="K160">if(B160&gt;54, if(YEAR(A160)=2025,XLOOKUP(B160,Lookup!$F$3:$F$10,Lookup!$H$3:$H$10,,1)*G160, XLOOKUP(B160,Lookup!$F$14:$F$21,Lookup!$H$14:$H$21,,1)*G160),0)</f>
        <v>0</v>
      </c>
      <c r="L160" s="62">
        <f>IF(and(A160&lt;questions!$C$19,questions!$C$18="yes"),questions!$C$20,0)</f>
        <v>700</v>
      </c>
      <c r="M160" s="63">
        <f>(Y159+H160)*Lookup!A$26/12</f>
        <v>488.9191167</v>
      </c>
      <c r="N160" s="63">
        <f>if(B160&lt;55, (Z159+I160)*Lookup!B$26/12, (AB159+K160)*Lookup!B$26/12)</f>
        <v>462.8384282</v>
      </c>
      <c r="O160" s="63">
        <f>(AA159+J160)*Lookup!C$26/12</f>
        <v>407.5130398</v>
      </c>
      <c r="P160" s="63">
        <f t="shared" si="8"/>
        <v>1943.421567</v>
      </c>
      <c r="Q160" s="63">
        <f t="shared" si="4"/>
        <v>1840.158993</v>
      </c>
      <c r="R160" s="63">
        <f t="shared" si="5"/>
        <v>1615.654719</v>
      </c>
      <c r="S160" s="64">
        <f t="shared" si="9"/>
        <v>16.66666667</v>
      </c>
      <c r="T160" s="64">
        <f t="shared" si="10"/>
        <v>33.33333333</v>
      </c>
      <c r="U160" s="64">
        <f t="shared" si="11"/>
        <v>0</v>
      </c>
      <c r="V160" s="64">
        <f t="shared" ref="V160:X160" si="168">IF(year($A160)=year($A159), V159+S160, S160)</f>
        <v>66.66666667</v>
      </c>
      <c r="W160" s="64">
        <f t="shared" si="168"/>
        <v>133.3333333</v>
      </c>
      <c r="X160" s="64">
        <f t="shared" si="168"/>
        <v>0</v>
      </c>
      <c r="Y160" s="65">
        <f>IFS(
  B160&lt;55,
    MAX(
      Y159 + IF(MONTH(A160)=12, P160+V160, 0) + H160 - L160
      + MAX(0,
          IF(AA159 &gt;= VLOOKUP(YEAR(A160), Lookup!$Q:$R, 2),
            Z159 + IF(MONTH(A160)=12, Q160+W160, 0) + I160
              + AA159 + IF(MONTH(A160)=12, R160+X160, 0)
              - VLOOKUP(YEAR(A160), Lookup!$Q:$R, 2) + J160,
            Z159 + IF(MONTH(A160)=12, Q160+W160, 0) + I160
          ) - VLOOKUP(YEAR(A160), Lookup!$K:$M, 3)
        ),
    0),
  B160=55,
    IF(Z159&gt;=AD160,
      MAX(Y159 + IF(MONTH(A160)=12, P160+V160, 0) + H160 - L160, 0),
      MAX(MAX(0, Y159-(AD160-Z159)) + IF(MONTH(A160)=12, P160+V160, 0) + H160 - L160, 0)
    ),
  B160&gt;55,
    IF(AB159&gt;=$AH$7,
      MAX(Y159 + IF(MONTH(A160)=12, P160+V160, 0) + H160 - L160 + K160 + Z159, 0),
      MAX(Y159 + IF(MONTH(A160)=12, P160+V160, 0) + H160 - L160, 0)
    )
)</f>
        <v>233981.176</v>
      </c>
      <c r="Z160" s="65">
        <f>IFS(
  B160&lt;55,
    MIN(
      IF(AA159 &gt;= VLOOKUP(YEAR(A160), Lookup!$Q:$R, 2),
        Z159 + IF(MONTH(A160)=12, Q160+W160, 0) + I160
          + AA159 + IF(MONTH(A160)=12, R160+X160, 0) - VLOOKUP(YEAR(A160), Lookup!$Q:$R, 2) + J160,
        Z159 + IF(MONTH(A160)=12, Q160+W160, 0) + I160
      ),
      VLOOKUP(YEAR(A160), Lookup!$K:$M, 3)
    ),
  B160=55,
    IF(Z159 &gt;= AD160, Z159 - AD160, 0),
  B160&gt;55, 0
)</f>
        <v>138851.5285</v>
      </c>
      <c r="AA160" s="65">
        <f>IFS(
  B160&lt;65,
    IF(AA159+J160 &lt; VLOOKUP(YEAR(A160), Lookup!$Q:$R, 2),
      AA159 + IF(MONTH(A160)=12, R159+X159, 0) + J160,
      MIN(
        AA159 + IF(MONTH(A160)=12, R159+X159, 0) + J160 ,
        VLOOKUP(YEAR(A160), Lookup!$Q:$R, 2)
      )
    ),
  B160&gt;=65,
    IF(AA159+J160 &lt; VLOOKUP(questions!$C$5, Lookup!$Q:$R, 2),
      AA159 + IF(MONTH(A160)=12, R159+X159, 0) + J160 ,
      MIN(
        AA159 + IF(MONTH(A160)=12, R159+X159, 0) + J160,
        VLOOKUP(questions!$C$5, Lookup!$Q:$R, 2)
      )
    )
)</f>
        <v>122253.9119</v>
      </c>
      <c r="AB160" s="65">
        <f t="shared" si="13"/>
        <v>0</v>
      </c>
      <c r="AC160" s="66">
        <f t="array" ref="AC160">IFS(B160&lt;66, XLOOKUP(year(A160),Lookup!$K$13:$K1000,Lookup!$L$13:$L1000,"missing",,1),B160&gt;65,XLOOKUP(questions!$C$5,Lookup!$K$13:$K1000,Lookup!$L$13:$L1000,"missing",,1))</f>
        <v>172412.9338</v>
      </c>
      <c r="AD160" s="66">
        <f t="array" ref="AD160">IFS(B160&lt;66, XLOOKUP(year(A160),Lookup!$K$13:$K1000,Lookup!$M$13:$M1000,"missing",,1),B160&gt;65, XLOOKUP(questions!$C$5,Lookup!$K$13:$K1000,Lookup!$M$13:$M1000,"missing",,1))</f>
        <v>344825.8676</v>
      </c>
      <c r="AE160" s="66">
        <f t="array" ref="AE160">IFS(B160&lt;66, XLOOKUP(year(A160),Lookup!$K$13:$K1000,Lookup!$N$13:$N1000,"missing",,1),B160&gt;65,XLOOKUP(questions!$C$5,Lookup!$K$13:$K1000,Lookup!$N$13:$N1000,"missing",,1))</f>
        <v>689651.7352</v>
      </c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</row>
    <row r="161">
      <c r="A161" s="55">
        <f t="shared" si="7"/>
        <v>50921</v>
      </c>
      <c r="B161" s="56">
        <f>round(YEARFRAC(EOMONTH(questions!$C$3, 0),A161,1),2)</f>
        <v>40.5</v>
      </c>
      <c r="C161" s="57">
        <f>IF(B161&lt;questions!$C$6,if(MONTH(A161)=1,C160*(1+questions!$C$12),C160),0)</f>
        <v>14685.33713</v>
      </c>
      <c r="D161" s="58">
        <f>IF(MONTH(A161)=12,C161*questions!$C$11,0)</f>
        <v>0</v>
      </c>
      <c r="E161" s="59">
        <f t="shared" si="2"/>
        <v>8000</v>
      </c>
      <c r="F161" s="59">
        <f t="shared" si="3"/>
        <v>0</v>
      </c>
      <c r="G161" s="60">
        <f t="array" ref="G161">if(YEAR(A161)=2025,XLOOKUP(B161,Lookup!$A$3:$A$7,Lookup!$D$3:$D$7,,1)*SUM(E161:F161), XLOOKUP(B161,Lookup!$A$14:$A$18,Lookup!$D$14:$D$18,,1)*SUM(E161:F161))</f>
        <v>2960</v>
      </c>
      <c r="H161" s="60">
        <f t="array" ref="H161">if(YEAR(A161)=2025,XLOOKUP(B161,Lookup!$F$3:$F$10,Lookup!$G$3:$G$10,,1)*G161, XLOOKUP(B161,Lookup!$F$14:$F$21,Lookup!$G$14:$G$21,,1)*G161)</f>
        <v>1680.392</v>
      </c>
      <c r="I161" s="60">
        <f t="array" ref="I161">if(B161&lt;55, if(YEAR(A161)=2025,XLOOKUP(B161,Lookup!$F$3:$F$10,Lookup!$H$3:$H$10,,1)*G161, XLOOKUP(B161,Lookup!$F$14:$F$21,Lookup!$H$14:$H$21,,1)*G161),0)</f>
        <v>559.736</v>
      </c>
      <c r="J161" s="60">
        <f t="array" ref="J161">if(YEAR(A161)=2025,XLOOKUP(B161,Lookup!$F$3:$F$10,Lookup!$I$3:$I$10,,1)*G161, XLOOKUP(B161,Lookup!$F$14:$F$21,Lookup!$I$14:$I$21,,1)*G161)</f>
        <v>719.872</v>
      </c>
      <c r="K161" s="61">
        <f t="array" ref="K161">if(B161&gt;54, if(YEAR(A161)=2025,XLOOKUP(B161,Lookup!$F$3:$F$10,Lookup!$H$3:$H$10,,1)*G161, XLOOKUP(B161,Lookup!$F$14:$F$21,Lookup!$H$14:$H$21,,1)*G161),0)</f>
        <v>0</v>
      </c>
      <c r="L161" s="62">
        <f>IF(and(A161&lt;questions!$C$19,questions!$C$18="yes"),questions!$C$20,0)</f>
        <v>700</v>
      </c>
      <c r="M161" s="63">
        <f>(Y160+H161)*Lookup!A$26/12</f>
        <v>490.9616</v>
      </c>
      <c r="N161" s="63">
        <f>if(B161&lt;55, (Z160+I161)*Lookup!B$26/12, (AB160+K161)*Lookup!B$26/12)</f>
        <v>464.7042148</v>
      </c>
      <c r="O161" s="63">
        <f>(AA160+J161)*Lookup!C$26/12</f>
        <v>409.9126131</v>
      </c>
      <c r="P161" s="63">
        <f t="shared" si="8"/>
        <v>2434.383167</v>
      </c>
      <c r="Q161" s="63">
        <f t="shared" si="4"/>
        <v>2304.863208</v>
      </c>
      <c r="R161" s="63">
        <f t="shared" si="5"/>
        <v>2025.567332</v>
      </c>
      <c r="S161" s="64">
        <f t="shared" si="9"/>
        <v>16.66666667</v>
      </c>
      <c r="T161" s="64">
        <f t="shared" si="10"/>
        <v>33.33333333</v>
      </c>
      <c r="U161" s="64">
        <f t="shared" si="11"/>
        <v>0</v>
      </c>
      <c r="V161" s="64">
        <f t="shared" ref="V161:X161" si="169">IF(year($A161)=year($A160), V160+S161, S161)</f>
        <v>83.33333333</v>
      </c>
      <c r="W161" s="64">
        <f t="shared" si="169"/>
        <v>166.6666667</v>
      </c>
      <c r="X161" s="64">
        <f t="shared" si="169"/>
        <v>0</v>
      </c>
      <c r="Y161" s="65">
        <f>IFS(
  B161&lt;55,
    MAX(
      Y160 + IF(MONTH(A161)=12, P161+V161, 0) + H161 - L161
      + MAX(0,
          IF(AA160 &gt;= VLOOKUP(YEAR(A161), Lookup!$Q:$R, 2),
            Z160 + IF(MONTH(A161)=12, Q161+W161, 0) + I161
              + AA160 + IF(MONTH(A161)=12, R161+X161, 0)
              - VLOOKUP(YEAR(A161), Lookup!$Q:$R, 2) + J161,
            Z160 + IF(MONTH(A161)=12, Q161+W161, 0) + I161
          ) - VLOOKUP(YEAR(A161), Lookup!$K:$M, 3)
        ),
    0),
  B161=55,
    IF(Z160&gt;=AD161,
      MAX(Y160 + IF(MONTH(A161)=12, P161+V161, 0) + H161 - L161, 0),
      MAX(MAX(0, Y160-(AD161-Z160)) + IF(MONTH(A161)=12, P161+V161, 0) + H161 - L161, 0)
    ),
  B161&gt;55,
    IF(AB160&gt;=$AH$7,
      MAX(Y160 + IF(MONTH(A161)=12, P161+V161, 0) + H161 - L161 + K161 + Z160, 0),
      MAX(Y160 + IF(MONTH(A161)=12, P161+V161, 0) + H161 - L161, 0)
    )
)</f>
        <v>234961.568</v>
      </c>
      <c r="Z161" s="65">
        <f>IFS(
  B161&lt;55,
    MIN(
      IF(AA160 &gt;= VLOOKUP(YEAR(A161), Lookup!$Q:$R, 2),
        Z160 + IF(MONTH(A161)=12, Q161+W161, 0) + I161
          + AA160 + IF(MONTH(A161)=12, R161+X161, 0) - VLOOKUP(YEAR(A161), Lookup!$Q:$R, 2) + J161,
        Z160 + IF(MONTH(A161)=12, Q161+W161, 0) + I161
      ),
      VLOOKUP(YEAR(A161), Lookup!$K:$M, 3)
    ),
  B161=55,
    IF(Z160 &gt;= AD161, Z160 - AD161, 0),
  B161&gt;55, 0
)</f>
        <v>139411.2645</v>
      </c>
      <c r="AA161" s="65">
        <f>IFS(
  B161&lt;65,
    IF(AA160+J161 &lt; VLOOKUP(YEAR(A161), Lookup!$Q:$R, 2),
      AA160 + IF(MONTH(A161)=12, R160+X160, 0) + J161,
      MIN(
        AA160 + IF(MONTH(A161)=12, R160+X160, 0) + J161 ,
        VLOOKUP(YEAR(A161), Lookup!$Q:$R, 2)
      )
    ),
  B161&gt;=65,
    IF(AA160+J161 &lt; VLOOKUP(questions!$C$5, Lookup!$Q:$R, 2),
      AA160 + IF(MONTH(A161)=12, R160+X160, 0) + J161 ,
      MIN(
        AA160 + IF(MONTH(A161)=12, R160+X160, 0) + J161,
        VLOOKUP(questions!$C$5, Lookup!$Q:$R, 2)
      )
    )
)</f>
        <v>122973.7839</v>
      </c>
      <c r="AB161" s="65">
        <f t="shared" si="13"/>
        <v>0</v>
      </c>
      <c r="AC161" s="66">
        <f t="array" ref="AC161">IFS(B161&lt;66, XLOOKUP(year(A161),Lookup!$K$13:$K1000,Lookup!$L$13:$L1000,"missing",,1),B161&gt;65,XLOOKUP(questions!$C$5,Lookup!$K$13:$K1000,Lookup!$L$13:$L1000,"missing",,1))</f>
        <v>172412.9338</v>
      </c>
      <c r="AD161" s="66">
        <f t="array" ref="AD161">IFS(B161&lt;66, XLOOKUP(year(A161),Lookup!$K$13:$K1000,Lookup!$M$13:$M1000,"missing",,1),B161&gt;65, XLOOKUP(questions!$C$5,Lookup!$K$13:$K1000,Lookup!$M$13:$M1000,"missing",,1))</f>
        <v>344825.8676</v>
      </c>
      <c r="AE161" s="66">
        <f t="array" ref="AE161">IFS(B161&lt;66, XLOOKUP(year(A161),Lookup!$K$13:$K1000,Lookup!$N$13:$N1000,"missing",,1),B161&gt;65,XLOOKUP(questions!$C$5,Lookup!$K$13:$K1000,Lookup!$N$13:$N1000,"missing",,1))</f>
        <v>689651.7352</v>
      </c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</row>
    <row r="162">
      <c r="A162" s="55">
        <f t="shared" si="7"/>
        <v>50951</v>
      </c>
      <c r="B162" s="56">
        <f>round(YEARFRAC(EOMONTH(questions!$C$3, 0),A162,1),2)</f>
        <v>40.58</v>
      </c>
      <c r="C162" s="57">
        <f>IF(B162&lt;questions!$C$6,if(MONTH(A162)=1,C161*(1+questions!$C$12),C161),0)</f>
        <v>14685.33713</v>
      </c>
      <c r="D162" s="58">
        <f>IF(MONTH(A162)=12,C162*questions!$C$11,0)</f>
        <v>0</v>
      </c>
      <c r="E162" s="59">
        <f t="shared" si="2"/>
        <v>8000</v>
      </c>
      <c r="F162" s="59">
        <f t="shared" si="3"/>
        <v>0</v>
      </c>
      <c r="G162" s="60">
        <f t="array" ref="G162">if(YEAR(A162)=2025,XLOOKUP(B162,Lookup!$A$3:$A$7,Lookup!$D$3:$D$7,,1)*SUM(E162:F162), XLOOKUP(B162,Lookup!$A$14:$A$18,Lookup!$D$14:$D$18,,1)*SUM(E162:F162))</f>
        <v>2960</v>
      </c>
      <c r="H162" s="60">
        <f t="array" ref="H162">if(YEAR(A162)=2025,XLOOKUP(B162,Lookup!$F$3:$F$10,Lookup!$G$3:$G$10,,1)*G162, XLOOKUP(B162,Lookup!$F$14:$F$21,Lookup!$G$14:$G$21,,1)*G162)</f>
        <v>1680.392</v>
      </c>
      <c r="I162" s="60">
        <f t="array" ref="I162">if(B162&lt;55, if(YEAR(A162)=2025,XLOOKUP(B162,Lookup!$F$3:$F$10,Lookup!$H$3:$H$10,,1)*G162, XLOOKUP(B162,Lookup!$F$14:$F$21,Lookup!$H$14:$H$21,,1)*G162),0)</f>
        <v>559.736</v>
      </c>
      <c r="J162" s="60">
        <f t="array" ref="J162">if(YEAR(A162)=2025,XLOOKUP(B162,Lookup!$F$3:$F$10,Lookup!$I$3:$I$10,,1)*G162, XLOOKUP(B162,Lookup!$F$14:$F$21,Lookup!$I$14:$I$21,,1)*G162)</f>
        <v>719.872</v>
      </c>
      <c r="K162" s="61">
        <f t="array" ref="K162">if(B162&gt;54, if(YEAR(A162)=2025,XLOOKUP(B162,Lookup!$F$3:$F$10,Lookup!$H$3:$H$10,,1)*G162, XLOOKUP(B162,Lookup!$F$14:$F$21,Lookup!$H$14:$H$21,,1)*G162),0)</f>
        <v>0</v>
      </c>
      <c r="L162" s="62">
        <f>IF(and(A162&lt;questions!$C$19,questions!$C$18="yes"),questions!$C$20,0)</f>
        <v>700</v>
      </c>
      <c r="M162" s="63">
        <f>(Y161+H162)*Lookup!A$26/12</f>
        <v>493.0040833</v>
      </c>
      <c r="N162" s="63">
        <f>if(B162&lt;55, (Z161+I162)*Lookup!B$26/12, (AB161+K162)*Lookup!B$26/12)</f>
        <v>466.5700015</v>
      </c>
      <c r="O162" s="63">
        <f>(AA161+J162)*Lookup!C$26/12</f>
        <v>412.3121864</v>
      </c>
      <c r="P162" s="63">
        <f t="shared" si="8"/>
        <v>2927.38725</v>
      </c>
      <c r="Q162" s="63">
        <f t="shared" si="4"/>
        <v>2771.433209</v>
      </c>
      <c r="R162" s="63">
        <f t="shared" si="5"/>
        <v>2437.879519</v>
      </c>
      <c r="S162" s="64">
        <f t="shared" si="9"/>
        <v>16.66666667</v>
      </c>
      <c r="T162" s="64">
        <f t="shared" si="10"/>
        <v>33.33333333</v>
      </c>
      <c r="U162" s="64">
        <f t="shared" si="11"/>
        <v>0</v>
      </c>
      <c r="V162" s="64">
        <f t="shared" ref="V162:X162" si="170">IF(year($A162)=year($A161), V161+S162, S162)</f>
        <v>100</v>
      </c>
      <c r="W162" s="64">
        <f t="shared" si="170"/>
        <v>200</v>
      </c>
      <c r="X162" s="64">
        <f t="shared" si="170"/>
        <v>0</v>
      </c>
      <c r="Y162" s="65">
        <f>IFS(
  B162&lt;55,
    MAX(
      Y161 + IF(MONTH(A162)=12, P162+V162, 0) + H162 - L162
      + MAX(0,
          IF(AA161 &gt;= VLOOKUP(YEAR(A162), Lookup!$Q:$R, 2),
            Z161 + IF(MONTH(A162)=12, Q162+W162, 0) + I162
              + AA161 + IF(MONTH(A162)=12, R162+X162, 0)
              - VLOOKUP(YEAR(A162), Lookup!$Q:$R, 2) + J162,
            Z161 + IF(MONTH(A162)=12, Q162+W162, 0) + I162
          ) - VLOOKUP(YEAR(A162), Lookup!$K:$M, 3)
        ),
    0),
  B162=55,
    IF(Z161&gt;=AD162,
      MAX(Y161 + IF(MONTH(A162)=12, P162+V162, 0) + H162 - L162, 0),
      MAX(MAX(0, Y161-(AD162-Z161)) + IF(MONTH(A162)=12, P162+V162, 0) + H162 - L162, 0)
    ),
  B162&gt;55,
    IF(AB161&gt;=$AH$7,
      MAX(Y161 + IF(MONTH(A162)=12, P162+V162, 0) + H162 - L162 + K162 + Z161, 0),
      MAX(Y161 + IF(MONTH(A162)=12, P162+V162, 0) + H162 - L162, 0)
    )
)</f>
        <v>235941.96</v>
      </c>
      <c r="Z162" s="65">
        <f>IFS(
  B162&lt;55,
    MIN(
      IF(AA161 &gt;= VLOOKUP(YEAR(A162), Lookup!$Q:$R, 2),
        Z161 + IF(MONTH(A162)=12, Q162+W162, 0) + I162
          + AA161 + IF(MONTH(A162)=12, R162+X162, 0) - VLOOKUP(YEAR(A162), Lookup!$Q:$R, 2) + J162,
        Z161 + IF(MONTH(A162)=12, Q162+W162, 0) + I162
      ),
      VLOOKUP(YEAR(A162), Lookup!$K:$M, 3)
    ),
  B162=55,
    IF(Z161 &gt;= AD162, Z161 - AD162, 0),
  B162&gt;55, 0
)</f>
        <v>139971.0005</v>
      </c>
      <c r="AA162" s="65">
        <f>IFS(
  B162&lt;65,
    IF(AA161+J162 &lt; VLOOKUP(YEAR(A162), Lookup!$Q:$R, 2),
      AA161 + IF(MONTH(A162)=12, R161+X161, 0) + J162,
      MIN(
        AA161 + IF(MONTH(A162)=12, R161+X161, 0) + J162 ,
        VLOOKUP(YEAR(A162), Lookup!$Q:$R, 2)
      )
    ),
  B162&gt;=65,
    IF(AA161+J162 &lt; VLOOKUP(questions!$C$5, Lookup!$Q:$R, 2),
      AA161 + IF(MONTH(A162)=12, R161+X161, 0) + J162 ,
      MIN(
        AA161 + IF(MONTH(A162)=12, R161+X161, 0) + J162,
        VLOOKUP(questions!$C$5, Lookup!$Q:$R, 2)
      )
    )
)</f>
        <v>123552.5288</v>
      </c>
      <c r="AB162" s="65">
        <f t="shared" si="13"/>
        <v>0</v>
      </c>
      <c r="AC162" s="66">
        <f t="array" ref="AC162">IFS(B162&lt;66, XLOOKUP(year(A162),Lookup!$K$13:$K1000,Lookup!$L$13:$L1000,"missing",,1),B162&gt;65,XLOOKUP(questions!$C$5,Lookup!$K$13:$K1000,Lookup!$L$13:$L1000,"missing",,1))</f>
        <v>172412.9338</v>
      </c>
      <c r="AD162" s="66">
        <f t="array" ref="AD162">IFS(B162&lt;66, XLOOKUP(year(A162),Lookup!$K$13:$K1000,Lookup!$M$13:$M1000,"missing",,1),B162&gt;65, XLOOKUP(questions!$C$5,Lookup!$K$13:$K1000,Lookup!$M$13:$M1000,"missing",,1))</f>
        <v>344825.8676</v>
      </c>
      <c r="AE162" s="66">
        <f t="array" ref="AE162">IFS(B162&lt;66, XLOOKUP(year(A162),Lookup!$K$13:$K1000,Lookup!$N$13:$N1000,"missing",,1),B162&gt;65,XLOOKUP(questions!$C$5,Lookup!$K$13:$K1000,Lookup!$N$13:$N1000,"missing",,1))</f>
        <v>689651.7352</v>
      </c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</row>
    <row r="163">
      <c r="A163" s="55">
        <f t="shared" si="7"/>
        <v>50982</v>
      </c>
      <c r="B163" s="56">
        <f>round(YEARFRAC(EOMONTH(questions!$C$3, 0),A163,1),2)</f>
        <v>40.67</v>
      </c>
      <c r="C163" s="57">
        <f>IF(B163&lt;questions!$C$6,if(MONTH(A163)=1,C162*(1+questions!$C$12),C162),0)</f>
        <v>14685.33713</v>
      </c>
      <c r="D163" s="58">
        <f>IF(MONTH(A163)=12,C163*questions!$C$11,0)</f>
        <v>0</v>
      </c>
      <c r="E163" s="59">
        <f t="shared" si="2"/>
        <v>8000</v>
      </c>
      <c r="F163" s="59">
        <f t="shared" si="3"/>
        <v>0</v>
      </c>
      <c r="G163" s="60">
        <f t="array" ref="G163">if(YEAR(A163)=2025,XLOOKUP(B163,Lookup!$A$3:$A$7,Lookup!$D$3:$D$7,,1)*SUM(E163:F163), XLOOKUP(B163,Lookup!$A$14:$A$18,Lookup!$D$14:$D$18,,1)*SUM(E163:F163))</f>
        <v>2960</v>
      </c>
      <c r="H163" s="60">
        <f t="array" ref="H163">if(YEAR(A163)=2025,XLOOKUP(B163,Lookup!$F$3:$F$10,Lookup!$G$3:$G$10,,1)*G163, XLOOKUP(B163,Lookup!$F$14:$F$21,Lookup!$G$14:$G$21,,1)*G163)</f>
        <v>1680.392</v>
      </c>
      <c r="I163" s="60">
        <f t="array" ref="I163">if(B163&lt;55, if(YEAR(A163)=2025,XLOOKUP(B163,Lookup!$F$3:$F$10,Lookup!$H$3:$H$10,,1)*G163, XLOOKUP(B163,Lookup!$F$14:$F$21,Lookup!$H$14:$H$21,,1)*G163),0)</f>
        <v>559.736</v>
      </c>
      <c r="J163" s="60">
        <f t="array" ref="J163">if(YEAR(A163)=2025,XLOOKUP(B163,Lookup!$F$3:$F$10,Lookup!$I$3:$I$10,,1)*G163, XLOOKUP(B163,Lookup!$F$14:$F$21,Lookup!$I$14:$I$21,,1)*G163)</f>
        <v>719.872</v>
      </c>
      <c r="K163" s="61">
        <f t="array" ref="K163">if(B163&gt;54, if(YEAR(A163)=2025,XLOOKUP(B163,Lookup!$F$3:$F$10,Lookup!$H$3:$H$10,,1)*G163, XLOOKUP(B163,Lookup!$F$14:$F$21,Lookup!$H$14:$H$21,,1)*G163),0)</f>
        <v>0</v>
      </c>
      <c r="L163" s="62">
        <f>IF(and(A163&lt;questions!$C$19,questions!$C$18="yes"),questions!$C$20,0)</f>
        <v>700</v>
      </c>
      <c r="M163" s="63">
        <f>(Y162+H163)*Lookup!A$26/12</f>
        <v>495.0465667</v>
      </c>
      <c r="N163" s="63">
        <f>if(B163&lt;55, (Z162+I163)*Lookup!B$26/12, (AB162+K163)*Lookup!B$26/12)</f>
        <v>468.4357882</v>
      </c>
      <c r="O163" s="63">
        <f>(AA162+J163)*Lookup!C$26/12</f>
        <v>414.2413359</v>
      </c>
      <c r="P163" s="63">
        <f t="shared" si="8"/>
        <v>3422.433817</v>
      </c>
      <c r="Q163" s="63">
        <f t="shared" si="4"/>
        <v>3239.868997</v>
      </c>
      <c r="R163" s="63">
        <f t="shared" si="5"/>
        <v>2852.120855</v>
      </c>
      <c r="S163" s="64">
        <f t="shared" si="9"/>
        <v>16.66666667</v>
      </c>
      <c r="T163" s="64">
        <f t="shared" si="10"/>
        <v>33.33333333</v>
      </c>
      <c r="U163" s="64">
        <f t="shared" si="11"/>
        <v>0</v>
      </c>
      <c r="V163" s="64">
        <f t="shared" ref="V163:X163" si="171">IF(year($A163)=year($A162), V162+S163, S163)</f>
        <v>116.6666667</v>
      </c>
      <c r="W163" s="64">
        <f t="shared" si="171"/>
        <v>233.3333333</v>
      </c>
      <c r="X163" s="64">
        <f t="shared" si="171"/>
        <v>0</v>
      </c>
      <c r="Y163" s="65">
        <f>IFS(
  B163&lt;55,
    MAX(
      Y162 + IF(MONTH(A163)=12, P163+V163, 0) + H163 - L163
      + MAX(0,
          IF(AA162 &gt;= VLOOKUP(YEAR(A163), Lookup!$Q:$R, 2),
            Z162 + IF(MONTH(A163)=12, Q163+W163, 0) + I163
              + AA162 + IF(MONTH(A163)=12, R163+X163, 0)
              - VLOOKUP(YEAR(A163), Lookup!$Q:$R, 2) + J163,
            Z162 + IF(MONTH(A163)=12, Q163+W163, 0) + I163
          ) - VLOOKUP(YEAR(A163), Lookup!$K:$M, 3)
        ),
    0),
  B163=55,
    IF(Z162&gt;=AD163,
      MAX(Y162 + IF(MONTH(A163)=12, P163+V163, 0) + H163 - L163, 0),
      MAX(MAX(0, Y162-(AD163-Z162)) + IF(MONTH(A163)=12, P163+V163, 0) + H163 - L163, 0)
    ),
  B163&gt;55,
    IF(AB162&gt;=$AH$7,
      MAX(Y162 + IF(MONTH(A163)=12, P163+V163, 0) + H163 - L163 + K163 + Z162, 0),
      MAX(Y162 + IF(MONTH(A163)=12, P163+V163, 0) + H163 - L163, 0)
    )
)</f>
        <v>236922.352</v>
      </c>
      <c r="Z163" s="65">
        <f>IFS(
  B163&lt;55,
    MIN(
      IF(AA162 &gt;= VLOOKUP(YEAR(A163), Lookup!$Q:$R, 2),
        Z162 + IF(MONTH(A163)=12, Q163+W163, 0) + I163
          + AA162 + IF(MONTH(A163)=12, R163+X163, 0) - VLOOKUP(YEAR(A163), Lookup!$Q:$R, 2) + J163,
        Z162 + IF(MONTH(A163)=12, Q163+W163, 0) + I163
      ),
      VLOOKUP(YEAR(A163), Lookup!$K:$M, 3)
    ),
  B163=55,
    IF(Z162 &gt;= AD163, Z162 - AD163, 0),
  B163&gt;55, 0
)</f>
        <v>141250.6085</v>
      </c>
      <c r="AA163" s="65">
        <f>IFS(
  B163&lt;65,
    IF(AA162+J163 &lt; VLOOKUP(YEAR(A163), Lookup!$Q:$R, 2),
      AA162 + IF(MONTH(A163)=12, R162+X162, 0) + J163,
      MIN(
        AA162 + IF(MONTH(A163)=12, R162+X162, 0) + J163 ,
        VLOOKUP(YEAR(A163), Lookup!$Q:$R, 2)
      )
    ),
  B163&gt;=65,
    IF(AA162+J163 &lt; VLOOKUP(questions!$C$5, Lookup!$Q:$R, 2),
      AA162 + IF(MONTH(A163)=12, R162+X162, 0) + J163 ,
      MIN(
        AA162 + IF(MONTH(A163)=12, R162+X162, 0) + J163,
        VLOOKUP(questions!$C$5, Lookup!$Q:$R, 2)
      )
    )
)</f>
        <v>123552.5288</v>
      </c>
      <c r="AB163" s="65">
        <f t="shared" si="13"/>
        <v>0</v>
      </c>
      <c r="AC163" s="66">
        <f t="array" ref="AC163">IFS(B163&lt;66, XLOOKUP(year(A163),Lookup!$K$13:$K1000,Lookup!$L$13:$L1000,"missing",,1),B163&gt;65,XLOOKUP(questions!$C$5,Lookup!$K$13:$K1000,Lookup!$L$13:$L1000,"missing",,1))</f>
        <v>172412.9338</v>
      </c>
      <c r="AD163" s="66">
        <f t="array" ref="AD163">IFS(B163&lt;66, XLOOKUP(year(A163),Lookup!$K$13:$K1000,Lookup!$M$13:$M1000,"missing",,1),B163&gt;65, XLOOKUP(questions!$C$5,Lookup!$K$13:$K1000,Lookup!$M$13:$M1000,"missing",,1))</f>
        <v>344825.8676</v>
      </c>
      <c r="AE163" s="66">
        <f t="array" ref="AE163">IFS(B163&lt;66, XLOOKUP(year(A163),Lookup!$K$13:$K1000,Lookup!$N$13:$N1000,"missing",,1),B163&gt;65,XLOOKUP(questions!$C$5,Lookup!$K$13:$K1000,Lookup!$N$13:$N1000,"missing",,1))</f>
        <v>689651.7352</v>
      </c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</row>
    <row r="164">
      <c r="A164" s="55">
        <f t="shared" si="7"/>
        <v>51013</v>
      </c>
      <c r="B164" s="56">
        <f>round(YEARFRAC(EOMONTH(questions!$C$3, 0),A164,1),2)</f>
        <v>40.75</v>
      </c>
      <c r="C164" s="57">
        <f>IF(B164&lt;questions!$C$6,if(MONTH(A164)=1,C163*(1+questions!$C$12),C163),0)</f>
        <v>14685.33713</v>
      </c>
      <c r="D164" s="58">
        <f>IF(MONTH(A164)=12,C164*questions!$C$11,0)</f>
        <v>0</v>
      </c>
      <c r="E164" s="59">
        <f t="shared" si="2"/>
        <v>8000</v>
      </c>
      <c r="F164" s="59">
        <f t="shared" si="3"/>
        <v>0</v>
      </c>
      <c r="G164" s="60">
        <f t="array" ref="G164">if(YEAR(A164)=2025,XLOOKUP(B164,Lookup!$A$3:$A$7,Lookup!$D$3:$D$7,,1)*SUM(E164:F164), XLOOKUP(B164,Lookup!$A$14:$A$18,Lookup!$D$14:$D$18,,1)*SUM(E164:F164))</f>
        <v>2960</v>
      </c>
      <c r="H164" s="60">
        <f t="array" ref="H164">if(YEAR(A164)=2025,XLOOKUP(B164,Lookup!$F$3:$F$10,Lookup!$G$3:$G$10,,1)*G164, XLOOKUP(B164,Lookup!$F$14:$F$21,Lookup!$G$14:$G$21,,1)*G164)</f>
        <v>1680.392</v>
      </c>
      <c r="I164" s="60">
        <f t="array" ref="I164">if(B164&lt;55, if(YEAR(A164)=2025,XLOOKUP(B164,Lookup!$F$3:$F$10,Lookup!$H$3:$H$10,,1)*G164, XLOOKUP(B164,Lookup!$F$14:$F$21,Lookup!$H$14:$H$21,,1)*G164),0)</f>
        <v>559.736</v>
      </c>
      <c r="J164" s="60">
        <f t="array" ref="J164">if(YEAR(A164)=2025,XLOOKUP(B164,Lookup!$F$3:$F$10,Lookup!$I$3:$I$10,,1)*G164, XLOOKUP(B164,Lookup!$F$14:$F$21,Lookup!$I$14:$I$21,,1)*G164)</f>
        <v>719.872</v>
      </c>
      <c r="K164" s="61">
        <f t="array" ref="K164">if(B164&gt;54, if(YEAR(A164)=2025,XLOOKUP(B164,Lookup!$F$3:$F$10,Lookup!$H$3:$H$10,,1)*G164, XLOOKUP(B164,Lookup!$F$14:$F$21,Lookup!$H$14:$H$21,,1)*G164),0)</f>
        <v>0</v>
      </c>
      <c r="L164" s="62">
        <f>IF(and(A164&lt;questions!$C$19,questions!$C$18="yes"),questions!$C$20,0)</f>
        <v>700</v>
      </c>
      <c r="M164" s="63">
        <f>(Y163+H164)*Lookup!A$26/12</f>
        <v>497.08905</v>
      </c>
      <c r="N164" s="63">
        <f>if(B164&lt;55, (Z163+I164)*Lookup!B$26/12, (AB163+K164)*Lookup!B$26/12)</f>
        <v>472.7011482</v>
      </c>
      <c r="O164" s="63">
        <f>(AA163+J164)*Lookup!C$26/12</f>
        <v>414.2413359</v>
      </c>
      <c r="P164" s="63">
        <f t="shared" si="8"/>
        <v>3919.522867</v>
      </c>
      <c r="Q164" s="63">
        <f t="shared" si="4"/>
        <v>3712.570145</v>
      </c>
      <c r="R164" s="63">
        <f t="shared" si="5"/>
        <v>3266.36219</v>
      </c>
      <c r="S164" s="64">
        <f t="shared" si="9"/>
        <v>16.66666667</v>
      </c>
      <c r="T164" s="64">
        <f t="shared" si="10"/>
        <v>33.33333333</v>
      </c>
      <c r="U164" s="64">
        <f t="shared" si="11"/>
        <v>0</v>
      </c>
      <c r="V164" s="64">
        <f t="shared" ref="V164:X164" si="172">IF(year($A164)=year($A163), V163+S164, S164)</f>
        <v>133.3333333</v>
      </c>
      <c r="W164" s="64">
        <f t="shared" si="172"/>
        <v>266.6666667</v>
      </c>
      <c r="X164" s="64">
        <f t="shared" si="172"/>
        <v>0</v>
      </c>
      <c r="Y164" s="65">
        <f>IFS(
  B164&lt;55,
    MAX(
      Y163 + IF(MONTH(A164)=12, P164+V164, 0) + H164 - L164
      + MAX(0,
          IF(AA163 &gt;= VLOOKUP(YEAR(A164), Lookup!$Q:$R, 2),
            Z163 + IF(MONTH(A164)=12, Q164+W164, 0) + I164
              + AA163 + IF(MONTH(A164)=12, R164+X164, 0)
              - VLOOKUP(YEAR(A164), Lookup!$Q:$R, 2) + J164,
            Z163 + IF(MONTH(A164)=12, Q164+W164, 0) + I164
          ) - VLOOKUP(YEAR(A164), Lookup!$K:$M, 3)
        ),
    0),
  B164=55,
    IF(Z163&gt;=AD164,
      MAX(Y163 + IF(MONTH(A164)=12, P164+V164, 0) + H164 - L164, 0),
      MAX(MAX(0, Y163-(AD164-Z163)) + IF(MONTH(A164)=12, P164+V164, 0) + H164 - L164, 0)
    ),
  B164&gt;55,
    IF(AB163&gt;=$AH$7,
      MAX(Y163 + IF(MONTH(A164)=12, P164+V164, 0) + H164 - L164 + K164 + Z163, 0),
      MAX(Y163 + IF(MONTH(A164)=12, P164+V164, 0) + H164 - L164, 0)
    )
)</f>
        <v>237902.744</v>
      </c>
      <c r="Z164" s="65">
        <f>IFS(
  B164&lt;55,
    MIN(
      IF(AA163 &gt;= VLOOKUP(YEAR(A164), Lookup!$Q:$R, 2),
        Z163 + IF(MONTH(A164)=12, Q164+W164, 0) + I164
          + AA163 + IF(MONTH(A164)=12, R164+X164, 0) - VLOOKUP(YEAR(A164), Lookup!$Q:$R, 2) + J164,
        Z163 + IF(MONTH(A164)=12, Q164+W164, 0) + I164
      ),
      VLOOKUP(YEAR(A164), Lookup!$K:$M, 3)
    ),
  B164=55,
    IF(Z163 &gt;= AD164, Z163 - AD164, 0),
  B164&gt;55, 0
)</f>
        <v>142530.2165</v>
      </c>
      <c r="AA164" s="65">
        <f>IFS(
  B164&lt;65,
    IF(AA163+J164 &lt; VLOOKUP(YEAR(A164), Lookup!$Q:$R, 2),
      AA163 + IF(MONTH(A164)=12, R163+X163, 0) + J164,
      MIN(
        AA163 + IF(MONTH(A164)=12, R163+X163, 0) + J164 ,
        VLOOKUP(YEAR(A164), Lookup!$Q:$R, 2)
      )
    ),
  B164&gt;=65,
    IF(AA163+J164 &lt; VLOOKUP(questions!$C$5, Lookup!$Q:$R, 2),
      AA163 + IF(MONTH(A164)=12, R163+X163, 0) + J164 ,
      MIN(
        AA163 + IF(MONTH(A164)=12, R163+X163, 0) + J164,
        VLOOKUP(questions!$C$5, Lookup!$Q:$R, 2)
      )
    )
)</f>
        <v>123552.5288</v>
      </c>
      <c r="AB164" s="65">
        <f t="shared" si="13"/>
        <v>0</v>
      </c>
      <c r="AC164" s="66">
        <f t="array" ref="AC164">IFS(B164&lt;66, XLOOKUP(year(A164),Lookup!$K$13:$K1000,Lookup!$L$13:$L1000,"missing",,1),B164&gt;65,XLOOKUP(questions!$C$5,Lookup!$K$13:$K1000,Lookup!$L$13:$L1000,"missing",,1))</f>
        <v>172412.9338</v>
      </c>
      <c r="AD164" s="66">
        <f t="array" ref="AD164">IFS(B164&lt;66, XLOOKUP(year(A164),Lookup!$K$13:$K1000,Lookup!$M$13:$M1000,"missing",,1),B164&gt;65, XLOOKUP(questions!$C$5,Lookup!$K$13:$K1000,Lookup!$M$13:$M1000,"missing",,1))</f>
        <v>344825.8676</v>
      </c>
      <c r="AE164" s="66">
        <f t="array" ref="AE164">IFS(B164&lt;66, XLOOKUP(year(A164),Lookup!$K$13:$K1000,Lookup!$N$13:$N1000,"missing",,1),B164&gt;65,XLOOKUP(questions!$C$5,Lookup!$K$13:$K1000,Lookup!$N$13:$N1000,"missing",,1))</f>
        <v>689651.7352</v>
      </c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</row>
    <row r="165">
      <c r="A165" s="55">
        <f t="shared" si="7"/>
        <v>51043</v>
      </c>
      <c r="B165" s="56">
        <f>round(YEARFRAC(EOMONTH(questions!$C$3, 0),A165,1),2)</f>
        <v>40.83</v>
      </c>
      <c r="C165" s="57">
        <f>IF(B165&lt;questions!$C$6,if(MONTH(A165)=1,C164*(1+questions!$C$12),C164),0)</f>
        <v>14685.33713</v>
      </c>
      <c r="D165" s="58">
        <f>IF(MONTH(A165)=12,C165*questions!$C$11,0)</f>
        <v>0</v>
      </c>
      <c r="E165" s="59">
        <f t="shared" si="2"/>
        <v>8000</v>
      </c>
      <c r="F165" s="59">
        <f t="shared" si="3"/>
        <v>0</v>
      </c>
      <c r="G165" s="60">
        <f t="array" ref="G165">if(YEAR(A165)=2025,XLOOKUP(B165,Lookup!$A$3:$A$7,Lookup!$D$3:$D$7,,1)*SUM(E165:F165), XLOOKUP(B165,Lookup!$A$14:$A$18,Lookup!$D$14:$D$18,,1)*SUM(E165:F165))</f>
        <v>2960</v>
      </c>
      <c r="H165" s="60">
        <f t="array" ref="H165">if(YEAR(A165)=2025,XLOOKUP(B165,Lookup!$F$3:$F$10,Lookup!$G$3:$G$10,,1)*G165, XLOOKUP(B165,Lookup!$F$14:$F$21,Lookup!$G$14:$G$21,,1)*G165)</f>
        <v>1680.392</v>
      </c>
      <c r="I165" s="60">
        <f t="array" ref="I165">if(B165&lt;55, if(YEAR(A165)=2025,XLOOKUP(B165,Lookup!$F$3:$F$10,Lookup!$H$3:$H$10,,1)*G165, XLOOKUP(B165,Lookup!$F$14:$F$21,Lookup!$H$14:$H$21,,1)*G165),0)</f>
        <v>559.736</v>
      </c>
      <c r="J165" s="60">
        <f t="array" ref="J165">if(YEAR(A165)=2025,XLOOKUP(B165,Lookup!$F$3:$F$10,Lookup!$I$3:$I$10,,1)*G165, XLOOKUP(B165,Lookup!$F$14:$F$21,Lookup!$I$14:$I$21,,1)*G165)</f>
        <v>719.872</v>
      </c>
      <c r="K165" s="61">
        <f t="array" ref="K165">if(B165&gt;54, if(YEAR(A165)=2025,XLOOKUP(B165,Lookup!$F$3:$F$10,Lookup!$H$3:$H$10,,1)*G165, XLOOKUP(B165,Lookup!$F$14:$F$21,Lookup!$H$14:$H$21,,1)*G165),0)</f>
        <v>0</v>
      </c>
      <c r="L165" s="62">
        <f>IF(and(A165&lt;questions!$C$19,questions!$C$18="yes"),questions!$C$20,0)</f>
        <v>700</v>
      </c>
      <c r="M165" s="63">
        <f>(Y164+H165)*Lookup!A$26/12</f>
        <v>499.1315333</v>
      </c>
      <c r="N165" s="63">
        <f>if(B165&lt;55, (Z164+I165)*Lookup!B$26/12, (AB164+K165)*Lookup!B$26/12)</f>
        <v>476.9665082</v>
      </c>
      <c r="O165" s="63">
        <f>(AA164+J165)*Lookup!C$26/12</f>
        <v>414.2413359</v>
      </c>
      <c r="P165" s="63">
        <f t="shared" si="8"/>
        <v>4418.6544</v>
      </c>
      <c r="Q165" s="63">
        <f t="shared" si="4"/>
        <v>4189.536654</v>
      </c>
      <c r="R165" s="63">
        <f t="shared" si="5"/>
        <v>3680.603526</v>
      </c>
      <c r="S165" s="64">
        <f t="shared" si="9"/>
        <v>16.66666667</v>
      </c>
      <c r="T165" s="64">
        <f t="shared" si="10"/>
        <v>33.33333333</v>
      </c>
      <c r="U165" s="64">
        <f t="shared" si="11"/>
        <v>0</v>
      </c>
      <c r="V165" s="64">
        <f t="shared" ref="V165:X165" si="173">IF(year($A165)=year($A164), V164+S165, S165)</f>
        <v>150</v>
      </c>
      <c r="W165" s="64">
        <f t="shared" si="173"/>
        <v>300</v>
      </c>
      <c r="X165" s="64">
        <f t="shared" si="173"/>
        <v>0</v>
      </c>
      <c r="Y165" s="65">
        <f>IFS(
  B165&lt;55,
    MAX(
      Y164 + IF(MONTH(A165)=12, P165+V165, 0) + H165 - L165
      + MAX(0,
          IF(AA164 &gt;= VLOOKUP(YEAR(A165), Lookup!$Q:$R, 2),
            Z164 + IF(MONTH(A165)=12, Q165+W165, 0) + I165
              + AA164 + IF(MONTH(A165)=12, R165+X165, 0)
              - VLOOKUP(YEAR(A165), Lookup!$Q:$R, 2) + J165,
            Z164 + IF(MONTH(A165)=12, Q165+W165, 0) + I165
          ) - VLOOKUP(YEAR(A165), Lookup!$K:$M, 3)
        ),
    0),
  B165=55,
    IF(Z164&gt;=AD165,
      MAX(Y164 + IF(MONTH(A165)=12, P165+V165, 0) + H165 - L165, 0),
      MAX(MAX(0, Y164-(AD165-Z164)) + IF(MONTH(A165)=12, P165+V165, 0) + H165 - L165, 0)
    ),
  B165&gt;55,
    IF(AB164&gt;=$AH$7,
      MAX(Y164 + IF(MONTH(A165)=12, P165+V165, 0) + H165 - L165 + K165 + Z164, 0),
      MAX(Y164 + IF(MONTH(A165)=12, P165+V165, 0) + H165 - L165, 0)
    )
)</f>
        <v>238883.136</v>
      </c>
      <c r="Z165" s="65">
        <f>IFS(
  B165&lt;55,
    MIN(
      IF(AA164 &gt;= VLOOKUP(YEAR(A165), Lookup!$Q:$R, 2),
        Z164 + IF(MONTH(A165)=12, Q165+W165, 0) + I165
          + AA164 + IF(MONTH(A165)=12, R165+X165, 0) - VLOOKUP(YEAR(A165), Lookup!$Q:$R, 2) + J165,
        Z164 + IF(MONTH(A165)=12, Q165+W165, 0) + I165
      ),
      VLOOKUP(YEAR(A165), Lookup!$K:$M, 3)
    ),
  B165=55,
    IF(Z164 &gt;= AD165, Z164 - AD165, 0),
  B165&gt;55, 0
)</f>
        <v>143809.8245</v>
      </c>
      <c r="AA165" s="65">
        <f>IFS(
  B165&lt;65,
    IF(AA164+J165 &lt; VLOOKUP(YEAR(A165), Lookup!$Q:$R, 2),
      AA164 + IF(MONTH(A165)=12, R164+X164, 0) + J165,
      MIN(
        AA164 + IF(MONTH(A165)=12, R164+X164, 0) + J165 ,
        VLOOKUP(YEAR(A165), Lookup!$Q:$R, 2)
      )
    ),
  B165&gt;=65,
    IF(AA164+J165 &lt; VLOOKUP(questions!$C$5, Lookup!$Q:$R, 2),
      AA164 + IF(MONTH(A165)=12, R164+X164, 0) + J165 ,
      MIN(
        AA164 + IF(MONTH(A165)=12, R164+X164, 0) + J165,
        VLOOKUP(questions!$C$5, Lookup!$Q:$R, 2)
      )
    )
)</f>
        <v>123552.5288</v>
      </c>
      <c r="AB165" s="65">
        <f t="shared" si="13"/>
        <v>0</v>
      </c>
      <c r="AC165" s="66">
        <f t="array" ref="AC165">IFS(B165&lt;66, XLOOKUP(year(A165),Lookup!$K$13:$K1000,Lookup!$L$13:$L1000,"missing",,1),B165&gt;65,XLOOKUP(questions!$C$5,Lookup!$K$13:$K1000,Lookup!$L$13:$L1000,"missing",,1))</f>
        <v>172412.9338</v>
      </c>
      <c r="AD165" s="66">
        <f t="array" ref="AD165">IFS(B165&lt;66, XLOOKUP(year(A165),Lookup!$K$13:$K1000,Lookup!$M$13:$M1000,"missing",,1),B165&gt;65, XLOOKUP(questions!$C$5,Lookup!$K$13:$K1000,Lookup!$M$13:$M1000,"missing",,1))</f>
        <v>344825.8676</v>
      </c>
      <c r="AE165" s="66">
        <f t="array" ref="AE165">IFS(B165&lt;66, XLOOKUP(year(A165),Lookup!$K$13:$K1000,Lookup!$N$13:$N1000,"missing",,1),B165&gt;65,XLOOKUP(questions!$C$5,Lookup!$K$13:$K1000,Lookup!$N$13:$N1000,"missing",,1))</f>
        <v>689651.7352</v>
      </c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</row>
    <row r="166">
      <c r="A166" s="55">
        <f t="shared" si="7"/>
        <v>51074</v>
      </c>
      <c r="B166" s="56">
        <f>round(YEARFRAC(EOMONTH(questions!$C$3, 0),A166,1),2)</f>
        <v>40.92</v>
      </c>
      <c r="C166" s="57">
        <f>IF(B166&lt;questions!$C$6,if(MONTH(A166)=1,C165*(1+questions!$C$12),C165),0)</f>
        <v>14685.33713</v>
      </c>
      <c r="D166" s="58">
        <f>IF(MONTH(A166)=12,C166*questions!$C$11,0)</f>
        <v>0</v>
      </c>
      <c r="E166" s="59">
        <f t="shared" si="2"/>
        <v>8000</v>
      </c>
      <c r="F166" s="59">
        <f t="shared" si="3"/>
        <v>0</v>
      </c>
      <c r="G166" s="60">
        <f t="array" ref="G166">if(YEAR(A166)=2025,XLOOKUP(B166,Lookup!$A$3:$A$7,Lookup!$D$3:$D$7,,1)*SUM(E166:F166), XLOOKUP(B166,Lookup!$A$14:$A$18,Lookup!$D$14:$D$18,,1)*SUM(E166:F166))</f>
        <v>2960</v>
      </c>
      <c r="H166" s="60">
        <f t="array" ref="H166">if(YEAR(A166)=2025,XLOOKUP(B166,Lookup!$F$3:$F$10,Lookup!$G$3:$G$10,,1)*G166, XLOOKUP(B166,Lookup!$F$14:$F$21,Lookup!$G$14:$G$21,,1)*G166)</f>
        <v>1680.392</v>
      </c>
      <c r="I166" s="60">
        <f t="array" ref="I166">if(B166&lt;55, if(YEAR(A166)=2025,XLOOKUP(B166,Lookup!$F$3:$F$10,Lookup!$H$3:$H$10,,1)*G166, XLOOKUP(B166,Lookup!$F$14:$F$21,Lookup!$H$14:$H$21,,1)*G166),0)</f>
        <v>559.736</v>
      </c>
      <c r="J166" s="60">
        <f t="array" ref="J166">if(YEAR(A166)=2025,XLOOKUP(B166,Lookup!$F$3:$F$10,Lookup!$I$3:$I$10,,1)*G166, XLOOKUP(B166,Lookup!$F$14:$F$21,Lookup!$I$14:$I$21,,1)*G166)</f>
        <v>719.872</v>
      </c>
      <c r="K166" s="61">
        <f t="array" ref="K166">if(B166&gt;54, if(YEAR(A166)=2025,XLOOKUP(B166,Lookup!$F$3:$F$10,Lookup!$H$3:$H$10,,1)*G166, XLOOKUP(B166,Lookup!$F$14:$F$21,Lookup!$H$14:$H$21,,1)*G166),0)</f>
        <v>0</v>
      </c>
      <c r="L166" s="62">
        <f>IF(and(A166&lt;questions!$C$19,questions!$C$18="yes"),questions!$C$20,0)</f>
        <v>700</v>
      </c>
      <c r="M166" s="63">
        <f>(Y165+H166)*Lookup!A$26/12</f>
        <v>501.1740167</v>
      </c>
      <c r="N166" s="63">
        <f>if(B166&lt;55, (Z165+I166)*Lookup!B$26/12, (AB165+K166)*Lookup!B$26/12)</f>
        <v>481.2318682</v>
      </c>
      <c r="O166" s="63">
        <f>(AA165+J166)*Lookup!C$26/12</f>
        <v>414.2413359</v>
      </c>
      <c r="P166" s="63">
        <f t="shared" si="8"/>
        <v>4919.828417</v>
      </c>
      <c r="Q166" s="63">
        <f t="shared" si="4"/>
        <v>4670.768522</v>
      </c>
      <c r="R166" s="63">
        <f t="shared" si="5"/>
        <v>4094.844862</v>
      </c>
      <c r="S166" s="64">
        <f t="shared" si="9"/>
        <v>16.66666667</v>
      </c>
      <c r="T166" s="64">
        <f t="shared" si="10"/>
        <v>33.33333333</v>
      </c>
      <c r="U166" s="64">
        <f t="shared" si="11"/>
        <v>0</v>
      </c>
      <c r="V166" s="64">
        <f t="shared" ref="V166:X166" si="174">IF(year($A166)=year($A165), V165+S166, S166)</f>
        <v>166.6666667</v>
      </c>
      <c r="W166" s="64">
        <f t="shared" si="174"/>
        <v>333.3333333</v>
      </c>
      <c r="X166" s="64">
        <f t="shared" si="174"/>
        <v>0</v>
      </c>
      <c r="Y166" s="65">
        <f>IFS(
  B166&lt;55,
    MAX(
      Y165 + IF(MONTH(A166)=12, P166+V166, 0) + H166 - L166
      + MAX(0,
          IF(AA165 &gt;= VLOOKUP(YEAR(A166), Lookup!$Q:$R, 2),
            Z165 + IF(MONTH(A166)=12, Q166+W166, 0) + I166
              + AA165 + IF(MONTH(A166)=12, R166+X166, 0)
              - VLOOKUP(YEAR(A166), Lookup!$Q:$R, 2) + J166,
            Z165 + IF(MONTH(A166)=12, Q166+W166, 0) + I166
          ) - VLOOKUP(YEAR(A166), Lookup!$K:$M, 3)
        ),
    0),
  B166=55,
    IF(Z165&gt;=AD166,
      MAX(Y165 + IF(MONTH(A166)=12, P166+V166, 0) + H166 - L166, 0),
      MAX(MAX(0, Y165-(AD166-Z165)) + IF(MONTH(A166)=12, P166+V166, 0) + H166 - L166, 0)
    ),
  B166&gt;55,
    IF(AB165&gt;=$AH$7,
      MAX(Y165 + IF(MONTH(A166)=12, P166+V166, 0) + H166 - L166 + K166 + Z165, 0),
      MAX(Y165 + IF(MONTH(A166)=12, P166+V166, 0) + H166 - L166, 0)
    )
)</f>
        <v>239863.528</v>
      </c>
      <c r="Z166" s="65">
        <f>IFS(
  B166&lt;55,
    MIN(
      IF(AA165 &gt;= VLOOKUP(YEAR(A166), Lookup!$Q:$R, 2),
        Z165 + IF(MONTH(A166)=12, Q166+W166, 0) + I166
          + AA165 + IF(MONTH(A166)=12, R166+X166, 0) - VLOOKUP(YEAR(A166), Lookup!$Q:$R, 2) + J166,
        Z165 + IF(MONTH(A166)=12, Q166+W166, 0) + I166
      ),
      VLOOKUP(YEAR(A166), Lookup!$K:$M, 3)
    ),
  B166=55,
    IF(Z165 &gt;= AD166, Z165 - AD166, 0),
  B166&gt;55, 0
)</f>
        <v>145089.4325</v>
      </c>
      <c r="AA166" s="65">
        <f>IFS(
  B166&lt;65,
    IF(AA165+J166 &lt; VLOOKUP(YEAR(A166), Lookup!$Q:$R, 2),
      AA165 + IF(MONTH(A166)=12, R165+X165, 0) + J166,
      MIN(
        AA165 + IF(MONTH(A166)=12, R165+X165, 0) + J166 ,
        VLOOKUP(YEAR(A166), Lookup!$Q:$R, 2)
      )
    ),
  B166&gt;=65,
    IF(AA165+J166 &lt; VLOOKUP(questions!$C$5, Lookup!$Q:$R, 2),
      AA165 + IF(MONTH(A166)=12, R165+X165, 0) + J166 ,
      MIN(
        AA165 + IF(MONTH(A166)=12, R165+X165, 0) + J166,
        VLOOKUP(questions!$C$5, Lookup!$Q:$R, 2)
      )
    )
)</f>
        <v>123552.5288</v>
      </c>
      <c r="AB166" s="65">
        <f t="shared" si="13"/>
        <v>0</v>
      </c>
      <c r="AC166" s="66">
        <f t="array" ref="AC166">IFS(B166&lt;66, XLOOKUP(year(A166),Lookup!$K$13:$K1000,Lookup!$L$13:$L1000,"missing",,1),B166&gt;65,XLOOKUP(questions!$C$5,Lookup!$K$13:$K1000,Lookup!$L$13:$L1000,"missing",,1))</f>
        <v>172412.9338</v>
      </c>
      <c r="AD166" s="66">
        <f t="array" ref="AD166">IFS(B166&lt;66, XLOOKUP(year(A166),Lookup!$K$13:$K1000,Lookup!$M$13:$M1000,"missing",,1),B166&gt;65, XLOOKUP(questions!$C$5,Lookup!$K$13:$K1000,Lookup!$M$13:$M1000,"missing",,1))</f>
        <v>344825.8676</v>
      </c>
      <c r="AE166" s="66">
        <f t="array" ref="AE166">IFS(B166&lt;66, XLOOKUP(year(A166),Lookup!$K$13:$K1000,Lookup!$N$13:$N1000,"missing",,1),B166&gt;65,XLOOKUP(questions!$C$5,Lookup!$K$13:$K1000,Lookup!$N$13:$N1000,"missing",,1))</f>
        <v>689651.7352</v>
      </c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</row>
    <row r="167">
      <c r="A167" s="55">
        <f t="shared" si="7"/>
        <v>51104</v>
      </c>
      <c r="B167" s="56">
        <f>round(YEARFRAC(EOMONTH(questions!$C$3, 0),A167,1),2)</f>
        <v>41</v>
      </c>
      <c r="C167" s="57">
        <f>IF(B167&lt;questions!$C$6,if(MONTH(A167)=1,C166*(1+questions!$C$12),C166),0)</f>
        <v>14685.33713</v>
      </c>
      <c r="D167" s="58">
        <f>IF(MONTH(A167)=12,C167*questions!$C$11,0)</f>
        <v>0</v>
      </c>
      <c r="E167" s="59">
        <f t="shared" si="2"/>
        <v>8000</v>
      </c>
      <c r="F167" s="59">
        <f t="shared" si="3"/>
        <v>0</v>
      </c>
      <c r="G167" s="60">
        <f t="array" ref="G167">if(YEAR(A167)=2025,XLOOKUP(B167,Lookup!$A$3:$A$7,Lookup!$D$3:$D$7,,1)*SUM(E167:F167), XLOOKUP(B167,Lookup!$A$14:$A$18,Lookup!$D$14:$D$18,,1)*SUM(E167:F167))</f>
        <v>2960</v>
      </c>
      <c r="H167" s="60">
        <f t="array" ref="H167">if(YEAR(A167)=2025,XLOOKUP(B167,Lookup!$F$3:$F$10,Lookup!$G$3:$G$10,,1)*G167, XLOOKUP(B167,Lookup!$F$14:$F$21,Lookup!$G$14:$G$21,,1)*G167)</f>
        <v>1680.392</v>
      </c>
      <c r="I167" s="60">
        <f t="array" ref="I167">if(B167&lt;55, if(YEAR(A167)=2025,XLOOKUP(B167,Lookup!$F$3:$F$10,Lookup!$H$3:$H$10,,1)*G167, XLOOKUP(B167,Lookup!$F$14:$F$21,Lookup!$H$14:$H$21,,1)*G167),0)</f>
        <v>559.736</v>
      </c>
      <c r="J167" s="60">
        <f t="array" ref="J167">if(YEAR(A167)=2025,XLOOKUP(B167,Lookup!$F$3:$F$10,Lookup!$I$3:$I$10,,1)*G167, XLOOKUP(B167,Lookup!$F$14:$F$21,Lookup!$I$14:$I$21,,1)*G167)</f>
        <v>719.872</v>
      </c>
      <c r="K167" s="61">
        <f t="array" ref="K167">if(B167&gt;54, if(YEAR(A167)=2025,XLOOKUP(B167,Lookup!$F$3:$F$10,Lookup!$H$3:$H$10,,1)*G167, XLOOKUP(B167,Lookup!$F$14:$F$21,Lookup!$H$14:$H$21,,1)*G167),0)</f>
        <v>0</v>
      </c>
      <c r="L167" s="62">
        <f>IF(and(A167&lt;questions!$C$19,questions!$C$18="yes"),questions!$C$20,0)</f>
        <v>700</v>
      </c>
      <c r="M167" s="63">
        <f>(Y166+H167)*Lookup!A$26/12</f>
        <v>503.2165</v>
      </c>
      <c r="N167" s="63">
        <f>if(B167&lt;55, (Z166+I167)*Lookup!B$26/12, (AB166+K167)*Lookup!B$26/12)</f>
        <v>485.4972282</v>
      </c>
      <c r="O167" s="63">
        <f>(AA166+J167)*Lookup!C$26/12</f>
        <v>414.2413359</v>
      </c>
      <c r="P167" s="63">
        <f t="shared" si="8"/>
        <v>5423.044917</v>
      </c>
      <c r="Q167" s="63">
        <f t="shared" si="4"/>
        <v>5156.26575</v>
      </c>
      <c r="R167" s="63">
        <f t="shared" si="5"/>
        <v>4509.086198</v>
      </c>
      <c r="S167" s="64">
        <f t="shared" si="9"/>
        <v>16.66666667</v>
      </c>
      <c r="T167" s="64">
        <f t="shared" si="10"/>
        <v>33.33333333</v>
      </c>
      <c r="U167" s="64">
        <f t="shared" si="11"/>
        <v>0</v>
      </c>
      <c r="V167" s="64">
        <f t="shared" ref="V167:X167" si="175">IF(year($A167)=year($A166), V166+S167, S167)</f>
        <v>183.3333333</v>
      </c>
      <c r="W167" s="64">
        <f t="shared" si="175"/>
        <v>366.6666667</v>
      </c>
      <c r="X167" s="64">
        <f t="shared" si="175"/>
        <v>0</v>
      </c>
      <c r="Y167" s="65">
        <f>IFS(
  B167&lt;55,
    MAX(
      Y166 + IF(MONTH(A167)=12, P167+V167, 0) + H167 - L167
      + MAX(0,
          IF(AA166 &gt;= VLOOKUP(YEAR(A167), Lookup!$Q:$R, 2),
            Z166 + IF(MONTH(A167)=12, Q167+W167, 0) + I167
              + AA166 + IF(MONTH(A167)=12, R167+X167, 0)
              - VLOOKUP(YEAR(A167), Lookup!$Q:$R, 2) + J167,
            Z166 + IF(MONTH(A167)=12, Q167+W167, 0) + I167
          ) - VLOOKUP(YEAR(A167), Lookup!$K:$M, 3)
        ),
    0),
  B167=55,
    IF(Z166&gt;=AD167,
      MAX(Y166 + IF(MONTH(A167)=12, P167+V167, 0) + H167 - L167, 0),
      MAX(MAX(0, Y166-(AD167-Z166)) + IF(MONTH(A167)=12, P167+V167, 0) + H167 - L167, 0)
    ),
  B167&gt;55,
    IF(AB166&gt;=$AH$7,
      MAX(Y166 + IF(MONTH(A167)=12, P167+V167, 0) + H167 - L167 + K167 + Z166, 0),
      MAX(Y166 + IF(MONTH(A167)=12, P167+V167, 0) + H167 - L167, 0)
    )
)</f>
        <v>240843.92</v>
      </c>
      <c r="Z167" s="65">
        <f>IFS(
  B167&lt;55,
    MIN(
      IF(AA166 &gt;= VLOOKUP(YEAR(A167), Lookup!$Q:$R, 2),
        Z166 + IF(MONTH(A167)=12, Q167+W167, 0) + I167
          + AA166 + IF(MONTH(A167)=12, R167+X167, 0) - VLOOKUP(YEAR(A167), Lookup!$Q:$R, 2) + J167,
        Z166 + IF(MONTH(A167)=12, Q167+W167, 0) + I167
      ),
      VLOOKUP(YEAR(A167), Lookup!$K:$M, 3)
    ),
  B167=55,
    IF(Z166 &gt;= AD167, Z166 - AD167, 0),
  B167&gt;55, 0
)</f>
        <v>146369.0405</v>
      </c>
      <c r="AA167" s="65">
        <f>IFS(
  B167&lt;65,
    IF(AA166+J167 &lt; VLOOKUP(YEAR(A167), Lookup!$Q:$R, 2),
      AA166 + IF(MONTH(A167)=12, R166+X166, 0) + J167,
      MIN(
        AA166 + IF(MONTH(A167)=12, R166+X166, 0) + J167 ,
        VLOOKUP(YEAR(A167), Lookup!$Q:$R, 2)
      )
    ),
  B167&gt;=65,
    IF(AA166+J167 &lt; VLOOKUP(questions!$C$5, Lookup!$Q:$R, 2),
      AA166 + IF(MONTH(A167)=12, R166+X166, 0) + J167 ,
      MIN(
        AA166 + IF(MONTH(A167)=12, R166+X166, 0) + J167,
        VLOOKUP(questions!$C$5, Lookup!$Q:$R, 2)
      )
    )
)</f>
        <v>123552.5288</v>
      </c>
      <c r="AB167" s="65">
        <f t="shared" si="13"/>
        <v>0</v>
      </c>
      <c r="AC167" s="66">
        <f t="array" ref="AC167">IFS(B167&lt;66, XLOOKUP(year(A167),Lookup!$K$13:$K1000,Lookup!$L$13:$L1000,"missing",,1),B167&gt;65,XLOOKUP(questions!$C$5,Lookup!$K$13:$K1000,Lookup!$L$13:$L1000,"missing",,1))</f>
        <v>172412.9338</v>
      </c>
      <c r="AD167" s="66">
        <f t="array" ref="AD167">IFS(B167&lt;66, XLOOKUP(year(A167),Lookup!$K$13:$K1000,Lookup!$M$13:$M1000,"missing",,1),B167&gt;65, XLOOKUP(questions!$C$5,Lookup!$K$13:$K1000,Lookup!$M$13:$M1000,"missing",,1))</f>
        <v>344825.8676</v>
      </c>
      <c r="AE167" s="66">
        <f t="array" ref="AE167">IFS(B167&lt;66, XLOOKUP(year(A167),Lookup!$K$13:$K1000,Lookup!$N$13:$N1000,"missing",,1),B167&gt;65,XLOOKUP(questions!$C$5,Lookup!$K$13:$K1000,Lookup!$N$13:$N1000,"missing",,1))</f>
        <v>689651.7352</v>
      </c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</row>
    <row r="168">
      <c r="A168" s="55">
        <f t="shared" si="7"/>
        <v>51135</v>
      </c>
      <c r="B168" s="56">
        <f>round(YEARFRAC(EOMONTH(questions!$C$3, 0),A168,1),2)</f>
        <v>41.08</v>
      </c>
      <c r="C168" s="57">
        <f>IF(B168&lt;questions!$C$6,if(MONTH(A168)=1,C167*(1+questions!$C$12),C167),0)</f>
        <v>14685.33713</v>
      </c>
      <c r="D168" s="57">
        <f>IF(MONTH(A168)=12,C168*questions!$C$11,0)</f>
        <v>14685.33713</v>
      </c>
      <c r="E168" s="59">
        <f t="shared" si="2"/>
        <v>8000</v>
      </c>
      <c r="F168" s="59">
        <f t="shared" si="3"/>
        <v>6000</v>
      </c>
      <c r="G168" s="60">
        <f t="array" ref="G168">if(YEAR(A168)=2025,XLOOKUP(B168,Lookup!$A$3:$A$7,Lookup!$D$3:$D$7,,1)*SUM(E168:F168), XLOOKUP(B168,Lookup!$A$14:$A$18,Lookup!$D$14:$D$18,,1)*SUM(E168:F168))</f>
        <v>5180</v>
      </c>
      <c r="H168" s="60">
        <f t="array" ref="H168">if(YEAR(A168)=2025,XLOOKUP(B168,Lookup!$F$3:$F$10,Lookup!$G$3:$G$10,,1)*G168, XLOOKUP(B168,Lookup!$F$14:$F$21,Lookup!$G$14:$G$21,,1)*G168)</f>
        <v>2940.686</v>
      </c>
      <c r="I168" s="60">
        <f t="array" ref="I168">if(B168&lt;55, if(YEAR(A168)=2025,XLOOKUP(B168,Lookup!$F$3:$F$10,Lookup!$H$3:$H$10,,1)*G168, XLOOKUP(B168,Lookup!$F$14:$F$21,Lookup!$H$14:$H$21,,1)*G168),0)</f>
        <v>979.538</v>
      </c>
      <c r="J168" s="60">
        <f t="array" ref="J168">if(YEAR(A168)=2025,XLOOKUP(B168,Lookup!$F$3:$F$10,Lookup!$I$3:$I$10,,1)*G168, XLOOKUP(B168,Lookup!$F$14:$F$21,Lookup!$I$14:$I$21,,1)*G168)</f>
        <v>1259.776</v>
      </c>
      <c r="K168" s="61">
        <f t="array" ref="K168">if(B168&gt;54, if(YEAR(A168)=2025,XLOOKUP(B168,Lookup!$F$3:$F$10,Lookup!$H$3:$H$10,,1)*G168, XLOOKUP(B168,Lookup!$F$14:$F$21,Lookup!$H$14:$H$21,,1)*G168),0)</f>
        <v>0</v>
      </c>
      <c r="L168" s="62">
        <f>IF(and(A168&lt;questions!$C$19,questions!$C$18="yes"),questions!$C$20,0)</f>
        <v>700</v>
      </c>
      <c r="M168" s="63">
        <f>(Y167+H168)*Lookup!A$26/12</f>
        <v>507.8845958</v>
      </c>
      <c r="N168" s="63">
        <f>if(B168&lt;55, (Z167+I168)*Lookup!B$26/12, (AB167+K168)*Lookup!B$26/12)</f>
        <v>491.1619282</v>
      </c>
      <c r="O168" s="63">
        <f>(AA167+J168)*Lookup!C$26/12</f>
        <v>416.0410159</v>
      </c>
      <c r="P168" s="63">
        <f t="shared" si="8"/>
        <v>5930.929512</v>
      </c>
      <c r="Q168" s="63">
        <f t="shared" si="4"/>
        <v>5647.427678</v>
      </c>
      <c r="R168" s="63">
        <f t="shared" si="5"/>
        <v>4925.127214</v>
      </c>
      <c r="S168" s="64">
        <f t="shared" si="9"/>
        <v>16.66666667</v>
      </c>
      <c r="T168" s="64">
        <f t="shared" si="10"/>
        <v>33.33333333</v>
      </c>
      <c r="U168" s="64">
        <f t="shared" si="11"/>
        <v>0</v>
      </c>
      <c r="V168" s="64">
        <f t="shared" ref="V168:X168" si="176">IF(year($A168)=year($A167), V167+S168, S168)</f>
        <v>200</v>
      </c>
      <c r="W168" s="64">
        <f t="shared" si="176"/>
        <v>400</v>
      </c>
      <c r="X168" s="64">
        <f t="shared" si="176"/>
        <v>0</v>
      </c>
      <c r="Y168" s="65">
        <f>IFS(
  B168&lt;55,
    MAX(
      Y167 + IF(MONTH(A168)=12, P168+V168, 0) + H168 - L168
      + MAX(0,
          IF(AA167 &gt;= VLOOKUP(YEAR(A168), Lookup!$Q:$R, 2),
            Z167 + IF(MONTH(A168)=12, Q168+W168, 0) + I168
              + AA167 + IF(MONTH(A168)=12, R168+X168, 0)
              - VLOOKUP(YEAR(A168), Lookup!$Q:$R, 2) + J168,
            Z167 + IF(MONTH(A168)=12, Q168+W168, 0) + I168
          ) - VLOOKUP(YEAR(A168), Lookup!$K:$M, 3)
        ),
    0),
  B168=55,
    IF(Z167&gt;=AD168,
      MAX(Y167 + IF(MONTH(A168)=12, P168+V168, 0) + H168 - L168, 0),
      MAX(MAX(0, Y167-(AD168-Z167)) + IF(MONTH(A168)=12, P168+V168, 0) + H168 - L168, 0)
    ),
  B168&gt;55,
    IF(AB167&gt;=$AH$7,
      MAX(Y167 + IF(MONTH(A168)=12, P168+V168, 0) + H168 - L168 + K168 + Z167, 0),
      MAX(Y167 + IF(MONTH(A168)=12, P168+V168, 0) + H168 - L168, 0)
    )
)</f>
        <v>249215.5355</v>
      </c>
      <c r="Z168" s="65">
        <f>IFS(
  B168&lt;55,
    MIN(
      IF(AA167 &gt;= VLOOKUP(YEAR(A168), Lookup!$Q:$R, 2),
        Z167 + IF(MONTH(A168)=12, Q168+W168, 0) + I168
          + AA167 + IF(MONTH(A168)=12, R168+X168, 0) - VLOOKUP(YEAR(A168), Lookup!$Q:$R, 2) + J168,
        Z167 + IF(MONTH(A168)=12, Q168+W168, 0) + I168
      ),
      VLOOKUP(YEAR(A168), Lookup!$K:$M, 3)
    ),
  B168=55,
    IF(Z167 &gt;= AD168, Z167 - AD168, 0),
  B168&gt;55, 0
)</f>
        <v>159580.9093</v>
      </c>
      <c r="AA168" s="65">
        <f>IFS(
  B168&lt;65,
    IF(AA167+J168 &lt; VLOOKUP(YEAR(A168), Lookup!$Q:$R, 2),
      AA167 + IF(MONTH(A168)=12, R167+X167, 0) + J168,
      MIN(
        AA167 + IF(MONTH(A168)=12, R167+X167, 0) + J168 ,
        VLOOKUP(YEAR(A168), Lookup!$Q:$R, 2)
      )
    ),
  B168&gt;=65,
    IF(AA167+J168 &lt; VLOOKUP(questions!$C$5, Lookup!$Q:$R, 2),
      AA167 + IF(MONTH(A168)=12, R167+X167, 0) + J168 ,
      MIN(
        AA167 + IF(MONTH(A168)=12, R167+X167, 0) + J168,
        VLOOKUP(questions!$C$5, Lookup!$Q:$R, 2)
      )
    )
)</f>
        <v>123552.5288</v>
      </c>
      <c r="AB168" s="65">
        <f t="shared" si="13"/>
        <v>0</v>
      </c>
      <c r="AC168" s="66">
        <f t="array" ref="AC168">IFS(B168&lt;66, XLOOKUP(year(A168),Lookup!$K$13:$K1000,Lookup!$L$13:$L1000,"missing",,1),B168&gt;65,XLOOKUP(questions!$C$5,Lookup!$K$13:$K1000,Lookup!$L$13:$L1000,"missing",,1))</f>
        <v>172412.9338</v>
      </c>
      <c r="AD168" s="66">
        <f t="array" ref="AD168">IFS(B168&lt;66, XLOOKUP(year(A168),Lookup!$K$13:$K1000,Lookup!$M$13:$M1000,"missing",,1),B168&gt;65, XLOOKUP(questions!$C$5,Lookup!$K$13:$K1000,Lookup!$M$13:$M1000,"missing",,1))</f>
        <v>344825.8676</v>
      </c>
      <c r="AE168" s="66">
        <f t="array" ref="AE168">IFS(B168&lt;66, XLOOKUP(year(A168),Lookup!$K$13:$K1000,Lookup!$N$13:$N1000,"missing",,1),B168&gt;65,XLOOKUP(questions!$C$5,Lookup!$K$13:$K1000,Lookup!$N$13:$N1000,"missing",,1))</f>
        <v>689651.7352</v>
      </c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</row>
    <row r="169">
      <c r="A169" s="55">
        <f t="shared" si="7"/>
        <v>51166</v>
      </c>
      <c r="B169" s="56">
        <f>round(YEARFRAC(EOMONTH(questions!$C$3, 0),A169,1),2)</f>
        <v>41.17</v>
      </c>
      <c r="C169" s="57">
        <f>IF(B169&lt;questions!$C$6,if(MONTH(A169)=1,C168*(1+questions!$C$12),C168),0)</f>
        <v>15125.89725</v>
      </c>
      <c r="D169" s="58">
        <f>IF(MONTH(A169)=12,C169*questions!$C$11,0)</f>
        <v>0</v>
      </c>
      <c r="E169" s="59">
        <f t="shared" si="2"/>
        <v>8000</v>
      </c>
      <c r="F169" s="59">
        <f t="shared" si="3"/>
        <v>0</v>
      </c>
      <c r="G169" s="60">
        <f t="array" ref="G169">if(YEAR(A169)=2025,XLOOKUP(B169,Lookup!$A$3:$A$7,Lookup!$D$3:$D$7,,1)*SUM(E169:F169), XLOOKUP(B169,Lookup!$A$14:$A$18,Lookup!$D$14:$D$18,,1)*SUM(E169:F169))</f>
        <v>2960</v>
      </c>
      <c r="H169" s="60">
        <f t="array" ref="H169">if(YEAR(A169)=2025,XLOOKUP(B169,Lookup!$F$3:$F$10,Lookup!$G$3:$G$10,,1)*G169, XLOOKUP(B169,Lookup!$F$14:$F$21,Lookup!$G$14:$G$21,,1)*G169)</f>
        <v>1680.392</v>
      </c>
      <c r="I169" s="60">
        <f t="array" ref="I169">if(B169&lt;55, if(YEAR(A169)=2025,XLOOKUP(B169,Lookup!$F$3:$F$10,Lookup!$H$3:$H$10,,1)*G169, XLOOKUP(B169,Lookup!$F$14:$F$21,Lookup!$H$14:$H$21,,1)*G169),0)</f>
        <v>559.736</v>
      </c>
      <c r="J169" s="60">
        <f t="array" ref="J169">if(YEAR(A169)=2025,XLOOKUP(B169,Lookup!$F$3:$F$10,Lookup!$I$3:$I$10,,1)*G169, XLOOKUP(B169,Lookup!$F$14:$F$21,Lookup!$I$14:$I$21,,1)*G169)</f>
        <v>719.872</v>
      </c>
      <c r="K169" s="61">
        <f t="array" ref="K169">if(B169&gt;54, if(YEAR(A169)=2025,XLOOKUP(B169,Lookup!$F$3:$F$10,Lookup!$H$3:$H$10,,1)*G169, XLOOKUP(B169,Lookup!$F$14:$F$21,Lookup!$H$14:$H$21,,1)*G169),0)</f>
        <v>0</v>
      </c>
      <c r="L169" s="62">
        <f>IF(and(A169&lt;questions!$C$19,questions!$C$18="yes"),questions!$C$20,0)</f>
        <v>700</v>
      </c>
      <c r="M169" s="63">
        <f>(Y168+H169)*Lookup!A$26/12</f>
        <v>522.699849</v>
      </c>
      <c r="N169" s="63">
        <f>if(B169&lt;55, (Z168+I169)*Lookup!B$26/12, (AB168+K169)*Lookup!B$26/12)</f>
        <v>533.8021511</v>
      </c>
      <c r="O169" s="63">
        <f>(AA168+J169)*Lookup!C$26/12</f>
        <v>414.2413359</v>
      </c>
      <c r="P169" s="63">
        <f t="shared" si="8"/>
        <v>522.699849</v>
      </c>
      <c r="Q169" s="63">
        <f t="shared" si="4"/>
        <v>533.8021511</v>
      </c>
      <c r="R169" s="63">
        <f t="shared" si="5"/>
        <v>414.2413359</v>
      </c>
      <c r="S169" s="64">
        <f t="shared" si="9"/>
        <v>16.66666667</v>
      </c>
      <c r="T169" s="64">
        <f t="shared" si="10"/>
        <v>33.33333333</v>
      </c>
      <c r="U169" s="64">
        <f t="shared" si="11"/>
        <v>0</v>
      </c>
      <c r="V169" s="64">
        <f t="shared" ref="V169:X169" si="177">IF(year($A169)=year($A168), V168+S169, S169)</f>
        <v>16.66666667</v>
      </c>
      <c r="W169" s="64">
        <f t="shared" si="177"/>
        <v>33.33333333</v>
      </c>
      <c r="X169" s="64">
        <f t="shared" si="177"/>
        <v>0</v>
      </c>
      <c r="Y169" s="65">
        <f>IFS(
  B169&lt;55,
    MAX(
      Y168 + IF(MONTH(A169)=12, P169+V169, 0) + H169 - L169
      + MAX(0,
          IF(AA168 &gt;= VLOOKUP(YEAR(A169), Lookup!$Q:$R, 2),
            Z168 + IF(MONTH(A169)=12, Q169+W169, 0) + I169
              + AA168 + IF(MONTH(A169)=12, R169+X169, 0)
              - VLOOKUP(YEAR(A169), Lookup!$Q:$R, 2) + J169,
            Z168 + IF(MONTH(A169)=12, Q169+W169, 0) + I169
          ) - VLOOKUP(YEAR(A169), Lookup!$K:$M, 3)
        ),
    0),
  B169=55,
    IF(Z168&gt;=AD169,
      MAX(Y168 + IF(MONTH(A169)=12, P169+V169, 0) + H169 - L169, 0),
      MAX(MAX(0, Y168-(AD169-Z168)) + IF(MONTH(A169)=12, P169+V169, 0) + H169 - L169, 0)
    ),
  B169&gt;55,
    IF(AB168&gt;=$AH$7,
      MAX(Y168 + IF(MONTH(A169)=12, P169+V169, 0) + H169 - L169 + K169 + Z168, 0),
      MAX(Y168 + IF(MONTH(A169)=12, P169+V169, 0) + H169 - L169, 0)
    )
)</f>
        <v>250195.9275</v>
      </c>
      <c r="Z169" s="65">
        <f>IFS(
  B169&lt;55,
    MIN(
      IF(AA168 &gt;= VLOOKUP(YEAR(A169), Lookup!$Q:$R, 2),
        Z168 + IF(MONTH(A169)=12, Q169+W169, 0) + I169
          + AA168 + IF(MONTH(A169)=12, R169+X169, 0) - VLOOKUP(YEAR(A169), Lookup!$Q:$R, 2) + J169,
        Z168 + IF(MONTH(A169)=12, Q169+W169, 0) + I169
      ),
      VLOOKUP(YEAR(A169), Lookup!$K:$M, 3)
    ),
  B169=55,
    IF(Z168 &gt;= AD169, Z168 - AD169, 0),
  B169&gt;55, 0
)</f>
        <v>160140.6453</v>
      </c>
      <c r="AA169" s="65">
        <f>IFS(
  B169&lt;65,
    IF(AA168+J169 &lt; VLOOKUP(YEAR(A169), Lookup!$Q:$R, 2),
      AA168 + IF(MONTH(A169)=12, R168+X168, 0) + J169,
      MIN(
        AA168 + IF(MONTH(A169)=12, R168+X168, 0) + J169 ,
        VLOOKUP(YEAR(A169), Lookup!$Q:$R, 2)
      )
    ),
  B169&gt;=65,
    IF(AA168+J169 &lt; VLOOKUP(questions!$C$5, Lookup!$Q:$R, 2),
      AA168 + IF(MONTH(A169)=12, R168+X168, 0) + J169 ,
      MIN(
        AA168 + IF(MONTH(A169)=12, R168+X168, 0) + J169,
        VLOOKUP(questions!$C$5, Lookup!$Q:$R, 2)
      )
    )
)</f>
        <v>124272.4008</v>
      </c>
      <c r="AB169" s="65">
        <f t="shared" si="13"/>
        <v>0</v>
      </c>
      <c r="AC169" s="66">
        <f t="array" ref="AC169">IFS(B169&lt;66, XLOOKUP(year(A169),Lookup!$K$13:$K1000,Lookup!$L$13:$L1000,"missing",,1),B169&gt;65,XLOOKUP(questions!$C$5,Lookup!$K$13:$K1000,Lookup!$L$13:$L1000,"missing",,1))</f>
        <v>178447.3865</v>
      </c>
      <c r="AD169" s="66">
        <f t="array" ref="AD169">IFS(B169&lt;66, XLOOKUP(year(A169),Lookup!$K$13:$K1000,Lookup!$M$13:$M1000,"missing",,1),B169&gt;65, XLOOKUP(questions!$C$5,Lookup!$K$13:$K1000,Lookup!$M$13:$M1000,"missing",,1))</f>
        <v>356894.773</v>
      </c>
      <c r="AE169" s="66">
        <f t="array" ref="AE169">IFS(B169&lt;66, XLOOKUP(year(A169),Lookup!$K$13:$K1000,Lookup!$N$13:$N1000,"missing",,1),B169&gt;65,XLOOKUP(questions!$C$5,Lookup!$K$13:$K1000,Lookup!$N$13:$N1000,"missing",,1))</f>
        <v>713789.5459</v>
      </c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</row>
    <row r="170">
      <c r="A170" s="55">
        <f t="shared" si="7"/>
        <v>51195</v>
      </c>
      <c r="B170" s="56">
        <f>round(YEARFRAC(EOMONTH(questions!$C$3, 0),A170,1),2)</f>
        <v>41.25</v>
      </c>
      <c r="C170" s="57">
        <f>IF(B170&lt;questions!$C$6,if(MONTH(A170)=1,C169*(1+questions!$C$12),C169),0)</f>
        <v>15125.89725</v>
      </c>
      <c r="D170" s="58">
        <f>IF(MONTH(A170)=12,C170*questions!$C$11,0)</f>
        <v>0</v>
      </c>
      <c r="E170" s="59">
        <f t="shared" si="2"/>
        <v>8000</v>
      </c>
      <c r="F170" s="59">
        <f t="shared" si="3"/>
        <v>0</v>
      </c>
      <c r="G170" s="60">
        <f t="array" ref="G170">if(YEAR(A170)=2025,XLOOKUP(B170,Lookup!$A$3:$A$7,Lookup!$D$3:$D$7,,1)*SUM(E170:F170), XLOOKUP(B170,Lookup!$A$14:$A$18,Lookup!$D$14:$D$18,,1)*SUM(E170:F170))</f>
        <v>2960</v>
      </c>
      <c r="H170" s="60">
        <f t="array" ref="H170">if(YEAR(A170)=2025,XLOOKUP(B170,Lookup!$F$3:$F$10,Lookup!$G$3:$G$10,,1)*G170, XLOOKUP(B170,Lookup!$F$14:$F$21,Lookup!$G$14:$G$21,,1)*G170)</f>
        <v>1680.392</v>
      </c>
      <c r="I170" s="60">
        <f t="array" ref="I170">if(B170&lt;55, if(YEAR(A170)=2025,XLOOKUP(B170,Lookup!$F$3:$F$10,Lookup!$H$3:$H$10,,1)*G170, XLOOKUP(B170,Lookup!$F$14:$F$21,Lookup!$H$14:$H$21,,1)*G170),0)</f>
        <v>559.736</v>
      </c>
      <c r="J170" s="60">
        <f t="array" ref="J170">if(YEAR(A170)=2025,XLOOKUP(B170,Lookup!$F$3:$F$10,Lookup!$I$3:$I$10,,1)*G170, XLOOKUP(B170,Lookup!$F$14:$F$21,Lookup!$I$14:$I$21,,1)*G170)</f>
        <v>719.872</v>
      </c>
      <c r="K170" s="61">
        <f t="array" ref="K170">if(B170&gt;54, if(YEAR(A170)=2025,XLOOKUP(B170,Lookup!$F$3:$F$10,Lookup!$H$3:$H$10,,1)*G170, XLOOKUP(B170,Lookup!$F$14:$F$21,Lookup!$H$14:$H$21,,1)*G170),0)</f>
        <v>0</v>
      </c>
      <c r="L170" s="62">
        <f>IF(and(A170&lt;questions!$C$19,questions!$C$18="yes"),questions!$C$20,0)</f>
        <v>700</v>
      </c>
      <c r="M170" s="63">
        <f>(Y169+H170)*Lookup!A$26/12</f>
        <v>524.7423323</v>
      </c>
      <c r="N170" s="63">
        <f>if(B170&lt;55, (Z169+I170)*Lookup!B$26/12, (AB169+K170)*Lookup!B$26/12)</f>
        <v>535.6679378</v>
      </c>
      <c r="O170" s="63">
        <f>(AA169+J170)*Lookup!C$26/12</f>
        <v>416.6409092</v>
      </c>
      <c r="P170" s="63">
        <f t="shared" si="8"/>
        <v>1047.442181</v>
      </c>
      <c r="Q170" s="63">
        <f t="shared" si="4"/>
        <v>1069.470089</v>
      </c>
      <c r="R170" s="63">
        <f t="shared" si="5"/>
        <v>830.8822451</v>
      </c>
      <c r="S170" s="64">
        <f t="shared" si="9"/>
        <v>16.66666667</v>
      </c>
      <c r="T170" s="64">
        <f t="shared" si="10"/>
        <v>33.33333333</v>
      </c>
      <c r="U170" s="64">
        <f t="shared" si="11"/>
        <v>0</v>
      </c>
      <c r="V170" s="64">
        <f t="shared" ref="V170:X170" si="178">IF(year($A170)=year($A169), V169+S170, S170)</f>
        <v>33.33333333</v>
      </c>
      <c r="W170" s="64">
        <f t="shared" si="178"/>
        <v>66.66666667</v>
      </c>
      <c r="X170" s="64">
        <f t="shared" si="178"/>
        <v>0</v>
      </c>
      <c r="Y170" s="65">
        <f>IFS(
  B170&lt;55,
    MAX(
      Y169 + IF(MONTH(A170)=12, P170+V170, 0) + H170 - L170
      + MAX(0,
          IF(AA169 &gt;= VLOOKUP(YEAR(A170), Lookup!$Q:$R, 2),
            Z169 + IF(MONTH(A170)=12, Q170+W170, 0) + I170
              + AA169 + IF(MONTH(A170)=12, R170+X170, 0)
              - VLOOKUP(YEAR(A170), Lookup!$Q:$R, 2) + J170,
            Z169 + IF(MONTH(A170)=12, Q170+W170, 0) + I170
          ) - VLOOKUP(YEAR(A170), Lookup!$K:$M, 3)
        ),
    0),
  B170=55,
    IF(Z169&gt;=AD170,
      MAX(Y169 + IF(MONTH(A170)=12, P170+V170, 0) + H170 - L170, 0),
      MAX(MAX(0, Y169-(AD170-Z169)) + IF(MONTH(A170)=12, P170+V170, 0) + H170 - L170, 0)
    ),
  B170&gt;55,
    IF(AB169&gt;=$AH$7,
      MAX(Y169 + IF(MONTH(A170)=12, P170+V170, 0) + H170 - L170 + K170 + Z169, 0),
      MAX(Y169 + IF(MONTH(A170)=12, P170+V170, 0) + H170 - L170, 0)
    )
)</f>
        <v>251176.3195</v>
      </c>
      <c r="Z170" s="65">
        <f>IFS(
  B170&lt;55,
    MIN(
      IF(AA169 &gt;= VLOOKUP(YEAR(A170), Lookup!$Q:$R, 2),
        Z169 + IF(MONTH(A170)=12, Q170+W170, 0) + I170
          + AA169 + IF(MONTH(A170)=12, R170+X170, 0) - VLOOKUP(YEAR(A170), Lookup!$Q:$R, 2) + J170,
        Z169 + IF(MONTH(A170)=12, Q170+W170, 0) + I170
      ),
      VLOOKUP(YEAR(A170), Lookup!$K:$M, 3)
    ),
  B170=55,
    IF(Z169 &gt;= AD170, Z169 - AD170, 0),
  B170&gt;55, 0
)</f>
        <v>160700.3813</v>
      </c>
      <c r="AA170" s="65">
        <f>IFS(
  B170&lt;65,
    IF(AA169+J170 &lt; VLOOKUP(YEAR(A170), Lookup!$Q:$R, 2),
      AA169 + IF(MONTH(A170)=12, R169+X169, 0) + J170,
      MIN(
        AA169 + IF(MONTH(A170)=12, R169+X169, 0) + J170 ,
        VLOOKUP(YEAR(A170), Lookup!$Q:$R, 2)
      )
    ),
  B170&gt;=65,
    IF(AA169+J170 &lt; VLOOKUP(questions!$C$5, Lookup!$Q:$R, 2),
      AA169 + IF(MONTH(A170)=12, R169+X169, 0) + J170 ,
      MIN(
        AA169 + IF(MONTH(A170)=12, R169+X169, 0) + J170,
        VLOOKUP(questions!$C$5, Lookup!$Q:$R, 2)
      )
    )
)</f>
        <v>124992.2728</v>
      </c>
      <c r="AB170" s="65">
        <f t="shared" si="13"/>
        <v>0</v>
      </c>
      <c r="AC170" s="66">
        <f t="array" ref="AC170">IFS(B170&lt;66, XLOOKUP(year(A170),Lookup!$K$13:$K1000,Lookup!$L$13:$L1000,"missing",,1),B170&gt;65,XLOOKUP(questions!$C$5,Lookup!$K$13:$K1000,Lookup!$L$13:$L1000,"missing",,1))</f>
        <v>178447.3865</v>
      </c>
      <c r="AD170" s="66">
        <f t="array" ref="AD170">IFS(B170&lt;66, XLOOKUP(year(A170),Lookup!$K$13:$K1000,Lookup!$M$13:$M1000,"missing",,1),B170&gt;65, XLOOKUP(questions!$C$5,Lookup!$K$13:$K1000,Lookup!$M$13:$M1000,"missing",,1))</f>
        <v>356894.773</v>
      </c>
      <c r="AE170" s="66">
        <f t="array" ref="AE170">IFS(B170&lt;66, XLOOKUP(year(A170),Lookup!$K$13:$K1000,Lookup!$N$13:$N1000,"missing",,1),B170&gt;65,XLOOKUP(questions!$C$5,Lookup!$K$13:$K1000,Lookup!$N$13:$N1000,"missing",,1))</f>
        <v>713789.5459</v>
      </c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</row>
    <row r="171">
      <c r="A171" s="55">
        <f t="shared" si="7"/>
        <v>51226</v>
      </c>
      <c r="B171" s="56">
        <f>round(YEARFRAC(EOMONTH(questions!$C$3, 0),A171,1),2)</f>
        <v>41.33</v>
      </c>
      <c r="C171" s="57">
        <f>IF(B171&lt;questions!$C$6,if(MONTH(A171)=1,C170*(1+questions!$C$12),C170),0)</f>
        <v>15125.89725</v>
      </c>
      <c r="D171" s="58">
        <f>IF(MONTH(A171)=12,C171*questions!$C$11,0)</f>
        <v>0</v>
      </c>
      <c r="E171" s="59">
        <f t="shared" si="2"/>
        <v>8000</v>
      </c>
      <c r="F171" s="59">
        <f t="shared" si="3"/>
        <v>0</v>
      </c>
      <c r="G171" s="60">
        <f t="array" ref="G171">if(YEAR(A171)=2025,XLOOKUP(B171,Lookup!$A$3:$A$7,Lookup!$D$3:$D$7,,1)*SUM(E171:F171), XLOOKUP(B171,Lookup!$A$14:$A$18,Lookup!$D$14:$D$18,,1)*SUM(E171:F171))</f>
        <v>2960</v>
      </c>
      <c r="H171" s="60">
        <f t="array" ref="H171">if(YEAR(A171)=2025,XLOOKUP(B171,Lookup!$F$3:$F$10,Lookup!$G$3:$G$10,,1)*G171, XLOOKUP(B171,Lookup!$F$14:$F$21,Lookup!$G$14:$G$21,,1)*G171)</f>
        <v>1680.392</v>
      </c>
      <c r="I171" s="60">
        <f t="array" ref="I171">if(B171&lt;55, if(YEAR(A171)=2025,XLOOKUP(B171,Lookup!$F$3:$F$10,Lookup!$H$3:$H$10,,1)*G171, XLOOKUP(B171,Lookup!$F$14:$F$21,Lookup!$H$14:$H$21,,1)*G171),0)</f>
        <v>559.736</v>
      </c>
      <c r="J171" s="60">
        <f t="array" ref="J171">if(YEAR(A171)=2025,XLOOKUP(B171,Lookup!$F$3:$F$10,Lookup!$I$3:$I$10,,1)*G171, XLOOKUP(B171,Lookup!$F$14:$F$21,Lookup!$I$14:$I$21,,1)*G171)</f>
        <v>719.872</v>
      </c>
      <c r="K171" s="61">
        <f t="array" ref="K171">if(B171&gt;54, if(YEAR(A171)=2025,XLOOKUP(B171,Lookup!$F$3:$F$10,Lookup!$H$3:$H$10,,1)*G171, XLOOKUP(B171,Lookup!$F$14:$F$21,Lookup!$H$14:$H$21,,1)*G171),0)</f>
        <v>0</v>
      </c>
      <c r="L171" s="62">
        <f>IF(and(A171&lt;questions!$C$19,questions!$C$18="yes"),questions!$C$20,0)</f>
        <v>700</v>
      </c>
      <c r="M171" s="63">
        <f>(Y170+H171)*Lookup!A$26/12</f>
        <v>526.7848156</v>
      </c>
      <c r="N171" s="63">
        <f>if(B171&lt;55, (Z170+I171)*Lookup!B$26/12, (AB170+K171)*Lookup!B$26/12)</f>
        <v>537.5337245</v>
      </c>
      <c r="O171" s="63">
        <f>(AA170+J171)*Lookup!C$26/12</f>
        <v>419.0404826</v>
      </c>
      <c r="P171" s="63">
        <f t="shared" si="8"/>
        <v>1574.226997</v>
      </c>
      <c r="Q171" s="63">
        <f t="shared" si="4"/>
        <v>1607.003813</v>
      </c>
      <c r="R171" s="63">
        <f t="shared" si="5"/>
        <v>1249.922728</v>
      </c>
      <c r="S171" s="64">
        <f t="shared" si="9"/>
        <v>16.66666667</v>
      </c>
      <c r="T171" s="64">
        <f t="shared" si="10"/>
        <v>33.33333333</v>
      </c>
      <c r="U171" s="64">
        <f t="shared" si="11"/>
        <v>0</v>
      </c>
      <c r="V171" s="64">
        <f t="shared" ref="V171:X171" si="179">IF(year($A171)=year($A170), V170+S171, S171)</f>
        <v>50</v>
      </c>
      <c r="W171" s="64">
        <f t="shared" si="179"/>
        <v>100</v>
      </c>
      <c r="X171" s="64">
        <f t="shared" si="179"/>
        <v>0</v>
      </c>
      <c r="Y171" s="65">
        <f>IFS(
  B171&lt;55,
    MAX(
      Y170 + IF(MONTH(A171)=12, P171+V171, 0) + H171 - L171
      + MAX(0,
          IF(AA170 &gt;= VLOOKUP(YEAR(A171), Lookup!$Q:$R, 2),
            Z170 + IF(MONTH(A171)=12, Q171+W171, 0) + I171
              + AA170 + IF(MONTH(A171)=12, R171+X171, 0)
              - VLOOKUP(YEAR(A171), Lookup!$Q:$R, 2) + J171,
            Z170 + IF(MONTH(A171)=12, Q171+W171, 0) + I171
          ) - VLOOKUP(YEAR(A171), Lookup!$K:$M, 3)
        ),
    0),
  B171=55,
    IF(Z170&gt;=AD171,
      MAX(Y170 + IF(MONTH(A171)=12, P171+V171, 0) + H171 - L171, 0),
      MAX(MAX(0, Y170-(AD171-Z170)) + IF(MONTH(A171)=12, P171+V171, 0) + H171 - L171, 0)
    ),
  B171&gt;55,
    IF(AB170&gt;=$AH$7,
      MAX(Y170 + IF(MONTH(A171)=12, P171+V171, 0) + H171 - L171 + K171 + Z170, 0),
      MAX(Y170 + IF(MONTH(A171)=12, P171+V171, 0) + H171 - L171, 0)
    )
)</f>
        <v>252156.7115</v>
      </c>
      <c r="Z171" s="65">
        <f>IFS(
  B171&lt;55,
    MIN(
      IF(AA170 &gt;= VLOOKUP(YEAR(A171), Lookup!$Q:$R, 2),
        Z170 + IF(MONTH(A171)=12, Q171+W171, 0) + I171
          + AA170 + IF(MONTH(A171)=12, R171+X171, 0) - VLOOKUP(YEAR(A171), Lookup!$Q:$R, 2) + J171,
        Z170 + IF(MONTH(A171)=12, Q171+W171, 0) + I171
      ),
      VLOOKUP(YEAR(A171), Lookup!$K:$M, 3)
    ),
  B171=55,
    IF(Z170 &gt;= AD171, Z170 - AD171, 0),
  B171&gt;55, 0
)</f>
        <v>161260.1173</v>
      </c>
      <c r="AA171" s="65">
        <f>IFS(
  B171&lt;65,
    IF(AA170+J171 &lt; VLOOKUP(YEAR(A171), Lookup!$Q:$R, 2),
      AA170 + IF(MONTH(A171)=12, R170+X170, 0) + J171,
      MIN(
        AA170 + IF(MONTH(A171)=12, R170+X170, 0) + J171 ,
        VLOOKUP(YEAR(A171), Lookup!$Q:$R, 2)
      )
    ),
  B171&gt;=65,
    IF(AA170+J171 &lt; VLOOKUP(questions!$C$5, Lookup!$Q:$R, 2),
      AA170 + IF(MONTH(A171)=12, R170+X170, 0) + J171 ,
      MIN(
        AA170 + IF(MONTH(A171)=12, R170+X170, 0) + J171,
        VLOOKUP(questions!$C$5, Lookup!$Q:$R, 2)
      )
    )
)</f>
        <v>125712.1448</v>
      </c>
      <c r="AB171" s="65">
        <f t="shared" si="13"/>
        <v>0</v>
      </c>
      <c r="AC171" s="66">
        <f t="array" ref="AC171">IFS(B171&lt;66, XLOOKUP(year(A171),Lookup!$K$13:$K1000,Lookup!$L$13:$L1000,"missing",,1),B171&gt;65,XLOOKUP(questions!$C$5,Lookup!$K$13:$K1000,Lookup!$L$13:$L1000,"missing",,1))</f>
        <v>178447.3865</v>
      </c>
      <c r="AD171" s="66">
        <f t="array" ref="AD171">IFS(B171&lt;66, XLOOKUP(year(A171),Lookup!$K$13:$K1000,Lookup!$M$13:$M1000,"missing",,1),B171&gt;65, XLOOKUP(questions!$C$5,Lookup!$K$13:$K1000,Lookup!$M$13:$M1000,"missing",,1))</f>
        <v>356894.773</v>
      </c>
      <c r="AE171" s="66">
        <f t="array" ref="AE171">IFS(B171&lt;66, XLOOKUP(year(A171),Lookup!$K$13:$K1000,Lookup!$N$13:$N1000,"missing",,1),B171&gt;65,XLOOKUP(questions!$C$5,Lookup!$K$13:$K1000,Lookup!$N$13:$N1000,"missing",,1))</f>
        <v>713789.5459</v>
      </c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</row>
    <row r="172">
      <c r="A172" s="55">
        <f t="shared" si="7"/>
        <v>51256</v>
      </c>
      <c r="B172" s="56">
        <f>round(YEARFRAC(EOMONTH(questions!$C$3, 0),A172,1),2)</f>
        <v>41.42</v>
      </c>
      <c r="C172" s="57">
        <f>IF(B172&lt;questions!$C$6,if(MONTH(A172)=1,C171*(1+questions!$C$12),C171),0)</f>
        <v>15125.89725</v>
      </c>
      <c r="D172" s="58">
        <f>IF(MONTH(A172)=12,C172*questions!$C$11,0)</f>
        <v>0</v>
      </c>
      <c r="E172" s="59">
        <f t="shared" si="2"/>
        <v>8000</v>
      </c>
      <c r="F172" s="59">
        <f t="shared" si="3"/>
        <v>0</v>
      </c>
      <c r="G172" s="60">
        <f t="array" ref="G172">if(YEAR(A172)=2025,XLOOKUP(B172,Lookup!$A$3:$A$7,Lookup!$D$3:$D$7,,1)*SUM(E172:F172), XLOOKUP(B172,Lookup!$A$14:$A$18,Lookup!$D$14:$D$18,,1)*SUM(E172:F172))</f>
        <v>2960</v>
      </c>
      <c r="H172" s="60">
        <f t="array" ref="H172">if(YEAR(A172)=2025,XLOOKUP(B172,Lookup!$F$3:$F$10,Lookup!$G$3:$G$10,,1)*G172, XLOOKUP(B172,Lookup!$F$14:$F$21,Lookup!$G$14:$G$21,,1)*G172)</f>
        <v>1680.392</v>
      </c>
      <c r="I172" s="60">
        <f t="array" ref="I172">if(B172&lt;55, if(YEAR(A172)=2025,XLOOKUP(B172,Lookup!$F$3:$F$10,Lookup!$H$3:$H$10,,1)*G172, XLOOKUP(B172,Lookup!$F$14:$F$21,Lookup!$H$14:$H$21,,1)*G172),0)</f>
        <v>559.736</v>
      </c>
      <c r="J172" s="60">
        <f t="array" ref="J172">if(YEAR(A172)=2025,XLOOKUP(B172,Lookup!$F$3:$F$10,Lookup!$I$3:$I$10,,1)*G172, XLOOKUP(B172,Lookup!$F$14:$F$21,Lookup!$I$14:$I$21,,1)*G172)</f>
        <v>719.872</v>
      </c>
      <c r="K172" s="61">
        <f t="array" ref="K172">if(B172&gt;54, if(YEAR(A172)=2025,XLOOKUP(B172,Lookup!$F$3:$F$10,Lookup!$H$3:$H$10,,1)*G172, XLOOKUP(B172,Lookup!$F$14:$F$21,Lookup!$H$14:$H$21,,1)*G172),0)</f>
        <v>0</v>
      </c>
      <c r="L172" s="62">
        <f>IF(and(A172&lt;questions!$C$19,questions!$C$18="yes"),questions!$C$20,0)</f>
        <v>700</v>
      </c>
      <c r="M172" s="63">
        <f>(Y171+H172)*Lookup!A$26/12</f>
        <v>528.827299</v>
      </c>
      <c r="N172" s="63">
        <f>if(B172&lt;55, (Z171+I172)*Lookup!B$26/12, (AB171+K172)*Lookup!B$26/12)</f>
        <v>539.3995111</v>
      </c>
      <c r="O172" s="63">
        <f>(AA171+J172)*Lookup!C$26/12</f>
        <v>421.4400559</v>
      </c>
      <c r="P172" s="63">
        <f t="shared" si="8"/>
        <v>2103.054296</v>
      </c>
      <c r="Q172" s="63">
        <f t="shared" si="4"/>
        <v>2146.403325</v>
      </c>
      <c r="R172" s="63">
        <f t="shared" si="5"/>
        <v>1671.362784</v>
      </c>
      <c r="S172" s="64">
        <f t="shared" si="9"/>
        <v>16.66666667</v>
      </c>
      <c r="T172" s="64">
        <f t="shared" si="10"/>
        <v>33.33333333</v>
      </c>
      <c r="U172" s="64">
        <f t="shared" si="11"/>
        <v>0</v>
      </c>
      <c r="V172" s="64">
        <f t="shared" ref="V172:X172" si="180">IF(year($A172)=year($A171), V171+S172, S172)</f>
        <v>66.66666667</v>
      </c>
      <c r="W172" s="64">
        <f t="shared" si="180"/>
        <v>133.3333333</v>
      </c>
      <c r="X172" s="64">
        <f t="shared" si="180"/>
        <v>0</v>
      </c>
      <c r="Y172" s="65">
        <f>IFS(
  B172&lt;55,
    MAX(
      Y171 + IF(MONTH(A172)=12, P172+V172, 0) + H172 - L172
      + MAX(0,
          IF(AA171 &gt;= VLOOKUP(YEAR(A172), Lookup!$Q:$R, 2),
            Z171 + IF(MONTH(A172)=12, Q172+W172, 0) + I172
              + AA171 + IF(MONTH(A172)=12, R172+X172, 0)
              - VLOOKUP(YEAR(A172), Lookup!$Q:$R, 2) + J172,
            Z171 + IF(MONTH(A172)=12, Q172+W172, 0) + I172
          ) - VLOOKUP(YEAR(A172), Lookup!$K:$M, 3)
        ),
    0),
  B172=55,
    IF(Z171&gt;=AD172,
      MAX(Y171 + IF(MONTH(A172)=12, P172+V172, 0) + H172 - L172, 0),
      MAX(MAX(0, Y171-(AD172-Z171)) + IF(MONTH(A172)=12, P172+V172, 0) + H172 - L172, 0)
    ),
  B172&gt;55,
    IF(AB171&gt;=$AH$7,
      MAX(Y171 + IF(MONTH(A172)=12, P172+V172, 0) + H172 - L172 + K172 + Z171, 0),
      MAX(Y171 + IF(MONTH(A172)=12, P172+V172, 0) + H172 - L172, 0)
    )
)</f>
        <v>253137.1035</v>
      </c>
      <c r="Z172" s="65">
        <f>IFS(
  B172&lt;55,
    MIN(
      IF(AA171 &gt;= VLOOKUP(YEAR(A172), Lookup!$Q:$R, 2),
        Z171 + IF(MONTH(A172)=12, Q172+W172, 0) + I172
          + AA171 + IF(MONTH(A172)=12, R172+X172, 0) - VLOOKUP(YEAR(A172), Lookup!$Q:$R, 2) + J172,
        Z171 + IF(MONTH(A172)=12, Q172+W172, 0) + I172
      ),
      VLOOKUP(YEAR(A172), Lookup!$K:$M, 3)
    ),
  B172=55,
    IF(Z171 &gt;= AD172, Z171 - AD172, 0),
  B172&gt;55, 0
)</f>
        <v>161819.8533</v>
      </c>
      <c r="AA172" s="65">
        <f>IFS(
  B172&lt;65,
    IF(AA171+J172 &lt; VLOOKUP(YEAR(A172), Lookup!$Q:$R, 2),
      AA171 + IF(MONTH(A172)=12, R171+X171, 0) + J172,
      MIN(
        AA171 + IF(MONTH(A172)=12, R171+X171, 0) + J172 ,
        VLOOKUP(YEAR(A172), Lookup!$Q:$R, 2)
      )
    ),
  B172&gt;=65,
    IF(AA171+J172 &lt; VLOOKUP(questions!$C$5, Lookup!$Q:$R, 2),
      AA171 + IF(MONTH(A172)=12, R171+X171, 0) + J172 ,
      MIN(
        AA171 + IF(MONTH(A172)=12, R171+X171, 0) + J172,
        VLOOKUP(questions!$C$5, Lookup!$Q:$R, 2)
      )
    )
)</f>
        <v>126432.0168</v>
      </c>
      <c r="AB172" s="65">
        <f t="shared" si="13"/>
        <v>0</v>
      </c>
      <c r="AC172" s="66">
        <f t="array" ref="AC172">IFS(B172&lt;66, XLOOKUP(year(A172),Lookup!$K$13:$K1000,Lookup!$L$13:$L1000,"missing",,1),B172&gt;65,XLOOKUP(questions!$C$5,Lookup!$K$13:$K1000,Lookup!$L$13:$L1000,"missing",,1))</f>
        <v>178447.3865</v>
      </c>
      <c r="AD172" s="66">
        <f t="array" ref="AD172">IFS(B172&lt;66, XLOOKUP(year(A172),Lookup!$K$13:$K1000,Lookup!$M$13:$M1000,"missing",,1),B172&gt;65, XLOOKUP(questions!$C$5,Lookup!$K$13:$K1000,Lookup!$M$13:$M1000,"missing",,1))</f>
        <v>356894.773</v>
      </c>
      <c r="AE172" s="66">
        <f t="array" ref="AE172">IFS(B172&lt;66, XLOOKUP(year(A172),Lookup!$K$13:$K1000,Lookup!$N$13:$N1000,"missing",,1),B172&gt;65,XLOOKUP(questions!$C$5,Lookup!$K$13:$K1000,Lookup!$N$13:$N1000,"missing",,1))</f>
        <v>713789.5459</v>
      </c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</row>
    <row r="173">
      <c r="A173" s="55">
        <f t="shared" si="7"/>
        <v>51287</v>
      </c>
      <c r="B173" s="56">
        <f>round(YEARFRAC(EOMONTH(questions!$C$3, 0),A173,1),2)</f>
        <v>41.5</v>
      </c>
      <c r="C173" s="57">
        <f>IF(B173&lt;questions!$C$6,if(MONTH(A173)=1,C172*(1+questions!$C$12),C172),0)</f>
        <v>15125.89725</v>
      </c>
      <c r="D173" s="58">
        <f>IF(MONTH(A173)=12,C173*questions!$C$11,0)</f>
        <v>0</v>
      </c>
      <c r="E173" s="59">
        <f t="shared" si="2"/>
        <v>8000</v>
      </c>
      <c r="F173" s="59">
        <f t="shared" si="3"/>
        <v>0</v>
      </c>
      <c r="G173" s="60">
        <f t="array" ref="G173">if(YEAR(A173)=2025,XLOOKUP(B173,Lookup!$A$3:$A$7,Lookup!$D$3:$D$7,,1)*SUM(E173:F173), XLOOKUP(B173,Lookup!$A$14:$A$18,Lookup!$D$14:$D$18,,1)*SUM(E173:F173))</f>
        <v>2960</v>
      </c>
      <c r="H173" s="60">
        <f t="array" ref="H173">if(YEAR(A173)=2025,XLOOKUP(B173,Lookup!$F$3:$F$10,Lookup!$G$3:$G$10,,1)*G173, XLOOKUP(B173,Lookup!$F$14:$F$21,Lookup!$G$14:$G$21,,1)*G173)</f>
        <v>1680.392</v>
      </c>
      <c r="I173" s="60">
        <f t="array" ref="I173">if(B173&lt;55, if(YEAR(A173)=2025,XLOOKUP(B173,Lookup!$F$3:$F$10,Lookup!$H$3:$H$10,,1)*G173, XLOOKUP(B173,Lookup!$F$14:$F$21,Lookup!$H$14:$H$21,,1)*G173),0)</f>
        <v>559.736</v>
      </c>
      <c r="J173" s="60">
        <f t="array" ref="J173">if(YEAR(A173)=2025,XLOOKUP(B173,Lookup!$F$3:$F$10,Lookup!$I$3:$I$10,,1)*G173, XLOOKUP(B173,Lookup!$F$14:$F$21,Lookup!$I$14:$I$21,,1)*G173)</f>
        <v>719.872</v>
      </c>
      <c r="K173" s="61">
        <f t="array" ref="K173">if(B173&gt;54, if(YEAR(A173)=2025,XLOOKUP(B173,Lookup!$F$3:$F$10,Lookup!$H$3:$H$10,,1)*G173, XLOOKUP(B173,Lookup!$F$14:$F$21,Lookup!$H$14:$H$21,,1)*G173),0)</f>
        <v>0</v>
      </c>
      <c r="L173" s="62">
        <f>IF(and(A173&lt;questions!$C$19,questions!$C$18="yes"),questions!$C$20,0)</f>
        <v>700</v>
      </c>
      <c r="M173" s="63">
        <f>(Y172+H173)*Lookup!A$26/12</f>
        <v>530.8697823</v>
      </c>
      <c r="N173" s="63">
        <f>if(B173&lt;55, (Z172+I173)*Lookup!B$26/12, (AB172+K173)*Lookup!B$26/12)</f>
        <v>541.2652978</v>
      </c>
      <c r="O173" s="63">
        <f>(AA172+J173)*Lookup!C$26/12</f>
        <v>423.8396292</v>
      </c>
      <c r="P173" s="63">
        <f t="shared" si="8"/>
        <v>2633.924078</v>
      </c>
      <c r="Q173" s="63">
        <f t="shared" si="4"/>
        <v>2687.668622</v>
      </c>
      <c r="R173" s="63">
        <f t="shared" si="5"/>
        <v>2095.202413</v>
      </c>
      <c r="S173" s="64">
        <f t="shared" si="9"/>
        <v>16.66666667</v>
      </c>
      <c r="T173" s="64">
        <f t="shared" si="10"/>
        <v>33.33333333</v>
      </c>
      <c r="U173" s="64">
        <f t="shared" si="11"/>
        <v>0</v>
      </c>
      <c r="V173" s="64">
        <f t="shared" ref="V173:X173" si="181">IF(year($A173)=year($A172), V172+S173, S173)</f>
        <v>83.33333333</v>
      </c>
      <c r="W173" s="64">
        <f t="shared" si="181"/>
        <v>166.6666667</v>
      </c>
      <c r="X173" s="64">
        <f t="shared" si="181"/>
        <v>0</v>
      </c>
      <c r="Y173" s="65">
        <f>IFS(
  B173&lt;55,
    MAX(
      Y172 + IF(MONTH(A173)=12, P173+V173, 0) + H173 - L173
      + MAX(0,
          IF(AA172 &gt;= VLOOKUP(YEAR(A173), Lookup!$Q:$R, 2),
            Z172 + IF(MONTH(A173)=12, Q173+W173, 0) + I173
              + AA172 + IF(MONTH(A173)=12, R173+X173, 0)
              - VLOOKUP(YEAR(A173), Lookup!$Q:$R, 2) + J173,
            Z172 + IF(MONTH(A173)=12, Q173+W173, 0) + I173
          ) - VLOOKUP(YEAR(A173), Lookup!$K:$M, 3)
        ),
    0),
  B173=55,
    IF(Z172&gt;=AD173,
      MAX(Y172 + IF(MONTH(A173)=12, P173+V173, 0) + H173 - L173, 0),
      MAX(MAX(0, Y172-(AD173-Z172)) + IF(MONTH(A173)=12, P173+V173, 0) + H173 - L173, 0)
    ),
  B173&gt;55,
    IF(AB172&gt;=$AH$7,
      MAX(Y172 + IF(MONTH(A173)=12, P173+V173, 0) + H173 - L173 + K173 + Z172, 0),
      MAX(Y172 + IF(MONTH(A173)=12, P173+V173, 0) + H173 - L173, 0)
    )
)</f>
        <v>254117.4955</v>
      </c>
      <c r="Z173" s="65">
        <f>IFS(
  B173&lt;55,
    MIN(
      IF(AA172 &gt;= VLOOKUP(YEAR(A173), Lookup!$Q:$R, 2),
        Z172 + IF(MONTH(A173)=12, Q173+W173, 0) + I173
          + AA172 + IF(MONTH(A173)=12, R173+X173, 0) - VLOOKUP(YEAR(A173), Lookup!$Q:$R, 2) + J173,
        Z172 + IF(MONTH(A173)=12, Q173+W173, 0) + I173
      ),
      VLOOKUP(YEAR(A173), Lookup!$K:$M, 3)
    ),
  B173=55,
    IF(Z172 &gt;= AD173, Z172 - AD173, 0),
  B173&gt;55, 0
)</f>
        <v>162379.5893</v>
      </c>
      <c r="AA173" s="65">
        <f>IFS(
  B173&lt;65,
    IF(AA172+J173 &lt; VLOOKUP(YEAR(A173), Lookup!$Q:$R, 2),
      AA172 + IF(MONTH(A173)=12, R172+X172, 0) + J173,
      MIN(
        AA172 + IF(MONTH(A173)=12, R172+X172, 0) + J173 ,
        VLOOKUP(YEAR(A173), Lookup!$Q:$R, 2)
      )
    ),
  B173&gt;=65,
    IF(AA172+J173 &lt; VLOOKUP(questions!$C$5, Lookup!$Q:$R, 2),
      AA172 + IF(MONTH(A173)=12, R172+X172, 0) + J173 ,
      MIN(
        AA172 + IF(MONTH(A173)=12, R172+X172, 0) + J173,
        VLOOKUP(questions!$C$5, Lookup!$Q:$R, 2)
      )
    )
)</f>
        <v>127151.8888</v>
      </c>
      <c r="AB173" s="65">
        <f t="shared" si="13"/>
        <v>0</v>
      </c>
      <c r="AC173" s="66">
        <f t="array" ref="AC173">IFS(B173&lt;66, XLOOKUP(year(A173),Lookup!$K$13:$K1000,Lookup!$L$13:$L1000,"missing",,1),B173&gt;65,XLOOKUP(questions!$C$5,Lookup!$K$13:$K1000,Lookup!$L$13:$L1000,"missing",,1))</f>
        <v>178447.3865</v>
      </c>
      <c r="AD173" s="66">
        <f t="array" ref="AD173">IFS(B173&lt;66, XLOOKUP(year(A173),Lookup!$K$13:$K1000,Lookup!$M$13:$M1000,"missing",,1),B173&gt;65, XLOOKUP(questions!$C$5,Lookup!$K$13:$K1000,Lookup!$M$13:$M1000,"missing",,1))</f>
        <v>356894.773</v>
      </c>
      <c r="AE173" s="66">
        <f t="array" ref="AE173">IFS(B173&lt;66, XLOOKUP(year(A173),Lookup!$K$13:$K1000,Lookup!$N$13:$N1000,"missing",,1),B173&gt;65,XLOOKUP(questions!$C$5,Lookup!$K$13:$K1000,Lookup!$N$13:$N1000,"missing",,1))</f>
        <v>713789.5459</v>
      </c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</row>
    <row r="174">
      <c r="A174" s="55">
        <f t="shared" si="7"/>
        <v>51317</v>
      </c>
      <c r="B174" s="56">
        <f>round(YEARFRAC(EOMONTH(questions!$C$3, 0),A174,1),2)</f>
        <v>41.58</v>
      </c>
      <c r="C174" s="57">
        <f>IF(B174&lt;questions!$C$6,if(MONTH(A174)=1,C173*(1+questions!$C$12),C173),0)</f>
        <v>15125.89725</v>
      </c>
      <c r="D174" s="58">
        <f>IF(MONTH(A174)=12,C174*questions!$C$11,0)</f>
        <v>0</v>
      </c>
      <c r="E174" s="59">
        <f t="shared" si="2"/>
        <v>8000</v>
      </c>
      <c r="F174" s="59">
        <f t="shared" si="3"/>
        <v>0</v>
      </c>
      <c r="G174" s="60">
        <f t="array" ref="G174">if(YEAR(A174)=2025,XLOOKUP(B174,Lookup!$A$3:$A$7,Lookup!$D$3:$D$7,,1)*SUM(E174:F174), XLOOKUP(B174,Lookup!$A$14:$A$18,Lookup!$D$14:$D$18,,1)*SUM(E174:F174))</f>
        <v>2960</v>
      </c>
      <c r="H174" s="60">
        <f t="array" ref="H174">if(YEAR(A174)=2025,XLOOKUP(B174,Lookup!$F$3:$F$10,Lookup!$G$3:$G$10,,1)*G174, XLOOKUP(B174,Lookup!$F$14:$F$21,Lookup!$G$14:$G$21,,1)*G174)</f>
        <v>1680.392</v>
      </c>
      <c r="I174" s="60">
        <f t="array" ref="I174">if(B174&lt;55, if(YEAR(A174)=2025,XLOOKUP(B174,Lookup!$F$3:$F$10,Lookup!$H$3:$H$10,,1)*G174, XLOOKUP(B174,Lookup!$F$14:$F$21,Lookup!$H$14:$H$21,,1)*G174),0)</f>
        <v>559.736</v>
      </c>
      <c r="J174" s="60">
        <f t="array" ref="J174">if(YEAR(A174)=2025,XLOOKUP(B174,Lookup!$F$3:$F$10,Lookup!$I$3:$I$10,,1)*G174, XLOOKUP(B174,Lookup!$F$14:$F$21,Lookup!$I$14:$I$21,,1)*G174)</f>
        <v>719.872</v>
      </c>
      <c r="K174" s="61">
        <f t="array" ref="K174">if(B174&gt;54, if(YEAR(A174)=2025,XLOOKUP(B174,Lookup!$F$3:$F$10,Lookup!$H$3:$H$10,,1)*G174, XLOOKUP(B174,Lookup!$F$14:$F$21,Lookup!$H$14:$H$21,,1)*G174),0)</f>
        <v>0</v>
      </c>
      <c r="L174" s="62">
        <f>IF(and(A174&lt;questions!$C$19,questions!$C$18="yes"),questions!$C$20,0)</f>
        <v>700</v>
      </c>
      <c r="M174" s="63">
        <f>(Y173+H174)*Lookup!A$26/12</f>
        <v>532.9122656</v>
      </c>
      <c r="N174" s="63">
        <f>if(B174&lt;55, (Z173+I174)*Lookup!B$26/12, (AB173+K174)*Lookup!B$26/12)</f>
        <v>543.1310845</v>
      </c>
      <c r="O174" s="63">
        <f>(AA173+J174)*Lookup!C$26/12</f>
        <v>426.2392026</v>
      </c>
      <c r="P174" s="63">
        <f t="shared" si="8"/>
        <v>3166.836344</v>
      </c>
      <c r="Q174" s="63">
        <f t="shared" si="4"/>
        <v>3230.799707</v>
      </c>
      <c r="R174" s="63">
        <f t="shared" si="5"/>
        <v>2521.441615</v>
      </c>
      <c r="S174" s="64">
        <f t="shared" si="9"/>
        <v>16.66666667</v>
      </c>
      <c r="T174" s="64">
        <f t="shared" si="10"/>
        <v>33.33333333</v>
      </c>
      <c r="U174" s="64">
        <f t="shared" si="11"/>
        <v>0</v>
      </c>
      <c r="V174" s="64">
        <f t="shared" ref="V174:X174" si="182">IF(year($A174)=year($A173), V173+S174, S174)</f>
        <v>100</v>
      </c>
      <c r="W174" s="64">
        <f t="shared" si="182"/>
        <v>200</v>
      </c>
      <c r="X174" s="64">
        <f t="shared" si="182"/>
        <v>0</v>
      </c>
      <c r="Y174" s="65">
        <f>IFS(
  B174&lt;55,
    MAX(
      Y173 + IF(MONTH(A174)=12, P174+V174, 0) + H174 - L174
      + MAX(0,
          IF(AA173 &gt;= VLOOKUP(YEAR(A174), Lookup!$Q:$R, 2),
            Z173 + IF(MONTH(A174)=12, Q174+W174, 0) + I174
              + AA173 + IF(MONTH(A174)=12, R174+X174, 0)
              - VLOOKUP(YEAR(A174), Lookup!$Q:$R, 2) + J174,
            Z173 + IF(MONTH(A174)=12, Q174+W174, 0) + I174
          ) - VLOOKUP(YEAR(A174), Lookup!$K:$M, 3)
        ),
    0),
  B174=55,
    IF(Z173&gt;=AD174,
      MAX(Y173 + IF(MONTH(A174)=12, P174+V174, 0) + H174 - L174, 0),
      MAX(MAX(0, Y173-(AD174-Z173)) + IF(MONTH(A174)=12, P174+V174, 0) + H174 - L174, 0)
    ),
  B174&gt;55,
    IF(AB173&gt;=$AH$7,
      MAX(Y173 + IF(MONTH(A174)=12, P174+V174, 0) + H174 - L174 + K174 + Z173, 0),
      MAX(Y173 + IF(MONTH(A174)=12, P174+V174, 0) + H174 - L174, 0)
    )
)</f>
        <v>255097.8875</v>
      </c>
      <c r="Z174" s="65">
        <f>IFS(
  B174&lt;55,
    MIN(
      IF(AA173 &gt;= VLOOKUP(YEAR(A174), Lookup!$Q:$R, 2),
        Z173 + IF(MONTH(A174)=12, Q174+W174, 0) + I174
          + AA173 + IF(MONTH(A174)=12, R174+X174, 0) - VLOOKUP(YEAR(A174), Lookup!$Q:$R, 2) + J174,
        Z173 + IF(MONTH(A174)=12, Q174+W174, 0) + I174
      ),
      VLOOKUP(YEAR(A174), Lookup!$K:$M, 3)
    ),
  B174=55,
    IF(Z173 &gt;= AD174, Z173 - AD174, 0),
  B174&gt;55, 0
)</f>
        <v>162939.3253</v>
      </c>
      <c r="AA174" s="65">
        <f>IFS(
  B174&lt;65,
    IF(AA173+J174 &lt; VLOOKUP(YEAR(A174), Lookup!$Q:$R, 2),
      AA173 + IF(MONTH(A174)=12, R173+X173, 0) + J174,
      MIN(
        AA173 + IF(MONTH(A174)=12, R173+X173, 0) + J174 ,
        VLOOKUP(YEAR(A174), Lookup!$Q:$R, 2)
      )
    ),
  B174&gt;=65,
    IF(AA173+J174 &lt; VLOOKUP(questions!$C$5, Lookup!$Q:$R, 2),
      AA173 + IF(MONTH(A174)=12, R173+X173, 0) + J174 ,
      MIN(
        AA173 + IF(MONTH(A174)=12, R173+X173, 0) + J174,
        VLOOKUP(questions!$C$5, Lookup!$Q:$R, 2)
      )
    )
)</f>
        <v>127871.7608</v>
      </c>
      <c r="AB174" s="65">
        <f t="shared" si="13"/>
        <v>0</v>
      </c>
      <c r="AC174" s="66">
        <f t="array" ref="AC174">IFS(B174&lt;66, XLOOKUP(year(A174),Lookup!$K$13:$K1000,Lookup!$L$13:$L1000,"missing",,1),B174&gt;65,XLOOKUP(questions!$C$5,Lookup!$K$13:$K1000,Lookup!$L$13:$L1000,"missing",,1))</f>
        <v>178447.3865</v>
      </c>
      <c r="AD174" s="66">
        <f t="array" ref="AD174">IFS(B174&lt;66, XLOOKUP(year(A174),Lookup!$K$13:$K1000,Lookup!$M$13:$M1000,"missing",,1),B174&gt;65, XLOOKUP(questions!$C$5,Lookup!$K$13:$K1000,Lookup!$M$13:$M1000,"missing",,1))</f>
        <v>356894.773</v>
      </c>
      <c r="AE174" s="66">
        <f t="array" ref="AE174">IFS(B174&lt;66, XLOOKUP(year(A174),Lookup!$K$13:$K1000,Lookup!$N$13:$N1000,"missing",,1),B174&gt;65,XLOOKUP(questions!$C$5,Lookup!$K$13:$K1000,Lookup!$N$13:$N1000,"missing",,1))</f>
        <v>713789.5459</v>
      </c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</row>
    <row r="175">
      <c r="A175" s="55">
        <f t="shared" si="7"/>
        <v>51348</v>
      </c>
      <c r="B175" s="56">
        <f>round(YEARFRAC(EOMONTH(questions!$C$3, 0),A175,1),2)</f>
        <v>41.67</v>
      </c>
      <c r="C175" s="57">
        <f>IF(B175&lt;questions!$C$6,if(MONTH(A175)=1,C174*(1+questions!$C$12),C174),0)</f>
        <v>15125.89725</v>
      </c>
      <c r="D175" s="58">
        <f>IF(MONTH(A175)=12,C175*questions!$C$11,0)</f>
        <v>0</v>
      </c>
      <c r="E175" s="59">
        <f t="shared" si="2"/>
        <v>8000</v>
      </c>
      <c r="F175" s="59">
        <f t="shared" si="3"/>
        <v>0</v>
      </c>
      <c r="G175" s="60">
        <f t="array" ref="G175">if(YEAR(A175)=2025,XLOOKUP(B175,Lookup!$A$3:$A$7,Lookup!$D$3:$D$7,,1)*SUM(E175:F175), XLOOKUP(B175,Lookup!$A$14:$A$18,Lookup!$D$14:$D$18,,1)*SUM(E175:F175))</f>
        <v>2960</v>
      </c>
      <c r="H175" s="60">
        <f t="array" ref="H175">if(YEAR(A175)=2025,XLOOKUP(B175,Lookup!$F$3:$F$10,Lookup!$G$3:$G$10,,1)*G175, XLOOKUP(B175,Lookup!$F$14:$F$21,Lookup!$G$14:$G$21,,1)*G175)</f>
        <v>1680.392</v>
      </c>
      <c r="I175" s="60">
        <f t="array" ref="I175">if(B175&lt;55, if(YEAR(A175)=2025,XLOOKUP(B175,Lookup!$F$3:$F$10,Lookup!$H$3:$H$10,,1)*G175, XLOOKUP(B175,Lookup!$F$14:$F$21,Lookup!$H$14:$H$21,,1)*G175),0)</f>
        <v>559.736</v>
      </c>
      <c r="J175" s="60">
        <f t="array" ref="J175">if(YEAR(A175)=2025,XLOOKUP(B175,Lookup!$F$3:$F$10,Lookup!$I$3:$I$10,,1)*G175, XLOOKUP(B175,Lookup!$F$14:$F$21,Lookup!$I$14:$I$21,,1)*G175)</f>
        <v>719.872</v>
      </c>
      <c r="K175" s="61">
        <f t="array" ref="K175">if(B175&gt;54, if(YEAR(A175)=2025,XLOOKUP(B175,Lookup!$F$3:$F$10,Lookup!$H$3:$H$10,,1)*G175, XLOOKUP(B175,Lookup!$F$14:$F$21,Lookup!$H$14:$H$21,,1)*G175),0)</f>
        <v>0</v>
      </c>
      <c r="L175" s="62">
        <f>IF(and(A175&lt;questions!$C$19,questions!$C$18="yes"),questions!$C$20,0)</f>
        <v>700</v>
      </c>
      <c r="M175" s="63">
        <f>(Y174+H175)*Lookup!A$26/12</f>
        <v>534.954749</v>
      </c>
      <c r="N175" s="63">
        <f>if(B175&lt;55, (Z174+I175)*Lookup!B$26/12, (AB174+K175)*Lookup!B$26/12)</f>
        <v>544.9968711</v>
      </c>
      <c r="O175" s="63">
        <f>(AA174+J175)*Lookup!C$26/12</f>
        <v>428.6387759</v>
      </c>
      <c r="P175" s="63">
        <f t="shared" si="8"/>
        <v>3701.791093</v>
      </c>
      <c r="Q175" s="63">
        <f t="shared" si="4"/>
        <v>3775.796578</v>
      </c>
      <c r="R175" s="63">
        <f t="shared" si="5"/>
        <v>2950.080391</v>
      </c>
      <c r="S175" s="64">
        <f t="shared" si="9"/>
        <v>16.66666667</v>
      </c>
      <c r="T175" s="64">
        <f t="shared" si="10"/>
        <v>33.33333333</v>
      </c>
      <c r="U175" s="64">
        <f t="shared" si="11"/>
        <v>0</v>
      </c>
      <c r="V175" s="64">
        <f t="shared" ref="V175:X175" si="183">IF(year($A175)=year($A174), V174+S175, S175)</f>
        <v>116.6666667</v>
      </c>
      <c r="W175" s="64">
        <f t="shared" si="183"/>
        <v>233.3333333</v>
      </c>
      <c r="X175" s="64">
        <f t="shared" si="183"/>
        <v>0</v>
      </c>
      <c r="Y175" s="65">
        <f>IFS(
  B175&lt;55,
    MAX(
      Y174 + IF(MONTH(A175)=12, P175+V175, 0) + H175 - L175
      + MAX(0,
          IF(AA174 &gt;= VLOOKUP(YEAR(A175), Lookup!$Q:$R, 2),
            Z174 + IF(MONTH(A175)=12, Q175+W175, 0) + I175
              + AA174 + IF(MONTH(A175)=12, R175+X175, 0)
              - VLOOKUP(YEAR(A175), Lookup!$Q:$R, 2) + J175,
            Z174 + IF(MONTH(A175)=12, Q175+W175, 0) + I175
          ) - VLOOKUP(YEAR(A175), Lookup!$K:$M, 3)
        ),
    0),
  B175=55,
    IF(Z174&gt;=AD175,
      MAX(Y174 + IF(MONTH(A175)=12, P175+V175, 0) + H175 - L175, 0),
      MAX(MAX(0, Y174-(AD175-Z174)) + IF(MONTH(A175)=12, P175+V175, 0) + H175 - L175, 0)
    ),
  B175&gt;55,
    IF(AB174&gt;=$AH$7,
      MAX(Y174 + IF(MONTH(A175)=12, P175+V175, 0) + H175 - L175 + K175 + Z174, 0),
      MAX(Y174 + IF(MONTH(A175)=12, P175+V175, 0) + H175 - L175, 0)
    )
)</f>
        <v>256078.2795</v>
      </c>
      <c r="Z175" s="65">
        <f>IFS(
  B175&lt;55,
    MIN(
      IF(AA174 &gt;= VLOOKUP(YEAR(A175), Lookup!$Q:$R, 2),
        Z174 + IF(MONTH(A175)=12, Q175+W175, 0) + I175
          + AA174 + IF(MONTH(A175)=12, R175+X175, 0) - VLOOKUP(YEAR(A175), Lookup!$Q:$R, 2) + J175,
        Z174 + IF(MONTH(A175)=12, Q175+W175, 0) + I175
      ),
      VLOOKUP(YEAR(A175), Lookup!$K:$M, 3)
    ),
  B175=55,
    IF(Z174 &gt;= AD175, Z174 - AD175, 0),
  B175&gt;55, 0
)</f>
        <v>163499.0613</v>
      </c>
      <c r="AA175" s="65">
        <f>IFS(
  B175&lt;65,
    IF(AA174+J175 &lt; VLOOKUP(YEAR(A175), Lookup!$Q:$R, 2),
      AA174 + IF(MONTH(A175)=12, R174+X174, 0) + J175,
      MIN(
        AA174 + IF(MONTH(A175)=12, R174+X174, 0) + J175 ,
        VLOOKUP(YEAR(A175), Lookup!$Q:$R, 2)
      )
    ),
  B175&gt;=65,
    IF(AA174+J175 &lt; VLOOKUP(questions!$C$5, Lookup!$Q:$R, 2),
      AA174 + IF(MONTH(A175)=12, R174+X174, 0) + J175 ,
      MIN(
        AA174 + IF(MONTH(A175)=12, R174+X174, 0) + J175,
        VLOOKUP(questions!$C$5, Lookup!$Q:$R, 2)
      )
    )
)</f>
        <v>127876.8673</v>
      </c>
      <c r="AB175" s="65">
        <f t="shared" si="13"/>
        <v>0</v>
      </c>
      <c r="AC175" s="66">
        <f t="array" ref="AC175">IFS(B175&lt;66, XLOOKUP(year(A175),Lookup!$K$13:$K1000,Lookup!$L$13:$L1000,"missing",,1),B175&gt;65,XLOOKUP(questions!$C$5,Lookup!$K$13:$K1000,Lookup!$L$13:$L1000,"missing",,1))</f>
        <v>178447.3865</v>
      </c>
      <c r="AD175" s="66">
        <f t="array" ref="AD175">IFS(B175&lt;66, XLOOKUP(year(A175),Lookup!$K$13:$K1000,Lookup!$M$13:$M1000,"missing",,1),B175&gt;65, XLOOKUP(questions!$C$5,Lookup!$K$13:$K1000,Lookup!$M$13:$M1000,"missing",,1))</f>
        <v>356894.773</v>
      </c>
      <c r="AE175" s="66">
        <f t="array" ref="AE175">IFS(B175&lt;66, XLOOKUP(year(A175),Lookup!$K$13:$K1000,Lookup!$N$13:$N1000,"missing",,1),B175&gt;65,XLOOKUP(questions!$C$5,Lookup!$K$13:$K1000,Lookup!$N$13:$N1000,"missing",,1))</f>
        <v>713789.5459</v>
      </c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</row>
    <row r="176">
      <c r="A176" s="55">
        <f t="shared" si="7"/>
        <v>51379</v>
      </c>
      <c r="B176" s="56">
        <f>round(YEARFRAC(EOMONTH(questions!$C$3, 0),A176,1),2)</f>
        <v>41.75</v>
      </c>
      <c r="C176" s="57">
        <f>IF(B176&lt;questions!$C$6,if(MONTH(A176)=1,C175*(1+questions!$C$12),C175),0)</f>
        <v>15125.89725</v>
      </c>
      <c r="D176" s="58">
        <f>IF(MONTH(A176)=12,C176*questions!$C$11,0)</f>
        <v>0</v>
      </c>
      <c r="E176" s="59">
        <f t="shared" si="2"/>
        <v>8000</v>
      </c>
      <c r="F176" s="59">
        <f t="shared" si="3"/>
        <v>0</v>
      </c>
      <c r="G176" s="60">
        <f t="array" ref="G176">if(YEAR(A176)=2025,XLOOKUP(B176,Lookup!$A$3:$A$7,Lookup!$D$3:$D$7,,1)*SUM(E176:F176), XLOOKUP(B176,Lookup!$A$14:$A$18,Lookup!$D$14:$D$18,,1)*SUM(E176:F176))</f>
        <v>2960</v>
      </c>
      <c r="H176" s="60">
        <f t="array" ref="H176">if(YEAR(A176)=2025,XLOOKUP(B176,Lookup!$F$3:$F$10,Lookup!$G$3:$G$10,,1)*G176, XLOOKUP(B176,Lookup!$F$14:$F$21,Lookup!$G$14:$G$21,,1)*G176)</f>
        <v>1680.392</v>
      </c>
      <c r="I176" s="60">
        <f t="array" ref="I176">if(B176&lt;55, if(YEAR(A176)=2025,XLOOKUP(B176,Lookup!$F$3:$F$10,Lookup!$H$3:$H$10,,1)*G176, XLOOKUP(B176,Lookup!$F$14:$F$21,Lookup!$H$14:$H$21,,1)*G176),0)</f>
        <v>559.736</v>
      </c>
      <c r="J176" s="60">
        <f t="array" ref="J176">if(YEAR(A176)=2025,XLOOKUP(B176,Lookup!$F$3:$F$10,Lookup!$I$3:$I$10,,1)*G176, XLOOKUP(B176,Lookup!$F$14:$F$21,Lookup!$I$14:$I$21,,1)*G176)</f>
        <v>719.872</v>
      </c>
      <c r="K176" s="61">
        <f t="array" ref="K176">if(B176&gt;54, if(YEAR(A176)=2025,XLOOKUP(B176,Lookup!$F$3:$F$10,Lookup!$H$3:$H$10,,1)*G176, XLOOKUP(B176,Lookup!$F$14:$F$21,Lookup!$H$14:$H$21,,1)*G176),0)</f>
        <v>0</v>
      </c>
      <c r="L176" s="62">
        <f>IF(and(A176&lt;questions!$C$19,questions!$C$18="yes"),questions!$C$20,0)</f>
        <v>700</v>
      </c>
      <c r="M176" s="63">
        <f>(Y175+H176)*Lookup!A$26/12</f>
        <v>536.9972323</v>
      </c>
      <c r="N176" s="63">
        <f>if(B176&lt;55, (Z175+I176)*Lookup!B$26/12, (AB175+K176)*Lookup!B$26/12)</f>
        <v>546.8626578</v>
      </c>
      <c r="O176" s="63">
        <f>(AA175+J176)*Lookup!C$26/12</f>
        <v>428.6557976</v>
      </c>
      <c r="P176" s="63">
        <f t="shared" si="8"/>
        <v>4238.788325</v>
      </c>
      <c r="Q176" s="63">
        <f t="shared" si="4"/>
        <v>4322.659236</v>
      </c>
      <c r="R176" s="63">
        <f t="shared" si="5"/>
        <v>3378.736189</v>
      </c>
      <c r="S176" s="64">
        <f t="shared" si="9"/>
        <v>16.66666667</v>
      </c>
      <c r="T176" s="64">
        <f t="shared" si="10"/>
        <v>33.33333333</v>
      </c>
      <c r="U176" s="64">
        <f t="shared" si="11"/>
        <v>0</v>
      </c>
      <c r="V176" s="64">
        <f t="shared" ref="V176:X176" si="184">IF(year($A176)=year($A175), V175+S176, S176)</f>
        <v>133.3333333</v>
      </c>
      <c r="W176" s="64">
        <f t="shared" si="184"/>
        <v>266.6666667</v>
      </c>
      <c r="X176" s="64">
        <f t="shared" si="184"/>
        <v>0</v>
      </c>
      <c r="Y176" s="65">
        <f>IFS(
  B176&lt;55,
    MAX(
      Y175 + IF(MONTH(A176)=12, P176+V176, 0) + H176 - L176
      + MAX(0,
          IF(AA175 &gt;= VLOOKUP(YEAR(A176), Lookup!$Q:$R, 2),
            Z175 + IF(MONTH(A176)=12, Q176+W176, 0) + I176
              + AA175 + IF(MONTH(A176)=12, R176+X176, 0)
              - VLOOKUP(YEAR(A176), Lookup!$Q:$R, 2) + J176,
            Z175 + IF(MONTH(A176)=12, Q176+W176, 0) + I176
          ) - VLOOKUP(YEAR(A176), Lookup!$K:$M, 3)
        ),
    0),
  B176=55,
    IF(Z175&gt;=AD176,
      MAX(Y175 + IF(MONTH(A176)=12, P176+V176, 0) + H176 - L176, 0),
      MAX(MAX(0, Y175-(AD176-Z175)) + IF(MONTH(A176)=12, P176+V176, 0) + H176 - L176, 0)
    ),
  B176&gt;55,
    IF(AB175&gt;=$AH$7,
      MAX(Y175 + IF(MONTH(A176)=12, P176+V176, 0) + H176 - L176 + K176 + Z175, 0),
      MAX(Y175 + IF(MONTH(A176)=12, P176+V176, 0) + H176 - L176, 0)
    )
)</f>
        <v>257058.6715</v>
      </c>
      <c r="Z176" s="65">
        <f>IFS(
  B176&lt;55,
    MIN(
      IF(AA175 &gt;= VLOOKUP(YEAR(A176), Lookup!$Q:$R, 2),
        Z175 + IF(MONTH(A176)=12, Q176+W176, 0) + I176
          + AA175 + IF(MONTH(A176)=12, R176+X176, 0) - VLOOKUP(YEAR(A176), Lookup!$Q:$R, 2) + J176,
        Z175 + IF(MONTH(A176)=12, Q176+W176, 0) + I176
      ),
      VLOOKUP(YEAR(A176), Lookup!$K:$M, 3)
    ),
  B176=55,
    IF(Z175 &gt;= AD176, Z175 - AD176, 0),
  B176&gt;55, 0
)</f>
        <v>164778.6693</v>
      </c>
      <c r="AA176" s="65">
        <f>IFS(
  B176&lt;65,
    IF(AA175+J176 &lt; VLOOKUP(YEAR(A176), Lookup!$Q:$R, 2),
      AA175 + IF(MONTH(A176)=12, R175+X175, 0) + J176,
      MIN(
        AA175 + IF(MONTH(A176)=12, R175+X175, 0) + J176 ,
        VLOOKUP(YEAR(A176), Lookup!$Q:$R, 2)
      )
    ),
  B176&gt;=65,
    IF(AA175+J176 &lt; VLOOKUP(questions!$C$5, Lookup!$Q:$R, 2),
      AA175 + IF(MONTH(A176)=12, R175+X175, 0) + J176 ,
      MIN(
        AA175 + IF(MONTH(A176)=12, R175+X175, 0) + J176,
        VLOOKUP(questions!$C$5, Lookup!$Q:$R, 2)
      )
    )
)</f>
        <v>127876.8673</v>
      </c>
      <c r="AB176" s="65">
        <f t="shared" si="13"/>
        <v>0</v>
      </c>
      <c r="AC176" s="66">
        <f t="array" ref="AC176">IFS(B176&lt;66, XLOOKUP(year(A176),Lookup!$K$13:$K1000,Lookup!$L$13:$L1000,"missing",,1),B176&gt;65,XLOOKUP(questions!$C$5,Lookup!$K$13:$K1000,Lookup!$L$13:$L1000,"missing",,1))</f>
        <v>178447.3865</v>
      </c>
      <c r="AD176" s="66">
        <f t="array" ref="AD176">IFS(B176&lt;66, XLOOKUP(year(A176),Lookup!$K$13:$K1000,Lookup!$M$13:$M1000,"missing",,1),B176&gt;65, XLOOKUP(questions!$C$5,Lookup!$K$13:$K1000,Lookup!$M$13:$M1000,"missing",,1))</f>
        <v>356894.773</v>
      </c>
      <c r="AE176" s="66">
        <f t="array" ref="AE176">IFS(B176&lt;66, XLOOKUP(year(A176),Lookup!$K$13:$K1000,Lookup!$N$13:$N1000,"missing",,1),B176&gt;65,XLOOKUP(questions!$C$5,Lookup!$K$13:$K1000,Lookup!$N$13:$N1000,"missing",,1))</f>
        <v>713789.5459</v>
      </c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</row>
    <row r="177">
      <c r="A177" s="55">
        <f t="shared" si="7"/>
        <v>51409</v>
      </c>
      <c r="B177" s="56">
        <f>round(YEARFRAC(EOMONTH(questions!$C$3, 0),A177,1),2)</f>
        <v>41.83</v>
      </c>
      <c r="C177" s="57">
        <f>IF(B177&lt;questions!$C$6,if(MONTH(A177)=1,C176*(1+questions!$C$12),C176),0)</f>
        <v>15125.89725</v>
      </c>
      <c r="D177" s="58">
        <f>IF(MONTH(A177)=12,C177*questions!$C$11,0)</f>
        <v>0</v>
      </c>
      <c r="E177" s="59">
        <f t="shared" si="2"/>
        <v>8000</v>
      </c>
      <c r="F177" s="59">
        <f t="shared" si="3"/>
        <v>0</v>
      </c>
      <c r="G177" s="60">
        <f t="array" ref="G177">if(YEAR(A177)=2025,XLOOKUP(B177,Lookup!$A$3:$A$7,Lookup!$D$3:$D$7,,1)*SUM(E177:F177), XLOOKUP(B177,Lookup!$A$14:$A$18,Lookup!$D$14:$D$18,,1)*SUM(E177:F177))</f>
        <v>2960</v>
      </c>
      <c r="H177" s="60">
        <f t="array" ref="H177">if(YEAR(A177)=2025,XLOOKUP(B177,Lookup!$F$3:$F$10,Lookup!$G$3:$G$10,,1)*G177, XLOOKUP(B177,Lookup!$F$14:$F$21,Lookup!$G$14:$G$21,,1)*G177)</f>
        <v>1680.392</v>
      </c>
      <c r="I177" s="60">
        <f t="array" ref="I177">if(B177&lt;55, if(YEAR(A177)=2025,XLOOKUP(B177,Lookup!$F$3:$F$10,Lookup!$H$3:$H$10,,1)*G177, XLOOKUP(B177,Lookup!$F$14:$F$21,Lookup!$H$14:$H$21,,1)*G177),0)</f>
        <v>559.736</v>
      </c>
      <c r="J177" s="60">
        <f t="array" ref="J177">if(YEAR(A177)=2025,XLOOKUP(B177,Lookup!$F$3:$F$10,Lookup!$I$3:$I$10,,1)*G177, XLOOKUP(B177,Lookup!$F$14:$F$21,Lookup!$I$14:$I$21,,1)*G177)</f>
        <v>719.872</v>
      </c>
      <c r="K177" s="61">
        <f t="array" ref="K177">if(B177&gt;54, if(YEAR(A177)=2025,XLOOKUP(B177,Lookup!$F$3:$F$10,Lookup!$H$3:$H$10,,1)*G177, XLOOKUP(B177,Lookup!$F$14:$F$21,Lookup!$H$14:$H$21,,1)*G177),0)</f>
        <v>0</v>
      </c>
      <c r="L177" s="62">
        <f>IF(and(A177&lt;questions!$C$19,questions!$C$18="yes"),questions!$C$20,0)</f>
        <v>700</v>
      </c>
      <c r="M177" s="63">
        <f>(Y176+H177)*Lookup!A$26/12</f>
        <v>539.0397156</v>
      </c>
      <c r="N177" s="63">
        <f>if(B177&lt;55, (Z176+I177)*Lookup!B$26/12, (AB176+K177)*Lookup!B$26/12)</f>
        <v>551.1280178</v>
      </c>
      <c r="O177" s="63">
        <f>(AA176+J177)*Lookup!C$26/12</f>
        <v>428.6557976</v>
      </c>
      <c r="P177" s="63">
        <f t="shared" si="8"/>
        <v>4777.828041</v>
      </c>
      <c r="Q177" s="63">
        <f t="shared" si="4"/>
        <v>4873.787254</v>
      </c>
      <c r="R177" s="63">
        <f t="shared" si="5"/>
        <v>3807.391986</v>
      </c>
      <c r="S177" s="64">
        <f t="shared" si="9"/>
        <v>16.66666667</v>
      </c>
      <c r="T177" s="64">
        <f t="shared" si="10"/>
        <v>33.33333333</v>
      </c>
      <c r="U177" s="64">
        <f t="shared" si="11"/>
        <v>0</v>
      </c>
      <c r="V177" s="64">
        <f t="shared" ref="V177:X177" si="185">IF(year($A177)=year($A176), V176+S177, S177)</f>
        <v>150</v>
      </c>
      <c r="W177" s="64">
        <f t="shared" si="185"/>
        <v>300</v>
      </c>
      <c r="X177" s="64">
        <f t="shared" si="185"/>
        <v>0</v>
      </c>
      <c r="Y177" s="65">
        <f>IFS(
  B177&lt;55,
    MAX(
      Y176 + IF(MONTH(A177)=12, P177+V177, 0) + H177 - L177
      + MAX(0,
          IF(AA176 &gt;= VLOOKUP(YEAR(A177), Lookup!$Q:$R, 2),
            Z176 + IF(MONTH(A177)=12, Q177+W177, 0) + I177
              + AA176 + IF(MONTH(A177)=12, R177+X177, 0)
              - VLOOKUP(YEAR(A177), Lookup!$Q:$R, 2) + J177,
            Z176 + IF(MONTH(A177)=12, Q177+W177, 0) + I177
          ) - VLOOKUP(YEAR(A177), Lookup!$K:$M, 3)
        ),
    0),
  B177=55,
    IF(Z176&gt;=AD177,
      MAX(Y176 + IF(MONTH(A177)=12, P177+V177, 0) + H177 - L177, 0),
      MAX(MAX(0, Y176-(AD177-Z176)) + IF(MONTH(A177)=12, P177+V177, 0) + H177 - L177, 0)
    ),
  B177&gt;55,
    IF(AB176&gt;=$AH$7,
      MAX(Y176 + IF(MONTH(A177)=12, P177+V177, 0) + H177 - L177 + K177 + Z176, 0),
      MAX(Y176 + IF(MONTH(A177)=12, P177+V177, 0) + H177 - L177, 0)
    )
)</f>
        <v>258039.0635</v>
      </c>
      <c r="Z177" s="65">
        <f>IFS(
  B177&lt;55,
    MIN(
      IF(AA176 &gt;= VLOOKUP(YEAR(A177), Lookup!$Q:$R, 2),
        Z176 + IF(MONTH(A177)=12, Q177+W177, 0) + I177
          + AA176 + IF(MONTH(A177)=12, R177+X177, 0) - VLOOKUP(YEAR(A177), Lookup!$Q:$R, 2) + J177,
        Z176 + IF(MONTH(A177)=12, Q177+W177, 0) + I177
      ),
      VLOOKUP(YEAR(A177), Lookup!$K:$M, 3)
    ),
  B177=55,
    IF(Z176 &gt;= AD177, Z176 - AD177, 0),
  B177&gt;55, 0
)</f>
        <v>166058.2773</v>
      </c>
      <c r="AA177" s="65">
        <f>IFS(
  B177&lt;65,
    IF(AA176+J177 &lt; VLOOKUP(YEAR(A177), Lookup!$Q:$R, 2),
      AA176 + IF(MONTH(A177)=12, R176+X176, 0) + J177,
      MIN(
        AA176 + IF(MONTH(A177)=12, R176+X176, 0) + J177 ,
        VLOOKUP(YEAR(A177), Lookup!$Q:$R, 2)
      )
    ),
  B177&gt;=65,
    IF(AA176+J177 &lt; VLOOKUP(questions!$C$5, Lookup!$Q:$R, 2),
      AA176 + IF(MONTH(A177)=12, R176+X176, 0) + J177 ,
      MIN(
        AA176 + IF(MONTH(A177)=12, R176+X176, 0) + J177,
        VLOOKUP(questions!$C$5, Lookup!$Q:$R, 2)
      )
    )
)</f>
        <v>127876.8673</v>
      </c>
      <c r="AB177" s="65">
        <f t="shared" si="13"/>
        <v>0</v>
      </c>
      <c r="AC177" s="66">
        <f t="array" ref="AC177">IFS(B177&lt;66, XLOOKUP(year(A177),Lookup!$K$13:$K1000,Lookup!$L$13:$L1000,"missing",,1),B177&gt;65,XLOOKUP(questions!$C$5,Lookup!$K$13:$K1000,Lookup!$L$13:$L1000,"missing",,1))</f>
        <v>178447.3865</v>
      </c>
      <c r="AD177" s="66">
        <f t="array" ref="AD177">IFS(B177&lt;66, XLOOKUP(year(A177),Lookup!$K$13:$K1000,Lookup!$M$13:$M1000,"missing",,1),B177&gt;65, XLOOKUP(questions!$C$5,Lookup!$K$13:$K1000,Lookup!$M$13:$M1000,"missing",,1))</f>
        <v>356894.773</v>
      </c>
      <c r="AE177" s="66">
        <f t="array" ref="AE177">IFS(B177&lt;66, XLOOKUP(year(A177),Lookup!$K$13:$K1000,Lookup!$N$13:$N1000,"missing",,1),B177&gt;65,XLOOKUP(questions!$C$5,Lookup!$K$13:$K1000,Lookup!$N$13:$N1000,"missing",,1))</f>
        <v>713789.5459</v>
      </c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</row>
    <row r="178">
      <c r="A178" s="55">
        <f t="shared" si="7"/>
        <v>51440</v>
      </c>
      <c r="B178" s="56">
        <f>round(YEARFRAC(EOMONTH(questions!$C$3, 0),A178,1),2)</f>
        <v>41.92</v>
      </c>
      <c r="C178" s="57">
        <f>IF(B178&lt;questions!$C$6,if(MONTH(A178)=1,C177*(1+questions!$C$12),C177),0)</f>
        <v>15125.89725</v>
      </c>
      <c r="D178" s="58">
        <f>IF(MONTH(A178)=12,C178*questions!$C$11,0)</f>
        <v>0</v>
      </c>
      <c r="E178" s="59">
        <f t="shared" si="2"/>
        <v>8000</v>
      </c>
      <c r="F178" s="59">
        <f t="shared" si="3"/>
        <v>0</v>
      </c>
      <c r="G178" s="60">
        <f t="array" ref="G178">if(YEAR(A178)=2025,XLOOKUP(B178,Lookup!$A$3:$A$7,Lookup!$D$3:$D$7,,1)*SUM(E178:F178), XLOOKUP(B178,Lookup!$A$14:$A$18,Lookup!$D$14:$D$18,,1)*SUM(E178:F178))</f>
        <v>2960</v>
      </c>
      <c r="H178" s="60">
        <f t="array" ref="H178">if(YEAR(A178)=2025,XLOOKUP(B178,Lookup!$F$3:$F$10,Lookup!$G$3:$G$10,,1)*G178, XLOOKUP(B178,Lookup!$F$14:$F$21,Lookup!$G$14:$G$21,,1)*G178)</f>
        <v>1680.392</v>
      </c>
      <c r="I178" s="60">
        <f t="array" ref="I178">if(B178&lt;55, if(YEAR(A178)=2025,XLOOKUP(B178,Lookup!$F$3:$F$10,Lookup!$H$3:$H$10,,1)*G178, XLOOKUP(B178,Lookup!$F$14:$F$21,Lookup!$H$14:$H$21,,1)*G178),0)</f>
        <v>559.736</v>
      </c>
      <c r="J178" s="60">
        <f t="array" ref="J178">if(YEAR(A178)=2025,XLOOKUP(B178,Lookup!$F$3:$F$10,Lookup!$I$3:$I$10,,1)*G178, XLOOKUP(B178,Lookup!$F$14:$F$21,Lookup!$I$14:$I$21,,1)*G178)</f>
        <v>719.872</v>
      </c>
      <c r="K178" s="61">
        <f t="array" ref="K178">if(B178&gt;54, if(YEAR(A178)=2025,XLOOKUP(B178,Lookup!$F$3:$F$10,Lookup!$H$3:$H$10,,1)*G178, XLOOKUP(B178,Lookup!$F$14:$F$21,Lookup!$H$14:$H$21,,1)*G178),0)</f>
        <v>0</v>
      </c>
      <c r="L178" s="62">
        <f>IF(and(A178&lt;questions!$C$19,questions!$C$18="yes"),questions!$C$20,0)</f>
        <v>700</v>
      </c>
      <c r="M178" s="63">
        <f>(Y177+H178)*Lookup!A$26/12</f>
        <v>541.082199</v>
      </c>
      <c r="N178" s="63">
        <f>if(B178&lt;55, (Z177+I178)*Lookup!B$26/12, (AB177+K178)*Lookup!B$26/12)</f>
        <v>555.3933778</v>
      </c>
      <c r="O178" s="63">
        <f>(AA177+J178)*Lookup!C$26/12</f>
        <v>428.6557976</v>
      </c>
      <c r="P178" s="63">
        <f t="shared" si="8"/>
        <v>5318.91024</v>
      </c>
      <c r="Q178" s="63">
        <f t="shared" si="4"/>
        <v>5429.180631</v>
      </c>
      <c r="R178" s="63">
        <f t="shared" si="5"/>
        <v>4236.047784</v>
      </c>
      <c r="S178" s="64">
        <f t="shared" si="9"/>
        <v>16.66666667</v>
      </c>
      <c r="T178" s="64">
        <f t="shared" si="10"/>
        <v>33.33333333</v>
      </c>
      <c r="U178" s="64">
        <f t="shared" si="11"/>
        <v>0</v>
      </c>
      <c r="V178" s="64">
        <f t="shared" ref="V178:X178" si="186">IF(year($A178)=year($A177), V177+S178, S178)</f>
        <v>166.6666667</v>
      </c>
      <c r="W178" s="64">
        <f t="shared" si="186"/>
        <v>333.3333333</v>
      </c>
      <c r="X178" s="64">
        <f t="shared" si="186"/>
        <v>0</v>
      </c>
      <c r="Y178" s="65">
        <f>IFS(
  B178&lt;55,
    MAX(
      Y177 + IF(MONTH(A178)=12, P178+V178, 0) + H178 - L178
      + MAX(0,
          IF(AA177 &gt;= VLOOKUP(YEAR(A178), Lookup!$Q:$R, 2),
            Z177 + IF(MONTH(A178)=12, Q178+W178, 0) + I178
              + AA177 + IF(MONTH(A178)=12, R178+X178, 0)
              - VLOOKUP(YEAR(A178), Lookup!$Q:$R, 2) + J178,
            Z177 + IF(MONTH(A178)=12, Q178+W178, 0) + I178
          ) - VLOOKUP(YEAR(A178), Lookup!$K:$M, 3)
        ),
    0),
  B178=55,
    IF(Z177&gt;=AD178,
      MAX(Y177 + IF(MONTH(A178)=12, P178+V178, 0) + H178 - L178, 0),
      MAX(MAX(0, Y177-(AD178-Z177)) + IF(MONTH(A178)=12, P178+V178, 0) + H178 - L178, 0)
    ),
  B178&gt;55,
    IF(AB177&gt;=$AH$7,
      MAX(Y177 + IF(MONTH(A178)=12, P178+V178, 0) + H178 - L178 + K178 + Z177, 0),
      MAX(Y177 + IF(MONTH(A178)=12, P178+V178, 0) + H178 - L178, 0)
    )
)</f>
        <v>259019.4555</v>
      </c>
      <c r="Z178" s="65">
        <f>IFS(
  B178&lt;55,
    MIN(
      IF(AA177 &gt;= VLOOKUP(YEAR(A178), Lookup!$Q:$R, 2),
        Z177 + IF(MONTH(A178)=12, Q178+W178, 0) + I178
          + AA177 + IF(MONTH(A178)=12, R178+X178, 0) - VLOOKUP(YEAR(A178), Lookup!$Q:$R, 2) + J178,
        Z177 + IF(MONTH(A178)=12, Q178+W178, 0) + I178
      ),
      VLOOKUP(YEAR(A178), Lookup!$K:$M, 3)
    ),
  B178=55,
    IF(Z177 &gt;= AD178, Z177 - AD178, 0),
  B178&gt;55, 0
)</f>
        <v>167337.8853</v>
      </c>
      <c r="AA178" s="65">
        <f>IFS(
  B178&lt;65,
    IF(AA177+J178 &lt; VLOOKUP(YEAR(A178), Lookup!$Q:$R, 2),
      AA177 + IF(MONTH(A178)=12, R177+X177, 0) + J178,
      MIN(
        AA177 + IF(MONTH(A178)=12, R177+X177, 0) + J178 ,
        VLOOKUP(YEAR(A178), Lookup!$Q:$R, 2)
      )
    ),
  B178&gt;=65,
    IF(AA177+J178 &lt; VLOOKUP(questions!$C$5, Lookup!$Q:$R, 2),
      AA177 + IF(MONTH(A178)=12, R177+X177, 0) + J178 ,
      MIN(
        AA177 + IF(MONTH(A178)=12, R177+X177, 0) + J178,
        VLOOKUP(questions!$C$5, Lookup!$Q:$R, 2)
      )
    )
)</f>
        <v>127876.8673</v>
      </c>
      <c r="AB178" s="65">
        <f t="shared" si="13"/>
        <v>0</v>
      </c>
      <c r="AC178" s="66">
        <f t="array" ref="AC178">IFS(B178&lt;66, XLOOKUP(year(A178),Lookup!$K$13:$K1000,Lookup!$L$13:$L1000,"missing",,1),B178&gt;65,XLOOKUP(questions!$C$5,Lookup!$K$13:$K1000,Lookup!$L$13:$L1000,"missing",,1))</f>
        <v>178447.3865</v>
      </c>
      <c r="AD178" s="66">
        <f t="array" ref="AD178">IFS(B178&lt;66, XLOOKUP(year(A178),Lookup!$K$13:$K1000,Lookup!$M$13:$M1000,"missing",,1),B178&gt;65, XLOOKUP(questions!$C$5,Lookup!$K$13:$K1000,Lookup!$M$13:$M1000,"missing",,1))</f>
        <v>356894.773</v>
      </c>
      <c r="AE178" s="66">
        <f t="array" ref="AE178">IFS(B178&lt;66, XLOOKUP(year(A178),Lookup!$K$13:$K1000,Lookup!$N$13:$N1000,"missing",,1),B178&gt;65,XLOOKUP(questions!$C$5,Lookup!$K$13:$K1000,Lookup!$N$13:$N1000,"missing",,1))</f>
        <v>713789.5459</v>
      </c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</row>
    <row r="179">
      <c r="A179" s="55">
        <f t="shared" si="7"/>
        <v>51470</v>
      </c>
      <c r="B179" s="56">
        <f>round(YEARFRAC(EOMONTH(questions!$C$3, 0),A179,1),2)</f>
        <v>42</v>
      </c>
      <c r="C179" s="57">
        <f>IF(B179&lt;questions!$C$6,if(MONTH(A179)=1,C178*(1+questions!$C$12),C178),0)</f>
        <v>15125.89725</v>
      </c>
      <c r="D179" s="58">
        <f>IF(MONTH(A179)=12,C179*questions!$C$11,0)</f>
        <v>0</v>
      </c>
      <c r="E179" s="59">
        <f t="shared" si="2"/>
        <v>8000</v>
      </c>
      <c r="F179" s="59">
        <f t="shared" si="3"/>
        <v>0</v>
      </c>
      <c r="G179" s="60">
        <f t="array" ref="G179">if(YEAR(A179)=2025,XLOOKUP(B179,Lookup!$A$3:$A$7,Lookup!$D$3:$D$7,,1)*SUM(E179:F179), XLOOKUP(B179,Lookup!$A$14:$A$18,Lookup!$D$14:$D$18,,1)*SUM(E179:F179))</f>
        <v>2960</v>
      </c>
      <c r="H179" s="60">
        <f t="array" ref="H179">if(YEAR(A179)=2025,XLOOKUP(B179,Lookup!$F$3:$F$10,Lookup!$G$3:$G$10,,1)*G179, XLOOKUP(B179,Lookup!$F$14:$F$21,Lookup!$G$14:$G$21,,1)*G179)</f>
        <v>1680.392</v>
      </c>
      <c r="I179" s="60">
        <f t="array" ref="I179">if(B179&lt;55, if(YEAR(A179)=2025,XLOOKUP(B179,Lookup!$F$3:$F$10,Lookup!$H$3:$H$10,,1)*G179, XLOOKUP(B179,Lookup!$F$14:$F$21,Lookup!$H$14:$H$21,,1)*G179),0)</f>
        <v>559.736</v>
      </c>
      <c r="J179" s="60">
        <f t="array" ref="J179">if(YEAR(A179)=2025,XLOOKUP(B179,Lookup!$F$3:$F$10,Lookup!$I$3:$I$10,,1)*G179, XLOOKUP(B179,Lookup!$F$14:$F$21,Lookup!$I$14:$I$21,,1)*G179)</f>
        <v>719.872</v>
      </c>
      <c r="K179" s="61">
        <f t="array" ref="K179">if(B179&gt;54, if(YEAR(A179)=2025,XLOOKUP(B179,Lookup!$F$3:$F$10,Lookup!$H$3:$H$10,,1)*G179, XLOOKUP(B179,Lookup!$F$14:$F$21,Lookup!$H$14:$H$21,,1)*G179),0)</f>
        <v>0</v>
      </c>
      <c r="L179" s="62">
        <f>IF(and(A179&lt;questions!$C$19,questions!$C$18="yes"),questions!$C$20,0)</f>
        <v>700</v>
      </c>
      <c r="M179" s="63">
        <f>(Y178+H179)*Lookup!A$26/12</f>
        <v>543.1246823</v>
      </c>
      <c r="N179" s="63">
        <f>if(B179&lt;55, (Z178+I179)*Lookup!B$26/12, (AB178+K179)*Lookup!B$26/12)</f>
        <v>559.6587378</v>
      </c>
      <c r="O179" s="63">
        <f>(AA178+J179)*Lookup!C$26/12</f>
        <v>428.6557976</v>
      </c>
      <c r="P179" s="63">
        <f t="shared" si="8"/>
        <v>5862.034922</v>
      </c>
      <c r="Q179" s="63">
        <f t="shared" si="4"/>
        <v>5988.839369</v>
      </c>
      <c r="R179" s="63">
        <f t="shared" si="5"/>
        <v>4664.703582</v>
      </c>
      <c r="S179" s="64">
        <f t="shared" si="9"/>
        <v>16.66666667</v>
      </c>
      <c r="T179" s="64">
        <f t="shared" si="10"/>
        <v>33.33333333</v>
      </c>
      <c r="U179" s="64">
        <f t="shared" si="11"/>
        <v>0</v>
      </c>
      <c r="V179" s="64">
        <f t="shared" ref="V179:X179" si="187">IF(year($A179)=year($A178), V178+S179, S179)</f>
        <v>183.3333333</v>
      </c>
      <c r="W179" s="64">
        <f t="shared" si="187"/>
        <v>366.6666667</v>
      </c>
      <c r="X179" s="64">
        <f t="shared" si="187"/>
        <v>0</v>
      </c>
      <c r="Y179" s="65">
        <f>IFS(
  B179&lt;55,
    MAX(
      Y178 + IF(MONTH(A179)=12, P179+V179, 0) + H179 - L179
      + MAX(0,
          IF(AA178 &gt;= VLOOKUP(YEAR(A179), Lookup!$Q:$R, 2),
            Z178 + IF(MONTH(A179)=12, Q179+W179, 0) + I179
              + AA178 + IF(MONTH(A179)=12, R179+X179, 0)
              - VLOOKUP(YEAR(A179), Lookup!$Q:$R, 2) + J179,
            Z178 + IF(MONTH(A179)=12, Q179+W179, 0) + I179
          ) - VLOOKUP(YEAR(A179), Lookup!$K:$M, 3)
        ),
    0),
  B179=55,
    IF(Z178&gt;=AD179,
      MAX(Y178 + IF(MONTH(A179)=12, P179+V179, 0) + H179 - L179, 0),
      MAX(MAX(0, Y178-(AD179-Z178)) + IF(MONTH(A179)=12, P179+V179, 0) + H179 - L179, 0)
    ),
  B179&gt;55,
    IF(AB178&gt;=$AH$7,
      MAX(Y178 + IF(MONTH(A179)=12, P179+V179, 0) + H179 - L179 + K179 + Z178, 0),
      MAX(Y178 + IF(MONTH(A179)=12, P179+V179, 0) + H179 - L179, 0)
    )
)</f>
        <v>259999.8475</v>
      </c>
      <c r="Z179" s="65">
        <f>IFS(
  B179&lt;55,
    MIN(
      IF(AA178 &gt;= VLOOKUP(YEAR(A179), Lookup!$Q:$R, 2),
        Z178 + IF(MONTH(A179)=12, Q179+W179, 0) + I179
          + AA178 + IF(MONTH(A179)=12, R179+X179, 0) - VLOOKUP(YEAR(A179), Lookup!$Q:$R, 2) + J179,
        Z178 + IF(MONTH(A179)=12, Q179+W179, 0) + I179
      ),
      VLOOKUP(YEAR(A179), Lookup!$K:$M, 3)
    ),
  B179=55,
    IF(Z178 &gt;= AD179, Z178 - AD179, 0),
  B179&gt;55, 0
)</f>
        <v>168617.4933</v>
      </c>
      <c r="AA179" s="65">
        <f>IFS(
  B179&lt;65,
    IF(AA178+J179 &lt; VLOOKUP(YEAR(A179), Lookup!$Q:$R, 2),
      AA178 + IF(MONTH(A179)=12, R178+X178, 0) + J179,
      MIN(
        AA178 + IF(MONTH(A179)=12, R178+X178, 0) + J179 ,
        VLOOKUP(YEAR(A179), Lookup!$Q:$R, 2)
      )
    ),
  B179&gt;=65,
    IF(AA178+J179 &lt; VLOOKUP(questions!$C$5, Lookup!$Q:$R, 2),
      AA178 + IF(MONTH(A179)=12, R178+X178, 0) + J179 ,
      MIN(
        AA178 + IF(MONTH(A179)=12, R178+X178, 0) + J179,
        VLOOKUP(questions!$C$5, Lookup!$Q:$R, 2)
      )
    )
)</f>
        <v>127876.8673</v>
      </c>
      <c r="AB179" s="65">
        <f t="shared" si="13"/>
        <v>0</v>
      </c>
      <c r="AC179" s="66">
        <f t="array" ref="AC179">IFS(B179&lt;66, XLOOKUP(year(A179),Lookup!$K$13:$K1000,Lookup!$L$13:$L1000,"missing",,1),B179&gt;65,XLOOKUP(questions!$C$5,Lookup!$K$13:$K1000,Lookup!$L$13:$L1000,"missing",,1))</f>
        <v>178447.3865</v>
      </c>
      <c r="AD179" s="66">
        <f t="array" ref="AD179">IFS(B179&lt;66, XLOOKUP(year(A179),Lookup!$K$13:$K1000,Lookup!$M$13:$M1000,"missing",,1),B179&gt;65, XLOOKUP(questions!$C$5,Lookup!$K$13:$K1000,Lookup!$M$13:$M1000,"missing",,1))</f>
        <v>356894.773</v>
      </c>
      <c r="AE179" s="66">
        <f t="array" ref="AE179">IFS(B179&lt;66, XLOOKUP(year(A179),Lookup!$K$13:$K1000,Lookup!$N$13:$N1000,"missing",,1),B179&gt;65,XLOOKUP(questions!$C$5,Lookup!$K$13:$K1000,Lookup!$N$13:$N1000,"missing",,1))</f>
        <v>713789.5459</v>
      </c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</row>
    <row r="180">
      <c r="A180" s="55">
        <f t="shared" si="7"/>
        <v>51501</v>
      </c>
      <c r="B180" s="56">
        <f>round(YEARFRAC(EOMONTH(questions!$C$3, 0),A180,1),2)</f>
        <v>42.08</v>
      </c>
      <c r="C180" s="57">
        <f>IF(B180&lt;questions!$C$6,if(MONTH(A180)=1,C179*(1+questions!$C$12),C179),0)</f>
        <v>15125.89725</v>
      </c>
      <c r="D180" s="57">
        <f>IF(MONTH(A180)=12,C180*questions!$C$11,0)</f>
        <v>15125.89725</v>
      </c>
      <c r="E180" s="59">
        <f t="shared" si="2"/>
        <v>8000</v>
      </c>
      <c r="F180" s="59">
        <f t="shared" si="3"/>
        <v>6000</v>
      </c>
      <c r="G180" s="60">
        <f t="array" ref="G180">if(YEAR(A180)=2025,XLOOKUP(B180,Lookup!$A$3:$A$7,Lookup!$D$3:$D$7,,1)*SUM(E180:F180), XLOOKUP(B180,Lookup!$A$14:$A$18,Lookup!$D$14:$D$18,,1)*SUM(E180:F180))</f>
        <v>5180</v>
      </c>
      <c r="H180" s="60">
        <f t="array" ref="H180">if(YEAR(A180)=2025,XLOOKUP(B180,Lookup!$F$3:$F$10,Lookup!$G$3:$G$10,,1)*G180, XLOOKUP(B180,Lookup!$F$14:$F$21,Lookup!$G$14:$G$21,,1)*G180)</f>
        <v>2940.686</v>
      </c>
      <c r="I180" s="60">
        <f t="array" ref="I180">if(B180&lt;55, if(YEAR(A180)=2025,XLOOKUP(B180,Lookup!$F$3:$F$10,Lookup!$H$3:$H$10,,1)*G180, XLOOKUP(B180,Lookup!$F$14:$F$21,Lookup!$H$14:$H$21,,1)*G180),0)</f>
        <v>979.538</v>
      </c>
      <c r="J180" s="60">
        <f t="array" ref="J180">if(YEAR(A180)=2025,XLOOKUP(B180,Lookup!$F$3:$F$10,Lookup!$I$3:$I$10,,1)*G180, XLOOKUP(B180,Lookup!$F$14:$F$21,Lookup!$I$14:$I$21,,1)*G180)</f>
        <v>1259.776</v>
      </c>
      <c r="K180" s="61">
        <f t="array" ref="K180">if(B180&gt;54, if(YEAR(A180)=2025,XLOOKUP(B180,Lookup!$F$3:$F$10,Lookup!$H$3:$H$10,,1)*G180, XLOOKUP(B180,Lookup!$F$14:$F$21,Lookup!$H$14:$H$21,,1)*G180),0)</f>
        <v>0</v>
      </c>
      <c r="L180" s="62">
        <f>IF(and(A180&lt;questions!$C$19,questions!$C$18="yes"),questions!$C$20,0)</f>
        <v>700</v>
      </c>
      <c r="M180" s="63">
        <f>(Y179+H180)*Lookup!A$26/12</f>
        <v>547.7927781</v>
      </c>
      <c r="N180" s="63">
        <f>if(B180&lt;55, (Z179+I180)*Lookup!B$26/12, (AB179+K180)*Lookup!B$26/12)</f>
        <v>565.3234378</v>
      </c>
      <c r="O180" s="63">
        <f>(AA179+J180)*Lookup!C$26/12</f>
        <v>430.4554776</v>
      </c>
      <c r="P180" s="63">
        <f t="shared" si="8"/>
        <v>6409.8277</v>
      </c>
      <c r="Q180" s="63">
        <f t="shared" si="4"/>
        <v>6554.162807</v>
      </c>
      <c r="R180" s="63">
        <f t="shared" si="5"/>
        <v>5095.159059</v>
      </c>
      <c r="S180" s="64">
        <f t="shared" si="9"/>
        <v>16.66666667</v>
      </c>
      <c r="T180" s="64">
        <f t="shared" si="10"/>
        <v>33.33333333</v>
      </c>
      <c r="U180" s="64">
        <f t="shared" si="11"/>
        <v>0</v>
      </c>
      <c r="V180" s="64">
        <f t="shared" ref="V180:X180" si="188">IF(year($A180)=year($A179), V179+S180, S180)</f>
        <v>200</v>
      </c>
      <c r="W180" s="64">
        <f t="shared" si="188"/>
        <v>400</v>
      </c>
      <c r="X180" s="64">
        <f t="shared" si="188"/>
        <v>0</v>
      </c>
      <c r="Y180" s="65">
        <f>IFS(
  B180&lt;55,
    MAX(
      Y179 + IF(MONTH(A180)=12, P180+V180, 0) + H180 - L180
      + MAX(0,
          IF(AA179 &gt;= VLOOKUP(YEAR(A180), Lookup!$Q:$R, 2),
            Z179 + IF(MONTH(A180)=12, Q180+W180, 0) + I180
              + AA179 + IF(MONTH(A180)=12, R180+X180, 0)
              - VLOOKUP(YEAR(A180), Lookup!$Q:$R, 2) + J180,
            Z179 + IF(MONTH(A180)=12, Q180+W180, 0) + I180
          ) - VLOOKUP(YEAR(A180), Lookup!$K:$M, 3)
        ),
    0),
  B180=55,
    IF(Z179&gt;=AD180,
      MAX(Y179 + IF(MONTH(A180)=12, P180+V180, 0) + H180 - L180, 0),
      MAX(MAX(0, Y179-(AD180-Z179)) + IF(MONTH(A180)=12, P180+V180, 0) + H180 - L180, 0)
    ),
  B180&gt;55,
    IF(AB179&gt;=$AH$7,
      MAX(Y179 + IF(MONTH(A180)=12, P180+V180, 0) + H180 - L180 + K180 + Z179, 0),
      MAX(Y179 + IF(MONTH(A180)=12, P180+V180, 0) + H180 - L180, 0)
    )
)</f>
        <v>268850.3612</v>
      </c>
      <c r="Z180" s="65">
        <f>IFS(
  B180&lt;55,
    MIN(
      IF(AA179 &gt;= VLOOKUP(YEAR(A180), Lookup!$Q:$R, 2),
        Z179 + IF(MONTH(A180)=12, Q180+W180, 0) + I180
          + AA179 + IF(MONTH(A180)=12, R180+X180, 0) - VLOOKUP(YEAR(A180), Lookup!$Q:$R, 2) + J180,
        Z179 + IF(MONTH(A180)=12, Q180+W180, 0) + I180
      ),
      VLOOKUP(YEAR(A180), Lookup!$K:$M, 3)
    ),
  B180=55,
    IF(Z179 &gt;= AD180, Z179 - AD180, 0),
  B180&gt;55, 0
)</f>
        <v>182906.1292</v>
      </c>
      <c r="AA180" s="65">
        <f>IFS(
  B180&lt;65,
    IF(AA179+J180 &lt; VLOOKUP(YEAR(A180), Lookup!$Q:$R, 2),
      AA179 + IF(MONTH(A180)=12, R179+X179, 0) + J180,
      MIN(
        AA179 + IF(MONTH(A180)=12, R179+X179, 0) + J180 ,
        VLOOKUP(YEAR(A180), Lookup!$Q:$R, 2)
      )
    ),
  B180&gt;=65,
    IF(AA179+J180 &lt; VLOOKUP(questions!$C$5, Lookup!$Q:$R, 2),
      AA179 + IF(MONTH(A180)=12, R179+X179, 0) + J180 ,
      MIN(
        AA179 + IF(MONTH(A180)=12, R179+X179, 0) + J180,
        VLOOKUP(questions!$C$5, Lookup!$Q:$R, 2)
      )
    )
)</f>
        <v>127876.8673</v>
      </c>
      <c r="AB180" s="65">
        <f t="shared" si="13"/>
        <v>0</v>
      </c>
      <c r="AC180" s="66">
        <f t="array" ref="AC180">IFS(B180&lt;66, XLOOKUP(year(A180),Lookup!$K$13:$K1000,Lookup!$L$13:$L1000,"missing",,1),B180&gt;65,XLOOKUP(questions!$C$5,Lookup!$K$13:$K1000,Lookup!$L$13:$L1000,"missing",,1))</f>
        <v>178447.3865</v>
      </c>
      <c r="AD180" s="66">
        <f t="array" ref="AD180">IFS(B180&lt;66, XLOOKUP(year(A180),Lookup!$K$13:$K1000,Lookup!$M$13:$M1000,"missing",,1),B180&gt;65, XLOOKUP(questions!$C$5,Lookup!$K$13:$K1000,Lookup!$M$13:$M1000,"missing",,1))</f>
        <v>356894.773</v>
      </c>
      <c r="AE180" s="66">
        <f t="array" ref="AE180">IFS(B180&lt;66, XLOOKUP(year(A180),Lookup!$K$13:$K1000,Lookup!$N$13:$N1000,"missing",,1),B180&gt;65,XLOOKUP(questions!$C$5,Lookup!$K$13:$K1000,Lookup!$N$13:$N1000,"missing",,1))</f>
        <v>713789.5459</v>
      </c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</row>
    <row r="181">
      <c r="A181" s="55">
        <f t="shared" si="7"/>
        <v>51532</v>
      </c>
      <c r="B181" s="56">
        <f>round(YEARFRAC(EOMONTH(questions!$C$3, 0),A181,1),2)</f>
        <v>42.17</v>
      </c>
      <c r="C181" s="57">
        <f>IF(B181&lt;questions!$C$6,if(MONTH(A181)=1,C180*(1+questions!$C$12),C180),0)</f>
        <v>15579.67417</v>
      </c>
      <c r="D181" s="58">
        <f>IF(MONTH(A181)=12,C181*questions!$C$11,0)</f>
        <v>0</v>
      </c>
      <c r="E181" s="59">
        <f t="shared" si="2"/>
        <v>8000</v>
      </c>
      <c r="F181" s="59">
        <f t="shared" si="3"/>
        <v>0</v>
      </c>
      <c r="G181" s="60">
        <f t="array" ref="G181">if(YEAR(A181)=2025,XLOOKUP(B181,Lookup!$A$3:$A$7,Lookup!$D$3:$D$7,,1)*SUM(E181:F181), XLOOKUP(B181,Lookup!$A$14:$A$18,Lookup!$D$14:$D$18,,1)*SUM(E181:F181))</f>
        <v>2960</v>
      </c>
      <c r="H181" s="60">
        <f t="array" ref="H181">if(YEAR(A181)=2025,XLOOKUP(B181,Lookup!$F$3:$F$10,Lookup!$G$3:$G$10,,1)*G181, XLOOKUP(B181,Lookup!$F$14:$F$21,Lookup!$G$14:$G$21,,1)*G181)</f>
        <v>1680.392</v>
      </c>
      <c r="I181" s="60">
        <f t="array" ref="I181">if(B181&lt;55, if(YEAR(A181)=2025,XLOOKUP(B181,Lookup!$F$3:$F$10,Lookup!$H$3:$H$10,,1)*G181, XLOOKUP(B181,Lookup!$F$14:$F$21,Lookup!$H$14:$H$21,,1)*G181),0)</f>
        <v>559.736</v>
      </c>
      <c r="J181" s="60">
        <f t="array" ref="J181">if(YEAR(A181)=2025,XLOOKUP(B181,Lookup!$F$3:$F$10,Lookup!$I$3:$I$10,,1)*G181, XLOOKUP(B181,Lookup!$F$14:$F$21,Lookup!$I$14:$I$21,,1)*G181)</f>
        <v>719.872</v>
      </c>
      <c r="K181" s="61">
        <f t="array" ref="K181">if(B181&gt;54, if(YEAR(A181)=2025,XLOOKUP(B181,Lookup!$F$3:$F$10,Lookup!$H$3:$H$10,,1)*G181, XLOOKUP(B181,Lookup!$F$14:$F$21,Lookup!$H$14:$H$21,,1)*G181),0)</f>
        <v>0</v>
      </c>
      <c r="L181" s="62">
        <f>IF(and(A181&lt;questions!$C$19,questions!$C$18="yes"),questions!$C$20,0)</f>
        <v>700</v>
      </c>
      <c r="M181" s="63">
        <f>(Y180+H181)*Lookup!A$26/12</f>
        <v>563.6057358</v>
      </c>
      <c r="N181" s="63">
        <f>if(B181&lt;55, (Z180+I181)*Lookup!B$26/12, (AB180+K181)*Lookup!B$26/12)</f>
        <v>611.552884</v>
      </c>
      <c r="O181" s="63">
        <f>(AA180+J181)*Lookup!C$26/12</f>
        <v>428.6557976</v>
      </c>
      <c r="P181" s="63">
        <f t="shared" si="8"/>
        <v>563.6057358</v>
      </c>
      <c r="Q181" s="63">
        <f t="shared" si="4"/>
        <v>611.552884</v>
      </c>
      <c r="R181" s="63">
        <f t="shared" si="5"/>
        <v>428.6557976</v>
      </c>
      <c r="S181" s="64">
        <f t="shared" si="9"/>
        <v>16.66666667</v>
      </c>
      <c r="T181" s="64">
        <f t="shared" si="10"/>
        <v>33.33333333</v>
      </c>
      <c r="U181" s="64">
        <f t="shared" si="11"/>
        <v>0</v>
      </c>
      <c r="V181" s="64">
        <f t="shared" ref="V181:X181" si="189">IF(year($A181)=year($A180), V180+S181, S181)</f>
        <v>16.66666667</v>
      </c>
      <c r="W181" s="64">
        <f t="shared" si="189"/>
        <v>33.33333333</v>
      </c>
      <c r="X181" s="64">
        <f t="shared" si="189"/>
        <v>0</v>
      </c>
      <c r="Y181" s="65">
        <f>IFS(
  B181&lt;55,
    MAX(
      Y180 + IF(MONTH(A181)=12, P181+V181, 0) + H181 - L181
      + MAX(0,
          IF(AA180 &gt;= VLOOKUP(YEAR(A181), Lookup!$Q:$R, 2),
            Z180 + IF(MONTH(A181)=12, Q181+W181, 0) + I181
              + AA180 + IF(MONTH(A181)=12, R181+X181, 0)
              - VLOOKUP(YEAR(A181), Lookup!$Q:$R, 2) + J181,
            Z180 + IF(MONTH(A181)=12, Q181+W181, 0) + I181
          ) - VLOOKUP(YEAR(A181), Lookup!$K:$M, 3)
        ),
    0),
  B181=55,
    IF(Z180&gt;=AD181,
      MAX(Y180 + IF(MONTH(A181)=12, P181+V181, 0) + H181 - L181, 0),
      MAX(MAX(0, Y180-(AD181-Z180)) + IF(MONTH(A181)=12, P181+V181, 0) + H181 - L181, 0)
    ),
  B181&gt;55,
    IF(AB180&gt;=$AH$7,
      MAX(Y180 + IF(MONTH(A181)=12, P181+V181, 0) + H181 - L181 + K181 + Z180, 0),
      MAX(Y180 + IF(MONTH(A181)=12, P181+V181, 0) + H181 - L181, 0)
    )
)</f>
        <v>269830.7532</v>
      </c>
      <c r="Z181" s="65">
        <f>IFS(
  B181&lt;55,
    MIN(
      IF(AA180 &gt;= VLOOKUP(YEAR(A181), Lookup!$Q:$R, 2),
        Z180 + IF(MONTH(A181)=12, Q181+W181, 0) + I181
          + AA180 + IF(MONTH(A181)=12, R181+X181, 0) - VLOOKUP(YEAR(A181), Lookup!$Q:$R, 2) + J181,
        Z180 + IF(MONTH(A181)=12, Q181+W181, 0) + I181
      ),
      VLOOKUP(YEAR(A181), Lookup!$K:$M, 3)
    ),
  B181=55,
    IF(Z180 &gt;= AD181, Z180 - AD181, 0),
  B181&gt;55, 0
)</f>
        <v>183465.8652</v>
      </c>
      <c r="AA181" s="65">
        <f>IFS(
  B181&lt;65,
    IF(AA180+J181 &lt; VLOOKUP(YEAR(A181), Lookup!$Q:$R, 2),
      AA180 + IF(MONTH(A181)=12, R180+X180, 0) + J181,
      MIN(
        AA180 + IF(MONTH(A181)=12, R180+X180, 0) + J181 ,
        VLOOKUP(YEAR(A181), Lookup!$Q:$R, 2)
      )
    ),
  B181&gt;=65,
    IF(AA180+J181 &lt; VLOOKUP(questions!$C$5, Lookup!$Q:$R, 2),
      AA180 + IF(MONTH(A181)=12, R180+X180, 0) + J181 ,
      MIN(
        AA180 + IF(MONTH(A181)=12, R180+X180, 0) + J181,
        VLOOKUP(questions!$C$5, Lookup!$Q:$R, 2)
      )
    )
)</f>
        <v>128596.7393</v>
      </c>
      <c r="AB181" s="65">
        <f t="shared" si="13"/>
        <v>0</v>
      </c>
      <c r="AC181" s="66">
        <f t="array" ref="AC181">IFS(B181&lt;66, XLOOKUP(year(A181),Lookup!$K$13:$K1000,Lookup!$L$13:$L1000,"missing",,1),B181&gt;65,XLOOKUP(questions!$C$5,Lookup!$K$13:$K1000,Lookup!$L$13:$L1000,"missing",,1))</f>
        <v>184693.045</v>
      </c>
      <c r="AD181" s="66">
        <f t="array" ref="AD181">IFS(B181&lt;66, XLOOKUP(year(A181),Lookup!$K$13:$K1000,Lookup!$M$13:$M1000,"missing",,1),B181&gt;65, XLOOKUP(questions!$C$5,Lookup!$K$13:$K1000,Lookup!$M$13:$M1000,"missing",,1))</f>
        <v>369386.09</v>
      </c>
      <c r="AE181" s="66">
        <f t="array" ref="AE181">IFS(B181&lt;66, XLOOKUP(year(A181),Lookup!$K$13:$K1000,Lookup!$N$13:$N1000,"missing",,1),B181&gt;65,XLOOKUP(questions!$C$5,Lookup!$K$13:$K1000,Lookup!$N$13:$N1000,"missing",,1))</f>
        <v>738772.1801</v>
      </c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</row>
    <row r="182">
      <c r="A182" s="55">
        <f t="shared" si="7"/>
        <v>51560</v>
      </c>
      <c r="B182" s="56">
        <f>round(YEARFRAC(EOMONTH(questions!$C$3, 0),A182,1),2)</f>
        <v>42.25</v>
      </c>
      <c r="C182" s="57">
        <f>IF(B182&lt;questions!$C$6,if(MONTH(A182)=1,C181*(1+questions!$C$12),C181),0)</f>
        <v>15579.67417</v>
      </c>
      <c r="D182" s="58">
        <f>IF(MONTH(A182)=12,C182*questions!$C$11,0)</f>
        <v>0</v>
      </c>
      <c r="E182" s="59">
        <f t="shared" si="2"/>
        <v>8000</v>
      </c>
      <c r="F182" s="59">
        <f t="shared" si="3"/>
        <v>0</v>
      </c>
      <c r="G182" s="60">
        <f t="array" ref="G182">if(YEAR(A182)=2025,XLOOKUP(B182,Lookup!$A$3:$A$7,Lookup!$D$3:$D$7,,1)*SUM(E182:F182), XLOOKUP(B182,Lookup!$A$14:$A$18,Lookup!$D$14:$D$18,,1)*SUM(E182:F182))</f>
        <v>2960</v>
      </c>
      <c r="H182" s="60">
        <f t="array" ref="H182">if(YEAR(A182)=2025,XLOOKUP(B182,Lookup!$F$3:$F$10,Lookup!$G$3:$G$10,,1)*G182, XLOOKUP(B182,Lookup!$F$14:$F$21,Lookup!$G$14:$G$21,,1)*G182)</f>
        <v>1680.392</v>
      </c>
      <c r="I182" s="60">
        <f t="array" ref="I182">if(B182&lt;55, if(YEAR(A182)=2025,XLOOKUP(B182,Lookup!$F$3:$F$10,Lookup!$H$3:$H$10,,1)*G182, XLOOKUP(B182,Lookup!$F$14:$F$21,Lookup!$H$14:$H$21,,1)*G182),0)</f>
        <v>559.736</v>
      </c>
      <c r="J182" s="60">
        <f t="array" ref="J182">if(YEAR(A182)=2025,XLOOKUP(B182,Lookup!$F$3:$F$10,Lookup!$I$3:$I$10,,1)*G182, XLOOKUP(B182,Lookup!$F$14:$F$21,Lookup!$I$14:$I$21,,1)*G182)</f>
        <v>719.872</v>
      </c>
      <c r="K182" s="61">
        <f t="array" ref="K182">if(B182&gt;54, if(YEAR(A182)=2025,XLOOKUP(B182,Lookup!$F$3:$F$10,Lookup!$H$3:$H$10,,1)*G182, XLOOKUP(B182,Lookup!$F$14:$F$21,Lookup!$H$14:$H$21,,1)*G182),0)</f>
        <v>0</v>
      </c>
      <c r="L182" s="62">
        <f>IF(and(A182&lt;questions!$C$19,questions!$C$18="yes"),questions!$C$20,0)</f>
        <v>700</v>
      </c>
      <c r="M182" s="63">
        <f>(Y181+H182)*Lookup!A$26/12</f>
        <v>565.6482192</v>
      </c>
      <c r="N182" s="63">
        <f>if(B182&lt;55, (Z181+I182)*Lookup!B$26/12, (AB181+K182)*Lookup!B$26/12)</f>
        <v>613.4186707</v>
      </c>
      <c r="O182" s="63">
        <f>(AA181+J182)*Lookup!C$26/12</f>
        <v>431.0553709</v>
      </c>
      <c r="P182" s="63">
        <f t="shared" si="8"/>
        <v>1129.253955</v>
      </c>
      <c r="Q182" s="63">
        <f t="shared" si="4"/>
        <v>1224.971555</v>
      </c>
      <c r="R182" s="63">
        <f t="shared" si="5"/>
        <v>859.7111685</v>
      </c>
      <c r="S182" s="64">
        <f t="shared" si="9"/>
        <v>16.66666667</v>
      </c>
      <c r="T182" s="64">
        <f t="shared" si="10"/>
        <v>33.33333333</v>
      </c>
      <c r="U182" s="64">
        <f t="shared" si="11"/>
        <v>0</v>
      </c>
      <c r="V182" s="64">
        <f t="shared" ref="V182:X182" si="190">IF(year($A182)=year($A181), V181+S182, S182)</f>
        <v>33.33333333</v>
      </c>
      <c r="W182" s="64">
        <f t="shared" si="190"/>
        <v>66.66666667</v>
      </c>
      <c r="X182" s="64">
        <f t="shared" si="190"/>
        <v>0</v>
      </c>
      <c r="Y182" s="65">
        <f>IFS(
  B182&lt;55,
    MAX(
      Y181 + IF(MONTH(A182)=12, P182+V182, 0) + H182 - L182
      + MAX(0,
          IF(AA181 &gt;= VLOOKUP(YEAR(A182), Lookup!$Q:$R, 2),
            Z181 + IF(MONTH(A182)=12, Q182+W182, 0) + I182
              + AA181 + IF(MONTH(A182)=12, R182+X182, 0)
              - VLOOKUP(YEAR(A182), Lookup!$Q:$R, 2) + J182,
            Z181 + IF(MONTH(A182)=12, Q182+W182, 0) + I182
          ) - VLOOKUP(YEAR(A182), Lookup!$K:$M, 3)
        ),
    0),
  B182=55,
    IF(Z181&gt;=AD182,
      MAX(Y181 + IF(MONTH(A182)=12, P182+V182, 0) + H182 - L182, 0),
      MAX(MAX(0, Y181-(AD182-Z181)) + IF(MONTH(A182)=12, P182+V182, 0) + H182 - L182, 0)
    ),
  B182&gt;55,
    IF(AB181&gt;=$AH$7,
      MAX(Y181 + IF(MONTH(A182)=12, P182+V182, 0) + H182 - L182 + K182 + Z181, 0),
      MAX(Y181 + IF(MONTH(A182)=12, P182+V182, 0) + H182 - L182, 0)
    )
)</f>
        <v>270811.1452</v>
      </c>
      <c r="Z182" s="65">
        <f>IFS(
  B182&lt;55,
    MIN(
      IF(AA181 &gt;= VLOOKUP(YEAR(A182), Lookup!$Q:$R, 2),
        Z181 + IF(MONTH(A182)=12, Q182+W182, 0) + I182
          + AA181 + IF(MONTH(A182)=12, R182+X182, 0) - VLOOKUP(YEAR(A182), Lookup!$Q:$R, 2) + J182,
        Z181 + IF(MONTH(A182)=12, Q182+W182, 0) + I182
      ),
      VLOOKUP(YEAR(A182), Lookup!$K:$M, 3)
    ),
  B182=55,
    IF(Z181 &gt;= AD182, Z181 - AD182, 0),
  B182&gt;55, 0
)</f>
        <v>184025.6012</v>
      </c>
      <c r="AA182" s="65">
        <f>IFS(
  B182&lt;65,
    IF(AA181+J182 &lt; VLOOKUP(YEAR(A182), Lookup!$Q:$R, 2),
      AA181 + IF(MONTH(A182)=12, R181+X181, 0) + J182,
      MIN(
        AA181 + IF(MONTH(A182)=12, R181+X181, 0) + J182 ,
        VLOOKUP(YEAR(A182), Lookup!$Q:$R, 2)
      )
    ),
  B182&gt;=65,
    IF(AA181+J182 &lt; VLOOKUP(questions!$C$5, Lookup!$Q:$R, 2),
      AA181 + IF(MONTH(A182)=12, R181+X181, 0) + J182 ,
      MIN(
        AA181 + IF(MONTH(A182)=12, R181+X181, 0) + J182,
        VLOOKUP(questions!$C$5, Lookup!$Q:$R, 2)
      )
    )
)</f>
        <v>129316.6113</v>
      </c>
      <c r="AB182" s="65">
        <f t="shared" si="13"/>
        <v>0</v>
      </c>
      <c r="AC182" s="66">
        <f t="array" ref="AC182">IFS(B182&lt;66, XLOOKUP(year(A182),Lookup!$K$13:$K1000,Lookup!$L$13:$L1000,"missing",,1),B182&gt;65,XLOOKUP(questions!$C$5,Lookup!$K$13:$K1000,Lookup!$L$13:$L1000,"missing",,1))</f>
        <v>184693.045</v>
      </c>
      <c r="AD182" s="66">
        <f t="array" ref="AD182">IFS(B182&lt;66, XLOOKUP(year(A182),Lookup!$K$13:$K1000,Lookup!$M$13:$M1000,"missing",,1),B182&gt;65, XLOOKUP(questions!$C$5,Lookup!$K$13:$K1000,Lookup!$M$13:$M1000,"missing",,1))</f>
        <v>369386.09</v>
      </c>
      <c r="AE182" s="66">
        <f t="array" ref="AE182">IFS(B182&lt;66, XLOOKUP(year(A182),Lookup!$K$13:$K1000,Lookup!$N$13:$N1000,"missing",,1),B182&gt;65,XLOOKUP(questions!$C$5,Lookup!$K$13:$K1000,Lookup!$N$13:$N1000,"missing",,1))</f>
        <v>738772.1801</v>
      </c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</row>
    <row r="183">
      <c r="A183" s="55">
        <f t="shared" si="7"/>
        <v>51591</v>
      </c>
      <c r="B183" s="56">
        <f>round(YEARFRAC(EOMONTH(questions!$C$3, 0),A183,1),2)</f>
        <v>42.33</v>
      </c>
      <c r="C183" s="57">
        <f>IF(B183&lt;questions!$C$6,if(MONTH(A183)=1,C182*(1+questions!$C$12),C182),0)</f>
        <v>15579.67417</v>
      </c>
      <c r="D183" s="58">
        <f>IF(MONTH(A183)=12,C183*questions!$C$11,0)</f>
        <v>0</v>
      </c>
      <c r="E183" s="59">
        <f t="shared" si="2"/>
        <v>8000</v>
      </c>
      <c r="F183" s="59">
        <f t="shared" si="3"/>
        <v>0</v>
      </c>
      <c r="G183" s="60">
        <f t="array" ref="G183">if(YEAR(A183)=2025,XLOOKUP(B183,Lookup!$A$3:$A$7,Lookup!$D$3:$D$7,,1)*SUM(E183:F183), XLOOKUP(B183,Lookup!$A$14:$A$18,Lookup!$D$14:$D$18,,1)*SUM(E183:F183))</f>
        <v>2960</v>
      </c>
      <c r="H183" s="60">
        <f t="array" ref="H183">if(YEAR(A183)=2025,XLOOKUP(B183,Lookup!$F$3:$F$10,Lookup!$G$3:$G$10,,1)*G183, XLOOKUP(B183,Lookup!$F$14:$F$21,Lookup!$G$14:$G$21,,1)*G183)</f>
        <v>1680.392</v>
      </c>
      <c r="I183" s="60">
        <f t="array" ref="I183">if(B183&lt;55, if(YEAR(A183)=2025,XLOOKUP(B183,Lookup!$F$3:$F$10,Lookup!$H$3:$H$10,,1)*G183, XLOOKUP(B183,Lookup!$F$14:$F$21,Lookup!$H$14:$H$21,,1)*G183),0)</f>
        <v>559.736</v>
      </c>
      <c r="J183" s="60">
        <f t="array" ref="J183">if(YEAR(A183)=2025,XLOOKUP(B183,Lookup!$F$3:$F$10,Lookup!$I$3:$I$10,,1)*G183, XLOOKUP(B183,Lookup!$F$14:$F$21,Lookup!$I$14:$I$21,,1)*G183)</f>
        <v>719.872</v>
      </c>
      <c r="K183" s="61">
        <f t="array" ref="K183">if(B183&gt;54, if(YEAR(A183)=2025,XLOOKUP(B183,Lookup!$F$3:$F$10,Lookup!$H$3:$H$10,,1)*G183, XLOOKUP(B183,Lookup!$F$14:$F$21,Lookup!$H$14:$H$21,,1)*G183),0)</f>
        <v>0</v>
      </c>
      <c r="L183" s="62">
        <f>IF(and(A183&lt;questions!$C$19,questions!$C$18="yes"),questions!$C$20,0)</f>
        <v>700</v>
      </c>
      <c r="M183" s="63">
        <f>(Y182+H183)*Lookup!A$26/12</f>
        <v>567.6907025</v>
      </c>
      <c r="N183" s="63">
        <f>if(B183&lt;55, (Z182+I183)*Lookup!B$26/12, (AB182+K183)*Lookup!B$26/12)</f>
        <v>615.2844574</v>
      </c>
      <c r="O183" s="63">
        <f>(AA182+J183)*Lookup!C$26/12</f>
        <v>433.4549442</v>
      </c>
      <c r="P183" s="63">
        <f t="shared" si="8"/>
        <v>1696.944658</v>
      </c>
      <c r="Q183" s="63">
        <f t="shared" si="4"/>
        <v>1840.256012</v>
      </c>
      <c r="R183" s="63">
        <f t="shared" si="5"/>
        <v>1293.166113</v>
      </c>
      <c r="S183" s="64">
        <f t="shared" si="9"/>
        <v>16.66666667</v>
      </c>
      <c r="T183" s="64">
        <f t="shared" si="10"/>
        <v>33.33333333</v>
      </c>
      <c r="U183" s="64">
        <f t="shared" si="11"/>
        <v>0</v>
      </c>
      <c r="V183" s="64">
        <f t="shared" ref="V183:X183" si="191">IF(year($A183)=year($A182), V182+S183, S183)</f>
        <v>50</v>
      </c>
      <c r="W183" s="64">
        <f t="shared" si="191"/>
        <v>100</v>
      </c>
      <c r="X183" s="64">
        <f t="shared" si="191"/>
        <v>0</v>
      </c>
      <c r="Y183" s="65">
        <f>IFS(
  B183&lt;55,
    MAX(
      Y182 + IF(MONTH(A183)=12, P183+V183, 0) + H183 - L183
      + MAX(0,
          IF(AA182 &gt;= VLOOKUP(YEAR(A183), Lookup!$Q:$R, 2),
            Z182 + IF(MONTH(A183)=12, Q183+W183, 0) + I183
              + AA182 + IF(MONTH(A183)=12, R183+X183, 0)
              - VLOOKUP(YEAR(A183), Lookup!$Q:$R, 2) + J183,
            Z182 + IF(MONTH(A183)=12, Q183+W183, 0) + I183
          ) - VLOOKUP(YEAR(A183), Lookup!$K:$M, 3)
        ),
    0),
  B183=55,
    IF(Z182&gt;=AD183,
      MAX(Y182 + IF(MONTH(A183)=12, P183+V183, 0) + H183 - L183, 0),
      MAX(MAX(0, Y182-(AD183-Z182)) + IF(MONTH(A183)=12, P183+V183, 0) + H183 - L183, 0)
    ),
  B183&gt;55,
    IF(AB182&gt;=$AH$7,
      MAX(Y182 + IF(MONTH(A183)=12, P183+V183, 0) + H183 - L183 + K183 + Z182, 0),
      MAX(Y182 + IF(MONTH(A183)=12, P183+V183, 0) + H183 - L183, 0)
    )
)</f>
        <v>271791.5372</v>
      </c>
      <c r="Z183" s="65">
        <f>IFS(
  B183&lt;55,
    MIN(
      IF(AA182 &gt;= VLOOKUP(YEAR(A183), Lookup!$Q:$R, 2),
        Z182 + IF(MONTH(A183)=12, Q183+W183, 0) + I183
          + AA182 + IF(MONTH(A183)=12, R183+X183, 0) - VLOOKUP(YEAR(A183), Lookup!$Q:$R, 2) + J183,
        Z182 + IF(MONTH(A183)=12, Q183+W183, 0) + I183
      ),
      VLOOKUP(YEAR(A183), Lookup!$K:$M, 3)
    ),
  B183=55,
    IF(Z182 &gt;= AD183, Z182 - AD183, 0),
  B183&gt;55, 0
)</f>
        <v>184585.3372</v>
      </c>
      <c r="AA183" s="65">
        <f>IFS(
  B183&lt;65,
    IF(AA182+J183 &lt; VLOOKUP(YEAR(A183), Lookup!$Q:$R, 2),
      AA182 + IF(MONTH(A183)=12, R182+X182, 0) + J183,
      MIN(
        AA182 + IF(MONTH(A183)=12, R182+X182, 0) + J183 ,
        VLOOKUP(YEAR(A183), Lookup!$Q:$R, 2)
      )
    ),
  B183&gt;=65,
    IF(AA182+J183 &lt; VLOOKUP(questions!$C$5, Lookup!$Q:$R, 2),
      AA182 + IF(MONTH(A183)=12, R182+X182, 0) + J183 ,
      MIN(
        AA182 + IF(MONTH(A183)=12, R182+X182, 0) + J183,
        VLOOKUP(questions!$C$5, Lookup!$Q:$R, 2)
      )
    )
)</f>
        <v>130036.4833</v>
      </c>
      <c r="AB183" s="65">
        <f t="shared" si="13"/>
        <v>0</v>
      </c>
      <c r="AC183" s="66">
        <f t="array" ref="AC183">IFS(B183&lt;66, XLOOKUP(year(A183),Lookup!$K$13:$K1000,Lookup!$L$13:$L1000,"missing",,1),B183&gt;65,XLOOKUP(questions!$C$5,Lookup!$K$13:$K1000,Lookup!$L$13:$L1000,"missing",,1))</f>
        <v>184693.045</v>
      </c>
      <c r="AD183" s="66">
        <f t="array" ref="AD183">IFS(B183&lt;66, XLOOKUP(year(A183),Lookup!$K$13:$K1000,Lookup!$M$13:$M1000,"missing",,1),B183&gt;65, XLOOKUP(questions!$C$5,Lookup!$K$13:$K1000,Lookup!$M$13:$M1000,"missing",,1))</f>
        <v>369386.09</v>
      </c>
      <c r="AE183" s="66">
        <f t="array" ref="AE183">IFS(B183&lt;66, XLOOKUP(year(A183),Lookup!$K$13:$K1000,Lookup!$N$13:$N1000,"missing",,1),B183&gt;65,XLOOKUP(questions!$C$5,Lookup!$K$13:$K1000,Lookup!$N$13:$N1000,"missing",,1))</f>
        <v>738772.1801</v>
      </c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</row>
    <row r="184">
      <c r="A184" s="55">
        <f t="shared" si="7"/>
        <v>51621</v>
      </c>
      <c r="B184" s="56">
        <f>round(YEARFRAC(EOMONTH(questions!$C$3, 0),A184,1),2)</f>
        <v>42.41</v>
      </c>
      <c r="C184" s="57">
        <f>IF(B184&lt;questions!$C$6,if(MONTH(A184)=1,C183*(1+questions!$C$12),C183),0)</f>
        <v>15579.67417</v>
      </c>
      <c r="D184" s="58">
        <f>IF(MONTH(A184)=12,C184*questions!$C$11,0)</f>
        <v>0</v>
      </c>
      <c r="E184" s="59">
        <f t="shared" si="2"/>
        <v>8000</v>
      </c>
      <c r="F184" s="59">
        <f t="shared" si="3"/>
        <v>0</v>
      </c>
      <c r="G184" s="60">
        <f t="array" ref="G184">if(YEAR(A184)=2025,XLOOKUP(B184,Lookup!$A$3:$A$7,Lookup!$D$3:$D$7,,1)*SUM(E184:F184), XLOOKUP(B184,Lookup!$A$14:$A$18,Lookup!$D$14:$D$18,,1)*SUM(E184:F184))</f>
        <v>2960</v>
      </c>
      <c r="H184" s="60">
        <f t="array" ref="H184">if(YEAR(A184)=2025,XLOOKUP(B184,Lookup!$F$3:$F$10,Lookup!$G$3:$G$10,,1)*G184, XLOOKUP(B184,Lookup!$F$14:$F$21,Lookup!$G$14:$G$21,,1)*G184)</f>
        <v>1680.392</v>
      </c>
      <c r="I184" s="60">
        <f t="array" ref="I184">if(B184&lt;55, if(YEAR(A184)=2025,XLOOKUP(B184,Lookup!$F$3:$F$10,Lookup!$H$3:$H$10,,1)*G184, XLOOKUP(B184,Lookup!$F$14:$F$21,Lookup!$H$14:$H$21,,1)*G184),0)</f>
        <v>559.736</v>
      </c>
      <c r="J184" s="60">
        <f t="array" ref="J184">if(YEAR(A184)=2025,XLOOKUP(B184,Lookup!$F$3:$F$10,Lookup!$I$3:$I$10,,1)*G184, XLOOKUP(B184,Lookup!$F$14:$F$21,Lookup!$I$14:$I$21,,1)*G184)</f>
        <v>719.872</v>
      </c>
      <c r="K184" s="61">
        <f t="array" ref="K184">if(B184&gt;54, if(YEAR(A184)=2025,XLOOKUP(B184,Lookup!$F$3:$F$10,Lookup!$H$3:$H$10,,1)*G184, XLOOKUP(B184,Lookup!$F$14:$F$21,Lookup!$H$14:$H$21,,1)*G184),0)</f>
        <v>0</v>
      </c>
      <c r="L184" s="62">
        <f>IF(and(A184&lt;questions!$C$19,questions!$C$18="yes"),questions!$C$20,0)</f>
        <v>700</v>
      </c>
      <c r="M184" s="63">
        <f>(Y183+H184)*Lookup!A$26/12</f>
        <v>569.7331858</v>
      </c>
      <c r="N184" s="63">
        <f>if(B184&lt;55, (Z183+I184)*Lookup!B$26/12, (AB183+K184)*Lookup!B$26/12)</f>
        <v>617.150244</v>
      </c>
      <c r="O184" s="63">
        <f>(AA183+J184)*Lookup!C$26/12</f>
        <v>435.8545176</v>
      </c>
      <c r="P184" s="63">
        <f t="shared" si="8"/>
        <v>2266.677843</v>
      </c>
      <c r="Q184" s="63">
        <f t="shared" si="4"/>
        <v>2457.406256</v>
      </c>
      <c r="R184" s="63">
        <f t="shared" si="5"/>
        <v>1729.02063</v>
      </c>
      <c r="S184" s="64">
        <f t="shared" si="9"/>
        <v>16.66666667</v>
      </c>
      <c r="T184" s="64">
        <f t="shared" si="10"/>
        <v>33.33333333</v>
      </c>
      <c r="U184" s="64">
        <f t="shared" si="11"/>
        <v>0</v>
      </c>
      <c r="V184" s="64">
        <f t="shared" ref="V184:X184" si="192">IF(year($A184)=year($A183), V183+S184, S184)</f>
        <v>66.66666667</v>
      </c>
      <c r="W184" s="64">
        <f t="shared" si="192"/>
        <v>133.3333333</v>
      </c>
      <c r="X184" s="64">
        <f t="shared" si="192"/>
        <v>0</v>
      </c>
      <c r="Y184" s="65">
        <f>IFS(
  B184&lt;55,
    MAX(
      Y183 + IF(MONTH(A184)=12, P184+V184, 0) + H184 - L184
      + MAX(0,
          IF(AA183 &gt;= VLOOKUP(YEAR(A184), Lookup!$Q:$R, 2),
            Z183 + IF(MONTH(A184)=12, Q184+W184, 0) + I184
              + AA183 + IF(MONTH(A184)=12, R184+X184, 0)
              - VLOOKUP(YEAR(A184), Lookup!$Q:$R, 2) + J184,
            Z183 + IF(MONTH(A184)=12, Q184+W184, 0) + I184
          ) - VLOOKUP(YEAR(A184), Lookup!$K:$M, 3)
        ),
    0),
  B184=55,
    IF(Z183&gt;=AD184,
      MAX(Y183 + IF(MONTH(A184)=12, P184+V184, 0) + H184 - L184, 0),
      MAX(MAX(0, Y183-(AD184-Z183)) + IF(MONTH(A184)=12, P184+V184, 0) + H184 - L184, 0)
    ),
  B184&gt;55,
    IF(AB183&gt;=$AH$7,
      MAX(Y183 + IF(MONTH(A184)=12, P184+V184, 0) + H184 - L184 + K184 + Z183, 0),
      MAX(Y183 + IF(MONTH(A184)=12, P184+V184, 0) + H184 - L184, 0)
    )
)</f>
        <v>272771.9292</v>
      </c>
      <c r="Z184" s="65">
        <f>IFS(
  B184&lt;55,
    MIN(
      IF(AA183 &gt;= VLOOKUP(YEAR(A184), Lookup!$Q:$R, 2),
        Z183 + IF(MONTH(A184)=12, Q184+W184, 0) + I184
          + AA183 + IF(MONTH(A184)=12, R184+X184, 0) - VLOOKUP(YEAR(A184), Lookup!$Q:$R, 2) + J184,
        Z183 + IF(MONTH(A184)=12, Q184+W184, 0) + I184
      ),
      VLOOKUP(YEAR(A184), Lookup!$K:$M, 3)
    ),
  B184=55,
    IF(Z183 &gt;= AD184, Z183 - AD184, 0),
  B184&gt;55, 0
)</f>
        <v>185145.0732</v>
      </c>
      <c r="AA184" s="65">
        <f>IFS(
  B184&lt;65,
    IF(AA183+J184 &lt; VLOOKUP(YEAR(A184), Lookup!$Q:$R, 2),
      AA183 + IF(MONTH(A184)=12, R183+X183, 0) + J184,
      MIN(
        AA183 + IF(MONTH(A184)=12, R183+X183, 0) + J184 ,
        VLOOKUP(YEAR(A184), Lookup!$Q:$R, 2)
      )
    ),
  B184&gt;=65,
    IF(AA183+J184 &lt; VLOOKUP(questions!$C$5, Lookup!$Q:$R, 2),
      AA183 + IF(MONTH(A184)=12, R183+X183, 0) + J184 ,
      MIN(
        AA183 + IF(MONTH(A184)=12, R183+X183, 0) + J184,
        VLOOKUP(questions!$C$5, Lookup!$Q:$R, 2)
      )
    )
)</f>
        <v>130756.3553</v>
      </c>
      <c r="AB184" s="65">
        <f t="shared" si="13"/>
        <v>0</v>
      </c>
      <c r="AC184" s="66">
        <f t="array" ref="AC184">IFS(B184&lt;66, XLOOKUP(year(A184),Lookup!$K$13:$K1000,Lookup!$L$13:$L1000,"missing",,1),B184&gt;65,XLOOKUP(questions!$C$5,Lookup!$K$13:$K1000,Lookup!$L$13:$L1000,"missing",,1))</f>
        <v>184693.045</v>
      </c>
      <c r="AD184" s="66">
        <f t="array" ref="AD184">IFS(B184&lt;66, XLOOKUP(year(A184),Lookup!$K$13:$K1000,Lookup!$M$13:$M1000,"missing",,1),B184&gt;65, XLOOKUP(questions!$C$5,Lookup!$K$13:$K1000,Lookup!$M$13:$M1000,"missing",,1))</f>
        <v>369386.09</v>
      </c>
      <c r="AE184" s="66">
        <f t="array" ref="AE184">IFS(B184&lt;66, XLOOKUP(year(A184),Lookup!$K$13:$K1000,Lookup!$N$13:$N1000,"missing",,1),B184&gt;65,XLOOKUP(questions!$C$5,Lookup!$K$13:$K1000,Lookup!$N$13:$N1000,"missing",,1))</f>
        <v>738772.1801</v>
      </c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</row>
    <row r="185">
      <c r="A185" s="55">
        <f t="shared" si="7"/>
        <v>51652</v>
      </c>
      <c r="B185" s="56">
        <f>round(YEARFRAC(EOMONTH(questions!$C$3, 0),A185,1),2)</f>
        <v>42.5</v>
      </c>
      <c r="C185" s="57">
        <f>IF(B185&lt;questions!$C$6,if(MONTH(A185)=1,C184*(1+questions!$C$12),C184),0)</f>
        <v>15579.67417</v>
      </c>
      <c r="D185" s="58">
        <f>IF(MONTH(A185)=12,C185*questions!$C$11,0)</f>
        <v>0</v>
      </c>
      <c r="E185" s="59">
        <f t="shared" si="2"/>
        <v>8000</v>
      </c>
      <c r="F185" s="59">
        <f t="shared" si="3"/>
        <v>0</v>
      </c>
      <c r="G185" s="60">
        <f t="array" ref="G185">if(YEAR(A185)=2025,XLOOKUP(B185,Lookup!$A$3:$A$7,Lookup!$D$3:$D$7,,1)*SUM(E185:F185), XLOOKUP(B185,Lookup!$A$14:$A$18,Lookup!$D$14:$D$18,,1)*SUM(E185:F185))</f>
        <v>2960</v>
      </c>
      <c r="H185" s="60">
        <f t="array" ref="H185">if(YEAR(A185)=2025,XLOOKUP(B185,Lookup!$F$3:$F$10,Lookup!$G$3:$G$10,,1)*G185, XLOOKUP(B185,Lookup!$F$14:$F$21,Lookup!$G$14:$G$21,,1)*G185)</f>
        <v>1680.392</v>
      </c>
      <c r="I185" s="60">
        <f t="array" ref="I185">if(B185&lt;55, if(YEAR(A185)=2025,XLOOKUP(B185,Lookup!$F$3:$F$10,Lookup!$H$3:$H$10,,1)*G185, XLOOKUP(B185,Lookup!$F$14:$F$21,Lookup!$H$14:$H$21,,1)*G185),0)</f>
        <v>559.736</v>
      </c>
      <c r="J185" s="60">
        <f t="array" ref="J185">if(YEAR(A185)=2025,XLOOKUP(B185,Lookup!$F$3:$F$10,Lookup!$I$3:$I$10,,1)*G185, XLOOKUP(B185,Lookup!$F$14:$F$21,Lookup!$I$14:$I$21,,1)*G185)</f>
        <v>719.872</v>
      </c>
      <c r="K185" s="61">
        <f t="array" ref="K185">if(B185&gt;54, if(YEAR(A185)=2025,XLOOKUP(B185,Lookup!$F$3:$F$10,Lookup!$H$3:$H$10,,1)*G185, XLOOKUP(B185,Lookup!$F$14:$F$21,Lookup!$H$14:$H$21,,1)*G185),0)</f>
        <v>0</v>
      </c>
      <c r="L185" s="62">
        <f>IF(and(A185&lt;questions!$C$19,questions!$C$18="yes"),questions!$C$20,0)</f>
        <v>700</v>
      </c>
      <c r="M185" s="63">
        <f>(Y184+H185)*Lookup!A$26/12</f>
        <v>571.7756692</v>
      </c>
      <c r="N185" s="63">
        <f>if(B185&lt;55, (Z184+I185)*Lookup!B$26/12, (AB184+K185)*Lookup!B$26/12)</f>
        <v>619.0160307</v>
      </c>
      <c r="O185" s="63">
        <f>(AA184+J185)*Lookup!C$26/12</f>
        <v>438.2540909</v>
      </c>
      <c r="P185" s="63">
        <f t="shared" si="8"/>
        <v>2838.453513</v>
      </c>
      <c r="Q185" s="63">
        <f t="shared" si="4"/>
        <v>3076.422287</v>
      </c>
      <c r="R185" s="63">
        <f t="shared" si="5"/>
        <v>2167.274721</v>
      </c>
      <c r="S185" s="64">
        <f t="shared" si="9"/>
        <v>16.66666667</v>
      </c>
      <c r="T185" s="64">
        <f t="shared" si="10"/>
        <v>33.33333333</v>
      </c>
      <c r="U185" s="64">
        <f t="shared" si="11"/>
        <v>0</v>
      </c>
      <c r="V185" s="64">
        <f t="shared" ref="V185:X185" si="193">IF(year($A185)=year($A184), V184+S185, S185)</f>
        <v>83.33333333</v>
      </c>
      <c r="W185" s="64">
        <f t="shared" si="193"/>
        <v>166.6666667</v>
      </c>
      <c r="X185" s="64">
        <f t="shared" si="193"/>
        <v>0</v>
      </c>
      <c r="Y185" s="65">
        <f>IFS(
  B185&lt;55,
    MAX(
      Y184 + IF(MONTH(A185)=12, P185+V185, 0) + H185 - L185
      + MAX(0,
          IF(AA184 &gt;= VLOOKUP(YEAR(A185), Lookup!$Q:$R, 2),
            Z184 + IF(MONTH(A185)=12, Q185+W185, 0) + I185
              + AA184 + IF(MONTH(A185)=12, R185+X185, 0)
              - VLOOKUP(YEAR(A185), Lookup!$Q:$R, 2) + J185,
            Z184 + IF(MONTH(A185)=12, Q185+W185, 0) + I185
          ) - VLOOKUP(YEAR(A185), Lookup!$K:$M, 3)
        ),
    0),
  B185=55,
    IF(Z184&gt;=AD185,
      MAX(Y184 + IF(MONTH(A185)=12, P185+V185, 0) + H185 - L185, 0),
      MAX(MAX(0, Y184-(AD185-Z184)) + IF(MONTH(A185)=12, P185+V185, 0) + H185 - L185, 0)
    ),
  B185&gt;55,
    IF(AB184&gt;=$AH$7,
      MAX(Y184 + IF(MONTH(A185)=12, P185+V185, 0) + H185 - L185 + K185 + Z184, 0),
      MAX(Y184 + IF(MONTH(A185)=12, P185+V185, 0) + H185 - L185, 0)
    )
)</f>
        <v>273752.3212</v>
      </c>
      <c r="Z185" s="65">
        <f>IFS(
  B185&lt;55,
    MIN(
      IF(AA184 &gt;= VLOOKUP(YEAR(A185), Lookup!$Q:$R, 2),
        Z184 + IF(MONTH(A185)=12, Q185+W185, 0) + I185
          + AA184 + IF(MONTH(A185)=12, R185+X185, 0) - VLOOKUP(YEAR(A185), Lookup!$Q:$R, 2) + J185,
        Z184 + IF(MONTH(A185)=12, Q185+W185, 0) + I185
      ),
      VLOOKUP(YEAR(A185), Lookup!$K:$M, 3)
    ),
  B185=55,
    IF(Z184 &gt;= AD185, Z184 - AD185, 0),
  B185&gt;55, 0
)</f>
        <v>185704.8092</v>
      </c>
      <c r="AA185" s="65">
        <f>IFS(
  B185&lt;65,
    IF(AA184+J185 &lt; VLOOKUP(YEAR(A185), Lookup!$Q:$R, 2),
      AA184 + IF(MONTH(A185)=12, R184+X184, 0) + J185,
      MIN(
        AA184 + IF(MONTH(A185)=12, R184+X184, 0) + J185 ,
        VLOOKUP(YEAR(A185), Lookup!$Q:$R, 2)
      )
    ),
  B185&gt;=65,
    IF(AA184+J185 &lt; VLOOKUP(questions!$C$5, Lookup!$Q:$R, 2),
      AA184 + IF(MONTH(A185)=12, R184+X184, 0) + J185 ,
      MIN(
        AA184 + IF(MONTH(A185)=12, R184+X184, 0) + J185,
        VLOOKUP(questions!$C$5, Lookup!$Q:$R, 2)
      )
    )
)</f>
        <v>131476.2273</v>
      </c>
      <c r="AB185" s="65">
        <f t="shared" si="13"/>
        <v>0</v>
      </c>
      <c r="AC185" s="66">
        <f t="array" ref="AC185">IFS(B185&lt;66, XLOOKUP(year(A185),Lookup!$K$13:$K1000,Lookup!$L$13:$L1000,"missing",,1),B185&gt;65,XLOOKUP(questions!$C$5,Lookup!$K$13:$K1000,Lookup!$L$13:$L1000,"missing",,1))</f>
        <v>184693.045</v>
      </c>
      <c r="AD185" s="66">
        <f t="array" ref="AD185">IFS(B185&lt;66, XLOOKUP(year(A185),Lookup!$K$13:$K1000,Lookup!$M$13:$M1000,"missing",,1),B185&gt;65, XLOOKUP(questions!$C$5,Lookup!$K$13:$K1000,Lookup!$M$13:$M1000,"missing",,1))</f>
        <v>369386.09</v>
      </c>
      <c r="AE185" s="66">
        <f t="array" ref="AE185">IFS(B185&lt;66, XLOOKUP(year(A185),Lookup!$K$13:$K1000,Lookup!$N$13:$N1000,"missing",,1),B185&gt;65,XLOOKUP(questions!$C$5,Lookup!$K$13:$K1000,Lookup!$N$13:$N1000,"missing",,1))</f>
        <v>738772.1801</v>
      </c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</row>
    <row r="186">
      <c r="A186" s="55">
        <f t="shared" si="7"/>
        <v>51682</v>
      </c>
      <c r="B186" s="56">
        <f>round(YEARFRAC(EOMONTH(questions!$C$3, 0),A186,1),2)</f>
        <v>42.58</v>
      </c>
      <c r="C186" s="57">
        <f>IF(B186&lt;questions!$C$6,if(MONTH(A186)=1,C185*(1+questions!$C$12),C185),0)</f>
        <v>15579.67417</v>
      </c>
      <c r="D186" s="58">
        <f>IF(MONTH(A186)=12,C186*questions!$C$11,0)</f>
        <v>0</v>
      </c>
      <c r="E186" s="59">
        <f t="shared" si="2"/>
        <v>8000</v>
      </c>
      <c r="F186" s="59">
        <f t="shared" si="3"/>
        <v>0</v>
      </c>
      <c r="G186" s="60">
        <f t="array" ref="G186">if(YEAR(A186)=2025,XLOOKUP(B186,Lookup!$A$3:$A$7,Lookup!$D$3:$D$7,,1)*SUM(E186:F186), XLOOKUP(B186,Lookup!$A$14:$A$18,Lookup!$D$14:$D$18,,1)*SUM(E186:F186))</f>
        <v>2960</v>
      </c>
      <c r="H186" s="60">
        <f t="array" ref="H186">if(YEAR(A186)=2025,XLOOKUP(B186,Lookup!$F$3:$F$10,Lookup!$G$3:$G$10,,1)*G186, XLOOKUP(B186,Lookup!$F$14:$F$21,Lookup!$G$14:$G$21,,1)*G186)</f>
        <v>1680.392</v>
      </c>
      <c r="I186" s="60">
        <f t="array" ref="I186">if(B186&lt;55, if(YEAR(A186)=2025,XLOOKUP(B186,Lookup!$F$3:$F$10,Lookup!$H$3:$H$10,,1)*G186, XLOOKUP(B186,Lookup!$F$14:$F$21,Lookup!$H$14:$H$21,,1)*G186),0)</f>
        <v>559.736</v>
      </c>
      <c r="J186" s="60">
        <f t="array" ref="J186">if(YEAR(A186)=2025,XLOOKUP(B186,Lookup!$F$3:$F$10,Lookup!$I$3:$I$10,,1)*G186, XLOOKUP(B186,Lookup!$F$14:$F$21,Lookup!$I$14:$I$21,,1)*G186)</f>
        <v>719.872</v>
      </c>
      <c r="K186" s="61">
        <f t="array" ref="K186">if(B186&gt;54, if(YEAR(A186)=2025,XLOOKUP(B186,Lookup!$F$3:$F$10,Lookup!$H$3:$H$10,,1)*G186, XLOOKUP(B186,Lookup!$F$14:$F$21,Lookup!$H$14:$H$21,,1)*G186),0)</f>
        <v>0</v>
      </c>
      <c r="L186" s="62">
        <f>IF(and(A186&lt;questions!$C$19,questions!$C$18="yes"),questions!$C$20,0)</f>
        <v>700</v>
      </c>
      <c r="M186" s="63">
        <f>(Y185+H186)*Lookup!A$26/12</f>
        <v>573.8181525</v>
      </c>
      <c r="N186" s="63">
        <f>if(B186&lt;55, (Z185+I186)*Lookup!B$26/12, (AB185+K186)*Lookup!B$26/12)</f>
        <v>620.8818174</v>
      </c>
      <c r="O186" s="63">
        <f>(AA185+J186)*Lookup!C$26/12</f>
        <v>440.6536642</v>
      </c>
      <c r="P186" s="63">
        <f t="shared" si="8"/>
        <v>3412.271665</v>
      </c>
      <c r="Q186" s="63">
        <f t="shared" si="4"/>
        <v>3697.304104</v>
      </c>
      <c r="R186" s="63">
        <f t="shared" si="5"/>
        <v>2607.928385</v>
      </c>
      <c r="S186" s="64">
        <f t="shared" si="9"/>
        <v>16.66666667</v>
      </c>
      <c r="T186" s="64">
        <f t="shared" si="10"/>
        <v>33.33333333</v>
      </c>
      <c r="U186" s="64">
        <f t="shared" si="11"/>
        <v>0</v>
      </c>
      <c r="V186" s="64">
        <f t="shared" ref="V186:X186" si="194">IF(year($A186)=year($A185), V185+S186, S186)</f>
        <v>100</v>
      </c>
      <c r="W186" s="64">
        <f t="shared" si="194"/>
        <v>200</v>
      </c>
      <c r="X186" s="64">
        <f t="shared" si="194"/>
        <v>0</v>
      </c>
      <c r="Y186" s="65">
        <f>IFS(
  B186&lt;55,
    MAX(
      Y185 + IF(MONTH(A186)=12, P186+V186, 0) + H186 - L186
      + MAX(0,
          IF(AA185 &gt;= VLOOKUP(YEAR(A186), Lookup!$Q:$R, 2),
            Z185 + IF(MONTH(A186)=12, Q186+W186, 0) + I186
              + AA185 + IF(MONTH(A186)=12, R186+X186, 0)
              - VLOOKUP(YEAR(A186), Lookup!$Q:$R, 2) + J186,
            Z185 + IF(MONTH(A186)=12, Q186+W186, 0) + I186
          ) - VLOOKUP(YEAR(A186), Lookup!$K:$M, 3)
        ),
    0),
  B186=55,
    IF(Z185&gt;=AD186,
      MAX(Y185 + IF(MONTH(A186)=12, P186+V186, 0) + H186 - L186, 0),
      MAX(MAX(0, Y185-(AD186-Z185)) + IF(MONTH(A186)=12, P186+V186, 0) + H186 - L186, 0)
    ),
  B186&gt;55,
    IF(AB185&gt;=$AH$7,
      MAX(Y185 + IF(MONTH(A186)=12, P186+V186, 0) + H186 - L186 + K186 + Z185, 0),
      MAX(Y185 + IF(MONTH(A186)=12, P186+V186, 0) + H186 - L186, 0)
    )
)</f>
        <v>274732.7132</v>
      </c>
      <c r="Z186" s="65">
        <f>IFS(
  B186&lt;55,
    MIN(
      IF(AA185 &gt;= VLOOKUP(YEAR(A186), Lookup!$Q:$R, 2),
        Z185 + IF(MONTH(A186)=12, Q186+W186, 0) + I186
          + AA185 + IF(MONTH(A186)=12, R186+X186, 0) - VLOOKUP(YEAR(A186), Lookup!$Q:$R, 2) + J186,
        Z185 + IF(MONTH(A186)=12, Q186+W186, 0) + I186
      ),
      VLOOKUP(YEAR(A186), Lookup!$K:$M, 3)
    ),
  B186=55,
    IF(Z185 &gt;= AD186, Z185 - AD186, 0),
  B186&gt;55, 0
)</f>
        <v>186264.5452</v>
      </c>
      <c r="AA186" s="65">
        <f>IFS(
  B186&lt;65,
    IF(AA185+J186 &lt; VLOOKUP(YEAR(A186), Lookup!$Q:$R, 2),
      AA185 + IF(MONTH(A186)=12, R185+X185, 0) + J186,
      MIN(
        AA185 + IF(MONTH(A186)=12, R185+X185, 0) + J186 ,
        VLOOKUP(YEAR(A186), Lookup!$Q:$R, 2)
      )
    ),
  B186&gt;=65,
    IF(AA185+J186 &lt; VLOOKUP(questions!$C$5, Lookup!$Q:$R, 2),
      AA185 + IF(MONTH(A186)=12, R185+X185, 0) + J186 ,
      MIN(
        AA185 + IF(MONTH(A186)=12, R185+X185, 0) + J186,
        VLOOKUP(questions!$C$5, Lookup!$Q:$R, 2)
      )
    )
)</f>
        <v>132196.0993</v>
      </c>
      <c r="AB186" s="65">
        <f t="shared" si="13"/>
        <v>0</v>
      </c>
      <c r="AC186" s="66">
        <f t="array" ref="AC186">IFS(B186&lt;66, XLOOKUP(year(A186),Lookup!$K$13:$K1000,Lookup!$L$13:$L1000,"missing",,1),B186&gt;65,XLOOKUP(questions!$C$5,Lookup!$K$13:$K1000,Lookup!$L$13:$L1000,"missing",,1))</f>
        <v>184693.045</v>
      </c>
      <c r="AD186" s="66">
        <f t="array" ref="AD186">IFS(B186&lt;66, XLOOKUP(year(A186),Lookup!$K$13:$K1000,Lookup!$M$13:$M1000,"missing",,1),B186&gt;65, XLOOKUP(questions!$C$5,Lookup!$K$13:$K1000,Lookup!$M$13:$M1000,"missing",,1))</f>
        <v>369386.09</v>
      </c>
      <c r="AE186" s="66">
        <f t="array" ref="AE186">IFS(B186&lt;66, XLOOKUP(year(A186),Lookup!$K$13:$K1000,Lookup!$N$13:$N1000,"missing",,1),B186&gt;65,XLOOKUP(questions!$C$5,Lookup!$K$13:$K1000,Lookup!$N$13:$N1000,"missing",,1))</f>
        <v>738772.1801</v>
      </c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</row>
    <row r="187">
      <c r="A187" s="55">
        <f t="shared" si="7"/>
        <v>51713</v>
      </c>
      <c r="B187" s="56">
        <f>round(YEARFRAC(EOMONTH(questions!$C$3, 0),A187,1),2)</f>
        <v>42.67</v>
      </c>
      <c r="C187" s="57">
        <f>IF(B187&lt;questions!$C$6,if(MONTH(A187)=1,C186*(1+questions!$C$12),C186),0)</f>
        <v>15579.67417</v>
      </c>
      <c r="D187" s="58">
        <f>IF(MONTH(A187)=12,C187*questions!$C$11,0)</f>
        <v>0</v>
      </c>
      <c r="E187" s="59">
        <f t="shared" si="2"/>
        <v>8000</v>
      </c>
      <c r="F187" s="59">
        <f t="shared" si="3"/>
        <v>0</v>
      </c>
      <c r="G187" s="60">
        <f t="array" ref="G187">if(YEAR(A187)=2025,XLOOKUP(B187,Lookup!$A$3:$A$7,Lookup!$D$3:$D$7,,1)*SUM(E187:F187), XLOOKUP(B187,Lookup!$A$14:$A$18,Lookup!$D$14:$D$18,,1)*SUM(E187:F187))</f>
        <v>2960</v>
      </c>
      <c r="H187" s="60">
        <f t="array" ref="H187">if(YEAR(A187)=2025,XLOOKUP(B187,Lookup!$F$3:$F$10,Lookup!$G$3:$G$10,,1)*G187, XLOOKUP(B187,Lookup!$F$14:$F$21,Lookup!$G$14:$G$21,,1)*G187)</f>
        <v>1680.392</v>
      </c>
      <c r="I187" s="60">
        <f t="array" ref="I187">if(B187&lt;55, if(YEAR(A187)=2025,XLOOKUP(B187,Lookup!$F$3:$F$10,Lookup!$H$3:$H$10,,1)*G187, XLOOKUP(B187,Lookup!$F$14:$F$21,Lookup!$H$14:$H$21,,1)*G187),0)</f>
        <v>559.736</v>
      </c>
      <c r="J187" s="60">
        <f t="array" ref="J187">if(YEAR(A187)=2025,XLOOKUP(B187,Lookup!$F$3:$F$10,Lookup!$I$3:$I$10,,1)*G187, XLOOKUP(B187,Lookup!$F$14:$F$21,Lookup!$I$14:$I$21,,1)*G187)</f>
        <v>719.872</v>
      </c>
      <c r="K187" s="61">
        <f t="array" ref="K187">if(B187&gt;54, if(YEAR(A187)=2025,XLOOKUP(B187,Lookup!$F$3:$F$10,Lookup!$H$3:$H$10,,1)*G187, XLOOKUP(B187,Lookup!$F$14:$F$21,Lookup!$H$14:$H$21,,1)*G187),0)</f>
        <v>0</v>
      </c>
      <c r="L187" s="62">
        <f>IF(and(A187&lt;questions!$C$19,questions!$C$18="yes"),questions!$C$20,0)</f>
        <v>700</v>
      </c>
      <c r="M187" s="63">
        <f>(Y186+H187)*Lookup!A$26/12</f>
        <v>575.8606358</v>
      </c>
      <c r="N187" s="63">
        <f>if(B187&lt;55, (Z186+I187)*Lookup!B$26/12, (AB186+K187)*Lookup!B$26/12)</f>
        <v>622.747604</v>
      </c>
      <c r="O187" s="63">
        <f>(AA186+J187)*Lookup!C$26/12</f>
        <v>443.0532376</v>
      </c>
      <c r="P187" s="63">
        <f t="shared" si="8"/>
        <v>3988.132301</v>
      </c>
      <c r="Q187" s="63">
        <f t="shared" si="4"/>
        <v>4320.051708</v>
      </c>
      <c r="R187" s="63">
        <f t="shared" si="5"/>
        <v>3050.981623</v>
      </c>
      <c r="S187" s="64">
        <f t="shared" si="9"/>
        <v>16.66666667</v>
      </c>
      <c r="T187" s="64">
        <f t="shared" si="10"/>
        <v>33.33333333</v>
      </c>
      <c r="U187" s="64">
        <f t="shared" si="11"/>
        <v>0</v>
      </c>
      <c r="V187" s="64">
        <f t="shared" ref="V187:X187" si="195">IF(year($A187)=year($A186), V186+S187, S187)</f>
        <v>116.6666667</v>
      </c>
      <c r="W187" s="64">
        <f t="shared" si="195"/>
        <v>233.3333333</v>
      </c>
      <c r="X187" s="64">
        <f t="shared" si="195"/>
        <v>0</v>
      </c>
      <c r="Y187" s="65">
        <f>IFS(
  B187&lt;55,
    MAX(
      Y186 + IF(MONTH(A187)=12, P187+V187, 0) + H187 - L187
      + MAX(0,
          IF(AA186 &gt;= VLOOKUP(YEAR(A187), Lookup!$Q:$R, 2),
            Z186 + IF(MONTH(A187)=12, Q187+W187, 0) + I187
              + AA186 + IF(MONTH(A187)=12, R187+X187, 0)
              - VLOOKUP(YEAR(A187), Lookup!$Q:$R, 2) + J187,
            Z186 + IF(MONTH(A187)=12, Q187+W187, 0) + I187
          ) - VLOOKUP(YEAR(A187), Lookup!$K:$M, 3)
        ),
    0),
  B187=55,
    IF(Z186&gt;=AD187,
      MAX(Y186 + IF(MONTH(A187)=12, P187+V187, 0) + H187 - L187, 0),
      MAX(MAX(0, Y186-(AD187-Z186)) + IF(MONTH(A187)=12, P187+V187, 0) + H187 - L187, 0)
    ),
  B187&gt;55,
    IF(AB186&gt;=$AH$7,
      MAX(Y186 + IF(MONTH(A187)=12, P187+V187, 0) + H187 - L187 + K187 + Z186, 0),
      MAX(Y186 + IF(MONTH(A187)=12, P187+V187, 0) + H187 - L187, 0)
    )
)</f>
        <v>275713.1052</v>
      </c>
      <c r="Z187" s="65">
        <f>IFS(
  B187&lt;55,
    MIN(
      IF(AA186 &gt;= VLOOKUP(YEAR(A187), Lookup!$Q:$R, 2),
        Z186 + IF(MONTH(A187)=12, Q187+W187, 0) + I187
          + AA186 + IF(MONTH(A187)=12, R187+X187, 0) - VLOOKUP(YEAR(A187), Lookup!$Q:$R, 2) + J187,
        Z186 + IF(MONTH(A187)=12, Q187+W187, 0) + I187
      ),
      VLOOKUP(YEAR(A187), Lookup!$K:$M, 3)
    ),
  B187=55,
    IF(Z186 &gt;= AD187, Z186 - AD187, 0),
  B187&gt;55, 0
)</f>
        <v>186824.2812</v>
      </c>
      <c r="AA187" s="65">
        <f>IFS(
  B187&lt;65,
    IF(AA186+J187 &lt; VLOOKUP(YEAR(A187), Lookup!$Q:$R, 2),
      AA186 + IF(MONTH(A187)=12, R186+X186, 0) + J187,
      MIN(
        AA186 + IF(MONTH(A187)=12, R186+X186, 0) + J187 ,
        VLOOKUP(YEAR(A187), Lookup!$Q:$R, 2)
      )
    ),
  B187&gt;=65,
    IF(AA186+J187 &lt; VLOOKUP(questions!$C$5, Lookup!$Q:$R, 2),
      AA186 + IF(MONTH(A187)=12, R186+X186, 0) + J187 ,
      MIN(
        AA186 + IF(MONTH(A187)=12, R186+X186, 0) + J187,
        VLOOKUP(questions!$C$5, Lookup!$Q:$R, 2)
      )
    )
)</f>
        <v>132352.5576</v>
      </c>
      <c r="AB187" s="65">
        <f t="shared" si="13"/>
        <v>0</v>
      </c>
      <c r="AC187" s="66">
        <f t="array" ref="AC187">IFS(B187&lt;66, XLOOKUP(year(A187),Lookup!$K$13:$K1000,Lookup!$L$13:$L1000,"missing",,1),B187&gt;65,XLOOKUP(questions!$C$5,Lookup!$K$13:$K1000,Lookup!$L$13:$L1000,"missing",,1))</f>
        <v>184693.045</v>
      </c>
      <c r="AD187" s="66">
        <f t="array" ref="AD187">IFS(B187&lt;66, XLOOKUP(year(A187),Lookup!$K$13:$K1000,Lookup!$M$13:$M1000,"missing",,1),B187&gt;65, XLOOKUP(questions!$C$5,Lookup!$K$13:$K1000,Lookup!$M$13:$M1000,"missing",,1))</f>
        <v>369386.09</v>
      </c>
      <c r="AE187" s="66">
        <f t="array" ref="AE187">IFS(B187&lt;66, XLOOKUP(year(A187),Lookup!$K$13:$K1000,Lookup!$N$13:$N1000,"missing",,1),B187&gt;65,XLOOKUP(questions!$C$5,Lookup!$K$13:$K1000,Lookup!$N$13:$N1000,"missing",,1))</f>
        <v>738772.1801</v>
      </c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</row>
    <row r="188">
      <c r="A188" s="55">
        <f t="shared" si="7"/>
        <v>51744</v>
      </c>
      <c r="B188" s="56">
        <f>round(YEARFRAC(EOMONTH(questions!$C$3, 0),A188,1),2)</f>
        <v>42.75</v>
      </c>
      <c r="C188" s="57">
        <f>IF(B188&lt;questions!$C$6,if(MONTH(A188)=1,C187*(1+questions!$C$12),C187),0)</f>
        <v>15579.67417</v>
      </c>
      <c r="D188" s="58">
        <f>IF(MONTH(A188)=12,C188*questions!$C$11,0)</f>
        <v>0</v>
      </c>
      <c r="E188" s="59">
        <f t="shared" si="2"/>
        <v>8000</v>
      </c>
      <c r="F188" s="59">
        <f t="shared" si="3"/>
        <v>0</v>
      </c>
      <c r="G188" s="60">
        <f t="array" ref="G188">if(YEAR(A188)=2025,XLOOKUP(B188,Lookup!$A$3:$A$7,Lookup!$D$3:$D$7,,1)*SUM(E188:F188), XLOOKUP(B188,Lookup!$A$14:$A$18,Lookup!$D$14:$D$18,,1)*SUM(E188:F188))</f>
        <v>2960</v>
      </c>
      <c r="H188" s="60">
        <f t="array" ref="H188">if(YEAR(A188)=2025,XLOOKUP(B188,Lookup!$F$3:$F$10,Lookup!$G$3:$G$10,,1)*G188, XLOOKUP(B188,Lookup!$F$14:$F$21,Lookup!$G$14:$G$21,,1)*G188)</f>
        <v>1680.392</v>
      </c>
      <c r="I188" s="60">
        <f t="array" ref="I188">if(B188&lt;55, if(YEAR(A188)=2025,XLOOKUP(B188,Lookup!$F$3:$F$10,Lookup!$H$3:$H$10,,1)*G188, XLOOKUP(B188,Lookup!$F$14:$F$21,Lookup!$H$14:$H$21,,1)*G188),0)</f>
        <v>559.736</v>
      </c>
      <c r="J188" s="60">
        <f t="array" ref="J188">if(YEAR(A188)=2025,XLOOKUP(B188,Lookup!$F$3:$F$10,Lookup!$I$3:$I$10,,1)*G188, XLOOKUP(B188,Lookup!$F$14:$F$21,Lookup!$I$14:$I$21,,1)*G188)</f>
        <v>719.872</v>
      </c>
      <c r="K188" s="61">
        <f t="array" ref="K188">if(B188&gt;54, if(YEAR(A188)=2025,XLOOKUP(B188,Lookup!$F$3:$F$10,Lookup!$H$3:$H$10,,1)*G188, XLOOKUP(B188,Lookup!$F$14:$F$21,Lookup!$H$14:$H$21,,1)*G188),0)</f>
        <v>0</v>
      </c>
      <c r="L188" s="62">
        <f>IF(and(A188&lt;questions!$C$19,questions!$C$18="yes"),questions!$C$20,0)</f>
        <v>700</v>
      </c>
      <c r="M188" s="63">
        <f>(Y187+H188)*Lookup!A$26/12</f>
        <v>577.9031192</v>
      </c>
      <c r="N188" s="63">
        <f>if(B188&lt;55, (Z187+I188)*Lookup!B$26/12, (AB187+K188)*Lookup!B$26/12)</f>
        <v>624.6133907</v>
      </c>
      <c r="O188" s="63">
        <f>(AA187+J188)*Lookup!C$26/12</f>
        <v>443.5747654</v>
      </c>
      <c r="P188" s="63">
        <f t="shared" si="8"/>
        <v>4566.03542</v>
      </c>
      <c r="Q188" s="63">
        <f t="shared" si="4"/>
        <v>4944.665099</v>
      </c>
      <c r="R188" s="63">
        <f t="shared" si="5"/>
        <v>3494.556389</v>
      </c>
      <c r="S188" s="64">
        <f t="shared" si="9"/>
        <v>16.66666667</v>
      </c>
      <c r="T188" s="64">
        <f t="shared" si="10"/>
        <v>33.33333333</v>
      </c>
      <c r="U188" s="64">
        <f t="shared" si="11"/>
        <v>0</v>
      </c>
      <c r="V188" s="64">
        <f t="shared" ref="V188:X188" si="196">IF(year($A188)=year($A187), V187+S188, S188)</f>
        <v>133.3333333</v>
      </c>
      <c r="W188" s="64">
        <f t="shared" si="196"/>
        <v>266.6666667</v>
      </c>
      <c r="X188" s="64">
        <f t="shared" si="196"/>
        <v>0</v>
      </c>
      <c r="Y188" s="65">
        <f>IFS(
  B188&lt;55,
    MAX(
      Y187 + IF(MONTH(A188)=12, P188+V188, 0) + H188 - L188
      + MAX(0,
          IF(AA187 &gt;= VLOOKUP(YEAR(A188), Lookup!$Q:$R, 2),
            Z187 + IF(MONTH(A188)=12, Q188+W188, 0) + I188
              + AA187 + IF(MONTH(A188)=12, R188+X188, 0)
              - VLOOKUP(YEAR(A188), Lookup!$Q:$R, 2) + J188,
            Z187 + IF(MONTH(A188)=12, Q188+W188, 0) + I188
          ) - VLOOKUP(YEAR(A188), Lookup!$K:$M, 3)
        ),
    0),
  B188=55,
    IF(Z187&gt;=AD188,
      MAX(Y187 + IF(MONTH(A188)=12, P188+V188, 0) + H188 - L188, 0),
      MAX(MAX(0, Y187-(AD188-Z187)) + IF(MONTH(A188)=12, P188+V188, 0) + H188 - L188, 0)
    ),
  B188&gt;55,
    IF(AB187&gt;=$AH$7,
      MAX(Y187 + IF(MONTH(A188)=12, P188+V188, 0) + H188 - L188 + K188 + Z187, 0),
      MAX(Y187 + IF(MONTH(A188)=12, P188+V188, 0) + H188 - L188, 0)
    )
)</f>
        <v>276693.4972</v>
      </c>
      <c r="Z188" s="65">
        <f>IFS(
  B188&lt;55,
    MIN(
      IF(AA187 &gt;= VLOOKUP(YEAR(A188), Lookup!$Q:$R, 2),
        Z187 + IF(MONTH(A188)=12, Q188+W188, 0) + I188
          + AA187 + IF(MONTH(A188)=12, R188+X188, 0) - VLOOKUP(YEAR(A188), Lookup!$Q:$R, 2) + J188,
        Z187 + IF(MONTH(A188)=12, Q188+W188, 0) + I188
      ),
      VLOOKUP(YEAR(A188), Lookup!$K:$M, 3)
    ),
  B188=55,
    IF(Z187 &gt;= AD188, Z187 - AD188, 0),
  B188&gt;55, 0
)</f>
        <v>188103.8892</v>
      </c>
      <c r="AA188" s="65">
        <f>IFS(
  B188&lt;65,
    IF(AA187+J188 &lt; VLOOKUP(YEAR(A188), Lookup!$Q:$R, 2),
      AA187 + IF(MONTH(A188)=12, R187+X187, 0) + J188,
      MIN(
        AA187 + IF(MONTH(A188)=12, R187+X187, 0) + J188 ,
        VLOOKUP(YEAR(A188), Lookup!$Q:$R, 2)
      )
    ),
  B188&gt;=65,
    IF(AA187+J188 &lt; VLOOKUP(questions!$C$5, Lookup!$Q:$R, 2),
      AA187 + IF(MONTH(A188)=12, R187+X187, 0) + J188 ,
      MIN(
        AA187 + IF(MONTH(A188)=12, R187+X187, 0) + J188,
        VLOOKUP(questions!$C$5, Lookup!$Q:$R, 2)
      )
    )
)</f>
        <v>132352.5576</v>
      </c>
      <c r="AB188" s="65">
        <f t="shared" si="13"/>
        <v>0</v>
      </c>
      <c r="AC188" s="66">
        <f t="array" ref="AC188">IFS(B188&lt;66, XLOOKUP(year(A188),Lookup!$K$13:$K1000,Lookup!$L$13:$L1000,"missing",,1),B188&gt;65,XLOOKUP(questions!$C$5,Lookup!$K$13:$K1000,Lookup!$L$13:$L1000,"missing",,1))</f>
        <v>184693.045</v>
      </c>
      <c r="AD188" s="66">
        <f t="array" ref="AD188">IFS(B188&lt;66, XLOOKUP(year(A188),Lookup!$K$13:$K1000,Lookup!$M$13:$M1000,"missing",,1),B188&gt;65, XLOOKUP(questions!$C$5,Lookup!$K$13:$K1000,Lookup!$M$13:$M1000,"missing",,1))</f>
        <v>369386.09</v>
      </c>
      <c r="AE188" s="66">
        <f t="array" ref="AE188">IFS(B188&lt;66, XLOOKUP(year(A188),Lookup!$K$13:$K1000,Lookup!$N$13:$N1000,"missing",,1),B188&gt;65,XLOOKUP(questions!$C$5,Lookup!$K$13:$K1000,Lookup!$N$13:$N1000,"missing",,1))</f>
        <v>738772.1801</v>
      </c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</row>
    <row r="189">
      <c r="A189" s="55">
        <f t="shared" si="7"/>
        <v>51774</v>
      </c>
      <c r="B189" s="56">
        <f>round(YEARFRAC(EOMONTH(questions!$C$3, 0),A189,1),2)</f>
        <v>42.83</v>
      </c>
      <c r="C189" s="57">
        <f>IF(B189&lt;questions!$C$6,if(MONTH(A189)=1,C188*(1+questions!$C$12),C188),0)</f>
        <v>15579.67417</v>
      </c>
      <c r="D189" s="58">
        <f>IF(MONTH(A189)=12,C189*questions!$C$11,0)</f>
        <v>0</v>
      </c>
      <c r="E189" s="59">
        <f t="shared" si="2"/>
        <v>8000</v>
      </c>
      <c r="F189" s="59">
        <f t="shared" si="3"/>
        <v>0</v>
      </c>
      <c r="G189" s="60">
        <f t="array" ref="G189">if(YEAR(A189)=2025,XLOOKUP(B189,Lookup!$A$3:$A$7,Lookup!$D$3:$D$7,,1)*SUM(E189:F189), XLOOKUP(B189,Lookup!$A$14:$A$18,Lookup!$D$14:$D$18,,1)*SUM(E189:F189))</f>
        <v>2960</v>
      </c>
      <c r="H189" s="60">
        <f t="array" ref="H189">if(YEAR(A189)=2025,XLOOKUP(B189,Lookup!$F$3:$F$10,Lookup!$G$3:$G$10,,1)*G189, XLOOKUP(B189,Lookup!$F$14:$F$21,Lookup!$G$14:$G$21,,1)*G189)</f>
        <v>1680.392</v>
      </c>
      <c r="I189" s="60">
        <f t="array" ref="I189">if(B189&lt;55, if(YEAR(A189)=2025,XLOOKUP(B189,Lookup!$F$3:$F$10,Lookup!$H$3:$H$10,,1)*G189, XLOOKUP(B189,Lookup!$F$14:$F$21,Lookup!$H$14:$H$21,,1)*G189),0)</f>
        <v>559.736</v>
      </c>
      <c r="J189" s="60">
        <f t="array" ref="J189">if(YEAR(A189)=2025,XLOOKUP(B189,Lookup!$F$3:$F$10,Lookup!$I$3:$I$10,,1)*G189, XLOOKUP(B189,Lookup!$F$14:$F$21,Lookup!$I$14:$I$21,,1)*G189)</f>
        <v>719.872</v>
      </c>
      <c r="K189" s="61">
        <f t="array" ref="K189">if(B189&gt;54, if(YEAR(A189)=2025,XLOOKUP(B189,Lookup!$F$3:$F$10,Lookup!$H$3:$H$10,,1)*G189, XLOOKUP(B189,Lookup!$F$14:$F$21,Lookup!$H$14:$H$21,,1)*G189),0)</f>
        <v>0</v>
      </c>
      <c r="L189" s="62">
        <f>IF(and(A189&lt;questions!$C$19,questions!$C$18="yes"),questions!$C$20,0)</f>
        <v>700</v>
      </c>
      <c r="M189" s="63">
        <f>(Y188+H189)*Lookup!A$26/12</f>
        <v>579.9456025</v>
      </c>
      <c r="N189" s="63">
        <f>if(B189&lt;55, (Z188+I189)*Lookup!B$26/12, (AB188+K189)*Lookup!B$26/12)</f>
        <v>628.8787507</v>
      </c>
      <c r="O189" s="63">
        <f>(AA188+J189)*Lookup!C$26/12</f>
        <v>443.5747654</v>
      </c>
      <c r="P189" s="63">
        <f t="shared" si="8"/>
        <v>5145.981023</v>
      </c>
      <c r="Q189" s="63">
        <f t="shared" si="4"/>
        <v>5573.54385</v>
      </c>
      <c r="R189" s="63">
        <f t="shared" si="5"/>
        <v>3938.131154</v>
      </c>
      <c r="S189" s="64">
        <f t="shared" si="9"/>
        <v>16.66666667</v>
      </c>
      <c r="T189" s="64">
        <f t="shared" si="10"/>
        <v>33.33333333</v>
      </c>
      <c r="U189" s="64">
        <f t="shared" si="11"/>
        <v>0</v>
      </c>
      <c r="V189" s="64">
        <f t="shared" ref="V189:X189" si="197">IF(year($A189)=year($A188), V188+S189, S189)</f>
        <v>150</v>
      </c>
      <c r="W189" s="64">
        <f t="shared" si="197"/>
        <v>300</v>
      </c>
      <c r="X189" s="64">
        <f t="shared" si="197"/>
        <v>0</v>
      </c>
      <c r="Y189" s="65">
        <f>IFS(
  B189&lt;55,
    MAX(
      Y188 + IF(MONTH(A189)=12, P189+V189, 0) + H189 - L189
      + MAX(0,
          IF(AA188 &gt;= VLOOKUP(YEAR(A189), Lookup!$Q:$R, 2),
            Z188 + IF(MONTH(A189)=12, Q189+W189, 0) + I189
              + AA188 + IF(MONTH(A189)=12, R189+X189, 0)
              - VLOOKUP(YEAR(A189), Lookup!$Q:$R, 2) + J189,
            Z188 + IF(MONTH(A189)=12, Q189+W189, 0) + I189
          ) - VLOOKUP(YEAR(A189), Lookup!$K:$M, 3)
        ),
    0),
  B189=55,
    IF(Z188&gt;=AD189,
      MAX(Y188 + IF(MONTH(A189)=12, P189+V189, 0) + H189 - L189, 0),
      MAX(MAX(0, Y188-(AD189-Z188)) + IF(MONTH(A189)=12, P189+V189, 0) + H189 - L189, 0)
    ),
  B189&gt;55,
    IF(AB188&gt;=$AH$7,
      MAX(Y188 + IF(MONTH(A189)=12, P189+V189, 0) + H189 - L189 + K189 + Z188, 0),
      MAX(Y188 + IF(MONTH(A189)=12, P189+V189, 0) + H189 - L189, 0)
    )
)</f>
        <v>277673.8892</v>
      </c>
      <c r="Z189" s="65">
        <f>IFS(
  B189&lt;55,
    MIN(
      IF(AA188 &gt;= VLOOKUP(YEAR(A189), Lookup!$Q:$R, 2),
        Z188 + IF(MONTH(A189)=12, Q189+W189, 0) + I189
          + AA188 + IF(MONTH(A189)=12, R189+X189, 0) - VLOOKUP(YEAR(A189), Lookup!$Q:$R, 2) + J189,
        Z188 + IF(MONTH(A189)=12, Q189+W189, 0) + I189
      ),
      VLOOKUP(YEAR(A189), Lookup!$K:$M, 3)
    ),
  B189=55,
    IF(Z188 &gt;= AD189, Z188 - AD189, 0),
  B189&gt;55, 0
)</f>
        <v>189383.4972</v>
      </c>
      <c r="AA189" s="65">
        <f>IFS(
  B189&lt;65,
    IF(AA188+J189 &lt; VLOOKUP(YEAR(A189), Lookup!$Q:$R, 2),
      AA188 + IF(MONTH(A189)=12, R188+X188, 0) + J189,
      MIN(
        AA188 + IF(MONTH(A189)=12, R188+X188, 0) + J189 ,
        VLOOKUP(YEAR(A189), Lookup!$Q:$R, 2)
      )
    ),
  B189&gt;=65,
    IF(AA188+J189 &lt; VLOOKUP(questions!$C$5, Lookup!$Q:$R, 2),
      AA188 + IF(MONTH(A189)=12, R188+X188, 0) + J189 ,
      MIN(
        AA188 + IF(MONTH(A189)=12, R188+X188, 0) + J189,
        VLOOKUP(questions!$C$5, Lookup!$Q:$R, 2)
      )
    )
)</f>
        <v>132352.5576</v>
      </c>
      <c r="AB189" s="65">
        <f t="shared" si="13"/>
        <v>0</v>
      </c>
      <c r="AC189" s="66">
        <f t="array" ref="AC189">IFS(B189&lt;66, XLOOKUP(year(A189),Lookup!$K$13:$K1000,Lookup!$L$13:$L1000,"missing",,1),B189&gt;65,XLOOKUP(questions!$C$5,Lookup!$K$13:$K1000,Lookup!$L$13:$L1000,"missing",,1))</f>
        <v>184693.045</v>
      </c>
      <c r="AD189" s="66">
        <f t="array" ref="AD189">IFS(B189&lt;66, XLOOKUP(year(A189),Lookup!$K$13:$K1000,Lookup!$M$13:$M1000,"missing",,1),B189&gt;65, XLOOKUP(questions!$C$5,Lookup!$K$13:$K1000,Lookup!$M$13:$M1000,"missing",,1))</f>
        <v>369386.09</v>
      </c>
      <c r="AE189" s="66">
        <f t="array" ref="AE189">IFS(B189&lt;66, XLOOKUP(year(A189),Lookup!$K$13:$K1000,Lookup!$N$13:$N1000,"missing",,1),B189&gt;65,XLOOKUP(questions!$C$5,Lookup!$K$13:$K1000,Lookup!$N$13:$N1000,"missing",,1))</f>
        <v>738772.1801</v>
      </c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</row>
    <row r="190">
      <c r="A190" s="55">
        <f t="shared" si="7"/>
        <v>51805</v>
      </c>
      <c r="B190" s="56">
        <f>round(YEARFRAC(EOMONTH(questions!$C$3, 0),A190,1),2)</f>
        <v>42.92</v>
      </c>
      <c r="C190" s="57">
        <f>IF(B190&lt;questions!$C$6,if(MONTH(A190)=1,C189*(1+questions!$C$12),C189),0)</f>
        <v>15579.67417</v>
      </c>
      <c r="D190" s="58">
        <f>IF(MONTH(A190)=12,C190*questions!$C$11,0)</f>
        <v>0</v>
      </c>
      <c r="E190" s="59">
        <f t="shared" si="2"/>
        <v>8000</v>
      </c>
      <c r="F190" s="59">
        <f t="shared" si="3"/>
        <v>0</v>
      </c>
      <c r="G190" s="60">
        <f t="array" ref="G190">if(YEAR(A190)=2025,XLOOKUP(B190,Lookup!$A$3:$A$7,Lookup!$D$3:$D$7,,1)*SUM(E190:F190), XLOOKUP(B190,Lookup!$A$14:$A$18,Lookup!$D$14:$D$18,,1)*SUM(E190:F190))</f>
        <v>2960</v>
      </c>
      <c r="H190" s="60">
        <f t="array" ref="H190">if(YEAR(A190)=2025,XLOOKUP(B190,Lookup!$F$3:$F$10,Lookup!$G$3:$G$10,,1)*G190, XLOOKUP(B190,Lookup!$F$14:$F$21,Lookup!$G$14:$G$21,,1)*G190)</f>
        <v>1680.392</v>
      </c>
      <c r="I190" s="60">
        <f t="array" ref="I190">if(B190&lt;55, if(YEAR(A190)=2025,XLOOKUP(B190,Lookup!$F$3:$F$10,Lookup!$H$3:$H$10,,1)*G190, XLOOKUP(B190,Lookup!$F$14:$F$21,Lookup!$H$14:$H$21,,1)*G190),0)</f>
        <v>559.736</v>
      </c>
      <c r="J190" s="60">
        <f t="array" ref="J190">if(YEAR(A190)=2025,XLOOKUP(B190,Lookup!$F$3:$F$10,Lookup!$I$3:$I$10,,1)*G190, XLOOKUP(B190,Lookup!$F$14:$F$21,Lookup!$I$14:$I$21,,1)*G190)</f>
        <v>719.872</v>
      </c>
      <c r="K190" s="61">
        <f t="array" ref="K190">if(B190&gt;54, if(YEAR(A190)=2025,XLOOKUP(B190,Lookup!$F$3:$F$10,Lookup!$H$3:$H$10,,1)*G190, XLOOKUP(B190,Lookup!$F$14:$F$21,Lookup!$H$14:$H$21,,1)*G190),0)</f>
        <v>0</v>
      </c>
      <c r="L190" s="62">
        <f>IF(and(A190&lt;questions!$C$19,questions!$C$18="yes"),questions!$C$20,0)</f>
        <v>700</v>
      </c>
      <c r="M190" s="63">
        <f>(Y189+H190)*Lookup!A$26/12</f>
        <v>581.9880858</v>
      </c>
      <c r="N190" s="63">
        <f>if(B190&lt;55, (Z189+I190)*Lookup!B$26/12, (AB189+K190)*Lookup!B$26/12)</f>
        <v>633.1441107</v>
      </c>
      <c r="O190" s="63">
        <f>(AA189+J190)*Lookup!C$26/12</f>
        <v>443.5747654</v>
      </c>
      <c r="P190" s="63">
        <f t="shared" si="8"/>
        <v>5727.969108</v>
      </c>
      <c r="Q190" s="63">
        <f t="shared" si="4"/>
        <v>6206.68796</v>
      </c>
      <c r="R190" s="63">
        <f t="shared" si="5"/>
        <v>4381.705919</v>
      </c>
      <c r="S190" s="64">
        <f t="shared" si="9"/>
        <v>16.66666667</v>
      </c>
      <c r="T190" s="64">
        <f t="shared" si="10"/>
        <v>33.33333333</v>
      </c>
      <c r="U190" s="64">
        <f t="shared" si="11"/>
        <v>0</v>
      </c>
      <c r="V190" s="64">
        <f t="shared" ref="V190:X190" si="198">IF(year($A190)=year($A189), V189+S190, S190)</f>
        <v>166.6666667</v>
      </c>
      <c r="W190" s="64">
        <f t="shared" si="198"/>
        <v>333.3333333</v>
      </c>
      <c r="X190" s="64">
        <f t="shared" si="198"/>
        <v>0</v>
      </c>
      <c r="Y190" s="65">
        <f>IFS(
  B190&lt;55,
    MAX(
      Y189 + IF(MONTH(A190)=12, P190+V190, 0) + H190 - L190
      + MAX(0,
          IF(AA189 &gt;= VLOOKUP(YEAR(A190), Lookup!$Q:$R, 2),
            Z189 + IF(MONTH(A190)=12, Q190+W190, 0) + I190
              + AA189 + IF(MONTH(A190)=12, R190+X190, 0)
              - VLOOKUP(YEAR(A190), Lookup!$Q:$R, 2) + J190,
            Z189 + IF(MONTH(A190)=12, Q190+W190, 0) + I190
          ) - VLOOKUP(YEAR(A190), Lookup!$K:$M, 3)
        ),
    0),
  B190=55,
    IF(Z189&gt;=AD190,
      MAX(Y189 + IF(MONTH(A190)=12, P190+V190, 0) + H190 - L190, 0),
      MAX(MAX(0, Y189-(AD190-Z189)) + IF(MONTH(A190)=12, P190+V190, 0) + H190 - L190, 0)
    ),
  B190&gt;55,
    IF(AB189&gt;=$AH$7,
      MAX(Y189 + IF(MONTH(A190)=12, P190+V190, 0) + H190 - L190 + K190 + Z189, 0),
      MAX(Y189 + IF(MONTH(A190)=12, P190+V190, 0) + H190 - L190, 0)
    )
)</f>
        <v>278654.2812</v>
      </c>
      <c r="Z190" s="65">
        <f>IFS(
  B190&lt;55,
    MIN(
      IF(AA189 &gt;= VLOOKUP(YEAR(A190), Lookup!$Q:$R, 2),
        Z189 + IF(MONTH(A190)=12, Q190+W190, 0) + I190
          + AA189 + IF(MONTH(A190)=12, R190+X190, 0) - VLOOKUP(YEAR(A190), Lookup!$Q:$R, 2) + J190,
        Z189 + IF(MONTH(A190)=12, Q190+W190, 0) + I190
      ),
      VLOOKUP(YEAR(A190), Lookup!$K:$M, 3)
    ),
  B190=55,
    IF(Z189 &gt;= AD190, Z189 - AD190, 0),
  B190&gt;55, 0
)</f>
        <v>190663.1052</v>
      </c>
      <c r="AA190" s="65">
        <f>IFS(
  B190&lt;65,
    IF(AA189+J190 &lt; VLOOKUP(YEAR(A190), Lookup!$Q:$R, 2),
      AA189 + IF(MONTH(A190)=12, R189+X189, 0) + J190,
      MIN(
        AA189 + IF(MONTH(A190)=12, R189+X189, 0) + J190 ,
        VLOOKUP(YEAR(A190), Lookup!$Q:$R, 2)
      )
    ),
  B190&gt;=65,
    IF(AA189+J190 &lt; VLOOKUP(questions!$C$5, Lookup!$Q:$R, 2),
      AA189 + IF(MONTH(A190)=12, R189+X189, 0) + J190 ,
      MIN(
        AA189 + IF(MONTH(A190)=12, R189+X189, 0) + J190,
        VLOOKUP(questions!$C$5, Lookup!$Q:$R, 2)
      )
    )
)</f>
        <v>132352.5576</v>
      </c>
      <c r="AB190" s="65">
        <f t="shared" si="13"/>
        <v>0</v>
      </c>
      <c r="AC190" s="66">
        <f t="array" ref="AC190">IFS(B190&lt;66, XLOOKUP(year(A190),Lookup!$K$13:$K1000,Lookup!$L$13:$L1000,"missing",,1),B190&gt;65,XLOOKUP(questions!$C$5,Lookup!$K$13:$K1000,Lookup!$L$13:$L1000,"missing",,1))</f>
        <v>184693.045</v>
      </c>
      <c r="AD190" s="66">
        <f t="array" ref="AD190">IFS(B190&lt;66, XLOOKUP(year(A190),Lookup!$K$13:$K1000,Lookup!$M$13:$M1000,"missing",,1),B190&gt;65, XLOOKUP(questions!$C$5,Lookup!$K$13:$K1000,Lookup!$M$13:$M1000,"missing",,1))</f>
        <v>369386.09</v>
      </c>
      <c r="AE190" s="66">
        <f t="array" ref="AE190">IFS(B190&lt;66, XLOOKUP(year(A190),Lookup!$K$13:$K1000,Lookup!$N$13:$N1000,"missing",,1),B190&gt;65,XLOOKUP(questions!$C$5,Lookup!$K$13:$K1000,Lookup!$N$13:$N1000,"missing",,1))</f>
        <v>738772.1801</v>
      </c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</row>
    <row r="191">
      <c r="A191" s="55">
        <f t="shared" si="7"/>
        <v>51835</v>
      </c>
      <c r="B191" s="56">
        <f>round(YEARFRAC(EOMONTH(questions!$C$3, 0),A191,1),2)</f>
        <v>43</v>
      </c>
      <c r="C191" s="57">
        <f>IF(B191&lt;questions!$C$6,if(MONTH(A191)=1,C190*(1+questions!$C$12),C190),0)</f>
        <v>15579.67417</v>
      </c>
      <c r="D191" s="58">
        <f>IF(MONTH(A191)=12,C191*questions!$C$11,0)</f>
        <v>0</v>
      </c>
      <c r="E191" s="59">
        <f t="shared" si="2"/>
        <v>8000</v>
      </c>
      <c r="F191" s="59">
        <f t="shared" si="3"/>
        <v>0</v>
      </c>
      <c r="G191" s="60">
        <f t="array" ref="G191">if(YEAR(A191)=2025,XLOOKUP(B191,Lookup!$A$3:$A$7,Lookup!$D$3:$D$7,,1)*SUM(E191:F191), XLOOKUP(B191,Lookup!$A$14:$A$18,Lookup!$D$14:$D$18,,1)*SUM(E191:F191))</f>
        <v>2960</v>
      </c>
      <c r="H191" s="60">
        <f t="array" ref="H191">if(YEAR(A191)=2025,XLOOKUP(B191,Lookup!$F$3:$F$10,Lookup!$G$3:$G$10,,1)*G191, XLOOKUP(B191,Lookup!$F$14:$F$21,Lookup!$G$14:$G$21,,1)*G191)</f>
        <v>1680.392</v>
      </c>
      <c r="I191" s="60">
        <f t="array" ref="I191">if(B191&lt;55, if(YEAR(A191)=2025,XLOOKUP(B191,Lookup!$F$3:$F$10,Lookup!$H$3:$H$10,,1)*G191, XLOOKUP(B191,Lookup!$F$14:$F$21,Lookup!$H$14:$H$21,,1)*G191),0)</f>
        <v>559.736</v>
      </c>
      <c r="J191" s="60">
        <f t="array" ref="J191">if(YEAR(A191)=2025,XLOOKUP(B191,Lookup!$F$3:$F$10,Lookup!$I$3:$I$10,,1)*G191, XLOOKUP(B191,Lookup!$F$14:$F$21,Lookup!$I$14:$I$21,,1)*G191)</f>
        <v>719.872</v>
      </c>
      <c r="K191" s="61">
        <f t="array" ref="K191">if(B191&gt;54, if(YEAR(A191)=2025,XLOOKUP(B191,Lookup!$F$3:$F$10,Lookup!$H$3:$H$10,,1)*G191, XLOOKUP(B191,Lookup!$F$14:$F$21,Lookup!$H$14:$H$21,,1)*G191),0)</f>
        <v>0</v>
      </c>
      <c r="L191" s="62">
        <f>IF(and(A191&lt;questions!$C$19,questions!$C$18="yes"),questions!$C$20,0)</f>
        <v>700</v>
      </c>
      <c r="M191" s="63">
        <f>(Y190+H191)*Lookup!A$26/12</f>
        <v>584.0305692</v>
      </c>
      <c r="N191" s="63">
        <f>if(B191&lt;55, (Z190+I191)*Lookup!B$26/12, (AB190+K191)*Lookup!B$26/12)</f>
        <v>637.4094707</v>
      </c>
      <c r="O191" s="63">
        <f>(AA190+J191)*Lookup!C$26/12</f>
        <v>443.5747654</v>
      </c>
      <c r="P191" s="63">
        <f t="shared" si="8"/>
        <v>6311.999678</v>
      </c>
      <c r="Q191" s="63">
        <f t="shared" si="4"/>
        <v>6844.097431</v>
      </c>
      <c r="R191" s="63">
        <f t="shared" si="5"/>
        <v>4825.280685</v>
      </c>
      <c r="S191" s="64">
        <f t="shared" si="9"/>
        <v>16.66666667</v>
      </c>
      <c r="T191" s="64">
        <f t="shared" si="10"/>
        <v>33.33333333</v>
      </c>
      <c r="U191" s="64">
        <f t="shared" si="11"/>
        <v>0</v>
      </c>
      <c r="V191" s="64">
        <f t="shared" ref="V191:X191" si="199">IF(year($A191)=year($A190), V190+S191, S191)</f>
        <v>183.3333333</v>
      </c>
      <c r="W191" s="64">
        <f t="shared" si="199"/>
        <v>366.6666667</v>
      </c>
      <c r="X191" s="64">
        <f t="shared" si="199"/>
        <v>0</v>
      </c>
      <c r="Y191" s="65">
        <f>IFS(
  B191&lt;55,
    MAX(
      Y190 + IF(MONTH(A191)=12, P191+V191, 0) + H191 - L191
      + MAX(0,
          IF(AA190 &gt;= VLOOKUP(YEAR(A191), Lookup!$Q:$R, 2),
            Z190 + IF(MONTH(A191)=12, Q191+W191, 0) + I191
              + AA190 + IF(MONTH(A191)=12, R191+X191, 0)
              - VLOOKUP(YEAR(A191), Lookup!$Q:$R, 2) + J191,
            Z190 + IF(MONTH(A191)=12, Q191+W191, 0) + I191
          ) - VLOOKUP(YEAR(A191), Lookup!$K:$M, 3)
        ),
    0),
  B191=55,
    IF(Z190&gt;=AD191,
      MAX(Y190 + IF(MONTH(A191)=12, P191+V191, 0) + H191 - L191, 0),
      MAX(MAX(0, Y190-(AD191-Z190)) + IF(MONTH(A191)=12, P191+V191, 0) + H191 - L191, 0)
    ),
  B191&gt;55,
    IF(AB190&gt;=$AH$7,
      MAX(Y190 + IF(MONTH(A191)=12, P191+V191, 0) + H191 - L191 + K191 + Z190, 0),
      MAX(Y190 + IF(MONTH(A191)=12, P191+V191, 0) + H191 - L191, 0)
    )
)</f>
        <v>279634.6732</v>
      </c>
      <c r="Z191" s="65">
        <f>IFS(
  B191&lt;55,
    MIN(
      IF(AA190 &gt;= VLOOKUP(YEAR(A191), Lookup!$Q:$R, 2),
        Z190 + IF(MONTH(A191)=12, Q191+W191, 0) + I191
          + AA190 + IF(MONTH(A191)=12, R191+X191, 0) - VLOOKUP(YEAR(A191), Lookup!$Q:$R, 2) + J191,
        Z190 + IF(MONTH(A191)=12, Q191+W191, 0) + I191
      ),
      VLOOKUP(YEAR(A191), Lookup!$K:$M, 3)
    ),
  B191=55,
    IF(Z190 &gt;= AD191, Z190 - AD191, 0),
  B191&gt;55, 0
)</f>
        <v>191942.7132</v>
      </c>
      <c r="AA191" s="65">
        <f>IFS(
  B191&lt;65,
    IF(AA190+J191 &lt; VLOOKUP(YEAR(A191), Lookup!$Q:$R, 2),
      AA190 + IF(MONTH(A191)=12, R190+X190, 0) + J191,
      MIN(
        AA190 + IF(MONTH(A191)=12, R190+X190, 0) + J191 ,
        VLOOKUP(YEAR(A191), Lookup!$Q:$R, 2)
      )
    ),
  B191&gt;=65,
    IF(AA190+J191 &lt; VLOOKUP(questions!$C$5, Lookup!$Q:$R, 2),
      AA190 + IF(MONTH(A191)=12, R190+X190, 0) + J191 ,
      MIN(
        AA190 + IF(MONTH(A191)=12, R190+X190, 0) + J191,
        VLOOKUP(questions!$C$5, Lookup!$Q:$R, 2)
      )
    )
)</f>
        <v>132352.5576</v>
      </c>
      <c r="AB191" s="65">
        <f t="shared" si="13"/>
        <v>0</v>
      </c>
      <c r="AC191" s="66">
        <f t="array" ref="AC191">IFS(B191&lt;66, XLOOKUP(year(A191),Lookup!$K$13:$K1000,Lookup!$L$13:$L1000,"missing",,1),B191&gt;65,XLOOKUP(questions!$C$5,Lookup!$K$13:$K1000,Lookup!$L$13:$L1000,"missing",,1))</f>
        <v>184693.045</v>
      </c>
      <c r="AD191" s="66">
        <f t="array" ref="AD191">IFS(B191&lt;66, XLOOKUP(year(A191),Lookup!$K$13:$K1000,Lookup!$M$13:$M1000,"missing",,1),B191&gt;65, XLOOKUP(questions!$C$5,Lookup!$K$13:$K1000,Lookup!$M$13:$M1000,"missing",,1))</f>
        <v>369386.09</v>
      </c>
      <c r="AE191" s="66">
        <f t="array" ref="AE191">IFS(B191&lt;66, XLOOKUP(year(A191),Lookup!$K$13:$K1000,Lookup!$N$13:$N1000,"missing",,1),B191&gt;65,XLOOKUP(questions!$C$5,Lookup!$K$13:$K1000,Lookup!$N$13:$N1000,"missing",,1))</f>
        <v>738772.1801</v>
      </c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</row>
    <row r="192">
      <c r="A192" s="55">
        <f t="shared" si="7"/>
        <v>51866</v>
      </c>
      <c r="B192" s="56">
        <f>round(YEARFRAC(EOMONTH(questions!$C$3, 0),A192,1),2)</f>
        <v>43.08</v>
      </c>
      <c r="C192" s="57">
        <f>IF(B192&lt;questions!$C$6,if(MONTH(A192)=1,C191*(1+questions!$C$12),C191),0)</f>
        <v>15579.67417</v>
      </c>
      <c r="D192" s="57">
        <f>IF(MONTH(A192)=12,C192*questions!$C$11,0)</f>
        <v>15579.67417</v>
      </c>
      <c r="E192" s="59">
        <f t="shared" si="2"/>
        <v>8000</v>
      </c>
      <c r="F192" s="59">
        <f t="shared" si="3"/>
        <v>6000</v>
      </c>
      <c r="G192" s="60">
        <f t="array" ref="G192">if(YEAR(A192)=2025,XLOOKUP(B192,Lookup!$A$3:$A$7,Lookup!$D$3:$D$7,,1)*SUM(E192:F192), XLOOKUP(B192,Lookup!$A$14:$A$18,Lookup!$D$14:$D$18,,1)*SUM(E192:F192))</f>
        <v>5180</v>
      </c>
      <c r="H192" s="60">
        <f t="array" ref="H192">if(YEAR(A192)=2025,XLOOKUP(B192,Lookup!$F$3:$F$10,Lookup!$G$3:$G$10,,1)*G192, XLOOKUP(B192,Lookup!$F$14:$F$21,Lookup!$G$14:$G$21,,1)*G192)</f>
        <v>2940.686</v>
      </c>
      <c r="I192" s="60">
        <f t="array" ref="I192">if(B192&lt;55, if(YEAR(A192)=2025,XLOOKUP(B192,Lookup!$F$3:$F$10,Lookup!$H$3:$H$10,,1)*G192, XLOOKUP(B192,Lookup!$F$14:$F$21,Lookup!$H$14:$H$21,,1)*G192),0)</f>
        <v>979.538</v>
      </c>
      <c r="J192" s="60">
        <f t="array" ref="J192">if(YEAR(A192)=2025,XLOOKUP(B192,Lookup!$F$3:$F$10,Lookup!$I$3:$I$10,,1)*G192, XLOOKUP(B192,Lookup!$F$14:$F$21,Lookup!$I$14:$I$21,,1)*G192)</f>
        <v>1259.776</v>
      </c>
      <c r="K192" s="61">
        <f t="array" ref="K192">if(B192&gt;54, if(YEAR(A192)=2025,XLOOKUP(B192,Lookup!$F$3:$F$10,Lookup!$H$3:$H$10,,1)*G192, XLOOKUP(B192,Lookup!$F$14:$F$21,Lookup!$H$14:$H$21,,1)*G192),0)</f>
        <v>0</v>
      </c>
      <c r="L192" s="62">
        <f>IF(and(A192&lt;questions!$C$19,questions!$C$18="yes"),questions!$C$20,0)</f>
        <v>700</v>
      </c>
      <c r="M192" s="63">
        <f>(Y191+H192)*Lookup!A$26/12</f>
        <v>588.698665</v>
      </c>
      <c r="N192" s="63">
        <f>if(B192&lt;55, (Z191+I192)*Lookup!B$26/12, (AB191+K192)*Lookup!B$26/12)</f>
        <v>643.0741707</v>
      </c>
      <c r="O192" s="63">
        <f>(AA191+J192)*Lookup!C$26/12</f>
        <v>445.3744454</v>
      </c>
      <c r="P192" s="63">
        <f t="shared" si="8"/>
        <v>6900.698343</v>
      </c>
      <c r="Q192" s="63">
        <f t="shared" si="4"/>
        <v>7487.171602</v>
      </c>
      <c r="R192" s="63">
        <f t="shared" si="5"/>
        <v>5270.65513</v>
      </c>
      <c r="S192" s="64">
        <f t="shared" si="9"/>
        <v>16.66666667</v>
      </c>
      <c r="T192" s="64">
        <f t="shared" si="10"/>
        <v>33.33333333</v>
      </c>
      <c r="U192" s="64">
        <f t="shared" si="11"/>
        <v>0</v>
      </c>
      <c r="V192" s="64">
        <f t="shared" ref="V192:X192" si="200">IF(year($A192)=year($A191), V191+S192, S192)</f>
        <v>200</v>
      </c>
      <c r="W192" s="64">
        <f t="shared" si="200"/>
        <v>400</v>
      </c>
      <c r="X192" s="64">
        <f t="shared" si="200"/>
        <v>0</v>
      </c>
      <c r="Y192" s="65">
        <f>IFS(
  B192&lt;55,
    MAX(
      Y191 + IF(MONTH(A192)=12, P192+V192, 0) + H192 - L192
      + MAX(0,
          IF(AA191 &gt;= VLOOKUP(YEAR(A192), Lookup!$Q:$R, 2),
            Z191 + IF(MONTH(A192)=12, Q192+W192, 0) + I192
              + AA191 + IF(MONTH(A192)=12, R192+X192, 0)
              - VLOOKUP(YEAR(A192), Lookup!$Q:$R, 2) + J192,
            Z191 + IF(MONTH(A192)=12, Q192+W192, 0) + I192
          ) - VLOOKUP(YEAR(A192), Lookup!$K:$M, 3)
        ),
    0),
  B192=55,
    IF(Z191&gt;=AD192,
      MAX(Y191 + IF(MONTH(A192)=12, P192+V192, 0) + H192 - L192, 0),
      MAX(MAX(0, Y191-(AD192-Z191)) + IF(MONTH(A192)=12, P192+V192, 0) + H192 - L192, 0)
    ),
  B192&gt;55,
    IF(AB191&gt;=$AH$7,
      MAX(Y191 + IF(MONTH(A192)=12, P192+V192, 0) + H192 - L192 + K192 + Z191, 0),
      MAX(Y191 + IF(MONTH(A192)=12, P192+V192, 0) + H192 - L192, 0)
    )
)</f>
        <v>288976.0575</v>
      </c>
      <c r="Z192" s="65">
        <f>IFS(
  B192&lt;55,
    MIN(
      IF(AA191 &gt;= VLOOKUP(YEAR(A192), Lookup!$Q:$R, 2),
        Z191 + IF(MONTH(A192)=12, Q192+W192, 0) + I192
          + AA191 + IF(MONTH(A192)=12, R192+X192, 0) - VLOOKUP(YEAR(A192), Lookup!$Q:$R, 2) + J192,
        Z191 + IF(MONTH(A192)=12, Q192+W192, 0) + I192
      ),
      VLOOKUP(YEAR(A192), Lookup!$K:$M, 3)
    ),
  B192=55,
    IF(Z191 &gt;= AD192, Z191 - AD192, 0),
  B192&gt;55, 0
)</f>
        <v>207339.8539</v>
      </c>
      <c r="AA192" s="65">
        <f>IFS(
  B192&lt;65,
    IF(AA191+J192 &lt; VLOOKUP(YEAR(A192), Lookup!$Q:$R, 2),
      AA191 + IF(MONTH(A192)=12, R191+X191, 0) + J192,
      MIN(
        AA191 + IF(MONTH(A192)=12, R191+X191, 0) + J192 ,
        VLOOKUP(YEAR(A192), Lookup!$Q:$R, 2)
      )
    ),
  B192&gt;=65,
    IF(AA191+J192 &lt; VLOOKUP(questions!$C$5, Lookup!$Q:$R, 2),
      AA191 + IF(MONTH(A192)=12, R191+X191, 0) + J192 ,
      MIN(
        AA191 + IF(MONTH(A192)=12, R191+X191, 0) + J192,
        VLOOKUP(questions!$C$5, Lookup!$Q:$R, 2)
      )
    )
)</f>
        <v>132352.5576</v>
      </c>
      <c r="AB192" s="65">
        <f t="shared" si="13"/>
        <v>0</v>
      </c>
      <c r="AC192" s="66">
        <f t="array" ref="AC192">IFS(B192&lt;66, XLOOKUP(year(A192),Lookup!$K$13:$K1000,Lookup!$L$13:$L1000,"missing",,1),B192&gt;65,XLOOKUP(questions!$C$5,Lookup!$K$13:$K1000,Lookup!$L$13:$L1000,"missing",,1))</f>
        <v>184693.045</v>
      </c>
      <c r="AD192" s="66">
        <f t="array" ref="AD192">IFS(B192&lt;66, XLOOKUP(year(A192),Lookup!$K$13:$K1000,Lookup!$M$13:$M1000,"missing",,1),B192&gt;65, XLOOKUP(questions!$C$5,Lookup!$K$13:$K1000,Lookup!$M$13:$M1000,"missing",,1))</f>
        <v>369386.09</v>
      </c>
      <c r="AE192" s="66">
        <f t="array" ref="AE192">IFS(B192&lt;66, XLOOKUP(year(A192),Lookup!$K$13:$K1000,Lookup!$N$13:$N1000,"missing",,1),B192&gt;65,XLOOKUP(questions!$C$5,Lookup!$K$13:$K1000,Lookup!$N$13:$N1000,"missing",,1))</f>
        <v>738772.1801</v>
      </c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</row>
    <row r="193">
      <c r="A193" s="55">
        <f t="shared" si="7"/>
        <v>51897</v>
      </c>
      <c r="B193" s="56">
        <f>round(YEARFRAC(EOMONTH(questions!$C$3, 0),A193,1),2)</f>
        <v>43.17</v>
      </c>
      <c r="C193" s="57">
        <f>IF(B193&lt;questions!$C$6,if(MONTH(A193)=1,C192*(1+questions!$C$12),C192),0)</f>
        <v>16047.06439</v>
      </c>
      <c r="D193" s="58">
        <f>IF(MONTH(A193)=12,C193*questions!$C$11,0)</f>
        <v>0</v>
      </c>
      <c r="E193" s="59">
        <f t="shared" si="2"/>
        <v>8000</v>
      </c>
      <c r="F193" s="59">
        <f t="shared" si="3"/>
        <v>0</v>
      </c>
      <c r="G193" s="60">
        <f t="array" ref="G193">if(YEAR(A193)=2025,XLOOKUP(B193,Lookup!$A$3:$A$7,Lookup!$D$3:$D$7,,1)*SUM(E193:F193), XLOOKUP(B193,Lookup!$A$14:$A$18,Lookup!$D$14:$D$18,,1)*SUM(E193:F193))</f>
        <v>2960</v>
      </c>
      <c r="H193" s="60">
        <f t="array" ref="H193">if(YEAR(A193)=2025,XLOOKUP(B193,Lookup!$F$3:$F$10,Lookup!$G$3:$G$10,,1)*G193, XLOOKUP(B193,Lookup!$F$14:$F$21,Lookup!$G$14:$G$21,,1)*G193)</f>
        <v>1680.392</v>
      </c>
      <c r="I193" s="60">
        <f t="array" ref="I193">if(B193&lt;55, if(YEAR(A193)=2025,XLOOKUP(B193,Lookup!$F$3:$F$10,Lookup!$H$3:$H$10,,1)*G193, XLOOKUP(B193,Lookup!$F$14:$F$21,Lookup!$H$14:$H$21,,1)*G193),0)</f>
        <v>559.736</v>
      </c>
      <c r="J193" s="60">
        <f t="array" ref="J193">if(YEAR(A193)=2025,XLOOKUP(B193,Lookup!$F$3:$F$10,Lookup!$I$3:$I$10,,1)*G193, XLOOKUP(B193,Lookup!$F$14:$F$21,Lookup!$I$14:$I$21,,1)*G193)</f>
        <v>719.872</v>
      </c>
      <c r="K193" s="61">
        <f t="array" ref="K193">if(B193&gt;54, if(YEAR(A193)=2025,XLOOKUP(B193,Lookup!$F$3:$F$10,Lookup!$H$3:$H$10,,1)*G193, XLOOKUP(B193,Lookup!$F$14:$F$21,Lookup!$H$14:$H$21,,1)*G193),0)</f>
        <v>0</v>
      </c>
      <c r="L193" s="62">
        <f>IF(and(A193&lt;questions!$C$19,questions!$C$18="yes"),questions!$C$20,0)</f>
        <v>700</v>
      </c>
      <c r="M193" s="63">
        <f>(Y192+H193)*Lookup!A$26/12</f>
        <v>605.5342699</v>
      </c>
      <c r="N193" s="63">
        <f>if(B193&lt;55, (Z192+I193)*Lookup!B$26/12, (AB192+K193)*Lookup!B$26/12)</f>
        <v>692.9986331</v>
      </c>
      <c r="O193" s="63">
        <f>(AA192+J193)*Lookup!C$26/12</f>
        <v>443.5747654</v>
      </c>
      <c r="P193" s="63">
        <f t="shared" si="8"/>
        <v>605.5342699</v>
      </c>
      <c r="Q193" s="63">
        <f t="shared" si="4"/>
        <v>692.9986331</v>
      </c>
      <c r="R193" s="63">
        <f t="shared" si="5"/>
        <v>443.5747654</v>
      </c>
      <c r="S193" s="64">
        <f t="shared" si="9"/>
        <v>16.66666667</v>
      </c>
      <c r="T193" s="64">
        <f t="shared" si="10"/>
        <v>33.33333333</v>
      </c>
      <c r="U193" s="64">
        <f t="shared" si="11"/>
        <v>0</v>
      </c>
      <c r="V193" s="64">
        <f t="shared" ref="V193:X193" si="201">IF(year($A193)=year($A192), V192+S193, S193)</f>
        <v>16.66666667</v>
      </c>
      <c r="W193" s="64">
        <f t="shared" si="201"/>
        <v>33.33333333</v>
      </c>
      <c r="X193" s="64">
        <f t="shared" si="201"/>
        <v>0</v>
      </c>
      <c r="Y193" s="65">
        <f>IFS(
  B193&lt;55,
    MAX(
      Y192 + IF(MONTH(A193)=12, P193+V193, 0) + H193 - L193
      + MAX(0,
          IF(AA192 &gt;= VLOOKUP(YEAR(A193), Lookup!$Q:$R, 2),
            Z192 + IF(MONTH(A193)=12, Q193+W193, 0) + I193
              + AA192 + IF(MONTH(A193)=12, R193+X193, 0)
              - VLOOKUP(YEAR(A193), Lookup!$Q:$R, 2) + J193,
            Z192 + IF(MONTH(A193)=12, Q193+W193, 0) + I193
          ) - VLOOKUP(YEAR(A193), Lookup!$K:$M, 3)
        ),
    0),
  B193=55,
    IF(Z192&gt;=AD193,
      MAX(Y192 + IF(MONTH(A193)=12, P193+V193, 0) + H193 - L193, 0),
      MAX(MAX(0, Y192-(AD193-Z192)) + IF(MONTH(A193)=12, P193+V193, 0) + H193 - L193, 0)
    ),
  B193&gt;55,
    IF(AB192&gt;=$AH$7,
      MAX(Y192 + IF(MONTH(A193)=12, P193+V193, 0) + H193 - L193 + K193 + Z192, 0),
      MAX(Y192 + IF(MONTH(A193)=12, P193+V193, 0) + H193 - L193, 0)
    )
)</f>
        <v>289956.4495</v>
      </c>
      <c r="Z193" s="65">
        <f>IFS(
  B193&lt;55,
    MIN(
      IF(AA192 &gt;= VLOOKUP(YEAR(A193), Lookup!$Q:$R, 2),
        Z192 + IF(MONTH(A193)=12, Q193+W193, 0) + I193
          + AA192 + IF(MONTH(A193)=12, R193+X193, 0) - VLOOKUP(YEAR(A193), Lookup!$Q:$R, 2) + J193,
        Z192 + IF(MONTH(A193)=12, Q193+W193, 0) + I193
      ),
      VLOOKUP(YEAR(A193), Lookup!$K:$M, 3)
    ),
  B193=55,
    IF(Z192 &gt;= AD193, Z192 - AD193, 0),
  B193&gt;55, 0
)</f>
        <v>207899.5899</v>
      </c>
      <c r="AA193" s="65">
        <f>IFS(
  B193&lt;65,
    IF(AA192+J193 &lt; VLOOKUP(YEAR(A193), Lookup!$Q:$R, 2),
      AA192 + IF(MONTH(A193)=12, R192+X192, 0) + J193,
      MIN(
        AA192 + IF(MONTH(A193)=12, R192+X192, 0) + J193 ,
        VLOOKUP(YEAR(A193), Lookup!$Q:$R, 2)
      )
    ),
  B193&gt;=65,
    IF(AA192+J193 &lt; VLOOKUP(questions!$C$5, Lookup!$Q:$R, 2),
      AA192 + IF(MONTH(A193)=12, R192+X192, 0) + J193 ,
      MIN(
        AA192 + IF(MONTH(A193)=12, R192+X192, 0) + J193,
        VLOOKUP(questions!$C$5, Lookup!$Q:$R, 2)
      )
    )
)</f>
        <v>133072.4296</v>
      </c>
      <c r="AB193" s="65">
        <f t="shared" si="13"/>
        <v>0</v>
      </c>
      <c r="AC193" s="66">
        <f t="array" ref="AC193">IFS(B193&lt;66, XLOOKUP(year(A193),Lookup!$K$13:$K1000,Lookup!$L$13:$L1000,"missing",,1),B193&gt;65,XLOOKUP(questions!$C$5,Lookup!$K$13:$K1000,Lookup!$L$13:$L1000,"missing",,1))</f>
        <v>191157.3016</v>
      </c>
      <c r="AD193" s="66">
        <f t="array" ref="AD193">IFS(B193&lt;66, XLOOKUP(year(A193),Lookup!$K$13:$K1000,Lookup!$M$13:$M1000,"missing",,1),B193&gt;65, XLOOKUP(questions!$C$5,Lookup!$K$13:$K1000,Lookup!$M$13:$M1000,"missing",,1))</f>
        <v>382314.6032</v>
      </c>
      <c r="AE193" s="66">
        <f t="array" ref="AE193">IFS(B193&lt;66, XLOOKUP(year(A193),Lookup!$K$13:$K1000,Lookup!$N$13:$N1000,"missing",,1),B193&gt;65,XLOOKUP(questions!$C$5,Lookup!$K$13:$K1000,Lookup!$N$13:$N1000,"missing",,1))</f>
        <v>764629.2064</v>
      </c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</row>
    <row r="194">
      <c r="A194" s="55">
        <f t="shared" si="7"/>
        <v>51925</v>
      </c>
      <c r="B194" s="56">
        <f>round(YEARFRAC(EOMONTH(questions!$C$3, 0),A194,1),2)</f>
        <v>43.25</v>
      </c>
      <c r="C194" s="57">
        <f>IF(B194&lt;questions!$C$6,if(MONTH(A194)=1,C193*(1+questions!$C$12),C193),0)</f>
        <v>16047.06439</v>
      </c>
      <c r="D194" s="58">
        <f>IF(MONTH(A194)=12,C194*questions!$C$11,0)</f>
        <v>0</v>
      </c>
      <c r="E194" s="59">
        <f t="shared" si="2"/>
        <v>8000</v>
      </c>
      <c r="F194" s="59">
        <f t="shared" si="3"/>
        <v>0</v>
      </c>
      <c r="G194" s="60">
        <f t="array" ref="G194">if(YEAR(A194)=2025,XLOOKUP(B194,Lookup!$A$3:$A$7,Lookup!$D$3:$D$7,,1)*SUM(E194:F194), XLOOKUP(B194,Lookup!$A$14:$A$18,Lookup!$D$14:$D$18,,1)*SUM(E194:F194))</f>
        <v>2960</v>
      </c>
      <c r="H194" s="60">
        <f t="array" ref="H194">if(YEAR(A194)=2025,XLOOKUP(B194,Lookup!$F$3:$F$10,Lookup!$G$3:$G$10,,1)*G194, XLOOKUP(B194,Lookup!$F$14:$F$21,Lookup!$G$14:$G$21,,1)*G194)</f>
        <v>1680.392</v>
      </c>
      <c r="I194" s="60">
        <f t="array" ref="I194">if(B194&lt;55, if(YEAR(A194)=2025,XLOOKUP(B194,Lookup!$F$3:$F$10,Lookup!$H$3:$H$10,,1)*G194, XLOOKUP(B194,Lookup!$F$14:$F$21,Lookup!$H$14:$H$21,,1)*G194),0)</f>
        <v>559.736</v>
      </c>
      <c r="J194" s="60">
        <f t="array" ref="J194">if(YEAR(A194)=2025,XLOOKUP(B194,Lookup!$F$3:$F$10,Lookup!$I$3:$I$10,,1)*G194, XLOOKUP(B194,Lookup!$F$14:$F$21,Lookup!$I$14:$I$21,,1)*G194)</f>
        <v>719.872</v>
      </c>
      <c r="K194" s="61">
        <f t="array" ref="K194">if(B194&gt;54, if(YEAR(A194)=2025,XLOOKUP(B194,Lookup!$F$3:$F$10,Lookup!$H$3:$H$10,,1)*G194, XLOOKUP(B194,Lookup!$F$14:$F$21,Lookup!$H$14:$H$21,,1)*G194),0)</f>
        <v>0</v>
      </c>
      <c r="L194" s="62">
        <f>IF(and(A194&lt;questions!$C$19,questions!$C$18="yes"),questions!$C$20,0)</f>
        <v>700</v>
      </c>
      <c r="M194" s="63">
        <f>(Y193+H194)*Lookup!A$26/12</f>
        <v>607.5767532</v>
      </c>
      <c r="N194" s="63">
        <f>if(B194&lt;55, (Z193+I194)*Lookup!B$26/12, (AB193+K194)*Lookup!B$26/12)</f>
        <v>694.8644198</v>
      </c>
      <c r="O194" s="63">
        <f>(AA193+J194)*Lookup!C$26/12</f>
        <v>445.9743388</v>
      </c>
      <c r="P194" s="63">
        <f t="shared" si="8"/>
        <v>1213.111023</v>
      </c>
      <c r="Q194" s="63">
        <f t="shared" si="4"/>
        <v>1387.863053</v>
      </c>
      <c r="R194" s="63">
        <f t="shared" si="5"/>
        <v>889.5491042</v>
      </c>
      <c r="S194" s="64">
        <f t="shared" si="9"/>
        <v>16.66666667</v>
      </c>
      <c r="T194" s="64">
        <f t="shared" si="10"/>
        <v>33.33333333</v>
      </c>
      <c r="U194" s="64">
        <f t="shared" si="11"/>
        <v>0</v>
      </c>
      <c r="V194" s="64">
        <f t="shared" ref="V194:X194" si="202">IF(year($A194)=year($A193), V193+S194, S194)</f>
        <v>33.33333333</v>
      </c>
      <c r="W194" s="64">
        <f t="shared" si="202"/>
        <v>66.66666667</v>
      </c>
      <c r="X194" s="64">
        <f t="shared" si="202"/>
        <v>0</v>
      </c>
      <c r="Y194" s="65">
        <f>IFS(
  B194&lt;55,
    MAX(
      Y193 + IF(MONTH(A194)=12, P194+V194, 0) + H194 - L194
      + MAX(0,
          IF(AA193 &gt;= VLOOKUP(YEAR(A194), Lookup!$Q:$R, 2),
            Z193 + IF(MONTH(A194)=12, Q194+W194, 0) + I194
              + AA193 + IF(MONTH(A194)=12, R194+X194, 0)
              - VLOOKUP(YEAR(A194), Lookup!$Q:$R, 2) + J194,
            Z193 + IF(MONTH(A194)=12, Q194+W194, 0) + I194
          ) - VLOOKUP(YEAR(A194), Lookup!$K:$M, 3)
        ),
    0),
  B194=55,
    IF(Z193&gt;=AD194,
      MAX(Y193 + IF(MONTH(A194)=12, P194+V194, 0) + H194 - L194, 0),
      MAX(MAX(0, Y193-(AD194-Z193)) + IF(MONTH(A194)=12, P194+V194, 0) + H194 - L194, 0)
    ),
  B194&gt;55,
    IF(AB193&gt;=$AH$7,
      MAX(Y193 + IF(MONTH(A194)=12, P194+V194, 0) + H194 - L194 + K194 + Z193, 0),
      MAX(Y193 + IF(MONTH(A194)=12, P194+V194, 0) + H194 - L194, 0)
    )
)</f>
        <v>290936.8415</v>
      </c>
      <c r="Z194" s="65">
        <f>IFS(
  B194&lt;55,
    MIN(
      IF(AA193 &gt;= VLOOKUP(YEAR(A194), Lookup!$Q:$R, 2),
        Z193 + IF(MONTH(A194)=12, Q194+W194, 0) + I194
          + AA193 + IF(MONTH(A194)=12, R194+X194, 0) - VLOOKUP(YEAR(A194), Lookup!$Q:$R, 2) + J194,
        Z193 + IF(MONTH(A194)=12, Q194+W194, 0) + I194
      ),
      VLOOKUP(YEAR(A194), Lookup!$K:$M, 3)
    ),
  B194=55,
    IF(Z193 &gt;= AD194, Z193 - AD194, 0),
  B194&gt;55, 0
)</f>
        <v>208459.3259</v>
      </c>
      <c r="AA194" s="65">
        <f>IFS(
  B194&lt;65,
    IF(AA193+J194 &lt; VLOOKUP(YEAR(A194), Lookup!$Q:$R, 2),
      AA193 + IF(MONTH(A194)=12, R193+X193, 0) + J194,
      MIN(
        AA193 + IF(MONTH(A194)=12, R193+X193, 0) + J194 ,
        VLOOKUP(YEAR(A194), Lookup!$Q:$R, 2)
      )
    ),
  B194&gt;=65,
    IF(AA193+J194 &lt; VLOOKUP(questions!$C$5, Lookup!$Q:$R, 2),
      AA193 + IF(MONTH(A194)=12, R193+X193, 0) + J194 ,
      MIN(
        AA193 + IF(MONTH(A194)=12, R193+X193, 0) + J194,
        VLOOKUP(questions!$C$5, Lookup!$Q:$R, 2)
      )
    )
)</f>
        <v>133792.3016</v>
      </c>
      <c r="AB194" s="65">
        <f t="shared" si="13"/>
        <v>0</v>
      </c>
      <c r="AC194" s="66">
        <f t="array" ref="AC194">IFS(B194&lt;66, XLOOKUP(year(A194),Lookup!$K$13:$K1000,Lookup!$L$13:$L1000,"missing",,1),B194&gt;65,XLOOKUP(questions!$C$5,Lookup!$K$13:$K1000,Lookup!$L$13:$L1000,"missing",,1))</f>
        <v>191157.3016</v>
      </c>
      <c r="AD194" s="66">
        <f t="array" ref="AD194">IFS(B194&lt;66, XLOOKUP(year(A194),Lookup!$K$13:$K1000,Lookup!$M$13:$M1000,"missing",,1),B194&gt;65, XLOOKUP(questions!$C$5,Lookup!$K$13:$K1000,Lookup!$M$13:$M1000,"missing",,1))</f>
        <v>382314.6032</v>
      </c>
      <c r="AE194" s="66">
        <f t="array" ref="AE194">IFS(B194&lt;66, XLOOKUP(year(A194),Lookup!$K$13:$K1000,Lookup!$N$13:$N1000,"missing",,1),B194&gt;65,XLOOKUP(questions!$C$5,Lookup!$K$13:$K1000,Lookup!$N$13:$N1000,"missing",,1))</f>
        <v>764629.2064</v>
      </c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</row>
    <row r="195">
      <c r="A195" s="55">
        <f t="shared" si="7"/>
        <v>51956</v>
      </c>
      <c r="B195" s="56">
        <f>round(YEARFRAC(EOMONTH(questions!$C$3, 0),A195,1),2)</f>
        <v>43.33</v>
      </c>
      <c r="C195" s="57">
        <f>IF(B195&lt;questions!$C$6,if(MONTH(A195)=1,C194*(1+questions!$C$12),C194),0)</f>
        <v>16047.06439</v>
      </c>
      <c r="D195" s="58">
        <f>IF(MONTH(A195)=12,C195*questions!$C$11,0)</f>
        <v>0</v>
      </c>
      <c r="E195" s="59">
        <f t="shared" si="2"/>
        <v>8000</v>
      </c>
      <c r="F195" s="59">
        <f t="shared" si="3"/>
        <v>0</v>
      </c>
      <c r="G195" s="60">
        <f t="array" ref="G195">if(YEAR(A195)=2025,XLOOKUP(B195,Lookup!$A$3:$A$7,Lookup!$D$3:$D$7,,1)*SUM(E195:F195), XLOOKUP(B195,Lookup!$A$14:$A$18,Lookup!$D$14:$D$18,,1)*SUM(E195:F195))</f>
        <v>2960</v>
      </c>
      <c r="H195" s="60">
        <f t="array" ref="H195">if(YEAR(A195)=2025,XLOOKUP(B195,Lookup!$F$3:$F$10,Lookup!$G$3:$G$10,,1)*G195, XLOOKUP(B195,Lookup!$F$14:$F$21,Lookup!$G$14:$G$21,,1)*G195)</f>
        <v>1680.392</v>
      </c>
      <c r="I195" s="60">
        <f t="array" ref="I195">if(B195&lt;55, if(YEAR(A195)=2025,XLOOKUP(B195,Lookup!$F$3:$F$10,Lookup!$H$3:$H$10,,1)*G195, XLOOKUP(B195,Lookup!$F$14:$F$21,Lookup!$H$14:$H$21,,1)*G195),0)</f>
        <v>559.736</v>
      </c>
      <c r="J195" s="60">
        <f t="array" ref="J195">if(YEAR(A195)=2025,XLOOKUP(B195,Lookup!$F$3:$F$10,Lookup!$I$3:$I$10,,1)*G195, XLOOKUP(B195,Lookup!$F$14:$F$21,Lookup!$I$14:$I$21,,1)*G195)</f>
        <v>719.872</v>
      </c>
      <c r="K195" s="61">
        <f t="array" ref="K195">if(B195&gt;54, if(YEAR(A195)=2025,XLOOKUP(B195,Lookup!$F$3:$F$10,Lookup!$H$3:$H$10,,1)*G195, XLOOKUP(B195,Lookup!$F$14:$F$21,Lookup!$H$14:$H$21,,1)*G195),0)</f>
        <v>0</v>
      </c>
      <c r="L195" s="62">
        <f>IF(and(A195&lt;questions!$C$19,questions!$C$18="yes"),questions!$C$20,0)</f>
        <v>700</v>
      </c>
      <c r="M195" s="63">
        <f>(Y194+H195)*Lookup!A$26/12</f>
        <v>609.6192366</v>
      </c>
      <c r="N195" s="63">
        <f>if(B195&lt;55, (Z194+I195)*Lookup!B$26/12, (AB194+K195)*Lookup!B$26/12)</f>
        <v>696.7302065</v>
      </c>
      <c r="O195" s="63">
        <f>(AA194+J195)*Lookup!C$26/12</f>
        <v>448.3739121</v>
      </c>
      <c r="P195" s="63">
        <f t="shared" si="8"/>
        <v>1822.73026</v>
      </c>
      <c r="Q195" s="63">
        <f t="shared" si="4"/>
        <v>2084.593259</v>
      </c>
      <c r="R195" s="63">
        <f t="shared" si="5"/>
        <v>1337.923016</v>
      </c>
      <c r="S195" s="64">
        <f t="shared" si="9"/>
        <v>16.66666667</v>
      </c>
      <c r="T195" s="64">
        <f t="shared" si="10"/>
        <v>33.33333333</v>
      </c>
      <c r="U195" s="64">
        <f t="shared" si="11"/>
        <v>0</v>
      </c>
      <c r="V195" s="64">
        <f t="shared" ref="V195:X195" si="203">IF(year($A195)=year($A194), V194+S195, S195)</f>
        <v>50</v>
      </c>
      <c r="W195" s="64">
        <f t="shared" si="203"/>
        <v>100</v>
      </c>
      <c r="X195" s="64">
        <f t="shared" si="203"/>
        <v>0</v>
      </c>
      <c r="Y195" s="65">
        <f>IFS(
  B195&lt;55,
    MAX(
      Y194 + IF(MONTH(A195)=12, P195+V195, 0) + H195 - L195
      + MAX(0,
          IF(AA194 &gt;= VLOOKUP(YEAR(A195), Lookup!$Q:$R, 2),
            Z194 + IF(MONTH(A195)=12, Q195+W195, 0) + I195
              + AA194 + IF(MONTH(A195)=12, R195+X195, 0)
              - VLOOKUP(YEAR(A195), Lookup!$Q:$R, 2) + J195,
            Z194 + IF(MONTH(A195)=12, Q195+W195, 0) + I195
          ) - VLOOKUP(YEAR(A195), Lookup!$K:$M, 3)
        ),
    0),
  B195=55,
    IF(Z194&gt;=AD195,
      MAX(Y194 + IF(MONTH(A195)=12, P195+V195, 0) + H195 - L195, 0),
      MAX(MAX(0, Y194-(AD195-Z194)) + IF(MONTH(A195)=12, P195+V195, 0) + H195 - L195, 0)
    ),
  B195&gt;55,
    IF(AB194&gt;=$AH$7,
      MAX(Y194 + IF(MONTH(A195)=12, P195+V195, 0) + H195 - L195 + K195 + Z194, 0),
      MAX(Y194 + IF(MONTH(A195)=12, P195+V195, 0) + H195 - L195, 0)
    )
)</f>
        <v>291917.2335</v>
      </c>
      <c r="Z195" s="65">
        <f>IFS(
  B195&lt;55,
    MIN(
      IF(AA194 &gt;= VLOOKUP(YEAR(A195), Lookup!$Q:$R, 2),
        Z194 + IF(MONTH(A195)=12, Q195+W195, 0) + I195
          + AA194 + IF(MONTH(A195)=12, R195+X195, 0) - VLOOKUP(YEAR(A195), Lookup!$Q:$R, 2) + J195,
        Z194 + IF(MONTH(A195)=12, Q195+W195, 0) + I195
      ),
      VLOOKUP(YEAR(A195), Lookup!$K:$M, 3)
    ),
  B195=55,
    IF(Z194 &gt;= AD195, Z194 - AD195, 0),
  B195&gt;55, 0
)</f>
        <v>209019.0619</v>
      </c>
      <c r="AA195" s="65">
        <f>IFS(
  B195&lt;65,
    IF(AA194+J195 &lt; VLOOKUP(YEAR(A195), Lookup!$Q:$R, 2),
      AA194 + IF(MONTH(A195)=12, R194+X194, 0) + J195,
      MIN(
        AA194 + IF(MONTH(A195)=12, R194+X194, 0) + J195 ,
        VLOOKUP(YEAR(A195), Lookup!$Q:$R, 2)
      )
    ),
  B195&gt;=65,
    IF(AA194+J195 &lt; VLOOKUP(questions!$C$5, Lookup!$Q:$R, 2),
      AA194 + IF(MONTH(A195)=12, R194+X194, 0) + J195 ,
      MIN(
        AA194 + IF(MONTH(A195)=12, R194+X194, 0) + J195,
        VLOOKUP(questions!$C$5, Lookup!$Q:$R, 2)
      )
    )
)</f>
        <v>134512.1736</v>
      </c>
      <c r="AB195" s="65">
        <f t="shared" si="13"/>
        <v>0</v>
      </c>
      <c r="AC195" s="66">
        <f t="array" ref="AC195">IFS(B195&lt;66, XLOOKUP(year(A195),Lookup!$K$13:$K1000,Lookup!$L$13:$L1000,"missing",,1),B195&gt;65,XLOOKUP(questions!$C$5,Lookup!$K$13:$K1000,Lookup!$L$13:$L1000,"missing",,1))</f>
        <v>191157.3016</v>
      </c>
      <c r="AD195" s="66">
        <f t="array" ref="AD195">IFS(B195&lt;66, XLOOKUP(year(A195),Lookup!$K$13:$K1000,Lookup!$M$13:$M1000,"missing",,1),B195&gt;65, XLOOKUP(questions!$C$5,Lookup!$K$13:$K1000,Lookup!$M$13:$M1000,"missing",,1))</f>
        <v>382314.6032</v>
      </c>
      <c r="AE195" s="66">
        <f t="array" ref="AE195">IFS(B195&lt;66, XLOOKUP(year(A195),Lookup!$K$13:$K1000,Lookup!$N$13:$N1000,"missing",,1),B195&gt;65,XLOOKUP(questions!$C$5,Lookup!$K$13:$K1000,Lookup!$N$13:$N1000,"missing",,1))</f>
        <v>764629.2064</v>
      </c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</row>
    <row r="196">
      <c r="A196" s="55">
        <f t="shared" si="7"/>
        <v>51986</v>
      </c>
      <c r="B196" s="56">
        <f>round(YEARFRAC(EOMONTH(questions!$C$3, 0),A196,1),2)</f>
        <v>43.41</v>
      </c>
      <c r="C196" s="57">
        <f>IF(B196&lt;questions!$C$6,if(MONTH(A196)=1,C195*(1+questions!$C$12),C195),0)</f>
        <v>16047.06439</v>
      </c>
      <c r="D196" s="58">
        <f>IF(MONTH(A196)=12,C196*questions!$C$11,0)</f>
        <v>0</v>
      </c>
      <c r="E196" s="59">
        <f t="shared" si="2"/>
        <v>8000</v>
      </c>
      <c r="F196" s="59">
        <f t="shared" si="3"/>
        <v>0</v>
      </c>
      <c r="G196" s="60">
        <f t="array" ref="G196">if(YEAR(A196)=2025,XLOOKUP(B196,Lookup!$A$3:$A$7,Lookup!$D$3:$D$7,,1)*SUM(E196:F196), XLOOKUP(B196,Lookup!$A$14:$A$18,Lookup!$D$14:$D$18,,1)*SUM(E196:F196))</f>
        <v>2960</v>
      </c>
      <c r="H196" s="60">
        <f t="array" ref="H196">if(YEAR(A196)=2025,XLOOKUP(B196,Lookup!$F$3:$F$10,Lookup!$G$3:$G$10,,1)*G196, XLOOKUP(B196,Lookup!$F$14:$F$21,Lookup!$G$14:$G$21,,1)*G196)</f>
        <v>1680.392</v>
      </c>
      <c r="I196" s="60">
        <f t="array" ref="I196">if(B196&lt;55, if(YEAR(A196)=2025,XLOOKUP(B196,Lookup!$F$3:$F$10,Lookup!$H$3:$H$10,,1)*G196, XLOOKUP(B196,Lookup!$F$14:$F$21,Lookup!$H$14:$H$21,,1)*G196),0)</f>
        <v>559.736</v>
      </c>
      <c r="J196" s="60">
        <f t="array" ref="J196">if(YEAR(A196)=2025,XLOOKUP(B196,Lookup!$F$3:$F$10,Lookup!$I$3:$I$10,,1)*G196, XLOOKUP(B196,Lookup!$F$14:$F$21,Lookup!$I$14:$I$21,,1)*G196)</f>
        <v>719.872</v>
      </c>
      <c r="K196" s="61">
        <f t="array" ref="K196">if(B196&gt;54, if(YEAR(A196)=2025,XLOOKUP(B196,Lookup!$F$3:$F$10,Lookup!$H$3:$H$10,,1)*G196, XLOOKUP(B196,Lookup!$F$14:$F$21,Lookup!$H$14:$H$21,,1)*G196),0)</f>
        <v>0</v>
      </c>
      <c r="L196" s="62">
        <f>IF(and(A196&lt;questions!$C$19,questions!$C$18="yes"),questions!$C$20,0)</f>
        <v>700</v>
      </c>
      <c r="M196" s="63">
        <f>(Y195+H196)*Lookup!A$26/12</f>
        <v>611.6617199</v>
      </c>
      <c r="N196" s="63">
        <f>if(B196&lt;55, (Z195+I196)*Lookup!B$26/12, (AB195+K196)*Lookup!B$26/12)</f>
        <v>698.5959931</v>
      </c>
      <c r="O196" s="63">
        <f>(AA195+J196)*Lookup!C$26/12</f>
        <v>450.7734854</v>
      </c>
      <c r="P196" s="63">
        <f t="shared" si="8"/>
        <v>2434.39198</v>
      </c>
      <c r="Q196" s="63">
        <f t="shared" si="4"/>
        <v>2783.189253</v>
      </c>
      <c r="R196" s="63">
        <f t="shared" si="5"/>
        <v>1788.696502</v>
      </c>
      <c r="S196" s="64">
        <f t="shared" si="9"/>
        <v>16.66666667</v>
      </c>
      <c r="T196" s="64">
        <f t="shared" si="10"/>
        <v>33.33333333</v>
      </c>
      <c r="U196" s="64">
        <f t="shared" si="11"/>
        <v>0</v>
      </c>
      <c r="V196" s="64">
        <f t="shared" ref="V196:X196" si="204">IF(year($A196)=year($A195), V195+S196, S196)</f>
        <v>66.66666667</v>
      </c>
      <c r="W196" s="64">
        <f t="shared" si="204"/>
        <v>133.3333333</v>
      </c>
      <c r="X196" s="64">
        <f t="shared" si="204"/>
        <v>0</v>
      </c>
      <c r="Y196" s="65">
        <f>IFS(
  B196&lt;55,
    MAX(
      Y195 + IF(MONTH(A196)=12, P196+V196, 0) + H196 - L196
      + MAX(0,
          IF(AA195 &gt;= VLOOKUP(YEAR(A196), Lookup!$Q:$R, 2),
            Z195 + IF(MONTH(A196)=12, Q196+W196, 0) + I196
              + AA195 + IF(MONTH(A196)=12, R196+X196, 0)
              - VLOOKUP(YEAR(A196), Lookup!$Q:$R, 2) + J196,
            Z195 + IF(MONTH(A196)=12, Q196+W196, 0) + I196
          ) - VLOOKUP(YEAR(A196), Lookup!$K:$M, 3)
        ),
    0),
  B196=55,
    IF(Z195&gt;=AD196,
      MAX(Y195 + IF(MONTH(A196)=12, P196+V196, 0) + H196 - L196, 0),
      MAX(MAX(0, Y195-(AD196-Z195)) + IF(MONTH(A196)=12, P196+V196, 0) + H196 - L196, 0)
    ),
  B196&gt;55,
    IF(AB195&gt;=$AH$7,
      MAX(Y195 + IF(MONTH(A196)=12, P196+V196, 0) + H196 - L196 + K196 + Z195, 0),
      MAX(Y195 + IF(MONTH(A196)=12, P196+V196, 0) + H196 - L196, 0)
    )
)</f>
        <v>292897.6255</v>
      </c>
      <c r="Z196" s="65">
        <f>IFS(
  B196&lt;55,
    MIN(
      IF(AA195 &gt;= VLOOKUP(YEAR(A196), Lookup!$Q:$R, 2),
        Z195 + IF(MONTH(A196)=12, Q196+W196, 0) + I196
          + AA195 + IF(MONTH(A196)=12, R196+X196, 0) - VLOOKUP(YEAR(A196), Lookup!$Q:$R, 2) + J196,
        Z195 + IF(MONTH(A196)=12, Q196+W196, 0) + I196
      ),
      VLOOKUP(YEAR(A196), Lookup!$K:$M, 3)
    ),
  B196=55,
    IF(Z195 &gt;= AD196, Z195 - AD196, 0),
  B196&gt;55, 0
)</f>
        <v>209578.7979</v>
      </c>
      <c r="AA196" s="65">
        <f>IFS(
  B196&lt;65,
    IF(AA195+J196 &lt; VLOOKUP(YEAR(A196), Lookup!$Q:$R, 2),
      AA195 + IF(MONTH(A196)=12, R195+X195, 0) + J196,
      MIN(
        AA195 + IF(MONTH(A196)=12, R195+X195, 0) + J196 ,
        VLOOKUP(YEAR(A196), Lookup!$Q:$R, 2)
      )
    ),
  B196&gt;=65,
    IF(AA195+J196 &lt; VLOOKUP(questions!$C$5, Lookup!$Q:$R, 2),
      AA195 + IF(MONTH(A196)=12, R195+X195, 0) + J196 ,
      MIN(
        AA195 + IF(MONTH(A196)=12, R195+X195, 0) + J196,
        VLOOKUP(questions!$C$5, Lookup!$Q:$R, 2)
      )
    )
)</f>
        <v>135232.0456</v>
      </c>
      <c r="AB196" s="65">
        <f t="shared" si="13"/>
        <v>0</v>
      </c>
      <c r="AC196" s="66">
        <f t="array" ref="AC196">IFS(B196&lt;66, XLOOKUP(year(A196),Lookup!$K$13:$K1000,Lookup!$L$13:$L1000,"missing",,1),B196&gt;65,XLOOKUP(questions!$C$5,Lookup!$K$13:$K1000,Lookup!$L$13:$L1000,"missing",,1))</f>
        <v>191157.3016</v>
      </c>
      <c r="AD196" s="66">
        <f t="array" ref="AD196">IFS(B196&lt;66, XLOOKUP(year(A196),Lookup!$K$13:$K1000,Lookup!$M$13:$M1000,"missing",,1),B196&gt;65, XLOOKUP(questions!$C$5,Lookup!$K$13:$K1000,Lookup!$M$13:$M1000,"missing",,1))</f>
        <v>382314.6032</v>
      </c>
      <c r="AE196" s="66">
        <f t="array" ref="AE196">IFS(B196&lt;66, XLOOKUP(year(A196),Lookup!$K$13:$K1000,Lookup!$N$13:$N1000,"missing",,1),B196&gt;65,XLOOKUP(questions!$C$5,Lookup!$K$13:$K1000,Lookup!$N$13:$N1000,"missing",,1))</f>
        <v>764629.2064</v>
      </c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</row>
    <row r="197">
      <c r="A197" s="55">
        <f t="shared" si="7"/>
        <v>52017</v>
      </c>
      <c r="B197" s="56">
        <f>round(YEARFRAC(EOMONTH(questions!$C$3, 0),A197,1),2)</f>
        <v>43.5</v>
      </c>
      <c r="C197" s="57">
        <f>IF(B197&lt;questions!$C$6,if(MONTH(A197)=1,C196*(1+questions!$C$12),C196),0)</f>
        <v>16047.06439</v>
      </c>
      <c r="D197" s="58">
        <f>IF(MONTH(A197)=12,C197*questions!$C$11,0)</f>
        <v>0</v>
      </c>
      <c r="E197" s="59">
        <f t="shared" si="2"/>
        <v>8000</v>
      </c>
      <c r="F197" s="59">
        <f t="shared" si="3"/>
        <v>0</v>
      </c>
      <c r="G197" s="60">
        <f t="array" ref="G197">if(YEAR(A197)=2025,XLOOKUP(B197,Lookup!$A$3:$A$7,Lookup!$D$3:$D$7,,1)*SUM(E197:F197), XLOOKUP(B197,Lookup!$A$14:$A$18,Lookup!$D$14:$D$18,,1)*SUM(E197:F197))</f>
        <v>2960</v>
      </c>
      <c r="H197" s="60">
        <f t="array" ref="H197">if(YEAR(A197)=2025,XLOOKUP(B197,Lookup!$F$3:$F$10,Lookup!$G$3:$G$10,,1)*G197, XLOOKUP(B197,Lookup!$F$14:$F$21,Lookup!$G$14:$G$21,,1)*G197)</f>
        <v>1680.392</v>
      </c>
      <c r="I197" s="60">
        <f t="array" ref="I197">if(B197&lt;55, if(YEAR(A197)=2025,XLOOKUP(B197,Lookup!$F$3:$F$10,Lookup!$H$3:$H$10,,1)*G197, XLOOKUP(B197,Lookup!$F$14:$F$21,Lookup!$H$14:$H$21,,1)*G197),0)</f>
        <v>559.736</v>
      </c>
      <c r="J197" s="60">
        <f t="array" ref="J197">if(YEAR(A197)=2025,XLOOKUP(B197,Lookup!$F$3:$F$10,Lookup!$I$3:$I$10,,1)*G197, XLOOKUP(B197,Lookup!$F$14:$F$21,Lookup!$I$14:$I$21,,1)*G197)</f>
        <v>719.872</v>
      </c>
      <c r="K197" s="61">
        <f t="array" ref="K197">if(B197&gt;54, if(YEAR(A197)=2025,XLOOKUP(B197,Lookup!$F$3:$F$10,Lookup!$H$3:$H$10,,1)*G197, XLOOKUP(B197,Lookup!$F$14:$F$21,Lookup!$H$14:$H$21,,1)*G197),0)</f>
        <v>0</v>
      </c>
      <c r="L197" s="62">
        <f>IF(and(A197&lt;questions!$C$19,questions!$C$18="yes"),questions!$C$20,0)</f>
        <v>700</v>
      </c>
      <c r="M197" s="63">
        <f>(Y196+H197)*Lookup!A$26/12</f>
        <v>613.7042032</v>
      </c>
      <c r="N197" s="63">
        <f>if(B197&lt;55, (Z196+I197)*Lookup!B$26/12, (AB196+K197)*Lookup!B$26/12)</f>
        <v>700.4617798</v>
      </c>
      <c r="O197" s="63">
        <f>(AA196+J197)*Lookup!C$26/12</f>
        <v>453.1730588</v>
      </c>
      <c r="P197" s="63">
        <f t="shared" si="8"/>
        <v>3048.096183</v>
      </c>
      <c r="Q197" s="63">
        <f t="shared" si="4"/>
        <v>3483.651032</v>
      </c>
      <c r="R197" s="63">
        <f t="shared" si="5"/>
        <v>2241.86956</v>
      </c>
      <c r="S197" s="64">
        <f t="shared" si="9"/>
        <v>16.66666667</v>
      </c>
      <c r="T197" s="64">
        <f t="shared" si="10"/>
        <v>33.33333333</v>
      </c>
      <c r="U197" s="64">
        <f t="shared" si="11"/>
        <v>0</v>
      </c>
      <c r="V197" s="64">
        <f t="shared" ref="V197:X197" si="205">IF(year($A197)=year($A196), V196+S197, S197)</f>
        <v>83.33333333</v>
      </c>
      <c r="W197" s="64">
        <f t="shared" si="205"/>
        <v>166.6666667</v>
      </c>
      <c r="X197" s="64">
        <f t="shared" si="205"/>
        <v>0</v>
      </c>
      <c r="Y197" s="65">
        <f>IFS(
  B197&lt;55,
    MAX(
      Y196 + IF(MONTH(A197)=12, P197+V197, 0) + H197 - L197
      + MAX(0,
          IF(AA196 &gt;= VLOOKUP(YEAR(A197), Lookup!$Q:$R, 2),
            Z196 + IF(MONTH(A197)=12, Q197+W197, 0) + I197
              + AA196 + IF(MONTH(A197)=12, R197+X197, 0)
              - VLOOKUP(YEAR(A197), Lookup!$Q:$R, 2) + J197,
            Z196 + IF(MONTH(A197)=12, Q197+W197, 0) + I197
          ) - VLOOKUP(YEAR(A197), Lookup!$K:$M, 3)
        ),
    0),
  B197=55,
    IF(Z196&gt;=AD197,
      MAX(Y196 + IF(MONTH(A197)=12, P197+V197, 0) + H197 - L197, 0),
      MAX(MAX(0, Y196-(AD197-Z196)) + IF(MONTH(A197)=12, P197+V197, 0) + H197 - L197, 0)
    ),
  B197&gt;55,
    IF(AB196&gt;=$AH$7,
      MAX(Y196 + IF(MONTH(A197)=12, P197+V197, 0) + H197 - L197 + K197 + Z196, 0),
      MAX(Y196 + IF(MONTH(A197)=12, P197+V197, 0) + H197 - L197, 0)
    )
)</f>
        <v>293878.0175</v>
      </c>
      <c r="Z197" s="65">
        <f>IFS(
  B197&lt;55,
    MIN(
      IF(AA196 &gt;= VLOOKUP(YEAR(A197), Lookup!$Q:$R, 2),
        Z196 + IF(MONTH(A197)=12, Q197+W197, 0) + I197
          + AA196 + IF(MONTH(A197)=12, R197+X197, 0) - VLOOKUP(YEAR(A197), Lookup!$Q:$R, 2) + J197,
        Z196 + IF(MONTH(A197)=12, Q197+W197, 0) + I197
      ),
      VLOOKUP(YEAR(A197), Lookup!$K:$M, 3)
    ),
  B197=55,
    IF(Z196 &gt;= AD197, Z196 - AD197, 0),
  B197&gt;55, 0
)</f>
        <v>210138.5339</v>
      </c>
      <c r="AA197" s="65">
        <f>IFS(
  B197&lt;65,
    IF(AA196+J197 &lt; VLOOKUP(YEAR(A197), Lookup!$Q:$R, 2),
      AA196 + IF(MONTH(A197)=12, R196+X196, 0) + J197,
      MIN(
        AA196 + IF(MONTH(A197)=12, R196+X196, 0) + J197 ,
        VLOOKUP(YEAR(A197), Lookup!$Q:$R, 2)
      )
    ),
  B197&gt;=65,
    IF(AA196+J197 &lt; VLOOKUP(questions!$C$5, Lookup!$Q:$R, 2),
      AA196 + IF(MONTH(A197)=12, R196+X196, 0) + J197 ,
      MIN(
        AA196 + IF(MONTH(A197)=12, R196+X196, 0) + J197,
        VLOOKUP(questions!$C$5, Lookup!$Q:$R, 2)
      )
    )
)</f>
        <v>135951.9176</v>
      </c>
      <c r="AB197" s="65">
        <f t="shared" si="13"/>
        <v>0</v>
      </c>
      <c r="AC197" s="66">
        <f t="array" ref="AC197">IFS(B197&lt;66, XLOOKUP(year(A197),Lookup!$K$13:$K1000,Lookup!$L$13:$L1000,"missing",,1),B197&gt;65,XLOOKUP(questions!$C$5,Lookup!$K$13:$K1000,Lookup!$L$13:$L1000,"missing",,1))</f>
        <v>191157.3016</v>
      </c>
      <c r="AD197" s="66">
        <f t="array" ref="AD197">IFS(B197&lt;66, XLOOKUP(year(A197),Lookup!$K$13:$K1000,Lookup!$M$13:$M1000,"missing",,1),B197&gt;65, XLOOKUP(questions!$C$5,Lookup!$K$13:$K1000,Lookup!$M$13:$M1000,"missing",,1))</f>
        <v>382314.6032</v>
      </c>
      <c r="AE197" s="66">
        <f t="array" ref="AE197">IFS(B197&lt;66, XLOOKUP(year(A197),Lookup!$K$13:$K1000,Lookup!$N$13:$N1000,"missing",,1),B197&gt;65,XLOOKUP(questions!$C$5,Lookup!$K$13:$K1000,Lookup!$N$13:$N1000,"missing",,1))</f>
        <v>764629.2064</v>
      </c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</row>
    <row r="198">
      <c r="A198" s="55">
        <f t="shared" si="7"/>
        <v>52047</v>
      </c>
      <c r="B198" s="56">
        <f>round(YEARFRAC(EOMONTH(questions!$C$3, 0),A198,1),2)</f>
        <v>43.58</v>
      </c>
      <c r="C198" s="57">
        <f>IF(B198&lt;questions!$C$6,if(MONTH(A198)=1,C197*(1+questions!$C$12),C197),0)</f>
        <v>16047.06439</v>
      </c>
      <c r="D198" s="58">
        <f>IF(MONTH(A198)=12,C198*questions!$C$11,0)</f>
        <v>0</v>
      </c>
      <c r="E198" s="59">
        <f t="shared" si="2"/>
        <v>8000</v>
      </c>
      <c r="F198" s="59">
        <f t="shared" si="3"/>
        <v>0</v>
      </c>
      <c r="G198" s="60">
        <f t="array" ref="G198">if(YEAR(A198)=2025,XLOOKUP(B198,Lookup!$A$3:$A$7,Lookup!$D$3:$D$7,,1)*SUM(E198:F198), XLOOKUP(B198,Lookup!$A$14:$A$18,Lookup!$D$14:$D$18,,1)*SUM(E198:F198))</f>
        <v>2960</v>
      </c>
      <c r="H198" s="60">
        <f t="array" ref="H198">if(YEAR(A198)=2025,XLOOKUP(B198,Lookup!$F$3:$F$10,Lookup!$G$3:$G$10,,1)*G198, XLOOKUP(B198,Lookup!$F$14:$F$21,Lookup!$G$14:$G$21,,1)*G198)</f>
        <v>1680.392</v>
      </c>
      <c r="I198" s="60">
        <f t="array" ref="I198">if(B198&lt;55, if(YEAR(A198)=2025,XLOOKUP(B198,Lookup!$F$3:$F$10,Lookup!$H$3:$H$10,,1)*G198, XLOOKUP(B198,Lookup!$F$14:$F$21,Lookup!$H$14:$H$21,,1)*G198),0)</f>
        <v>559.736</v>
      </c>
      <c r="J198" s="60">
        <f t="array" ref="J198">if(YEAR(A198)=2025,XLOOKUP(B198,Lookup!$F$3:$F$10,Lookup!$I$3:$I$10,,1)*G198, XLOOKUP(B198,Lookup!$F$14:$F$21,Lookup!$I$14:$I$21,,1)*G198)</f>
        <v>719.872</v>
      </c>
      <c r="K198" s="61">
        <f t="array" ref="K198">if(B198&gt;54, if(YEAR(A198)=2025,XLOOKUP(B198,Lookup!$F$3:$F$10,Lookup!$H$3:$H$10,,1)*G198, XLOOKUP(B198,Lookup!$F$14:$F$21,Lookup!$H$14:$H$21,,1)*G198),0)</f>
        <v>0</v>
      </c>
      <c r="L198" s="62">
        <f>IF(and(A198&lt;questions!$C$19,questions!$C$18="yes"),questions!$C$20,0)</f>
        <v>700</v>
      </c>
      <c r="M198" s="63">
        <f>(Y197+H198)*Lookup!A$26/12</f>
        <v>615.7466866</v>
      </c>
      <c r="N198" s="63">
        <f>if(B198&lt;55, (Z197+I198)*Lookup!B$26/12, (AB197+K198)*Lookup!B$26/12)</f>
        <v>702.3275665</v>
      </c>
      <c r="O198" s="63">
        <f>(AA197+J198)*Lookup!C$26/12</f>
        <v>455.5726321</v>
      </c>
      <c r="P198" s="63">
        <f t="shared" si="8"/>
        <v>3663.842869</v>
      </c>
      <c r="Q198" s="63">
        <f t="shared" si="4"/>
        <v>4185.978599</v>
      </c>
      <c r="R198" s="63">
        <f t="shared" si="5"/>
        <v>2697.442193</v>
      </c>
      <c r="S198" s="64">
        <f t="shared" si="9"/>
        <v>16.66666667</v>
      </c>
      <c r="T198" s="64">
        <f t="shared" si="10"/>
        <v>33.33333333</v>
      </c>
      <c r="U198" s="64">
        <f t="shared" si="11"/>
        <v>0</v>
      </c>
      <c r="V198" s="64">
        <f t="shared" ref="V198:X198" si="206">IF(year($A198)=year($A197), V197+S198, S198)</f>
        <v>100</v>
      </c>
      <c r="W198" s="64">
        <f t="shared" si="206"/>
        <v>200</v>
      </c>
      <c r="X198" s="64">
        <f t="shared" si="206"/>
        <v>0</v>
      </c>
      <c r="Y198" s="65">
        <f>IFS(
  B198&lt;55,
    MAX(
      Y197 + IF(MONTH(A198)=12, P198+V198, 0) + H198 - L198
      + MAX(0,
          IF(AA197 &gt;= VLOOKUP(YEAR(A198), Lookup!$Q:$R, 2),
            Z197 + IF(MONTH(A198)=12, Q198+W198, 0) + I198
              + AA197 + IF(MONTH(A198)=12, R198+X198, 0)
              - VLOOKUP(YEAR(A198), Lookup!$Q:$R, 2) + J198,
            Z197 + IF(MONTH(A198)=12, Q198+W198, 0) + I198
          ) - VLOOKUP(YEAR(A198), Lookup!$K:$M, 3)
        ),
    0),
  B198=55,
    IF(Z197&gt;=AD198,
      MAX(Y197 + IF(MONTH(A198)=12, P198+V198, 0) + H198 - L198, 0),
      MAX(MAX(0, Y197-(AD198-Z197)) + IF(MONTH(A198)=12, P198+V198, 0) + H198 - L198, 0)
    ),
  B198&gt;55,
    IF(AB197&gt;=$AH$7,
      MAX(Y197 + IF(MONTH(A198)=12, P198+V198, 0) + H198 - L198 + K198 + Z197, 0),
      MAX(Y197 + IF(MONTH(A198)=12, P198+V198, 0) + H198 - L198, 0)
    )
)</f>
        <v>294858.4095</v>
      </c>
      <c r="Z198" s="65">
        <f>IFS(
  B198&lt;55,
    MIN(
      IF(AA197 &gt;= VLOOKUP(YEAR(A198), Lookup!$Q:$R, 2),
        Z197 + IF(MONTH(A198)=12, Q198+W198, 0) + I198
          + AA197 + IF(MONTH(A198)=12, R198+X198, 0) - VLOOKUP(YEAR(A198), Lookup!$Q:$R, 2) + J198,
        Z197 + IF(MONTH(A198)=12, Q198+W198, 0) + I198
      ),
      VLOOKUP(YEAR(A198), Lookup!$K:$M, 3)
    ),
  B198=55,
    IF(Z197 &gt;= AD198, Z197 - AD198, 0),
  B198&gt;55, 0
)</f>
        <v>210698.2699</v>
      </c>
      <c r="AA198" s="65">
        <f>IFS(
  B198&lt;65,
    IF(AA197+J198 &lt; VLOOKUP(YEAR(A198), Lookup!$Q:$R, 2),
      AA197 + IF(MONTH(A198)=12, R197+X197, 0) + J198,
      MIN(
        AA197 + IF(MONTH(A198)=12, R197+X197, 0) + J198 ,
        VLOOKUP(YEAR(A198), Lookup!$Q:$R, 2)
      )
    ),
  B198&gt;=65,
    IF(AA197+J198 &lt; VLOOKUP(questions!$C$5, Lookup!$Q:$R, 2),
      AA197 + IF(MONTH(A198)=12, R197+X197, 0) + J198 ,
      MIN(
        AA197 + IF(MONTH(A198)=12, R197+X197, 0) + J198,
        VLOOKUP(questions!$C$5, Lookup!$Q:$R, 2)
      )
    )
)</f>
        <v>136671.7896</v>
      </c>
      <c r="AB198" s="65">
        <f t="shared" si="13"/>
        <v>0</v>
      </c>
      <c r="AC198" s="66">
        <f t="array" ref="AC198">IFS(B198&lt;66, XLOOKUP(year(A198),Lookup!$K$13:$K1000,Lookup!$L$13:$L1000,"missing",,1),B198&gt;65,XLOOKUP(questions!$C$5,Lookup!$K$13:$K1000,Lookup!$L$13:$L1000,"missing",,1))</f>
        <v>191157.3016</v>
      </c>
      <c r="AD198" s="66">
        <f t="array" ref="AD198">IFS(B198&lt;66, XLOOKUP(year(A198),Lookup!$K$13:$K1000,Lookup!$M$13:$M1000,"missing",,1),B198&gt;65, XLOOKUP(questions!$C$5,Lookup!$K$13:$K1000,Lookup!$M$13:$M1000,"missing",,1))</f>
        <v>382314.6032</v>
      </c>
      <c r="AE198" s="66">
        <f t="array" ref="AE198">IFS(B198&lt;66, XLOOKUP(year(A198),Lookup!$K$13:$K1000,Lookup!$N$13:$N1000,"missing",,1),B198&gt;65,XLOOKUP(questions!$C$5,Lookup!$K$13:$K1000,Lookup!$N$13:$N1000,"missing",,1))</f>
        <v>764629.2064</v>
      </c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</row>
    <row r="199">
      <c r="A199" s="55">
        <f t="shared" si="7"/>
        <v>52078</v>
      </c>
      <c r="B199" s="56">
        <f>round(YEARFRAC(EOMONTH(questions!$C$3, 0),A199,1),2)</f>
        <v>43.67</v>
      </c>
      <c r="C199" s="57">
        <f>IF(B199&lt;questions!$C$6,if(MONTH(A199)=1,C198*(1+questions!$C$12),C198),0)</f>
        <v>16047.06439</v>
      </c>
      <c r="D199" s="58">
        <f>IF(MONTH(A199)=12,C199*questions!$C$11,0)</f>
        <v>0</v>
      </c>
      <c r="E199" s="59">
        <f t="shared" si="2"/>
        <v>8000</v>
      </c>
      <c r="F199" s="59">
        <f t="shared" si="3"/>
        <v>0</v>
      </c>
      <c r="G199" s="60">
        <f t="array" ref="G199">if(YEAR(A199)=2025,XLOOKUP(B199,Lookup!$A$3:$A$7,Lookup!$D$3:$D$7,,1)*SUM(E199:F199), XLOOKUP(B199,Lookup!$A$14:$A$18,Lookup!$D$14:$D$18,,1)*SUM(E199:F199))</f>
        <v>2960</v>
      </c>
      <c r="H199" s="60">
        <f t="array" ref="H199">if(YEAR(A199)=2025,XLOOKUP(B199,Lookup!$F$3:$F$10,Lookup!$G$3:$G$10,,1)*G199, XLOOKUP(B199,Lookup!$F$14:$F$21,Lookup!$G$14:$G$21,,1)*G199)</f>
        <v>1680.392</v>
      </c>
      <c r="I199" s="60">
        <f t="array" ref="I199">if(B199&lt;55, if(YEAR(A199)=2025,XLOOKUP(B199,Lookup!$F$3:$F$10,Lookup!$H$3:$H$10,,1)*G199, XLOOKUP(B199,Lookup!$F$14:$F$21,Lookup!$H$14:$H$21,,1)*G199),0)</f>
        <v>559.736</v>
      </c>
      <c r="J199" s="60">
        <f t="array" ref="J199">if(YEAR(A199)=2025,XLOOKUP(B199,Lookup!$F$3:$F$10,Lookup!$I$3:$I$10,,1)*G199, XLOOKUP(B199,Lookup!$F$14:$F$21,Lookup!$I$14:$I$21,,1)*G199)</f>
        <v>719.872</v>
      </c>
      <c r="K199" s="61">
        <f t="array" ref="K199">if(B199&gt;54, if(YEAR(A199)=2025,XLOOKUP(B199,Lookup!$F$3:$F$10,Lookup!$H$3:$H$10,,1)*G199, XLOOKUP(B199,Lookup!$F$14:$F$21,Lookup!$H$14:$H$21,,1)*G199),0)</f>
        <v>0</v>
      </c>
      <c r="L199" s="62">
        <f>IF(and(A199&lt;questions!$C$19,questions!$C$18="yes"),questions!$C$20,0)</f>
        <v>700</v>
      </c>
      <c r="M199" s="63">
        <f>(Y198+H199)*Lookup!A$26/12</f>
        <v>617.7891699</v>
      </c>
      <c r="N199" s="63">
        <f>if(B199&lt;55, (Z198+I199)*Lookup!B$26/12, (AB198+K199)*Lookup!B$26/12)</f>
        <v>704.1933531</v>
      </c>
      <c r="O199" s="63">
        <f>(AA198+J199)*Lookup!C$26/12</f>
        <v>457.9722054</v>
      </c>
      <c r="P199" s="63">
        <f t="shared" si="8"/>
        <v>4281.632039</v>
      </c>
      <c r="Q199" s="63">
        <f t="shared" si="4"/>
        <v>4890.171952</v>
      </c>
      <c r="R199" s="63">
        <f t="shared" si="5"/>
        <v>3155.414398</v>
      </c>
      <c r="S199" s="64">
        <f t="shared" si="9"/>
        <v>16.66666667</v>
      </c>
      <c r="T199" s="64">
        <f t="shared" si="10"/>
        <v>33.33333333</v>
      </c>
      <c r="U199" s="64">
        <f t="shared" si="11"/>
        <v>0</v>
      </c>
      <c r="V199" s="64">
        <f t="shared" ref="V199:X199" si="207">IF(year($A199)=year($A198), V198+S199, S199)</f>
        <v>116.6666667</v>
      </c>
      <c r="W199" s="64">
        <f t="shared" si="207"/>
        <v>233.3333333</v>
      </c>
      <c r="X199" s="64">
        <f t="shared" si="207"/>
        <v>0</v>
      </c>
      <c r="Y199" s="65">
        <f>IFS(
  B199&lt;55,
    MAX(
      Y198 + IF(MONTH(A199)=12, P199+V199, 0) + H199 - L199
      + MAX(0,
          IF(AA198 &gt;= VLOOKUP(YEAR(A199), Lookup!$Q:$R, 2),
            Z198 + IF(MONTH(A199)=12, Q199+W199, 0) + I199
              + AA198 + IF(MONTH(A199)=12, R199+X199, 0)
              - VLOOKUP(YEAR(A199), Lookup!$Q:$R, 2) + J199,
            Z198 + IF(MONTH(A199)=12, Q199+W199, 0) + I199
          ) - VLOOKUP(YEAR(A199), Lookup!$K:$M, 3)
        ),
    0),
  B199=55,
    IF(Z198&gt;=AD199,
      MAX(Y198 + IF(MONTH(A199)=12, P199+V199, 0) + H199 - L199, 0),
      MAX(MAX(0, Y198-(AD199-Z198)) + IF(MONTH(A199)=12, P199+V199, 0) + H199 - L199, 0)
    ),
  B199&gt;55,
    IF(AB198&gt;=$AH$7,
      MAX(Y198 + IF(MONTH(A199)=12, P199+V199, 0) + H199 - L199 + K199 + Z198, 0),
      MAX(Y198 + IF(MONTH(A199)=12, P199+V199, 0) + H199 - L199, 0)
    )
)</f>
        <v>295838.8015</v>
      </c>
      <c r="Z199" s="65">
        <f>IFS(
  B199&lt;55,
    MIN(
      IF(AA198 &gt;= VLOOKUP(YEAR(A199), Lookup!$Q:$R, 2),
        Z198 + IF(MONTH(A199)=12, Q199+W199, 0) + I199
          + AA198 + IF(MONTH(A199)=12, R199+X199, 0) - VLOOKUP(YEAR(A199), Lookup!$Q:$R, 2) + J199,
        Z198 + IF(MONTH(A199)=12, Q199+W199, 0) + I199
      ),
      VLOOKUP(YEAR(A199), Lookup!$K:$M, 3)
    ),
  B199=55,
    IF(Z198 &gt;= AD199, Z198 - AD199, 0),
  B199&gt;55, 0
)</f>
        <v>211258.0059</v>
      </c>
      <c r="AA199" s="65">
        <f>IFS(
  B199&lt;65,
    IF(AA198+J199 &lt; VLOOKUP(YEAR(A199), Lookup!$Q:$R, 2),
      AA198 + IF(MONTH(A199)=12, R198+X198, 0) + J199,
      MIN(
        AA198 + IF(MONTH(A199)=12, R198+X198, 0) + J199 ,
        VLOOKUP(YEAR(A199), Lookup!$Q:$R, 2)
      )
    ),
  B199&gt;=65,
    IF(AA198+J199 &lt; VLOOKUP(questions!$C$5, Lookup!$Q:$R, 2),
      AA198 + IF(MONTH(A199)=12, R198+X198, 0) + J199 ,
      MIN(
        AA198 + IF(MONTH(A199)=12, R198+X198, 0) + J199,
        VLOOKUP(questions!$C$5, Lookup!$Q:$R, 2)
      )
    )
)</f>
        <v>136984.8971</v>
      </c>
      <c r="AB199" s="65">
        <f t="shared" si="13"/>
        <v>0</v>
      </c>
      <c r="AC199" s="66">
        <f t="array" ref="AC199">IFS(B199&lt;66, XLOOKUP(year(A199),Lookup!$K$13:$K1000,Lookup!$L$13:$L1000,"missing",,1),B199&gt;65,XLOOKUP(questions!$C$5,Lookup!$K$13:$K1000,Lookup!$L$13:$L1000,"missing",,1))</f>
        <v>191157.3016</v>
      </c>
      <c r="AD199" s="66">
        <f t="array" ref="AD199">IFS(B199&lt;66, XLOOKUP(year(A199),Lookup!$K$13:$K1000,Lookup!$M$13:$M1000,"missing",,1),B199&gt;65, XLOOKUP(questions!$C$5,Lookup!$K$13:$K1000,Lookup!$M$13:$M1000,"missing",,1))</f>
        <v>382314.6032</v>
      </c>
      <c r="AE199" s="66">
        <f t="array" ref="AE199">IFS(B199&lt;66, XLOOKUP(year(A199),Lookup!$K$13:$K1000,Lookup!$N$13:$N1000,"missing",,1),B199&gt;65,XLOOKUP(questions!$C$5,Lookup!$K$13:$K1000,Lookup!$N$13:$N1000,"missing",,1))</f>
        <v>764629.2064</v>
      </c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</row>
    <row r="200">
      <c r="A200" s="55">
        <f t="shared" si="7"/>
        <v>52109</v>
      </c>
      <c r="B200" s="56">
        <f>round(YEARFRAC(EOMONTH(questions!$C$3, 0),A200,1),2)</f>
        <v>43.75</v>
      </c>
      <c r="C200" s="57">
        <f>IF(B200&lt;questions!$C$6,if(MONTH(A200)=1,C199*(1+questions!$C$12),C199),0)</f>
        <v>16047.06439</v>
      </c>
      <c r="D200" s="58">
        <f>IF(MONTH(A200)=12,C200*questions!$C$11,0)</f>
        <v>0</v>
      </c>
      <c r="E200" s="59">
        <f t="shared" si="2"/>
        <v>8000</v>
      </c>
      <c r="F200" s="59">
        <f t="shared" si="3"/>
        <v>0</v>
      </c>
      <c r="G200" s="60">
        <f t="array" ref="G200">if(YEAR(A200)=2025,XLOOKUP(B200,Lookup!$A$3:$A$7,Lookup!$D$3:$D$7,,1)*SUM(E200:F200), XLOOKUP(B200,Lookup!$A$14:$A$18,Lookup!$D$14:$D$18,,1)*SUM(E200:F200))</f>
        <v>2960</v>
      </c>
      <c r="H200" s="60">
        <f t="array" ref="H200">if(YEAR(A200)=2025,XLOOKUP(B200,Lookup!$F$3:$F$10,Lookup!$G$3:$G$10,,1)*G200, XLOOKUP(B200,Lookup!$F$14:$F$21,Lookup!$G$14:$G$21,,1)*G200)</f>
        <v>1680.392</v>
      </c>
      <c r="I200" s="60">
        <f t="array" ref="I200">if(B200&lt;55, if(YEAR(A200)=2025,XLOOKUP(B200,Lookup!$F$3:$F$10,Lookup!$H$3:$H$10,,1)*G200, XLOOKUP(B200,Lookup!$F$14:$F$21,Lookup!$H$14:$H$21,,1)*G200),0)</f>
        <v>559.736</v>
      </c>
      <c r="J200" s="60">
        <f t="array" ref="J200">if(YEAR(A200)=2025,XLOOKUP(B200,Lookup!$F$3:$F$10,Lookup!$I$3:$I$10,,1)*G200, XLOOKUP(B200,Lookup!$F$14:$F$21,Lookup!$I$14:$I$21,,1)*G200)</f>
        <v>719.872</v>
      </c>
      <c r="K200" s="61">
        <f t="array" ref="K200">if(B200&gt;54, if(YEAR(A200)=2025,XLOOKUP(B200,Lookup!$F$3:$F$10,Lookup!$H$3:$H$10,,1)*G200, XLOOKUP(B200,Lookup!$F$14:$F$21,Lookup!$H$14:$H$21,,1)*G200),0)</f>
        <v>0</v>
      </c>
      <c r="L200" s="62">
        <f>IF(and(A200&lt;questions!$C$19,questions!$C$18="yes"),questions!$C$20,0)</f>
        <v>700</v>
      </c>
      <c r="M200" s="63">
        <f>(Y199+H200)*Lookup!A$26/12</f>
        <v>619.8316532</v>
      </c>
      <c r="N200" s="63">
        <f>if(B200&lt;55, (Z199+I200)*Lookup!B$26/12, (AB199+K200)*Lookup!B$26/12)</f>
        <v>706.0591398</v>
      </c>
      <c r="O200" s="63">
        <f>(AA199+J200)*Lookup!C$26/12</f>
        <v>459.0158972</v>
      </c>
      <c r="P200" s="63">
        <f t="shared" si="8"/>
        <v>4901.463692</v>
      </c>
      <c r="Q200" s="63">
        <f t="shared" si="4"/>
        <v>5596.231092</v>
      </c>
      <c r="R200" s="63">
        <f t="shared" si="5"/>
        <v>3614.430295</v>
      </c>
      <c r="S200" s="64">
        <f t="shared" si="9"/>
        <v>16.66666667</v>
      </c>
      <c r="T200" s="64">
        <f t="shared" si="10"/>
        <v>33.33333333</v>
      </c>
      <c r="U200" s="64">
        <f t="shared" si="11"/>
        <v>0</v>
      </c>
      <c r="V200" s="64">
        <f t="shared" ref="V200:X200" si="208">IF(year($A200)=year($A199), V199+S200, S200)</f>
        <v>133.3333333</v>
      </c>
      <c r="W200" s="64">
        <f t="shared" si="208"/>
        <v>266.6666667</v>
      </c>
      <c r="X200" s="64">
        <f t="shared" si="208"/>
        <v>0</v>
      </c>
      <c r="Y200" s="65">
        <f>IFS(
  B200&lt;55,
    MAX(
      Y199 + IF(MONTH(A200)=12, P200+V200, 0) + H200 - L200
      + MAX(0,
          IF(AA199 &gt;= VLOOKUP(YEAR(A200), Lookup!$Q:$R, 2),
            Z199 + IF(MONTH(A200)=12, Q200+W200, 0) + I200
              + AA199 + IF(MONTH(A200)=12, R200+X200, 0)
              - VLOOKUP(YEAR(A200), Lookup!$Q:$R, 2) + J200,
            Z199 + IF(MONTH(A200)=12, Q200+W200, 0) + I200
          ) - VLOOKUP(YEAR(A200), Lookup!$K:$M, 3)
        ),
    0),
  B200=55,
    IF(Z199&gt;=AD200,
      MAX(Y199 + IF(MONTH(A200)=12, P200+V200, 0) + H200 - L200, 0),
      MAX(MAX(0, Y199-(AD200-Z199)) + IF(MONTH(A200)=12, P200+V200, 0) + H200 - L200, 0)
    ),
  B200&gt;55,
    IF(AB199&gt;=$AH$7,
      MAX(Y199 + IF(MONTH(A200)=12, P200+V200, 0) + H200 - L200 + K200 + Z199, 0),
      MAX(Y199 + IF(MONTH(A200)=12, P200+V200, 0) + H200 - L200, 0)
    )
)</f>
        <v>296819.1935</v>
      </c>
      <c r="Z200" s="65">
        <f>IFS(
  B200&lt;55,
    MIN(
      IF(AA199 &gt;= VLOOKUP(YEAR(A200), Lookup!$Q:$R, 2),
        Z199 + IF(MONTH(A200)=12, Q200+W200, 0) + I200
          + AA199 + IF(MONTH(A200)=12, R200+X200, 0) - VLOOKUP(YEAR(A200), Lookup!$Q:$R, 2) + J200,
        Z199 + IF(MONTH(A200)=12, Q200+W200, 0) + I200
      ),
      VLOOKUP(YEAR(A200), Lookup!$K:$M, 3)
    ),
  B200=55,
    IF(Z199 &gt;= AD200, Z199 - AD200, 0),
  B200&gt;55, 0
)</f>
        <v>212537.6139</v>
      </c>
      <c r="AA200" s="65">
        <f>IFS(
  B200&lt;65,
    IF(AA199+J200 &lt; VLOOKUP(YEAR(A200), Lookup!$Q:$R, 2),
      AA199 + IF(MONTH(A200)=12, R199+X199, 0) + J200,
      MIN(
        AA199 + IF(MONTH(A200)=12, R199+X199, 0) + J200 ,
        VLOOKUP(YEAR(A200), Lookup!$Q:$R, 2)
      )
    ),
  B200&gt;=65,
    IF(AA199+J200 &lt; VLOOKUP(questions!$C$5, Lookup!$Q:$R, 2),
      AA199 + IF(MONTH(A200)=12, R199+X199, 0) + J200 ,
      MIN(
        AA199 + IF(MONTH(A200)=12, R199+X199, 0) + J200,
        VLOOKUP(questions!$C$5, Lookup!$Q:$R, 2)
      )
    )
)</f>
        <v>136984.8971</v>
      </c>
      <c r="AB200" s="65">
        <f t="shared" si="13"/>
        <v>0</v>
      </c>
      <c r="AC200" s="66">
        <f t="array" ref="AC200">IFS(B200&lt;66, XLOOKUP(year(A200),Lookup!$K$13:$K1000,Lookup!$L$13:$L1000,"missing",,1),B200&gt;65,XLOOKUP(questions!$C$5,Lookup!$K$13:$K1000,Lookup!$L$13:$L1000,"missing",,1))</f>
        <v>191157.3016</v>
      </c>
      <c r="AD200" s="66">
        <f t="array" ref="AD200">IFS(B200&lt;66, XLOOKUP(year(A200),Lookup!$K$13:$K1000,Lookup!$M$13:$M1000,"missing",,1),B200&gt;65, XLOOKUP(questions!$C$5,Lookup!$K$13:$K1000,Lookup!$M$13:$M1000,"missing",,1))</f>
        <v>382314.6032</v>
      </c>
      <c r="AE200" s="66">
        <f t="array" ref="AE200">IFS(B200&lt;66, XLOOKUP(year(A200),Lookup!$K$13:$K1000,Lookup!$N$13:$N1000,"missing",,1),B200&gt;65,XLOOKUP(questions!$C$5,Lookup!$K$13:$K1000,Lookup!$N$13:$N1000,"missing",,1))</f>
        <v>764629.2064</v>
      </c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</row>
    <row r="201">
      <c r="A201" s="55">
        <f t="shared" si="7"/>
        <v>52139</v>
      </c>
      <c r="B201" s="56">
        <f>round(YEARFRAC(EOMONTH(questions!$C$3, 0),A201,1),2)</f>
        <v>43.83</v>
      </c>
      <c r="C201" s="57">
        <f>IF(B201&lt;questions!$C$6,if(MONTH(A201)=1,C200*(1+questions!$C$12),C200),0)</f>
        <v>16047.06439</v>
      </c>
      <c r="D201" s="58">
        <f>IF(MONTH(A201)=12,C201*questions!$C$11,0)</f>
        <v>0</v>
      </c>
      <c r="E201" s="59">
        <f t="shared" si="2"/>
        <v>8000</v>
      </c>
      <c r="F201" s="59">
        <f t="shared" si="3"/>
        <v>0</v>
      </c>
      <c r="G201" s="60">
        <f t="array" ref="G201">if(YEAR(A201)=2025,XLOOKUP(B201,Lookup!$A$3:$A$7,Lookup!$D$3:$D$7,,1)*SUM(E201:F201), XLOOKUP(B201,Lookup!$A$14:$A$18,Lookup!$D$14:$D$18,,1)*SUM(E201:F201))</f>
        <v>2960</v>
      </c>
      <c r="H201" s="60">
        <f t="array" ref="H201">if(YEAR(A201)=2025,XLOOKUP(B201,Lookup!$F$3:$F$10,Lookup!$G$3:$G$10,,1)*G201, XLOOKUP(B201,Lookup!$F$14:$F$21,Lookup!$G$14:$G$21,,1)*G201)</f>
        <v>1680.392</v>
      </c>
      <c r="I201" s="60">
        <f t="array" ref="I201">if(B201&lt;55, if(YEAR(A201)=2025,XLOOKUP(B201,Lookup!$F$3:$F$10,Lookup!$H$3:$H$10,,1)*G201, XLOOKUP(B201,Lookup!$F$14:$F$21,Lookup!$H$14:$H$21,,1)*G201),0)</f>
        <v>559.736</v>
      </c>
      <c r="J201" s="60">
        <f t="array" ref="J201">if(YEAR(A201)=2025,XLOOKUP(B201,Lookup!$F$3:$F$10,Lookup!$I$3:$I$10,,1)*G201, XLOOKUP(B201,Lookup!$F$14:$F$21,Lookup!$I$14:$I$21,,1)*G201)</f>
        <v>719.872</v>
      </c>
      <c r="K201" s="61">
        <f t="array" ref="K201">if(B201&gt;54, if(YEAR(A201)=2025,XLOOKUP(B201,Lookup!$F$3:$F$10,Lookup!$H$3:$H$10,,1)*G201, XLOOKUP(B201,Lookup!$F$14:$F$21,Lookup!$H$14:$H$21,,1)*G201),0)</f>
        <v>0</v>
      </c>
      <c r="L201" s="62">
        <f>IF(and(A201&lt;questions!$C$19,questions!$C$18="yes"),questions!$C$20,0)</f>
        <v>700</v>
      </c>
      <c r="M201" s="63">
        <f>(Y200+H201)*Lookup!A$26/12</f>
        <v>621.8741366</v>
      </c>
      <c r="N201" s="63">
        <f>if(B201&lt;55, (Z200+I201)*Lookup!B$26/12, (AB200+K201)*Lookup!B$26/12)</f>
        <v>710.3244998</v>
      </c>
      <c r="O201" s="63">
        <f>(AA200+J201)*Lookup!C$26/12</f>
        <v>459.0158972</v>
      </c>
      <c r="P201" s="63">
        <f t="shared" si="8"/>
        <v>5523.337829</v>
      </c>
      <c r="Q201" s="63">
        <f t="shared" si="4"/>
        <v>6306.555592</v>
      </c>
      <c r="R201" s="63">
        <f t="shared" si="5"/>
        <v>4073.446192</v>
      </c>
      <c r="S201" s="64">
        <f t="shared" si="9"/>
        <v>16.66666667</v>
      </c>
      <c r="T201" s="64">
        <f t="shared" si="10"/>
        <v>33.33333333</v>
      </c>
      <c r="U201" s="64">
        <f t="shared" si="11"/>
        <v>0</v>
      </c>
      <c r="V201" s="64">
        <f t="shared" ref="V201:X201" si="209">IF(year($A201)=year($A200), V200+S201, S201)</f>
        <v>150</v>
      </c>
      <c r="W201" s="64">
        <f t="shared" si="209"/>
        <v>300</v>
      </c>
      <c r="X201" s="64">
        <f t="shared" si="209"/>
        <v>0</v>
      </c>
      <c r="Y201" s="65">
        <f>IFS(
  B201&lt;55,
    MAX(
      Y200 + IF(MONTH(A201)=12, P201+V201, 0) + H201 - L201
      + MAX(0,
          IF(AA200 &gt;= VLOOKUP(YEAR(A201), Lookup!$Q:$R, 2),
            Z200 + IF(MONTH(A201)=12, Q201+W201, 0) + I201
              + AA200 + IF(MONTH(A201)=12, R201+X201, 0)
              - VLOOKUP(YEAR(A201), Lookup!$Q:$R, 2) + J201,
            Z200 + IF(MONTH(A201)=12, Q201+W201, 0) + I201
          ) - VLOOKUP(YEAR(A201), Lookup!$K:$M, 3)
        ),
    0),
  B201=55,
    IF(Z200&gt;=AD201,
      MAX(Y200 + IF(MONTH(A201)=12, P201+V201, 0) + H201 - L201, 0),
      MAX(MAX(0, Y200-(AD201-Z200)) + IF(MONTH(A201)=12, P201+V201, 0) + H201 - L201, 0)
    ),
  B201&gt;55,
    IF(AB200&gt;=$AH$7,
      MAX(Y200 + IF(MONTH(A201)=12, P201+V201, 0) + H201 - L201 + K201 + Z200, 0),
      MAX(Y200 + IF(MONTH(A201)=12, P201+V201, 0) + H201 - L201, 0)
    )
)</f>
        <v>297799.5855</v>
      </c>
      <c r="Z201" s="65">
        <f>IFS(
  B201&lt;55,
    MIN(
      IF(AA200 &gt;= VLOOKUP(YEAR(A201), Lookup!$Q:$R, 2),
        Z200 + IF(MONTH(A201)=12, Q201+W201, 0) + I201
          + AA200 + IF(MONTH(A201)=12, R201+X201, 0) - VLOOKUP(YEAR(A201), Lookup!$Q:$R, 2) + J201,
        Z200 + IF(MONTH(A201)=12, Q201+W201, 0) + I201
      ),
      VLOOKUP(YEAR(A201), Lookup!$K:$M, 3)
    ),
  B201=55,
    IF(Z200 &gt;= AD201, Z200 - AD201, 0),
  B201&gt;55, 0
)</f>
        <v>213817.2219</v>
      </c>
      <c r="AA201" s="65">
        <f>IFS(
  B201&lt;65,
    IF(AA200+J201 &lt; VLOOKUP(YEAR(A201), Lookup!$Q:$R, 2),
      AA200 + IF(MONTH(A201)=12, R200+X200, 0) + J201,
      MIN(
        AA200 + IF(MONTH(A201)=12, R200+X200, 0) + J201 ,
        VLOOKUP(YEAR(A201), Lookup!$Q:$R, 2)
      )
    ),
  B201&gt;=65,
    IF(AA200+J201 &lt; VLOOKUP(questions!$C$5, Lookup!$Q:$R, 2),
      AA200 + IF(MONTH(A201)=12, R200+X200, 0) + J201 ,
      MIN(
        AA200 + IF(MONTH(A201)=12, R200+X200, 0) + J201,
        VLOOKUP(questions!$C$5, Lookup!$Q:$R, 2)
      )
    )
)</f>
        <v>136984.8971</v>
      </c>
      <c r="AB201" s="65">
        <f t="shared" si="13"/>
        <v>0</v>
      </c>
      <c r="AC201" s="66">
        <f t="array" ref="AC201">IFS(B201&lt;66, XLOOKUP(year(A201),Lookup!$K$13:$K1000,Lookup!$L$13:$L1000,"missing",,1),B201&gt;65,XLOOKUP(questions!$C$5,Lookup!$K$13:$K1000,Lookup!$L$13:$L1000,"missing",,1))</f>
        <v>191157.3016</v>
      </c>
      <c r="AD201" s="66">
        <f t="array" ref="AD201">IFS(B201&lt;66, XLOOKUP(year(A201),Lookup!$K$13:$K1000,Lookup!$M$13:$M1000,"missing",,1),B201&gt;65, XLOOKUP(questions!$C$5,Lookup!$K$13:$K1000,Lookup!$M$13:$M1000,"missing",,1))</f>
        <v>382314.6032</v>
      </c>
      <c r="AE201" s="66">
        <f t="array" ref="AE201">IFS(B201&lt;66, XLOOKUP(year(A201),Lookup!$K$13:$K1000,Lookup!$N$13:$N1000,"missing",,1),B201&gt;65,XLOOKUP(questions!$C$5,Lookup!$K$13:$K1000,Lookup!$N$13:$N1000,"missing",,1))</f>
        <v>764629.2064</v>
      </c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</row>
    <row r="202">
      <c r="A202" s="55">
        <f t="shared" si="7"/>
        <v>52170</v>
      </c>
      <c r="B202" s="56">
        <f>round(YEARFRAC(EOMONTH(questions!$C$3, 0),A202,1),2)</f>
        <v>43.92</v>
      </c>
      <c r="C202" s="57">
        <f>IF(B202&lt;questions!$C$6,if(MONTH(A202)=1,C201*(1+questions!$C$12),C201),0)</f>
        <v>16047.06439</v>
      </c>
      <c r="D202" s="58">
        <f>IF(MONTH(A202)=12,C202*questions!$C$11,0)</f>
        <v>0</v>
      </c>
      <c r="E202" s="59">
        <f t="shared" si="2"/>
        <v>8000</v>
      </c>
      <c r="F202" s="59">
        <f t="shared" si="3"/>
        <v>0</v>
      </c>
      <c r="G202" s="60">
        <f t="array" ref="G202">if(YEAR(A202)=2025,XLOOKUP(B202,Lookup!$A$3:$A$7,Lookup!$D$3:$D$7,,1)*SUM(E202:F202), XLOOKUP(B202,Lookup!$A$14:$A$18,Lookup!$D$14:$D$18,,1)*SUM(E202:F202))</f>
        <v>2960</v>
      </c>
      <c r="H202" s="60">
        <f t="array" ref="H202">if(YEAR(A202)=2025,XLOOKUP(B202,Lookup!$F$3:$F$10,Lookup!$G$3:$G$10,,1)*G202, XLOOKUP(B202,Lookup!$F$14:$F$21,Lookup!$G$14:$G$21,,1)*G202)</f>
        <v>1680.392</v>
      </c>
      <c r="I202" s="60">
        <f t="array" ref="I202">if(B202&lt;55, if(YEAR(A202)=2025,XLOOKUP(B202,Lookup!$F$3:$F$10,Lookup!$H$3:$H$10,,1)*G202, XLOOKUP(B202,Lookup!$F$14:$F$21,Lookup!$H$14:$H$21,,1)*G202),0)</f>
        <v>559.736</v>
      </c>
      <c r="J202" s="60">
        <f t="array" ref="J202">if(YEAR(A202)=2025,XLOOKUP(B202,Lookup!$F$3:$F$10,Lookup!$I$3:$I$10,,1)*G202, XLOOKUP(B202,Lookup!$F$14:$F$21,Lookup!$I$14:$I$21,,1)*G202)</f>
        <v>719.872</v>
      </c>
      <c r="K202" s="61">
        <f t="array" ref="K202">if(B202&gt;54, if(YEAR(A202)=2025,XLOOKUP(B202,Lookup!$F$3:$F$10,Lookup!$H$3:$H$10,,1)*G202, XLOOKUP(B202,Lookup!$F$14:$F$21,Lookup!$H$14:$H$21,,1)*G202),0)</f>
        <v>0</v>
      </c>
      <c r="L202" s="62">
        <f>IF(and(A202&lt;questions!$C$19,questions!$C$18="yes"),questions!$C$20,0)</f>
        <v>700</v>
      </c>
      <c r="M202" s="63">
        <f>(Y201+H202)*Lookup!A$26/12</f>
        <v>623.9166199</v>
      </c>
      <c r="N202" s="63">
        <f>if(B202&lt;55, (Z201+I202)*Lookup!B$26/12, (AB201+K202)*Lookup!B$26/12)</f>
        <v>714.5898598</v>
      </c>
      <c r="O202" s="63">
        <f>(AA201+J202)*Lookup!C$26/12</f>
        <v>459.0158972</v>
      </c>
      <c r="P202" s="63">
        <f t="shared" si="8"/>
        <v>6147.254449</v>
      </c>
      <c r="Q202" s="63">
        <f t="shared" si="4"/>
        <v>7021.145451</v>
      </c>
      <c r="R202" s="63">
        <f t="shared" si="5"/>
        <v>4532.462089</v>
      </c>
      <c r="S202" s="64">
        <f t="shared" si="9"/>
        <v>16.66666667</v>
      </c>
      <c r="T202" s="64">
        <f t="shared" si="10"/>
        <v>33.33333333</v>
      </c>
      <c r="U202" s="64">
        <f t="shared" si="11"/>
        <v>0</v>
      </c>
      <c r="V202" s="64">
        <f t="shared" ref="V202:X202" si="210">IF(year($A202)=year($A201), V201+S202, S202)</f>
        <v>166.6666667</v>
      </c>
      <c r="W202" s="64">
        <f t="shared" si="210"/>
        <v>333.3333333</v>
      </c>
      <c r="X202" s="64">
        <f t="shared" si="210"/>
        <v>0</v>
      </c>
      <c r="Y202" s="65">
        <f>IFS(
  B202&lt;55,
    MAX(
      Y201 + IF(MONTH(A202)=12, P202+V202, 0) + H202 - L202
      + MAX(0,
          IF(AA201 &gt;= VLOOKUP(YEAR(A202), Lookup!$Q:$R, 2),
            Z201 + IF(MONTH(A202)=12, Q202+W202, 0) + I202
              + AA201 + IF(MONTH(A202)=12, R202+X202, 0)
              - VLOOKUP(YEAR(A202), Lookup!$Q:$R, 2) + J202,
            Z201 + IF(MONTH(A202)=12, Q202+W202, 0) + I202
          ) - VLOOKUP(YEAR(A202), Lookup!$K:$M, 3)
        ),
    0),
  B202=55,
    IF(Z201&gt;=AD202,
      MAX(Y201 + IF(MONTH(A202)=12, P202+V202, 0) + H202 - L202, 0),
      MAX(MAX(0, Y201-(AD202-Z201)) + IF(MONTH(A202)=12, P202+V202, 0) + H202 - L202, 0)
    ),
  B202&gt;55,
    IF(AB201&gt;=$AH$7,
      MAX(Y201 + IF(MONTH(A202)=12, P202+V202, 0) + H202 - L202 + K202 + Z201, 0),
      MAX(Y201 + IF(MONTH(A202)=12, P202+V202, 0) + H202 - L202, 0)
    )
)</f>
        <v>298779.9775</v>
      </c>
      <c r="Z202" s="65">
        <f>IFS(
  B202&lt;55,
    MIN(
      IF(AA201 &gt;= VLOOKUP(YEAR(A202), Lookup!$Q:$R, 2),
        Z201 + IF(MONTH(A202)=12, Q202+W202, 0) + I202
          + AA201 + IF(MONTH(A202)=12, R202+X202, 0) - VLOOKUP(YEAR(A202), Lookup!$Q:$R, 2) + J202,
        Z201 + IF(MONTH(A202)=12, Q202+W202, 0) + I202
      ),
      VLOOKUP(YEAR(A202), Lookup!$K:$M, 3)
    ),
  B202=55,
    IF(Z201 &gt;= AD202, Z201 - AD202, 0),
  B202&gt;55, 0
)</f>
        <v>215096.8299</v>
      </c>
      <c r="AA202" s="65">
        <f>IFS(
  B202&lt;65,
    IF(AA201+J202 &lt; VLOOKUP(YEAR(A202), Lookup!$Q:$R, 2),
      AA201 + IF(MONTH(A202)=12, R201+X201, 0) + J202,
      MIN(
        AA201 + IF(MONTH(A202)=12, R201+X201, 0) + J202 ,
        VLOOKUP(YEAR(A202), Lookup!$Q:$R, 2)
      )
    ),
  B202&gt;=65,
    IF(AA201+J202 &lt; VLOOKUP(questions!$C$5, Lookup!$Q:$R, 2),
      AA201 + IF(MONTH(A202)=12, R201+X201, 0) + J202 ,
      MIN(
        AA201 + IF(MONTH(A202)=12, R201+X201, 0) + J202,
        VLOOKUP(questions!$C$5, Lookup!$Q:$R, 2)
      )
    )
)</f>
        <v>136984.8971</v>
      </c>
      <c r="AB202" s="65">
        <f t="shared" si="13"/>
        <v>0</v>
      </c>
      <c r="AC202" s="66">
        <f t="array" ref="AC202">IFS(B202&lt;66, XLOOKUP(year(A202),Lookup!$K$13:$K1000,Lookup!$L$13:$L1000,"missing",,1),B202&gt;65,XLOOKUP(questions!$C$5,Lookup!$K$13:$K1000,Lookup!$L$13:$L1000,"missing",,1))</f>
        <v>191157.3016</v>
      </c>
      <c r="AD202" s="66">
        <f t="array" ref="AD202">IFS(B202&lt;66, XLOOKUP(year(A202),Lookup!$K$13:$K1000,Lookup!$M$13:$M1000,"missing",,1),B202&gt;65, XLOOKUP(questions!$C$5,Lookup!$K$13:$K1000,Lookup!$M$13:$M1000,"missing",,1))</f>
        <v>382314.6032</v>
      </c>
      <c r="AE202" s="66">
        <f t="array" ref="AE202">IFS(B202&lt;66, XLOOKUP(year(A202),Lookup!$K$13:$K1000,Lookup!$N$13:$N1000,"missing",,1),B202&gt;65,XLOOKUP(questions!$C$5,Lookup!$K$13:$K1000,Lookup!$N$13:$N1000,"missing",,1))</f>
        <v>764629.2064</v>
      </c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</row>
    <row r="203">
      <c r="A203" s="55">
        <f t="shared" si="7"/>
        <v>52200</v>
      </c>
      <c r="B203" s="56">
        <f>round(YEARFRAC(EOMONTH(questions!$C$3, 0),A203,1),2)</f>
        <v>44</v>
      </c>
      <c r="C203" s="57">
        <f>IF(B203&lt;questions!$C$6,if(MONTH(A203)=1,C202*(1+questions!$C$12),C202),0)</f>
        <v>16047.06439</v>
      </c>
      <c r="D203" s="58">
        <f>IF(MONTH(A203)=12,C203*questions!$C$11,0)</f>
        <v>0</v>
      </c>
      <c r="E203" s="59">
        <f t="shared" si="2"/>
        <v>8000</v>
      </c>
      <c r="F203" s="59">
        <f t="shared" si="3"/>
        <v>0</v>
      </c>
      <c r="G203" s="60">
        <f t="array" ref="G203">if(YEAR(A203)=2025,XLOOKUP(B203,Lookup!$A$3:$A$7,Lookup!$D$3:$D$7,,1)*SUM(E203:F203), XLOOKUP(B203,Lookup!$A$14:$A$18,Lookup!$D$14:$D$18,,1)*SUM(E203:F203))</f>
        <v>2960</v>
      </c>
      <c r="H203" s="60">
        <f t="array" ref="H203">if(YEAR(A203)=2025,XLOOKUP(B203,Lookup!$F$3:$F$10,Lookup!$G$3:$G$10,,1)*G203, XLOOKUP(B203,Lookup!$F$14:$F$21,Lookup!$G$14:$G$21,,1)*G203)</f>
        <v>1680.392</v>
      </c>
      <c r="I203" s="60">
        <f t="array" ref="I203">if(B203&lt;55, if(YEAR(A203)=2025,XLOOKUP(B203,Lookup!$F$3:$F$10,Lookup!$H$3:$H$10,,1)*G203, XLOOKUP(B203,Lookup!$F$14:$F$21,Lookup!$H$14:$H$21,,1)*G203),0)</f>
        <v>559.736</v>
      </c>
      <c r="J203" s="60">
        <f t="array" ref="J203">if(YEAR(A203)=2025,XLOOKUP(B203,Lookup!$F$3:$F$10,Lookup!$I$3:$I$10,,1)*G203, XLOOKUP(B203,Lookup!$F$14:$F$21,Lookup!$I$14:$I$21,,1)*G203)</f>
        <v>719.872</v>
      </c>
      <c r="K203" s="61">
        <f t="array" ref="K203">if(B203&gt;54, if(YEAR(A203)=2025,XLOOKUP(B203,Lookup!$F$3:$F$10,Lookup!$H$3:$H$10,,1)*G203, XLOOKUP(B203,Lookup!$F$14:$F$21,Lookup!$H$14:$H$21,,1)*G203),0)</f>
        <v>0</v>
      </c>
      <c r="L203" s="62">
        <f>IF(and(A203&lt;questions!$C$19,questions!$C$18="yes"),questions!$C$20,0)</f>
        <v>700</v>
      </c>
      <c r="M203" s="63">
        <f>(Y202+H203)*Lookup!A$26/12</f>
        <v>625.9591032</v>
      </c>
      <c r="N203" s="63">
        <f>if(B203&lt;55, (Z202+I203)*Lookup!B$26/12, (AB202+K203)*Lookup!B$26/12)</f>
        <v>718.8552198</v>
      </c>
      <c r="O203" s="63">
        <f>(AA202+J203)*Lookup!C$26/12</f>
        <v>459.0158972</v>
      </c>
      <c r="P203" s="63">
        <f t="shared" si="8"/>
        <v>6773.213552</v>
      </c>
      <c r="Q203" s="63">
        <f t="shared" si="4"/>
        <v>7740.000671</v>
      </c>
      <c r="R203" s="63">
        <f t="shared" si="5"/>
        <v>4991.477987</v>
      </c>
      <c r="S203" s="64">
        <f t="shared" si="9"/>
        <v>16.66666667</v>
      </c>
      <c r="T203" s="64">
        <f t="shared" si="10"/>
        <v>33.33333333</v>
      </c>
      <c r="U203" s="64">
        <f t="shared" si="11"/>
        <v>0</v>
      </c>
      <c r="V203" s="64">
        <f t="shared" ref="V203:X203" si="211">IF(year($A203)=year($A202), V202+S203, S203)</f>
        <v>183.3333333</v>
      </c>
      <c r="W203" s="64">
        <f t="shared" si="211"/>
        <v>366.6666667</v>
      </c>
      <c r="X203" s="64">
        <f t="shared" si="211"/>
        <v>0</v>
      </c>
      <c r="Y203" s="65">
        <f>IFS(
  B203&lt;55,
    MAX(
      Y202 + IF(MONTH(A203)=12, P203+V203, 0) + H203 - L203
      + MAX(0,
          IF(AA202 &gt;= VLOOKUP(YEAR(A203), Lookup!$Q:$R, 2),
            Z202 + IF(MONTH(A203)=12, Q203+W203, 0) + I203
              + AA202 + IF(MONTH(A203)=12, R203+X203, 0)
              - VLOOKUP(YEAR(A203), Lookup!$Q:$R, 2) + J203,
            Z202 + IF(MONTH(A203)=12, Q203+W203, 0) + I203
          ) - VLOOKUP(YEAR(A203), Lookup!$K:$M, 3)
        ),
    0),
  B203=55,
    IF(Z202&gt;=AD203,
      MAX(Y202 + IF(MONTH(A203)=12, P203+V203, 0) + H203 - L203, 0),
      MAX(MAX(0, Y202-(AD203-Z202)) + IF(MONTH(A203)=12, P203+V203, 0) + H203 - L203, 0)
    ),
  B203&gt;55,
    IF(AB202&gt;=$AH$7,
      MAX(Y202 + IF(MONTH(A203)=12, P203+V203, 0) + H203 - L203 + K203 + Z202, 0),
      MAX(Y202 + IF(MONTH(A203)=12, P203+V203, 0) + H203 - L203, 0)
    )
)</f>
        <v>299760.3695</v>
      </c>
      <c r="Z203" s="65">
        <f>IFS(
  B203&lt;55,
    MIN(
      IF(AA202 &gt;= VLOOKUP(YEAR(A203), Lookup!$Q:$R, 2),
        Z202 + IF(MONTH(A203)=12, Q203+W203, 0) + I203
          + AA202 + IF(MONTH(A203)=12, R203+X203, 0) - VLOOKUP(YEAR(A203), Lookup!$Q:$R, 2) + J203,
        Z202 + IF(MONTH(A203)=12, Q203+W203, 0) + I203
      ),
      VLOOKUP(YEAR(A203), Lookup!$K:$M, 3)
    ),
  B203=55,
    IF(Z202 &gt;= AD203, Z202 - AD203, 0),
  B203&gt;55, 0
)</f>
        <v>216376.4379</v>
      </c>
      <c r="AA203" s="65">
        <f>IFS(
  B203&lt;65,
    IF(AA202+J203 &lt; VLOOKUP(YEAR(A203), Lookup!$Q:$R, 2),
      AA202 + IF(MONTH(A203)=12, R202+X202, 0) + J203,
      MIN(
        AA202 + IF(MONTH(A203)=12, R202+X202, 0) + J203 ,
        VLOOKUP(YEAR(A203), Lookup!$Q:$R, 2)
      )
    ),
  B203&gt;=65,
    IF(AA202+J203 &lt; VLOOKUP(questions!$C$5, Lookup!$Q:$R, 2),
      AA202 + IF(MONTH(A203)=12, R202+X202, 0) + J203 ,
      MIN(
        AA202 + IF(MONTH(A203)=12, R202+X202, 0) + J203,
        VLOOKUP(questions!$C$5, Lookup!$Q:$R, 2)
      )
    )
)</f>
        <v>136984.8971</v>
      </c>
      <c r="AB203" s="65">
        <f t="shared" si="13"/>
        <v>0</v>
      </c>
      <c r="AC203" s="66">
        <f t="array" ref="AC203">IFS(B203&lt;66, XLOOKUP(year(A203),Lookup!$K$13:$K1000,Lookup!$L$13:$L1000,"missing",,1),B203&gt;65,XLOOKUP(questions!$C$5,Lookup!$K$13:$K1000,Lookup!$L$13:$L1000,"missing",,1))</f>
        <v>191157.3016</v>
      </c>
      <c r="AD203" s="66">
        <f t="array" ref="AD203">IFS(B203&lt;66, XLOOKUP(year(A203),Lookup!$K$13:$K1000,Lookup!$M$13:$M1000,"missing",,1),B203&gt;65, XLOOKUP(questions!$C$5,Lookup!$K$13:$K1000,Lookup!$M$13:$M1000,"missing",,1))</f>
        <v>382314.6032</v>
      </c>
      <c r="AE203" s="66">
        <f t="array" ref="AE203">IFS(B203&lt;66, XLOOKUP(year(A203),Lookup!$K$13:$K1000,Lookup!$N$13:$N1000,"missing",,1),B203&gt;65,XLOOKUP(questions!$C$5,Lookup!$K$13:$K1000,Lookup!$N$13:$N1000,"missing",,1))</f>
        <v>764629.2064</v>
      </c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</row>
    <row r="204">
      <c r="A204" s="55">
        <f t="shared" si="7"/>
        <v>52231</v>
      </c>
      <c r="B204" s="56">
        <f>round(YEARFRAC(EOMONTH(questions!$C$3, 0),A204,1),2)</f>
        <v>44.08</v>
      </c>
      <c r="C204" s="57">
        <f>IF(B204&lt;questions!$C$6,if(MONTH(A204)=1,C203*(1+questions!$C$12),C203),0)</f>
        <v>16047.06439</v>
      </c>
      <c r="D204" s="57">
        <f>IF(MONTH(A204)=12,C204*questions!$C$11,0)</f>
        <v>16047.06439</v>
      </c>
      <c r="E204" s="59">
        <f t="shared" si="2"/>
        <v>8000</v>
      </c>
      <c r="F204" s="59">
        <f t="shared" si="3"/>
        <v>6000</v>
      </c>
      <c r="G204" s="60">
        <f t="array" ref="G204">if(YEAR(A204)=2025,XLOOKUP(B204,Lookup!$A$3:$A$7,Lookup!$D$3:$D$7,,1)*SUM(E204:F204), XLOOKUP(B204,Lookup!$A$14:$A$18,Lookup!$D$14:$D$18,,1)*SUM(E204:F204))</f>
        <v>5180</v>
      </c>
      <c r="H204" s="60">
        <f t="array" ref="H204">if(YEAR(A204)=2025,XLOOKUP(B204,Lookup!$F$3:$F$10,Lookup!$G$3:$G$10,,1)*G204, XLOOKUP(B204,Lookup!$F$14:$F$21,Lookup!$G$14:$G$21,,1)*G204)</f>
        <v>2940.686</v>
      </c>
      <c r="I204" s="60">
        <f t="array" ref="I204">if(B204&lt;55, if(YEAR(A204)=2025,XLOOKUP(B204,Lookup!$F$3:$F$10,Lookup!$H$3:$H$10,,1)*G204, XLOOKUP(B204,Lookup!$F$14:$F$21,Lookup!$H$14:$H$21,,1)*G204),0)</f>
        <v>979.538</v>
      </c>
      <c r="J204" s="60">
        <f t="array" ref="J204">if(YEAR(A204)=2025,XLOOKUP(B204,Lookup!$F$3:$F$10,Lookup!$I$3:$I$10,,1)*G204, XLOOKUP(B204,Lookup!$F$14:$F$21,Lookup!$I$14:$I$21,,1)*G204)</f>
        <v>1259.776</v>
      </c>
      <c r="K204" s="61">
        <f t="array" ref="K204">if(B204&gt;54, if(YEAR(A204)=2025,XLOOKUP(B204,Lookup!$F$3:$F$10,Lookup!$H$3:$H$10,,1)*G204, XLOOKUP(B204,Lookup!$F$14:$F$21,Lookup!$H$14:$H$21,,1)*G204),0)</f>
        <v>0</v>
      </c>
      <c r="L204" s="62">
        <f>IF(and(A204&lt;questions!$C$19,questions!$C$18="yes"),questions!$C$20,0)</f>
        <v>700</v>
      </c>
      <c r="M204" s="63">
        <f>(Y203+H204)*Lookup!A$26/12</f>
        <v>630.6271991</v>
      </c>
      <c r="N204" s="63">
        <f>if(B204&lt;55, (Z203+I204)*Lookup!B$26/12, (AB203+K204)*Lookup!B$26/12)</f>
        <v>724.5199198</v>
      </c>
      <c r="O204" s="63">
        <f>(AA203+J204)*Lookup!C$26/12</f>
        <v>460.8155772</v>
      </c>
      <c r="P204" s="63">
        <f t="shared" si="8"/>
        <v>7403.840751</v>
      </c>
      <c r="Q204" s="63">
        <f t="shared" si="4"/>
        <v>8464.520591</v>
      </c>
      <c r="R204" s="63">
        <f t="shared" si="5"/>
        <v>5452.293564</v>
      </c>
      <c r="S204" s="64">
        <f t="shared" si="9"/>
        <v>16.66666667</v>
      </c>
      <c r="T204" s="64">
        <f t="shared" si="10"/>
        <v>33.33333333</v>
      </c>
      <c r="U204" s="64">
        <f t="shared" si="11"/>
        <v>0</v>
      </c>
      <c r="V204" s="64">
        <f t="shared" ref="V204:X204" si="212">IF(year($A204)=year($A203), V203+S204, S204)</f>
        <v>200</v>
      </c>
      <c r="W204" s="64">
        <f t="shared" si="212"/>
        <v>400</v>
      </c>
      <c r="X204" s="64">
        <f t="shared" si="212"/>
        <v>0</v>
      </c>
      <c r="Y204" s="65">
        <f>IFS(
  B204&lt;55,
    MAX(
      Y203 + IF(MONTH(A204)=12, P204+V204, 0) + H204 - L204
      + MAX(0,
          IF(AA203 &gt;= VLOOKUP(YEAR(A204), Lookup!$Q:$R, 2),
            Z203 + IF(MONTH(A204)=12, Q204+W204, 0) + I204
              + AA203 + IF(MONTH(A204)=12, R204+X204, 0)
              - VLOOKUP(YEAR(A204), Lookup!$Q:$R, 2) + J204,
            Z203 + IF(MONTH(A204)=12, Q204+W204, 0) + I204
          ) - VLOOKUP(YEAR(A204), Lookup!$K:$M, 3)
        ),
    0),
  B204=55,
    IF(Z203&gt;=AD204,
      MAX(Y203 + IF(MONTH(A204)=12, P204+V204, 0) + H204 - L204, 0),
      MAX(MAX(0, Y203-(AD204-Z203)) + IF(MONTH(A204)=12, P204+V204, 0) + H204 - L204, 0)
    ),
  B204&gt;55,
    IF(AB203&gt;=$AH$7,
      MAX(Y203 + IF(MONTH(A204)=12, P204+V204, 0) + H204 - L204 + K204 + Z203, 0),
      MAX(Y203 + IF(MONTH(A204)=12, P204+V204, 0) + H204 - L204, 0)
    )
)</f>
        <v>309604.8963</v>
      </c>
      <c r="Z204" s="65">
        <f>IFS(
  B204&lt;55,
    MIN(
      IF(AA203 &gt;= VLOOKUP(YEAR(A204), Lookup!$Q:$R, 2),
        Z203 + IF(MONTH(A204)=12, Q204+W204, 0) + I204
          + AA203 + IF(MONTH(A204)=12, R204+X204, 0) - VLOOKUP(YEAR(A204), Lookup!$Q:$R, 2) + J204,
        Z203 + IF(MONTH(A204)=12, Q204+W204, 0) + I204
      ),
      VLOOKUP(YEAR(A204), Lookup!$K:$M, 3)
    ),
  B204=55,
    IF(Z203 &gt;= AD204, Z203 - AD204, 0),
  B204&gt;55, 0
)</f>
        <v>232932.5661</v>
      </c>
      <c r="AA204" s="65">
        <f>IFS(
  B204&lt;65,
    IF(AA203+J204 &lt; VLOOKUP(YEAR(A204), Lookup!$Q:$R, 2),
      AA203 + IF(MONTH(A204)=12, R203+X203, 0) + J204,
      MIN(
        AA203 + IF(MONTH(A204)=12, R203+X203, 0) + J204 ,
        VLOOKUP(YEAR(A204), Lookup!$Q:$R, 2)
      )
    ),
  B204&gt;=65,
    IF(AA203+J204 &lt; VLOOKUP(questions!$C$5, Lookup!$Q:$R, 2),
      AA203 + IF(MONTH(A204)=12, R203+X203, 0) + J204 ,
      MIN(
        AA203 + IF(MONTH(A204)=12, R203+X203, 0) + J204,
        VLOOKUP(questions!$C$5, Lookup!$Q:$R, 2)
      )
    )
)</f>
        <v>136984.8971</v>
      </c>
      <c r="AB204" s="65">
        <f t="shared" si="13"/>
        <v>0</v>
      </c>
      <c r="AC204" s="66">
        <f t="array" ref="AC204">IFS(B204&lt;66, XLOOKUP(year(A204),Lookup!$K$13:$K1000,Lookup!$L$13:$L1000,"missing",,1),B204&gt;65,XLOOKUP(questions!$C$5,Lookup!$K$13:$K1000,Lookup!$L$13:$L1000,"missing",,1))</f>
        <v>191157.3016</v>
      </c>
      <c r="AD204" s="66">
        <f t="array" ref="AD204">IFS(B204&lt;66, XLOOKUP(year(A204),Lookup!$K$13:$K1000,Lookup!$M$13:$M1000,"missing",,1),B204&gt;65, XLOOKUP(questions!$C$5,Lookup!$K$13:$K1000,Lookup!$M$13:$M1000,"missing",,1))</f>
        <v>382314.6032</v>
      </c>
      <c r="AE204" s="66">
        <f t="array" ref="AE204">IFS(B204&lt;66, XLOOKUP(year(A204),Lookup!$K$13:$K1000,Lookup!$N$13:$N1000,"missing",,1),B204&gt;65,XLOOKUP(questions!$C$5,Lookup!$K$13:$K1000,Lookup!$N$13:$N1000,"missing",,1))</f>
        <v>764629.2064</v>
      </c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</row>
    <row r="205">
      <c r="A205" s="55">
        <f t="shared" si="7"/>
        <v>52262</v>
      </c>
      <c r="B205" s="56">
        <f>round(YEARFRAC(EOMONTH(questions!$C$3, 0),A205,1),2)</f>
        <v>44.17</v>
      </c>
      <c r="C205" s="57">
        <f>IF(B205&lt;questions!$C$6,if(MONTH(A205)=1,C204*(1+questions!$C$12),C204),0)</f>
        <v>16528.47632</v>
      </c>
      <c r="D205" s="58">
        <f>IF(MONTH(A205)=12,C205*questions!$C$11,0)</f>
        <v>0</v>
      </c>
      <c r="E205" s="59">
        <f t="shared" si="2"/>
        <v>8000</v>
      </c>
      <c r="F205" s="59">
        <f t="shared" si="3"/>
        <v>0</v>
      </c>
      <c r="G205" s="60">
        <f t="array" ref="G205">if(YEAR(A205)=2025,XLOOKUP(B205,Lookup!$A$3:$A$7,Lookup!$D$3:$D$7,,1)*SUM(E205:F205), XLOOKUP(B205,Lookup!$A$14:$A$18,Lookup!$D$14:$D$18,,1)*SUM(E205:F205))</f>
        <v>2960</v>
      </c>
      <c r="H205" s="60">
        <f t="array" ref="H205">if(YEAR(A205)=2025,XLOOKUP(B205,Lookup!$F$3:$F$10,Lookup!$G$3:$G$10,,1)*G205, XLOOKUP(B205,Lookup!$F$14:$F$21,Lookup!$G$14:$G$21,,1)*G205)</f>
        <v>1680.392</v>
      </c>
      <c r="I205" s="60">
        <f t="array" ref="I205">if(B205&lt;55, if(YEAR(A205)=2025,XLOOKUP(B205,Lookup!$F$3:$F$10,Lookup!$H$3:$H$10,,1)*G205, XLOOKUP(B205,Lookup!$F$14:$F$21,Lookup!$H$14:$H$21,,1)*G205),0)</f>
        <v>559.736</v>
      </c>
      <c r="J205" s="60">
        <f t="array" ref="J205">if(YEAR(A205)=2025,XLOOKUP(B205,Lookup!$F$3:$F$10,Lookup!$I$3:$I$10,,1)*G205, XLOOKUP(B205,Lookup!$F$14:$F$21,Lookup!$I$14:$I$21,,1)*G205)</f>
        <v>719.872</v>
      </c>
      <c r="K205" s="61">
        <f t="array" ref="K205">if(B205&gt;54, if(YEAR(A205)=2025,XLOOKUP(B205,Lookup!$F$3:$F$10,Lookup!$H$3:$H$10,,1)*G205, XLOOKUP(B205,Lookup!$F$14:$F$21,Lookup!$H$14:$H$21,,1)*G205),0)</f>
        <v>0</v>
      </c>
      <c r="L205" s="62">
        <f>IF(and(A205&lt;questions!$C$19,questions!$C$18="yes"),questions!$C$20,0)</f>
        <v>700</v>
      </c>
      <c r="M205" s="63">
        <f>(Y204+H205)*Lookup!A$26/12</f>
        <v>648.5110173</v>
      </c>
      <c r="N205" s="63">
        <f>if(B205&lt;55, (Z204+I205)*Lookup!B$26/12, (AB204+K205)*Lookup!B$26/12)</f>
        <v>778.3076737</v>
      </c>
      <c r="O205" s="63">
        <f>(AA204+J205)*Lookup!C$26/12</f>
        <v>459.0158972</v>
      </c>
      <c r="P205" s="63">
        <f t="shared" si="8"/>
        <v>648.5110173</v>
      </c>
      <c r="Q205" s="63">
        <f t="shared" si="4"/>
        <v>778.3076737</v>
      </c>
      <c r="R205" s="63">
        <f t="shared" si="5"/>
        <v>459.0158972</v>
      </c>
      <c r="S205" s="64">
        <f t="shared" si="9"/>
        <v>16.66666667</v>
      </c>
      <c r="T205" s="64">
        <f t="shared" si="10"/>
        <v>33.33333333</v>
      </c>
      <c r="U205" s="64">
        <f t="shared" si="11"/>
        <v>0</v>
      </c>
      <c r="V205" s="64">
        <f t="shared" ref="V205:X205" si="213">IF(year($A205)=year($A204), V204+S205, S205)</f>
        <v>16.66666667</v>
      </c>
      <c r="W205" s="64">
        <f t="shared" si="213"/>
        <v>33.33333333</v>
      </c>
      <c r="X205" s="64">
        <f t="shared" si="213"/>
        <v>0</v>
      </c>
      <c r="Y205" s="65">
        <f>IFS(
  B205&lt;55,
    MAX(
      Y204 + IF(MONTH(A205)=12, P205+V205, 0) + H205 - L205
      + MAX(0,
          IF(AA204 &gt;= VLOOKUP(YEAR(A205), Lookup!$Q:$R, 2),
            Z204 + IF(MONTH(A205)=12, Q205+W205, 0) + I205
              + AA204 + IF(MONTH(A205)=12, R205+X205, 0)
              - VLOOKUP(YEAR(A205), Lookup!$Q:$R, 2) + J205,
            Z204 + IF(MONTH(A205)=12, Q205+W205, 0) + I205
          ) - VLOOKUP(YEAR(A205), Lookup!$K:$M, 3)
        ),
    0),
  B205=55,
    IF(Z204&gt;=AD205,
      MAX(Y204 + IF(MONTH(A205)=12, P205+V205, 0) + H205 - L205, 0),
      MAX(MAX(0, Y204-(AD205-Z204)) + IF(MONTH(A205)=12, P205+V205, 0) + H205 - L205, 0)
    ),
  B205&gt;55,
    IF(AB204&gt;=$AH$7,
      MAX(Y204 + IF(MONTH(A205)=12, P205+V205, 0) + H205 - L205 + K205 + Z204, 0),
      MAX(Y204 + IF(MONTH(A205)=12, P205+V205, 0) + H205 - L205, 0)
    )
)</f>
        <v>310585.2883</v>
      </c>
      <c r="Z205" s="65">
        <f>IFS(
  B205&lt;55,
    MIN(
      IF(AA204 &gt;= VLOOKUP(YEAR(A205), Lookup!$Q:$R, 2),
        Z204 + IF(MONTH(A205)=12, Q205+W205, 0) + I205
          + AA204 + IF(MONTH(A205)=12, R205+X205, 0) - VLOOKUP(YEAR(A205), Lookup!$Q:$R, 2) + J205,
        Z204 + IF(MONTH(A205)=12, Q205+W205, 0) + I205
      ),
      VLOOKUP(YEAR(A205), Lookup!$K:$M, 3)
    ),
  B205=55,
    IF(Z204 &gt;= AD205, Z204 - AD205, 0),
  B205&gt;55, 0
)</f>
        <v>233492.3021</v>
      </c>
      <c r="AA205" s="65">
        <f>IFS(
  B205&lt;65,
    IF(AA204+J205 &lt; VLOOKUP(YEAR(A205), Lookup!$Q:$R, 2),
      AA204 + IF(MONTH(A205)=12, R204+X204, 0) + J205,
      MIN(
        AA204 + IF(MONTH(A205)=12, R204+X204, 0) + J205 ,
        VLOOKUP(YEAR(A205), Lookup!$Q:$R, 2)
      )
    ),
  B205&gt;=65,
    IF(AA204+J205 &lt; VLOOKUP(questions!$C$5, Lookup!$Q:$R, 2),
      AA204 + IF(MONTH(A205)=12, R204+X204, 0) + J205 ,
      MIN(
        AA204 + IF(MONTH(A205)=12, R204+X204, 0) + J205,
        VLOOKUP(questions!$C$5, Lookup!$Q:$R, 2)
      )
    )
)</f>
        <v>137704.7691</v>
      </c>
      <c r="AB205" s="65">
        <f t="shared" si="13"/>
        <v>0</v>
      </c>
      <c r="AC205" s="66">
        <f t="array" ref="AC205">IFS(B205&lt;66, XLOOKUP(year(A205),Lookup!$K$13:$K1000,Lookup!$L$13:$L1000,"missing",,1),B205&gt;65,XLOOKUP(questions!$C$5,Lookup!$K$13:$K1000,Lookup!$L$13:$L1000,"missing",,1))</f>
        <v>197847.8071</v>
      </c>
      <c r="AD205" s="66">
        <f t="array" ref="AD205">IFS(B205&lt;66, XLOOKUP(year(A205),Lookup!$K$13:$K1000,Lookup!$M$13:$M1000,"missing",,1),B205&gt;65, XLOOKUP(questions!$C$5,Lookup!$K$13:$K1000,Lookup!$M$13:$M1000,"missing",,1))</f>
        <v>395695.6143</v>
      </c>
      <c r="AE205" s="66">
        <f t="array" ref="AE205">IFS(B205&lt;66, XLOOKUP(year(A205),Lookup!$K$13:$K1000,Lookup!$N$13:$N1000,"missing",,1),B205&gt;65,XLOOKUP(questions!$C$5,Lookup!$K$13:$K1000,Lookup!$N$13:$N1000,"missing",,1))</f>
        <v>791391.2286</v>
      </c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</row>
    <row r="206">
      <c r="A206" s="55">
        <f t="shared" si="7"/>
        <v>52290</v>
      </c>
      <c r="B206" s="56">
        <f>round(YEARFRAC(EOMONTH(questions!$C$3, 0),A206,1),2)</f>
        <v>44.25</v>
      </c>
      <c r="C206" s="57">
        <f>IF(B206&lt;questions!$C$6,if(MONTH(A206)=1,C205*(1+questions!$C$12),C205),0)</f>
        <v>16528.47632</v>
      </c>
      <c r="D206" s="58">
        <f>IF(MONTH(A206)=12,C206*questions!$C$11,0)</f>
        <v>0</v>
      </c>
      <c r="E206" s="59">
        <f t="shared" si="2"/>
        <v>8000</v>
      </c>
      <c r="F206" s="59">
        <f t="shared" si="3"/>
        <v>0</v>
      </c>
      <c r="G206" s="60">
        <f t="array" ref="G206">if(YEAR(A206)=2025,XLOOKUP(B206,Lookup!$A$3:$A$7,Lookup!$D$3:$D$7,,1)*SUM(E206:F206), XLOOKUP(B206,Lookup!$A$14:$A$18,Lookup!$D$14:$D$18,,1)*SUM(E206:F206))</f>
        <v>2960</v>
      </c>
      <c r="H206" s="60">
        <f t="array" ref="H206">if(YEAR(A206)=2025,XLOOKUP(B206,Lookup!$F$3:$F$10,Lookup!$G$3:$G$10,,1)*G206, XLOOKUP(B206,Lookup!$F$14:$F$21,Lookup!$G$14:$G$21,,1)*G206)</f>
        <v>1680.392</v>
      </c>
      <c r="I206" s="60">
        <f t="array" ref="I206">if(B206&lt;55, if(YEAR(A206)=2025,XLOOKUP(B206,Lookup!$F$3:$F$10,Lookup!$H$3:$H$10,,1)*G206, XLOOKUP(B206,Lookup!$F$14:$F$21,Lookup!$H$14:$H$21,,1)*G206),0)</f>
        <v>559.736</v>
      </c>
      <c r="J206" s="60">
        <f t="array" ref="J206">if(YEAR(A206)=2025,XLOOKUP(B206,Lookup!$F$3:$F$10,Lookup!$I$3:$I$10,,1)*G206, XLOOKUP(B206,Lookup!$F$14:$F$21,Lookup!$I$14:$I$21,,1)*G206)</f>
        <v>719.872</v>
      </c>
      <c r="K206" s="61">
        <f t="array" ref="K206">if(B206&gt;54, if(YEAR(A206)=2025,XLOOKUP(B206,Lookup!$F$3:$F$10,Lookup!$H$3:$H$10,,1)*G206, XLOOKUP(B206,Lookup!$F$14:$F$21,Lookup!$H$14:$H$21,,1)*G206),0)</f>
        <v>0</v>
      </c>
      <c r="L206" s="62">
        <f>IF(and(A206&lt;questions!$C$19,questions!$C$18="yes"),questions!$C$20,0)</f>
        <v>700</v>
      </c>
      <c r="M206" s="63">
        <f>(Y205+H206)*Lookup!A$26/12</f>
        <v>650.5535006</v>
      </c>
      <c r="N206" s="63">
        <f>if(B206&lt;55, (Z205+I206)*Lookup!B$26/12, (AB205+K206)*Lookup!B$26/12)</f>
        <v>780.1734603</v>
      </c>
      <c r="O206" s="63">
        <f>(AA205+J206)*Lookup!C$26/12</f>
        <v>461.4154705</v>
      </c>
      <c r="P206" s="63">
        <f t="shared" si="8"/>
        <v>1299.064518</v>
      </c>
      <c r="Q206" s="63">
        <f t="shared" si="4"/>
        <v>1558.481134</v>
      </c>
      <c r="R206" s="63">
        <f t="shared" si="5"/>
        <v>920.4313676</v>
      </c>
      <c r="S206" s="64">
        <f t="shared" si="9"/>
        <v>16.66666667</v>
      </c>
      <c r="T206" s="64">
        <f t="shared" si="10"/>
        <v>33.33333333</v>
      </c>
      <c r="U206" s="64">
        <f t="shared" si="11"/>
        <v>0</v>
      </c>
      <c r="V206" s="64">
        <f t="shared" ref="V206:X206" si="214">IF(year($A206)=year($A205), V205+S206, S206)</f>
        <v>33.33333333</v>
      </c>
      <c r="W206" s="64">
        <f t="shared" si="214"/>
        <v>66.66666667</v>
      </c>
      <c r="X206" s="64">
        <f t="shared" si="214"/>
        <v>0</v>
      </c>
      <c r="Y206" s="65">
        <f>IFS(
  B206&lt;55,
    MAX(
      Y205 + IF(MONTH(A206)=12, P206+V206, 0) + H206 - L206
      + MAX(0,
          IF(AA205 &gt;= VLOOKUP(YEAR(A206), Lookup!$Q:$R, 2),
            Z205 + IF(MONTH(A206)=12, Q206+W206, 0) + I206
              + AA205 + IF(MONTH(A206)=12, R206+X206, 0)
              - VLOOKUP(YEAR(A206), Lookup!$Q:$R, 2) + J206,
            Z205 + IF(MONTH(A206)=12, Q206+W206, 0) + I206
          ) - VLOOKUP(YEAR(A206), Lookup!$K:$M, 3)
        ),
    0),
  B206=55,
    IF(Z205&gt;=AD206,
      MAX(Y205 + IF(MONTH(A206)=12, P206+V206, 0) + H206 - L206, 0),
      MAX(MAX(0, Y205-(AD206-Z205)) + IF(MONTH(A206)=12, P206+V206, 0) + H206 - L206, 0)
    ),
  B206&gt;55,
    IF(AB205&gt;=$AH$7,
      MAX(Y205 + IF(MONTH(A206)=12, P206+V206, 0) + H206 - L206 + K206 + Z205, 0),
      MAX(Y205 + IF(MONTH(A206)=12, P206+V206, 0) + H206 - L206, 0)
    )
)</f>
        <v>311565.6803</v>
      </c>
      <c r="Z206" s="65">
        <f>IFS(
  B206&lt;55,
    MIN(
      IF(AA205 &gt;= VLOOKUP(YEAR(A206), Lookup!$Q:$R, 2),
        Z205 + IF(MONTH(A206)=12, Q206+W206, 0) + I206
          + AA205 + IF(MONTH(A206)=12, R206+X206, 0) - VLOOKUP(YEAR(A206), Lookup!$Q:$R, 2) + J206,
        Z205 + IF(MONTH(A206)=12, Q206+W206, 0) + I206
      ),
      VLOOKUP(YEAR(A206), Lookup!$K:$M, 3)
    ),
  B206=55,
    IF(Z205 &gt;= AD206, Z205 - AD206, 0),
  B206&gt;55, 0
)</f>
        <v>234052.0381</v>
      </c>
      <c r="AA206" s="65">
        <f>IFS(
  B206&lt;65,
    IF(AA205+J206 &lt; VLOOKUP(YEAR(A206), Lookup!$Q:$R, 2),
      AA205 + IF(MONTH(A206)=12, R205+X205, 0) + J206,
      MIN(
        AA205 + IF(MONTH(A206)=12, R205+X205, 0) + J206 ,
        VLOOKUP(YEAR(A206), Lookup!$Q:$R, 2)
      )
    ),
  B206&gt;=65,
    IF(AA205+J206 &lt; VLOOKUP(questions!$C$5, Lookup!$Q:$R, 2),
      AA205 + IF(MONTH(A206)=12, R205+X205, 0) + J206 ,
      MIN(
        AA205 + IF(MONTH(A206)=12, R205+X205, 0) + J206,
        VLOOKUP(questions!$C$5, Lookup!$Q:$R, 2)
      )
    )
)</f>
        <v>138424.6411</v>
      </c>
      <c r="AB206" s="65">
        <f t="shared" si="13"/>
        <v>0</v>
      </c>
      <c r="AC206" s="66">
        <f t="array" ref="AC206">IFS(B206&lt;66, XLOOKUP(year(A206),Lookup!$K$13:$K1000,Lookup!$L$13:$L1000,"missing",,1),B206&gt;65,XLOOKUP(questions!$C$5,Lookup!$K$13:$K1000,Lookup!$L$13:$L1000,"missing",,1))</f>
        <v>197847.8071</v>
      </c>
      <c r="AD206" s="66">
        <f t="array" ref="AD206">IFS(B206&lt;66, XLOOKUP(year(A206),Lookup!$K$13:$K1000,Lookup!$M$13:$M1000,"missing",,1),B206&gt;65, XLOOKUP(questions!$C$5,Lookup!$K$13:$K1000,Lookup!$M$13:$M1000,"missing",,1))</f>
        <v>395695.6143</v>
      </c>
      <c r="AE206" s="66">
        <f t="array" ref="AE206">IFS(B206&lt;66, XLOOKUP(year(A206),Lookup!$K$13:$K1000,Lookup!$N$13:$N1000,"missing",,1),B206&gt;65,XLOOKUP(questions!$C$5,Lookup!$K$13:$K1000,Lookup!$N$13:$N1000,"missing",,1))</f>
        <v>791391.2286</v>
      </c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</row>
    <row r="207">
      <c r="A207" s="55">
        <f t="shared" si="7"/>
        <v>52321</v>
      </c>
      <c r="B207" s="56">
        <f>round(YEARFRAC(EOMONTH(questions!$C$3, 0),A207,1),2)</f>
        <v>44.33</v>
      </c>
      <c r="C207" s="57">
        <f>IF(B207&lt;questions!$C$6,if(MONTH(A207)=1,C206*(1+questions!$C$12),C206),0)</f>
        <v>16528.47632</v>
      </c>
      <c r="D207" s="58">
        <f>IF(MONTH(A207)=12,C207*questions!$C$11,0)</f>
        <v>0</v>
      </c>
      <c r="E207" s="59">
        <f t="shared" si="2"/>
        <v>8000</v>
      </c>
      <c r="F207" s="59">
        <f t="shared" si="3"/>
        <v>0</v>
      </c>
      <c r="G207" s="60">
        <f t="array" ref="G207">if(YEAR(A207)=2025,XLOOKUP(B207,Lookup!$A$3:$A$7,Lookup!$D$3:$D$7,,1)*SUM(E207:F207), XLOOKUP(B207,Lookup!$A$14:$A$18,Lookup!$D$14:$D$18,,1)*SUM(E207:F207))</f>
        <v>2960</v>
      </c>
      <c r="H207" s="60">
        <f t="array" ref="H207">if(YEAR(A207)=2025,XLOOKUP(B207,Lookup!$F$3:$F$10,Lookup!$G$3:$G$10,,1)*G207, XLOOKUP(B207,Lookup!$F$14:$F$21,Lookup!$G$14:$G$21,,1)*G207)</f>
        <v>1680.392</v>
      </c>
      <c r="I207" s="60">
        <f t="array" ref="I207">if(B207&lt;55, if(YEAR(A207)=2025,XLOOKUP(B207,Lookup!$F$3:$F$10,Lookup!$H$3:$H$10,,1)*G207, XLOOKUP(B207,Lookup!$F$14:$F$21,Lookup!$H$14:$H$21,,1)*G207),0)</f>
        <v>559.736</v>
      </c>
      <c r="J207" s="60">
        <f t="array" ref="J207">if(YEAR(A207)=2025,XLOOKUP(B207,Lookup!$F$3:$F$10,Lookup!$I$3:$I$10,,1)*G207, XLOOKUP(B207,Lookup!$F$14:$F$21,Lookup!$I$14:$I$21,,1)*G207)</f>
        <v>719.872</v>
      </c>
      <c r="K207" s="61">
        <f t="array" ref="K207">if(B207&gt;54, if(YEAR(A207)=2025,XLOOKUP(B207,Lookup!$F$3:$F$10,Lookup!$H$3:$H$10,,1)*G207, XLOOKUP(B207,Lookup!$F$14:$F$21,Lookup!$H$14:$H$21,,1)*G207),0)</f>
        <v>0</v>
      </c>
      <c r="L207" s="62">
        <f>IF(and(A207&lt;questions!$C$19,questions!$C$18="yes"),questions!$C$20,0)</f>
        <v>700</v>
      </c>
      <c r="M207" s="63">
        <f>(Y206+H207)*Lookup!A$26/12</f>
        <v>652.595984</v>
      </c>
      <c r="N207" s="63">
        <f>if(B207&lt;55, (Z206+I207)*Lookup!B$26/12, (AB206+K207)*Lookup!B$26/12)</f>
        <v>782.039247</v>
      </c>
      <c r="O207" s="63">
        <f>(AA206+J207)*Lookup!C$26/12</f>
        <v>463.8150438</v>
      </c>
      <c r="P207" s="63">
        <f t="shared" si="8"/>
        <v>1951.660502</v>
      </c>
      <c r="Q207" s="63">
        <f t="shared" si="4"/>
        <v>2340.520381</v>
      </c>
      <c r="R207" s="63">
        <f t="shared" si="5"/>
        <v>1384.246411</v>
      </c>
      <c r="S207" s="64">
        <f t="shared" si="9"/>
        <v>16.66666667</v>
      </c>
      <c r="T207" s="64">
        <f t="shared" si="10"/>
        <v>33.33333333</v>
      </c>
      <c r="U207" s="64">
        <f t="shared" si="11"/>
        <v>0</v>
      </c>
      <c r="V207" s="64">
        <f t="shared" ref="V207:X207" si="215">IF(year($A207)=year($A206), V206+S207, S207)</f>
        <v>50</v>
      </c>
      <c r="W207" s="64">
        <f t="shared" si="215"/>
        <v>100</v>
      </c>
      <c r="X207" s="64">
        <f t="shared" si="215"/>
        <v>0</v>
      </c>
      <c r="Y207" s="65">
        <f>IFS(
  B207&lt;55,
    MAX(
      Y206 + IF(MONTH(A207)=12, P207+V207, 0) + H207 - L207
      + MAX(0,
          IF(AA206 &gt;= VLOOKUP(YEAR(A207), Lookup!$Q:$R, 2),
            Z206 + IF(MONTH(A207)=12, Q207+W207, 0) + I207
              + AA206 + IF(MONTH(A207)=12, R207+X207, 0)
              - VLOOKUP(YEAR(A207), Lookup!$Q:$R, 2) + J207,
            Z206 + IF(MONTH(A207)=12, Q207+W207, 0) + I207
          ) - VLOOKUP(YEAR(A207), Lookup!$K:$M, 3)
        ),
    0),
  B207=55,
    IF(Z206&gt;=AD207,
      MAX(Y206 + IF(MONTH(A207)=12, P207+V207, 0) + H207 - L207, 0),
      MAX(MAX(0, Y206-(AD207-Z206)) + IF(MONTH(A207)=12, P207+V207, 0) + H207 - L207, 0)
    ),
  B207&gt;55,
    IF(AB206&gt;=$AH$7,
      MAX(Y206 + IF(MONTH(A207)=12, P207+V207, 0) + H207 - L207 + K207 + Z206, 0),
      MAX(Y206 + IF(MONTH(A207)=12, P207+V207, 0) + H207 - L207, 0)
    )
)</f>
        <v>312546.0723</v>
      </c>
      <c r="Z207" s="65">
        <f>IFS(
  B207&lt;55,
    MIN(
      IF(AA206 &gt;= VLOOKUP(YEAR(A207), Lookup!$Q:$R, 2),
        Z206 + IF(MONTH(A207)=12, Q207+W207, 0) + I207
          + AA206 + IF(MONTH(A207)=12, R207+X207, 0) - VLOOKUP(YEAR(A207), Lookup!$Q:$R, 2) + J207,
        Z206 + IF(MONTH(A207)=12, Q207+W207, 0) + I207
      ),
      VLOOKUP(YEAR(A207), Lookup!$K:$M, 3)
    ),
  B207=55,
    IF(Z206 &gt;= AD207, Z206 - AD207, 0),
  B207&gt;55, 0
)</f>
        <v>234611.7741</v>
      </c>
      <c r="AA207" s="65">
        <f>IFS(
  B207&lt;65,
    IF(AA206+J207 &lt; VLOOKUP(YEAR(A207), Lookup!$Q:$R, 2),
      AA206 + IF(MONTH(A207)=12, R206+X206, 0) + J207,
      MIN(
        AA206 + IF(MONTH(A207)=12, R206+X206, 0) + J207 ,
        VLOOKUP(YEAR(A207), Lookup!$Q:$R, 2)
      )
    ),
  B207&gt;=65,
    IF(AA206+J207 &lt; VLOOKUP(questions!$C$5, Lookup!$Q:$R, 2),
      AA206 + IF(MONTH(A207)=12, R206+X206, 0) + J207 ,
      MIN(
        AA206 + IF(MONTH(A207)=12, R206+X206, 0) + J207,
        VLOOKUP(questions!$C$5, Lookup!$Q:$R, 2)
      )
    )
)</f>
        <v>139144.5131</v>
      </c>
      <c r="AB207" s="65">
        <f t="shared" si="13"/>
        <v>0</v>
      </c>
      <c r="AC207" s="66">
        <f t="array" ref="AC207">IFS(B207&lt;66, XLOOKUP(year(A207),Lookup!$K$13:$K1000,Lookup!$L$13:$L1000,"missing",,1),B207&gt;65,XLOOKUP(questions!$C$5,Lookup!$K$13:$K1000,Lookup!$L$13:$L1000,"missing",,1))</f>
        <v>197847.8071</v>
      </c>
      <c r="AD207" s="66">
        <f t="array" ref="AD207">IFS(B207&lt;66, XLOOKUP(year(A207),Lookup!$K$13:$K1000,Lookup!$M$13:$M1000,"missing",,1),B207&gt;65, XLOOKUP(questions!$C$5,Lookup!$K$13:$K1000,Lookup!$M$13:$M1000,"missing",,1))</f>
        <v>395695.6143</v>
      </c>
      <c r="AE207" s="66">
        <f t="array" ref="AE207">IFS(B207&lt;66, XLOOKUP(year(A207),Lookup!$K$13:$K1000,Lookup!$N$13:$N1000,"missing",,1),B207&gt;65,XLOOKUP(questions!$C$5,Lookup!$K$13:$K1000,Lookup!$N$13:$N1000,"missing",,1))</f>
        <v>791391.2286</v>
      </c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</row>
    <row r="208">
      <c r="A208" s="55">
        <f t="shared" si="7"/>
        <v>52351</v>
      </c>
      <c r="B208" s="56">
        <f>round(YEARFRAC(EOMONTH(questions!$C$3, 0),A208,1),2)</f>
        <v>44.41</v>
      </c>
      <c r="C208" s="57">
        <f>IF(B208&lt;questions!$C$6,if(MONTH(A208)=1,C207*(1+questions!$C$12),C207),0)</f>
        <v>16528.47632</v>
      </c>
      <c r="D208" s="58">
        <f>IF(MONTH(A208)=12,C208*questions!$C$11,0)</f>
        <v>0</v>
      </c>
      <c r="E208" s="59">
        <f t="shared" si="2"/>
        <v>8000</v>
      </c>
      <c r="F208" s="59">
        <f t="shared" si="3"/>
        <v>0</v>
      </c>
      <c r="G208" s="60">
        <f t="array" ref="G208">if(YEAR(A208)=2025,XLOOKUP(B208,Lookup!$A$3:$A$7,Lookup!$D$3:$D$7,,1)*SUM(E208:F208), XLOOKUP(B208,Lookup!$A$14:$A$18,Lookup!$D$14:$D$18,,1)*SUM(E208:F208))</f>
        <v>2960</v>
      </c>
      <c r="H208" s="60">
        <f t="array" ref="H208">if(YEAR(A208)=2025,XLOOKUP(B208,Lookup!$F$3:$F$10,Lookup!$G$3:$G$10,,1)*G208, XLOOKUP(B208,Lookup!$F$14:$F$21,Lookup!$G$14:$G$21,,1)*G208)</f>
        <v>1680.392</v>
      </c>
      <c r="I208" s="60">
        <f t="array" ref="I208">if(B208&lt;55, if(YEAR(A208)=2025,XLOOKUP(B208,Lookup!$F$3:$F$10,Lookup!$H$3:$H$10,,1)*G208, XLOOKUP(B208,Lookup!$F$14:$F$21,Lookup!$H$14:$H$21,,1)*G208),0)</f>
        <v>559.736</v>
      </c>
      <c r="J208" s="60">
        <f t="array" ref="J208">if(YEAR(A208)=2025,XLOOKUP(B208,Lookup!$F$3:$F$10,Lookup!$I$3:$I$10,,1)*G208, XLOOKUP(B208,Lookup!$F$14:$F$21,Lookup!$I$14:$I$21,,1)*G208)</f>
        <v>719.872</v>
      </c>
      <c r="K208" s="61">
        <f t="array" ref="K208">if(B208&gt;54, if(YEAR(A208)=2025,XLOOKUP(B208,Lookup!$F$3:$F$10,Lookup!$H$3:$H$10,,1)*G208, XLOOKUP(B208,Lookup!$F$14:$F$21,Lookup!$H$14:$H$21,,1)*G208),0)</f>
        <v>0</v>
      </c>
      <c r="L208" s="62">
        <f>IF(and(A208&lt;questions!$C$19,questions!$C$18="yes"),questions!$C$20,0)</f>
        <v>700</v>
      </c>
      <c r="M208" s="63">
        <f>(Y207+H208)*Lookup!A$26/12</f>
        <v>654.6384673</v>
      </c>
      <c r="N208" s="63">
        <f>if(B208&lt;55, (Z207+I208)*Lookup!B$26/12, (AB207+K208)*Lookup!B$26/12)</f>
        <v>783.9050337</v>
      </c>
      <c r="O208" s="63">
        <f>(AA207+J208)*Lookup!C$26/12</f>
        <v>466.2146172</v>
      </c>
      <c r="P208" s="63">
        <f t="shared" si="8"/>
        <v>2606.298969</v>
      </c>
      <c r="Q208" s="63">
        <f t="shared" si="4"/>
        <v>3124.425415</v>
      </c>
      <c r="R208" s="63">
        <f t="shared" si="5"/>
        <v>1850.461029</v>
      </c>
      <c r="S208" s="64">
        <f t="shared" si="9"/>
        <v>16.66666667</v>
      </c>
      <c r="T208" s="64">
        <f t="shared" si="10"/>
        <v>33.33333333</v>
      </c>
      <c r="U208" s="64">
        <f t="shared" si="11"/>
        <v>0</v>
      </c>
      <c r="V208" s="64">
        <f t="shared" ref="V208:X208" si="216">IF(year($A208)=year($A207), V207+S208, S208)</f>
        <v>66.66666667</v>
      </c>
      <c r="W208" s="64">
        <f t="shared" si="216"/>
        <v>133.3333333</v>
      </c>
      <c r="X208" s="64">
        <f t="shared" si="216"/>
        <v>0</v>
      </c>
      <c r="Y208" s="65">
        <f>IFS(
  B208&lt;55,
    MAX(
      Y207 + IF(MONTH(A208)=12, P208+V208, 0) + H208 - L208
      + MAX(0,
          IF(AA207 &gt;= VLOOKUP(YEAR(A208), Lookup!$Q:$R, 2),
            Z207 + IF(MONTH(A208)=12, Q208+W208, 0) + I208
              + AA207 + IF(MONTH(A208)=12, R208+X208, 0)
              - VLOOKUP(YEAR(A208), Lookup!$Q:$R, 2) + J208,
            Z207 + IF(MONTH(A208)=12, Q208+W208, 0) + I208
          ) - VLOOKUP(YEAR(A208), Lookup!$K:$M, 3)
        ),
    0),
  B208=55,
    IF(Z207&gt;=AD208,
      MAX(Y207 + IF(MONTH(A208)=12, P208+V208, 0) + H208 - L208, 0),
      MAX(MAX(0, Y207-(AD208-Z207)) + IF(MONTH(A208)=12, P208+V208, 0) + H208 - L208, 0)
    ),
  B208&gt;55,
    IF(AB207&gt;=$AH$7,
      MAX(Y207 + IF(MONTH(A208)=12, P208+V208, 0) + H208 - L208 + K208 + Z207, 0),
      MAX(Y207 + IF(MONTH(A208)=12, P208+V208, 0) + H208 - L208, 0)
    )
)</f>
        <v>313526.4643</v>
      </c>
      <c r="Z208" s="65">
        <f>IFS(
  B208&lt;55,
    MIN(
      IF(AA207 &gt;= VLOOKUP(YEAR(A208), Lookup!$Q:$R, 2),
        Z207 + IF(MONTH(A208)=12, Q208+W208, 0) + I208
          + AA207 + IF(MONTH(A208)=12, R208+X208, 0) - VLOOKUP(YEAR(A208), Lookup!$Q:$R, 2) + J208,
        Z207 + IF(MONTH(A208)=12, Q208+W208, 0) + I208
      ),
      VLOOKUP(YEAR(A208), Lookup!$K:$M, 3)
    ),
  B208=55,
    IF(Z207 &gt;= AD208, Z207 - AD208, 0),
  B208&gt;55, 0
)</f>
        <v>235171.5101</v>
      </c>
      <c r="AA208" s="65">
        <f>IFS(
  B208&lt;65,
    IF(AA207+J208 &lt; VLOOKUP(YEAR(A208), Lookup!$Q:$R, 2),
      AA207 + IF(MONTH(A208)=12, R207+X207, 0) + J208,
      MIN(
        AA207 + IF(MONTH(A208)=12, R207+X207, 0) + J208 ,
        VLOOKUP(YEAR(A208), Lookup!$Q:$R, 2)
      )
    ),
  B208&gt;=65,
    IF(AA207+J208 &lt; VLOOKUP(questions!$C$5, Lookup!$Q:$R, 2),
      AA207 + IF(MONTH(A208)=12, R207+X207, 0) + J208 ,
      MIN(
        AA207 + IF(MONTH(A208)=12, R207+X207, 0) + J208,
        VLOOKUP(questions!$C$5, Lookup!$Q:$R, 2)
      )
    )
)</f>
        <v>139864.3851</v>
      </c>
      <c r="AB208" s="65">
        <f t="shared" si="13"/>
        <v>0</v>
      </c>
      <c r="AC208" s="66">
        <f t="array" ref="AC208">IFS(B208&lt;66, XLOOKUP(year(A208),Lookup!$K$13:$K1000,Lookup!$L$13:$L1000,"missing",,1),B208&gt;65,XLOOKUP(questions!$C$5,Lookup!$K$13:$K1000,Lookup!$L$13:$L1000,"missing",,1))</f>
        <v>197847.8071</v>
      </c>
      <c r="AD208" s="66">
        <f t="array" ref="AD208">IFS(B208&lt;66, XLOOKUP(year(A208),Lookup!$K$13:$K1000,Lookup!$M$13:$M1000,"missing",,1),B208&gt;65, XLOOKUP(questions!$C$5,Lookup!$K$13:$K1000,Lookup!$M$13:$M1000,"missing",,1))</f>
        <v>395695.6143</v>
      </c>
      <c r="AE208" s="66">
        <f t="array" ref="AE208">IFS(B208&lt;66, XLOOKUP(year(A208),Lookup!$K$13:$K1000,Lookup!$N$13:$N1000,"missing",,1),B208&gt;65,XLOOKUP(questions!$C$5,Lookup!$K$13:$K1000,Lookup!$N$13:$N1000,"missing",,1))</f>
        <v>791391.2286</v>
      </c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</row>
    <row r="209">
      <c r="A209" s="55">
        <f t="shared" si="7"/>
        <v>52382</v>
      </c>
      <c r="B209" s="56">
        <f>round(YEARFRAC(EOMONTH(questions!$C$3, 0),A209,1),2)</f>
        <v>44.5</v>
      </c>
      <c r="C209" s="57">
        <f>IF(B209&lt;questions!$C$6,if(MONTH(A209)=1,C208*(1+questions!$C$12),C208),0)</f>
        <v>16528.47632</v>
      </c>
      <c r="D209" s="58">
        <f>IF(MONTH(A209)=12,C209*questions!$C$11,0)</f>
        <v>0</v>
      </c>
      <c r="E209" s="59">
        <f t="shared" si="2"/>
        <v>8000</v>
      </c>
      <c r="F209" s="59">
        <f t="shared" si="3"/>
        <v>0</v>
      </c>
      <c r="G209" s="60">
        <f t="array" ref="G209">if(YEAR(A209)=2025,XLOOKUP(B209,Lookup!$A$3:$A$7,Lookup!$D$3:$D$7,,1)*SUM(E209:F209), XLOOKUP(B209,Lookup!$A$14:$A$18,Lookup!$D$14:$D$18,,1)*SUM(E209:F209))</f>
        <v>2960</v>
      </c>
      <c r="H209" s="60">
        <f t="array" ref="H209">if(YEAR(A209)=2025,XLOOKUP(B209,Lookup!$F$3:$F$10,Lookup!$G$3:$G$10,,1)*G209, XLOOKUP(B209,Lookup!$F$14:$F$21,Lookup!$G$14:$G$21,,1)*G209)</f>
        <v>1680.392</v>
      </c>
      <c r="I209" s="60">
        <f t="array" ref="I209">if(B209&lt;55, if(YEAR(A209)=2025,XLOOKUP(B209,Lookup!$F$3:$F$10,Lookup!$H$3:$H$10,,1)*G209, XLOOKUP(B209,Lookup!$F$14:$F$21,Lookup!$H$14:$H$21,,1)*G209),0)</f>
        <v>559.736</v>
      </c>
      <c r="J209" s="60">
        <f t="array" ref="J209">if(YEAR(A209)=2025,XLOOKUP(B209,Lookup!$F$3:$F$10,Lookup!$I$3:$I$10,,1)*G209, XLOOKUP(B209,Lookup!$F$14:$F$21,Lookup!$I$14:$I$21,,1)*G209)</f>
        <v>719.872</v>
      </c>
      <c r="K209" s="61">
        <f t="array" ref="K209">if(B209&gt;54, if(YEAR(A209)=2025,XLOOKUP(B209,Lookup!$F$3:$F$10,Lookup!$H$3:$H$10,,1)*G209, XLOOKUP(B209,Lookup!$F$14:$F$21,Lookup!$H$14:$H$21,,1)*G209),0)</f>
        <v>0</v>
      </c>
      <c r="L209" s="62">
        <f>IF(and(A209&lt;questions!$C$19,questions!$C$18="yes"),questions!$C$20,0)</f>
        <v>700</v>
      </c>
      <c r="M209" s="63">
        <f>(Y208+H209)*Lookup!A$26/12</f>
        <v>656.6809506</v>
      </c>
      <c r="N209" s="63">
        <f>if(B209&lt;55, (Z208+I209)*Lookup!B$26/12, (AB208+K209)*Lookup!B$26/12)</f>
        <v>785.7708203</v>
      </c>
      <c r="O209" s="63">
        <f>(AA208+J209)*Lookup!C$26/12</f>
        <v>468.6141905</v>
      </c>
      <c r="P209" s="63">
        <f t="shared" si="8"/>
        <v>3262.97992</v>
      </c>
      <c r="Q209" s="63">
        <f t="shared" si="4"/>
        <v>3910.196235</v>
      </c>
      <c r="R209" s="63">
        <f t="shared" si="5"/>
        <v>2319.075219</v>
      </c>
      <c r="S209" s="64">
        <f t="shared" si="9"/>
        <v>16.66666667</v>
      </c>
      <c r="T209" s="64">
        <f t="shared" si="10"/>
        <v>33.33333333</v>
      </c>
      <c r="U209" s="64">
        <f t="shared" si="11"/>
        <v>0</v>
      </c>
      <c r="V209" s="64">
        <f t="shared" ref="V209:X209" si="217">IF(year($A209)=year($A208), V208+S209, S209)</f>
        <v>83.33333333</v>
      </c>
      <c r="W209" s="64">
        <f t="shared" si="217"/>
        <v>166.6666667</v>
      </c>
      <c r="X209" s="64">
        <f t="shared" si="217"/>
        <v>0</v>
      </c>
      <c r="Y209" s="65">
        <f>IFS(
  B209&lt;55,
    MAX(
      Y208 + IF(MONTH(A209)=12, P209+V209, 0) + H209 - L209
      + MAX(0,
          IF(AA208 &gt;= VLOOKUP(YEAR(A209), Lookup!$Q:$R, 2),
            Z208 + IF(MONTH(A209)=12, Q209+W209, 0) + I209
              + AA208 + IF(MONTH(A209)=12, R209+X209, 0)
              - VLOOKUP(YEAR(A209), Lookup!$Q:$R, 2) + J209,
            Z208 + IF(MONTH(A209)=12, Q209+W209, 0) + I209
          ) - VLOOKUP(YEAR(A209), Lookup!$K:$M, 3)
        ),
    0),
  B209=55,
    IF(Z208&gt;=AD209,
      MAX(Y208 + IF(MONTH(A209)=12, P209+V209, 0) + H209 - L209, 0),
      MAX(MAX(0, Y208-(AD209-Z208)) + IF(MONTH(A209)=12, P209+V209, 0) + H209 - L209, 0)
    ),
  B209&gt;55,
    IF(AB208&gt;=$AH$7,
      MAX(Y208 + IF(MONTH(A209)=12, P209+V209, 0) + H209 - L209 + K209 + Z208, 0),
      MAX(Y208 + IF(MONTH(A209)=12, P209+V209, 0) + H209 - L209, 0)
    )
)</f>
        <v>314506.8563</v>
      </c>
      <c r="Z209" s="65">
        <f>IFS(
  B209&lt;55,
    MIN(
      IF(AA208 &gt;= VLOOKUP(YEAR(A209), Lookup!$Q:$R, 2),
        Z208 + IF(MONTH(A209)=12, Q209+W209, 0) + I209
          + AA208 + IF(MONTH(A209)=12, R209+X209, 0) - VLOOKUP(YEAR(A209), Lookup!$Q:$R, 2) + J209,
        Z208 + IF(MONTH(A209)=12, Q209+W209, 0) + I209
      ),
      VLOOKUP(YEAR(A209), Lookup!$K:$M, 3)
    ),
  B209=55,
    IF(Z208 &gt;= AD209, Z208 - AD209, 0),
  B209&gt;55, 0
)</f>
        <v>235731.2461</v>
      </c>
      <c r="AA209" s="65">
        <f>IFS(
  B209&lt;65,
    IF(AA208+J209 &lt; VLOOKUP(YEAR(A209), Lookup!$Q:$R, 2),
      AA208 + IF(MONTH(A209)=12, R208+X208, 0) + J209,
      MIN(
        AA208 + IF(MONTH(A209)=12, R208+X208, 0) + J209 ,
        VLOOKUP(YEAR(A209), Lookup!$Q:$R, 2)
      )
    ),
  B209&gt;=65,
    IF(AA208+J209 &lt; VLOOKUP(questions!$C$5, Lookup!$Q:$R, 2),
      AA208 + IF(MONTH(A209)=12, R208+X208, 0) + J209 ,
      MIN(
        AA208 + IF(MONTH(A209)=12, R208+X208, 0) + J209,
        VLOOKUP(questions!$C$5, Lookup!$Q:$R, 2)
      )
    )
)</f>
        <v>140584.2571</v>
      </c>
      <c r="AB209" s="65">
        <f t="shared" si="13"/>
        <v>0</v>
      </c>
      <c r="AC209" s="66">
        <f t="array" ref="AC209">IFS(B209&lt;66, XLOOKUP(year(A209),Lookup!$K$13:$K1000,Lookup!$L$13:$L1000,"missing",,1),B209&gt;65,XLOOKUP(questions!$C$5,Lookup!$K$13:$K1000,Lookup!$L$13:$L1000,"missing",,1))</f>
        <v>197847.8071</v>
      </c>
      <c r="AD209" s="66">
        <f t="array" ref="AD209">IFS(B209&lt;66, XLOOKUP(year(A209),Lookup!$K$13:$K1000,Lookup!$M$13:$M1000,"missing",,1),B209&gt;65, XLOOKUP(questions!$C$5,Lookup!$K$13:$K1000,Lookup!$M$13:$M1000,"missing",,1))</f>
        <v>395695.6143</v>
      </c>
      <c r="AE209" s="66">
        <f t="array" ref="AE209">IFS(B209&lt;66, XLOOKUP(year(A209),Lookup!$K$13:$K1000,Lookup!$N$13:$N1000,"missing",,1),B209&gt;65,XLOOKUP(questions!$C$5,Lookup!$K$13:$K1000,Lookup!$N$13:$N1000,"missing",,1))</f>
        <v>791391.2286</v>
      </c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</row>
    <row r="210">
      <c r="A210" s="55">
        <f t="shared" si="7"/>
        <v>52412</v>
      </c>
      <c r="B210" s="56">
        <f>round(YEARFRAC(EOMONTH(questions!$C$3, 0),A210,1),2)</f>
        <v>44.58</v>
      </c>
      <c r="C210" s="57">
        <f>IF(B210&lt;questions!$C$6,if(MONTH(A210)=1,C209*(1+questions!$C$12),C209),0)</f>
        <v>16528.47632</v>
      </c>
      <c r="D210" s="58">
        <f>IF(MONTH(A210)=12,C210*questions!$C$11,0)</f>
        <v>0</v>
      </c>
      <c r="E210" s="59">
        <f t="shared" si="2"/>
        <v>8000</v>
      </c>
      <c r="F210" s="59">
        <f t="shared" si="3"/>
        <v>0</v>
      </c>
      <c r="G210" s="60">
        <f t="array" ref="G210">if(YEAR(A210)=2025,XLOOKUP(B210,Lookup!$A$3:$A$7,Lookup!$D$3:$D$7,,1)*SUM(E210:F210), XLOOKUP(B210,Lookup!$A$14:$A$18,Lookup!$D$14:$D$18,,1)*SUM(E210:F210))</f>
        <v>2960</v>
      </c>
      <c r="H210" s="60">
        <f t="array" ref="H210">if(YEAR(A210)=2025,XLOOKUP(B210,Lookup!$F$3:$F$10,Lookup!$G$3:$G$10,,1)*G210, XLOOKUP(B210,Lookup!$F$14:$F$21,Lookup!$G$14:$G$21,,1)*G210)</f>
        <v>1680.392</v>
      </c>
      <c r="I210" s="60">
        <f t="array" ref="I210">if(B210&lt;55, if(YEAR(A210)=2025,XLOOKUP(B210,Lookup!$F$3:$F$10,Lookup!$H$3:$H$10,,1)*G210, XLOOKUP(B210,Lookup!$F$14:$F$21,Lookup!$H$14:$H$21,,1)*G210),0)</f>
        <v>559.736</v>
      </c>
      <c r="J210" s="60">
        <f t="array" ref="J210">if(YEAR(A210)=2025,XLOOKUP(B210,Lookup!$F$3:$F$10,Lookup!$I$3:$I$10,,1)*G210, XLOOKUP(B210,Lookup!$F$14:$F$21,Lookup!$I$14:$I$21,,1)*G210)</f>
        <v>719.872</v>
      </c>
      <c r="K210" s="61">
        <f t="array" ref="K210">if(B210&gt;54, if(YEAR(A210)=2025,XLOOKUP(B210,Lookup!$F$3:$F$10,Lookup!$H$3:$H$10,,1)*G210, XLOOKUP(B210,Lookup!$F$14:$F$21,Lookup!$H$14:$H$21,,1)*G210),0)</f>
        <v>0</v>
      </c>
      <c r="L210" s="62">
        <f>IF(and(A210&lt;questions!$C$19,questions!$C$18="yes"),questions!$C$20,0)</f>
        <v>700</v>
      </c>
      <c r="M210" s="63">
        <f>(Y209+H210)*Lookup!A$26/12</f>
        <v>658.723434</v>
      </c>
      <c r="N210" s="63">
        <f>if(B210&lt;55, (Z209+I210)*Lookup!B$26/12, (AB209+K210)*Lookup!B$26/12)</f>
        <v>787.636607</v>
      </c>
      <c r="O210" s="63">
        <f>(AA209+J210)*Lookup!C$26/12</f>
        <v>471.0137638</v>
      </c>
      <c r="P210" s="63">
        <f t="shared" si="8"/>
        <v>3921.703354</v>
      </c>
      <c r="Q210" s="63">
        <f t="shared" si="4"/>
        <v>4697.832842</v>
      </c>
      <c r="R210" s="63">
        <f t="shared" si="5"/>
        <v>2790.088983</v>
      </c>
      <c r="S210" s="64">
        <f t="shared" si="9"/>
        <v>16.66666667</v>
      </c>
      <c r="T210" s="64">
        <f t="shared" si="10"/>
        <v>33.33333333</v>
      </c>
      <c r="U210" s="64">
        <f t="shared" si="11"/>
        <v>0</v>
      </c>
      <c r="V210" s="64">
        <f t="shared" ref="V210:X210" si="218">IF(year($A210)=year($A209), V209+S210, S210)</f>
        <v>100</v>
      </c>
      <c r="W210" s="64">
        <f t="shared" si="218"/>
        <v>200</v>
      </c>
      <c r="X210" s="64">
        <f t="shared" si="218"/>
        <v>0</v>
      </c>
      <c r="Y210" s="65">
        <f>IFS(
  B210&lt;55,
    MAX(
      Y209 + IF(MONTH(A210)=12, P210+V210, 0) + H210 - L210
      + MAX(0,
          IF(AA209 &gt;= VLOOKUP(YEAR(A210), Lookup!$Q:$R, 2),
            Z209 + IF(MONTH(A210)=12, Q210+W210, 0) + I210
              + AA209 + IF(MONTH(A210)=12, R210+X210, 0)
              - VLOOKUP(YEAR(A210), Lookup!$Q:$R, 2) + J210,
            Z209 + IF(MONTH(A210)=12, Q210+W210, 0) + I210
          ) - VLOOKUP(YEAR(A210), Lookup!$K:$M, 3)
        ),
    0),
  B210=55,
    IF(Z209&gt;=AD210,
      MAX(Y209 + IF(MONTH(A210)=12, P210+V210, 0) + H210 - L210, 0),
      MAX(MAX(0, Y209-(AD210-Z209)) + IF(MONTH(A210)=12, P210+V210, 0) + H210 - L210, 0)
    ),
  B210&gt;55,
    IF(AB209&gt;=$AH$7,
      MAX(Y209 + IF(MONTH(A210)=12, P210+V210, 0) + H210 - L210 + K210 + Z209, 0),
      MAX(Y209 + IF(MONTH(A210)=12, P210+V210, 0) + H210 - L210, 0)
    )
)</f>
        <v>315487.2483</v>
      </c>
      <c r="Z210" s="65">
        <f>IFS(
  B210&lt;55,
    MIN(
      IF(AA209 &gt;= VLOOKUP(YEAR(A210), Lookup!$Q:$R, 2),
        Z209 + IF(MONTH(A210)=12, Q210+W210, 0) + I210
          + AA209 + IF(MONTH(A210)=12, R210+X210, 0) - VLOOKUP(YEAR(A210), Lookup!$Q:$R, 2) + J210,
        Z209 + IF(MONTH(A210)=12, Q210+W210, 0) + I210
      ),
      VLOOKUP(YEAR(A210), Lookup!$K:$M, 3)
    ),
  B210=55,
    IF(Z209 &gt;= AD210, Z209 - AD210, 0),
  B210&gt;55, 0
)</f>
        <v>236290.9821</v>
      </c>
      <c r="AA210" s="65">
        <f>IFS(
  B210&lt;65,
    IF(AA209+J210 &lt; VLOOKUP(YEAR(A210), Lookup!$Q:$R, 2),
      AA209 + IF(MONTH(A210)=12, R209+X209, 0) + J210,
      MIN(
        AA209 + IF(MONTH(A210)=12, R209+X209, 0) + J210 ,
        VLOOKUP(YEAR(A210), Lookup!$Q:$R, 2)
      )
    ),
  B210&gt;=65,
    IF(AA209+J210 &lt; VLOOKUP(questions!$C$5, Lookup!$Q:$R, 2),
      AA209 + IF(MONTH(A210)=12, R209+X209, 0) + J210 ,
      MIN(
        AA209 + IF(MONTH(A210)=12, R209+X209, 0) + J210,
        VLOOKUP(questions!$C$5, Lookup!$Q:$R, 2)
      )
    )
)</f>
        <v>141304.1291</v>
      </c>
      <c r="AB210" s="65">
        <f t="shared" si="13"/>
        <v>0</v>
      </c>
      <c r="AC210" s="66">
        <f t="array" ref="AC210">IFS(B210&lt;66, XLOOKUP(year(A210),Lookup!$K$13:$K1000,Lookup!$L$13:$L1000,"missing",,1),B210&gt;65,XLOOKUP(questions!$C$5,Lookup!$K$13:$K1000,Lookup!$L$13:$L1000,"missing",,1))</f>
        <v>197847.8071</v>
      </c>
      <c r="AD210" s="66">
        <f t="array" ref="AD210">IFS(B210&lt;66, XLOOKUP(year(A210),Lookup!$K$13:$K1000,Lookup!$M$13:$M1000,"missing",,1),B210&gt;65, XLOOKUP(questions!$C$5,Lookup!$K$13:$K1000,Lookup!$M$13:$M1000,"missing",,1))</f>
        <v>395695.6143</v>
      </c>
      <c r="AE210" s="66">
        <f t="array" ref="AE210">IFS(B210&lt;66, XLOOKUP(year(A210),Lookup!$K$13:$K1000,Lookup!$N$13:$N1000,"missing",,1),B210&gt;65,XLOOKUP(questions!$C$5,Lookup!$K$13:$K1000,Lookup!$N$13:$N1000,"missing",,1))</f>
        <v>791391.2286</v>
      </c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</row>
    <row r="211">
      <c r="A211" s="55">
        <f t="shared" si="7"/>
        <v>52443</v>
      </c>
      <c r="B211" s="56">
        <f>round(YEARFRAC(EOMONTH(questions!$C$3, 0),A211,1),2)</f>
        <v>44.67</v>
      </c>
      <c r="C211" s="57">
        <f>IF(B211&lt;questions!$C$6,if(MONTH(A211)=1,C210*(1+questions!$C$12),C210),0)</f>
        <v>16528.47632</v>
      </c>
      <c r="D211" s="58">
        <f>IF(MONTH(A211)=12,C211*questions!$C$11,0)</f>
        <v>0</v>
      </c>
      <c r="E211" s="59">
        <f t="shared" si="2"/>
        <v>8000</v>
      </c>
      <c r="F211" s="59">
        <f t="shared" si="3"/>
        <v>0</v>
      </c>
      <c r="G211" s="60">
        <f t="array" ref="G211">if(YEAR(A211)=2025,XLOOKUP(B211,Lookup!$A$3:$A$7,Lookup!$D$3:$D$7,,1)*SUM(E211:F211), XLOOKUP(B211,Lookup!$A$14:$A$18,Lookup!$D$14:$D$18,,1)*SUM(E211:F211))</f>
        <v>2960</v>
      </c>
      <c r="H211" s="60">
        <f t="array" ref="H211">if(YEAR(A211)=2025,XLOOKUP(B211,Lookup!$F$3:$F$10,Lookup!$G$3:$G$10,,1)*G211, XLOOKUP(B211,Lookup!$F$14:$F$21,Lookup!$G$14:$G$21,,1)*G211)</f>
        <v>1680.392</v>
      </c>
      <c r="I211" s="60">
        <f t="array" ref="I211">if(B211&lt;55, if(YEAR(A211)=2025,XLOOKUP(B211,Lookup!$F$3:$F$10,Lookup!$H$3:$H$10,,1)*G211, XLOOKUP(B211,Lookup!$F$14:$F$21,Lookup!$H$14:$H$21,,1)*G211),0)</f>
        <v>559.736</v>
      </c>
      <c r="J211" s="60">
        <f t="array" ref="J211">if(YEAR(A211)=2025,XLOOKUP(B211,Lookup!$F$3:$F$10,Lookup!$I$3:$I$10,,1)*G211, XLOOKUP(B211,Lookup!$F$14:$F$21,Lookup!$I$14:$I$21,,1)*G211)</f>
        <v>719.872</v>
      </c>
      <c r="K211" s="61">
        <f t="array" ref="K211">if(B211&gt;54, if(YEAR(A211)=2025,XLOOKUP(B211,Lookup!$F$3:$F$10,Lookup!$H$3:$H$10,,1)*G211, XLOOKUP(B211,Lookup!$F$14:$F$21,Lookup!$H$14:$H$21,,1)*G211),0)</f>
        <v>0</v>
      </c>
      <c r="L211" s="62">
        <f>IF(and(A211&lt;questions!$C$19,questions!$C$18="yes"),questions!$C$20,0)</f>
        <v>700</v>
      </c>
      <c r="M211" s="63">
        <f>(Y210+H211)*Lookup!A$26/12</f>
        <v>660.7659173</v>
      </c>
      <c r="N211" s="63">
        <f>if(B211&lt;55, (Z210+I211)*Lookup!B$26/12, (AB210+K211)*Lookup!B$26/12)</f>
        <v>789.5023937</v>
      </c>
      <c r="O211" s="63">
        <f>(AA210+J211)*Lookup!C$26/12</f>
        <v>473.4133372</v>
      </c>
      <c r="P211" s="63">
        <f t="shared" si="8"/>
        <v>4582.469271</v>
      </c>
      <c r="Q211" s="63">
        <f t="shared" si="4"/>
        <v>5487.335236</v>
      </c>
      <c r="R211" s="63">
        <f t="shared" si="5"/>
        <v>3263.50232</v>
      </c>
      <c r="S211" s="64">
        <f t="shared" si="9"/>
        <v>16.66666667</v>
      </c>
      <c r="T211" s="64">
        <f t="shared" si="10"/>
        <v>33.33333333</v>
      </c>
      <c r="U211" s="64">
        <f t="shared" si="11"/>
        <v>0</v>
      </c>
      <c r="V211" s="64">
        <f t="shared" ref="V211:X211" si="219">IF(year($A211)=year($A210), V210+S211, S211)</f>
        <v>116.6666667</v>
      </c>
      <c r="W211" s="64">
        <f t="shared" si="219"/>
        <v>233.3333333</v>
      </c>
      <c r="X211" s="64">
        <f t="shared" si="219"/>
        <v>0</v>
      </c>
      <c r="Y211" s="65">
        <f>IFS(
  B211&lt;55,
    MAX(
      Y210 + IF(MONTH(A211)=12, P211+V211, 0) + H211 - L211
      + MAX(0,
          IF(AA210 &gt;= VLOOKUP(YEAR(A211), Lookup!$Q:$R, 2),
            Z210 + IF(MONTH(A211)=12, Q211+W211, 0) + I211
              + AA210 + IF(MONTH(A211)=12, R211+X211, 0)
              - VLOOKUP(YEAR(A211), Lookup!$Q:$R, 2) + J211,
            Z210 + IF(MONTH(A211)=12, Q211+W211, 0) + I211
          ) - VLOOKUP(YEAR(A211), Lookup!$K:$M, 3)
        ),
    0),
  B211=55,
    IF(Z210&gt;=AD211,
      MAX(Y210 + IF(MONTH(A211)=12, P211+V211, 0) + H211 - L211, 0),
      MAX(MAX(0, Y210-(AD211-Z210)) + IF(MONTH(A211)=12, P211+V211, 0) + H211 - L211, 0)
    ),
  B211&gt;55,
    IF(AB210&gt;=$AH$7,
      MAX(Y210 + IF(MONTH(A211)=12, P211+V211, 0) + H211 - L211 + K211 + Z210, 0),
      MAX(Y210 + IF(MONTH(A211)=12, P211+V211, 0) + H211 - L211, 0)
    )
)</f>
        <v>316467.6403</v>
      </c>
      <c r="Z211" s="65">
        <f>IFS(
  B211&lt;55,
    MIN(
      IF(AA210 &gt;= VLOOKUP(YEAR(A211), Lookup!$Q:$R, 2),
        Z210 + IF(MONTH(A211)=12, Q211+W211, 0) + I211
          + AA210 + IF(MONTH(A211)=12, R211+X211, 0) - VLOOKUP(YEAR(A211), Lookup!$Q:$R, 2) + J211,
        Z210 + IF(MONTH(A211)=12, Q211+W211, 0) + I211
      ),
      VLOOKUP(YEAR(A211), Lookup!$K:$M, 3)
    ),
  B211=55,
    IF(Z210 &gt;= AD211, Z210 - AD211, 0),
  B211&gt;55, 0
)</f>
        <v>236850.7181</v>
      </c>
      <c r="AA211" s="65">
        <f>IFS(
  B211&lt;65,
    IF(AA210+J211 &lt; VLOOKUP(YEAR(A211), Lookup!$Q:$R, 2),
      AA210 + IF(MONTH(A211)=12, R210+X210, 0) + J211,
      MIN(
        AA210 + IF(MONTH(A211)=12, R210+X210, 0) + J211 ,
        VLOOKUP(YEAR(A211), Lookup!$Q:$R, 2)
      )
    ),
  B211&gt;=65,
    IF(AA210+J211 &lt; VLOOKUP(questions!$C$5, Lookup!$Q:$R, 2),
      AA210 + IF(MONTH(A211)=12, R210+X210, 0) + J211 ,
      MIN(
        AA210 + IF(MONTH(A211)=12, R210+X210, 0) + J211,
        VLOOKUP(questions!$C$5, Lookup!$Q:$R, 2)
      )
    )
)</f>
        <v>141779.3685</v>
      </c>
      <c r="AB211" s="65">
        <f t="shared" si="13"/>
        <v>0</v>
      </c>
      <c r="AC211" s="66">
        <f t="array" ref="AC211">IFS(B211&lt;66, XLOOKUP(year(A211),Lookup!$K$13:$K1000,Lookup!$L$13:$L1000,"missing",,1),B211&gt;65,XLOOKUP(questions!$C$5,Lookup!$K$13:$K1000,Lookup!$L$13:$L1000,"missing",,1))</f>
        <v>197847.8071</v>
      </c>
      <c r="AD211" s="66">
        <f t="array" ref="AD211">IFS(B211&lt;66, XLOOKUP(year(A211),Lookup!$K$13:$K1000,Lookup!$M$13:$M1000,"missing",,1),B211&gt;65, XLOOKUP(questions!$C$5,Lookup!$K$13:$K1000,Lookup!$M$13:$M1000,"missing",,1))</f>
        <v>395695.6143</v>
      </c>
      <c r="AE211" s="66">
        <f t="array" ref="AE211">IFS(B211&lt;66, XLOOKUP(year(A211),Lookup!$K$13:$K1000,Lookup!$N$13:$N1000,"missing",,1),B211&gt;65,XLOOKUP(questions!$C$5,Lookup!$K$13:$K1000,Lookup!$N$13:$N1000,"missing",,1))</f>
        <v>791391.2286</v>
      </c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</row>
    <row r="212">
      <c r="A212" s="55">
        <f t="shared" si="7"/>
        <v>52474</v>
      </c>
      <c r="B212" s="56">
        <f>round(YEARFRAC(EOMONTH(questions!$C$3, 0),A212,1),2)</f>
        <v>44.75</v>
      </c>
      <c r="C212" s="57">
        <f>IF(B212&lt;questions!$C$6,if(MONTH(A212)=1,C211*(1+questions!$C$12),C211),0)</f>
        <v>16528.47632</v>
      </c>
      <c r="D212" s="58">
        <f>IF(MONTH(A212)=12,C212*questions!$C$11,0)</f>
        <v>0</v>
      </c>
      <c r="E212" s="59">
        <f t="shared" si="2"/>
        <v>8000</v>
      </c>
      <c r="F212" s="59">
        <f t="shared" si="3"/>
        <v>0</v>
      </c>
      <c r="G212" s="60">
        <f t="array" ref="G212">if(YEAR(A212)=2025,XLOOKUP(B212,Lookup!$A$3:$A$7,Lookup!$D$3:$D$7,,1)*SUM(E212:F212), XLOOKUP(B212,Lookup!$A$14:$A$18,Lookup!$D$14:$D$18,,1)*SUM(E212:F212))</f>
        <v>2960</v>
      </c>
      <c r="H212" s="60">
        <f t="array" ref="H212">if(YEAR(A212)=2025,XLOOKUP(B212,Lookup!$F$3:$F$10,Lookup!$G$3:$G$10,,1)*G212, XLOOKUP(B212,Lookup!$F$14:$F$21,Lookup!$G$14:$G$21,,1)*G212)</f>
        <v>1680.392</v>
      </c>
      <c r="I212" s="60">
        <f t="array" ref="I212">if(B212&lt;55, if(YEAR(A212)=2025,XLOOKUP(B212,Lookup!$F$3:$F$10,Lookup!$H$3:$H$10,,1)*G212, XLOOKUP(B212,Lookup!$F$14:$F$21,Lookup!$H$14:$H$21,,1)*G212),0)</f>
        <v>559.736</v>
      </c>
      <c r="J212" s="60">
        <f t="array" ref="J212">if(YEAR(A212)=2025,XLOOKUP(B212,Lookup!$F$3:$F$10,Lookup!$I$3:$I$10,,1)*G212, XLOOKUP(B212,Lookup!$F$14:$F$21,Lookup!$I$14:$I$21,,1)*G212)</f>
        <v>719.872</v>
      </c>
      <c r="K212" s="61">
        <f t="array" ref="K212">if(B212&gt;54, if(YEAR(A212)=2025,XLOOKUP(B212,Lookup!$F$3:$F$10,Lookup!$H$3:$H$10,,1)*G212, XLOOKUP(B212,Lookup!$F$14:$F$21,Lookup!$H$14:$H$21,,1)*G212),0)</f>
        <v>0</v>
      </c>
      <c r="L212" s="62">
        <f>IF(and(A212&lt;questions!$C$19,questions!$C$18="yes"),questions!$C$20,0)</f>
        <v>700</v>
      </c>
      <c r="M212" s="63">
        <f>(Y211+H212)*Lookup!A$26/12</f>
        <v>662.8084006</v>
      </c>
      <c r="N212" s="63">
        <f>if(B212&lt;55, (Z211+I212)*Lookup!B$26/12, (AB211+K212)*Lookup!B$26/12)</f>
        <v>791.3681803</v>
      </c>
      <c r="O212" s="63">
        <f>(AA211+J212)*Lookup!C$26/12</f>
        <v>474.9974685</v>
      </c>
      <c r="P212" s="63">
        <f t="shared" si="8"/>
        <v>5245.277672</v>
      </c>
      <c r="Q212" s="63">
        <f t="shared" si="4"/>
        <v>6278.703416</v>
      </c>
      <c r="R212" s="63">
        <f t="shared" si="5"/>
        <v>3738.499789</v>
      </c>
      <c r="S212" s="64">
        <f t="shared" si="9"/>
        <v>16.66666667</v>
      </c>
      <c r="T212" s="64">
        <f t="shared" si="10"/>
        <v>33.33333333</v>
      </c>
      <c r="U212" s="64">
        <f t="shared" si="11"/>
        <v>0</v>
      </c>
      <c r="V212" s="64">
        <f t="shared" ref="V212:X212" si="220">IF(year($A212)=year($A211), V211+S212, S212)</f>
        <v>133.3333333</v>
      </c>
      <c r="W212" s="64">
        <f t="shared" si="220"/>
        <v>266.6666667</v>
      </c>
      <c r="X212" s="64">
        <f t="shared" si="220"/>
        <v>0</v>
      </c>
      <c r="Y212" s="65">
        <f>IFS(
  B212&lt;55,
    MAX(
      Y211 + IF(MONTH(A212)=12, P212+V212, 0) + H212 - L212
      + MAX(0,
          IF(AA211 &gt;= VLOOKUP(YEAR(A212), Lookup!$Q:$R, 2),
            Z211 + IF(MONTH(A212)=12, Q212+W212, 0) + I212
              + AA211 + IF(MONTH(A212)=12, R212+X212, 0)
              - VLOOKUP(YEAR(A212), Lookup!$Q:$R, 2) + J212,
            Z211 + IF(MONTH(A212)=12, Q212+W212, 0) + I212
          ) - VLOOKUP(YEAR(A212), Lookup!$K:$M, 3)
        ),
    0),
  B212=55,
    IF(Z211&gt;=AD212,
      MAX(Y211 + IF(MONTH(A212)=12, P212+V212, 0) + H212 - L212, 0),
      MAX(MAX(0, Y211-(AD212-Z211)) + IF(MONTH(A212)=12, P212+V212, 0) + H212 - L212, 0)
    ),
  B212&gt;55,
    IF(AB211&gt;=$AH$7,
      MAX(Y211 + IF(MONTH(A212)=12, P212+V212, 0) + H212 - L212 + K212 + Z211, 0),
      MAX(Y211 + IF(MONTH(A212)=12, P212+V212, 0) + H212 - L212, 0)
    )
)</f>
        <v>317448.0323</v>
      </c>
      <c r="Z212" s="65">
        <f>IFS(
  B212&lt;55,
    MIN(
      IF(AA211 &gt;= VLOOKUP(YEAR(A212), Lookup!$Q:$R, 2),
        Z211 + IF(MONTH(A212)=12, Q212+W212, 0) + I212
          + AA211 + IF(MONTH(A212)=12, R212+X212, 0) - VLOOKUP(YEAR(A212), Lookup!$Q:$R, 2) + J212,
        Z211 + IF(MONTH(A212)=12, Q212+W212, 0) + I212
      ),
      VLOOKUP(YEAR(A212), Lookup!$K:$M, 3)
    ),
  B212=55,
    IF(Z211 &gt;= AD212, Z211 - AD212, 0),
  B212&gt;55, 0
)</f>
        <v>238130.3261</v>
      </c>
      <c r="AA212" s="65">
        <f>IFS(
  B212&lt;65,
    IF(AA211+J212 &lt; VLOOKUP(YEAR(A212), Lookup!$Q:$R, 2),
      AA211 + IF(MONTH(A212)=12, R211+X211, 0) + J212,
      MIN(
        AA211 + IF(MONTH(A212)=12, R211+X211, 0) + J212 ,
        VLOOKUP(YEAR(A212), Lookup!$Q:$R, 2)
      )
    ),
  B212&gt;=65,
    IF(AA211+J212 &lt; VLOOKUP(questions!$C$5, Lookup!$Q:$R, 2),
      AA211 + IF(MONTH(A212)=12, R211+X211, 0) + J212 ,
      MIN(
        AA211 + IF(MONTH(A212)=12, R211+X211, 0) + J212,
        VLOOKUP(questions!$C$5, Lookup!$Q:$R, 2)
      )
    )
)</f>
        <v>141779.3685</v>
      </c>
      <c r="AB212" s="65">
        <f t="shared" si="13"/>
        <v>0</v>
      </c>
      <c r="AC212" s="66">
        <f t="array" ref="AC212">IFS(B212&lt;66, XLOOKUP(year(A212),Lookup!$K$13:$K1000,Lookup!$L$13:$L1000,"missing",,1),B212&gt;65,XLOOKUP(questions!$C$5,Lookup!$K$13:$K1000,Lookup!$L$13:$L1000,"missing",,1))</f>
        <v>197847.8071</v>
      </c>
      <c r="AD212" s="66">
        <f t="array" ref="AD212">IFS(B212&lt;66, XLOOKUP(year(A212),Lookup!$K$13:$K1000,Lookup!$M$13:$M1000,"missing",,1),B212&gt;65, XLOOKUP(questions!$C$5,Lookup!$K$13:$K1000,Lookup!$M$13:$M1000,"missing",,1))</f>
        <v>395695.6143</v>
      </c>
      <c r="AE212" s="66">
        <f t="array" ref="AE212">IFS(B212&lt;66, XLOOKUP(year(A212),Lookup!$K$13:$K1000,Lookup!$N$13:$N1000,"missing",,1),B212&gt;65,XLOOKUP(questions!$C$5,Lookup!$K$13:$K1000,Lookup!$N$13:$N1000,"missing",,1))</f>
        <v>791391.2286</v>
      </c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</row>
    <row r="213">
      <c r="A213" s="55">
        <f t="shared" si="7"/>
        <v>52504</v>
      </c>
      <c r="B213" s="56">
        <f>round(YEARFRAC(EOMONTH(questions!$C$3, 0),A213,1),2)</f>
        <v>44.83</v>
      </c>
      <c r="C213" s="57">
        <f>IF(B213&lt;questions!$C$6,if(MONTH(A213)=1,C212*(1+questions!$C$12),C212),0)</f>
        <v>16528.47632</v>
      </c>
      <c r="D213" s="58">
        <f>IF(MONTH(A213)=12,C213*questions!$C$11,0)</f>
        <v>0</v>
      </c>
      <c r="E213" s="59">
        <f t="shared" si="2"/>
        <v>8000</v>
      </c>
      <c r="F213" s="59">
        <f t="shared" si="3"/>
        <v>0</v>
      </c>
      <c r="G213" s="60">
        <f t="array" ref="G213">if(YEAR(A213)=2025,XLOOKUP(B213,Lookup!$A$3:$A$7,Lookup!$D$3:$D$7,,1)*SUM(E213:F213), XLOOKUP(B213,Lookup!$A$14:$A$18,Lookup!$D$14:$D$18,,1)*SUM(E213:F213))</f>
        <v>2960</v>
      </c>
      <c r="H213" s="60">
        <f t="array" ref="H213">if(YEAR(A213)=2025,XLOOKUP(B213,Lookup!$F$3:$F$10,Lookup!$G$3:$G$10,,1)*G213, XLOOKUP(B213,Lookup!$F$14:$F$21,Lookup!$G$14:$G$21,,1)*G213)</f>
        <v>1680.392</v>
      </c>
      <c r="I213" s="60">
        <f t="array" ref="I213">if(B213&lt;55, if(YEAR(A213)=2025,XLOOKUP(B213,Lookup!$F$3:$F$10,Lookup!$H$3:$H$10,,1)*G213, XLOOKUP(B213,Lookup!$F$14:$F$21,Lookup!$H$14:$H$21,,1)*G213),0)</f>
        <v>559.736</v>
      </c>
      <c r="J213" s="60">
        <f t="array" ref="J213">if(YEAR(A213)=2025,XLOOKUP(B213,Lookup!$F$3:$F$10,Lookup!$I$3:$I$10,,1)*G213, XLOOKUP(B213,Lookup!$F$14:$F$21,Lookup!$I$14:$I$21,,1)*G213)</f>
        <v>719.872</v>
      </c>
      <c r="K213" s="61">
        <f t="array" ref="K213">if(B213&gt;54, if(YEAR(A213)=2025,XLOOKUP(B213,Lookup!$F$3:$F$10,Lookup!$H$3:$H$10,,1)*G213, XLOOKUP(B213,Lookup!$F$14:$F$21,Lookup!$H$14:$H$21,,1)*G213),0)</f>
        <v>0</v>
      </c>
      <c r="L213" s="62">
        <f>IF(and(A213&lt;questions!$C$19,questions!$C$18="yes"),questions!$C$20,0)</f>
        <v>700</v>
      </c>
      <c r="M213" s="63">
        <f>(Y212+H213)*Lookup!A$26/12</f>
        <v>664.850884</v>
      </c>
      <c r="N213" s="63">
        <f>if(B213&lt;55, (Z212+I213)*Lookup!B$26/12, (AB212+K213)*Lookup!B$26/12)</f>
        <v>795.6335403</v>
      </c>
      <c r="O213" s="63">
        <f>(AA212+J213)*Lookup!C$26/12</f>
        <v>474.9974685</v>
      </c>
      <c r="P213" s="63">
        <f t="shared" si="8"/>
        <v>5910.128556</v>
      </c>
      <c r="Q213" s="63">
        <f t="shared" si="4"/>
        <v>7074.336956</v>
      </c>
      <c r="R213" s="63">
        <f t="shared" si="5"/>
        <v>4213.497257</v>
      </c>
      <c r="S213" s="64">
        <f t="shared" si="9"/>
        <v>16.66666667</v>
      </c>
      <c r="T213" s="64">
        <f t="shared" si="10"/>
        <v>33.33333333</v>
      </c>
      <c r="U213" s="64">
        <f t="shared" si="11"/>
        <v>0</v>
      </c>
      <c r="V213" s="64">
        <f t="shared" ref="V213:X213" si="221">IF(year($A213)=year($A212), V212+S213, S213)</f>
        <v>150</v>
      </c>
      <c r="W213" s="64">
        <f t="shared" si="221"/>
        <v>300</v>
      </c>
      <c r="X213" s="64">
        <f t="shared" si="221"/>
        <v>0</v>
      </c>
      <c r="Y213" s="65">
        <f>IFS(
  B213&lt;55,
    MAX(
      Y212 + IF(MONTH(A213)=12, P213+V213, 0) + H213 - L213
      + MAX(0,
          IF(AA212 &gt;= VLOOKUP(YEAR(A213), Lookup!$Q:$R, 2),
            Z212 + IF(MONTH(A213)=12, Q213+W213, 0) + I213
              + AA212 + IF(MONTH(A213)=12, R213+X213, 0)
              - VLOOKUP(YEAR(A213), Lookup!$Q:$R, 2) + J213,
            Z212 + IF(MONTH(A213)=12, Q213+W213, 0) + I213
          ) - VLOOKUP(YEAR(A213), Lookup!$K:$M, 3)
        ),
    0),
  B213=55,
    IF(Z212&gt;=AD213,
      MAX(Y212 + IF(MONTH(A213)=12, P213+V213, 0) + H213 - L213, 0),
      MAX(MAX(0, Y212-(AD213-Z212)) + IF(MONTH(A213)=12, P213+V213, 0) + H213 - L213, 0)
    ),
  B213&gt;55,
    IF(AB212&gt;=$AH$7,
      MAX(Y212 + IF(MONTH(A213)=12, P213+V213, 0) + H213 - L213 + K213 + Z212, 0),
      MAX(Y212 + IF(MONTH(A213)=12, P213+V213, 0) + H213 - L213, 0)
    )
)</f>
        <v>318428.4243</v>
      </c>
      <c r="Z213" s="65">
        <f>IFS(
  B213&lt;55,
    MIN(
      IF(AA212 &gt;= VLOOKUP(YEAR(A213), Lookup!$Q:$R, 2),
        Z212 + IF(MONTH(A213)=12, Q213+W213, 0) + I213
          + AA212 + IF(MONTH(A213)=12, R213+X213, 0) - VLOOKUP(YEAR(A213), Lookup!$Q:$R, 2) + J213,
        Z212 + IF(MONTH(A213)=12, Q213+W213, 0) + I213
      ),
      VLOOKUP(YEAR(A213), Lookup!$K:$M, 3)
    ),
  B213=55,
    IF(Z212 &gt;= AD213, Z212 - AD213, 0),
  B213&gt;55, 0
)</f>
        <v>239409.9341</v>
      </c>
      <c r="AA213" s="65">
        <f>IFS(
  B213&lt;65,
    IF(AA212+J213 &lt; VLOOKUP(YEAR(A213), Lookup!$Q:$R, 2),
      AA212 + IF(MONTH(A213)=12, R212+X212, 0) + J213,
      MIN(
        AA212 + IF(MONTH(A213)=12, R212+X212, 0) + J213 ,
        VLOOKUP(YEAR(A213), Lookup!$Q:$R, 2)
      )
    ),
  B213&gt;=65,
    IF(AA212+J213 &lt; VLOOKUP(questions!$C$5, Lookup!$Q:$R, 2),
      AA212 + IF(MONTH(A213)=12, R212+X212, 0) + J213 ,
      MIN(
        AA212 + IF(MONTH(A213)=12, R212+X212, 0) + J213,
        VLOOKUP(questions!$C$5, Lookup!$Q:$R, 2)
      )
    )
)</f>
        <v>141779.3685</v>
      </c>
      <c r="AB213" s="65">
        <f t="shared" si="13"/>
        <v>0</v>
      </c>
      <c r="AC213" s="66">
        <f t="array" ref="AC213">IFS(B213&lt;66, XLOOKUP(year(A213),Lookup!$K$13:$K1000,Lookup!$L$13:$L1000,"missing",,1),B213&gt;65,XLOOKUP(questions!$C$5,Lookup!$K$13:$K1000,Lookup!$L$13:$L1000,"missing",,1))</f>
        <v>197847.8071</v>
      </c>
      <c r="AD213" s="66">
        <f t="array" ref="AD213">IFS(B213&lt;66, XLOOKUP(year(A213),Lookup!$K$13:$K1000,Lookup!$M$13:$M1000,"missing",,1),B213&gt;65, XLOOKUP(questions!$C$5,Lookup!$K$13:$K1000,Lookup!$M$13:$M1000,"missing",,1))</f>
        <v>395695.6143</v>
      </c>
      <c r="AE213" s="66">
        <f t="array" ref="AE213">IFS(B213&lt;66, XLOOKUP(year(A213),Lookup!$K$13:$K1000,Lookup!$N$13:$N1000,"missing",,1),B213&gt;65,XLOOKUP(questions!$C$5,Lookup!$K$13:$K1000,Lookup!$N$13:$N1000,"missing",,1))</f>
        <v>791391.2286</v>
      </c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</row>
    <row r="214">
      <c r="A214" s="55">
        <f t="shared" si="7"/>
        <v>52535</v>
      </c>
      <c r="B214" s="56">
        <f>round(YEARFRAC(EOMONTH(questions!$C$3, 0),A214,1),2)</f>
        <v>44.92</v>
      </c>
      <c r="C214" s="57">
        <f>IF(B214&lt;questions!$C$6,if(MONTH(A214)=1,C213*(1+questions!$C$12),C213),0)</f>
        <v>16528.47632</v>
      </c>
      <c r="D214" s="58">
        <f>IF(MONTH(A214)=12,C214*questions!$C$11,0)</f>
        <v>0</v>
      </c>
      <c r="E214" s="59">
        <f t="shared" si="2"/>
        <v>8000</v>
      </c>
      <c r="F214" s="59">
        <f t="shared" si="3"/>
        <v>0</v>
      </c>
      <c r="G214" s="60">
        <f t="array" ref="G214">if(YEAR(A214)=2025,XLOOKUP(B214,Lookup!$A$3:$A$7,Lookup!$D$3:$D$7,,1)*SUM(E214:F214), XLOOKUP(B214,Lookup!$A$14:$A$18,Lookup!$D$14:$D$18,,1)*SUM(E214:F214))</f>
        <v>2960</v>
      </c>
      <c r="H214" s="60">
        <f t="array" ref="H214">if(YEAR(A214)=2025,XLOOKUP(B214,Lookup!$F$3:$F$10,Lookup!$G$3:$G$10,,1)*G214, XLOOKUP(B214,Lookup!$F$14:$F$21,Lookup!$G$14:$G$21,,1)*G214)</f>
        <v>1680.392</v>
      </c>
      <c r="I214" s="60">
        <f t="array" ref="I214">if(B214&lt;55, if(YEAR(A214)=2025,XLOOKUP(B214,Lookup!$F$3:$F$10,Lookup!$H$3:$H$10,,1)*G214, XLOOKUP(B214,Lookup!$F$14:$F$21,Lookup!$H$14:$H$21,,1)*G214),0)</f>
        <v>559.736</v>
      </c>
      <c r="J214" s="60">
        <f t="array" ref="J214">if(YEAR(A214)=2025,XLOOKUP(B214,Lookup!$F$3:$F$10,Lookup!$I$3:$I$10,,1)*G214, XLOOKUP(B214,Lookup!$F$14:$F$21,Lookup!$I$14:$I$21,,1)*G214)</f>
        <v>719.872</v>
      </c>
      <c r="K214" s="61">
        <f t="array" ref="K214">if(B214&gt;54, if(YEAR(A214)=2025,XLOOKUP(B214,Lookup!$F$3:$F$10,Lookup!$H$3:$H$10,,1)*G214, XLOOKUP(B214,Lookup!$F$14:$F$21,Lookup!$H$14:$H$21,,1)*G214),0)</f>
        <v>0</v>
      </c>
      <c r="L214" s="62">
        <f>IF(and(A214&lt;questions!$C$19,questions!$C$18="yes"),questions!$C$20,0)</f>
        <v>700</v>
      </c>
      <c r="M214" s="63">
        <f>(Y213+H214)*Lookup!A$26/12</f>
        <v>666.8933673</v>
      </c>
      <c r="N214" s="63">
        <f>if(B214&lt;55, (Z213+I214)*Lookup!B$26/12, (AB213+K214)*Lookup!B$26/12)</f>
        <v>799.8989003</v>
      </c>
      <c r="O214" s="63">
        <f>(AA213+J214)*Lookup!C$26/12</f>
        <v>474.9974685</v>
      </c>
      <c r="P214" s="63">
        <f t="shared" si="8"/>
        <v>6577.021923</v>
      </c>
      <c r="Q214" s="63">
        <f t="shared" si="4"/>
        <v>7874.235857</v>
      </c>
      <c r="R214" s="63">
        <f t="shared" si="5"/>
        <v>4688.494726</v>
      </c>
      <c r="S214" s="64">
        <f t="shared" si="9"/>
        <v>16.66666667</v>
      </c>
      <c r="T214" s="64">
        <f t="shared" si="10"/>
        <v>33.33333333</v>
      </c>
      <c r="U214" s="64">
        <f t="shared" si="11"/>
        <v>0</v>
      </c>
      <c r="V214" s="64">
        <f t="shared" ref="V214:X214" si="222">IF(year($A214)=year($A213), V213+S214, S214)</f>
        <v>166.6666667</v>
      </c>
      <c r="W214" s="64">
        <f t="shared" si="222"/>
        <v>333.3333333</v>
      </c>
      <c r="X214" s="64">
        <f t="shared" si="222"/>
        <v>0</v>
      </c>
      <c r="Y214" s="65">
        <f>IFS(
  B214&lt;55,
    MAX(
      Y213 + IF(MONTH(A214)=12, P214+V214, 0) + H214 - L214
      + MAX(0,
          IF(AA213 &gt;= VLOOKUP(YEAR(A214), Lookup!$Q:$R, 2),
            Z213 + IF(MONTH(A214)=12, Q214+W214, 0) + I214
              + AA213 + IF(MONTH(A214)=12, R214+X214, 0)
              - VLOOKUP(YEAR(A214), Lookup!$Q:$R, 2) + J214,
            Z213 + IF(MONTH(A214)=12, Q214+W214, 0) + I214
          ) - VLOOKUP(YEAR(A214), Lookup!$K:$M, 3)
        ),
    0),
  B214=55,
    IF(Z213&gt;=AD214,
      MAX(Y213 + IF(MONTH(A214)=12, P214+V214, 0) + H214 - L214, 0),
      MAX(MAX(0, Y213-(AD214-Z213)) + IF(MONTH(A214)=12, P214+V214, 0) + H214 - L214, 0)
    ),
  B214&gt;55,
    IF(AB213&gt;=$AH$7,
      MAX(Y213 + IF(MONTH(A214)=12, P214+V214, 0) + H214 - L214 + K214 + Z213, 0),
      MAX(Y213 + IF(MONTH(A214)=12, P214+V214, 0) + H214 - L214, 0)
    )
)</f>
        <v>319408.8163</v>
      </c>
      <c r="Z214" s="65">
        <f>IFS(
  B214&lt;55,
    MIN(
      IF(AA213 &gt;= VLOOKUP(YEAR(A214), Lookup!$Q:$R, 2),
        Z213 + IF(MONTH(A214)=12, Q214+W214, 0) + I214
          + AA213 + IF(MONTH(A214)=12, R214+X214, 0) - VLOOKUP(YEAR(A214), Lookup!$Q:$R, 2) + J214,
        Z213 + IF(MONTH(A214)=12, Q214+W214, 0) + I214
      ),
      VLOOKUP(YEAR(A214), Lookup!$K:$M, 3)
    ),
  B214=55,
    IF(Z213 &gt;= AD214, Z213 - AD214, 0),
  B214&gt;55, 0
)</f>
        <v>240689.5421</v>
      </c>
      <c r="AA214" s="65">
        <f>IFS(
  B214&lt;65,
    IF(AA213+J214 &lt; VLOOKUP(YEAR(A214), Lookup!$Q:$R, 2),
      AA213 + IF(MONTH(A214)=12, R213+X213, 0) + J214,
      MIN(
        AA213 + IF(MONTH(A214)=12, R213+X213, 0) + J214 ,
        VLOOKUP(YEAR(A214), Lookup!$Q:$R, 2)
      )
    ),
  B214&gt;=65,
    IF(AA213+J214 &lt; VLOOKUP(questions!$C$5, Lookup!$Q:$R, 2),
      AA213 + IF(MONTH(A214)=12, R213+X213, 0) + J214 ,
      MIN(
        AA213 + IF(MONTH(A214)=12, R213+X213, 0) + J214,
        VLOOKUP(questions!$C$5, Lookup!$Q:$R, 2)
      )
    )
)</f>
        <v>141779.3685</v>
      </c>
      <c r="AB214" s="65">
        <f t="shared" si="13"/>
        <v>0</v>
      </c>
      <c r="AC214" s="66">
        <f t="array" ref="AC214">IFS(B214&lt;66, XLOOKUP(year(A214),Lookup!$K$13:$K1000,Lookup!$L$13:$L1000,"missing",,1),B214&gt;65,XLOOKUP(questions!$C$5,Lookup!$K$13:$K1000,Lookup!$L$13:$L1000,"missing",,1))</f>
        <v>197847.8071</v>
      </c>
      <c r="AD214" s="66">
        <f t="array" ref="AD214">IFS(B214&lt;66, XLOOKUP(year(A214),Lookup!$K$13:$K1000,Lookup!$M$13:$M1000,"missing",,1),B214&gt;65, XLOOKUP(questions!$C$5,Lookup!$K$13:$K1000,Lookup!$M$13:$M1000,"missing",,1))</f>
        <v>395695.6143</v>
      </c>
      <c r="AE214" s="66">
        <f t="array" ref="AE214">IFS(B214&lt;66, XLOOKUP(year(A214),Lookup!$K$13:$K1000,Lookup!$N$13:$N1000,"missing",,1),B214&gt;65,XLOOKUP(questions!$C$5,Lookup!$K$13:$K1000,Lookup!$N$13:$N1000,"missing",,1))</f>
        <v>791391.2286</v>
      </c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</row>
    <row r="215">
      <c r="A215" s="55">
        <f t="shared" si="7"/>
        <v>52565</v>
      </c>
      <c r="B215" s="56">
        <f>round(YEARFRAC(EOMONTH(questions!$C$3, 0),A215,1),2)</f>
        <v>45</v>
      </c>
      <c r="C215" s="57">
        <f>IF(B215&lt;questions!$C$6,if(MONTH(A215)=1,C214*(1+questions!$C$12),C214),0)</f>
        <v>16528.47632</v>
      </c>
      <c r="D215" s="58">
        <f>IF(MONTH(A215)=12,C215*questions!$C$11,0)</f>
        <v>0</v>
      </c>
      <c r="E215" s="59">
        <f t="shared" si="2"/>
        <v>8000</v>
      </c>
      <c r="F215" s="59">
        <f t="shared" si="3"/>
        <v>0</v>
      </c>
      <c r="G215" s="60">
        <f t="array" ref="G215">if(YEAR(A215)=2025,XLOOKUP(B215,Lookup!$A$3:$A$7,Lookup!$D$3:$D$7,,1)*SUM(E215:F215), XLOOKUP(B215,Lookup!$A$14:$A$18,Lookup!$D$14:$D$18,,1)*SUM(E215:F215))</f>
        <v>2960</v>
      </c>
      <c r="H215" s="60">
        <f t="array" ref="H215">if(YEAR(A215)=2025,XLOOKUP(B215,Lookup!$F$3:$F$10,Lookup!$G$3:$G$10,,1)*G215, XLOOKUP(B215,Lookup!$F$14:$F$21,Lookup!$G$14:$G$21,,1)*G215)</f>
        <v>1680.392</v>
      </c>
      <c r="I215" s="60">
        <f t="array" ref="I215">if(B215&lt;55, if(YEAR(A215)=2025,XLOOKUP(B215,Lookup!$F$3:$F$10,Lookup!$H$3:$H$10,,1)*G215, XLOOKUP(B215,Lookup!$F$14:$F$21,Lookup!$H$14:$H$21,,1)*G215),0)</f>
        <v>559.736</v>
      </c>
      <c r="J215" s="60">
        <f t="array" ref="J215">if(YEAR(A215)=2025,XLOOKUP(B215,Lookup!$F$3:$F$10,Lookup!$I$3:$I$10,,1)*G215, XLOOKUP(B215,Lookup!$F$14:$F$21,Lookup!$I$14:$I$21,,1)*G215)</f>
        <v>719.872</v>
      </c>
      <c r="K215" s="61">
        <f t="array" ref="K215">if(B215&gt;54, if(YEAR(A215)=2025,XLOOKUP(B215,Lookup!$F$3:$F$10,Lookup!$H$3:$H$10,,1)*G215, XLOOKUP(B215,Lookup!$F$14:$F$21,Lookup!$H$14:$H$21,,1)*G215),0)</f>
        <v>0</v>
      </c>
      <c r="L215" s="62">
        <f>IF(and(A215&lt;questions!$C$19,questions!$C$18="yes"),questions!$C$20,0)</f>
        <v>700</v>
      </c>
      <c r="M215" s="63">
        <f>(Y214+H215)*Lookup!A$26/12</f>
        <v>668.9358506</v>
      </c>
      <c r="N215" s="63">
        <f>if(B215&lt;55, (Z214+I215)*Lookup!B$26/12, (AB214+K215)*Lookup!B$26/12)</f>
        <v>804.1642603</v>
      </c>
      <c r="O215" s="63">
        <f>(AA214+J215)*Lookup!C$26/12</f>
        <v>474.9974685</v>
      </c>
      <c r="P215" s="63">
        <f t="shared" si="8"/>
        <v>7245.957774</v>
      </c>
      <c r="Q215" s="63">
        <f t="shared" si="4"/>
        <v>8678.400117</v>
      </c>
      <c r="R215" s="63">
        <f t="shared" si="5"/>
        <v>5163.492194</v>
      </c>
      <c r="S215" s="64">
        <f t="shared" si="9"/>
        <v>16.66666667</v>
      </c>
      <c r="T215" s="64">
        <f t="shared" si="10"/>
        <v>33.33333333</v>
      </c>
      <c r="U215" s="64">
        <f t="shared" si="11"/>
        <v>0</v>
      </c>
      <c r="V215" s="64">
        <f t="shared" ref="V215:X215" si="223">IF(year($A215)=year($A214), V214+S215, S215)</f>
        <v>183.3333333</v>
      </c>
      <c r="W215" s="64">
        <f t="shared" si="223"/>
        <v>366.6666667</v>
      </c>
      <c r="X215" s="64">
        <f t="shared" si="223"/>
        <v>0</v>
      </c>
      <c r="Y215" s="65">
        <f>IFS(
  B215&lt;55,
    MAX(
      Y214 + IF(MONTH(A215)=12, P215+V215, 0) + H215 - L215
      + MAX(0,
          IF(AA214 &gt;= VLOOKUP(YEAR(A215), Lookup!$Q:$R, 2),
            Z214 + IF(MONTH(A215)=12, Q215+W215, 0) + I215
              + AA214 + IF(MONTH(A215)=12, R215+X215, 0)
              - VLOOKUP(YEAR(A215), Lookup!$Q:$R, 2) + J215,
            Z214 + IF(MONTH(A215)=12, Q215+W215, 0) + I215
          ) - VLOOKUP(YEAR(A215), Lookup!$K:$M, 3)
        ),
    0),
  B215=55,
    IF(Z214&gt;=AD215,
      MAX(Y214 + IF(MONTH(A215)=12, P215+V215, 0) + H215 - L215, 0),
      MAX(MAX(0, Y214-(AD215-Z214)) + IF(MONTH(A215)=12, P215+V215, 0) + H215 - L215, 0)
    ),
  B215&gt;55,
    IF(AB214&gt;=$AH$7,
      MAX(Y214 + IF(MONTH(A215)=12, P215+V215, 0) + H215 - L215 + K215 + Z214, 0),
      MAX(Y214 + IF(MONTH(A215)=12, P215+V215, 0) + H215 - L215, 0)
    )
)</f>
        <v>320389.2083</v>
      </c>
      <c r="Z215" s="65">
        <f>IFS(
  B215&lt;55,
    MIN(
      IF(AA214 &gt;= VLOOKUP(YEAR(A215), Lookup!$Q:$R, 2),
        Z214 + IF(MONTH(A215)=12, Q215+W215, 0) + I215
          + AA214 + IF(MONTH(A215)=12, R215+X215, 0) - VLOOKUP(YEAR(A215), Lookup!$Q:$R, 2) + J215,
        Z214 + IF(MONTH(A215)=12, Q215+W215, 0) + I215
      ),
      VLOOKUP(YEAR(A215), Lookup!$K:$M, 3)
    ),
  B215=55,
    IF(Z214 &gt;= AD215, Z214 - AD215, 0),
  B215&gt;55, 0
)</f>
        <v>241969.1501</v>
      </c>
      <c r="AA215" s="65">
        <f>IFS(
  B215&lt;65,
    IF(AA214+J215 &lt; VLOOKUP(YEAR(A215), Lookup!$Q:$R, 2),
      AA214 + IF(MONTH(A215)=12, R214+X214, 0) + J215,
      MIN(
        AA214 + IF(MONTH(A215)=12, R214+X214, 0) + J215 ,
        VLOOKUP(YEAR(A215), Lookup!$Q:$R, 2)
      )
    ),
  B215&gt;=65,
    IF(AA214+J215 &lt; VLOOKUP(questions!$C$5, Lookup!$Q:$R, 2),
      AA214 + IF(MONTH(A215)=12, R214+X214, 0) + J215 ,
      MIN(
        AA214 + IF(MONTH(A215)=12, R214+X214, 0) + J215,
        VLOOKUP(questions!$C$5, Lookup!$Q:$R, 2)
      )
    )
)</f>
        <v>141779.3685</v>
      </c>
      <c r="AB215" s="65">
        <f t="shared" si="13"/>
        <v>0</v>
      </c>
      <c r="AC215" s="66">
        <f t="array" ref="AC215">IFS(B215&lt;66, XLOOKUP(year(A215),Lookup!$K$13:$K1000,Lookup!$L$13:$L1000,"missing",,1),B215&gt;65,XLOOKUP(questions!$C$5,Lookup!$K$13:$K1000,Lookup!$L$13:$L1000,"missing",,1))</f>
        <v>197847.8071</v>
      </c>
      <c r="AD215" s="66">
        <f t="array" ref="AD215">IFS(B215&lt;66, XLOOKUP(year(A215),Lookup!$K$13:$K1000,Lookup!$M$13:$M1000,"missing",,1),B215&gt;65, XLOOKUP(questions!$C$5,Lookup!$K$13:$K1000,Lookup!$M$13:$M1000,"missing",,1))</f>
        <v>395695.6143</v>
      </c>
      <c r="AE215" s="66">
        <f t="array" ref="AE215">IFS(B215&lt;66, XLOOKUP(year(A215),Lookup!$K$13:$K1000,Lookup!$N$13:$N1000,"missing",,1),B215&gt;65,XLOOKUP(questions!$C$5,Lookup!$K$13:$K1000,Lookup!$N$13:$N1000,"missing",,1))</f>
        <v>791391.2286</v>
      </c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</row>
    <row r="216">
      <c r="A216" s="55">
        <f t="shared" si="7"/>
        <v>52596</v>
      </c>
      <c r="B216" s="56">
        <f>round(YEARFRAC(EOMONTH(questions!$C$3, 0),A216,1),2)</f>
        <v>45.08</v>
      </c>
      <c r="C216" s="57">
        <f>IF(B216&lt;questions!$C$6,if(MONTH(A216)=1,C215*(1+questions!$C$12),C215),0)</f>
        <v>16528.47632</v>
      </c>
      <c r="D216" s="57">
        <f>IF(MONTH(A216)=12,C216*questions!$C$11,0)</f>
        <v>16528.47632</v>
      </c>
      <c r="E216" s="59">
        <f t="shared" si="2"/>
        <v>8000</v>
      </c>
      <c r="F216" s="59">
        <f t="shared" si="3"/>
        <v>6000</v>
      </c>
      <c r="G216" s="60">
        <f t="array" ref="G216">if(YEAR(A216)=2025,XLOOKUP(B216,Lookup!$A$3:$A$7,Lookup!$D$3:$D$7,,1)*SUM(E216:F216), XLOOKUP(B216,Lookup!$A$14:$A$18,Lookup!$D$14:$D$18,,1)*SUM(E216:F216))</f>
        <v>5180</v>
      </c>
      <c r="H216" s="60">
        <f t="array" ref="H216">if(YEAR(A216)=2025,XLOOKUP(B216,Lookup!$F$3:$F$10,Lookup!$G$3:$G$10,,1)*G216, XLOOKUP(B216,Lookup!$F$14:$F$21,Lookup!$G$14:$G$21,,1)*G216)</f>
        <v>2660.448</v>
      </c>
      <c r="I216" s="60">
        <f t="array" ref="I216">if(B216&lt;55, if(YEAR(A216)=2025,XLOOKUP(B216,Lookup!$F$3:$F$10,Lookup!$H$3:$H$10,,1)*G216, XLOOKUP(B216,Lookup!$F$14:$F$21,Lookup!$H$14:$H$21,,1)*G216),0)</f>
        <v>1119.916</v>
      </c>
      <c r="J216" s="60">
        <f t="array" ref="J216">if(YEAR(A216)=2025,XLOOKUP(B216,Lookup!$F$3:$F$10,Lookup!$I$3:$I$10,,1)*G216, XLOOKUP(B216,Lookup!$F$14:$F$21,Lookup!$I$14:$I$21,,1)*G216)</f>
        <v>1399.636</v>
      </c>
      <c r="K216" s="61">
        <f t="array" ref="K216">if(B216&gt;54, if(YEAR(A216)=2025,XLOOKUP(B216,Lookup!$F$3:$F$10,Lookup!$H$3:$H$10,,1)*G216, XLOOKUP(B216,Lookup!$F$14:$F$21,Lookup!$H$14:$H$21,,1)*G216),0)</f>
        <v>0</v>
      </c>
      <c r="L216" s="62">
        <f>IF(and(A216&lt;questions!$C$19,questions!$C$18="yes"),questions!$C$20,0)</f>
        <v>700</v>
      </c>
      <c r="M216" s="63">
        <f>(Y215+H216)*Lookup!A$26/12</f>
        <v>673.0201173</v>
      </c>
      <c r="N216" s="63">
        <f>if(B216&lt;55, (Z215+I216)*Lookup!B$26/12, (AB215+K216)*Lookup!B$26/12)</f>
        <v>810.296887</v>
      </c>
      <c r="O216" s="63">
        <f>(AA215+J216)*Lookup!C$26/12</f>
        <v>477.2633485</v>
      </c>
      <c r="P216" s="63">
        <f t="shared" si="8"/>
        <v>7918.977891</v>
      </c>
      <c r="Q216" s="63">
        <f t="shared" si="4"/>
        <v>9488.697004</v>
      </c>
      <c r="R216" s="63">
        <f t="shared" si="5"/>
        <v>5640.755543</v>
      </c>
      <c r="S216" s="64">
        <f t="shared" si="9"/>
        <v>16.66666667</v>
      </c>
      <c r="T216" s="64">
        <f t="shared" si="10"/>
        <v>33.33333333</v>
      </c>
      <c r="U216" s="64">
        <f t="shared" si="11"/>
        <v>0</v>
      </c>
      <c r="V216" s="64">
        <f t="shared" ref="V216:X216" si="224">IF(year($A216)=year($A215), V215+S216, S216)</f>
        <v>200</v>
      </c>
      <c r="W216" s="64">
        <f t="shared" si="224"/>
        <v>400</v>
      </c>
      <c r="X216" s="64">
        <f t="shared" si="224"/>
        <v>0</v>
      </c>
      <c r="Y216" s="65">
        <f>IFS(
  B216&lt;55,
    MAX(
      Y215 + IF(MONTH(A216)=12, P216+V216, 0) + H216 - L216
      + MAX(0,
          IF(AA215 &gt;= VLOOKUP(YEAR(A216), Lookup!$Q:$R, 2),
            Z215 + IF(MONTH(A216)=12, Q216+W216, 0) + I216
              + AA215 + IF(MONTH(A216)=12, R216+X216, 0)
              - VLOOKUP(YEAR(A216), Lookup!$Q:$R, 2) + J216,
            Z215 + IF(MONTH(A216)=12, Q216+W216, 0) + I216
          ) - VLOOKUP(YEAR(A216), Lookup!$K:$M, 3)
        ),
    0),
  B216=55,
    IF(Z215&gt;=AD216,
      MAX(Y215 + IF(MONTH(A216)=12, P216+V216, 0) + H216 - L216, 0),
      MAX(MAX(0, Y215-(AD216-Z215)) + IF(MONTH(A216)=12, P216+V216, 0) + H216 - L216, 0)
    ),
  B216&gt;55,
    IF(AB215&gt;=$AH$7,
      MAX(Y215 + IF(MONTH(A216)=12, P216+V216, 0) + H216 - L216 + K216 + Z215, 0),
      MAX(Y215 + IF(MONTH(A216)=12, P216+V216, 0) + H216 - L216, 0)
    )
)</f>
        <v>330468.6342</v>
      </c>
      <c r="Z216" s="65">
        <f>IFS(
  B216&lt;55,
    MIN(
      IF(AA215 &gt;= VLOOKUP(YEAR(A216), Lookup!$Q:$R, 2),
        Z215 + IF(MONTH(A216)=12, Q216+W216, 0) + I216
          + AA215 + IF(MONTH(A216)=12, R216+X216, 0) - VLOOKUP(YEAR(A216), Lookup!$Q:$R, 2) + J216,
        Z215 + IF(MONTH(A216)=12, Q216+W216, 0) + I216
      ),
      VLOOKUP(YEAR(A216), Lookup!$K:$M, 3)
    ),
  B216=55,
    IF(Z215 &gt;= AD216, Z215 - AD216, 0),
  B216&gt;55, 0
)</f>
        <v>260018.1546</v>
      </c>
      <c r="AA216" s="65">
        <f>IFS(
  B216&lt;65,
    IF(AA215+J216 &lt; VLOOKUP(YEAR(A216), Lookup!$Q:$R, 2),
      AA215 + IF(MONTH(A216)=12, R215+X215, 0) + J216,
      MIN(
        AA215 + IF(MONTH(A216)=12, R215+X215, 0) + J216 ,
        VLOOKUP(YEAR(A216), Lookup!$Q:$R, 2)
      )
    ),
  B216&gt;=65,
    IF(AA215+J216 &lt; VLOOKUP(questions!$C$5, Lookup!$Q:$R, 2),
      AA215 + IF(MONTH(A216)=12, R215+X215, 0) + J216 ,
      MIN(
        AA215 + IF(MONTH(A216)=12, R215+X215, 0) + J216,
        VLOOKUP(questions!$C$5, Lookup!$Q:$R, 2)
      )
    )
)</f>
        <v>141779.3685</v>
      </c>
      <c r="AB216" s="65">
        <f t="shared" si="13"/>
        <v>0</v>
      </c>
      <c r="AC216" s="66">
        <f t="array" ref="AC216">IFS(B216&lt;66, XLOOKUP(year(A216),Lookup!$K$13:$K1000,Lookup!$L$13:$L1000,"missing",,1),B216&gt;65,XLOOKUP(questions!$C$5,Lookup!$K$13:$K1000,Lookup!$L$13:$L1000,"missing",,1))</f>
        <v>197847.8071</v>
      </c>
      <c r="AD216" s="66">
        <f t="array" ref="AD216">IFS(B216&lt;66, XLOOKUP(year(A216),Lookup!$K$13:$K1000,Lookup!$M$13:$M1000,"missing",,1),B216&gt;65, XLOOKUP(questions!$C$5,Lookup!$K$13:$K1000,Lookup!$M$13:$M1000,"missing",,1))</f>
        <v>395695.6143</v>
      </c>
      <c r="AE216" s="66">
        <f t="array" ref="AE216">IFS(B216&lt;66, XLOOKUP(year(A216),Lookup!$K$13:$K1000,Lookup!$N$13:$N1000,"missing",,1),B216&gt;65,XLOOKUP(questions!$C$5,Lookup!$K$13:$K1000,Lookup!$N$13:$N1000,"missing",,1))</f>
        <v>791391.2286</v>
      </c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</row>
    <row r="217">
      <c r="A217" s="55">
        <f t="shared" si="7"/>
        <v>52627</v>
      </c>
      <c r="B217" s="56">
        <f>round(YEARFRAC(EOMONTH(questions!$C$3, 0),A217,1),2)</f>
        <v>45.17</v>
      </c>
      <c r="C217" s="57">
        <f>IF(B217&lt;questions!$C$6,if(MONTH(A217)=1,C216*(1+questions!$C$12),C216),0)</f>
        <v>17024.33061</v>
      </c>
      <c r="D217" s="58">
        <f>IF(MONTH(A217)=12,C217*questions!$C$11,0)</f>
        <v>0</v>
      </c>
      <c r="E217" s="59">
        <f t="shared" si="2"/>
        <v>8000</v>
      </c>
      <c r="F217" s="59">
        <f t="shared" si="3"/>
        <v>0</v>
      </c>
      <c r="G217" s="60">
        <f t="array" ref="G217">if(YEAR(A217)=2025,XLOOKUP(B217,Lookup!$A$3:$A$7,Lookup!$D$3:$D$7,,1)*SUM(E217:F217), XLOOKUP(B217,Lookup!$A$14:$A$18,Lookup!$D$14:$D$18,,1)*SUM(E217:F217))</f>
        <v>2960</v>
      </c>
      <c r="H217" s="60">
        <f t="array" ref="H217">if(YEAR(A217)=2025,XLOOKUP(B217,Lookup!$F$3:$F$10,Lookup!$G$3:$G$10,,1)*G217, XLOOKUP(B217,Lookup!$F$14:$F$21,Lookup!$G$14:$G$21,,1)*G217)</f>
        <v>1520.256</v>
      </c>
      <c r="I217" s="60">
        <f t="array" ref="I217">if(B217&lt;55, if(YEAR(A217)=2025,XLOOKUP(B217,Lookup!$F$3:$F$10,Lookup!$H$3:$H$10,,1)*G217, XLOOKUP(B217,Lookup!$F$14:$F$21,Lookup!$H$14:$H$21,,1)*G217),0)</f>
        <v>639.952</v>
      </c>
      <c r="J217" s="60">
        <f t="array" ref="J217">if(YEAR(A217)=2025,XLOOKUP(B217,Lookup!$F$3:$F$10,Lookup!$I$3:$I$10,,1)*G217, XLOOKUP(B217,Lookup!$F$14:$F$21,Lookup!$I$14:$I$21,,1)*G217)</f>
        <v>799.792</v>
      </c>
      <c r="K217" s="61">
        <f t="array" ref="K217">if(B217&gt;54, if(YEAR(A217)=2025,XLOOKUP(B217,Lookup!$F$3:$F$10,Lookup!$H$3:$H$10,,1)*G217, XLOOKUP(B217,Lookup!$F$14:$F$21,Lookup!$H$14:$H$21,,1)*G217),0)</f>
        <v>0</v>
      </c>
      <c r="L217" s="62">
        <f>IF(and(A217&lt;questions!$C$19,questions!$C$18="yes"),questions!$C$20,0)</f>
        <v>700</v>
      </c>
      <c r="M217" s="63">
        <f>(Y216+H217)*Lookup!A$26/12</f>
        <v>691.6435212</v>
      </c>
      <c r="N217" s="63">
        <f>if(B217&lt;55, (Z216+I217)*Lookup!B$26/12, (AB216+K217)*Lookup!B$26/12)</f>
        <v>868.8603555</v>
      </c>
      <c r="O217" s="63">
        <f>(AA216+J217)*Lookup!C$26/12</f>
        <v>475.2638685</v>
      </c>
      <c r="P217" s="63">
        <f t="shared" si="8"/>
        <v>691.6435212</v>
      </c>
      <c r="Q217" s="63">
        <f t="shared" si="4"/>
        <v>868.8603555</v>
      </c>
      <c r="R217" s="63">
        <f t="shared" si="5"/>
        <v>475.2638685</v>
      </c>
      <c r="S217" s="64">
        <f t="shared" si="9"/>
        <v>16.66666667</v>
      </c>
      <c r="T217" s="64">
        <f t="shared" si="10"/>
        <v>33.33333333</v>
      </c>
      <c r="U217" s="64">
        <f t="shared" si="11"/>
        <v>0</v>
      </c>
      <c r="V217" s="64">
        <f t="shared" ref="V217:X217" si="225">IF(year($A217)=year($A216), V216+S217, S217)</f>
        <v>16.66666667</v>
      </c>
      <c r="W217" s="64">
        <f t="shared" si="225"/>
        <v>33.33333333</v>
      </c>
      <c r="X217" s="64">
        <f t="shared" si="225"/>
        <v>0</v>
      </c>
      <c r="Y217" s="65">
        <f>IFS(
  B217&lt;55,
    MAX(
      Y216 + IF(MONTH(A217)=12, P217+V217, 0) + H217 - L217
      + MAX(0,
          IF(AA216 &gt;= VLOOKUP(YEAR(A217), Lookup!$Q:$R, 2),
            Z216 + IF(MONTH(A217)=12, Q217+W217, 0) + I217
              + AA216 + IF(MONTH(A217)=12, R217+X217, 0)
              - VLOOKUP(YEAR(A217), Lookup!$Q:$R, 2) + J217,
            Z216 + IF(MONTH(A217)=12, Q217+W217, 0) + I217
          ) - VLOOKUP(YEAR(A217), Lookup!$K:$M, 3)
        ),
    0),
  B217=55,
    IF(Z216&gt;=AD217,
      MAX(Y216 + IF(MONTH(A217)=12, P217+V217, 0) + H217 - L217, 0),
      MAX(MAX(0, Y216-(AD217-Z216)) + IF(MONTH(A217)=12, P217+V217, 0) + H217 - L217, 0)
    ),
  B217&gt;55,
    IF(AB216&gt;=$AH$7,
      MAX(Y216 + IF(MONTH(A217)=12, P217+V217, 0) + H217 - L217 + K217 + Z216, 0),
      MAX(Y216 + IF(MONTH(A217)=12, P217+V217, 0) + H217 - L217, 0)
    )
)</f>
        <v>331288.8902</v>
      </c>
      <c r="Z217" s="65">
        <f>IFS(
  B217&lt;55,
    MIN(
      IF(AA216 &gt;= VLOOKUP(YEAR(A217), Lookup!$Q:$R, 2),
        Z216 + IF(MONTH(A217)=12, Q217+W217, 0) + I217
          + AA216 + IF(MONTH(A217)=12, R217+X217, 0) - VLOOKUP(YEAR(A217), Lookup!$Q:$R, 2) + J217,
        Z216 + IF(MONTH(A217)=12, Q217+W217, 0) + I217
      ),
      VLOOKUP(YEAR(A217), Lookup!$K:$M, 3)
    ),
  B217=55,
    IF(Z216 &gt;= AD217, Z216 - AD217, 0),
  B217&gt;55, 0
)</f>
        <v>260658.1066</v>
      </c>
      <c r="AA217" s="65">
        <f>IFS(
  B217&lt;65,
    IF(AA216+J217 &lt; VLOOKUP(YEAR(A217), Lookup!$Q:$R, 2),
      AA216 + IF(MONTH(A217)=12, R216+X216, 0) + J217,
      MIN(
        AA216 + IF(MONTH(A217)=12, R216+X216, 0) + J217 ,
        VLOOKUP(YEAR(A217), Lookup!$Q:$R, 2)
      )
    ),
  B217&gt;=65,
    IF(AA216+J217 &lt; VLOOKUP(questions!$C$5, Lookup!$Q:$R, 2),
      AA216 + IF(MONTH(A217)=12, R216+X216, 0) + J217 ,
      MIN(
        AA216 + IF(MONTH(A217)=12, R216+X216, 0) + J217,
        VLOOKUP(questions!$C$5, Lookup!$Q:$R, 2)
      )
    )
)</f>
        <v>142579.1605</v>
      </c>
      <c r="AB217" s="65">
        <f t="shared" si="13"/>
        <v>0</v>
      </c>
      <c r="AC217" s="66">
        <f t="array" ref="AC217">IFS(B217&lt;66, XLOOKUP(year(A217),Lookup!$K$13:$K1000,Lookup!$L$13:$L1000,"missing",,1),B217&gt;65,XLOOKUP(questions!$C$5,Lookup!$K$13:$K1000,Lookup!$L$13:$L1000,"missing",,1))</f>
        <v>204772.4804</v>
      </c>
      <c r="AD217" s="66">
        <f t="array" ref="AD217">IFS(B217&lt;66, XLOOKUP(year(A217),Lookup!$K$13:$K1000,Lookup!$M$13:$M1000,"missing",,1),B217&gt;65, XLOOKUP(questions!$C$5,Lookup!$K$13:$K1000,Lookup!$M$13:$M1000,"missing",,1))</f>
        <v>409544.9608</v>
      </c>
      <c r="AE217" s="66">
        <f t="array" ref="AE217">IFS(B217&lt;66, XLOOKUP(year(A217),Lookup!$K$13:$K1000,Lookup!$N$13:$N1000,"missing",,1),B217&gt;65,XLOOKUP(questions!$C$5,Lookup!$K$13:$K1000,Lookup!$N$13:$N1000,"missing",,1))</f>
        <v>819089.9216</v>
      </c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</row>
    <row r="218">
      <c r="A218" s="55">
        <f t="shared" si="7"/>
        <v>52656</v>
      </c>
      <c r="B218" s="56">
        <f>round(YEARFRAC(EOMONTH(questions!$C$3, 0),A218,1),2)</f>
        <v>45.25</v>
      </c>
      <c r="C218" s="57">
        <f>IF(B218&lt;questions!$C$6,if(MONTH(A218)=1,C217*(1+questions!$C$12),C217),0)</f>
        <v>17024.33061</v>
      </c>
      <c r="D218" s="58">
        <f>IF(MONTH(A218)=12,C218*questions!$C$11,0)</f>
        <v>0</v>
      </c>
      <c r="E218" s="59">
        <f t="shared" si="2"/>
        <v>8000</v>
      </c>
      <c r="F218" s="59">
        <f t="shared" si="3"/>
        <v>0</v>
      </c>
      <c r="G218" s="60">
        <f t="array" ref="G218">if(YEAR(A218)=2025,XLOOKUP(B218,Lookup!$A$3:$A$7,Lookup!$D$3:$D$7,,1)*SUM(E218:F218), XLOOKUP(B218,Lookup!$A$14:$A$18,Lookup!$D$14:$D$18,,1)*SUM(E218:F218))</f>
        <v>2960</v>
      </c>
      <c r="H218" s="60">
        <f t="array" ref="H218">if(YEAR(A218)=2025,XLOOKUP(B218,Lookup!$F$3:$F$10,Lookup!$G$3:$G$10,,1)*G218, XLOOKUP(B218,Lookup!$F$14:$F$21,Lookup!$G$14:$G$21,,1)*G218)</f>
        <v>1520.256</v>
      </c>
      <c r="I218" s="60">
        <f t="array" ref="I218">if(B218&lt;55, if(YEAR(A218)=2025,XLOOKUP(B218,Lookup!$F$3:$F$10,Lookup!$H$3:$H$10,,1)*G218, XLOOKUP(B218,Lookup!$F$14:$F$21,Lookup!$H$14:$H$21,,1)*G218),0)</f>
        <v>639.952</v>
      </c>
      <c r="J218" s="60">
        <f t="array" ref="J218">if(YEAR(A218)=2025,XLOOKUP(B218,Lookup!$F$3:$F$10,Lookup!$I$3:$I$10,,1)*G218, XLOOKUP(B218,Lookup!$F$14:$F$21,Lookup!$I$14:$I$21,,1)*G218)</f>
        <v>799.792</v>
      </c>
      <c r="K218" s="61">
        <f t="array" ref="K218">if(B218&gt;54, if(YEAR(A218)=2025,XLOOKUP(B218,Lookup!$F$3:$F$10,Lookup!$H$3:$H$10,,1)*G218, XLOOKUP(B218,Lookup!$F$14:$F$21,Lookup!$H$14:$H$21,,1)*G218),0)</f>
        <v>0</v>
      </c>
      <c r="L218" s="62">
        <f>IF(and(A218&lt;questions!$C$19,questions!$C$18="yes"),questions!$C$20,0)</f>
        <v>700</v>
      </c>
      <c r="M218" s="63">
        <f>(Y217+H218)*Lookup!A$26/12</f>
        <v>693.3523879</v>
      </c>
      <c r="N218" s="63">
        <f>if(B218&lt;55, (Z217+I218)*Lookup!B$26/12, (AB217+K218)*Lookup!B$26/12)</f>
        <v>870.9935288</v>
      </c>
      <c r="O218" s="63">
        <f>(AA217+J218)*Lookup!C$26/12</f>
        <v>477.9298418</v>
      </c>
      <c r="P218" s="63">
        <f t="shared" si="8"/>
        <v>1384.995909</v>
      </c>
      <c r="Q218" s="63">
        <f t="shared" si="4"/>
        <v>1739.853884</v>
      </c>
      <c r="R218" s="63">
        <f t="shared" si="5"/>
        <v>953.1937103</v>
      </c>
      <c r="S218" s="64">
        <f t="shared" si="9"/>
        <v>16.66666667</v>
      </c>
      <c r="T218" s="64">
        <f t="shared" si="10"/>
        <v>33.33333333</v>
      </c>
      <c r="U218" s="64">
        <f t="shared" si="11"/>
        <v>0</v>
      </c>
      <c r="V218" s="64">
        <f t="shared" ref="V218:X218" si="226">IF(year($A218)=year($A217), V217+S218, S218)</f>
        <v>33.33333333</v>
      </c>
      <c r="W218" s="64">
        <f t="shared" si="226"/>
        <v>66.66666667</v>
      </c>
      <c r="X218" s="64">
        <f t="shared" si="226"/>
        <v>0</v>
      </c>
      <c r="Y218" s="65">
        <f>IFS(
  B218&lt;55,
    MAX(
      Y217 + IF(MONTH(A218)=12, P218+V218, 0) + H218 - L218
      + MAX(0,
          IF(AA217 &gt;= VLOOKUP(YEAR(A218), Lookup!$Q:$R, 2),
            Z217 + IF(MONTH(A218)=12, Q218+W218, 0) + I218
              + AA217 + IF(MONTH(A218)=12, R218+X218, 0)
              - VLOOKUP(YEAR(A218), Lookup!$Q:$R, 2) + J218,
            Z217 + IF(MONTH(A218)=12, Q218+W218, 0) + I218
          ) - VLOOKUP(YEAR(A218), Lookup!$K:$M, 3)
        ),
    0),
  B218=55,
    IF(Z217&gt;=AD218,
      MAX(Y217 + IF(MONTH(A218)=12, P218+V218, 0) + H218 - L218, 0),
      MAX(MAX(0, Y217-(AD218-Z217)) + IF(MONTH(A218)=12, P218+V218, 0) + H218 - L218, 0)
    ),
  B218&gt;55,
    IF(AB217&gt;=$AH$7,
      MAX(Y217 + IF(MONTH(A218)=12, P218+V218, 0) + H218 - L218 + K218 + Z217, 0),
      MAX(Y217 + IF(MONTH(A218)=12, P218+V218, 0) + H218 - L218, 0)
    )
)</f>
        <v>332109.1462</v>
      </c>
      <c r="Z218" s="65">
        <f>IFS(
  B218&lt;55,
    MIN(
      IF(AA217 &gt;= VLOOKUP(YEAR(A218), Lookup!$Q:$R, 2),
        Z217 + IF(MONTH(A218)=12, Q218+W218, 0) + I218
          + AA217 + IF(MONTH(A218)=12, R218+X218, 0) - VLOOKUP(YEAR(A218), Lookup!$Q:$R, 2) + J218,
        Z217 + IF(MONTH(A218)=12, Q218+W218, 0) + I218
      ),
      VLOOKUP(YEAR(A218), Lookup!$K:$M, 3)
    ),
  B218=55,
    IF(Z217 &gt;= AD218, Z217 - AD218, 0),
  B218&gt;55, 0
)</f>
        <v>261298.0586</v>
      </c>
      <c r="AA218" s="65">
        <f>IFS(
  B218&lt;65,
    IF(AA217+J218 &lt; VLOOKUP(YEAR(A218), Lookup!$Q:$R, 2),
      AA217 + IF(MONTH(A218)=12, R217+X217, 0) + J218,
      MIN(
        AA217 + IF(MONTH(A218)=12, R217+X217, 0) + J218 ,
        VLOOKUP(YEAR(A218), Lookup!$Q:$R, 2)
      )
    ),
  B218&gt;=65,
    IF(AA217+J218 &lt; VLOOKUP(questions!$C$5, Lookup!$Q:$R, 2),
      AA217 + IF(MONTH(A218)=12, R217+X217, 0) + J218 ,
      MIN(
        AA217 + IF(MONTH(A218)=12, R217+X217, 0) + J218,
        VLOOKUP(questions!$C$5, Lookup!$Q:$R, 2)
      )
    )
)</f>
        <v>143378.9525</v>
      </c>
      <c r="AB218" s="65">
        <f t="shared" si="13"/>
        <v>0</v>
      </c>
      <c r="AC218" s="66">
        <f t="array" ref="AC218">IFS(B218&lt;66, XLOOKUP(year(A218),Lookup!$K$13:$K1000,Lookup!$L$13:$L1000,"missing",,1),B218&gt;65,XLOOKUP(questions!$C$5,Lookup!$K$13:$K1000,Lookup!$L$13:$L1000,"missing",,1))</f>
        <v>204772.4804</v>
      </c>
      <c r="AD218" s="66">
        <f t="array" ref="AD218">IFS(B218&lt;66, XLOOKUP(year(A218),Lookup!$K$13:$K1000,Lookup!$M$13:$M1000,"missing",,1),B218&gt;65, XLOOKUP(questions!$C$5,Lookup!$K$13:$K1000,Lookup!$M$13:$M1000,"missing",,1))</f>
        <v>409544.9608</v>
      </c>
      <c r="AE218" s="66">
        <f t="array" ref="AE218">IFS(B218&lt;66, XLOOKUP(year(A218),Lookup!$K$13:$K1000,Lookup!$N$13:$N1000,"missing",,1),B218&gt;65,XLOOKUP(questions!$C$5,Lookup!$K$13:$K1000,Lookup!$N$13:$N1000,"missing",,1))</f>
        <v>819089.9216</v>
      </c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</row>
    <row r="219">
      <c r="A219" s="55">
        <f t="shared" si="7"/>
        <v>52687</v>
      </c>
      <c r="B219" s="56">
        <f>round(YEARFRAC(EOMONTH(questions!$C$3, 0),A219,1),2)</f>
        <v>45.33</v>
      </c>
      <c r="C219" s="57">
        <f>IF(B219&lt;questions!$C$6,if(MONTH(A219)=1,C218*(1+questions!$C$12),C218),0)</f>
        <v>17024.33061</v>
      </c>
      <c r="D219" s="58">
        <f>IF(MONTH(A219)=12,C219*questions!$C$11,0)</f>
        <v>0</v>
      </c>
      <c r="E219" s="59">
        <f t="shared" si="2"/>
        <v>8000</v>
      </c>
      <c r="F219" s="59">
        <f t="shared" si="3"/>
        <v>0</v>
      </c>
      <c r="G219" s="60">
        <f t="array" ref="G219">if(YEAR(A219)=2025,XLOOKUP(B219,Lookup!$A$3:$A$7,Lookup!$D$3:$D$7,,1)*SUM(E219:F219), XLOOKUP(B219,Lookup!$A$14:$A$18,Lookup!$D$14:$D$18,,1)*SUM(E219:F219))</f>
        <v>2960</v>
      </c>
      <c r="H219" s="60">
        <f t="array" ref="H219">if(YEAR(A219)=2025,XLOOKUP(B219,Lookup!$F$3:$F$10,Lookup!$G$3:$G$10,,1)*G219, XLOOKUP(B219,Lookup!$F$14:$F$21,Lookup!$G$14:$G$21,,1)*G219)</f>
        <v>1520.256</v>
      </c>
      <c r="I219" s="60">
        <f t="array" ref="I219">if(B219&lt;55, if(YEAR(A219)=2025,XLOOKUP(B219,Lookup!$F$3:$F$10,Lookup!$H$3:$H$10,,1)*G219, XLOOKUP(B219,Lookup!$F$14:$F$21,Lookup!$H$14:$H$21,,1)*G219),0)</f>
        <v>639.952</v>
      </c>
      <c r="J219" s="60">
        <f t="array" ref="J219">if(YEAR(A219)=2025,XLOOKUP(B219,Lookup!$F$3:$F$10,Lookup!$I$3:$I$10,,1)*G219, XLOOKUP(B219,Lookup!$F$14:$F$21,Lookup!$I$14:$I$21,,1)*G219)</f>
        <v>799.792</v>
      </c>
      <c r="K219" s="61">
        <f t="array" ref="K219">if(B219&gt;54, if(YEAR(A219)=2025,XLOOKUP(B219,Lookup!$F$3:$F$10,Lookup!$H$3:$H$10,,1)*G219, XLOOKUP(B219,Lookup!$F$14:$F$21,Lookup!$H$14:$H$21,,1)*G219),0)</f>
        <v>0</v>
      </c>
      <c r="L219" s="62">
        <f>IF(and(A219&lt;questions!$C$19,questions!$C$18="yes"),questions!$C$20,0)</f>
        <v>700</v>
      </c>
      <c r="M219" s="63">
        <f>(Y218+H219)*Lookup!A$26/12</f>
        <v>695.0612546</v>
      </c>
      <c r="N219" s="63">
        <f>if(B219&lt;55, (Z218+I219)*Lookup!B$26/12, (AB218+K219)*Lookup!B$26/12)</f>
        <v>873.1267021</v>
      </c>
      <c r="O219" s="63">
        <f>(AA218+J219)*Lookup!C$26/12</f>
        <v>480.5958152</v>
      </c>
      <c r="P219" s="63">
        <f t="shared" si="8"/>
        <v>2080.057164</v>
      </c>
      <c r="Q219" s="63">
        <f t="shared" si="4"/>
        <v>2612.980586</v>
      </c>
      <c r="R219" s="63">
        <f t="shared" si="5"/>
        <v>1433.789525</v>
      </c>
      <c r="S219" s="64">
        <f t="shared" si="9"/>
        <v>16.66666667</v>
      </c>
      <c r="T219" s="64">
        <f t="shared" si="10"/>
        <v>33.33333333</v>
      </c>
      <c r="U219" s="64">
        <f t="shared" si="11"/>
        <v>0</v>
      </c>
      <c r="V219" s="64">
        <f t="shared" ref="V219:X219" si="227">IF(year($A219)=year($A218), V218+S219, S219)</f>
        <v>50</v>
      </c>
      <c r="W219" s="64">
        <f t="shared" si="227"/>
        <v>100</v>
      </c>
      <c r="X219" s="64">
        <f t="shared" si="227"/>
        <v>0</v>
      </c>
      <c r="Y219" s="65">
        <f>IFS(
  B219&lt;55,
    MAX(
      Y218 + IF(MONTH(A219)=12, P219+V219, 0) + H219 - L219
      + MAX(0,
          IF(AA218 &gt;= VLOOKUP(YEAR(A219), Lookup!$Q:$R, 2),
            Z218 + IF(MONTH(A219)=12, Q219+W219, 0) + I219
              + AA218 + IF(MONTH(A219)=12, R219+X219, 0)
              - VLOOKUP(YEAR(A219), Lookup!$Q:$R, 2) + J219,
            Z218 + IF(MONTH(A219)=12, Q219+W219, 0) + I219
          ) - VLOOKUP(YEAR(A219), Lookup!$K:$M, 3)
        ),
    0),
  B219=55,
    IF(Z218&gt;=AD219,
      MAX(Y218 + IF(MONTH(A219)=12, P219+V219, 0) + H219 - L219, 0),
      MAX(MAX(0, Y218-(AD219-Z218)) + IF(MONTH(A219)=12, P219+V219, 0) + H219 - L219, 0)
    ),
  B219&gt;55,
    IF(AB218&gt;=$AH$7,
      MAX(Y218 + IF(MONTH(A219)=12, P219+V219, 0) + H219 - L219 + K219 + Z218, 0),
      MAX(Y218 + IF(MONTH(A219)=12, P219+V219, 0) + H219 - L219, 0)
    )
)</f>
        <v>332929.4022</v>
      </c>
      <c r="Z219" s="65">
        <f>IFS(
  B219&lt;55,
    MIN(
      IF(AA218 &gt;= VLOOKUP(YEAR(A219), Lookup!$Q:$R, 2),
        Z218 + IF(MONTH(A219)=12, Q219+W219, 0) + I219
          + AA218 + IF(MONTH(A219)=12, R219+X219, 0) - VLOOKUP(YEAR(A219), Lookup!$Q:$R, 2) + J219,
        Z218 + IF(MONTH(A219)=12, Q219+W219, 0) + I219
      ),
      VLOOKUP(YEAR(A219), Lookup!$K:$M, 3)
    ),
  B219=55,
    IF(Z218 &gt;= AD219, Z218 - AD219, 0),
  B219&gt;55, 0
)</f>
        <v>261938.0106</v>
      </c>
      <c r="AA219" s="65">
        <f>IFS(
  B219&lt;65,
    IF(AA218+J219 &lt; VLOOKUP(YEAR(A219), Lookup!$Q:$R, 2),
      AA218 + IF(MONTH(A219)=12, R218+X218, 0) + J219,
      MIN(
        AA218 + IF(MONTH(A219)=12, R218+X218, 0) + J219 ,
        VLOOKUP(YEAR(A219), Lookup!$Q:$R, 2)
      )
    ),
  B219&gt;=65,
    IF(AA218+J219 &lt; VLOOKUP(questions!$C$5, Lookup!$Q:$R, 2),
      AA218 + IF(MONTH(A219)=12, R218+X218, 0) + J219 ,
      MIN(
        AA218 + IF(MONTH(A219)=12, R218+X218, 0) + J219,
        VLOOKUP(questions!$C$5, Lookup!$Q:$R, 2)
      )
    )
)</f>
        <v>144178.7445</v>
      </c>
      <c r="AB219" s="65">
        <f t="shared" si="13"/>
        <v>0</v>
      </c>
      <c r="AC219" s="66">
        <f t="array" ref="AC219">IFS(B219&lt;66, XLOOKUP(year(A219),Lookup!$K$13:$K1000,Lookup!$L$13:$L1000,"missing",,1),B219&gt;65,XLOOKUP(questions!$C$5,Lookup!$K$13:$K1000,Lookup!$L$13:$L1000,"missing",,1))</f>
        <v>204772.4804</v>
      </c>
      <c r="AD219" s="66">
        <f t="array" ref="AD219">IFS(B219&lt;66, XLOOKUP(year(A219),Lookup!$K$13:$K1000,Lookup!$M$13:$M1000,"missing",,1),B219&gt;65, XLOOKUP(questions!$C$5,Lookup!$K$13:$K1000,Lookup!$M$13:$M1000,"missing",,1))</f>
        <v>409544.9608</v>
      </c>
      <c r="AE219" s="66">
        <f t="array" ref="AE219">IFS(B219&lt;66, XLOOKUP(year(A219),Lookup!$K$13:$K1000,Lookup!$N$13:$N1000,"missing",,1),B219&gt;65,XLOOKUP(questions!$C$5,Lookup!$K$13:$K1000,Lookup!$N$13:$N1000,"missing",,1))</f>
        <v>819089.9216</v>
      </c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</row>
    <row r="220">
      <c r="A220" s="55">
        <f t="shared" si="7"/>
        <v>52717</v>
      </c>
      <c r="B220" s="56">
        <f>round(YEARFRAC(EOMONTH(questions!$C$3, 0),A220,1),2)</f>
        <v>45.42</v>
      </c>
      <c r="C220" s="57">
        <f>IF(B220&lt;questions!$C$6,if(MONTH(A220)=1,C219*(1+questions!$C$12),C219),0)</f>
        <v>17024.33061</v>
      </c>
      <c r="D220" s="58">
        <f>IF(MONTH(A220)=12,C220*questions!$C$11,0)</f>
        <v>0</v>
      </c>
      <c r="E220" s="59">
        <f t="shared" si="2"/>
        <v>8000</v>
      </c>
      <c r="F220" s="59">
        <f t="shared" si="3"/>
        <v>0</v>
      </c>
      <c r="G220" s="60">
        <f t="array" ref="G220">if(YEAR(A220)=2025,XLOOKUP(B220,Lookup!$A$3:$A$7,Lookup!$D$3:$D$7,,1)*SUM(E220:F220), XLOOKUP(B220,Lookup!$A$14:$A$18,Lookup!$D$14:$D$18,,1)*SUM(E220:F220))</f>
        <v>2960</v>
      </c>
      <c r="H220" s="60">
        <f t="array" ref="H220">if(YEAR(A220)=2025,XLOOKUP(B220,Lookup!$F$3:$F$10,Lookup!$G$3:$G$10,,1)*G220, XLOOKUP(B220,Lookup!$F$14:$F$21,Lookup!$G$14:$G$21,,1)*G220)</f>
        <v>1520.256</v>
      </c>
      <c r="I220" s="60">
        <f t="array" ref="I220">if(B220&lt;55, if(YEAR(A220)=2025,XLOOKUP(B220,Lookup!$F$3:$F$10,Lookup!$H$3:$H$10,,1)*G220, XLOOKUP(B220,Lookup!$F$14:$F$21,Lookup!$H$14:$H$21,,1)*G220),0)</f>
        <v>639.952</v>
      </c>
      <c r="J220" s="60">
        <f t="array" ref="J220">if(YEAR(A220)=2025,XLOOKUP(B220,Lookup!$F$3:$F$10,Lookup!$I$3:$I$10,,1)*G220, XLOOKUP(B220,Lookup!$F$14:$F$21,Lookup!$I$14:$I$21,,1)*G220)</f>
        <v>799.792</v>
      </c>
      <c r="K220" s="61">
        <f t="array" ref="K220">if(B220&gt;54, if(YEAR(A220)=2025,XLOOKUP(B220,Lookup!$F$3:$F$10,Lookup!$H$3:$H$10,,1)*G220, XLOOKUP(B220,Lookup!$F$14:$F$21,Lookup!$H$14:$H$21,,1)*G220),0)</f>
        <v>0</v>
      </c>
      <c r="L220" s="62">
        <f>IF(and(A220&lt;questions!$C$19,questions!$C$18="yes"),questions!$C$20,0)</f>
        <v>700</v>
      </c>
      <c r="M220" s="63">
        <f>(Y219+H220)*Lookup!A$26/12</f>
        <v>696.7701212</v>
      </c>
      <c r="N220" s="63">
        <f>if(B220&lt;55, (Z219+I220)*Lookup!B$26/12, (AB219+K220)*Lookup!B$26/12)</f>
        <v>875.2598755</v>
      </c>
      <c r="O220" s="63">
        <f>(AA219+J220)*Lookup!C$26/12</f>
        <v>483.2617885</v>
      </c>
      <c r="P220" s="63">
        <f t="shared" si="8"/>
        <v>2776.827285</v>
      </c>
      <c r="Q220" s="63">
        <f t="shared" si="4"/>
        <v>3488.240462</v>
      </c>
      <c r="R220" s="63">
        <f t="shared" si="5"/>
        <v>1917.051314</v>
      </c>
      <c r="S220" s="64">
        <f t="shared" si="9"/>
        <v>16.66666667</v>
      </c>
      <c r="T220" s="64">
        <f t="shared" si="10"/>
        <v>33.33333333</v>
      </c>
      <c r="U220" s="64">
        <f t="shared" si="11"/>
        <v>0</v>
      </c>
      <c r="V220" s="64">
        <f t="shared" ref="V220:X220" si="228">IF(year($A220)=year($A219), V219+S220, S220)</f>
        <v>66.66666667</v>
      </c>
      <c r="W220" s="64">
        <f t="shared" si="228"/>
        <v>133.3333333</v>
      </c>
      <c r="X220" s="64">
        <f t="shared" si="228"/>
        <v>0</v>
      </c>
      <c r="Y220" s="65">
        <f>IFS(
  B220&lt;55,
    MAX(
      Y219 + IF(MONTH(A220)=12, P220+V220, 0) + H220 - L220
      + MAX(0,
          IF(AA219 &gt;= VLOOKUP(YEAR(A220), Lookup!$Q:$R, 2),
            Z219 + IF(MONTH(A220)=12, Q220+W220, 0) + I220
              + AA219 + IF(MONTH(A220)=12, R220+X220, 0)
              - VLOOKUP(YEAR(A220), Lookup!$Q:$R, 2) + J220,
            Z219 + IF(MONTH(A220)=12, Q220+W220, 0) + I220
          ) - VLOOKUP(YEAR(A220), Lookup!$K:$M, 3)
        ),
    0),
  B220=55,
    IF(Z219&gt;=AD220,
      MAX(Y219 + IF(MONTH(A220)=12, P220+V220, 0) + H220 - L220, 0),
      MAX(MAX(0, Y219-(AD220-Z219)) + IF(MONTH(A220)=12, P220+V220, 0) + H220 - L220, 0)
    ),
  B220&gt;55,
    IF(AB219&gt;=$AH$7,
      MAX(Y219 + IF(MONTH(A220)=12, P220+V220, 0) + H220 - L220 + K220 + Z219, 0),
      MAX(Y219 + IF(MONTH(A220)=12, P220+V220, 0) + H220 - L220, 0)
    )
)</f>
        <v>333749.6582</v>
      </c>
      <c r="Z220" s="65">
        <f>IFS(
  B220&lt;55,
    MIN(
      IF(AA219 &gt;= VLOOKUP(YEAR(A220), Lookup!$Q:$R, 2),
        Z219 + IF(MONTH(A220)=12, Q220+W220, 0) + I220
          + AA219 + IF(MONTH(A220)=12, R220+X220, 0) - VLOOKUP(YEAR(A220), Lookup!$Q:$R, 2) + J220,
        Z219 + IF(MONTH(A220)=12, Q220+W220, 0) + I220
      ),
      VLOOKUP(YEAR(A220), Lookup!$K:$M, 3)
    ),
  B220=55,
    IF(Z219 &gt;= AD220, Z219 - AD220, 0),
  B220&gt;55, 0
)</f>
        <v>262577.9626</v>
      </c>
      <c r="AA220" s="65">
        <f>IFS(
  B220&lt;65,
    IF(AA219+J220 &lt; VLOOKUP(YEAR(A220), Lookup!$Q:$R, 2),
      AA219 + IF(MONTH(A220)=12, R219+X219, 0) + J220,
      MIN(
        AA219 + IF(MONTH(A220)=12, R219+X219, 0) + J220 ,
        VLOOKUP(YEAR(A220), Lookup!$Q:$R, 2)
      )
    ),
  B220&gt;=65,
    IF(AA219+J220 &lt; VLOOKUP(questions!$C$5, Lookup!$Q:$R, 2),
      AA219 + IF(MONTH(A220)=12, R219+X219, 0) + J220 ,
      MIN(
        AA219 + IF(MONTH(A220)=12, R219+X219, 0) + J220,
        VLOOKUP(questions!$C$5, Lookup!$Q:$R, 2)
      )
    )
)</f>
        <v>144978.5365</v>
      </c>
      <c r="AB220" s="65">
        <f t="shared" si="13"/>
        <v>0</v>
      </c>
      <c r="AC220" s="66">
        <f t="array" ref="AC220">IFS(B220&lt;66, XLOOKUP(year(A220),Lookup!$K$13:$K1000,Lookup!$L$13:$L1000,"missing",,1),B220&gt;65,XLOOKUP(questions!$C$5,Lookup!$K$13:$K1000,Lookup!$L$13:$L1000,"missing",,1))</f>
        <v>204772.4804</v>
      </c>
      <c r="AD220" s="66">
        <f t="array" ref="AD220">IFS(B220&lt;66, XLOOKUP(year(A220),Lookup!$K$13:$K1000,Lookup!$M$13:$M1000,"missing",,1),B220&gt;65, XLOOKUP(questions!$C$5,Lookup!$K$13:$K1000,Lookup!$M$13:$M1000,"missing",,1))</f>
        <v>409544.9608</v>
      </c>
      <c r="AE220" s="66">
        <f t="array" ref="AE220">IFS(B220&lt;66, XLOOKUP(year(A220),Lookup!$K$13:$K1000,Lookup!$N$13:$N1000,"missing",,1),B220&gt;65,XLOOKUP(questions!$C$5,Lookup!$K$13:$K1000,Lookup!$N$13:$N1000,"missing",,1))</f>
        <v>819089.9216</v>
      </c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</row>
    <row r="221">
      <c r="A221" s="55">
        <f t="shared" si="7"/>
        <v>52748</v>
      </c>
      <c r="B221" s="56">
        <f>round(YEARFRAC(EOMONTH(questions!$C$3, 0),A221,1),2)</f>
        <v>45.5</v>
      </c>
      <c r="C221" s="57">
        <f>IF(B221&lt;questions!$C$6,if(MONTH(A221)=1,C220*(1+questions!$C$12),C220),0)</f>
        <v>17024.33061</v>
      </c>
      <c r="D221" s="58">
        <f>IF(MONTH(A221)=12,C221*questions!$C$11,0)</f>
        <v>0</v>
      </c>
      <c r="E221" s="59">
        <f t="shared" si="2"/>
        <v>8000</v>
      </c>
      <c r="F221" s="59">
        <f t="shared" si="3"/>
        <v>0</v>
      </c>
      <c r="G221" s="60">
        <f t="array" ref="G221">if(YEAR(A221)=2025,XLOOKUP(B221,Lookup!$A$3:$A$7,Lookup!$D$3:$D$7,,1)*SUM(E221:F221), XLOOKUP(B221,Lookup!$A$14:$A$18,Lookup!$D$14:$D$18,,1)*SUM(E221:F221))</f>
        <v>2960</v>
      </c>
      <c r="H221" s="60">
        <f t="array" ref="H221">if(YEAR(A221)=2025,XLOOKUP(B221,Lookup!$F$3:$F$10,Lookup!$G$3:$G$10,,1)*G221, XLOOKUP(B221,Lookup!$F$14:$F$21,Lookup!$G$14:$G$21,,1)*G221)</f>
        <v>1520.256</v>
      </c>
      <c r="I221" s="60">
        <f t="array" ref="I221">if(B221&lt;55, if(YEAR(A221)=2025,XLOOKUP(B221,Lookup!$F$3:$F$10,Lookup!$H$3:$H$10,,1)*G221, XLOOKUP(B221,Lookup!$F$14:$F$21,Lookup!$H$14:$H$21,,1)*G221),0)</f>
        <v>639.952</v>
      </c>
      <c r="J221" s="60">
        <f t="array" ref="J221">if(YEAR(A221)=2025,XLOOKUP(B221,Lookup!$F$3:$F$10,Lookup!$I$3:$I$10,,1)*G221, XLOOKUP(B221,Lookup!$F$14:$F$21,Lookup!$I$14:$I$21,,1)*G221)</f>
        <v>799.792</v>
      </c>
      <c r="K221" s="61">
        <f t="array" ref="K221">if(B221&gt;54, if(YEAR(A221)=2025,XLOOKUP(B221,Lookup!$F$3:$F$10,Lookup!$H$3:$H$10,,1)*G221, XLOOKUP(B221,Lookup!$F$14:$F$21,Lookup!$H$14:$H$21,,1)*G221),0)</f>
        <v>0</v>
      </c>
      <c r="L221" s="62">
        <f>IF(and(A221&lt;questions!$C$19,questions!$C$18="yes"),questions!$C$20,0)</f>
        <v>700</v>
      </c>
      <c r="M221" s="63">
        <f>(Y220+H221)*Lookup!A$26/12</f>
        <v>698.4789879</v>
      </c>
      <c r="N221" s="63">
        <f>if(B221&lt;55, (Z220+I221)*Lookup!B$26/12, (AB220+K221)*Lookup!B$26/12)</f>
        <v>877.3930488</v>
      </c>
      <c r="O221" s="63">
        <f>(AA220+J221)*Lookup!C$26/12</f>
        <v>485.9277618</v>
      </c>
      <c r="P221" s="63">
        <f t="shared" si="8"/>
        <v>3475.306273</v>
      </c>
      <c r="Q221" s="63">
        <f t="shared" si="4"/>
        <v>4365.633511</v>
      </c>
      <c r="R221" s="63">
        <f t="shared" si="5"/>
        <v>2402.979076</v>
      </c>
      <c r="S221" s="64">
        <f t="shared" si="9"/>
        <v>16.66666667</v>
      </c>
      <c r="T221" s="64">
        <f t="shared" si="10"/>
        <v>33.33333333</v>
      </c>
      <c r="U221" s="64">
        <f t="shared" si="11"/>
        <v>0</v>
      </c>
      <c r="V221" s="64">
        <f t="shared" ref="V221:X221" si="229">IF(year($A221)=year($A220), V220+S221, S221)</f>
        <v>83.33333333</v>
      </c>
      <c r="W221" s="64">
        <f t="shared" si="229"/>
        <v>166.6666667</v>
      </c>
      <c r="X221" s="64">
        <f t="shared" si="229"/>
        <v>0</v>
      </c>
      <c r="Y221" s="65">
        <f>IFS(
  B221&lt;55,
    MAX(
      Y220 + IF(MONTH(A221)=12, P221+V221, 0) + H221 - L221
      + MAX(0,
          IF(AA220 &gt;= VLOOKUP(YEAR(A221), Lookup!$Q:$R, 2),
            Z220 + IF(MONTH(A221)=12, Q221+W221, 0) + I221
              + AA220 + IF(MONTH(A221)=12, R221+X221, 0)
              - VLOOKUP(YEAR(A221), Lookup!$Q:$R, 2) + J221,
            Z220 + IF(MONTH(A221)=12, Q221+W221, 0) + I221
          ) - VLOOKUP(YEAR(A221), Lookup!$K:$M, 3)
        ),
    0),
  B221=55,
    IF(Z220&gt;=AD221,
      MAX(Y220 + IF(MONTH(A221)=12, P221+V221, 0) + H221 - L221, 0),
      MAX(MAX(0, Y220-(AD221-Z220)) + IF(MONTH(A221)=12, P221+V221, 0) + H221 - L221, 0)
    ),
  B221&gt;55,
    IF(AB220&gt;=$AH$7,
      MAX(Y220 + IF(MONTH(A221)=12, P221+V221, 0) + H221 - L221 + K221 + Z220, 0),
      MAX(Y220 + IF(MONTH(A221)=12, P221+V221, 0) + H221 - L221, 0)
    )
)</f>
        <v>334569.9142</v>
      </c>
      <c r="Z221" s="65">
        <f>IFS(
  B221&lt;55,
    MIN(
      IF(AA220 &gt;= VLOOKUP(YEAR(A221), Lookup!$Q:$R, 2),
        Z220 + IF(MONTH(A221)=12, Q221+W221, 0) + I221
          + AA220 + IF(MONTH(A221)=12, R221+X221, 0) - VLOOKUP(YEAR(A221), Lookup!$Q:$R, 2) + J221,
        Z220 + IF(MONTH(A221)=12, Q221+W221, 0) + I221
      ),
      VLOOKUP(YEAR(A221), Lookup!$K:$M, 3)
    ),
  B221=55,
    IF(Z220 &gt;= AD221, Z220 - AD221, 0),
  B221&gt;55, 0
)</f>
        <v>263217.9146</v>
      </c>
      <c r="AA221" s="65">
        <f>IFS(
  B221&lt;65,
    IF(AA220+J221 &lt; VLOOKUP(YEAR(A221), Lookup!$Q:$R, 2),
      AA220 + IF(MONTH(A221)=12, R220+X220, 0) + J221,
      MIN(
        AA220 + IF(MONTH(A221)=12, R220+X220, 0) + J221 ,
        VLOOKUP(YEAR(A221), Lookup!$Q:$R, 2)
      )
    ),
  B221&gt;=65,
    IF(AA220+J221 &lt; VLOOKUP(questions!$C$5, Lookup!$Q:$R, 2),
      AA220 + IF(MONTH(A221)=12, R220+X220, 0) + J221 ,
      MIN(
        AA220 + IF(MONTH(A221)=12, R220+X220, 0) + J221,
        VLOOKUP(questions!$C$5, Lookup!$Q:$R, 2)
      )
    )
)</f>
        <v>145778.3285</v>
      </c>
      <c r="AB221" s="65">
        <f t="shared" si="13"/>
        <v>0</v>
      </c>
      <c r="AC221" s="66">
        <f t="array" ref="AC221">IFS(B221&lt;66, XLOOKUP(year(A221),Lookup!$K$13:$K1000,Lookup!$L$13:$L1000,"missing",,1),B221&gt;65,XLOOKUP(questions!$C$5,Lookup!$K$13:$K1000,Lookup!$L$13:$L1000,"missing",,1))</f>
        <v>204772.4804</v>
      </c>
      <c r="AD221" s="66">
        <f t="array" ref="AD221">IFS(B221&lt;66, XLOOKUP(year(A221),Lookup!$K$13:$K1000,Lookup!$M$13:$M1000,"missing",,1),B221&gt;65, XLOOKUP(questions!$C$5,Lookup!$K$13:$K1000,Lookup!$M$13:$M1000,"missing",,1))</f>
        <v>409544.9608</v>
      </c>
      <c r="AE221" s="66">
        <f t="array" ref="AE221">IFS(B221&lt;66, XLOOKUP(year(A221),Lookup!$K$13:$K1000,Lookup!$N$13:$N1000,"missing",,1),B221&gt;65,XLOOKUP(questions!$C$5,Lookup!$K$13:$K1000,Lookup!$N$13:$N1000,"missing",,1))</f>
        <v>819089.9216</v>
      </c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</row>
    <row r="222">
      <c r="A222" s="55">
        <f t="shared" si="7"/>
        <v>52778</v>
      </c>
      <c r="B222" s="56">
        <f>round(YEARFRAC(EOMONTH(questions!$C$3, 0),A222,1),2)</f>
        <v>45.58</v>
      </c>
      <c r="C222" s="57">
        <f>IF(B222&lt;questions!$C$6,if(MONTH(A222)=1,C221*(1+questions!$C$12),C221),0)</f>
        <v>17024.33061</v>
      </c>
      <c r="D222" s="58">
        <f>IF(MONTH(A222)=12,C222*questions!$C$11,0)</f>
        <v>0</v>
      </c>
      <c r="E222" s="59">
        <f t="shared" si="2"/>
        <v>8000</v>
      </c>
      <c r="F222" s="59">
        <f t="shared" si="3"/>
        <v>0</v>
      </c>
      <c r="G222" s="60">
        <f t="array" ref="G222">if(YEAR(A222)=2025,XLOOKUP(B222,Lookup!$A$3:$A$7,Lookup!$D$3:$D$7,,1)*SUM(E222:F222), XLOOKUP(B222,Lookup!$A$14:$A$18,Lookup!$D$14:$D$18,,1)*SUM(E222:F222))</f>
        <v>2960</v>
      </c>
      <c r="H222" s="60">
        <f t="array" ref="H222">if(YEAR(A222)=2025,XLOOKUP(B222,Lookup!$F$3:$F$10,Lookup!$G$3:$G$10,,1)*G222, XLOOKUP(B222,Lookup!$F$14:$F$21,Lookup!$G$14:$G$21,,1)*G222)</f>
        <v>1520.256</v>
      </c>
      <c r="I222" s="60">
        <f t="array" ref="I222">if(B222&lt;55, if(YEAR(A222)=2025,XLOOKUP(B222,Lookup!$F$3:$F$10,Lookup!$H$3:$H$10,,1)*G222, XLOOKUP(B222,Lookup!$F$14:$F$21,Lookup!$H$14:$H$21,,1)*G222),0)</f>
        <v>639.952</v>
      </c>
      <c r="J222" s="60">
        <f t="array" ref="J222">if(YEAR(A222)=2025,XLOOKUP(B222,Lookup!$F$3:$F$10,Lookup!$I$3:$I$10,,1)*G222, XLOOKUP(B222,Lookup!$F$14:$F$21,Lookup!$I$14:$I$21,,1)*G222)</f>
        <v>799.792</v>
      </c>
      <c r="K222" s="61">
        <f t="array" ref="K222">if(B222&gt;54, if(YEAR(A222)=2025,XLOOKUP(B222,Lookup!$F$3:$F$10,Lookup!$H$3:$H$10,,1)*G222, XLOOKUP(B222,Lookup!$F$14:$F$21,Lookup!$H$14:$H$21,,1)*G222),0)</f>
        <v>0</v>
      </c>
      <c r="L222" s="62">
        <f>IF(and(A222&lt;questions!$C$19,questions!$C$18="yes"),questions!$C$20,0)</f>
        <v>700</v>
      </c>
      <c r="M222" s="63">
        <f>(Y221+H222)*Lookup!A$26/12</f>
        <v>700.1878546</v>
      </c>
      <c r="N222" s="63">
        <f>if(B222&lt;55, (Z221+I222)*Lookup!B$26/12, (AB221+K222)*Lookup!B$26/12)</f>
        <v>879.5262221</v>
      </c>
      <c r="O222" s="63">
        <f>(AA221+J222)*Lookup!C$26/12</f>
        <v>488.5937352</v>
      </c>
      <c r="P222" s="63">
        <f t="shared" si="8"/>
        <v>4175.494127</v>
      </c>
      <c r="Q222" s="63">
        <f t="shared" si="4"/>
        <v>5245.159733</v>
      </c>
      <c r="R222" s="63">
        <f t="shared" si="5"/>
        <v>2891.572811</v>
      </c>
      <c r="S222" s="64">
        <f t="shared" si="9"/>
        <v>16.66666667</v>
      </c>
      <c r="T222" s="64">
        <f t="shared" si="10"/>
        <v>33.33333333</v>
      </c>
      <c r="U222" s="64">
        <f t="shared" si="11"/>
        <v>0</v>
      </c>
      <c r="V222" s="64">
        <f t="shared" ref="V222:X222" si="230">IF(year($A222)=year($A221), V221+S222, S222)</f>
        <v>100</v>
      </c>
      <c r="W222" s="64">
        <f t="shared" si="230"/>
        <v>200</v>
      </c>
      <c r="X222" s="64">
        <f t="shared" si="230"/>
        <v>0</v>
      </c>
      <c r="Y222" s="65">
        <f>IFS(
  B222&lt;55,
    MAX(
      Y221 + IF(MONTH(A222)=12, P222+V222, 0) + H222 - L222
      + MAX(0,
          IF(AA221 &gt;= VLOOKUP(YEAR(A222), Lookup!$Q:$R, 2),
            Z221 + IF(MONTH(A222)=12, Q222+W222, 0) + I222
              + AA221 + IF(MONTH(A222)=12, R222+X222, 0)
              - VLOOKUP(YEAR(A222), Lookup!$Q:$R, 2) + J222,
            Z221 + IF(MONTH(A222)=12, Q222+W222, 0) + I222
          ) - VLOOKUP(YEAR(A222), Lookup!$K:$M, 3)
        ),
    0),
  B222=55,
    IF(Z221&gt;=AD222,
      MAX(Y221 + IF(MONTH(A222)=12, P222+V222, 0) + H222 - L222, 0),
      MAX(MAX(0, Y221-(AD222-Z221)) + IF(MONTH(A222)=12, P222+V222, 0) + H222 - L222, 0)
    ),
  B222&gt;55,
    IF(AB221&gt;=$AH$7,
      MAX(Y221 + IF(MONTH(A222)=12, P222+V222, 0) + H222 - L222 + K222 + Z221, 0),
      MAX(Y221 + IF(MONTH(A222)=12, P222+V222, 0) + H222 - L222, 0)
    )
)</f>
        <v>335390.1702</v>
      </c>
      <c r="Z222" s="65">
        <f>IFS(
  B222&lt;55,
    MIN(
      IF(AA221 &gt;= VLOOKUP(YEAR(A222), Lookup!$Q:$R, 2),
        Z221 + IF(MONTH(A222)=12, Q222+W222, 0) + I222
          + AA221 + IF(MONTH(A222)=12, R222+X222, 0) - VLOOKUP(YEAR(A222), Lookup!$Q:$R, 2) + J222,
        Z221 + IF(MONTH(A222)=12, Q222+W222, 0) + I222
      ),
      VLOOKUP(YEAR(A222), Lookup!$K:$M, 3)
    ),
  B222=55,
    IF(Z221 &gt;= AD222, Z221 - AD222, 0),
  B222&gt;55, 0
)</f>
        <v>263857.8666</v>
      </c>
      <c r="AA222" s="65">
        <f>IFS(
  B222&lt;65,
    IF(AA221+J222 &lt; VLOOKUP(YEAR(A222), Lookup!$Q:$R, 2),
      AA221 + IF(MONTH(A222)=12, R221+X221, 0) + J222,
      MIN(
        AA221 + IF(MONTH(A222)=12, R221+X221, 0) + J222 ,
        VLOOKUP(YEAR(A222), Lookup!$Q:$R, 2)
      )
    ),
  B222&gt;=65,
    IF(AA221+J222 &lt; VLOOKUP(questions!$C$5, Lookup!$Q:$R, 2),
      AA221 + IF(MONTH(A222)=12, R221+X221, 0) + J222 ,
      MIN(
        AA221 + IF(MONTH(A222)=12, R221+X221, 0) + J222,
        VLOOKUP(questions!$C$5, Lookup!$Q:$R, 2)
      )
    )
)</f>
        <v>146578.1205</v>
      </c>
      <c r="AB222" s="65">
        <f t="shared" si="13"/>
        <v>0</v>
      </c>
      <c r="AC222" s="66">
        <f t="array" ref="AC222">IFS(B222&lt;66, XLOOKUP(year(A222),Lookup!$K$13:$K1000,Lookup!$L$13:$L1000,"missing",,1),B222&gt;65,XLOOKUP(questions!$C$5,Lookup!$K$13:$K1000,Lookup!$L$13:$L1000,"missing",,1))</f>
        <v>204772.4804</v>
      </c>
      <c r="AD222" s="66">
        <f t="array" ref="AD222">IFS(B222&lt;66, XLOOKUP(year(A222),Lookup!$K$13:$K1000,Lookup!$M$13:$M1000,"missing",,1),B222&gt;65, XLOOKUP(questions!$C$5,Lookup!$K$13:$K1000,Lookup!$M$13:$M1000,"missing",,1))</f>
        <v>409544.9608</v>
      </c>
      <c r="AE222" s="66">
        <f t="array" ref="AE222">IFS(B222&lt;66, XLOOKUP(year(A222),Lookup!$K$13:$K1000,Lookup!$N$13:$N1000,"missing",,1),B222&gt;65,XLOOKUP(questions!$C$5,Lookup!$K$13:$K1000,Lookup!$N$13:$N1000,"missing",,1))</f>
        <v>819089.9216</v>
      </c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</row>
    <row r="223">
      <c r="A223" s="55">
        <f t="shared" si="7"/>
        <v>52809</v>
      </c>
      <c r="B223" s="56">
        <f>round(YEARFRAC(EOMONTH(questions!$C$3, 0),A223,1),2)</f>
        <v>45.67</v>
      </c>
      <c r="C223" s="57">
        <f>IF(B223&lt;questions!$C$6,if(MONTH(A223)=1,C222*(1+questions!$C$12),C222),0)</f>
        <v>17024.33061</v>
      </c>
      <c r="D223" s="58">
        <f>IF(MONTH(A223)=12,C223*questions!$C$11,0)</f>
        <v>0</v>
      </c>
      <c r="E223" s="59">
        <f t="shared" si="2"/>
        <v>8000</v>
      </c>
      <c r="F223" s="59">
        <f t="shared" si="3"/>
        <v>0</v>
      </c>
      <c r="G223" s="60">
        <f t="array" ref="G223">if(YEAR(A223)=2025,XLOOKUP(B223,Lookup!$A$3:$A$7,Lookup!$D$3:$D$7,,1)*SUM(E223:F223), XLOOKUP(B223,Lookup!$A$14:$A$18,Lookup!$D$14:$D$18,,1)*SUM(E223:F223))</f>
        <v>2960</v>
      </c>
      <c r="H223" s="60">
        <f t="array" ref="H223">if(YEAR(A223)=2025,XLOOKUP(B223,Lookup!$F$3:$F$10,Lookup!$G$3:$G$10,,1)*G223, XLOOKUP(B223,Lookup!$F$14:$F$21,Lookup!$G$14:$G$21,,1)*G223)</f>
        <v>1520.256</v>
      </c>
      <c r="I223" s="60">
        <f t="array" ref="I223">if(B223&lt;55, if(YEAR(A223)=2025,XLOOKUP(B223,Lookup!$F$3:$F$10,Lookup!$H$3:$H$10,,1)*G223, XLOOKUP(B223,Lookup!$F$14:$F$21,Lookup!$H$14:$H$21,,1)*G223),0)</f>
        <v>639.952</v>
      </c>
      <c r="J223" s="60">
        <f t="array" ref="J223">if(YEAR(A223)=2025,XLOOKUP(B223,Lookup!$F$3:$F$10,Lookup!$I$3:$I$10,,1)*G223, XLOOKUP(B223,Lookup!$F$14:$F$21,Lookup!$I$14:$I$21,,1)*G223)</f>
        <v>799.792</v>
      </c>
      <c r="K223" s="61">
        <f t="array" ref="K223">if(B223&gt;54, if(YEAR(A223)=2025,XLOOKUP(B223,Lookup!$F$3:$F$10,Lookup!$H$3:$H$10,,1)*G223, XLOOKUP(B223,Lookup!$F$14:$F$21,Lookup!$H$14:$H$21,,1)*G223),0)</f>
        <v>0</v>
      </c>
      <c r="L223" s="62">
        <f>IF(and(A223&lt;questions!$C$19,questions!$C$18="yes"),questions!$C$20,0)</f>
        <v>700</v>
      </c>
      <c r="M223" s="63">
        <f>(Y222+H223)*Lookup!A$26/12</f>
        <v>701.8967212</v>
      </c>
      <c r="N223" s="63">
        <f>if(B223&lt;55, (Z222+I223)*Lookup!B$26/12, (AB222+K223)*Lookup!B$26/12)</f>
        <v>881.6593955</v>
      </c>
      <c r="O223" s="63">
        <f>(AA222+J223)*Lookup!C$26/12</f>
        <v>491.2597085</v>
      </c>
      <c r="P223" s="63">
        <f t="shared" si="8"/>
        <v>4877.390849</v>
      </c>
      <c r="Q223" s="63">
        <f t="shared" si="4"/>
        <v>6126.819128</v>
      </c>
      <c r="R223" s="63">
        <f t="shared" si="5"/>
        <v>3382.832519</v>
      </c>
      <c r="S223" s="64">
        <f t="shared" si="9"/>
        <v>16.66666667</v>
      </c>
      <c r="T223" s="64">
        <f t="shared" si="10"/>
        <v>33.33333333</v>
      </c>
      <c r="U223" s="64">
        <f t="shared" si="11"/>
        <v>0</v>
      </c>
      <c r="V223" s="64">
        <f t="shared" ref="V223:X223" si="231">IF(year($A223)=year($A222), V222+S223, S223)</f>
        <v>116.6666667</v>
      </c>
      <c r="W223" s="64">
        <f t="shared" si="231"/>
        <v>233.3333333</v>
      </c>
      <c r="X223" s="64">
        <f t="shared" si="231"/>
        <v>0</v>
      </c>
      <c r="Y223" s="65">
        <f>IFS(
  B223&lt;55,
    MAX(
      Y222 + IF(MONTH(A223)=12, P223+V223, 0) + H223 - L223
      + MAX(0,
          IF(AA222 &gt;= VLOOKUP(YEAR(A223), Lookup!$Q:$R, 2),
            Z222 + IF(MONTH(A223)=12, Q223+W223, 0) + I223
              + AA222 + IF(MONTH(A223)=12, R223+X223, 0)
              - VLOOKUP(YEAR(A223), Lookup!$Q:$R, 2) + J223,
            Z222 + IF(MONTH(A223)=12, Q223+W223, 0) + I223
          ) - VLOOKUP(YEAR(A223), Lookup!$K:$M, 3)
        ),
    0),
  B223=55,
    IF(Z222&gt;=AD223,
      MAX(Y222 + IF(MONTH(A223)=12, P223+V223, 0) + H223 - L223, 0),
      MAX(MAX(0, Y222-(AD223-Z222)) + IF(MONTH(A223)=12, P223+V223, 0) + H223 - L223, 0)
    ),
  B223&gt;55,
    IF(AB222&gt;=$AH$7,
      MAX(Y222 + IF(MONTH(A223)=12, P223+V223, 0) + H223 - L223 + K223 + Z222, 0),
      MAX(Y222 + IF(MONTH(A223)=12, P223+V223, 0) + H223 - L223, 0)
    )
)</f>
        <v>336210.4262</v>
      </c>
      <c r="Z223" s="65">
        <f>IFS(
  B223&lt;55,
    MIN(
      IF(AA222 &gt;= VLOOKUP(YEAR(A223), Lookup!$Q:$R, 2),
        Z222 + IF(MONTH(A223)=12, Q223+W223, 0) + I223
          + AA222 + IF(MONTH(A223)=12, R223+X223, 0) - VLOOKUP(YEAR(A223), Lookup!$Q:$R, 2) + J223,
        Z222 + IF(MONTH(A223)=12, Q223+W223, 0) + I223
      ),
      VLOOKUP(YEAR(A223), Lookup!$K:$M, 3)
    ),
  B223=55,
    IF(Z222 &gt;= AD223, Z222 - AD223, 0),
  B223&gt;55, 0
)</f>
        <v>264497.8186</v>
      </c>
      <c r="AA223" s="65">
        <f>IFS(
  B223&lt;65,
    IF(AA222+J223 &lt; VLOOKUP(YEAR(A223), Lookup!$Q:$R, 2),
      AA222 + IF(MONTH(A223)=12, R222+X222, 0) + J223,
      MIN(
        AA222 + IF(MONTH(A223)=12, R222+X222, 0) + J223 ,
        VLOOKUP(YEAR(A223), Lookup!$Q:$R, 2)
      )
    ),
  B223&gt;=65,
    IF(AA222+J223 &lt; VLOOKUP(questions!$C$5, Lookup!$Q:$R, 2),
      AA222 + IF(MONTH(A223)=12, R222+X222, 0) + J223 ,
      MIN(
        AA222 + IF(MONTH(A223)=12, R222+X222, 0) + J223,
        VLOOKUP(questions!$C$5, Lookup!$Q:$R, 2)
      )
    )
)</f>
        <v>146741.6464</v>
      </c>
      <c r="AB223" s="65">
        <f t="shared" si="13"/>
        <v>0</v>
      </c>
      <c r="AC223" s="66">
        <f t="array" ref="AC223">IFS(B223&lt;66, XLOOKUP(year(A223),Lookup!$K$13:$K1000,Lookup!$L$13:$L1000,"missing",,1),B223&gt;65,XLOOKUP(questions!$C$5,Lookup!$K$13:$K1000,Lookup!$L$13:$L1000,"missing",,1))</f>
        <v>204772.4804</v>
      </c>
      <c r="AD223" s="66">
        <f t="array" ref="AD223">IFS(B223&lt;66, XLOOKUP(year(A223),Lookup!$K$13:$K1000,Lookup!$M$13:$M1000,"missing",,1),B223&gt;65, XLOOKUP(questions!$C$5,Lookup!$K$13:$K1000,Lookup!$M$13:$M1000,"missing",,1))</f>
        <v>409544.9608</v>
      </c>
      <c r="AE223" s="66">
        <f t="array" ref="AE223">IFS(B223&lt;66, XLOOKUP(year(A223),Lookup!$K$13:$K1000,Lookup!$N$13:$N1000,"missing",,1),B223&gt;65,XLOOKUP(questions!$C$5,Lookup!$K$13:$K1000,Lookup!$N$13:$N1000,"missing",,1))</f>
        <v>819089.9216</v>
      </c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</row>
    <row r="224">
      <c r="A224" s="55">
        <f t="shared" si="7"/>
        <v>52840</v>
      </c>
      <c r="B224" s="56">
        <f>round(YEARFRAC(EOMONTH(questions!$C$3, 0),A224,1),2)</f>
        <v>45.75</v>
      </c>
      <c r="C224" s="57">
        <f>IF(B224&lt;questions!$C$6,if(MONTH(A224)=1,C223*(1+questions!$C$12),C223),0)</f>
        <v>17024.33061</v>
      </c>
      <c r="D224" s="58">
        <f>IF(MONTH(A224)=12,C224*questions!$C$11,0)</f>
        <v>0</v>
      </c>
      <c r="E224" s="59">
        <f t="shared" si="2"/>
        <v>8000</v>
      </c>
      <c r="F224" s="59">
        <f t="shared" si="3"/>
        <v>0</v>
      </c>
      <c r="G224" s="60">
        <f t="array" ref="G224">if(YEAR(A224)=2025,XLOOKUP(B224,Lookup!$A$3:$A$7,Lookup!$D$3:$D$7,,1)*SUM(E224:F224), XLOOKUP(B224,Lookup!$A$14:$A$18,Lookup!$D$14:$D$18,,1)*SUM(E224:F224))</f>
        <v>2960</v>
      </c>
      <c r="H224" s="60">
        <f t="array" ref="H224">if(YEAR(A224)=2025,XLOOKUP(B224,Lookup!$F$3:$F$10,Lookup!$G$3:$G$10,,1)*G224, XLOOKUP(B224,Lookup!$F$14:$F$21,Lookup!$G$14:$G$21,,1)*G224)</f>
        <v>1520.256</v>
      </c>
      <c r="I224" s="60">
        <f t="array" ref="I224">if(B224&lt;55, if(YEAR(A224)=2025,XLOOKUP(B224,Lookup!$F$3:$F$10,Lookup!$H$3:$H$10,,1)*G224, XLOOKUP(B224,Lookup!$F$14:$F$21,Lookup!$H$14:$H$21,,1)*G224),0)</f>
        <v>639.952</v>
      </c>
      <c r="J224" s="60">
        <f t="array" ref="J224">if(YEAR(A224)=2025,XLOOKUP(B224,Lookup!$F$3:$F$10,Lookup!$I$3:$I$10,,1)*G224, XLOOKUP(B224,Lookup!$F$14:$F$21,Lookup!$I$14:$I$21,,1)*G224)</f>
        <v>799.792</v>
      </c>
      <c r="K224" s="61">
        <f t="array" ref="K224">if(B224&gt;54, if(YEAR(A224)=2025,XLOOKUP(B224,Lookup!$F$3:$F$10,Lookup!$H$3:$H$10,,1)*G224, XLOOKUP(B224,Lookup!$F$14:$F$21,Lookup!$H$14:$H$21,,1)*G224),0)</f>
        <v>0</v>
      </c>
      <c r="L224" s="62">
        <f>IF(and(A224&lt;questions!$C$19,questions!$C$18="yes"),questions!$C$20,0)</f>
        <v>700</v>
      </c>
      <c r="M224" s="63">
        <f>(Y223+H224)*Lookup!A$26/12</f>
        <v>703.6055879</v>
      </c>
      <c r="N224" s="63">
        <f>if(B224&lt;55, (Z223+I224)*Lookup!B$26/12, (AB223+K224)*Lookup!B$26/12)</f>
        <v>883.7925688</v>
      </c>
      <c r="O224" s="63">
        <f>(AA223+J224)*Lookup!C$26/12</f>
        <v>491.8047948</v>
      </c>
      <c r="P224" s="63">
        <f t="shared" si="8"/>
        <v>5580.996437</v>
      </c>
      <c r="Q224" s="63">
        <f t="shared" si="4"/>
        <v>7010.611697</v>
      </c>
      <c r="R224" s="63">
        <f t="shared" si="5"/>
        <v>3874.637314</v>
      </c>
      <c r="S224" s="64">
        <f t="shared" si="9"/>
        <v>16.66666667</v>
      </c>
      <c r="T224" s="64">
        <f t="shared" si="10"/>
        <v>33.33333333</v>
      </c>
      <c r="U224" s="64">
        <f t="shared" si="11"/>
        <v>0</v>
      </c>
      <c r="V224" s="64">
        <f t="shared" ref="V224:X224" si="232">IF(year($A224)=year($A223), V223+S224, S224)</f>
        <v>133.3333333</v>
      </c>
      <c r="W224" s="64">
        <f t="shared" si="232"/>
        <v>266.6666667</v>
      </c>
      <c r="X224" s="64">
        <f t="shared" si="232"/>
        <v>0</v>
      </c>
      <c r="Y224" s="65">
        <f>IFS(
  B224&lt;55,
    MAX(
      Y223 + IF(MONTH(A224)=12, P224+V224, 0) + H224 - L224
      + MAX(0,
          IF(AA223 &gt;= VLOOKUP(YEAR(A224), Lookup!$Q:$R, 2),
            Z223 + IF(MONTH(A224)=12, Q224+W224, 0) + I224
              + AA223 + IF(MONTH(A224)=12, R224+X224, 0)
              - VLOOKUP(YEAR(A224), Lookup!$Q:$R, 2) + J224,
            Z223 + IF(MONTH(A224)=12, Q224+W224, 0) + I224
          ) - VLOOKUP(YEAR(A224), Lookup!$K:$M, 3)
        ),
    0),
  B224=55,
    IF(Z223&gt;=AD224,
      MAX(Y223 + IF(MONTH(A224)=12, P224+V224, 0) + H224 - L224, 0),
      MAX(MAX(0, Y223-(AD224-Z223)) + IF(MONTH(A224)=12, P224+V224, 0) + H224 - L224, 0)
    ),
  B224&gt;55,
    IF(AB223&gt;=$AH$7,
      MAX(Y223 + IF(MONTH(A224)=12, P224+V224, 0) + H224 - L224 + K224 + Z223, 0),
      MAX(Y223 + IF(MONTH(A224)=12, P224+V224, 0) + H224 - L224, 0)
    )
)</f>
        <v>337030.6822</v>
      </c>
      <c r="Z224" s="65">
        <f>IFS(
  B224&lt;55,
    MIN(
      IF(AA223 &gt;= VLOOKUP(YEAR(A224), Lookup!$Q:$R, 2),
        Z223 + IF(MONTH(A224)=12, Q224+W224, 0) + I224
          + AA223 + IF(MONTH(A224)=12, R224+X224, 0) - VLOOKUP(YEAR(A224), Lookup!$Q:$R, 2) + J224,
        Z223 + IF(MONTH(A224)=12, Q224+W224, 0) + I224
      ),
      VLOOKUP(YEAR(A224), Lookup!$K:$M, 3)
    ),
  B224=55,
    IF(Z223 &gt;= AD224, Z223 - AD224, 0),
  B224&gt;55, 0
)</f>
        <v>265937.5626</v>
      </c>
      <c r="AA224" s="65">
        <f>IFS(
  B224&lt;65,
    IF(AA223+J224 &lt; VLOOKUP(YEAR(A224), Lookup!$Q:$R, 2),
      AA223 + IF(MONTH(A224)=12, R223+X223, 0) + J224,
      MIN(
        AA223 + IF(MONTH(A224)=12, R223+X223, 0) + J224 ,
        VLOOKUP(YEAR(A224), Lookup!$Q:$R, 2)
      )
    ),
  B224&gt;=65,
    IF(AA223+J224 &lt; VLOOKUP(questions!$C$5, Lookup!$Q:$R, 2),
      AA223 + IF(MONTH(A224)=12, R223+X223, 0) + J224 ,
      MIN(
        AA223 + IF(MONTH(A224)=12, R223+X223, 0) + J224,
        VLOOKUP(questions!$C$5, Lookup!$Q:$R, 2)
      )
    )
)</f>
        <v>146741.6464</v>
      </c>
      <c r="AB224" s="65">
        <f t="shared" si="13"/>
        <v>0</v>
      </c>
      <c r="AC224" s="66">
        <f t="array" ref="AC224">IFS(B224&lt;66, XLOOKUP(year(A224),Lookup!$K$13:$K1000,Lookup!$L$13:$L1000,"missing",,1),B224&gt;65,XLOOKUP(questions!$C$5,Lookup!$K$13:$K1000,Lookup!$L$13:$L1000,"missing",,1))</f>
        <v>204772.4804</v>
      </c>
      <c r="AD224" s="66">
        <f t="array" ref="AD224">IFS(B224&lt;66, XLOOKUP(year(A224),Lookup!$K$13:$K1000,Lookup!$M$13:$M1000,"missing",,1),B224&gt;65, XLOOKUP(questions!$C$5,Lookup!$K$13:$K1000,Lookup!$M$13:$M1000,"missing",,1))</f>
        <v>409544.9608</v>
      </c>
      <c r="AE224" s="66">
        <f t="array" ref="AE224">IFS(B224&lt;66, XLOOKUP(year(A224),Lookup!$K$13:$K1000,Lookup!$N$13:$N1000,"missing",,1),B224&gt;65,XLOOKUP(questions!$C$5,Lookup!$K$13:$K1000,Lookup!$N$13:$N1000,"missing",,1))</f>
        <v>819089.9216</v>
      </c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</row>
    <row r="225">
      <c r="A225" s="55">
        <f t="shared" si="7"/>
        <v>52870</v>
      </c>
      <c r="B225" s="56">
        <f>round(YEARFRAC(EOMONTH(questions!$C$3, 0),A225,1),2)</f>
        <v>45.83</v>
      </c>
      <c r="C225" s="57">
        <f>IF(B225&lt;questions!$C$6,if(MONTH(A225)=1,C224*(1+questions!$C$12),C224),0)</f>
        <v>17024.33061</v>
      </c>
      <c r="D225" s="58">
        <f>IF(MONTH(A225)=12,C225*questions!$C$11,0)</f>
        <v>0</v>
      </c>
      <c r="E225" s="59">
        <f t="shared" si="2"/>
        <v>8000</v>
      </c>
      <c r="F225" s="59">
        <f t="shared" si="3"/>
        <v>0</v>
      </c>
      <c r="G225" s="60">
        <f t="array" ref="G225">if(YEAR(A225)=2025,XLOOKUP(B225,Lookup!$A$3:$A$7,Lookup!$D$3:$D$7,,1)*SUM(E225:F225), XLOOKUP(B225,Lookup!$A$14:$A$18,Lookup!$D$14:$D$18,,1)*SUM(E225:F225))</f>
        <v>2960</v>
      </c>
      <c r="H225" s="60">
        <f t="array" ref="H225">if(YEAR(A225)=2025,XLOOKUP(B225,Lookup!$F$3:$F$10,Lookup!$G$3:$G$10,,1)*G225, XLOOKUP(B225,Lookup!$F$14:$F$21,Lookup!$G$14:$G$21,,1)*G225)</f>
        <v>1520.256</v>
      </c>
      <c r="I225" s="60">
        <f t="array" ref="I225">if(B225&lt;55, if(YEAR(A225)=2025,XLOOKUP(B225,Lookup!$F$3:$F$10,Lookup!$H$3:$H$10,,1)*G225, XLOOKUP(B225,Lookup!$F$14:$F$21,Lookup!$H$14:$H$21,,1)*G225),0)</f>
        <v>639.952</v>
      </c>
      <c r="J225" s="60">
        <f t="array" ref="J225">if(YEAR(A225)=2025,XLOOKUP(B225,Lookup!$F$3:$F$10,Lookup!$I$3:$I$10,,1)*G225, XLOOKUP(B225,Lookup!$F$14:$F$21,Lookup!$I$14:$I$21,,1)*G225)</f>
        <v>799.792</v>
      </c>
      <c r="K225" s="61">
        <f t="array" ref="K225">if(B225&gt;54, if(YEAR(A225)=2025,XLOOKUP(B225,Lookup!$F$3:$F$10,Lookup!$H$3:$H$10,,1)*G225, XLOOKUP(B225,Lookup!$F$14:$F$21,Lookup!$H$14:$H$21,,1)*G225),0)</f>
        <v>0</v>
      </c>
      <c r="L225" s="62">
        <f>IF(and(A225&lt;questions!$C$19,questions!$C$18="yes"),questions!$C$20,0)</f>
        <v>700</v>
      </c>
      <c r="M225" s="63">
        <f>(Y224+H225)*Lookup!A$26/12</f>
        <v>705.3144546</v>
      </c>
      <c r="N225" s="63">
        <f>if(B225&lt;55, (Z224+I225)*Lookup!B$26/12, (AB224+K225)*Lookup!B$26/12)</f>
        <v>888.5917155</v>
      </c>
      <c r="O225" s="63">
        <f>(AA224+J225)*Lookup!C$26/12</f>
        <v>491.8047948</v>
      </c>
      <c r="P225" s="63">
        <f t="shared" si="8"/>
        <v>6286.310891</v>
      </c>
      <c r="Q225" s="63">
        <f t="shared" si="4"/>
        <v>7899.203413</v>
      </c>
      <c r="R225" s="63">
        <f t="shared" si="5"/>
        <v>4366.442109</v>
      </c>
      <c r="S225" s="64">
        <f t="shared" si="9"/>
        <v>16.66666667</v>
      </c>
      <c r="T225" s="64">
        <f t="shared" si="10"/>
        <v>33.33333333</v>
      </c>
      <c r="U225" s="64">
        <f t="shared" si="11"/>
        <v>0</v>
      </c>
      <c r="V225" s="64">
        <f t="shared" ref="V225:X225" si="233">IF(year($A225)=year($A224), V224+S225, S225)</f>
        <v>150</v>
      </c>
      <c r="W225" s="64">
        <f t="shared" si="233"/>
        <v>300</v>
      </c>
      <c r="X225" s="64">
        <f t="shared" si="233"/>
        <v>0</v>
      </c>
      <c r="Y225" s="65">
        <f>IFS(
  B225&lt;55,
    MAX(
      Y224 + IF(MONTH(A225)=12, P225+V225, 0) + H225 - L225
      + MAX(0,
          IF(AA224 &gt;= VLOOKUP(YEAR(A225), Lookup!$Q:$R, 2),
            Z224 + IF(MONTH(A225)=12, Q225+W225, 0) + I225
              + AA224 + IF(MONTH(A225)=12, R225+X225, 0)
              - VLOOKUP(YEAR(A225), Lookup!$Q:$R, 2) + J225,
            Z224 + IF(MONTH(A225)=12, Q225+W225, 0) + I225
          ) - VLOOKUP(YEAR(A225), Lookup!$K:$M, 3)
        ),
    0),
  B225=55,
    IF(Z224&gt;=AD225,
      MAX(Y224 + IF(MONTH(A225)=12, P225+V225, 0) + H225 - L225, 0),
      MAX(MAX(0, Y224-(AD225-Z224)) + IF(MONTH(A225)=12, P225+V225, 0) + H225 - L225, 0)
    ),
  B225&gt;55,
    IF(AB224&gt;=$AH$7,
      MAX(Y224 + IF(MONTH(A225)=12, P225+V225, 0) + H225 - L225 + K225 + Z224, 0),
      MAX(Y224 + IF(MONTH(A225)=12, P225+V225, 0) + H225 - L225, 0)
    )
)</f>
        <v>337850.9382</v>
      </c>
      <c r="Z225" s="65">
        <f>IFS(
  B225&lt;55,
    MIN(
      IF(AA224 &gt;= VLOOKUP(YEAR(A225), Lookup!$Q:$R, 2),
        Z224 + IF(MONTH(A225)=12, Q225+W225, 0) + I225
          + AA224 + IF(MONTH(A225)=12, R225+X225, 0) - VLOOKUP(YEAR(A225), Lookup!$Q:$R, 2) + J225,
        Z224 + IF(MONTH(A225)=12, Q225+W225, 0) + I225
      ),
      VLOOKUP(YEAR(A225), Lookup!$K:$M, 3)
    ),
  B225=55,
    IF(Z224 &gt;= AD225, Z224 - AD225, 0),
  B225&gt;55, 0
)</f>
        <v>267377.3066</v>
      </c>
      <c r="AA225" s="65">
        <f>IFS(
  B225&lt;65,
    IF(AA224+J225 &lt; VLOOKUP(YEAR(A225), Lookup!$Q:$R, 2),
      AA224 + IF(MONTH(A225)=12, R224+X224, 0) + J225,
      MIN(
        AA224 + IF(MONTH(A225)=12, R224+X224, 0) + J225 ,
        VLOOKUP(YEAR(A225), Lookup!$Q:$R, 2)
      )
    ),
  B225&gt;=65,
    IF(AA224+J225 &lt; VLOOKUP(questions!$C$5, Lookup!$Q:$R, 2),
      AA224 + IF(MONTH(A225)=12, R224+X224, 0) + J225 ,
      MIN(
        AA224 + IF(MONTH(A225)=12, R224+X224, 0) + J225,
        VLOOKUP(questions!$C$5, Lookup!$Q:$R, 2)
      )
    )
)</f>
        <v>146741.6464</v>
      </c>
      <c r="AB225" s="65">
        <f t="shared" si="13"/>
        <v>0</v>
      </c>
      <c r="AC225" s="66">
        <f t="array" ref="AC225">IFS(B225&lt;66, XLOOKUP(year(A225),Lookup!$K$13:$K1000,Lookup!$L$13:$L1000,"missing",,1),B225&gt;65,XLOOKUP(questions!$C$5,Lookup!$K$13:$K1000,Lookup!$L$13:$L1000,"missing",,1))</f>
        <v>204772.4804</v>
      </c>
      <c r="AD225" s="66">
        <f t="array" ref="AD225">IFS(B225&lt;66, XLOOKUP(year(A225),Lookup!$K$13:$K1000,Lookup!$M$13:$M1000,"missing",,1),B225&gt;65, XLOOKUP(questions!$C$5,Lookup!$K$13:$K1000,Lookup!$M$13:$M1000,"missing",,1))</f>
        <v>409544.9608</v>
      </c>
      <c r="AE225" s="66">
        <f t="array" ref="AE225">IFS(B225&lt;66, XLOOKUP(year(A225),Lookup!$K$13:$K1000,Lookup!$N$13:$N1000,"missing",,1),B225&gt;65,XLOOKUP(questions!$C$5,Lookup!$K$13:$K1000,Lookup!$N$13:$N1000,"missing",,1))</f>
        <v>819089.9216</v>
      </c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</row>
    <row r="226">
      <c r="A226" s="55">
        <f t="shared" si="7"/>
        <v>52901</v>
      </c>
      <c r="B226" s="56">
        <f>round(YEARFRAC(EOMONTH(questions!$C$3, 0),A226,1),2)</f>
        <v>45.92</v>
      </c>
      <c r="C226" s="57">
        <f>IF(B226&lt;questions!$C$6,if(MONTH(A226)=1,C225*(1+questions!$C$12),C225),0)</f>
        <v>17024.33061</v>
      </c>
      <c r="D226" s="58">
        <f>IF(MONTH(A226)=12,C226*questions!$C$11,0)</f>
        <v>0</v>
      </c>
      <c r="E226" s="59">
        <f t="shared" si="2"/>
        <v>8000</v>
      </c>
      <c r="F226" s="59">
        <f t="shared" si="3"/>
        <v>0</v>
      </c>
      <c r="G226" s="60">
        <f t="array" ref="G226">if(YEAR(A226)=2025,XLOOKUP(B226,Lookup!$A$3:$A$7,Lookup!$D$3:$D$7,,1)*SUM(E226:F226), XLOOKUP(B226,Lookup!$A$14:$A$18,Lookup!$D$14:$D$18,,1)*SUM(E226:F226))</f>
        <v>2960</v>
      </c>
      <c r="H226" s="60">
        <f t="array" ref="H226">if(YEAR(A226)=2025,XLOOKUP(B226,Lookup!$F$3:$F$10,Lookup!$G$3:$G$10,,1)*G226, XLOOKUP(B226,Lookup!$F$14:$F$21,Lookup!$G$14:$G$21,,1)*G226)</f>
        <v>1520.256</v>
      </c>
      <c r="I226" s="60">
        <f t="array" ref="I226">if(B226&lt;55, if(YEAR(A226)=2025,XLOOKUP(B226,Lookup!$F$3:$F$10,Lookup!$H$3:$H$10,,1)*G226, XLOOKUP(B226,Lookup!$F$14:$F$21,Lookup!$H$14:$H$21,,1)*G226),0)</f>
        <v>639.952</v>
      </c>
      <c r="J226" s="60">
        <f t="array" ref="J226">if(YEAR(A226)=2025,XLOOKUP(B226,Lookup!$F$3:$F$10,Lookup!$I$3:$I$10,,1)*G226, XLOOKUP(B226,Lookup!$F$14:$F$21,Lookup!$I$14:$I$21,,1)*G226)</f>
        <v>799.792</v>
      </c>
      <c r="K226" s="61">
        <f t="array" ref="K226">if(B226&gt;54, if(YEAR(A226)=2025,XLOOKUP(B226,Lookup!$F$3:$F$10,Lookup!$H$3:$H$10,,1)*G226, XLOOKUP(B226,Lookup!$F$14:$F$21,Lookup!$H$14:$H$21,,1)*G226),0)</f>
        <v>0</v>
      </c>
      <c r="L226" s="62">
        <f>IF(and(A226&lt;questions!$C$19,questions!$C$18="yes"),questions!$C$20,0)</f>
        <v>700</v>
      </c>
      <c r="M226" s="63">
        <f>(Y225+H226)*Lookup!A$26/12</f>
        <v>707.0233212</v>
      </c>
      <c r="N226" s="63">
        <f>if(B226&lt;55, (Z225+I226)*Lookup!B$26/12, (AB225+K226)*Lookup!B$26/12)</f>
        <v>893.3908621</v>
      </c>
      <c r="O226" s="63">
        <f>(AA225+J226)*Lookup!C$26/12</f>
        <v>491.8047948</v>
      </c>
      <c r="P226" s="63">
        <f t="shared" si="8"/>
        <v>6993.334212</v>
      </c>
      <c r="Q226" s="63">
        <f t="shared" si="4"/>
        <v>8792.594275</v>
      </c>
      <c r="R226" s="63">
        <f t="shared" si="5"/>
        <v>4858.246904</v>
      </c>
      <c r="S226" s="64">
        <f t="shared" si="9"/>
        <v>16.66666667</v>
      </c>
      <c r="T226" s="64">
        <f t="shared" si="10"/>
        <v>33.33333333</v>
      </c>
      <c r="U226" s="64">
        <f t="shared" si="11"/>
        <v>0</v>
      </c>
      <c r="V226" s="64">
        <f t="shared" ref="V226:X226" si="234">IF(year($A226)=year($A225), V225+S226, S226)</f>
        <v>166.6666667</v>
      </c>
      <c r="W226" s="64">
        <f t="shared" si="234"/>
        <v>333.3333333</v>
      </c>
      <c r="X226" s="64">
        <f t="shared" si="234"/>
        <v>0</v>
      </c>
      <c r="Y226" s="65">
        <f>IFS(
  B226&lt;55,
    MAX(
      Y225 + IF(MONTH(A226)=12, P226+V226, 0) + H226 - L226
      + MAX(0,
          IF(AA225 &gt;= VLOOKUP(YEAR(A226), Lookup!$Q:$R, 2),
            Z225 + IF(MONTH(A226)=12, Q226+W226, 0) + I226
              + AA225 + IF(MONTH(A226)=12, R226+X226, 0)
              - VLOOKUP(YEAR(A226), Lookup!$Q:$R, 2) + J226,
            Z225 + IF(MONTH(A226)=12, Q226+W226, 0) + I226
          ) - VLOOKUP(YEAR(A226), Lookup!$K:$M, 3)
        ),
    0),
  B226=55,
    IF(Z225&gt;=AD226,
      MAX(Y225 + IF(MONTH(A226)=12, P226+V226, 0) + H226 - L226, 0),
      MAX(MAX(0, Y225-(AD226-Z225)) + IF(MONTH(A226)=12, P226+V226, 0) + H226 - L226, 0)
    ),
  B226&gt;55,
    IF(AB225&gt;=$AH$7,
      MAX(Y225 + IF(MONTH(A226)=12, P226+V226, 0) + H226 - L226 + K226 + Z225, 0),
      MAX(Y225 + IF(MONTH(A226)=12, P226+V226, 0) + H226 - L226, 0)
    )
)</f>
        <v>338671.1942</v>
      </c>
      <c r="Z226" s="65">
        <f>IFS(
  B226&lt;55,
    MIN(
      IF(AA225 &gt;= VLOOKUP(YEAR(A226), Lookup!$Q:$R, 2),
        Z225 + IF(MONTH(A226)=12, Q226+W226, 0) + I226
          + AA225 + IF(MONTH(A226)=12, R226+X226, 0) - VLOOKUP(YEAR(A226), Lookup!$Q:$R, 2) + J226,
        Z225 + IF(MONTH(A226)=12, Q226+W226, 0) + I226
      ),
      VLOOKUP(YEAR(A226), Lookup!$K:$M, 3)
    ),
  B226=55,
    IF(Z225 &gt;= AD226, Z225 - AD226, 0),
  B226&gt;55, 0
)</f>
        <v>268817.0506</v>
      </c>
      <c r="AA226" s="65">
        <f>IFS(
  B226&lt;65,
    IF(AA225+J226 &lt; VLOOKUP(YEAR(A226), Lookup!$Q:$R, 2),
      AA225 + IF(MONTH(A226)=12, R225+X225, 0) + J226,
      MIN(
        AA225 + IF(MONTH(A226)=12, R225+X225, 0) + J226 ,
        VLOOKUP(YEAR(A226), Lookup!$Q:$R, 2)
      )
    ),
  B226&gt;=65,
    IF(AA225+J226 &lt; VLOOKUP(questions!$C$5, Lookup!$Q:$R, 2),
      AA225 + IF(MONTH(A226)=12, R225+X225, 0) + J226 ,
      MIN(
        AA225 + IF(MONTH(A226)=12, R225+X225, 0) + J226,
        VLOOKUP(questions!$C$5, Lookup!$Q:$R, 2)
      )
    )
)</f>
        <v>146741.6464</v>
      </c>
      <c r="AB226" s="65">
        <f t="shared" si="13"/>
        <v>0</v>
      </c>
      <c r="AC226" s="66">
        <f t="array" ref="AC226">IFS(B226&lt;66, XLOOKUP(year(A226),Lookup!$K$13:$K1000,Lookup!$L$13:$L1000,"missing",,1),B226&gt;65,XLOOKUP(questions!$C$5,Lookup!$K$13:$K1000,Lookup!$L$13:$L1000,"missing",,1))</f>
        <v>204772.4804</v>
      </c>
      <c r="AD226" s="66">
        <f t="array" ref="AD226">IFS(B226&lt;66, XLOOKUP(year(A226),Lookup!$K$13:$K1000,Lookup!$M$13:$M1000,"missing",,1),B226&gt;65, XLOOKUP(questions!$C$5,Lookup!$K$13:$K1000,Lookup!$M$13:$M1000,"missing",,1))</f>
        <v>409544.9608</v>
      </c>
      <c r="AE226" s="66">
        <f t="array" ref="AE226">IFS(B226&lt;66, XLOOKUP(year(A226),Lookup!$K$13:$K1000,Lookup!$N$13:$N1000,"missing",,1),B226&gt;65,XLOOKUP(questions!$C$5,Lookup!$K$13:$K1000,Lookup!$N$13:$N1000,"missing",,1))</f>
        <v>819089.9216</v>
      </c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</row>
    <row r="227">
      <c r="A227" s="55">
        <f t="shared" si="7"/>
        <v>52931</v>
      </c>
      <c r="B227" s="56">
        <f>round(YEARFRAC(EOMONTH(questions!$C$3, 0),A227,1),2)</f>
        <v>46</v>
      </c>
      <c r="C227" s="57">
        <f>IF(B227&lt;questions!$C$6,if(MONTH(A227)=1,C226*(1+questions!$C$12),C226),0)</f>
        <v>17024.33061</v>
      </c>
      <c r="D227" s="58">
        <f>IF(MONTH(A227)=12,C227*questions!$C$11,0)</f>
        <v>0</v>
      </c>
      <c r="E227" s="59">
        <f t="shared" si="2"/>
        <v>8000</v>
      </c>
      <c r="F227" s="59">
        <f t="shared" si="3"/>
        <v>0</v>
      </c>
      <c r="G227" s="60">
        <f t="array" ref="G227">if(YEAR(A227)=2025,XLOOKUP(B227,Lookup!$A$3:$A$7,Lookup!$D$3:$D$7,,1)*SUM(E227:F227), XLOOKUP(B227,Lookup!$A$14:$A$18,Lookup!$D$14:$D$18,,1)*SUM(E227:F227))</f>
        <v>2960</v>
      </c>
      <c r="H227" s="60">
        <f t="array" ref="H227">if(YEAR(A227)=2025,XLOOKUP(B227,Lookup!$F$3:$F$10,Lookup!$G$3:$G$10,,1)*G227, XLOOKUP(B227,Lookup!$F$14:$F$21,Lookup!$G$14:$G$21,,1)*G227)</f>
        <v>1520.256</v>
      </c>
      <c r="I227" s="60">
        <f t="array" ref="I227">if(B227&lt;55, if(YEAR(A227)=2025,XLOOKUP(B227,Lookup!$F$3:$F$10,Lookup!$H$3:$H$10,,1)*G227, XLOOKUP(B227,Lookup!$F$14:$F$21,Lookup!$H$14:$H$21,,1)*G227),0)</f>
        <v>639.952</v>
      </c>
      <c r="J227" s="60">
        <f t="array" ref="J227">if(YEAR(A227)=2025,XLOOKUP(B227,Lookup!$F$3:$F$10,Lookup!$I$3:$I$10,,1)*G227, XLOOKUP(B227,Lookup!$F$14:$F$21,Lookup!$I$14:$I$21,,1)*G227)</f>
        <v>799.792</v>
      </c>
      <c r="K227" s="61">
        <f t="array" ref="K227">if(B227&gt;54, if(YEAR(A227)=2025,XLOOKUP(B227,Lookup!$F$3:$F$10,Lookup!$H$3:$H$10,,1)*G227, XLOOKUP(B227,Lookup!$F$14:$F$21,Lookup!$H$14:$H$21,,1)*G227),0)</f>
        <v>0</v>
      </c>
      <c r="L227" s="62">
        <f>IF(and(A227&lt;questions!$C$19,questions!$C$18="yes"),questions!$C$20,0)</f>
        <v>700</v>
      </c>
      <c r="M227" s="63">
        <f>(Y226+H227)*Lookup!A$26/12</f>
        <v>708.7321879</v>
      </c>
      <c r="N227" s="63">
        <f>if(B227&lt;55, (Z226+I227)*Lookup!B$26/12, (AB226+K227)*Lookup!B$26/12)</f>
        <v>898.1900088</v>
      </c>
      <c r="O227" s="63">
        <f>(AA226+J227)*Lookup!C$26/12</f>
        <v>491.8047948</v>
      </c>
      <c r="P227" s="63">
        <f t="shared" si="8"/>
        <v>7702.0664</v>
      </c>
      <c r="Q227" s="63">
        <f t="shared" si="4"/>
        <v>9690.784284</v>
      </c>
      <c r="R227" s="63">
        <f t="shared" si="5"/>
        <v>5350.051699</v>
      </c>
      <c r="S227" s="64">
        <f t="shared" si="9"/>
        <v>16.66666667</v>
      </c>
      <c r="T227" s="64">
        <f t="shared" si="10"/>
        <v>33.33333333</v>
      </c>
      <c r="U227" s="64">
        <f t="shared" si="11"/>
        <v>0</v>
      </c>
      <c r="V227" s="64">
        <f t="shared" ref="V227:X227" si="235">IF(year($A227)=year($A226), V226+S227, S227)</f>
        <v>183.3333333</v>
      </c>
      <c r="W227" s="64">
        <f t="shared" si="235"/>
        <v>366.6666667</v>
      </c>
      <c r="X227" s="64">
        <f t="shared" si="235"/>
        <v>0</v>
      </c>
      <c r="Y227" s="65">
        <f>IFS(
  B227&lt;55,
    MAX(
      Y226 + IF(MONTH(A227)=12, P227+V227, 0) + H227 - L227
      + MAX(0,
          IF(AA226 &gt;= VLOOKUP(YEAR(A227), Lookup!$Q:$R, 2),
            Z226 + IF(MONTH(A227)=12, Q227+W227, 0) + I227
              + AA226 + IF(MONTH(A227)=12, R227+X227, 0)
              - VLOOKUP(YEAR(A227), Lookup!$Q:$R, 2) + J227,
            Z226 + IF(MONTH(A227)=12, Q227+W227, 0) + I227
          ) - VLOOKUP(YEAR(A227), Lookup!$K:$M, 3)
        ),
    0),
  B227=55,
    IF(Z226&gt;=AD227,
      MAX(Y226 + IF(MONTH(A227)=12, P227+V227, 0) + H227 - L227, 0),
      MAX(MAX(0, Y226-(AD227-Z226)) + IF(MONTH(A227)=12, P227+V227, 0) + H227 - L227, 0)
    ),
  B227&gt;55,
    IF(AB226&gt;=$AH$7,
      MAX(Y226 + IF(MONTH(A227)=12, P227+V227, 0) + H227 - L227 + K227 + Z226, 0),
      MAX(Y226 + IF(MONTH(A227)=12, P227+V227, 0) + H227 - L227, 0)
    )
)</f>
        <v>339491.4502</v>
      </c>
      <c r="Z227" s="65">
        <f>IFS(
  B227&lt;55,
    MIN(
      IF(AA226 &gt;= VLOOKUP(YEAR(A227), Lookup!$Q:$R, 2),
        Z226 + IF(MONTH(A227)=12, Q227+W227, 0) + I227
          + AA226 + IF(MONTH(A227)=12, R227+X227, 0) - VLOOKUP(YEAR(A227), Lookup!$Q:$R, 2) + J227,
        Z226 + IF(MONTH(A227)=12, Q227+W227, 0) + I227
      ),
      VLOOKUP(YEAR(A227), Lookup!$K:$M, 3)
    ),
  B227=55,
    IF(Z226 &gt;= AD227, Z226 - AD227, 0),
  B227&gt;55, 0
)</f>
        <v>270256.7946</v>
      </c>
      <c r="AA227" s="65">
        <f>IFS(
  B227&lt;65,
    IF(AA226+J227 &lt; VLOOKUP(YEAR(A227), Lookup!$Q:$R, 2),
      AA226 + IF(MONTH(A227)=12, R226+X226, 0) + J227,
      MIN(
        AA226 + IF(MONTH(A227)=12, R226+X226, 0) + J227 ,
        VLOOKUP(YEAR(A227), Lookup!$Q:$R, 2)
      )
    ),
  B227&gt;=65,
    IF(AA226+J227 &lt; VLOOKUP(questions!$C$5, Lookup!$Q:$R, 2),
      AA226 + IF(MONTH(A227)=12, R226+X226, 0) + J227 ,
      MIN(
        AA226 + IF(MONTH(A227)=12, R226+X226, 0) + J227,
        VLOOKUP(questions!$C$5, Lookup!$Q:$R, 2)
      )
    )
)</f>
        <v>146741.6464</v>
      </c>
      <c r="AB227" s="65">
        <f t="shared" si="13"/>
        <v>0</v>
      </c>
      <c r="AC227" s="66">
        <f t="array" ref="AC227">IFS(B227&lt;66, XLOOKUP(year(A227),Lookup!$K$13:$K1000,Lookup!$L$13:$L1000,"missing",,1),B227&gt;65,XLOOKUP(questions!$C$5,Lookup!$K$13:$K1000,Lookup!$L$13:$L1000,"missing",,1))</f>
        <v>204772.4804</v>
      </c>
      <c r="AD227" s="66">
        <f t="array" ref="AD227">IFS(B227&lt;66, XLOOKUP(year(A227),Lookup!$K$13:$K1000,Lookup!$M$13:$M1000,"missing",,1),B227&gt;65, XLOOKUP(questions!$C$5,Lookup!$K$13:$K1000,Lookup!$M$13:$M1000,"missing",,1))</f>
        <v>409544.9608</v>
      </c>
      <c r="AE227" s="66">
        <f t="array" ref="AE227">IFS(B227&lt;66, XLOOKUP(year(A227),Lookup!$K$13:$K1000,Lookup!$N$13:$N1000,"missing",,1),B227&gt;65,XLOOKUP(questions!$C$5,Lookup!$K$13:$K1000,Lookup!$N$13:$N1000,"missing",,1))</f>
        <v>819089.9216</v>
      </c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</row>
    <row r="228">
      <c r="A228" s="55">
        <f t="shared" si="7"/>
        <v>52962</v>
      </c>
      <c r="B228" s="56">
        <f>round(YEARFRAC(EOMONTH(questions!$C$3, 0),A228,1),2)</f>
        <v>46.08</v>
      </c>
      <c r="C228" s="57">
        <f>IF(B228&lt;questions!$C$6,if(MONTH(A228)=1,C227*(1+questions!$C$12),C227),0)</f>
        <v>17024.33061</v>
      </c>
      <c r="D228" s="57">
        <f>IF(MONTH(A228)=12,C228*questions!$C$11,0)</f>
        <v>17024.33061</v>
      </c>
      <c r="E228" s="59">
        <f t="shared" si="2"/>
        <v>8000</v>
      </c>
      <c r="F228" s="59">
        <f t="shared" si="3"/>
        <v>6000</v>
      </c>
      <c r="G228" s="60">
        <f t="array" ref="G228">if(YEAR(A228)=2025,XLOOKUP(B228,Lookup!$A$3:$A$7,Lookup!$D$3:$D$7,,1)*SUM(E228:F228), XLOOKUP(B228,Lookup!$A$14:$A$18,Lookup!$D$14:$D$18,,1)*SUM(E228:F228))</f>
        <v>5180</v>
      </c>
      <c r="H228" s="60">
        <f t="array" ref="H228">if(YEAR(A228)=2025,XLOOKUP(B228,Lookup!$F$3:$F$10,Lookup!$G$3:$G$10,,1)*G228, XLOOKUP(B228,Lookup!$F$14:$F$21,Lookup!$G$14:$G$21,,1)*G228)</f>
        <v>2660.448</v>
      </c>
      <c r="I228" s="60">
        <f t="array" ref="I228">if(B228&lt;55, if(YEAR(A228)=2025,XLOOKUP(B228,Lookup!$F$3:$F$10,Lookup!$H$3:$H$10,,1)*G228, XLOOKUP(B228,Lookup!$F$14:$F$21,Lookup!$H$14:$H$21,,1)*G228),0)</f>
        <v>1119.916</v>
      </c>
      <c r="J228" s="60">
        <f t="array" ref="J228">if(YEAR(A228)=2025,XLOOKUP(B228,Lookup!$F$3:$F$10,Lookup!$I$3:$I$10,,1)*G228, XLOOKUP(B228,Lookup!$F$14:$F$21,Lookup!$I$14:$I$21,,1)*G228)</f>
        <v>1399.636</v>
      </c>
      <c r="K228" s="61">
        <f t="array" ref="K228">if(B228&gt;54, if(YEAR(A228)=2025,XLOOKUP(B228,Lookup!$F$3:$F$10,Lookup!$H$3:$H$10,,1)*G228, XLOOKUP(B228,Lookup!$F$14:$F$21,Lookup!$H$14:$H$21,,1)*G228),0)</f>
        <v>0</v>
      </c>
      <c r="L228" s="62">
        <f>IF(and(A228&lt;questions!$C$19,questions!$C$18="yes"),questions!$C$20,0)</f>
        <v>700</v>
      </c>
      <c r="M228" s="63">
        <f>(Y227+H228)*Lookup!A$26/12</f>
        <v>712.8164546</v>
      </c>
      <c r="N228" s="63">
        <f>if(B228&lt;55, (Z227+I228)*Lookup!B$26/12, (AB227+K228)*Lookup!B$26/12)</f>
        <v>904.5890355</v>
      </c>
      <c r="O228" s="63">
        <f>(AA227+J228)*Lookup!C$26/12</f>
        <v>493.8042748</v>
      </c>
      <c r="P228" s="63">
        <f t="shared" si="8"/>
        <v>8414.882855</v>
      </c>
      <c r="Q228" s="63">
        <f t="shared" si="4"/>
        <v>10595.37332</v>
      </c>
      <c r="R228" s="63">
        <f t="shared" si="5"/>
        <v>5843.855974</v>
      </c>
      <c r="S228" s="64">
        <f t="shared" si="9"/>
        <v>16.66666667</v>
      </c>
      <c r="T228" s="64">
        <f t="shared" si="10"/>
        <v>33.33333333</v>
      </c>
      <c r="U228" s="64">
        <f t="shared" si="11"/>
        <v>0</v>
      </c>
      <c r="V228" s="64">
        <f t="shared" ref="V228:X228" si="236">IF(year($A228)=year($A227), V227+S228, S228)</f>
        <v>200</v>
      </c>
      <c r="W228" s="64">
        <f t="shared" si="236"/>
        <v>400</v>
      </c>
      <c r="X228" s="64">
        <f t="shared" si="236"/>
        <v>0</v>
      </c>
      <c r="Y228" s="65">
        <f>IFS(
  B228&lt;55,
    MAX(
      Y227 + IF(MONTH(A228)=12, P228+V228, 0) + H228 - L228
      + MAX(0,
          IF(AA227 &gt;= VLOOKUP(YEAR(A228), Lookup!$Q:$R, 2),
            Z227 + IF(MONTH(A228)=12, Q228+W228, 0) + I228
              + AA227 + IF(MONTH(A228)=12, R228+X228, 0)
              - VLOOKUP(YEAR(A228), Lookup!$Q:$R, 2) + J228,
            Z227 + IF(MONTH(A228)=12, Q228+W228, 0) + I228
          ) - VLOOKUP(YEAR(A228), Lookup!$K:$M, 3)
        ),
    0),
  B228=55,
    IF(Z227&gt;=AD228,
      MAX(Y227 + IF(MONTH(A228)=12, P228+V228, 0) + H228 - L228, 0),
      MAX(MAX(0, Y227-(AD228-Z227)) + IF(MONTH(A228)=12, P228+V228, 0) + H228 - L228, 0)
    ),
  B228&gt;55,
    IF(AB227&gt;=$AH$7,
      MAX(Y227 + IF(MONTH(A228)=12, P228+V228, 0) + H228 - L228 + K228 + Z227, 0),
      MAX(Y227 + IF(MONTH(A228)=12, P228+V228, 0) + H228 - L228, 0)
    )
)</f>
        <v>350066.781</v>
      </c>
      <c r="Z228" s="65">
        <f>IFS(
  B228&lt;55,
    MIN(
      IF(AA227 &gt;= VLOOKUP(YEAR(A228), Lookup!$Q:$R, 2),
        Z227 + IF(MONTH(A228)=12, Q228+W228, 0) + I228
          + AA227 + IF(MONTH(A228)=12, R228+X228, 0) - VLOOKUP(YEAR(A228), Lookup!$Q:$R, 2) + J228,
        Z227 + IF(MONTH(A228)=12, Q228+W228, 0) + I228
      ),
      VLOOKUP(YEAR(A228), Lookup!$K:$M, 3)
    ),
  B228=55,
    IF(Z227 &gt;= AD228, Z227 - AD228, 0),
  B228&gt;55, 0
)</f>
        <v>289615.5759</v>
      </c>
      <c r="AA228" s="65">
        <f>IFS(
  B228&lt;65,
    IF(AA227+J228 &lt; VLOOKUP(YEAR(A228), Lookup!$Q:$R, 2),
      AA227 + IF(MONTH(A228)=12, R227+X227, 0) + J228,
      MIN(
        AA227 + IF(MONTH(A228)=12, R227+X227, 0) + J228 ,
        VLOOKUP(YEAR(A228), Lookup!$Q:$R, 2)
      )
    ),
  B228&gt;=65,
    IF(AA227+J228 &lt; VLOOKUP(questions!$C$5, Lookup!$Q:$R, 2),
      AA227 + IF(MONTH(A228)=12, R227+X227, 0) + J228 ,
      MIN(
        AA227 + IF(MONTH(A228)=12, R227+X227, 0) + J228,
        VLOOKUP(questions!$C$5, Lookup!$Q:$R, 2)
      )
    )
)</f>
        <v>146741.6464</v>
      </c>
      <c r="AB228" s="65">
        <f t="shared" si="13"/>
        <v>0</v>
      </c>
      <c r="AC228" s="66">
        <f t="array" ref="AC228">IFS(B228&lt;66, XLOOKUP(year(A228),Lookup!$K$13:$K1000,Lookup!$L$13:$L1000,"missing",,1),B228&gt;65,XLOOKUP(questions!$C$5,Lookup!$K$13:$K1000,Lookup!$L$13:$L1000,"missing",,1))</f>
        <v>204772.4804</v>
      </c>
      <c r="AD228" s="66">
        <f t="array" ref="AD228">IFS(B228&lt;66, XLOOKUP(year(A228),Lookup!$K$13:$K1000,Lookup!$M$13:$M1000,"missing",,1),B228&gt;65, XLOOKUP(questions!$C$5,Lookup!$K$13:$K1000,Lookup!$M$13:$M1000,"missing",,1))</f>
        <v>409544.9608</v>
      </c>
      <c r="AE228" s="66">
        <f t="array" ref="AE228">IFS(B228&lt;66, XLOOKUP(year(A228),Lookup!$K$13:$K1000,Lookup!$N$13:$N1000,"missing",,1),B228&gt;65,XLOOKUP(questions!$C$5,Lookup!$K$13:$K1000,Lookup!$N$13:$N1000,"missing",,1))</f>
        <v>819089.9216</v>
      </c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</row>
    <row r="229">
      <c r="A229" s="55">
        <f t="shared" si="7"/>
        <v>52993</v>
      </c>
      <c r="B229" s="56">
        <f>round(YEARFRAC(EOMONTH(questions!$C$3, 0),A229,1),2)</f>
        <v>46.17</v>
      </c>
      <c r="C229" s="57">
        <f>IF(B229&lt;questions!$C$6,if(MONTH(A229)=1,C228*(1+questions!$C$12),C228),0)</f>
        <v>17535.06053</v>
      </c>
      <c r="D229" s="58">
        <f>IF(MONTH(A229)=12,C229*questions!$C$11,0)</f>
        <v>0</v>
      </c>
      <c r="E229" s="59">
        <f t="shared" si="2"/>
        <v>8000</v>
      </c>
      <c r="F229" s="59">
        <f t="shared" si="3"/>
        <v>0</v>
      </c>
      <c r="G229" s="60">
        <f t="array" ref="G229">if(YEAR(A229)=2025,XLOOKUP(B229,Lookup!$A$3:$A$7,Lookup!$D$3:$D$7,,1)*SUM(E229:F229), XLOOKUP(B229,Lookup!$A$14:$A$18,Lookup!$D$14:$D$18,,1)*SUM(E229:F229))</f>
        <v>2960</v>
      </c>
      <c r="H229" s="60">
        <f t="array" ref="H229">if(YEAR(A229)=2025,XLOOKUP(B229,Lookup!$F$3:$F$10,Lookup!$G$3:$G$10,,1)*G229, XLOOKUP(B229,Lookup!$F$14:$F$21,Lookup!$G$14:$G$21,,1)*G229)</f>
        <v>1520.256</v>
      </c>
      <c r="I229" s="60">
        <f t="array" ref="I229">if(B229&lt;55, if(YEAR(A229)=2025,XLOOKUP(B229,Lookup!$F$3:$F$10,Lookup!$H$3:$H$10,,1)*G229, XLOOKUP(B229,Lookup!$F$14:$F$21,Lookup!$H$14:$H$21,,1)*G229),0)</f>
        <v>639.952</v>
      </c>
      <c r="J229" s="60">
        <f t="array" ref="J229">if(YEAR(A229)=2025,XLOOKUP(B229,Lookup!$F$3:$F$10,Lookup!$I$3:$I$10,,1)*G229, XLOOKUP(B229,Lookup!$F$14:$F$21,Lookup!$I$14:$I$21,,1)*G229)</f>
        <v>799.792</v>
      </c>
      <c r="K229" s="61">
        <f t="array" ref="K229">if(B229&gt;54, if(YEAR(A229)=2025,XLOOKUP(B229,Lookup!$F$3:$F$10,Lookup!$H$3:$H$10,,1)*G229, XLOOKUP(B229,Lookup!$F$14:$F$21,Lookup!$H$14:$H$21,,1)*G229),0)</f>
        <v>0</v>
      </c>
      <c r="L229" s="62">
        <f>IF(and(A229&lt;questions!$C$19,questions!$C$18="yes"),questions!$C$20,0)</f>
        <v>700</v>
      </c>
      <c r="M229" s="63">
        <f>(Y228+H229)*Lookup!A$26/12</f>
        <v>732.4729938</v>
      </c>
      <c r="N229" s="63">
        <f>if(B229&lt;55, (Z228+I229)*Lookup!B$26/12, (AB228+K229)*Lookup!B$26/12)</f>
        <v>967.5184264</v>
      </c>
      <c r="O229" s="63">
        <f>(AA228+J229)*Lookup!C$26/12</f>
        <v>491.8047948</v>
      </c>
      <c r="P229" s="63">
        <f t="shared" si="8"/>
        <v>732.4729938</v>
      </c>
      <c r="Q229" s="63">
        <f t="shared" si="4"/>
        <v>967.5184264</v>
      </c>
      <c r="R229" s="63">
        <f t="shared" si="5"/>
        <v>491.8047948</v>
      </c>
      <c r="S229" s="64">
        <f t="shared" si="9"/>
        <v>16.66666667</v>
      </c>
      <c r="T229" s="64">
        <f t="shared" si="10"/>
        <v>33.33333333</v>
      </c>
      <c r="U229" s="64">
        <f t="shared" si="11"/>
        <v>0</v>
      </c>
      <c r="V229" s="64">
        <f t="shared" ref="V229:X229" si="237">IF(year($A229)=year($A228), V228+S229, S229)</f>
        <v>16.66666667</v>
      </c>
      <c r="W229" s="64">
        <f t="shared" si="237"/>
        <v>33.33333333</v>
      </c>
      <c r="X229" s="64">
        <f t="shared" si="237"/>
        <v>0</v>
      </c>
      <c r="Y229" s="65">
        <f>IFS(
  B229&lt;55,
    MAX(
      Y228 + IF(MONTH(A229)=12, P229+V229, 0) + H229 - L229
      + MAX(0,
          IF(AA228 &gt;= VLOOKUP(YEAR(A229), Lookup!$Q:$R, 2),
            Z228 + IF(MONTH(A229)=12, Q229+W229, 0) + I229
              + AA228 + IF(MONTH(A229)=12, R229+X229, 0)
              - VLOOKUP(YEAR(A229), Lookup!$Q:$R, 2) + J229,
            Z228 + IF(MONTH(A229)=12, Q229+W229, 0) + I229
          ) - VLOOKUP(YEAR(A229), Lookup!$K:$M, 3)
        ),
    0),
  B229=55,
    IF(Z228&gt;=AD229,
      MAX(Y228 + IF(MONTH(A229)=12, P229+V229, 0) + H229 - L229, 0),
      MAX(MAX(0, Y228-(AD229-Z228)) + IF(MONTH(A229)=12, P229+V229, 0) + H229 - L229, 0)
    ),
  B229&gt;55,
    IF(AB228&gt;=$AH$7,
      MAX(Y228 + IF(MONTH(A229)=12, P229+V229, 0) + H229 - L229 + K229 + Z228, 0),
      MAX(Y228 + IF(MONTH(A229)=12, P229+V229, 0) + H229 - L229, 0)
    )
)</f>
        <v>350887.037</v>
      </c>
      <c r="Z229" s="65">
        <f>IFS(
  B229&lt;55,
    MIN(
      IF(AA228 &gt;= VLOOKUP(YEAR(A229), Lookup!$Q:$R, 2),
        Z228 + IF(MONTH(A229)=12, Q229+W229, 0) + I229
          + AA228 + IF(MONTH(A229)=12, R229+X229, 0) - VLOOKUP(YEAR(A229), Lookup!$Q:$R, 2) + J229,
        Z228 + IF(MONTH(A229)=12, Q229+W229, 0) + I229
      ),
      VLOOKUP(YEAR(A229), Lookup!$K:$M, 3)
    ),
  B229=55,
    IF(Z228 &gt;= AD229, Z228 - AD229, 0),
  B229&gt;55, 0
)</f>
        <v>290255.5279</v>
      </c>
      <c r="AA229" s="65">
        <f>IFS(
  B229&lt;65,
    IF(AA228+J229 &lt; VLOOKUP(YEAR(A229), Lookup!$Q:$R, 2),
      AA228 + IF(MONTH(A229)=12, R228+X228, 0) + J229,
      MIN(
        AA228 + IF(MONTH(A229)=12, R228+X228, 0) + J229 ,
        VLOOKUP(YEAR(A229), Lookup!$Q:$R, 2)
      )
    ),
  B229&gt;=65,
    IF(AA228+J229 &lt; VLOOKUP(questions!$C$5, Lookup!$Q:$R, 2),
      AA228 + IF(MONTH(A229)=12, R228+X228, 0) + J229 ,
      MIN(
        AA228 + IF(MONTH(A229)=12, R228+X228, 0) + J229,
        VLOOKUP(questions!$C$5, Lookup!$Q:$R, 2)
      )
    )
)</f>
        <v>147541.4384</v>
      </c>
      <c r="AB229" s="65">
        <f t="shared" si="13"/>
        <v>0</v>
      </c>
      <c r="AC229" s="66">
        <f t="array" ref="AC229">IFS(B229&lt;66, XLOOKUP(year(A229),Lookup!$K$13:$K1000,Lookup!$L$13:$L1000,"missing",,1),B229&gt;65,XLOOKUP(questions!$C$5,Lookup!$K$13:$K1000,Lookup!$L$13:$L1000,"missing",,1))</f>
        <v>211939.5172</v>
      </c>
      <c r="AD229" s="66">
        <f t="array" ref="AD229">IFS(B229&lt;66, XLOOKUP(year(A229),Lookup!$K$13:$K1000,Lookup!$M$13:$M1000,"missing",,1),B229&gt;65, XLOOKUP(questions!$C$5,Lookup!$K$13:$K1000,Lookup!$M$13:$M1000,"missing",,1))</f>
        <v>423879.0344</v>
      </c>
      <c r="AE229" s="66">
        <f t="array" ref="AE229">IFS(B229&lt;66, XLOOKUP(year(A229),Lookup!$K$13:$K1000,Lookup!$N$13:$N1000,"missing",,1),B229&gt;65,XLOOKUP(questions!$C$5,Lookup!$K$13:$K1000,Lookup!$N$13:$N1000,"missing",,1))</f>
        <v>847758.0688</v>
      </c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</row>
    <row r="230">
      <c r="A230" s="55">
        <f t="shared" si="7"/>
        <v>53021</v>
      </c>
      <c r="B230" s="56">
        <f>round(YEARFRAC(EOMONTH(questions!$C$3, 0),A230,1),2)</f>
        <v>46.25</v>
      </c>
      <c r="C230" s="57">
        <f>IF(B230&lt;questions!$C$6,if(MONTH(A230)=1,C229*(1+questions!$C$12),C229),0)</f>
        <v>17535.06053</v>
      </c>
      <c r="D230" s="58">
        <f>IF(MONTH(A230)=12,C230*questions!$C$11,0)</f>
        <v>0</v>
      </c>
      <c r="E230" s="59">
        <f t="shared" si="2"/>
        <v>8000</v>
      </c>
      <c r="F230" s="59">
        <f t="shared" si="3"/>
        <v>0</v>
      </c>
      <c r="G230" s="60">
        <f t="array" ref="G230">if(YEAR(A230)=2025,XLOOKUP(B230,Lookup!$A$3:$A$7,Lookup!$D$3:$D$7,,1)*SUM(E230:F230), XLOOKUP(B230,Lookup!$A$14:$A$18,Lookup!$D$14:$D$18,,1)*SUM(E230:F230))</f>
        <v>2960</v>
      </c>
      <c r="H230" s="60">
        <f t="array" ref="H230">if(YEAR(A230)=2025,XLOOKUP(B230,Lookup!$F$3:$F$10,Lookup!$G$3:$G$10,,1)*G230, XLOOKUP(B230,Lookup!$F$14:$F$21,Lookup!$G$14:$G$21,,1)*G230)</f>
        <v>1520.256</v>
      </c>
      <c r="I230" s="60">
        <f t="array" ref="I230">if(B230&lt;55, if(YEAR(A230)=2025,XLOOKUP(B230,Lookup!$F$3:$F$10,Lookup!$H$3:$H$10,,1)*G230, XLOOKUP(B230,Lookup!$F$14:$F$21,Lookup!$H$14:$H$21,,1)*G230),0)</f>
        <v>639.952</v>
      </c>
      <c r="J230" s="60">
        <f t="array" ref="J230">if(YEAR(A230)=2025,XLOOKUP(B230,Lookup!$F$3:$F$10,Lookup!$I$3:$I$10,,1)*G230, XLOOKUP(B230,Lookup!$F$14:$F$21,Lookup!$I$14:$I$21,,1)*G230)</f>
        <v>799.792</v>
      </c>
      <c r="K230" s="61">
        <f t="array" ref="K230">if(B230&gt;54, if(YEAR(A230)=2025,XLOOKUP(B230,Lookup!$F$3:$F$10,Lookup!$H$3:$H$10,,1)*G230, XLOOKUP(B230,Lookup!$F$14:$F$21,Lookup!$H$14:$H$21,,1)*G230),0)</f>
        <v>0</v>
      </c>
      <c r="L230" s="62">
        <f>IF(and(A230&lt;questions!$C$19,questions!$C$18="yes"),questions!$C$20,0)</f>
        <v>700</v>
      </c>
      <c r="M230" s="63">
        <f>(Y229+H230)*Lookup!A$26/12</f>
        <v>734.1818605</v>
      </c>
      <c r="N230" s="63">
        <f>if(B230&lt;55, (Z229+I230)*Lookup!B$26/12, (AB229+K230)*Lookup!B$26/12)</f>
        <v>969.6515998</v>
      </c>
      <c r="O230" s="63">
        <f>(AA229+J230)*Lookup!C$26/12</f>
        <v>494.4707682</v>
      </c>
      <c r="P230" s="63">
        <f t="shared" si="8"/>
        <v>1466.654854</v>
      </c>
      <c r="Q230" s="63">
        <f t="shared" si="4"/>
        <v>1937.170026</v>
      </c>
      <c r="R230" s="63">
        <f t="shared" si="5"/>
        <v>986.275563</v>
      </c>
      <c r="S230" s="64">
        <f t="shared" si="9"/>
        <v>16.66666667</v>
      </c>
      <c r="T230" s="64">
        <f t="shared" si="10"/>
        <v>33.33333333</v>
      </c>
      <c r="U230" s="64">
        <f t="shared" si="11"/>
        <v>0</v>
      </c>
      <c r="V230" s="64">
        <f t="shared" ref="V230:X230" si="238">IF(year($A230)=year($A229), V229+S230, S230)</f>
        <v>33.33333333</v>
      </c>
      <c r="W230" s="64">
        <f t="shared" si="238"/>
        <v>66.66666667</v>
      </c>
      <c r="X230" s="64">
        <f t="shared" si="238"/>
        <v>0</v>
      </c>
      <c r="Y230" s="65">
        <f>IFS(
  B230&lt;55,
    MAX(
      Y229 + IF(MONTH(A230)=12, P230+V230, 0) + H230 - L230
      + MAX(0,
          IF(AA229 &gt;= VLOOKUP(YEAR(A230), Lookup!$Q:$R, 2),
            Z229 + IF(MONTH(A230)=12, Q230+W230, 0) + I230
              + AA229 + IF(MONTH(A230)=12, R230+X230, 0)
              - VLOOKUP(YEAR(A230), Lookup!$Q:$R, 2) + J230,
            Z229 + IF(MONTH(A230)=12, Q230+W230, 0) + I230
          ) - VLOOKUP(YEAR(A230), Lookup!$K:$M, 3)
        ),
    0),
  B230=55,
    IF(Z229&gt;=AD230,
      MAX(Y229 + IF(MONTH(A230)=12, P230+V230, 0) + H230 - L230, 0),
      MAX(MAX(0, Y229-(AD230-Z229)) + IF(MONTH(A230)=12, P230+V230, 0) + H230 - L230, 0)
    ),
  B230&gt;55,
    IF(AB229&gt;=$AH$7,
      MAX(Y229 + IF(MONTH(A230)=12, P230+V230, 0) + H230 - L230 + K230 + Z229, 0),
      MAX(Y229 + IF(MONTH(A230)=12, P230+V230, 0) + H230 - L230, 0)
    )
)</f>
        <v>351707.293</v>
      </c>
      <c r="Z230" s="65">
        <f>IFS(
  B230&lt;55,
    MIN(
      IF(AA229 &gt;= VLOOKUP(YEAR(A230), Lookup!$Q:$R, 2),
        Z229 + IF(MONTH(A230)=12, Q230+W230, 0) + I230
          + AA229 + IF(MONTH(A230)=12, R230+X230, 0) - VLOOKUP(YEAR(A230), Lookup!$Q:$R, 2) + J230,
        Z229 + IF(MONTH(A230)=12, Q230+W230, 0) + I230
      ),
      VLOOKUP(YEAR(A230), Lookup!$K:$M, 3)
    ),
  B230=55,
    IF(Z229 &gt;= AD230, Z229 - AD230, 0),
  B230&gt;55, 0
)</f>
        <v>290895.4799</v>
      </c>
      <c r="AA230" s="65">
        <f>IFS(
  B230&lt;65,
    IF(AA229+J230 &lt; VLOOKUP(YEAR(A230), Lookup!$Q:$R, 2),
      AA229 + IF(MONTH(A230)=12, R229+X229, 0) + J230,
      MIN(
        AA229 + IF(MONTH(A230)=12, R229+X229, 0) + J230 ,
        VLOOKUP(YEAR(A230), Lookup!$Q:$R, 2)
      )
    ),
  B230&gt;=65,
    IF(AA229+J230 &lt; VLOOKUP(questions!$C$5, Lookup!$Q:$R, 2),
      AA229 + IF(MONTH(A230)=12, R229+X229, 0) + J230 ,
      MIN(
        AA229 + IF(MONTH(A230)=12, R229+X229, 0) + J230,
        VLOOKUP(questions!$C$5, Lookup!$Q:$R, 2)
      )
    )
)</f>
        <v>148341.2304</v>
      </c>
      <c r="AB230" s="65">
        <f t="shared" si="13"/>
        <v>0</v>
      </c>
      <c r="AC230" s="66">
        <f t="array" ref="AC230">IFS(B230&lt;66, XLOOKUP(year(A230),Lookup!$K$13:$K1000,Lookup!$L$13:$L1000,"missing",,1),B230&gt;65,XLOOKUP(questions!$C$5,Lookup!$K$13:$K1000,Lookup!$L$13:$L1000,"missing",,1))</f>
        <v>211939.5172</v>
      </c>
      <c r="AD230" s="66">
        <f t="array" ref="AD230">IFS(B230&lt;66, XLOOKUP(year(A230),Lookup!$K$13:$K1000,Lookup!$M$13:$M1000,"missing",,1),B230&gt;65, XLOOKUP(questions!$C$5,Lookup!$K$13:$K1000,Lookup!$M$13:$M1000,"missing",,1))</f>
        <v>423879.0344</v>
      </c>
      <c r="AE230" s="66">
        <f t="array" ref="AE230">IFS(B230&lt;66, XLOOKUP(year(A230),Lookup!$K$13:$K1000,Lookup!$N$13:$N1000,"missing",,1),B230&gt;65,XLOOKUP(questions!$C$5,Lookup!$K$13:$K1000,Lookup!$N$13:$N1000,"missing",,1))</f>
        <v>847758.0688</v>
      </c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</row>
    <row r="231">
      <c r="A231" s="55">
        <f t="shared" si="7"/>
        <v>53052</v>
      </c>
      <c r="B231" s="56">
        <f>round(YEARFRAC(EOMONTH(questions!$C$3, 0),A231,1),2)</f>
        <v>46.33</v>
      </c>
      <c r="C231" s="57">
        <f>IF(B231&lt;questions!$C$6,if(MONTH(A231)=1,C230*(1+questions!$C$12),C230),0)</f>
        <v>17535.06053</v>
      </c>
      <c r="D231" s="58">
        <f>IF(MONTH(A231)=12,C231*questions!$C$11,0)</f>
        <v>0</v>
      </c>
      <c r="E231" s="59">
        <f t="shared" si="2"/>
        <v>8000</v>
      </c>
      <c r="F231" s="59">
        <f t="shared" si="3"/>
        <v>0</v>
      </c>
      <c r="G231" s="60">
        <f t="array" ref="G231">if(YEAR(A231)=2025,XLOOKUP(B231,Lookup!$A$3:$A$7,Lookup!$D$3:$D$7,,1)*SUM(E231:F231), XLOOKUP(B231,Lookup!$A$14:$A$18,Lookup!$D$14:$D$18,,1)*SUM(E231:F231))</f>
        <v>2960</v>
      </c>
      <c r="H231" s="60">
        <f t="array" ref="H231">if(YEAR(A231)=2025,XLOOKUP(B231,Lookup!$F$3:$F$10,Lookup!$G$3:$G$10,,1)*G231, XLOOKUP(B231,Lookup!$F$14:$F$21,Lookup!$G$14:$G$21,,1)*G231)</f>
        <v>1520.256</v>
      </c>
      <c r="I231" s="60">
        <f t="array" ref="I231">if(B231&lt;55, if(YEAR(A231)=2025,XLOOKUP(B231,Lookup!$F$3:$F$10,Lookup!$H$3:$H$10,,1)*G231, XLOOKUP(B231,Lookup!$F$14:$F$21,Lookup!$H$14:$H$21,,1)*G231),0)</f>
        <v>639.952</v>
      </c>
      <c r="J231" s="60">
        <f t="array" ref="J231">if(YEAR(A231)=2025,XLOOKUP(B231,Lookup!$F$3:$F$10,Lookup!$I$3:$I$10,,1)*G231, XLOOKUP(B231,Lookup!$F$14:$F$21,Lookup!$I$14:$I$21,,1)*G231)</f>
        <v>799.792</v>
      </c>
      <c r="K231" s="61">
        <f t="array" ref="K231">if(B231&gt;54, if(YEAR(A231)=2025,XLOOKUP(B231,Lookup!$F$3:$F$10,Lookup!$H$3:$H$10,,1)*G231, XLOOKUP(B231,Lookup!$F$14:$F$21,Lookup!$H$14:$H$21,,1)*G231),0)</f>
        <v>0</v>
      </c>
      <c r="L231" s="62">
        <f>IF(and(A231&lt;questions!$C$19,questions!$C$18="yes"),questions!$C$20,0)</f>
        <v>700</v>
      </c>
      <c r="M231" s="63">
        <f>(Y230+H231)*Lookup!A$26/12</f>
        <v>735.8907272</v>
      </c>
      <c r="N231" s="63">
        <f>if(B231&lt;55, (Z230+I231)*Lookup!B$26/12, (AB230+K231)*Lookup!B$26/12)</f>
        <v>971.7847731</v>
      </c>
      <c r="O231" s="63">
        <f>(AA230+J231)*Lookup!C$26/12</f>
        <v>497.1367415</v>
      </c>
      <c r="P231" s="63">
        <f t="shared" si="8"/>
        <v>2202.545582</v>
      </c>
      <c r="Q231" s="63">
        <f t="shared" si="4"/>
        <v>2908.954799</v>
      </c>
      <c r="R231" s="63">
        <f t="shared" si="5"/>
        <v>1483.412304</v>
      </c>
      <c r="S231" s="64">
        <f t="shared" si="9"/>
        <v>16.66666667</v>
      </c>
      <c r="T231" s="64">
        <f t="shared" si="10"/>
        <v>33.33333333</v>
      </c>
      <c r="U231" s="64">
        <f t="shared" si="11"/>
        <v>0</v>
      </c>
      <c r="V231" s="64">
        <f t="shared" ref="V231:X231" si="239">IF(year($A231)=year($A230), V230+S231, S231)</f>
        <v>50</v>
      </c>
      <c r="W231" s="64">
        <f t="shared" si="239"/>
        <v>100</v>
      </c>
      <c r="X231" s="64">
        <f t="shared" si="239"/>
        <v>0</v>
      </c>
      <c r="Y231" s="65">
        <f>IFS(
  B231&lt;55,
    MAX(
      Y230 + IF(MONTH(A231)=12, P231+V231, 0) + H231 - L231
      + MAX(0,
          IF(AA230 &gt;= VLOOKUP(YEAR(A231), Lookup!$Q:$R, 2),
            Z230 + IF(MONTH(A231)=12, Q231+W231, 0) + I231
              + AA230 + IF(MONTH(A231)=12, R231+X231, 0)
              - VLOOKUP(YEAR(A231), Lookup!$Q:$R, 2) + J231,
            Z230 + IF(MONTH(A231)=12, Q231+W231, 0) + I231
          ) - VLOOKUP(YEAR(A231), Lookup!$K:$M, 3)
        ),
    0),
  B231=55,
    IF(Z230&gt;=AD231,
      MAX(Y230 + IF(MONTH(A231)=12, P231+V231, 0) + H231 - L231, 0),
      MAX(MAX(0, Y230-(AD231-Z230)) + IF(MONTH(A231)=12, P231+V231, 0) + H231 - L231, 0)
    ),
  B231&gt;55,
    IF(AB230&gt;=$AH$7,
      MAX(Y230 + IF(MONTH(A231)=12, P231+V231, 0) + H231 - L231 + K231 + Z230, 0),
      MAX(Y230 + IF(MONTH(A231)=12, P231+V231, 0) + H231 - L231, 0)
    )
)</f>
        <v>352527.549</v>
      </c>
      <c r="Z231" s="65">
        <f>IFS(
  B231&lt;55,
    MIN(
      IF(AA230 &gt;= VLOOKUP(YEAR(A231), Lookup!$Q:$R, 2),
        Z230 + IF(MONTH(A231)=12, Q231+W231, 0) + I231
          + AA230 + IF(MONTH(A231)=12, R231+X231, 0) - VLOOKUP(YEAR(A231), Lookup!$Q:$R, 2) + J231,
        Z230 + IF(MONTH(A231)=12, Q231+W231, 0) + I231
      ),
      VLOOKUP(YEAR(A231), Lookup!$K:$M, 3)
    ),
  B231=55,
    IF(Z230 &gt;= AD231, Z230 - AD231, 0),
  B231&gt;55, 0
)</f>
        <v>291535.4319</v>
      </c>
      <c r="AA231" s="65">
        <f>IFS(
  B231&lt;65,
    IF(AA230+J231 &lt; VLOOKUP(YEAR(A231), Lookup!$Q:$R, 2),
      AA230 + IF(MONTH(A231)=12, R230+X230, 0) + J231,
      MIN(
        AA230 + IF(MONTH(A231)=12, R230+X230, 0) + J231 ,
        VLOOKUP(YEAR(A231), Lookup!$Q:$R, 2)
      )
    ),
  B231&gt;=65,
    IF(AA230+J231 &lt; VLOOKUP(questions!$C$5, Lookup!$Q:$R, 2),
      AA230 + IF(MONTH(A231)=12, R230+X230, 0) + J231 ,
      MIN(
        AA230 + IF(MONTH(A231)=12, R230+X230, 0) + J231,
        VLOOKUP(questions!$C$5, Lookup!$Q:$R, 2)
      )
    )
)</f>
        <v>149141.0224</v>
      </c>
      <c r="AB231" s="65">
        <f t="shared" si="13"/>
        <v>0</v>
      </c>
      <c r="AC231" s="66">
        <f t="array" ref="AC231">IFS(B231&lt;66, XLOOKUP(year(A231),Lookup!$K$13:$K1000,Lookup!$L$13:$L1000,"missing",,1),B231&gt;65,XLOOKUP(questions!$C$5,Lookup!$K$13:$K1000,Lookup!$L$13:$L1000,"missing",,1))</f>
        <v>211939.5172</v>
      </c>
      <c r="AD231" s="66">
        <f t="array" ref="AD231">IFS(B231&lt;66, XLOOKUP(year(A231),Lookup!$K$13:$K1000,Lookup!$M$13:$M1000,"missing",,1),B231&gt;65, XLOOKUP(questions!$C$5,Lookup!$K$13:$K1000,Lookup!$M$13:$M1000,"missing",,1))</f>
        <v>423879.0344</v>
      </c>
      <c r="AE231" s="66">
        <f t="array" ref="AE231">IFS(B231&lt;66, XLOOKUP(year(A231),Lookup!$K$13:$K1000,Lookup!$N$13:$N1000,"missing",,1),B231&gt;65,XLOOKUP(questions!$C$5,Lookup!$K$13:$K1000,Lookup!$N$13:$N1000,"missing",,1))</f>
        <v>847758.0688</v>
      </c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</row>
    <row r="232">
      <c r="A232" s="55">
        <f t="shared" si="7"/>
        <v>53082</v>
      </c>
      <c r="B232" s="56">
        <f>round(YEARFRAC(EOMONTH(questions!$C$3, 0),A232,1),2)</f>
        <v>46.41</v>
      </c>
      <c r="C232" s="57">
        <f>IF(B232&lt;questions!$C$6,if(MONTH(A232)=1,C231*(1+questions!$C$12),C231),0)</f>
        <v>17535.06053</v>
      </c>
      <c r="D232" s="58">
        <f>IF(MONTH(A232)=12,C232*questions!$C$11,0)</f>
        <v>0</v>
      </c>
      <c r="E232" s="59">
        <f t="shared" si="2"/>
        <v>8000</v>
      </c>
      <c r="F232" s="59">
        <f t="shared" si="3"/>
        <v>0</v>
      </c>
      <c r="G232" s="60">
        <f t="array" ref="G232">if(YEAR(A232)=2025,XLOOKUP(B232,Lookup!$A$3:$A$7,Lookup!$D$3:$D$7,,1)*SUM(E232:F232), XLOOKUP(B232,Lookup!$A$14:$A$18,Lookup!$D$14:$D$18,,1)*SUM(E232:F232))</f>
        <v>2960</v>
      </c>
      <c r="H232" s="60">
        <f t="array" ref="H232">if(YEAR(A232)=2025,XLOOKUP(B232,Lookup!$F$3:$F$10,Lookup!$G$3:$G$10,,1)*G232, XLOOKUP(B232,Lookup!$F$14:$F$21,Lookup!$G$14:$G$21,,1)*G232)</f>
        <v>1520.256</v>
      </c>
      <c r="I232" s="60">
        <f t="array" ref="I232">if(B232&lt;55, if(YEAR(A232)=2025,XLOOKUP(B232,Lookup!$F$3:$F$10,Lookup!$H$3:$H$10,,1)*G232, XLOOKUP(B232,Lookup!$F$14:$F$21,Lookup!$H$14:$H$21,,1)*G232),0)</f>
        <v>639.952</v>
      </c>
      <c r="J232" s="60">
        <f t="array" ref="J232">if(YEAR(A232)=2025,XLOOKUP(B232,Lookup!$F$3:$F$10,Lookup!$I$3:$I$10,,1)*G232, XLOOKUP(B232,Lookup!$F$14:$F$21,Lookup!$I$14:$I$21,,1)*G232)</f>
        <v>799.792</v>
      </c>
      <c r="K232" s="61">
        <f t="array" ref="K232">if(B232&gt;54, if(YEAR(A232)=2025,XLOOKUP(B232,Lookup!$F$3:$F$10,Lookup!$H$3:$H$10,,1)*G232, XLOOKUP(B232,Lookup!$F$14:$F$21,Lookup!$H$14:$H$21,,1)*G232),0)</f>
        <v>0</v>
      </c>
      <c r="L232" s="62">
        <f>IF(and(A232&lt;questions!$C$19,questions!$C$18="yes"),questions!$C$20,0)</f>
        <v>700</v>
      </c>
      <c r="M232" s="63">
        <f>(Y231+H232)*Lookup!A$26/12</f>
        <v>737.5995938</v>
      </c>
      <c r="N232" s="63">
        <f>if(B232&lt;55, (Z231+I232)*Lookup!B$26/12, (AB231+K232)*Lookup!B$26/12)</f>
        <v>973.9179464</v>
      </c>
      <c r="O232" s="63">
        <f>(AA231+J232)*Lookup!C$26/12</f>
        <v>499.8027148</v>
      </c>
      <c r="P232" s="63">
        <f t="shared" si="8"/>
        <v>2940.145175</v>
      </c>
      <c r="Q232" s="63">
        <f t="shared" si="4"/>
        <v>3882.872746</v>
      </c>
      <c r="R232" s="63">
        <f t="shared" si="5"/>
        <v>1983.215019</v>
      </c>
      <c r="S232" s="64">
        <f t="shared" si="9"/>
        <v>16.66666667</v>
      </c>
      <c r="T232" s="64">
        <f t="shared" si="10"/>
        <v>33.33333333</v>
      </c>
      <c r="U232" s="64">
        <f t="shared" si="11"/>
        <v>0</v>
      </c>
      <c r="V232" s="64">
        <f t="shared" ref="V232:X232" si="240">IF(year($A232)=year($A231), V231+S232, S232)</f>
        <v>66.66666667</v>
      </c>
      <c r="W232" s="64">
        <f t="shared" si="240"/>
        <v>133.3333333</v>
      </c>
      <c r="X232" s="64">
        <f t="shared" si="240"/>
        <v>0</v>
      </c>
      <c r="Y232" s="65">
        <f>IFS(
  B232&lt;55,
    MAX(
      Y231 + IF(MONTH(A232)=12, P232+V232, 0) + H232 - L232
      + MAX(0,
          IF(AA231 &gt;= VLOOKUP(YEAR(A232), Lookup!$Q:$R, 2),
            Z231 + IF(MONTH(A232)=12, Q232+W232, 0) + I232
              + AA231 + IF(MONTH(A232)=12, R232+X232, 0)
              - VLOOKUP(YEAR(A232), Lookup!$Q:$R, 2) + J232,
            Z231 + IF(MONTH(A232)=12, Q232+W232, 0) + I232
          ) - VLOOKUP(YEAR(A232), Lookup!$K:$M, 3)
        ),
    0),
  B232=55,
    IF(Z231&gt;=AD232,
      MAX(Y231 + IF(MONTH(A232)=12, P232+V232, 0) + H232 - L232, 0),
      MAX(MAX(0, Y231-(AD232-Z231)) + IF(MONTH(A232)=12, P232+V232, 0) + H232 - L232, 0)
    ),
  B232&gt;55,
    IF(AB231&gt;=$AH$7,
      MAX(Y231 + IF(MONTH(A232)=12, P232+V232, 0) + H232 - L232 + K232 + Z231, 0),
      MAX(Y231 + IF(MONTH(A232)=12, P232+V232, 0) + H232 - L232, 0)
    )
)</f>
        <v>353347.805</v>
      </c>
      <c r="Z232" s="65">
        <f>IFS(
  B232&lt;55,
    MIN(
      IF(AA231 &gt;= VLOOKUP(YEAR(A232), Lookup!$Q:$R, 2),
        Z231 + IF(MONTH(A232)=12, Q232+W232, 0) + I232
          + AA231 + IF(MONTH(A232)=12, R232+X232, 0) - VLOOKUP(YEAR(A232), Lookup!$Q:$R, 2) + J232,
        Z231 + IF(MONTH(A232)=12, Q232+W232, 0) + I232
      ),
      VLOOKUP(YEAR(A232), Lookup!$K:$M, 3)
    ),
  B232=55,
    IF(Z231 &gt;= AD232, Z231 - AD232, 0),
  B232&gt;55, 0
)</f>
        <v>292175.3839</v>
      </c>
      <c r="AA232" s="65">
        <f>IFS(
  B232&lt;65,
    IF(AA231+J232 &lt; VLOOKUP(YEAR(A232), Lookup!$Q:$R, 2),
      AA231 + IF(MONTH(A232)=12, R231+X231, 0) + J232,
      MIN(
        AA231 + IF(MONTH(A232)=12, R231+X231, 0) + J232 ,
        VLOOKUP(YEAR(A232), Lookup!$Q:$R, 2)
      )
    ),
  B232&gt;=65,
    IF(AA231+J232 &lt; VLOOKUP(questions!$C$5, Lookup!$Q:$R, 2),
      AA231 + IF(MONTH(A232)=12, R231+X231, 0) + J232 ,
      MIN(
        AA231 + IF(MONTH(A232)=12, R231+X231, 0) + J232,
        VLOOKUP(questions!$C$5, Lookup!$Q:$R, 2)
      )
    )
)</f>
        <v>149940.8144</v>
      </c>
      <c r="AB232" s="65">
        <f t="shared" si="13"/>
        <v>0</v>
      </c>
      <c r="AC232" s="66">
        <f t="array" ref="AC232">IFS(B232&lt;66, XLOOKUP(year(A232),Lookup!$K$13:$K1000,Lookup!$L$13:$L1000,"missing",,1),B232&gt;65,XLOOKUP(questions!$C$5,Lookup!$K$13:$K1000,Lookup!$L$13:$L1000,"missing",,1))</f>
        <v>211939.5172</v>
      </c>
      <c r="AD232" s="66">
        <f t="array" ref="AD232">IFS(B232&lt;66, XLOOKUP(year(A232),Lookup!$K$13:$K1000,Lookup!$M$13:$M1000,"missing",,1),B232&gt;65, XLOOKUP(questions!$C$5,Lookup!$K$13:$K1000,Lookup!$M$13:$M1000,"missing",,1))</f>
        <v>423879.0344</v>
      </c>
      <c r="AE232" s="66">
        <f t="array" ref="AE232">IFS(B232&lt;66, XLOOKUP(year(A232),Lookup!$K$13:$K1000,Lookup!$N$13:$N1000,"missing",,1),B232&gt;65,XLOOKUP(questions!$C$5,Lookup!$K$13:$K1000,Lookup!$N$13:$N1000,"missing",,1))</f>
        <v>847758.0688</v>
      </c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</row>
    <row r="233">
      <c r="A233" s="55">
        <f t="shared" si="7"/>
        <v>53113</v>
      </c>
      <c r="B233" s="56">
        <f>round(YEARFRAC(EOMONTH(questions!$C$3, 0),A233,1),2)</f>
        <v>46.5</v>
      </c>
      <c r="C233" s="57">
        <f>IF(B233&lt;questions!$C$6,if(MONTH(A233)=1,C232*(1+questions!$C$12),C232),0)</f>
        <v>17535.06053</v>
      </c>
      <c r="D233" s="58">
        <f>IF(MONTH(A233)=12,C233*questions!$C$11,0)</f>
        <v>0</v>
      </c>
      <c r="E233" s="59">
        <f t="shared" si="2"/>
        <v>8000</v>
      </c>
      <c r="F233" s="59">
        <f t="shared" si="3"/>
        <v>0</v>
      </c>
      <c r="G233" s="60">
        <f t="array" ref="G233">if(YEAR(A233)=2025,XLOOKUP(B233,Lookup!$A$3:$A$7,Lookup!$D$3:$D$7,,1)*SUM(E233:F233), XLOOKUP(B233,Lookup!$A$14:$A$18,Lookup!$D$14:$D$18,,1)*SUM(E233:F233))</f>
        <v>2960</v>
      </c>
      <c r="H233" s="60">
        <f t="array" ref="H233">if(YEAR(A233)=2025,XLOOKUP(B233,Lookup!$F$3:$F$10,Lookup!$G$3:$G$10,,1)*G233, XLOOKUP(B233,Lookup!$F$14:$F$21,Lookup!$G$14:$G$21,,1)*G233)</f>
        <v>1520.256</v>
      </c>
      <c r="I233" s="60">
        <f t="array" ref="I233">if(B233&lt;55, if(YEAR(A233)=2025,XLOOKUP(B233,Lookup!$F$3:$F$10,Lookup!$H$3:$H$10,,1)*G233, XLOOKUP(B233,Lookup!$F$14:$F$21,Lookup!$H$14:$H$21,,1)*G233),0)</f>
        <v>639.952</v>
      </c>
      <c r="J233" s="60">
        <f t="array" ref="J233">if(YEAR(A233)=2025,XLOOKUP(B233,Lookup!$F$3:$F$10,Lookup!$I$3:$I$10,,1)*G233, XLOOKUP(B233,Lookup!$F$14:$F$21,Lookup!$I$14:$I$21,,1)*G233)</f>
        <v>799.792</v>
      </c>
      <c r="K233" s="61">
        <f t="array" ref="K233">if(B233&gt;54, if(YEAR(A233)=2025,XLOOKUP(B233,Lookup!$F$3:$F$10,Lookup!$H$3:$H$10,,1)*G233, XLOOKUP(B233,Lookup!$F$14:$F$21,Lookup!$H$14:$H$21,,1)*G233),0)</f>
        <v>0</v>
      </c>
      <c r="L233" s="62">
        <f>IF(and(A233&lt;questions!$C$19,questions!$C$18="yes"),questions!$C$20,0)</f>
        <v>700</v>
      </c>
      <c r="M233" s="63">
        <f>(Y232+H233)*Lookup!A$26/12</f>
        <v>739.3084605</v>
      </c>
      <c r="N233" s="63">
        <f>if(B233&lt;55, (Z232+I233)*Lookup!B$26/12, (AB232+K233)*Lookup!B$26/12)</f>
        <v>976.0511198</v>
      </c>
      <c r="O233" s="63">
        <f>(AA232+J233)*Lookup!C$26/12</f>
        <v>502.4686882</v>
      </c>
      <c r="P233" s="63">
        <f t="shared" si="8"/>
        <v>3679.453636</v>
      </c>
      <c r="Q233" s="63">
        <f t="shared" si="4"/>
        <v>4858.923866</v>
      </c>
      <c r="R233" s="63">
        <f t="shared" si="5"/>
        <v>2485.683707</v>
      </c>
      <c r="S233" s="64">
        <f t="shared" si="9"/>
        <v>16.66666667</v>
      </c>
      <c r="T233" s="64">
        <f t="shared" si="10"/>
        <v>33.33333333</v>
      </c>
      <c r="U233" s="64">
        <f t="shared" si="11"/>
        <v>0</v>
      </c>
      <c r="V233" s="64">
        <f t="shared" ref="V233:X233" si="241">IF(year($A233)=year($A232), V232+S233, S233)</f>
        <v>83.33333333</v>
      </c>
      <c r="W233" s="64">
        <f t="shared" si="241"/>
        <v>166.6666667</v>
      </c>
      <c r="X233" s="64">
        <f t="shared" si="241"/>
        <v>0</v>
      </c>
      <c r="Y233" s="65">
        <f>IFS(
  B233&lt;55,
    MAX(
      Y232 + IF(MONTH(A233)=12, P233+V233, 0) + H233 - L233
      + MAX(0,
          IF(AA232 &gt;= VLOOKUP(YEAR(A233), Lookup!$Q:$R, 2),
            Z232 + IF(MONTH(A233)=12, Q233+W233, 0) + I233
              + AA232 + IF(MONTH(A233)=12, R233+X233, 0)
              - VLOOKUP(YEAR(A233), Lookup!$Q:$R, 2) + J233,
            Z232 + IF(MONTH(A233)=12, Q233+W233, 0) + I233
          ) - VLOOKUP(YEAR(A233), Lookup!$K:$M, 3)
        ),
    0),
  B233=55,
    IF(Z232&gt;=AD233,
      MAX(Y232 + IF(MONTH(A233)=12, P233+V233, 0) + H233 - L233, 0),
      MAX(MAX(0, Y232-(AD233-Z232)) + IF(MONTH(A233)=12, P233+V233, 0) + H233 - L233, 0)
    ),
  B233&gt;55,
    IF(AB232&gt;=$AH$7,
      MAX(Y232 + IF(MONTH(A233)=12, P233+V233, 0) + H233 - L233 + K233 + Z232, 0),
      MAX(Y232 + IF(MONTH(A233)=12, P233+V233, 0) + H233 - L233, 0)
    )
)</f>
        <v>354168.061</v>
      </c>
      <c r="Z233" s="65">
        <f>IFS(
  B233&lt;55,
    MIN(
      IF(AA232 &gt;= VLOOKUP(YEAR(A233), Lookup!$Q:$R, 2),
        Z232 + IF(MONTH(A233)=12, Q233+W233, 0) + I233
          + AA232 + IF(MONTH(A233)=12, R233+X233, 0) - VLOOKUP(YEAR(A233), Lookup!$Q:$R, 2) + J233,
        Z232 + IF(MONTH(A233)=12, Q233+W233, 0) + I233
      ),
      VLOOKUP(YEAR(A233), Lookup!$K:$M, 3)
    ),
  B233=55,
    IF(Z232 &gt;= AD233, Z232 - AD233, 0),
  B233&gt;55, 0
)</f>
        <v>292815.3359</v>
      </c>
      <c r="AA233" s="65">
        <f>IFS(
  B233&lt;65,
    IF(AA232+J233 &lt; VLOOKUP(YEAR(A233), Lookup!$Q:$R, 2),
      AA232 + IF(MONTH(A233)=12, R232+X232, 0) + J233,
      MIN(
        AA232 + IF(MONTH(A233)=12, R232+X232, 0) + J233 ,
        VLOOKUP(YEAR(A233), Lookup!$Q:$R, 2)
      )
    ),
  B233&gt;=65,
    IF(AA232+J233 &lt; VLOOKUP(questions!$C$5, Lookup!$Q:$R, 2),
      AA232 + IF(MONTH(A233)=12, R232+X232, 0) + J233 ,
      MIN(
        AA232 + IF(MONTH(A233)=12, R232+X232, 0) + J233,
        VLOOKUP(questions!$C$5, Lookup!$Q:$R, 2)
      )
    )
)</f>
        <v>150740.6064</v>
      </c>
      <c r="AB233" s="65">
        <f t="shared" si="13"/>
        <v>0</v>
      </c>
      <c r="AC233" s="66">
        <f t="array" ref="AC233">IFS(B233&lt;66, XLOOKUP(year(A233),Lookup!$K$13:$K1000,Lookup!$L$13:$L1000,"missing",,1),B233&gt;65,XLOOKUP(questions!$C$5,Lookup!$K$13:$K1000,Lookup!$L$13:$L1000,"missing",,1))</f>
        <v>211939.5172</v>
      </c>
      <c r="AD233" s="66">
        <f t="array" ref="AD233">IFS(B233&lt;66, XLOOKUP(year(A233),Lookup!$K$13:$K1000,Lookup!$M$13:$M1000,"missing",,1),B233&gt;65, XLOOKUP(questions!$C$5,Lookup!$K$13:$K1000,Lookup!$M$13:$M1000,"missing",,1))</f>
        <v>423879.0344</v>
      </c>
      <c r="AE233" s="66">
        <f t="array" ref="AE233">IFS(B233&lt;66, XLOOKUP(year(A233),Lookup!$K$13:$K1000,Lookup!$N$13:$N1000,"missing",,1),B233&gt;65,XLOOKUP(questions!$C$5,Lookup!$K$13:$K1000,Lookup!$N$13:$N1000,"missing",,1))</f>
        <v>847758.0688</v>
      </c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</row>
    <row r="234">
      <c r="A234" s="55">
        <f t="shared" si="7"/>
        <v>53143</v>
      </c>
      <c r="B234" s="56">
        <f>round(YEARFRAC(EOMONTH(questions!$C$3, 0),A234,1),2)</f>
        <v>46.58</v>
      </c>
      <c r="C234" s="57">
        <f>IF(B234&lt;questions!$C$6,if(MONTH(A234)=1,C233*(1+questions!$C$12),C233),0)</f>
        <v>17535.06053</v>
      </c>
      <c r="D234" s="58">
        <f>IF(MONTH(A234)=12,C234*questions!$C$11,0)</f>
        <v>0</v>
      </c>
      <c r="E234" s="59">
        <f t="shared" si="2"/>
        <v>8000</v>
      </c>
      <c r="F234" s="59">
        <f t="shared" si="3"/>
        <v>0</v>
      </c>
      <c r="G234" s="60">
        <f t="array" ref="G234">if(YEAR(A234)=2025,XLOOKUP(B234,Lookup!$A$3:$A$7,Lookup!$D$3:$D$7,,1)*SUM(E234:F234), XLOOKUP(B234,Lookup!$A$14:$A$18,Lookup!$D$14:$D$18,,1)*SUM(E234:F234))</f>
        <v>2960</v>
      </c>
      <c r="H234" s="60">
        <f t="array" ref="H234">if(YEAR(A234)=2025,XLOOKUP(B234,Lookup!$F$3:$F$10,Lookup!$G$3:$G$10,,1)*G234, XLOOKUP(B234,Lookup!$F$14:$F$21,Lookup!$G$14:$G$21,,1)*G234)</f>
        <v>1520.256</v>
      </c>
      <c r="I234" s="60">
        <f t="array" ref="I234">if(B234&lt;55, if(YEAR(A234)=2025,XLOOKUP(B234,Lookup!$F$3:$F$10,Lookup!$H$3:$H$10,,1)*G234, XLOOKUP(B234,Lookup!$F$14:$F$21,Lookup!$H$14:$H$21,,1)*G234),0)</f>
        <v>639.952</v>
      </c>
      <c r="J234" s="60">
        <f t="array" ref="J234">if(YEAR(A234)=2025,XLOOKUP(B234,Lookup!$F$3:$F$10,Lookup!$I$3:$I$10,,1)*G234, XLOOKUP(B234,Lookup!$F$14:$F$21,Lookup!$I$14:$I$21,,1)*G234)</f>
        <v>799.792</v>
      </c>
      <c r="K234" s="61">
        <f t="array" ref="K234">if(B234&gt;54, if(YEAR(A234)=2025,XLOOKUP(B234,Lookup!$F$3:$F$10,Lookup!$H$3:$H$10,,1)*G234, XLOOKUP(B234,Lookup!$F$14:$F$21,Lookup!$H$14:$H$21,,1)*G234),0)</f>
        <v>0</v>
      </c>
      <c r="L234" s="62">
        <f>IF(and(A234&lt;questions!$C$19,questions!$C$18="yes"),questions!$C$20,0)</f>
        <v>700</v>
      </c>
      <c r="M234" s="63">
        <f>(Y233+H234)*Lookup!A$26/12</f>
        <v>741.0173272</v>
      </c>
      <c r="N234" s="63">
        <f>if(B234&lt;55, (Z233+I234)*Lookup!B$26/12, (AB233+K234)*Lookup!B$26/12)</f>
        <v>978.1842931</v>
      </c>
      <c r="O234" s="63">
        <f>(AA233+J234)*Lookup!C$26/12</f>
        <v>505.1346615</v>
      </c>
      <c r="P234" s="63">
        <f t="shared" si="8"/>
        <v>4420.470963</v>
      </c>
      <c r="Q234" s="63">
        <f t="shared" si="4"/>
        <v>5837.108159</v>
      </c>
      <c r="R234" s="63">
        <f t="shared" si="5"/>
        <v>2990.818369</v>
      </c>
      <c r="S234" s="64">
        <f t="shared" si="9"/>
        <v>16.66666667</v>
      </c>
      <c r="T234" s="64">
        <f t="shared" si="10"/>
        <v>33.33333333</v>
      </c>
      <c r="U234" s="64">
        <f t="shared" si="11"/>
        <v>0</v>
      </c>
      <c r="V234" s="64">
        <f t="shared" ref="V234:X234" si="242">IF(year($A234)=year($A233), V233+S234, S234)</f>
        <v>100</v>
      </c>
      <c r="W234" s="64">
        <f t="shared" si="242"/>
        <v>200</v>
      </c>
      <c r="X234" s="64">
        <f t="shared" si="242"/>
        <v>0</v>
      </c>
      <c r="Y234" s="65">
        <f>IFS(
  B234&lt;55,
    MAX(
      Y233 + IF(MONTH(A234)=12, P234+V234, 0) + H234 - L234
      + MAX(0,
          IF(AA233 &gt;= VLOOKUP(YEAR(A234), Lookup!$Q:$R, 2),
            Z233 + IF(MONTH(A234)=12, Q234+W234, 0) + I234
              + AA233 + IF(MONTH(A234)=12, R234+X234, 0)
              - VLOOKUP(YEAR(A234), Lookup!$Q:$R, 2) + J234,
            Z233 + IF(MONTH(A234)=12, Q234+W234, 0) + I234
          ) - VLOOKUP(YEAR(A234), Lookup!$K:$M, 3)
        ),
    0),
  B234=55,
    IF(Z233&gt;=AD234,
      MAX(Y233 + IF(MONTH(A234)=12, P234+V234, 0) + H234 - L234, 0),
      MAX(MAX(0, Y233-(AD234-Z233)) + IF(MONTH(A234)=12, P234+V234, 0) + H234 - L234, 0)
    ),
  B234&gt;55,
    IF(AB233&gt;=$AH$7,
      MAX(Y233 + IF(MONTH(A234)=12, P234+V234, 0) + H234 - L234 + K234 + Z233, 0),
      MAX(Y233 + IF(MONTH(A234)=12, P234+V234, 0) + H234 - L234, 0)
    )
)</f>
        <v>354988.317</v>
      </c>
      <c r="Z234" s="65">
        <f>IFS(
  B234&lt;55,
    MIN(
      IF(AA233 &gt;= VLOOKUP(YEAR(A234), Lookup!$Q:$R, 2),
        Z233 + IF(MONTH(A234)=12, Q234+W234, 0) + I234
          + AA233 + IF(MONTH(A234)=12, R234+X234, 0) - VLOOKUP(YEAR(A234), Lookup!$Q:$R, 2) + J234,
        Z233 + IF(MONTH(A234)=12, Q234+W234, 0) + I234
      ),
      VLOOKUP(YEAR(A234), Lookup!$K:$M, 3)
    ),
  B234=55,
    IF(Z233 &gt;= AD234, Z233 - AD234, 0),
  B234&gt;55, 0
)</f>
        <v>293455.2879</v>
      </c>
      <c r="AA234" s="65">
        <f>IFS(
  B234&lt;65,
    IF(AA233+J234 &lt; VLOOKUP(YEAR(A234), Lookup!$Q:$R, 2),
      AA233 + IF(MONTH(A234)=12, R233+X233, 0) + J234,
      MIN(
        AA233 + IF(MONTH(A234)=12, R233+X233, 0) + J234 ,
        VLOOKUP(YEAR(A234), Lookup!$Q:$R, 2)
      )
    ),
  B234&gt;=65,
    IF(AA233+J234 &lt; VLOOKUP(questions!$C$5, Lookup!$Q:$R, 2),
      AA233 + IF(MONTH(A234)=12, R233+X233, 0) + J234 ,
      MIN(
        AA233 + IF(MONTH(A234)=12, R233+X233, 0) + J234,
        VLOOKUP(questions!$C$5, Lookup!$Q:$R, 2)
      )
    )
)</f>
        <v>151540.3984</v>
      </c>
      <c r="AB234" s="65">
        <f t="shared" si="13"/>
        <v>0</v>
      </c>
      <c r="AC234" s="66">
        <f t="array" ref="AC234">IFS(B234&lt;66, XLOOKUP(year(A234),Lookup!$K$13:$K1000,Lookup!$L$13:$L1000,"missing",,1),B234&gt;65,XLOOKUP(questions!$C$5,Lookup!$K$13:$K1000,Lookup!$L$13:$L1000,"missing",,1))</f>
        <v>211939.5172</v>
      </c>
      <c r="AD234" s="66">
        <f t="array" ref="AD234">IFS(B234&lt;66, XLOOKUP(year(A234),Lookup!$K$13:$K1000,Lookup!$M$13:$M1000,"missing",,1),B234&gt;65, XLOOKUP(questions!$C$5,Lookup!$K$13:$K1000,Lookup!$M$13:$M1000,"missing",,1))</f>
        <v>423879.0344</v>
      </c>
      <c r="AE234" s="66">
        <f t="array" ref="AE234">IFS(B234&lt;66, XLOOKUP(year(A234),Lookup!$K$13:$K1000,Lookup!$N$13:$N1000,"missing",,1),B234&gt;65,XLOOKUP(questions!$C$5,Lookup!$K$13:$K1000,Lookup!$N$13:$N1000,"missing",,1))</f>
        <v>847758.0688</v>
      </c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</row>
    <row r="235">
      <c r="A235" s="55">
        <f t="shared" si="7"/>
        <v>53174</v>
      </c>
      <c r="B235" s="56">
        <f>round(YEARFRAC(EOMONTH(questions!$C$3, 0),A235,1),2)</f>
        <v>46.67</v>
      </c>
      <c r="C235" s="57">
        <f>IF(B235&lt;questions!$C$6,if(MONTH(A235)=1,C234*(1+questions!$C$12),C234),0)</f>
        <v>17535.06053</v>
      </c>
      <c r="D235" s="58">
        <f>IF(MONTH(A235)=12,C235*questions!$C$11,0)</f>
        <v>0</v>
      </c>
      <c r="E235" s="59">
        <f t="shared" si="2"/>
        <v>8000</v>
      </c>
      <c r="F235" s="59">
        <f t="shared" si="3"/>
        <v>0</v>
      </c>
      <c r="G235" s="60">
        <f t="array" ref="G235">if(YEAR(A235)=2025,XLOOKUP(B235,Lookup!$A$3:$A$7,Lookup!$D$3:$D$7,,1)*SUM(E235:F235), XLOOKUP(B235,Lookup!$A$14:$A$18,Lookup!$D$14:$D$18,,1)*SUM(E235:F235))</f>
        <v>2960</v>
      </c>
      <c r="H235" s="60">
        <f t="array" ref="H235">if(YEAR(A235)=2025,XLOOKUP(B235,Lookup!$F$3:$F$10,Lookup!$G$3:$G$10,,1)*G235, XLOOKUP(B235,Lookup!$F$14:$F$21,Lookup!$G$14:$G$21,,1)*G235)</f>
        <v>1520.256</v>
      </c>
      <c r="I235" s="60">
        <f t="array" ref="I235">if(B235&lt;55, if(YEAR(A235)=2025,XLOOKUP(B235,Lookup!$F$3:$F$10,Lookup!$H$3:$H$10,,1)*G235, XLOOKUP(B235,Lookup!$F$14:$F$21,Lookup!$H$14:$H$21,,1)*G235),0)</f>
        <v>639.952</v>
      </c>
      <c r="J235" s="60">
        <f t="array" ref="J235">if(YEAR(A235)=2025,XLOOKUP(B235,Lookup!$F$3:$F$10,Lookup!$I$3:$I$10,,1)*G235, XLOOKUP(B235,Lookup!$F$14:$F$21,Lookup!$I$14:$I$21,,1)*G235)</f>
        <v>799.792</v>
      </c>
      <c r="K235" s="61">
        <f t="array" ref="K235">if(B235&gt;54, if(YEAR(A235)=2025,XLOOKUP(B235,Lookup!$F$3:$F$10,Lookup!$H$3:$H$10,,1)*G235, XLOOKUP(B235,Lookup!$F$14:$F$21,Lookup!$H$14:$H$21,,1)*G235),0)</f>
        <v>0</v>
      </c>
      <c r="L235" s="62">
        <f>IF(and(A235&lt;questions!$C$19,questions!$C$18="yes"),questions!$C$20,0)</f>
        <v>700</v>
      </c>
      <c r="M235" s="63">
        <f>(Y234+H235)*Lookup!A$26/12</f>
        <v>742.7261938</v>
      </c>
      <c r="N235" s="63">
        <f>if(B235&lt;55, (Z234+I235)*Lookup!B$26/12, (AB234+K235)*Lookup!B$26/12)</f>
        <v>980.3174664</v>
      </c>
      <c r="O235" s="63">
        <f>(AA234+J235)*Lookup!C$26/12</f>
        <v>507.8006348</v>
      </c>
      <c r="P235" s="63">
        <f t="shared" si="8"/>
        <v>5163.197157</v>
      </c>
      <c r="Q235" s="63">
        <f t="shared" si="4"/>
        <v>6817.425625</v>
      </c>
      <c r="R235" s="63">
        <f t="shared" si="5"/>
        <v>3498.619004</v>
      </c>
      <c r="S235" s="64">
        <f t="shared" si="9"/>
        <v>16.66666667</v>
      </c>
      <c r="T235" s="64">
        <f t="shared" si="10"/>
        <v>33.33333333</v>
      </c>
      <c r="U235" s="64">
        <f t="shared" si="11"/>
        <v>0</v>
      </c>
      <c r="V235" s="64">
        <f t="shared" ref="V235:X235" si="243">IF(year($A235)=year($A234), V234+S235, S235)</f>
        <v>116.6666667</v>
      </c>
      <c r="W235" s="64">
        <f t="shared" si="243"/>
        <v>233.3333333</v>
      </c>
      <c r="X235" s="64">
        <f t="shared" si="243"/>
        <v>0</v>
      </c>
      <c r="Y235" s="65">
        <f>IFS(
  B235&lt;55,
    MAX(
      Y234 + IF(MONTH(A235)=12, P235+V235, 0) + H235 - L235
      + MAX(0,
          IF(AA234 &gt;= VLOOKUP(YEAR(A235), Lookup!$Q:$R, 2),
            Z234 + IF(MONTH(A235)=12, Q235+W235, 0) + I235
              + AA234 + IF(MONTH(A235)=12, R235+X235, 0)
              - VLOOKUP(YEAR(A235), Lookup!$Q:$R, 2) + J235,
            Z234 + IF(MONTH(A235)=12, Q235+W235, 0) + I235
          ) - VLOOKUP(YEAR(A235), Lookup!$K:$M, 3)
        ),
    0),
  B235=55,
    IF(Z234&gt;=AD235,
      MAX(Y234 + IF(MONTH(A235)=12, P235+V235, 0) + H235 - L235, 0),
      MAX(MAX(0, Y234-(AD235-Z234)) + IF(MONTH(A235)=12, P235+V235, 0) + H235 - L235, 0)
    ),
  B235&gt;55,
    IF(AB234&gt;=$AH$7,
      MAX(Y234 + IF(MONTH(A235)=12, P235+V235, 0) + H235 - L235 + K235 + Z234, 0),
      MAX(Y234 + IF(MONTH(A235)=12, P235+V235, 0) + H235 - L235, 0)
    )
)</f>
        <v>355808.573</v>
      </c>
      <c r="Z235" s="65">
        <f>IFS(
  B235&lt;55,
    MIN(
      IF(AA234 &gt;= VLOOKUP(YEAR(A235), Lookup!$Q:$R, 2),
        Z234 + IF(MONTH(A235)=12, Q235+W235, 0) + I235
          + AA234 + IF(MONTH(A235)=12, R235+X235, 0) - VLOOKUP(YEAR(A235), Lookup!$Q:$R, 2) + J235,
        Z234 + IF(MONTH(A235)=12, Q235+W235, 0) + I235
      ),
      VLOOKUP(YEAR(A235), Lookup!$K:$M, 3)
    ),
  B235=55,
    IF(Z234 &gt;= AD235, Z234 - AD235, 0),
  B235&gt;55, 0
)</f>
        <v>294095.2399</v>
      </c>
      <c r="AA235" s="65">
        <f>IFS(
  B235&lt;65,
    IF(AA234+J235 &lt; VLOOKUP(YEAR(A235), Lookup!$Q:$R, 2),
      AA234 + IF(MONTH(A235)=12, R234+X234, 0) + J235,
      MIN(
        AA234 + IF(MONTH(A235)=12, R234+X234, 0) + J235 ,
        VLOOKUP(YEAR(A235), Lookup!$Q:$R, 2)
      )
    ),
  B235&gt;=65,
    IF(AA234+J235 &lt; VLOOKUP(questions!$C$5, Lookup!$Q:$R, 2),
      AA234 + IF(MONTH(A235)=12, R234+X234, 0) + J235 ,
      MIN(
        AA234 + IF(MONTH(A235)=12, R234+X234, 0) + J235,
        VLOOKUP(questions!$C$5, Lookup!$Q:$R, 2)
      )
    )
)</f>
        <v>151877.6041</v>
      </c>
      <c r="AB235" s="65">
        <f t="shared" si="13"/>
        <v>0</v>
      </c>
      <c r="AC235" s="66">
        <f t="array" ref="AC235">IFS(B235&lt;66, XLOOKUP(year(A235),Lookup!$K$13:$K1000,Lookup!$L$13:$L1000,"missing",,1),B235&gt;65,XLOOKUP(questions!$C$5,Lookup!$K$13:$K1000,Lookup!$L$13:$L1000,"missing",,1))</f>
        <v>211939.5172</v>
      </c>
      <c r="AD235" s="66">
        <f t="array" ref="AD235">IFS(B235&lt;66, XLOOKUP(year(A235),Lookup!$K$13:$K1000,Lookup!$M$13:$M1000,"missing",,1),B235&gt;65, XLOOKUP(questions!$C$5,Lookup!$K$13:$K1000,Lookup!$M$13:$M1000,"missing",,1))</f>
        <v>423879.0344</v>
      </c>
      <c r="AE235" s="66">
        <f t="array" ref="AE235">IFS(B235&lt;66, XLOOKUP(year(A235),Lookup!$K$13:$K1000,Lookup!$N$13:$N1000,"missing",,1),B235&gt;65,XLOOKUP(questions!$C$5,Lookup!$K$13:$K1000,Lookup!$N$13:$N1000,"missing",,1))</f>
        <v>847758.0688</v>
      </c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</row>
    <row r="236">
      <c r="A236" s="55">
        <f t="shared" si="7"/>
        <v>53205</v>
      </c>
      <c r="B236" s="56">
        <f>round(YEARFRAC(EOMONTH(questions!$C$3, 0),A236,1),2)</f>
        <v>46.75</v>
      </c>
      <c r="C236" s="57">
        <f>IF(B236&lt;questions!$C$6,if(MONTH(A236)=1,C235*(1+questions!$C$12),C235),0)</f>
        <v>17535.06053</v>
      </c>
      <c r="D236" s="58">
        <f>IF(MONTH(A236)=12,C236*questions!$C$11,0)</f>
        <v>0</v>
      </c>
      <c r="E236" s="59">
        <f t="shared" si="2"/>
        <v>8000</v>
      </c>
      <c r="F236" s="59">
        <f t="shared" si="3"/>
        <v>0</v>
      </c>
      <c r="G236" s="60">
        <f t="array" ref="G236">if(YEAR(A236)=2025,XLOOKUP(B236,Lookup!$A$3:$A$7,Lookup!$D$3:$D$7,,1)*SUM(E236:F236), XLOOKUP(B236,Lookup!$A$14:$A$18,Lookup!$D$14:$D$18,,1)*SUM(E236:F236))</f>
        <v>2960</v>
      </c>
      <c r="H236" s="60">
        <f t="array" ref="H236">if(YEAR(A236)=2025,XLOOKUP(B236,Lookup!$F$3:$F$10,Lookup!$G$3:$G$10,,1)*G236, XLOOKUP(B236,Lookup!$F$14:$F$21,Lookup!$G$14:$G$21,,1)*G236)</f>
        <v>1520.256</v>
      </c>
      <c r="I236" s="60">
        <f t="array" ref="I236">if(B236&lt;55, if(YEAR(A236)=2025,XLOOKUP(B236,Lookup!$F$3:$F$10,Lookup!$H$3:$H$10,,1)*G236, XLOOKUP(B236,Lookup!$F$14:$F$21,Lookup!$H$14:$H$21,,1)*G236),0)</f>
        <v>639.952</v>
      </c>
      <c r="J236" s="60">
        <f t="array" ref="J236">if(YEAR(A236)=2025,XLOOKUP(B236,Lookup!$F$3:$F$10,Lookup!$I$3:$I$10,,1)*G236, XLOOKUP(B236,Lookup!$F$14:$F$21,Lookup!$I$14:$I$21,,1)*G236)</f>
        <v>799.792</v>
      </c>
      <c r="K236" s="61">
        <f t="array" ref="K236">if(B236&gt;54, if(YEAR(A236)=2025,XLOOKUP(B236,Lookup!$F$3:$F$10,Lookup!$H$3:$H$10,,1)*G236, XLOOKUP(B236,Lookup!$F$14:$F$21,Lookup!$H$14:$H$21,,1)*G236),0)</f>
        <v>0</v>
      </c>
      <c r="L236" s="62">
        <f>IF(and(A236&lt;questions!$C$19,questions!$C$18="yes"),questions!$C$20,0)</f>
        <v>700</v>
      </c>
      <c r="M236" s="63">
        <f>(Y235+H236)*Lookup!A$26/12</f>
        <v>744.4350605</v>
      </c>
      <c r="N236" s="63">
        <f>if(B236&lt;55, (Z235+I236)*Lookup!B$26/12, (AB235+K236)*Lookup!B$26/12)</f>
        <v>982.4506398</v>
      </c>
      <c r="O236" s="63">
        <f>(AA235+J236)*Lookup!C$26/12</f>
        <v>508.9246536</v>
      </c>
      <c r="P236" s="63">
        <f t="shared" si="8"/>
        <v>5907.632217</v>
      </c>
      <c r="Q236" s="63">
        <f t="shared" si="4"/>
        <v>7799.876265</v>
      </c>
      <c r="R236" s="63">
        <f t="shared" si="5"/>
        <v>4007.543657</v>
      </c>
      <c r="S236" s="64">
        <f t="shared" si="9"/>
        <v>16.66666667</v>
      </c>
      <c r="T236" s="64">
        <f t="shared" si="10"/>
        <v>33.33333333</v>
      </c>
      <c r="U236" s="64">
        <f t="shared" si="11"/>
        <v>0</v>
      </c>
      <c r="V236" s="64">
        <f t="shared" ref="V236:X236" si="244">IF(year($A236)=year($A235), V235+S236, S236)</f>
        <v>133.3333333</v>
      </c>
      <c r="W236" s="64">
        <f t="shared" si="244"/>
        <v>266.6666667</v>
      </c>
      <c r="X236" s="64">
        <f t="shared" si="244"/>
        <v>0</v>
      </c>
      <c r="Y236" s="65">
        <f>IFS(
  B236&lt;55,
    MAX(
      Y235 + IF(MONTH(A236)=12, P236+V236, 0) + H236 - L236
      + MAX(0,
          IF(AA235 &gt;= VLOOKUP(YEAR(A236), Lookup!$Q:$R, 2),
            Z235 + IF(MONTH(A236)=12, Q236+W236, 0) + I236
              + AA235 + IF(MONTH(A236)=12, R236+X236, 0)
              - VLOOKUP(YEAR(A236), Lookup!$Q:$R, 2) + J236,
            Z235 + IF(MONTH(A236)=12, Q236+W236, 0) + I236
          ) - VLOOKUP(YEAR(A236), Lookup!$K:$M, 3)
        ),
    0),
  B236=55,
    IF(Z235&gt;=AD236,
      MAX(Y235 + IF(MONTH(A236)=12, P236+V236, 0) + H236 - L236, 0),
      MAX(MAX(0, Y235-(AD236-Z235)) + IF(MONTH(A236)=12, P236+V236, 0) + H236 - L236, 0)
    ),
  B236&gt;55,
    IF(AB235&gt;=$AH$7,
      MAX(Y235 + IF(MONTH(A236)=12, P236+V236, 0) + H236 - L236 + K236 + Z235, 0),
      MAX(Y235 + IF(MONTH(A236)=12, P236+V236, 0) + H236 - L236, 0)
    )
)</f>
        <v>356628.829</v>
      </c>
      <c r="Z236" s="65">
        <f>IFS(
  B236&lt;55,
    MIN(
      IF(AA235 &gt;= VLOOKUP(YEAR(A236), Lookup!$Q:$R, 2),
        Z235 + IF(MONTH(A236)=12, Q236+W236, 0) + I236
          + AA235 + IF(MONTH(A236)=12, R236+X236, 0) - VLOOKUP(YEAR(A236), Lookup!$Q:$R, 2) + J236,
        Z235 + IF(MONTH(A236)=12, Q236+W236, 0) + I236
      ),
      VLOOKUP(YEAR(A236), Lookup!$K:$M, 3)
    ),
  B236=55,
    IF(Z235 &gt;= AD236, Z235 - AD236, 0),
  B236&gt;55, 0
)</f>
        <v>295534.9839</v>
      </c>
      <c r="AA236" s="65">
        <f>IFS(
  B236&lt;65,
    IF(AA235+J236 &lt; VLOOKUP(YEAR(A236), Lookup!$Q:$R, 2),
      AA235 + IF(MONTH(A236)=12, R235+X235, 0) + J236,
      MIN(
        AA235 + IF(MONTH(A236)=12, R235+X235, 0) + J236 ,
        VLOOKUP(YEAR(A236), Lookup!$Q:$R, 2)
      )
    ),
  B236&gt;=65,
    IF(AA235+J236 &lt; VLOOKUP(questions!$C$5, Lookup!$Q:$R, 2),
      AA235 + IF(MONTH(A236)=12, R235+X235, 0) + J236 ,
      MIN(
        AA235 + IF(MONTH(A236)=12, R235+X235, 0) + J236,
        VLOOKUP(questions!$C$5, Lookup!$Q:$R, 2)
      )
    )
)</f>
        <v>151877.6041</v>
      </c>
      <c r="AB236" s="65">
        <f t="shared" si="13"/>
        <v>0</v>
      </c>
      <c r="AC236" s="66">
        <f t="array" ref="AC236">IFS(B236&lt;66, XLOOKUP(year(A236),Lookup!$K$13:$K1000,Lookup!$L$13:$L1000,"missing",,1),B236&gt;65,XLOOKUP(questions!$C$5,Lookup!$K$13:$K1000,Lookup!$L$13:$L1000,"missing",,1))</f>
        <v>211939.5172</v>
      </c>
      <c r="AD236" s="66">
        <f t="array" ref="AD236">IFS(B236&lt;66, XLOOKUP(year(A236),Lookup!$K$13:$K1000,Lookup!$M$13:$M1000,"missing",,1),B236&gt;65, XLOOKUP(questions!$C$5,Lookup!$K$13:$K1000,Lookup!$M$13:$M1000,"missing",,1))</f>
        <v>423879.0344</v>
      </c>
      <c r="AE236" s="66">
        <f t="array" ref="AE236">IFS(B236&lt;66, XLOOKUP(year(A236),Lookup!$K$13:$K1000,Lookup!$N$13:$N1000,"missing",,1),B236&gt;65,XLOOKUP(questions!$C$5,Lookup!$K$13:$K1000,Lookup!$N$13:$N1000,"missing",,1))</f>
        <v>847758.0688</v>
      </c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</row>
    <row r="237">
      <c r="A237" s="55">
        <f t="shared" si="7"/>
        <v>53235</v>
      </c>
      <c r="B237" s="56">
        <f>round(YEARFRAC(EOMONTH(questions!$C$3, 0),A237,1),2)</f>
        <v>46.83</v>
      </c>
      <c r="C237" s="57">
        <f>IF(B237&lt;questions!$C$6,if(MONTH(A237)=1,C236*(1+questions!$C$12),C236),0)</f>
        <v>17535.06053</v>
      </c>
      <c r="D237" s="58">
        <f>IF(MONTH(A237)=12,C237*questions!$C$11,0)</f>
        <v>0</v>
      </c>
      <c r="E237" s="59">
        <f t="shared" si="2"/>
        <v>8000</v>
      </c>
      <c r="F237" s="59">
        <f t="shared" si="3"/>
        <v>0</v>
      </c>
      <c r="G237" s="60">
        <f t="array" ref="G237">if(YEAR(A237)=2025,XLOOKUP(B237,Lookup!$A$3:$A$7,Lookup!$D$3:$D$7,,1)*SUM(E237:F237), XLOOKUP(B237,Lookup!$A$14:$A$18,Lookup!$D$14:$D$18,,1)*SUM(E237:F237))</f>
        <v>2960</v>
      </c>
      <c r="H237" s="60">
        <f t="array" ref="H237">if(YEAR(A237)=2025,XLOOKUP(B237,Lookup!$F$3:$F$10,Lookup!$G$3:$G$10,,1)*G237, XLOOKUP(B237,Lookup!$F$14:$F$21,Lookup!$G$14:$G$21,,1)*G237)</f>
        <v>1520.256</v>
      </c>
      <c r="I237" s="60">
        <f t="array" ref="I237">if(B237&lt;55, if(YEAR(A237)=2025,XLOOKUP(B237,Lookup!$F$3:$F$10,Lookup!$H$3:$H$10,,1)*G237, XLOOKUP(B237,Lookup!$F$14:$F$21,Lookup!$H$14:$H$21,,1)*G237),0)</f>
        <v>639.952</v>
      </c>
      <c r="J237" s="60">
        <f t="array" ref="J237">if(YEAR(A237)=2025,XLOOKUP(B237,Lookup!$F$3:$F$10,Lookup!$I$3:$I$10,,1)*G237, XLOOKUP(B237,Lookup!$F$14:$F$21,Lookup!$I$14:$I$21,,1)*G237)</f>
        <v>799.792</v>
      </c>
      <c r="K237" s="61">
        <f t="array" ref="K237">if(B237&gt;54, if(YEAR(A237)=2025,XLOOKUP(B237,Lookup!$F$3:$F$10,Lookup!$H$3:$H$10,,1)*G237, XLOOKUP(B237,Lookup!$F$14:$F$21,Lookup!$H$14:$H$21,,1)*G237),0)</f>
        <v>0</v>
      </c>
      <c r="L237" s="62">
        <f>IF(and(A237&lt;questions!$C$19,questions!$C$18="yes"),questions!$C$20,0)</f>
        <v>0</v>
      </c>
      <c r="M237" s="63">
        <f>(Y236+H237)*Lookup!A$26/12</f>
        <v>746.1439272</v>
      </c>
      <c r="N237" s="63">
        <f>if(B237&lt;55, (Z236+I237)*Lookup!B$26/12, (AB236+K237)*Lookup!B$26/12)</f>
        <v>987.2497864</v>
      </c>
      <c r="O237" s="63">
        <f>(AA236+J237)*Lookup!C$26/12</f>
        <v>508.9246536</v>
      </c>
      <c r="P237" s="63">
        <f t="shared" si="8"/>
        <v>6653.776145</v>
      </c>
      <c r="Q237" s="63">
        <f t="shared" si="4"/>
        <v>8787.126051</v>
      </c>
      <c r="R237" s="63">
        <f t="shared" si="5"/>
        <v>4516.468311</v>
      </c>
      <c r="S237" s="64">
        <f t="shared" si="9"/>
        <v>16.66666667</v>
      </c>
      <c r="T237" s="64">
        <f t="shared" si="10"/>
        <v>33.33333333</v>
      </c>
      <c r="U237" s="64">
        <f t="shared" si="11"/>
        <v>0</v>
      </c>
      <c r="V237" s="64">
        <f t="shared" ref="V237:X237" si="245">IF(year($A237)=year($A236), V236+S237, S237)</f>
        <v>150</v>
      </c>
      <c r="W237" s="64">
        <f t="shared" si="245"/>
        <v>300</v>
      </c>
      <c r="X237" s="64">
        <f t="shared" si="245"/>
        <v>0</v>
      </c>
      <c r="Y237" s="65">
        <f>IFS(
  B237&lt;55,
    MAX(
      Y236 + IF(MONTH(A237)=12, P237+V237, 0) + H237 - L237
      + MAX(0,
          IF(AA236 &gt;= VLOOKUP(YEAR(A237), Lookup!$Q:$R, 2),
            Z236 + IF(MONTH(A237)=12, Q237+W237, 0) + I237
              + AA236 + IF(MONTH(A237)=12, R237+X237, 0)
              - VLOOKUP(YEAR(A237), Lookup!$Q:$R, 2) + J237,
            Z236 + IF(MONTH(A237)=12, Q237+W237, 0) + I237
          ) - VLOOKUP(YEAR(A237), Lookup!$K:$M, 3)
        ),
    0),
  B237=55,
    IF(Z236&gt;=AD237,
      MAX(Y236 + IF(MONTH(A237)=12, P237+V237, 0) + H237 - L237, 0),
      MAX(MAX(0, Y236-(AD237-Z236)) + IF(MONTH(A237)=12, P237+V237, 0) + H237 - L237, 0)
    ),
  B237&gt;55,
    IF(AB236&gt;=$AH$7,
      MAX(Y236 + IF(MONTH(A237)=12, P237+V237, 0) + H237 - L237 + K237 + Z236, 0),
      MAX(Y236 + IF(MONTH(A237)=12, P237+V237, 0) + H237 - L237, 0)
    )
)</f>
        <v>358149.085</v>
      </c>
      <c r="Z237" s="65">
        <f>IFS(
  B237&lt;55,
    MIN(
      IF(AA236 &gt;= VLOOKUP(YEAR(A237), Lookup!$Q:$R, 2),
        Z236 + IF(MONTH(A237)=12, Q237+W237, 0) + I237
          + AA236 + IF(MONTH(A237)=12, R237+X237, 0) - VLOOKUP(YEAR(A237), Lookup!$Q:$R, 2) + J237,
        Z236 + IF(MONTH(A237)=12, Q237+W237, 0) + I237
      ),
      VLOOKUP(YEAR(A237), Lookup!$K:$M, 3)
    ),
  B237=55,
    IF(Z236 &gt;= AD237, Z236 - AD237, 0),
  B237&gt;55, 0
)</f>
        <v>296974.7279</v>
      </c>
      <c r="AA237" s="65">
        <f>IFS(
  B237&lt;65,
    IF(AA236+J237 &lt; VLOOKUP(YEAR(A237), Lookup!$Q:$R, 2),
      AA236 + IF(MONTH(A237)=12, R236+X236, 0) + J237,
      MIN(
        AA236 + IF(MONTH(A237)=12, R236+X236, 0) + J237 ,
        VLOOKUP(YEAR(A237), Lookup!$Q:$R, 2)
      )
    ),
  B237&gt;=65,
    IF(AA236+J237 &lt; VLOOKUP(questions!$C$5, Lookup!$Q:$R, 2),
      AA236 + IF(MONTH(A237)=12, R236+X236, 0) + J237 ,
      MIN(
        AA236 + IF(MONTH(A237)=12, R236+X236, 0) + J237,
        VLOOKUP(questions!$C$5, Lookup!$Q:$R, 2)
      )
    )
)</f>
        <v>151877.6041</v>
      </c>
      <c r="AB237" s="65">
        <f t="shared" si="13"/>
        <v>0</v>
      </c>
      <c r="AC237" s="66">
        <f t="array" ref="AC237">IFS(B237&lt;66, XLOOKUP(year(A237),Lookup!$K$13:$K1000,Lookup!$L$13:$L1000,"missing",,1),B237&gt;65,XLOOKUP(questions!$C$5,Lookup!$K$13:$K1000,Lookup!$L$13:$L1000,"missing",,1))</f>
        <v>211939.5172</v>
      </c>
      <c r="AD237" s="66">
        <f t="array" ref="AD237">IFS(B237&lt;66, XLOOKUP(year(A237),Lookup!$K$13:$K1000,Lookup!$M$13:$M1000,"missing",,1),B237&gt;65, XLOOKUP(questions!$C$5,Lookup!$K$13:$K1000,Lookup!$M$13:$M1000,"missing",,1))</f>
        <v>423879.0344</v>
      </c>
      <c r="AE237" s="66">
        <f t="array" ref="AE237">IFS(B237&lt;66, XLOOKUP(year(A237),Lookup!$K$13:$K1000,Lookup!$N$13:$N1000,"missing",,1),B237&gt;65,XLOOKUP(questions!$C$5,Lookup!$K$13:$K1000,Lookup!$N$13:$N1000,"missing",,1))</f>
        <v>847758.0688</v>
      </c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</row>
    <row r="238">
      <c r="A238" s="55">
        <f t="shared" si="7"/>
        <v>53266</v>
      </c>
      <c r="B238" s="56">
        <f>round(YEARFRAC(EOMONTH(questions!$C$3, 0),A238,1),2)</f>
        <v>46.92</v>
      </c>
      <c r="C238" s="57">
        <f>IF(B238&lt;questions!$C$6,if(MONTH(A238)=1,C237*(1+questions!$C$12),C237),0)</f>
        <v>17535.06053</v>
      </c>
      <c r="D238" s="58">
        <f>IF(MONTH(A238)=12,C238*questions!$C$11,0)</f>
        <v>0</v>
      </c>
      <c r="E238" s="59">
        <f t="shared" si="2"/>
        <v>8000</v>
      </c>
      <c r="F238" s="59">
        <f t="shared" si="3"/>
        <v>0</v>
      </c>
      <c r="G238" s="60">
        <f t="array" ref="G238">if(YEAR(A238)=2025,XLOOKUP(B238,Lookup!$A$3:$A$7,Lookup!$D$3:$D$7,,1)*SUM(E238:F238), XLOOKUP(B238,Lookup!$A$14:$A$18,Lookup!$D$14:$D$18,,1)*SUM(E238:F238))</f>
        <v>2960</v>
      </c>
      <c r="H238" s="60">
        <f t="array" ref="H238">if(YEAR(A238)=2025,XLOOKUP(B238,Lookup!$F$3:$F$10,Lookup!$G$3:$G$10,,1)*G238, XLOOKUP(B238,Lookup!$F$14:$F$21,Lookup!$G$14:$G$21,,1)*G238)</f>
        <v>1520.256</v>
      </c>
      <c r="I238" s="60">
        <f t="array" ref="I238">if(B238&lt;55, if(YEAR(A238)=2025,XLOOKUP(B238,Lookup!$F$3:$F$10,Lookup!$H$3:$H$10,,1)*G238, XLOOKUP(B238,Lookup!$F$14:$F$21,Lookup!$H$14:$H$21,,1)*G238),0)</f>
        <v>639.952</v>
      </c>
      <c r="J238" s="60">
        <f t="array" ref="J238">if(YEAR(A238)=2025,XLOOKUP(B238,Lookup!$F$3:$F$10,Lookup!$I$3:$I$10,,1)*G238, XLOOKUP(B238,Lookup!$F$14:$F$21,Lookup!$I$14:$I$21,,1)*G238)</f>
        <v>799.792</v>
      </c>
      <c r="K238" s="61">
        <f t="array" ref="K238">if(B238&gt;54, if(YEAR(A238)=2025,XLOOKUP(B238,Lookup!$F$3:$F$10,Lookup!$H$3:$H$10,,1)*G238, XLOOKUP(B238,Lookup!$F$14:$F$21,Lookup!$H$14:$H$21,,1)*G238),0)</f>
        <v>0</v>
      </c>
      <c r="L238" s="62">
        <f>IF(and(A238&lt;questions!$C$19,questions!$C$18="yes"),questions!$C$20,0)</f>
        <v>0</v>
      </c>
      <c r="M238" s="63">
        <f>(Y237+H238)*Lookup!A$26/12</f>
        <v>749.3111272</v>
      </c>
      <c r="N238" s="63">
        <f>if(B238&lt;55, (Z237+I238)*Lookup!B$26/12, (AB237+K238)*Lookup!B$26/12)</f>
        <v>992.0489331</v>
      </c>
      <c r="O238" s="63">
        <f>(AA237+J238)*Lookup!C$26/12</f>
        <v>508.9246536</v>
      </c>
      <c r="P238" s="63">
        <f t="shared" si="8"/>
        <v>7403.087272</v>
      </c>
      <c r="Q238" s="63">
        <f t="shared" si="4"/>
        <v>9779.174984</v>
      </c>
      <c r="R238" s="63">
        <f t="shared" si="5"/>
        <v>5025.392964</v>
      </c>
      <c r="S238" s="64">
        <f t="shared" si="9"/>
        <v>16.66666667</v>
      </c>
      <c r="T238" s="64">
        <f t="shared" si="10"/>
        <v>33.33333333</v>
      </c>
      <c r="U238" s="64">
        <f t="shared" si="11"/>
        <v>0</v>
      </c>
      <c r="V238" s="64">
        <f t="shared" ref="V238:X238" si="246">IF(year($A238)=year($A237), V237+S238, S238)</f>
        <v>166.6666667</v>
      </c>
      <c r="W238" s="64">
        <f t="shared" si="246"/>
        <v>333.3333333</v>
      </c>
      <c r="X238" s="64">
        <f t="shared" si="246"/>
        <v>0</v>
      </c>
      <c r="Y238" s="65">
        <f>IFS(
  B238&lt;55,
    MAX(
      Y237 + IF(MONTH(A238)=12, P238+V238, 0) + H238 - L238
      + MAX(0,
          IF(AA237 &gt;= VLOOKUP(YEAR(A238), Lookup!$Q:$R, 2),
            Z237 + IF(MONTH(A238)=12, Q238+W238, 0) + I238
              + AA237 + IF(MONTH(A238)=12, R238+X238, 0)
              - VLOOKUP(YEAR(A238), Lookup!$Q:$R, 2) + J238,
            Z237 + IF(MONTH(A238)=12, Q238+W238, 0) + I238
          ) - VLOOKUP(YEAR(A238), Lookup!$K:$M, 3)
        ),
    0),
  B238=55,
    IF(Z237&gt;=AD238,
      MAX(Y237 + IF(MONTH(A238)=12, P238+V238, 0) + H238 - L238, 0),
      MAX(MAX(0, Y237-(AD238-Z237)) + IF(MONTH(A238)=12, P238+V238, 0) + H238 - L238, 0)
    ),
  B238&gt;55,
    IF(AB237&gt;=$AH$7,
      MAX(Y237 + IF(MONTH(A238)=12, P238+V238, 0) + H238 - L238 + K238 + Z237, 0),
      MAX(Y237 + IF(MONTH(A238)=12, P238+V238, 0) + H238 - L238, 0)
    )
)</f>
        <v>359669.341</v>
      </c>
      <c r="Z238" s="65">
        <f>IFS(
  B238&lt;55,
    MIN(
      IF(AA237 &gt;= VLOOKUP(YEAR(A238), Lookup!$Q:$R, 2),
        Z237 + IF(MONTH(A238)=12, Q238+W238, 0) + I238
          + AA237 + IF(MONTH(A238)=12, R238+X238, 0) - VLOOKUP(YEAR(A238), Lookup!$Q:$R, 2) + J238,
        Z237 + IF(MONTH(A238)=12, Q238+W238, 0) + I238
      ),
      VLOOKUP(YEAR(A238), Lookup!$K:$M, 3)
    ),
  B238=55,
    IF(Z237 &gt;= AD238, Z237 - AD238, 0),
  B238&gt;55, 0
)</f>
        <v>298414.4719</v>
      </c>
      <c r="AA238" s="65">
        <f>IFS(
  B238&lt;65,
    IF(AA237+J238 &lt; VLOOKUP(YEAR(A238), Lookup!$Q:$R, 2),
      AA237 + IF(MONTH(A238)=12, R237+X237, 0) + J238,
      MIN(
        AA237 + IF(MONTH(A238)=12, R237+X237, 0) + J238 ,
        VLOOKUP(YEAR(A238), Lookup!$Q:$R, 2)
      )
    ),
  B238&gt;=65,
    IF(AA237+J238 &lt; VLOOKUP(questions!$C$5, Lookup!$Q:$R, 2),
      AA237 + IF(MONTH(A238)=12, R237+X237, 0) + J238 ,
      MIN(
        AA237 + IF(MONTH(A238)=12, R237+X237, 0) + J238,
        VLOOKUP(questions!$C$5, Lookup!$Q:$R, 2)
      )
    )
)</f>
        <v>151877.6041</v>
      </c>
      <c r="AB238" s="65">
        <f t="shared" si="13"/>
        <v>0</v>
      </c>
      <c r="AC238" s="66">
        <f t="array" ref="AC238">IFS(B238&lt;66, XLOOKUP(year(A238),Lookup!$K$13:$K1000,Lookup!$L$13:$L1000,"missing",,1),B238&gt;65,XLOOKUP(questions!$C$5,Lookup!$K$13:$K1000,Lookup!$L$13:$L1000,"missing",,1))</f>
        <v>211939.5172</v>
      </c>
      <c r="AD238" s="66">
        <f t="array" ref="AD238">IFS(B238&lt;66, XLOOKUP(year(A238),Lookup!$K$13:$K1000,Lookup!$M$13:$M1000,"missing",,1),B238&gt;65, XLOOKUP(questions!$C$5,Lookup!$K$13:$K1000,Lookup!$M$13:$M1000,"missing",,1))</f>
        <v>423879.0344</v>
      </c>
      <c r="AE238" s="66">
        <f t="array" ref="AE238">IFS(B238&lt;66, XLOOKUP(year(A238),Lookup!$K$13:$K1000,Lookup!$N$13:$N1000,"missing",,1),B238&gt;65,XLOOKUP(questions!$C$5,Lookup!$K$13:$K1000,Lookup!$N$13:$N1000,"missing",,1))</f>
        <v>847758.0688</v>
      </c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</row>
    <row r="239">
      <c r="A239" s="55">
        <f t="shared" si="7"/>
        <v>53296</v>
      </c>
      <c r="B239" s="56">
        <f>round(YEARFRAC(EOMONTH(questions!$C$3, 0),A239,1),2)</f>
        <v>47</v>
      </c>
      <c r="C239" s="57">
        <f>IF(B239&lt;questions!$C$6,if(MONTH(A239)=1,C238*(1+questions!$C$12),C238),0)</f>
        <v>17535.06053</v>
      </c>
      <c r="D239" s="58">
        <f>IF(MONTH(A239)=12,C239*questions!$C$11,0)</f>
        <v>0</v>
      </c>
      <c r="E239" s="59">
        <f t="shared" si="2"/>
        <v>8000</v>
      </c>
      <c r="F239" s="59">
        <f t="shared" si="3"/>
        <v>0</v>
      </c>
      <c r="G239" s="60">
        <f t="array" ref="G239">if(YEAR(A239)=2025,XLOOKUP(B239,Lookup!$A$3:$A$7,Lookup!$D$3:$D$7,,1)*SUM(E239:F239), XLOOKUP(B239,Lookup!$A$14:$A$18,Lookup!$D$14:$D$18,,1)*SUM(E239:F239))</f>
        <v>2960</v>
      </c>
      <c r="H239" s="60">
        <f t="array" ref="H239">if(YEAR(A239)=2025,XLOOKUP(B239,Lookup!$F$3:$F$10,Lookup!$G$3:$G$10,,1)*G239, XLOOKUP(B239,Lookup!$F$14:$F$21,Lookup!$G$14:$G$21,,1)*G239)</f>
        <v>1520.256</v>
      </c>
      <c r="I239" s="60">
        <f t="array" ref="I239">if(B239&lt;55, if(YEAR(A239)=2025,XLOOKUP(B239,Lookup!$F$3:$F$10,Lookup!$H$3:$H$10,,1)*G239, XLOOKUP(B239,Lookup!$F$14:$F$21,Lookup!$H$14:$H$21,,1)*G239),0)</f>
        <v>639.952</v>
      </c>
      <c r="J239" s="60">
        <f t="array" ref="J239">if(YEAR(A239)=2025,XLOOKUP(B239,Lookup!$F$3:$F$10,Lookup!$I$3:$I$10,,1)*G239, XLOOKUP(B239,Lookup!$F$14:$F$21,Lookup!$I$14:$I$21,,1)*G239)</f>
        <v>799.792</v>
      </c>
      <c r="K239" s="61">
        <f t="array" ref="K239">if(B239&gt;54, if(YEAR(A239)=2025,XLOOKUP(B239,Lookup!$F$3:$F$10,Lookup!$H$3:$H$10,,1)*G239, XLOOKUP(B239,Lookup!$F$14:$F$21,Lookup!$H$14:$H$21,,1)*G239),0)</f>
        <v>0</v>
      </c>
      <c r="L239" s="62">
        <f>IF(and(A239&lt;questions!$C$19,questions!$C$18="yes"),questions!$C$20,0)</f>
        <v>0</v>
      </c>
      <c r="M239" s="63">
        <f>(Y238+H239)*Lookup!A$26/12</f>
        <v>752.4783272</v>
      </c>
      <c r="N239" s="63">
        <f>if(B239&lt;55, (Z238+I239)*Lookup!B$26/12, (AB238+K239)*Lookup!B$26/12)</f>
        <v>996.8480798</v>
      </c>
      <c r="O239" s="63">
        <f>(AA238+J239)*Lookup!C$26/12</f>
        <v>508.9246536</v>
      </c>
      <c r="P239" s="63">
        <f t="shared" si="8"/>
        <v>8155.565599</v>
      </c>
      <c r="Q239" s="63">
        <f t="shared" si="4"/>
        <v>10776.02306</v>
      </c>
      <c r="R239" s="63">
        <f t="shared" si="5"/>
        <v>5534.317618</v>
      </c>
      <c r="S239" s="64">
        <f t="shared" si="9"/>
        <v>16.66666667</v>
      </c>
      <c r="T239" s="64">
        <f t="shared" si="10"/>
        <v>33.33333333</v>
      </c>
      <c r="U239" s="64">
        <f t="shared" si="11"/>
        <v>0</v>
      </c>
      <c r="V239" s="64">
        <f t="shared" ref="V239:X239" si="247">IF(year($A239)=year($A238), V238+S239, S239)</f>
        <v>183.3333333</v>
      </c>
      <c r="W239" s="64">
        <f t="shared" si="247"/>
        <v>366.6666667</v>
      </c>
      <c r="X239" s="64">
        <f t="shared" si="247"/>
        <v>0</v>
      </c>
      <c r="Y239" s="65">
        <f>IFS(
  B239&lt;55,
    MAX(
      Y238 + IF(MONTH(A239)=12, P239+V239, 0) + H239 - L239
      + MAX(0,
          IF(AA238 &gt;= VLOOKUP(YEAR(A239), Lookup!$Q:$R, 2),
            Z238 + IF(MONTH(A239)=12, Q239+W239, 0) + I239
              + AA238 + IF(MONTH(A239)=12, R239+X239, 0)
              - VLOOKUP(YEAR(A239), Lookup!$Q:$R, 2) + J239,
            Z238 + IF(MONTH(A239)=12, Q239+W239, 0) + I239
          ) - VLOOKUP(YEAR(A239), Lookup!$K:$M, 3)
        ),
    0),
  B239=55,
    IF(Z238&gt;=AD239,
      MAX(Y238 + IF(MONTH(A239)=12, P239+V239, 0) + H239 - L239, 0),
      MAX(MAX(0, Y238-(AD239-Z238)) + IF(MONTH(A239)=12, P239+V239, 0) + H239 - L239, 0)
    ),
  B239&gt;55,
    IF(AB238&gt;=$AH$7,
      MAX(Y238 + IF(MONTH(A239)=12, P239+V239, 0) + H239 - L239 + K239 + Z238, 0),
      MAX(Y238 + IF(MONTH(A239)=12, P239+V239, 0) + H239 - L239, 0)
    )
)</f>
        <v>361189.597</v>
      </c>
      <c r="Z239" s="65">
        <f>IFS(
  B239&lt;55,
    MIN(
      IF(AA238 &gt;= VLOOKUP(YEAR(A239), Lookup!$Q:$R, 2),
        Z238 + IF(MONTH(A239)=12, Q239+W239, 0) + I239
          + AA238 + IF(MONTH(A239)=12, R239+X239, 0) - VLOOKUP(YEAR(A239), Lookup!$Q:$R, 2) + J239,
        Z238 + IF(MONTH(A239)=12, Q239+W239, 0) + I239
      ),
      VLOOKUP(YEAR(A239), Lookup!$K:$M, 3)
    ),
  B239=55,
    IF(Z238 &gt;= AD239, Z238 - AD239, 0),
  B239&gt;55, 0
)</f>
        <v>299854.2159</v>
      </c>
      <c r="AA239" s="65">
        <f>IFS(
  B239&lt;65,
    IF(AA238+J239 &lt; VLOOKUP(YEAR(A239), Lookup!$Q:$R, 2),
      AA238 + IF(MONTH(A239)=12, R238+X238, 0) + J239,
      MIN(
        AA238 + IF(MONTH(A239)=12, R238+X238, 0) + J239 ,
        VLOOKUP(YEAR(A239), Lookup!$Q:$R, 2)
      )
    ),
  B239&gt;=65,
    IF(AA238+J239 &lt; VLOOKUP(questions!$C$5, Lookup!$Q:$R, 2),
      AA238 + IF(MONTH(A239)=12, R238+X238, 0) + J239 ,
      MIN(
        AA238 + IF(MONTH(A239)=12, R238+X238, 0) + J239,
        VLOOKUP(questions!$C$5, Lookup!$Q:$R, 2)
      )
    )
)</f>
        <v>151877.6041</v>
      </c>
      <c r="AB239" s="65">
        <f t="shared" si="13"/>
        <v>0</v>
      </c>
      <c r="AC239" s="66">
        <f t="array" ref="AC239">IFS(B239&lt;66, XLOOKUP(year(A239),Lookup!$K$13:$K1000,Lookup!$L$13:$L1000,"missing",,1),B239&gt;65,XLOOKUP(questions!$C$5,Lookup!$K$13:$K1000,Lookup!$L$13:$L1000,"missing",,1))</f>
        <v>211939.5172</v>
      </c>
      <c r="AD239" s="66">
        <f t="array" ref="AD239">IFS(B239&lt;66, XLOOKUP(year(A239),Lookup!$K$13:$K1000,Lookup!$M$13:$M1000,"missing",,1),B239&gt;65, XLOOKUP(questions!$C$5,Lookup!$K$13:$K1000,Lookup!$M$13:$M1000,"missing",,1))</f>
        <v>423879.0344</v>
      </c>
      <c r="AE239" s="66">
        <f t="array" ref="AE239">IFS(B239&lt;66, XLOOKUP(year(A239),Lookup!$K$13:$K1000,Lookup!$N$13:$N1000,"missing",,1),B239&gt;65,XLOOKUP(questions!$C$5,Lookup!$K$13:$K1000,Lookup!$N$13:$N1000,"missing",,1))</f>
        <v>847758.0688</v>
      </c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</row>
    <row r="240">
      <c r="A240" s="55">
        <f t="shared" si="7"/>
        <v>53327</v>
      </c>
      <c r="B240" s="56">
        <f>round(YEARFRAC(EOMONTH(questions!$C$3, 0),A240,1),2)</f>
        <v>47.08</v>
      </c>
      <c r="C240" s="57">
        <f>IF(B240&lt;questions!$C$6,if(MONTH(A240)=1,C239*(1+questions!$C$12),C239),0)</f>
        <v>17535.06053</v>
      </c>
      <c r="D240" s="57">
        <f>IF(MONTH(A240)=12,C240*questions!$C$11,0)</f>
        <v>17535.06053</v>
      </c>
      <c r="E240" s="59">
        <f t="shared" si="2"/>
        <v>8000</v>
      </c>
      <c r="F240" s="59">
        <f t="shared" si="3"/>
        <v>6000</v>
      </c>
      <c r="G240" s="60">
        <f t="array" ref="G240">if(YEAR(A240)=2025,XLOOKUP(B240,Lookup!$A$3:$A$7,Lookup!$D$3:$D$7,,1)*SUM(E240:F240), XLOOKUP(B240,Lookup!$A$14:$A$18,Lookup!$D$14:$D$18,,1)*SUM(E240:F240))</f>
        <v>5180</v>
      </c>
      <c r="H240" s="60">
        <f t="array" ref="H240">if(YEAR(A240)=2025,XLOOKUP(B240,Lookup!$F$3:$F$10,Lookup!$G$3:$G$10,,1)*G240, XLOOKUP(B240,Lookup!$F$14:$F$21,Lookup!$G$14:$G$21,,1)*G240)</f>
        <v>2660.448</v>
      </c>
      <c r="I240" s="60">
        <f t="array" ref="I240">if(B240&lt;55, if(YEAR(A240)=2025,XLOOKUP(B240,Lookup!$F$3:$F$10,Lookup!$H$3:$H$10,,1)*G240, XLOOKUP(B240,Lookup!$F$14:$F$21,Lookup!$H$14:$H$21,,1)*G240),0)</f>
        <v>1119.916</v>
      </c>
      <c r="J240" s="60">
        <f t="array" ref="J240">if(YEAR(A240)=2025,XLOOKUP(B240,Lookup!$F$3:$F$10,Lookup!$I$3:$I$10,,1)*G240, XLOOKUP(B240,Lookup!$F$14:$F$21,Lookup!$I$14:$I$21,,1)*G240)</f>
        <v>1399.636</v>
      </c>
      <c r="K240" s="61">
        <f t="array" ref="K240">if(B240&gt;54, if(YEAR(A240)=2025,XLOOKUP(B240,Lookup!$F$3:$F$10,Lookup!$H$3:$H$10,,1)*G240, XLOOKUP(B240,Lookup!$F$14:$F$21,Lookup!$H$14:$H$21,,1)*G240),0)</f>
        <v>0</v>
      </c>
      <c r="L240" s="62">
        <f>IF(and(A240&lt;questions!$C$19,questions!$C$18="yes"),questions!$C$20,0)</f>
        <v>0</v>
      </c>
      <c r="M240" s="63">
        <f>(Y239+H240)*Lookup!A$26/12</f>
        <v>758.0209272</v>
      </c>
      <c r="N240" s="63">
        <f>if(B240&lt;55, (Z239+I240)*Lookup!B$26/12, (AB239+K240)*Lookup!B$26/12)</f>
        <v>1003.247106</v>
      </c>
      <c r="O240" s="63">
        <f>(AA239+J240)*Lookup!C$26/12</f>
        <v>510.9241336</v>
      </c>
      <c r="P240" s="63">
        <f t="shared" si="8"/>
        <v>8913.586526</v>
      </c>
      <c r="Q240" s="63">
        <f t="shared" si="4"/>
        <v>11779.27017</v>
      </c>
      <c r="R240" s="63">
        <f t="shared" si="5"/>
        <v>6045.241752</v>
      </c>
      <c r="S240" s="64">
        <f t="shared" si="9"/>
        <v>16.66666667</v>
      </c>
      <c r="T240" s="64">
        <f t="shared" si="10"/>
        <v>33.33333333</v>
      </c>
      <c r="U240" s="64">
        <f t="shared" si="11"/>
        <v>0</v>
      </c>
      <c r="V240" s="64">
        <f t="shared" ref="V240:X240" si="248">IF(year($A240)=year($A239), V239+S240, S240)</f>
        <v>200</v>
      </c>
      <c r="W240" s="64">
        <f t="shared" si="248"/>
        <v>400</v>
      </c>
      <c r="X240" s="64">
        <f t="shared" si="248"/>
        <v>0</v>
      </c>
      <c r="Y240" s="65">
        <f>IFS(
  B240&lt;55,
    MAX(
      Y239 + IF(MONTH(A240)=12, P240+V240, 0) + H240 - L240
      + MAX(0,
          IF(AA239 &gt;= VLOOKUP(YEAR(A240), Lookup!$Q:$R, 2),
            Z239 + IF(MONTH(A240)=12, Q240+W240, 0) + I240
              + AA239 + IF(MONTH(A240)=12, R240+X240, 0)
              - VLOOKUP(YEAR(A240), Lookup!$Q:$R, 2) + J240,
            Z239 + IF(MONTH(A240)=12, Q240+W240, 0) + I240
          ) - VLOOKUP(YEAR(A240), Lookup!$K:$M, 3)
        ),
    0),
  B240=55,
    IF(Z239&gt;=AD240,
      MAX(Y239 + IF(MONTH(A240)=12, P240+V240, 0) + H240 - L240, 0),
      MAX(MAX(0, Y239-(AD240-Z239)) + IF(MONTH(A240)=12, P240+V240, 0) + H240 - L240, 0)
    ),
  B240&gt;55,
    IF(AB239&gt;=$AH$7,
      MAX(Y239 + IF(MONTH(A240)=12, P240+V240, 0) + H240 - L240 + K240 + Z239, 0),
      MAX(Y239 + IF(MONTH(A240)=12, P240+V240, 0) + H240 - L240, 0)
    )
)</f>
        <v>372963.6316</v>
      </c>
      <c r="Z240" s="65">
        <f>IFS(
  B240&lt;55,
    MIN(
      IF(AA239 &gt;= VLOOKUP(YEAR(A240), Lookup!$Q:$R, 2),
        Z239 + IF(MONTH(A240)=12, Q240+W240, 0) + I240
          + AA239 + IF(MONTH(A240)=12, R240+X240, 0) - VLOOKUP(YEAR(A240), Lookup!$Q:$R, 2) + J240,
        Z239 + IF(MONTH(A240)=12, Q240+W240, 0) + I240
      ),
      VLOOKUP(YEAR(A240), Lookup!$K:$M, 3)
    ),
  B240=55,
    IF(Z239 &gt;= AD240, Z239 - AD240, 0),
  B240&gt;55, 0
)</f>
        <v>320598.2799</v>
      </c>
      <c r="AA240" s="65">
        <f>IFS(
  B240&lt;65,
    IF(AA239+J240 &lt; VLOOKUP(YEAR(A240), Lookup!$Q:$R, 2),
      AA239 + IF(MONTH(A240)=12, R239+X239, 0) + J240,
      MIN(
        AA239 + IF(MONTH(A240)=12, R239+X239, 0) + J240 ,
        VLOOKUP(YEAR(A240), Lookup!$Q:$R, 2)
      )
    ),
  B240&gt;=65,
    IF(AA239+J240 &lt; VLOOKUP(questions!$C$5, Lookup!$Q:$R, 2),
      AA239 + IF(MONTH(A240)=12, R239+X239, 0) + J240 ,
      MIN(
        AA239 + IF(MONTH(A240)=12, R239+X239, 0) + J240,
        VLOOKUP(questions!$C$5, Lookup!$Q:$R, 2)
      )
    )
)</f>
        <v>151877.6041</v>
      </c>
      <c r="AB240" s="65">
        <f t="shared" si="13"/>
        <v>0</v>
      </c>
      <c r="AC240" s="66">
        <f t="array" ref="AC240">IFS(B240&lt;66, XLOOKUP(year(A240),Lookup!$K$13:$K1000,Lookup!$L$13:$L1000,"missing",,1),B240&gt;65,XLOOKUP(questions!$C$5,Lookup!$K$13:$K1000,Lookup!$L$13:$L1000,"missing",,1))</f>
        <v>211939.5172</v>
      </c>
      <c r="AD240" s="66">
        <f t="array" ref="AD240">IFS(B240&lt;66, XLOOKUP(year(A240),Lookup!$K$13:$K1000,Lookup!$M$13:$M1000,"missing",,1),B240&gt;65, XLOOKUP(questions!$C$5,Lookup!$K$13:$K1000,Lookup!$M$13:$M1000,"missing",,1))</f>
        <v>423879.0344</v>
      </c>
      <c r="AE240" s="66">
        <f t="array" ref="AE240">IFS(B240&lt;66, XLOOKUP(year(A240),Lookup!$K$13:$K1000,Lookup!$N$13:$N1000,"missing",,1),B240&gt;65,XLOOKUP(questions!$C$5,Lookup!$K$13:$K1000,Lookup!$N$13:$N1000,"missing",,1))</f>
        <v>847758.0688</v>
      </c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</row>
    <row r="241">
      <c r="A241" s="55">
        <f t="shared" si="7"/>
        <v>53358</v>
      </c>
      <c r="B241" s="56">
        <f>round(YEARFRAC(EOMONTH(questions!$C$3, 0),A241,1),2)</f>
        <v>47.17</v>
      </c>
      <c r="C241" s="57">
        <f>IF(B241&lt;questions!$C$6,if(MONTH(A241)=1,C240*(1+questions!$C$12),C240),0)</f>
        <v>18061.11235</v>
      </c>
      <c r="D241" s="58">
        <f>IF(MONTH(A241)=12,C241*questions!$C$11,0)</f>
        <v>0</v>
      </c>
      <c r="E241" s="59">
        <f t="shared" si="2"/>
        <v>8000</v>
      </c>
      <c r="F241" s="59">
        <f t="shared" si="3"/>
        <v>0</v>
      </c>
      <c r="G241" s="60">
        <f t="array" ref="G241">if(YEAR(A241)=2025,XLOOKUP(B241,Lookup!$A$3:$A$7,Lookup!$D$3:$D$7,,1)*SUM(E241:F241), XLOOKUP(B241,Lookup!$A$14:$A$18,Lookup!$D$14:$D$18,,1)*SUM(E241:F241))</f>
        <v>2960</v>
      </c>
      <c r="H241" s="60">
        <f t="array" ref="H241">if(YEAR(A241)=2025,XLOOKUP(B241,Lookup!$F$3:$F$10,Lookup!$G$3:$G$10,,1)*G241, XLOOKUP(B241,Lookup!$F$14:$F$21,Lookup!$G$14:$G$21,,1)*G241)</f>
        <v>1520.256</v>
      </c>
      <c r="I241" s="60">
        <f t="array" ref="I241">if(B241&lt;55, if(YEAR(A241)=2025,XLOOKUP(B241,Lookup!$F$3:$F$10,Lookup!$H$3:$H$10,,1)*G241, XLOOKUP(B241,Lookup!$F$14:$F$21,Lookup!$H$14:$H$21,,1)*G241),0)</f>
        <v>639.952</v>
      </c>
      <c r="J241" s="60">
        <f t="array" ref="J241">if(YEAR(A241)=2025,XLOOKUP(B241,Lookup!$F$3:$F$10,Lookup!$I$3:$I$10,,1)*G241, XLOOKUP(B241,Lookup!$F$14:$F$21,Lookup!$I$14:$I$21,,1)*G241)</f>
        <v>799.792</v>
      </c>
      <c r="K241" s="61">
        <f t="array" ref="K241">if(B241&gt;54, if(YEAR(A241)=2025,XLOOKUP(B241,Lookup!$F$3:$F$10,Lookup!$H$3:$H$10,,1)*G241, XLOOKUP(B241,Lookup!$F$14:$F$21,Lookup!$H$14:$H$21,,1)*G241),0)</f>
        <v>0</v>
      </c>
      <c r="L241" s="62">
        <f>IF(and(A241&lt;questions!$C$19,questions!$C$18="yes"),questions!$C$20,0)</f>
        <v>0</v>
      </c>
      <c r="M241" s="63">
        <f>(Y240+H241)*Lookup!A$26/12</f>
        <v>780.1747658</v>
      </c>
      <c r="N241" s="63">
        <f>if(B241&lt;55, (Z240+I241)*Lookup!B$26/12, (AB240+K241)*Lookup!B$26/12)</f>
        <v>1070.794106</v>
      </c>
      <c r="O241" s="63">
        <f>(AA240+J241)*Lookup!C$26/12</f>
        <v>508.9246536</v>
      </c>
      <c r="P241" s="63">
        <f t="shared" si="8"/>
        <v>780.1747658</v>
      </c>
      <c r="Q241" s="63">
        <f t="shared" si="4"/>
        <v>1070.794106</v>
      </c>
      <c r="R241" s="63">
        <f t="shared" si="5"/>
        <v>508.9246536</v>
      </c>
      <c r="S241" s="64">
        <f t="shared" si="9"/>
        <v>16.66666667</v>
      </c>
      <c r="T241" s="64">
        <f t="shared" si="10"/>
        <v>33.33333333</v>
      </c>
      <c r="U241" s="64">
        <f t="shared" si="11"/>
        <v>0</v>
      </c>
      <c r="V241" s="64">
        <f t="shared" ref="V241:X241" si="249">IF(year($A241)=year($A240), V240+S241, S241)</f>
        <v>16.66666667</v>
      </c>
      <c r="W241" s="64">
        <f t="shared" si="249"/>
        <v>33.33333333</v>
      </c>
      <c r="X241" s="64">
        <f t="shared" si="249"/>
        <v>0</v>
      </c>
      <c r="Y241" s="65">
        <f>IFS(
  B241&lt;55,
    MAX(
      Y240 + IF(MONTH(A241)=12, P241+V241, 0) + H241 - L241
      + MAX(0,
          IF(AA240 &gt;= VLOOKUP(YEAR(A241), Lookup!$Q:$R, 2),
            Z240 + IF(MONTH(A241)=12, Q241+W241, 0) + I241
              + AA240 + IF(MONTH(A241)=12, R241+X241, 0)
              - VLOOKUP(YEAR(A241), Lookup!$Q:$R, 2) + J241,
            Z240 + IF(MONTH(A241)=12, Q241+W241, 0) + I241
          ) - VLOOKUP(YEAR(A241), Lookup!$K:$M, 3)
        ),
    0),
  B241=55,
    IF(Z240&gt;=AD241,
      MAX(Y240 + IF(MONTH(A241)=12, P241+V241, 0) + H241 - L241, 0),
      MAX(MAX(0, Y240-(AD241-Z240)) + IF(MONTH(A241)=12, P241+V241, 0) + H241 - L241, 0)
    ),
  B241&gt;55,
    IF(AB240&gt;=$AH$7,
      MAX(Y240 + IF(MONTH(A241)=12, P241+V241, 0) + H241 - L241 + K241 + Z240, 0),
      MAX(Y240 + IF(MONTH(A241)=12, P241+V241, 0) + H241 - L241, 0)
    )
)</f>
        <v>374483.8876</v>
      </c>
      <c r="Z241" s="65">
        <f>IFS(
  B241&lt;55,
    MIN(
      IF(AA240 &gt;= VLOOKUP(YEAR(A241), Lookup!$Q:$R, 2),
        Z240 + IF(MONTH(A241)=12, Q241+W241, 0) + I241
          + AA240 + IF(MONTH(A241)=12, R241+X241, 0) - VLOOKUP(YEAR(A241), Lookup!$Q:$R, 2) + J241,
        Z240 + IF(MONTH(A241)=12, Q241+W241, 0) + I241
      ),
      VLOOKUP(YEAR(A241), Lookup!$K:$M, 3)
    ),
  B241=55,
    IF(Z240 &gt;= AD241, Z240 - AD241, 0),
  B241&gt;55, 0
)</f>
        <v>321238.2319</v>
      </c>
      <c r="AA241" s="65">
        <f>IFS(
  B241&lt;65,
    IF(AA240+J241 &lt; VLOOKUP(YEAR(A241), Lookup!$Q:$R, 2),
      AA240 + IF(MONTH(A241)=12, R240+X240, 0) + J241,
      MIN(
        AA240 + IF(MONTH(A241)=12, R240+X240, 0) + J241 ,
        VLOOKUP(YEAR(A241), Lookup!$Q:$R, 2)
      )
    ),
  B241&gt;=65,
    IF(AA240+J241 &lt; VLOOKUP(questions!$C$5, Lookup!$Q:$R, 2),
      AA240 + IF(MONTH(A241)=12, R240+X240, 0) + J241 ,
      MIN(
        AA240 + IF(MONTH(A241)=12, R240+X240, 0) + J241,
        VLOOKUP(questions!$C$5, Lookup!$Q:$R, 2)
      )
    )
)</f>
        <v>152677.3961</v>
      </c>
      <c r="AB241" s="65">
        <f t="shared" si="13"/>
        <v>0</v>
      </c>
      <c r="AC241" s="66">
        <f t="array" ref="AC241">IFS(B241&lt;66, XLOOKUP(year(A241),Lookup!$K$13:$K1000,Lookup!$L$13:$L1000,"missing",,1),B241&gt;65,XLOOKUP(questions!$C$5,Lookup!$K$13:$K1000,Lookup!$L$13:$L1000,"missing",,1))</f>
        <v>219357.4003</v>
      </c>
      <c r="AD241" s="66">
        <f t="array" ref="AD241">IFS(B241&lt;66, XLOOKUP(year(A241),Lookup!$K$13:$K1000,Lookup!$M$13:$M1000,"missing",,1),B241&gt;65, XLOOKUP(questions!$C$5,Lookup!$K$13:$K1000,Lookup!$M$13:$M1000,"missing",,1))</f>
        <v>438714.8006</v>
      </c>
      <c r="AE241" s="66">
        <f t="array" ref="AE241">IFS(B241&lt;66, XLOOKUP(year(A241),Lookup!$K$13:$K1000,Lookup!$N$13:$N1000,"missing",,1),B241&gt;65,XLOOKUP(questions!$C$5,Lookup!$K$13:$K1000,Lookup!$N$13:$N1000,"missing",,1))</f>
        <v>877429.6012</v>
      </c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</row>
    <row r="242">
      <c r="A242" s="55">
        <f t="shared" si="7"/>
        <v>53386</v>
      </c>
      <c r="B242" s="56">
        <f>round(YEARFRAC(EOMONTH(questions!$C$3, 0),A242,1),2)</f>
        <v>47.25</v>
      </c>
      <c r="C242" s="57">
        <f>IF(B242&lt;questions!$C$6,if(MONTH(A242)=1,C241*(1+questions!$C$12),C241),0)</f>
        <v>18061.11235</v>
      </c>
      <c r="D242" s="58">
        <f>IF(MONTH(A242)=12,C242*questions!$C$11,0)</f>
        <v>0</v>
      </c>
      <c r="E242" s="59">
        <f t="shared" si="2"/>
        <v>8000</v>
      </c>
      <c r="F242" s="59">
        <f t="shared" si="3"/>
        <v>0</v>
      </c>
      <c r="G242" s="60">
        <f t="array" ref="G242">if(YEAR(A242)=2025,XLOOKUP(B242,Lookup!$A$3:$A$7,Lookup!$D$3:$D$7,,1)*SUM(E242:F242), XLOOKUP(B242,Lookup!$A$14:$A$18,Lookup!$D$14:$D$18,,1)*SUM(E242:F242))</f>
        <v>2960</v>
      </c>
      <c r="H242" s="60">
        <f t="array" ref="H242">if(YEAR(A242)=2025,XLOOKUP(B242,Lookup!$F$3:$F$10,Lookup!$G$3:$G$10,,1)*G242, XLOOKUP(B242,Lookup!$F$14:$F$21,Lookup!$G$14:$G$21,,1)*G242)</f>
        <v>1520.256</v>
      </c>
      <c r="I242" s="60">
        <f t="array" ref="I242">if(B242&lt;55, if(YEAR(A242)=2025,XLOOKUP(B242,Lookup!$F$3:$F$10,Lookup!$H$3:$H$10,,1)*G242, XLOOKUP(B242,Lookup!$F$14:$F$21,Lookup!$H$14:$H$21,,1)*G242),0)</f>
        <v>639.952</v>
      </c>
      <c r="J242" s="60">
        <f t="array" ref="J242">if(YEAR(A242)=2025,XLOOKUP(B242,Lookup!$F$3:$F$10,Lookup!$I$3:$I$10,,1)*G242, XLOOKUP(B242,Lookup!$F$14:$F$21,Lookup!$I$14:$I$21,,1)*G242)</f>
        <v>799.792</v>
      </c>
      <c r="K242" s="61">
        <f t="array" ref="K242">if(B242&gt;54, if(YEAR(A242)=2025,XLOOKUP(B242,Lookup!$F$3:$F$10,Lookup!$H$3:$H$10,,1)*G242, XLOOKUP(B242,Lookup!$F$14:$F$21,Lookup!$H$14:$H$21,,1)*G242),0)</f>
        <v>0</v>
      </c>
      <c r="L242" s="62">
        <f>IF(and(A242&lt;questions!$C$19,questions!$C$18="yes"),questions!$C$20,0)</f>
        <v>0</v>
      </c>
      <c r="M242" s="63">
        <f>(Y241+H242)*Lookup!A$26/12</f>
        <v>783.3419658</v>
      </c>
      <c r="N242" s="63">
        <f>if(B242&lt;55, (Z241+I242)*Lookup!B$26/12, (AB241+K242)*Lookup!B$26/12)</f>
        <v>1072.92728</v>
      </c>
      <c r="O242" s="63">
        <f>(AA241+J242)*Lookup!C$26/12</f>
        <v>511.5906269</v>
      </c>
      <c r="P242" s="63">
        <f t="shared" si="8"/>
        <v>1563.516732</v>
      </c>
      <c r="Q242" s="63">
        <f t="shared" si="4"/>
        <v>2143.721386</v>
      </c>
      <c r="R242" s="63">
        <f t="shared" si="5"/>
        <v>1020.51528</v>
      </c>
      <c r="S242" s="64">
        <f t="shared" si="9"/>
        <v>16.66666667</v>
      </c>
      <c r="T242" s="64">
        <f t="shared" si="10"/>
        <v>33.33333333</v>
      </c>
      <c r="U242" s="64">
        <f t="shared" si="11"/>
        <v>0</v>
      </c>
      <c r="V242" s="64">
        <f t="shared" ref="V242:X242" si="250">IF(year($A242)=year($A241), V241+S242, S242)</f>
        <v>33.33333333</v>
      </c>
      <c r="W242" s="64">
        <f t="shared" si="250"/>
        <v>66.66666667</v>
      </c>
      <c r="X242" s="64">
        <f t="shared" si="250"/>
        <v>0</v>
      </c>
      <c r="Y242" s="65">
        <f>IFS(
  B242&lt;55,
    MAX(
      Y241 + IF(MONTH(A242)=12, P242+V242, 0) + H242 - L242
      + MAX(0,
          IF(AA241 &gt;= VLOOKUP(YEAR(A242), Lookup!$Q:$R, 2),
            Z241 + IF(MONTH(A242)=12, Q242+W242, 0) + I242
              + AA241 + IF(MONTH(A242)=12, R242+X242, 0)
              - VLOOKUP(YEAR(A242), Lookup!$Q:$R, 2) + J242,
            Z241 + IF(MONTH(A242)=12, Q242+W242, 0) + I242
          ) - VLOOKUP(YEAR(A242), Lookup!$K:$M, 3)
        ),
    0),
  B242=55,
    IF(Z241&gt;=AD242,
      MAX(Y241 + IF(MONTH(A242)=12, P242+V242, 0) + H242 - L242, 0),
      MAX(MAX(0, Y241-(AD242-Z241)) + IF(MONTH(A242)=12, P242+V242, 0) + H242 - L242, 0)
    ),
  B242&gt;55,
    IF(AB241&gt;=$AH$7,
      MAX(Y241 + IF(MONTH(A242)=12, P242+V242, 0) + H242 - L242 + K242 + Z241, 0),
      MAX(Y241 + IF(MONTH(A242)=12, P242+V242, 0) + H242 - L242, 0)
    )
)</f>
        <v>376004.1436</v>
      </c>
      <c r="Z242" s="65">
        <f>IFS(
  B242&lt;55,
    MIN(
      IF(AA241 &gt;= VLOOKUP(YEAR(A242), Lookup!$Q:$R, 2),
        Z241 + IF(MONTH(A242)=12, Q242+W242, 0) + I242
          + AA241 + IF(MONTH(A242)=12, R242+X242, 0) - VLOOKUP(YEAR(A242), Lookup!$Q:$R, 2) + J242,
        Z241 + IF(MONTH(A242)=12, Q242+W242, 0) + I242
      ),
      VLOOKUP(YEAR(A242), Lookup!$K:$M, 3)
    ),
  B242=55,
    IF(Z241 &gt;= AD242, Z241 - AD242, 0),
  B242&gt;55, 0
)</f>
        <v>321878.1839</v>
      </c>
      <c r="AA242" s="65">
        <f>IFS(
  B242&lt;65,
    IF(AA241+J242 &lt; VLOOKUP(YEAR(A242), Lookup!$Q:$R, 2),
      AA241 + IF(MONTH(A242)=12, R241+X241, 0) + J242,
      MIN(
        AA241 + IF(MONTH(A242)=12, R241+X241, 0) + J242 ,
        VLOOKUP(YEAR(A242), Lookup!$Q:$R, 2)
      )
    ),
  B242&gt;=65,
    IF(AA241+J242 &lt; VLOOKUP(questions!$C$5, Lookup!$Q:$R, 2),
      AA241 + IF(MONTH(A242)=12, R241+X241, 0) + J242 ,
      MIN(
        AA241 + IF(MONTH(A242)=12, R241+X241, 0) + J242,
        VLOOKUP(questions!$C$5, Lookup!$Q:$R, 2)
      )
    )
)</f>
        <v>153477.1881</v>
      </c>
      <c r="AB242" s="65">
        <f t="shared" si="13"/>
        <v>0</v>
      </c>
      <c r="AC242" s="66">
        <f t="array" ref="AC242">IFS(B242&lt;66, XLOOKUP(year(A242),Lookup!$K$13:$K1000,Lookup!$L$13:$L1000,"missing",,1),B242&gt;65,XLOOKUP(questions!$C$5,Lookup!$K$13:$K1000,Lookup!$L$13:$L1000,"missing",,1))</f>
        <v>219357.4003</v>
      </c>
      <c r="AD242" s="66">
        <f t="array" ref="AD242">IFS(B242&lt;66, XLOOKUP(year(A242),Lookup!$K$13:$K1000,Lookup!$M$13:$M1000,"missing",,1),B242&gt;65, XLOOKUP(questions!$C$5,Lookup!$K$13:$K1000,Lookup!$M$13:$M1000,"missing",,1))</f>
        <v>438714.8006</v>
      </c>
      <c r="AE242" s="66">
        <f t="array" ref="AE242">IFS(B242&lt;66, XLOOKUP(year(A242),Lookup!$K$13:$K1000,Lookup!$N$13:$N1000,"missing",,1),B242&gt;65,XLOOKUP(questions!$C$5,Lookup!$K$13:$K1000,Lookup!$N$13:$N1000,"missing",,1))</f>
        <v>877429.6012</v>
      </c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</row>
    <row r="243">
      <c r="A243" s="55">
        <f t="shared" si="7"/>
        <v>53417</v>
      </c>
      <c r="B243" s="56">
        <f>round(YEARFRAC(EOMONTH(questions!$C$3, 0),A243,1),2)</f>
        <v>47.33</v>
      </c>
      <c r="C243" s="57">
        <f>IF(B243&lt;questions!$C$6,if(MONTH(A243)=1,C242*(1+questions!$C$12),C242),0)</f>
        <v>18061.11235</v>
      </c>
      <c r="D243" s="58">
        <f>IF(MONTH(A243)=12,C243*questions!$C$11,0)</f>
        <v>0</v>
      </c>
      <c r="E243" s="59">
        <f t="shared" si="2"/>
        <v>8000</v>
      </c>
      <c r="F243" s="59">
        <f t="shared" si="3"/>
        <v>0</v>
      </c>
      <c r="G243" s="60">
        <f t="array" ref="G243">if(YEAR(A243)=2025,XLOOKUP(B243,Lookup!$A$3:$A$7,Lookup!$D$3:$D$7,,1)*SUM(E243:F243), XLOOKUP(B243,Lookup!$A$14:$A$18,Lookup!$D$14:$D$18,,1)*SUM(E243:F243))</f>
        <v>2960</v>
      </c>
      <c r="H243" s="60">
        <f t="array" ref="H243">if(YEAR(A243)=2025,XLOOKUP(B243,Lookup!$F$3:$F$10,Lookup!$G$3:$G$10,,1)*G243, XLOOKUP(B243,Lookup!$F$14:$F$21,Lookup!$G$14:$G$21,,1)*G243)</f>
        <v>1520.256</v>
      </c>
      <c r="I243" s="60">
        <f t="array" ref="I243">if(B243&lt;55, if(YEAR(A243)=2025,XLOOKUP(B243,Lookup!$F$3:$F$10,Lookup!$H$3:$H$10,,1)*G243, XLOOKUP(B243,Lookup!$F$14:$F$21,Lookup!$H$14:$H$21,,1)*G243),0)</f>
        <v>639.952</v>
      </c>
      <c r="J243" s="60">
        <f t="array" ref="J243">if(YEAR(A243)=2025,XLOOKUP(B243,Lookup!$F$3:$F$10,Lookup!$I$3:$I$10,,1)*G243, XLOOKUP(B243,Lookup!$F$14:$F$21,Lookup!$I$14:$I$21,,1)*G243)</f>
        <v>799.792</v>
      </c>
      <c r="K243" s="61">
        <f t="array" ref="K243">if(B243&gt;54, if(YEAR(A243)=2025,XLOOKUP(B243,Lookup!$F$3:$F$10,Lookup!$H$3:$H$10,,1)*G243, XLOOKUP(B243,Lookup!$F$14:$F$21,Lookup!$H$14:$H$21,,1)*G243),0)</f>
        <v>0</v>
      </c>
      <c r="L243" s="62">
        <f>IF(and(A243&lt;questions!$C$19,questions!$C$18="yes"),questions!$C$20,0)</f>
        <v>0</v>
      </c>
      <c r="M243" s="63">
        <f>(Y242+H243)*Lookup!A$26/12</f>
        <v>786.5091658</v>
      </c>
      <c r="N243" s="63">
        <f>if(B243&lt;55, (Z242+I243)*Lookup!B$26/12, (AB242+K243)*Lookup!B$26/12)</f>
        <v>1075.060453</v>
      </c>
      <c r="O243" s="63">
        <f>(AA242+J243)*Lookup!C$26/12</f>
        <v>514.2566002</v>
      </c>
      <c r="P243" s="63">
        <f t="shared" si="8"/>
        <v>2350.025897</v>
      </c>
      <c r="Q243" s="63">
        <f t="shared" si="4"/>
        <v>3218.781839</v>
      </c>
      <c r="R243" s="63">
        <f t="shared" si="5"/>
        <v>1534.771881</v>
      </c>
      <c r="S243" s="64">
        <f t="shared" si="9"/>
        <v>16.66666667</v>
      </c>
      <c r="T243" s="64">
        <f t="shared" si="10"/>
        <v>33.33333333</v>
      </c>
      <c r="U243" s="64">
        <f t="shared" si="11"/>
        <v>0</v>
      </c>
      <c r="V243" s="64">
        <f t="shared" ref="V243:X243" si="251">IF(year($A243)=year($A242), V242+S243, S243)</f>
        <v>50</v>
      </c>
      <c r="W243" s="64">
        <f t="shared" si="251"/>
        <v>100</v>
      </c>
      <c r="X243" s="64">
        <f t="shared" si="251"/>
        <v>0</v>
      </c>
      <c r="Y243" s="65">
        <f>IFS(
  B243&lt;55,
    MAX(
      Y242 + IF(MONTH(A243)=12, P243+V243, 0) + H243 - L243
      + MAX(0,
          IF(AA242 &gt;= VLOOKUP(YEAR(A243), Lookup!$Q:$R, 2),
            Z242 + IF(MONTH(A243)=12, Q243+W243, 0) + I243
              + AA242 + IF(MONTH(A243)=12, R243+X243, 0)
              - VLOOKUP(YEAR(A243), Lookup!$Q:$R, 2) + J243,
            Z242 + IF(MONTH(A243)=12, Q243+W243, 0) + I243
          ) - VLOOKUP(YEAR(A243), Lookup!$K:$M, 3)
        ),
    0),
  B243=55,
    IF(Z242&gt;=AD243,
      MAX(Y242 + IF(MONTH(A243)=12, P243+V243, 0) + H243 - L243, 0),
      MAX(MAX(0, Y242-(AD243-Z242)) + IF(MONTH(A243)=12, P243+V243, 0) + H243 - L243, 0)
    ),
  B243&gt;55,
    IF(AB242&gt;=$AH$7,
      MAX(Y242 + IF(MONTH(A243)=12, P243+V243, 0) + H243 - L243 + K243 + Z242, 0),
      MAX(Y242 + IF(MONTH(A243)=12, P243+V243, 0) + H243 - L243, 0)
    )
)</f>
        <v>377524.3996</v>
      </c>
      <c r="Z243" s="65">
        <f>IFS(
  B243&lt;55,
    MIN(
      IF(AA242 &gt;= VLOOKUP(YEAR(A243), Lookup!$Q:$R, 2),
        Z242 + IF(MONTH(A243)=12, Q243+W243, 0) + I243
          + AA242 + IF(MONTH(A243)=12, R243+X243, 0) - VLOOKUP(YEAR(A243), Lookup!$Q:$R, 2) + J243,
        Z242 + IF(MONTH(A243)=12, Q243+W243, 0) + I243
      ),
      VLOOKUP(YEAR(A243), Lookup!$K:$M, 3)
    ),
  B243=55,
    IF(Z242 &gt;= AD243, Z242 - AD243, 0),
  B243&gt;55, 0
)</f>
        <v>322518.1359</v>
      </c>
      <c r="AA243" s="65">
        <f>IFS(
  B243&lt;65,
    IF(AA242+J243 &lt; VLOOKUP(YEAR(A243), Lookup!$Q:$R, 2),
      AA242 + IF(MONTH(A243)=12, R242+X242, 0) + J243,
      MIN(
        AA242 + IF(MONTH(A243)=12, R242+X242, 0) + J243 ,
        VLOOKUP(YEAR(A243), Lookup!$Q:$R, 2)
      )
    ),
  B243&gt;=65,
    IF(AA242+J243 &lt; VLOOKUP(questions!$C$5, Lookup!$Q:$R, 2),
      AA242 + IF(MONTH(A243)=12, R242+X242, 0) + J243 ,
      MIN(
        AA242 + IF(MONTH(A243)=12, R242+X242, 0) + J243,
        VLOOKUP(questions!$C$5, Lookup!$Q:$R, 2)
      )
    )
)</f>
        <v>154276.9801</v>
      </c>
      <c r="AB243" s="65">
        <f t="shared" si="13"/>
        <v>0</v>
      </c>
      <c r="AC243" s="66">
        <f t="array" ref="AC243">IFS(B243&lt;66, XLOOKUP(year(A243),Lookup!$K$13:$K1000,Lookup!$L$13:$L1000,"missing",,1),B243&gt;65,XLOOKUP(questions!$C$5,Lookup!$K$13:$K1000,Lookup!$L$13:$L1000,"missing",,1))</f>
        <v>219357.4003</v>
      </c>
      <c r="AD243" s="66">
        <f t="array" ref="AD243">IFS(B243&lt;66, XLOOKUP(year(A243),Lookup!$K$13:$K1000,Lookup!$M$13:$M1000,"missing",,1),B243&gt;65, XLOOKUP(questions!$C$5,Lookup!$K$13:$K1000,Lookup!$M$13:$M1000,"missing",,1))</f>
        <v>438714.8006</v>
      </c>
      <c r="AE243" s="66">
        <f t="array" ref="AE243">IFS(B243&lt;66, XLOOKUP(year(A243),Lookup!$K$13:$K1000,Lookup!$N$13:$N1000,"missing",,1),B243&gt;65,XLOOKUP(questions!$C$5,Lookup!$K$13:$K1000,Lookup!$N$13:$N1000,"missing",,1))</f>
        <v>877429.6012</v>
      </c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</row>
    <row r="244">
      <c r="A244" s="55">
        <f t="shared" si="7"/>
        <v>53447</v>
      </c>
      <c r="B244" s="56">
        <f>round(YEARFRAC(EOMONTH(questions!$C$3, 0),A244,1),2)</f>
        <v>47.41</v>
      </c>
      <c r="C244" s="57">
        <f>IF(B244&lt;questions!$C$6,if(MONTH(A244)=1,C243*(1+questions!$C$12),C243),0)</f>
        <v>18061.11235</v>
      </c>
      <c r="D244" s="58">
        <f>IF(MONTH(A244)=12,C244*questions!$C$11,0)</f>
        <v>0</v>
      </c>
      <c r="E244" s="59">
        <f t="shared" si="2"/>
        <v>8000</v>
      </c>
      <c r="F244" s="59">
        <f t="shared" si="3"/>
        <v>0</v>
      </c>
      <c r="G244" s="60">
        <f t="array" ref="G244">if(YEAR(A244)=2025,XLOOKUP(B244,Lookup!$A$3:$A$7,Lookup!$D$3:$D$7,,1)*SUM(E244:F244), XLOOKUP(B244,Lookup!$A$14:$A$18,Lookup!$D$14:$D$18,,1)*SUM(E244:F244))</f>
        <v>2960</v>
      </c>
      <c r="H244" s="60">
        <f t="array" ref="H244">if(YEAR(A244)=2025,XLOOKUP(B244,Lookup!$F$3:$F$10,Lookup!$G$3:$G$10,,1)*G244, XLOOKUP(B244,Lookup!$F$14:$F$21,Lookup!$G$14:$G$21,,1)*G244)</f>
        <v>1520.256</v>
      </c>
      <c r="I244" s="60">
        <f t="array" ref="I244">if(B244&lt;55, if(YEAR(A244)=2025,XLOOKUP(B244,Lookup!$F$3:$F$10,Lookup!$H$3:$H$10,,1)*G244, XLOOKUP(B244,Lookup!$F$14:$F$21,Lookup!$H$14:$H$21,,1)*G244),0)</f>
        <v>639.952</v>
      </c>
      <c r="J244" s="60">
        <f t="array" ref="J244">if(YEAR(A244)=2025,XLOOKUP(B244,Lookup!$F$3:$F$10,Lookup!$I$3:$I$10,,1)*G244, XLOOKUP(B244,Lookup!$F$14:$F$21,Lookup!$I$14:$I$21,,1)*G244)</f>
        <v>799.792</v>
      </c>
      <c r="K244" s="61">
        <f t="array" ref="K244">if(B244&gt;54, if(YEAR(A244)=2025,XLOOKUP(B244,Lookup!$F$3:$F$10,Lookup!$H$3:$H$10,,1)*G244, XLOOKUP(B244,Lookup!$F$14:$F$21,Lookup!$H$14:$H$21,,1)*G244),0)</f>
        <v>0</v>
      </c>
      <c r="L244" s="62">
        <f>IF(and(A244&lt;questions!$C$19,questions!$C$18="yes"),questions!$C$20,0)</f>
        <v>0</v>
      </c>
      <c r="M244" s="63">
        <f>(Y243+H244)*Lookup!A$26/12</f>
        <v>789.6763658</v>
      </c>
      <c r="N244" s="63">
        <f>if(B244&lt;55, (Z243+I244)*Lookup!B$26/12, (AB243+K244)*Lookup!B$26/12)</f>
        <v>1077.193626</v>
      </c>
      <c r="O244" s="63">
        <f>(AA243+J244)*Lookup!C$26/12</f>
        <v>516.9225736</v>
      </c>
      <c r="P244" s="63">
        <f t="shared" si="8"/>
        <v>3139.702263</v>
      </c>
      <c r="Q244" s="63">
        <f t="shared" si="4"/>
        <v>4295.975465</v>
      </c>
      <c r="R244" s="63">
        <f t="shared" si="5"/>
        <v>2051.694454</v>
      </c>
      <c r="S244" s="64">
        <f t="shared" si="9"/>
        <v>16.66666667</v>
      </c>
      <c r="T244" s="64">
        <f t="shared" si="10"/>
        <v>33.33333333</v>
      </c>
      <c r="U244" s="64">
        <f t="shared" si="11"/>
        <v>0</v>
      </c>
      <c r="V244" s="64">
        <f t="shared" ref="V244:X244" si="252">IF(year($A244)=year($A243), V243+S244, S244)</f>
        <v>66.66666667</v>
      </c>
      <c r="W244" s="64">
        <f t="shared" si="252"/>
        <v>133.3333333</v>
      </c>
      <c r="X244" s="64">
        <f t="shared" si="252"/>
        <v>0</v>
      </c>
      <c r="Y244" s="65">
        <f>IFS(
  B244&lt;55,
    MAX(
      Y243 + IF(MONTH(A244)=12, P244+V244, 0) + H244 - L244
      + MAX(0,
          IF(AA243 &gt;= VLOOKUP(YEAR(A244), Lookup!$Q:$R, 2),
            Z243 + IF(MONTH(A244)=12, Q244+W244, 0) + I244
              + AA243 + IF(MONTH(A244)=12, R244+X244, 0)
              - VLOOKUP(YEAR(A244), Lookup!$Q:$R, 2) + J244,
            Z243 + IF(MONTH(A244)=12, Q244+W244, 0) + I244
          ) - VLOOKUP(YEAR(A244), Lookup!$K:$M, 3)
        ),
    0),
  B244=55,
    IF(Z243&gt;=AD244,
      MAX(Y243 + IF(MONTH(A244)=12, P244+V244, 0) + H244 - L244, 0),
      MAX(MAX(0, Y243-(AD244-Z243)) + IF(MONTH(A244)=12, P244+V244, 0) + H244 - L244, 0)
    ),
  B244&gt;55,
    IF(AB243&gt;=$AH$7,
      MAX(Y243 + IF(MONTH(A244)=12, P244+V244, 0) + H244 - L244 + K244 + Z243, 0),
      MAX(Y243 + IF(MONTH(A244)=12, P244+V244, 0) + H244 - L244, 0)
    )
)</f>
        <v>379044.6556</v>
      </c>
      <c r="Z244" s="65">
        <f>IFS(
  B244&lt;55,
    MIN(
      IF(AA243 &gt;= VLOOKUP(YEAR(A244), Lookup!$Q:$R, 2),
        Z243 + IF(MONTH(A244)=12, Q244+W244, 0) + I244
          + AA243 + IF(MONTH(A244)=12, R244+X244, 0) - VLOOKUP(YEAR(A244), Lookup!$Q:$R, 2) + J244,
        Z243 + IF(MONTH(A244)=12, Q244+W244, 0) + I244
      ),
      VLOOKUP(YEAR(A244), Lookup!$K:$M, 3)
    ),
  B244=55,
    IF(Z243 &gt;= AD244, Z243 - AD244, 0),
  B244&gt;55, 0
)</f>
        <v>323158.0879</v>
      </c>
      <c r="AA244" s="65">
        <f>IFS(
  B244&lt;65,
    IF(AA243+J244 &lt; VLOOKUP(YEAR(A244), Lookup!$Q:$R, 2),
      AA243 + IF(MONTH(A244)=12, R243+X243, 0) + J244,
      MIN(
        AA243 + IF(MONTH(A244)=12, R243+X243, 0) + J244 ,
        VLOOKUP(YEAR(A244), Lookup!$Q:$R, 2)
      )
    ),
  B244&gt;=65,
    IF(AA243+J244 &lt; VLOOKUP(questions!$C$5, Lookup!$Q:$R, 2),
      AA243 + IF(MONTH(A244)=12, R243+X243, 0) + J244 ,
      MIN(
        AA243 + IF(MONTH(A244)=12, R243+X243, 0) + J244,
        VLOOKUP(questions!$C$5, Lookup!$Q:$R, 2)
      )
    )
)</f>
        <v>155076.7721</v>
      </c>
      <c r="AB244" s="65">
        <f t="shared" si="13"/>
        <v>0</v>
      </c>
      <c r="AC244" s="66">
        <f t="array" ref="AC244">IFS(B244&lt;66, XLOOKUP(year(A244),Lookup!$K$13:$K1000,Lookup!$L$13:$L1000,"missing",,1),B244&gt;65,XLOOKUP(questions!$C$5,Lookup!$K$13:$K1000,Lookup!$L$13:$L1000,"missing",,1))</f>
        <v>219357.4003</v>
      </c>
      <c r="AD244" s="66">
        <f t="array" ref="AD244">IFS(B244&lt;66, XLOOKUP(year(A244),Lookup!$K$13:$K1000,Lookup!$M$13:$M1000,"missing",,1),B244&gt;65, XLOOKUP(questions!$C$5,Lookup!$K$13:$K1000,Lookup!$M$13:$M1000,"missing",,1))</f>
        <v>438714.8006</v>
      </c>
      <c r="AE244" s="66">
        <f t="array" ref="AE244">IFS(B244&lt;66, XLOOKUP(year(A244),Lookup!$K$13:$K1000,Lookup!$N$13:$N1000,"missing",,1),B244&gt;65,XLOOKUP(questions!$C$5,Lookup!$K$13:$K1000,Lookup!$N$13:$N1000,"missing",,1))</f>
        <v>877429.6012</v>
      </c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</row>
    <row r="245">
      <c r="A245" s="55">
        <f t="shared" si="7"/>
        <v>53478</v>
      </c>
      <c r="B245" s="56">
        <f>round(YEARFRAC(EOMONTH(questions!$C$3, 0),A245,1),2)</f>
        <v>47.5</v>
      </c>
      <c r="C245" s="57">
        <f>IF(B245&lt;questions!$C$6,if(MONTH(A245)=1,C244*(1+questions!$C$12),C244),0)</f>
        <v>18061.11235</v>
      </c>
      <c r="D245" s="58">
        <f>IF(MONTH(A245)=12,C245*questions!$C$11,0)</f>
        <v>0</v>
      </c>
      <c r="E245" s="59">
        <f t="shared" si="2"/>
        <v>8000</v>
      </c>
      <c r="F245" s="59">
        <f t="shared" si="3"/>
        <v>0</v>
      </c>
      <c r="G245" s="60">
        <f t="array" ref="G245">if(YEAR(A245)=2025,XLOOKUP(B245,Lookup!$A$3:$A$7,Lookup!$D$3:$D$7,,1)*SUM(E245:F245), XLOOKUP(B245,Lookup!$A$14:$A$18,Lookup!$D$14:$D$18,,1)*SUM(E245:F245))</f>
        <v>2960</v>
      </c>
      <c r="H245" s="60">
        <f t="array" ref="H245">if(YEAR(A245)=2025,XLOOKUP(B245,Lookup!$F$3:$F$10,Lookup!$G$3:$G$10,,1)*G245, XLOOKUP(B245,Lookup!$F$14:$F$21,Lookup!$G$14:$G$21,,1)*G245)</f>
        <v>1520.256</v>
      </c>
      <c r="I245" s="60">
        <f t="array" ref="I245">if(B245&lt;55, if(YEAR(A245)=2025,XLOOKUP(B245,Lookup!$F$3:$F$10,Lookup!$H$3:$H$10,,1)*G245, XLOOKUP(B245,Lookup!$F$14:$F$21,Lookup!$H$14:$H$21,,1)*G245),0)</f>
        <v>639.952</v>
      </c>
      <c r="J245" s="60">
        <f t="array" ref="J245">if(YEAR(A245)=2025,XLOOKUP(B245,Lookup!$F$3:$F$10,Lookup!$I$3:$I$10,,1)*G245, XLOOKUP(B245,Lookup!$F$14:$F$21,Lookup!$I$14:$I$21,,1)*G245)</f>
        <v>799.792</v>
      </c>
      <c r="K245" s="61">
        <f t="array" ref="K245">if(B245&gt;54, if(YEAR(A245)=2025,XLOOKUP(B245,Lookup!$F$3:$F$10,Lookup!$H$3:$H$10,,1)*G245, XLOOKUP(B245,Lookup!$F$14:$F$21,Lookup!$H$14:$H$21,,1)*G245),0)</f>
        <v>0</v>
      </c>
      <c r="L245" s="62">
        <f>IF(and(A245&lt;questions!$C$19,questions!$C$18="yes"),questions!$C$20,0)</f>
        <v>0</v>
      </c>
      <c r="M245" s="63">
        <f>(Y244+H245)*Lookup!A$26/12</f>
        <v>792.8435658</v>
      </c>
      <c r="N245" s="63">
        <f>if(B245&lt;55, (Z244+I245)*Lookup!B$26/12, (AB244+K245)*Lookup!B$26/12)</f>
        <v>1079.3268</v>
      </c>
      <c r="O245" s="63">
        <f>(AA244+J245)*Lookup!C$26/12</f>
        <v>519.5885469</v>
      </c>
      <c r="P245" s="63">
        <f t="shared" si="8"/>
        <v>3932.545829</v>
      </c>
      <c r="Q245" s="63">
        <f t="shared" si="4"/>
        <v>5375.302264</v>
      </c>
      <c r="R245" s="63">
        <f t="shared" si="5"/>
        <v>2571.283001</v>
      </c>
      <c r="S245" s="64">
        <f t="shared" si="9"/>
        <v>16.66666667</v>
      </c>
      <c r="T245" s="64">
        <f t="shared" si="10"/>
        <v>33.33333333</v>
      </c>
      <c r="U245" s="64">
        <f t="shared" si="11"/>
        <v>0</v>
      </c>
      <c r="V245" s="64">
        <f t="shared" ref="V245:X245" si="253">IF(year($A245)=year($A244), V244+S245, S245)</f>
        <v>83.33333333</v>
      </c>
      <c r="W245" s="64">
        <f t="shared" si="253"/>
        <v>166.6666667</v>
      </c>
      <c r="X245" s="64">
        <f t="shared" si="253"/>
        <v>0</v>
      </c>
      <c r="Y245" s="65">
        <f>IFS(
  B245&lt;55,
    MAX(
      Y244 + IF(MONTH(A245)=12, P245+V245, 0) + H245 - L245
      + MAX(0,
          IF(AA244 &gt;= VLOOKUP(YEAR(A245), Lookup!$Q:$R, 2),
            Z244 + IF(MONTH(A245)=12, Q245+W245, 0) + I245
              + AA244 + IF(MONTH(A245)=12, R245+X245, 0)
              - VLOOKUP(YEAR(A245), Lookup!$Q:$R, 2) + J245,
            Z244 + IF(MONTH(A245)=12, Q245+W245, 0) + I245
          ) - VLOOKUP(YEAR(A245), Lookup!$K:$M, 3)
        ),
    0),
  B245=55,
    IF(Z244&gt;=AD245,
      MAX(Y244 + IF(MONTH(A245)=12, P245+V245, 0) + H245 - L245, 0),
      MAX(MAX(0, Y244-(AD245-Z244)) + IF(MONTH(A245)=12, P245+V245, 0) + H245 - L245, 0)
    ),
  B245&gt;55,
    IF(AB244&gt;=$AH$7,
      MAX(Y244 + IF(MONTH(A245)=12, P245+V245, 0) + H245 - L245 + K245 + Z244, 0),
      MAX(Y244 + IF(MONTH(A245)=12, P245+V245, 0) + H245 - L245, 0)
    )
)</f>
        <v>380564.9116</v>
      </c>
      <c r="Z245" s="65">
        <f>IFS(
  B245&lt;55,
    MIN(
      IF(AA244 &gt;= VLOOKUP(YEAR(A245), Lookup!$Q:$R, 2),
        Z244 + IF(MONTH(A245)=12, Q245+W245, 0) + I245
          + AA244 + IF(MONTH(A245)=12, R245+X245, 0) - VLOOKUP(YEAR(A245), Lookup!$Q:$R, 2) + J245,
        Z244 + IF(MONTH(A245)=12, Q245+W245, 0) + I245
      ),
      VLOOKUP(YEAR(A245), Lookup!$K:$M, 3)
    ),
  B245=55,
    IF(Z244 &gt;= AD245, Z244 - AD245, 0),
  B245&gt;55, 0
)</f>
        <v>323798.0399</v>
      </c>
      <c r="AA245" s="65">
        <f>IFS(
  B245&lt;65,
    IF(AA244+J245 &lt; VLOOKUP(YEAR(A245), Lookup!$Q:$R, 2),
      AA244 + IF(MONTH(A245)=12, R244+X244, 0) + J245,
      MIN(
        AA244 + IF(MONTH(A245)=12, R244+X244, 0) + J245 ,
        VLOOKUP(YEAR(A245), Lookup!$Q:$R, 2)
      )
    ),
  B245&gt;=65,
    IF(AA244+J245 &lt; VLOOKUP(questions!$C$5, Lookup!$Q:$R, 2),
      AA244 + IF(MONTH(A245)=12, R244+X244, 0) + J245 ,
      MIN(
        AA244 + IF(MONTH(A245)=12, R244+X244, 0) + J245,
        VLOOKUP(questions!$C$5, Lookup!$Q:$R, 2)
      )
    )
)</f>
        <v>155876.5641</v>
      </c>
      <c r="AB245" s="65">
        <f t="shared" si="13"/>
        <v>0</v>
      </c>
      <c r="AC245" s="66">
        <f t="array" ref="AC245">IFS(B245&lt;66, XLOOKUP(year(A245),Lookup!$K$13:$K1000,Lookup!$L$13:$L1000,"missing",,1),B245&gt;65,XLOOKUP(questions!$C$5,Lookup!$K$13:$K1000,Lookup!$L$13:$L1000,"missing",,1))</f>
        <v>219357.4003</v>
      </c>
      <c r="AD245" s="66">
        <f t="array" ref="AD245">IFS(B245&lt;66, XLOOKUP(year(A245),Lookup!$K$13:$K1000,Lookup!$M$13:$M1000,"missing",,1),B245&gt;65, XLOOKUP(questions!$C$5,Lookup!$K$13:$K1000,Lookup!$M$13:$M1000,"missing",,1))</f>
        <v>438714.8006</v>
      </c>
      <c r="AE245" s="66">
        <f t="array" ref="AE245">IFS(B245&lt;66, XLOOKUP(year(A245),Lookup!$K$13:$K1000,Lookup!$N$13:$N1000,"missing",,1),B245&gt;65,XLOOKUP(questions!$C$5,Lookup!$K$13:$K1000,Lookup!$N$13:$N1000,"missing",,1))</f>
        <v>877429.6012</v>
      </c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</row>
    <row r="246">
      <c r="A246" s="55">
        <f t="shared" si="7"/>
        <v>53508</v>
      </c>
      <c r="B246" s="56">
        <f>round(YEARFRAC(EOMONTH(questions!$C$3, 0),A246,1),2)</f>
        <v>47.58</v>
      </c>
      <c r="C246" s="57">
        <f>IF(B246&lt;questions!$C$6,if(MONTH(A246)=1,C245*(1+questions!$C$12),C245),0)</f>
        <v>18061.11235</v>
      </c>
      <c r="D246" s="58">
        <f>IF(MONTH(A246)=12,C246*questions!$C$11,0)</f>
        <v>0</v>
      </c>
      <c r="E246" s="59">
        <f t="shared" si="2"/>
        <v>8000</v>
      </c>
      <c r="F246" s="59">
        <f t="shared" si="3"/>
        <v>0</v>
      </c>
      <c r="G246" s="60">
        <f t="array" ref="G246">if(YEAR(A246)=2025,XLOOKUP(B246,Lookup!$A$3:$A$7,Lookup!$D$3:$D$7,,1)*SUM(E246:F246), XLOOKUP(B246,Lookup!$A$14:$A$18,Lookup!$D$14:$D$18,,1)*SUM(E246:F246))</f>
        <v>2960</v>
      </c>
      <c r="H246" s="60">
        <f t="array" ref="H246">if(YEAR(A246)=2025,XLOOKUP(B246,Lookup!$F$3:$F$10,Lookup!$G$3:$G$10,,1)*G246, XLOOKUP(B246,Lookup!$F$14:$F$21,Lookup!$G$14:$G$21,,1)*G246)</f>
        <v>1520.256</v>
      </c>
      <c r="I246" s="60">
        <f t="array" ref="I246">if(B246&lt;55, if(YEAR(A246)=2025,XLOOKUP(B246,Lookup!$F$3:$F$10,Lookup!$H$3:$H$10,,1)*G246, XLOOKUP(B246,Lookup!$F$14:$F$21,Lookup!$H$14:$H$21,,1)*G246),0)</f>
        <v>639.952</v>
      </c>
      <c r="J246" s="60">
        <f t="array" ref="J246">if(YEAR(A246)=2025,XLOOKUP(B246,Lookup!$F$3:$F$10,Lookup!$I$3:$I$10,,1)*G246, XLOOKUP(B246,Lookup!$F$14:$F$21,Lookup!$I$14:$I$21,,1)*G246)</f>
        <v>799.792</v>
      </c>
      <c r="K246" s="61">
        <f t="array" ref="K246">if(B246&gt;54, if(YEAR(A246)=2025,XLOOKUP(B246,Lookup!$F$3:$F$10,Lookup!$H$3:$H$10,,1)*G246, XLOOKUP(B246,Lookup!$F$14:$F$21,Lookup!$H$14:$H$21,,1)*G246),0)</f>
        <v>0</v>
      </c>
      <c r="L246" s="62">
        <f>IF(and(A246&lt;questions!$C$19,questions!$C$18="yes"),questions!$C$20,0)</f>
        <v>0</v>
      </c>
      <c r="M246" s="63">
        <f>(Y245+H246)*Lookup!A$26/12</f>
        <v>796.0107658</v>
      </c>
      <c r="N246" s="63">
        <f>if(B246&lt;55, (Z245+I246)*Lookup!B$26/12, (AB245+K246)*Lookup!B$26/12)</f>
        <v>1081.459973</v>
      </c>
      <c r="O246" s="63">
        <f>(AA245+J246)*Lookup!C$26/12</f>
        <v>522.2545202</v>
      </c>
      <c r="P246" s="63">
        <f t="shared" si="8"/>
        <v>4728.556595</v>
      </c>
      <c r="Q246" s="63">
        <f t="shared" si="4"/>
        <v>6456.762237</v>
      </c>
      <c r="R246" s="63">
        <f t="shared" si="5"/>
        <v>3093.537521</v>
      </c>
      <c r="S246" s="64">
        <f t="shared" si="9"/>
        <v>16.66666667</v>
      </c>
      <c r="T246" s="64">
        <f t="shared" si="10"/>
        <v>33.33333333</v>
      </c>
      <c r="U246" s="64">
        <f t="shared" si="11"/>
        <v>0</v>
      </c>
      <c r="V246" s="64">
        <f t="shared" ref="V246:X246" si="254">IF(year($A246)=year($A245), V245+S246, S246)</f>
        <v>100</v>
      </c>
      <c r="W246" s="64">
        <f t="shared" si="254"/>
        <v>200</v>
      </c>
      <c r="X246" s="64">
        <f t="shared" si="254"/>
        <v>0</v>
      </c>
      <c r="Y246" s="65">
        <f>IFS(
  B246&lt;55,
    MAX(
      Y245 + IF(MONTH(A246)=12, P246+V246, 0) + H246 - L246
      + MAX(0,
          IF(AA245 &gt;= VLOOKUP(YEAR(A246), Lookup!$Q:$R, 2),
            Z245 + IF(MONTH(A246)=12, Q246+W246, 0) + I246
              + AA245 + IF(MONTH(A246)=12, R246+X246, 0)
              - VLOOKUP(YEAR(A246), Lookup!$Q:$R, 2) + J246,
            Z245 + IF(MONTH(A246)=12, Q246+W246, 0) + I246
          ) - VLOOKUP(YEAR(A246), Lookup!$K:$M, 3)
        ),
    0),
  B246=55,
    IF(Z245&gt;=AD246,
      MAX(Y245 + IF(MONTH(A246)=12, P246+V246, 0) + H246 - L246, 0),
      MAX(MAX(0, Y245-(AD246-Z245)) + IF(MONTH(A246)=12, P246+V246, 0) + H246 - L246, 0)
    ),
  B246&gt;55,
    IF(AB245&gt;=$AH$7,
      MAX(Y245 + IF(MONTH(A246)=12, P246+V246, 0) + H246 - L246 + K246 + Z245, 0),
      MAX(Y245 + IF(MONTH(A246)=12, P246+V246, 0) + H246 - L246, 0)
    )
)</f>
        <v>382085.1676</v>
      </c>
      <c r="Z246" s="65">
        <f>IFS(
  B246&lt;55,
    MIN(
      IF(AA245 &gt;= VLOOKUP(YEAR(A246), Lookup!$Q:$R, 2),
        Z245 + IF(MONTH(A246)=12, Q246+W246, 0) + I246
          + AA245 + IF(MONTH(A246)=12, R246+X246, 0) - VLOOKUP(YEAR(A246), Lookup!$Q:$R, 2) + J246,
        Z245 + IF(MONTH(A246)=12, Q246+W246, 0) + I246
      ),
      VLOOKUP(YEAR(A246), Lookup!$K:$M, 3)
    ),
  B246=55,
    IF(Z245 &gt;= AD246, Z245 - AD246, 0),
  B246&gt;55, 0
)</f>
        <v>324437.9919</v>
      </c>
      <c r="AA246" s="65">
        <f>IFS(
  B246&lt;65,
    IF(AA245+J246 &lt; VLOOKUP(YEAR(A246), Lookup!$Q:$R, 2),
      AA245 + IF(MONTH(A246)=12, R245+X245, 0) + J246,
      MIN(
        AA245 + IF(MONTH(A246)=12, R245+X245, 0) + J246 ,
        VLOOKUP(YEAR(A246), Lookup!$Q:$R, 2)
      )
    ),
  B246&gt;=65,
    IF(AA245+J246 &lt; VLOOKUP(questions!$C$5, Lookup!$Q:$R, 2),
      AA245 + IF(MONTH(A246)=12, R245+X245, 0) + J246 ,
      MIN(
        AA245 + IF(MONTH(A246)=12, R245+X245, 0) + J246,
        VLOOKUP(questions!$C$5, Lookup!$Q:$R, 2)
      )
    )
)</f>
        <v>156676.3561</v>
      </c>
      <c r="AB246" s="65">
        <f t="shared" si="13"/>
        <v>0</v>
      </c>
      <c r="AC246" s="66">
        <f t="array" ref="AC246">IFS(B246&lt;66, XLOOKUP(year(A246),Lookup!$K$13:$K1000,Lookup!$L$13:$L1000,"missing",,1),B246&gt;65,XLOOKUP(questions!$C$5,Lookup!$K$13:$K1000,Lookup!$L$13:$L1000,"missing",,1))</f>
        <v>219357.4003</v>
      </c>
      <c r="AD246" s="66">
        <f t="array" ref="AD246">IFS(B246&lt;66, XLOOKUP(year(A246),Lookup!$K$13:$K1000,Lookup!$M$13:$M1000,"missing",,1),B246&gt;65, XLOOKUP(questions!$C$5,Lookup!$K$13:$K1000,Lookup!$M$13:$M1000,"missing",,1))</f>
        <v>438714.8006</v>
      </c>
      <c r="AE246" s="66">
        <f t="array" ref="AE246">IFS(B246&lt;66, XLOOKUP(year(A246),Lookup!$K$13:$K1000,Lookup!$N$13:$N1000,"missing",,1),B246&gt;65,XLOOKUP(questions!$C$5,Lookup!$K$13:$K1000,Lookup!$N$13:$N1000,"missing",,1))</f>
        <v>877429.6012</v>
      </c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</row>
    <row r="247">
      <c r="A247" s="55">
        <f t="shared" si="7"/>
        <v>53539</v>
      </c>
      <c r="B247" s="56">
        <f>round(YEARFRAC(EOMONTH(questions!$C$3, 0),A247,1),2)</f>
        <v>47.67</v>
      </c>
      <c r="C247" s="57">
        <f>IF(B247&lt;questions!$C$6,if(MONTH(A247)=1,C246*(1+questions!$C$12),C246),0)</f>
        <v>18061.11235</v>
      </c>
      <c r="D247" s="58">
        <f>IF(MONTH(A247)=12,C247*questions!$C$11,0)</f>
        <v>0</v>
      </c>
      <c r="E247" s="59">
        <f t="shared" si="2"/>
        <v>8000</v>
      </c>
      <c r="F247" s="59">
        <f t="shared" si="3"/>
        <v>0</v>
      </c>
      <c r="G247" s="60">
        <f t="array" ref="G247">if(YEAR(A247)=2025,XLOOKUP(B247,Lookup!$A$3:$A$7,Lookup!$D$3:$D$7,,1)*SUM(E247:F247), XLOOKUP(B247,Lookup!$A$14:$A$18,Lookup!$D$14:$D$18,,1)*SUM(E247:F247))</f>
        <v>2960</v>
      </c>
      <c r="H247" s="60">
        <f t="array" ref="H247">if(YEAR(A247)=2025,XLOOKUP(B247,Lookup!$F$3:$F$10,Lookup!$G$3:$G$10,,1)*G247, XLOOKUP(B247,Lookup!$F$14:$F$21,Lookup!$G$14:$G$21,,1)*G247)</f>
        <v>1520.256</v>
      </c>
      <c r="I247" s="60">
        <f t="array" ref="I247">if(B247&lt;55, if(YEAR(A247)=2025,XLOOKUP(B247,Lookup!$F$3:$F$10,Lookup!$H$3:$H$10,,1)*G247, XLOOKUP(B247,Lookup!$F$14:$F$21,Lookup!$H$14:$H$21,,1)*G247),0)</f>
        <v>639.952</v>
      </c>
      <c r="J247" s="60">
        <f t="array" ref="J247">if(YEAR(A247)=2025,XLOOKUP(B247,Lookup!$F$3:$F$10,Lookup!$I$3:$I$10,,1)*G247, XLOOKUP(B247,Lookup!$F$14:$F$21,Lookup!$I$14:$I$21,,1)*G247)</f>
        <v>799.792</v>
      </c>
      <c r="K247" s="61">
        <f t="array" ref="K247">if(B247&gt;54, if(YEAR(A247)=2025,XLOOKUP(B247,Lookup!$F$3:$F$10,Lookup!$H$3:$H$10,,1)*G247, XLOOKUP(B247,Lookup!$F$14:$F$21,Lookup!$H$14:$H$21,,1)*G247),0)</f>
        <v>0</v>
      </c>
      <c r="L247" s="62">
        <f>IF(and(A247&lt;questions!$C$19,questions!$C$18="yes"),questions!$C$20,0)</f>
        <v>0</v>
      </c>
      <c r="M247" s="63">
        <f>(Y246+H247)*Lookup!A$26/12</f>
        <v>799.1779658</v>
      </c>
      <c r="N247" s="63">
        <f>if(B247&lt;55, (Z246+I247)*Lookup!B$26/12, (AB246+K247)*Lookup!B$26/12)</f>
        <v>1083.593146</v>
      </c>
      <c r="O247" s="63">
        <f>(AA246+J247)*Lookup!C$26/12</f>
        <v>524.9204936</v>
      </c>
      <c r="P247" s="63">
        <f t="shared" si="8"/>
        <v>5527.73456</v>
      </c>
      <c r="Q247" s="63">
        <f t="shared" si="4"/>
        <v>7540.355383</v>
      </c>
      <c r="R247" s="63">
        <f t="shared" si="5"/>
        <v>3618.458015</v>
      </c>
      <c r="S247" s="64">
        <f t="shared" si="9"/>
        <v>16.66666667</v>
      </c>
      <c r="T247" s="64">
        <f t="shared" si="10"/>
        <v>33.33333333</v>
      </c>
      <c r="U247" s="64">
        <f t="shared" si="11"/>
        <v>0</v>
      </c>
      <c r="V247" s="64">
        <f t="shared" ref="V247:X247" si="255">IF(year($A247)=year($A246), V246+S247, S247)</f>
        <v>116.6666667</v>
      </c>
      <c r="W247" s="64">
        <f t="shared" si="255"/>
        <v>233.3333333</v>
      </c>
      <c r="X247" s="64">
        <f t="shared" si="255"/>
        <v>0</v>
      </c>
      <c r="Y247" s="65">
        <f>IFS(
  B247&lt;55,
    MAX(
      Y246 + IF(MONTH(A247)=12, P247+V247, 0) + H247 - L247
      + MAX(0,
          IF(AA246 &gt;= VLOOKUP(YEAR(A247), Lookup!$Q:$R, 2),
            Z246 + IF(MONTH(A247)=12, Q247+W247, 0) + I247
              + AA246 + IF(MONTH(A247)=12, R247+X247, 0)
              - VLOOKUP(YEAR(A247), Lookup!$Q:$R, 2) + J247,
            Z246 + IF(MONTH(A247)=12, Q247+W247, 0) + I247
          ) - VLOOKUP(YEAR(A247), Lookup!$K:$M, 3)
        ),
    0),
  B247=55,
    IF(Z246&gt;=AD247,
      MAX(Y246 + IF(MONTH(A247)=12, P247+V247, 0) + H247 - L247, 0),
      MAX(MAX(0, Y246-(AD247-Z246)) + IF(MONTH(A247)=12, P247+V247, 0) + H247 - L247, 0)
    ),
  B247&gt;55,
    IF(AB246&gt;=$AH$7,
      MAX(Y246 + IF(MONTH(A247)=12, P247+V247, 0) + H247 - L247 + K247 + Z246, 0),
      MAX(Y246 + IF(MONTH(A247)=12, P247+V247, 0) + H247 - L247, 0)
    )
)</f>
        <v>383605.4236</v>
      </c>
      <c r="Z247" s="65">
        <f>IFS(
  B247&lt;55,
    MIN(
      IF(AA246 &gt;= VLOOKUP(YEAR(A247), Lookup!$Q:$R, 2),
        Z246 + IF(MONTH(A247)=12, Q247+W247, 0) + I247
          + AA246 + IF(MONTH(A247)=12, R247+X247, 0) - VLOOKUP(YEAR(A247), Lookup!$Q:$R, 2) + J247,
        Z246 + IF(MONTH(A247)=12, Q247+W247, 0) + I247
      ),
      VLOOKUP(YEAR(A247), Lookup!$K:$M, 3)
    ),
  B247=55,
    IF(Z246 &gt;= AD247, Z246 - AD247, 0),
  B247&gt;55, 0
)</f>
        <v>325077.9439</v>
      </c>
      <c r="AA247" s="65">
        <f>IFS(
  B247&lt;65,
    IF(AA246+J247 &lt; VLOOKUP(YEAR(A247), Lookup!$Q:$R, 2),
      AA246 + IF(MONTH(A247)=12, R246+X246, 0) + J247,
      MIN(
        AA246 + IF(MONTH(A247)=12, R246+X246, 0) + J247 ,
        VLOOKUP(YEAR(A247), Lookup!$Q:$R, 2)
      )
    ),
  B247&gt;=65,
    IF(AA246+J247 &lt; VLOOKUP(questions!$C$5, Lookup!$Q:$R, 2),
      AA246 + IF(MONTH(A247)=12, R246+X246, 0) + J247 ,
      MIN(
        AA246 + IF(MONTH(A247)=12, R246+X246, 0) + J247,
        VLOOKUP(questions!$C$5, Lookup!$Q:$R, 2)
      )
    )
)</f>
        <v>157193.3202</v>
      </c>
      <c r="AB247" s="65">
        <f t="shared" si="13"/>
        <v>0</v>
      </c>
      <c r="AC247" s="66">
        <f t="array" ref="AC247">IFS(B247&lt;66, XLOOKUP(year(A247),Lookup!$K$13:$K1000,Lookup!$L$13:$L1000,"missing",,1),B247&gt;65,XLOOKUP(questions!$C$5,Lookup!$K$13:$K1000,Lookup!$L$13:$L1000,"missing",,1))</f>
        <v>219357.4003</v>
      </c>
      <c r="AD247" s="66">
        <f t="array" ref="AD247">IFS(B247&lt;66, XLOOKUP(year(A247),Lookup!$K$13:$K1000,Lookup!$M$13:$M1000,"missing",,1),B247&gt;65, XLOOKUP(questions!$C$5,Lookup!$K$13:$K1000,Lookup!$M$13:$M1000,"missing",,1))</f>
        <v>438714.8006</v>
      </c>
      <c r="AE247" s="66">
        <f t="array" ref="AE247">IFS(B247&lt;66, XLOOKUP(year(A247),Lookup!$K$13:$K1000,Lookup!$N$13:$N1000,"missing",,1),B247&gt;65,XLOOKUP(questions!$C$5,Lookup!$K$13:$K1000,Lookup!$N$13:$N1000,"missing",,1))</f>
        <v>877429.6012</v>
      </c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</row>
    <row r="248">
      <c r="A248" s="55">
        <f t="shared" si="7"/>
        <v>53570</v>
      </c>
      <c r="B248" s="56">
        <f>round(YEARFRAC(EOMONTH(questions!$C$3, 0),A248,1),2)</f>
        <v>47.75</v>
      </c>
      <c r="C248" s="57">
        <f>IF(B248&lt;questions!$C$6,if(MONTH(A248)=1,C247*(1+questions!$C$12),C247),0)</f>
        <v>18061.11235</v>
      </c>
      <c r="D248" s="58">
        <f>IF(MONTH(A248)=12,C248*questions!$C$11,0)</f>
        <v>0</v>
      </c>
      <c r="E248" s="59">
        <f t="shared" si="2"/>
        <v>8000</v>
      </c>
      <c r="F248" s="59">
        <f t="shared" si="3"/>
        <v>0</v>
      </c>
      <c r="G248" s="60">
        <f t="array" ref="G248">if(YEAR(A248)=2025,XLOOKUP(B248,Lookup!$A$3:$A$7,Lookup!$D$3:$D$7,,1)*SUM(E248:F248), XLOOKUP(B248,Lookup!$A$14:$A$18,Lookup!$D$14:$D$18,,1)*SUM(E248:F248))</f>
        <v>2960</v>
      </c>
      <c r="H248" s="60">
        <f t="array" ref="H248">if(YEAR(A248)=2025,XLOOKUP(B248,Lookup!$F$3:$F$10,Lookup!$G$3:$G$10,,1)*G248, XLOOKUP(B248,Lookup!$F$14:$F$21,Lookup!$G$14:$G$21,,1)*G248)</f>
        <v>1520.256</v>
      </c>
      <c r="I248" s="60">
        <f t="array" ref="I248">if(B248&lt;55, if(YEAR(A248)=2025,XLOOKUP(B248,Lookup!$F$3:$F$10,Lookup!$H$3:$H$10,,1)*G248, XLOOKUP(B248,Lookup!$F$14:$F$21,Lookup!$H$14:$H$21,,1)*G248),0)</f>
        <v>639.952</v>
      </c>
      <c r="J248" s="60">
        <f t="array" ref="J248">if(YEAR(A248)=2025,XLOOKUP(B248,Lookup!$F$3:$F$10,Lookup!$I$3:$I$10,,1)*G248, XLOOKUP(B248,Lookup!$F$14:$F$21,Lookup!$I$14:$I$21,,1)*G248)</f>
        <v>799.792</v>
      </c>
      <c r="K248" s="61">
        <f t="array" ref="K248">if(B248&gt;54, if(YEAR(A248)=2025,XLOOKUP(B248,Lookup!$F$3:$F$10,Lookup!$H$3:$H$10,,1)*G248, XLOOKUP(B248,Lookup!$F$14:$F$21,Lookup!$H$14:$H$21,,1)*G248),0)</f>
        <v>0</v>
      </c>
      <c r="L248" s="62">
        <f>IF(and(A248&lt;questions!$C$19,questions!$C$18="yes"),questions!$C$20,0)</f>
        <v>0</v>
      </c>
      <c r="M248" s="63">
        <f>(Y247+H248)*Lookup!A$26/12</f>
        <v>802.3451658</v>
      </c>
      <c r="N248" s="63">
        <f>if(B248&lt;55, (Z247+I248)*Lookup!B$26/12, (AB247+K248)*Lookup!B$26/12)</f>
        <v>1085.72632</v>
      </c>
      <c r="O248" s="63">
        <f>(AA247+J248)*Lookup!C$26/12</f>
        <v>526.6437074</v>
      </c>
      <c r="P248" s="63">
        <f t="shared" si="8"/>
        <v>6330.079726</v>
      </c>
      <c r="Q248" s="63">
        <f t="shared" si="4"/>
        <v>8626.081703</v>
      </c>
      <c r="R248" s="63">
        <f t="shared" si="5"/>
        <v>4145.101722</v>
      </c>
      <c r="S248" s="64">
        <f t="shared" si="9"/>
        <v>16.66666667</v>
      </c>
      <c r="T248" s="64">
        <f t="shared" si="10"/>
        <v>33.33333333</v>
      </c>
      <c r="U248" s="64">
        <f t="shared" si="11"/>
        <v>0</v>
      </c>
      <c r="V248" s="64">
        <f t="shared" ref="V248:X248" si="256">IF(year($A248)=year($A247), V247+S248, S248)</f>
        <v>133.3333333</v>
      </c>
      <c r="W248" s="64">
        <f t="shared" si="256"/>
        <v>266.6666667</v>
      </c>
      <c r="X248" s="64">
        <f t="shared" si="256"/>
        <v>0</v>
      </c>
      <c r="Y248" s="65">
        <f>IFS(
  B248&lt;55,
    MAX(
      Y247 + IF(MONTH(A248)=12, P248+V248, 0) + H248 - L248
      + MAX(0,
          IF(AA247 &gt;= VLOOKUP(YEAR(A248), Lookup!$Q:$R, 2),
            Z247 + IF(MONTH(A248)=12, Q248+W248, 0) + I248
              + AA247 + IF(MONTH(A248)=12, R248+X248, 0)
              - VLOOKUP(YEAR(A248), Lookup!$Q:$R, 2) + J248,
            Z247 + IF(MONTH(A248)=12, Q248+W248, 0) + I248
          ) - VLOOKUP(YEAR(A248), Lookup!$K:$M, 3)
        ),
    0),
  B248=55,
    IF(Z247&gt;=AD248,
      MAX(Y247 + IF(MONTH(A248)=12, P248+V248, 0) + H248 - L248, 0),
      MAX(MAX(0, Y247-(AD248-Z247)) + IF(MONTH(A248)=12, P248+V248, 0) + H248 - L248, 0)
    ),
  B248&gt;55,
    IF(AB247&gt;=$AH$7,
      MAX(Y247 + IF(MONTH(A248)=12, P248+V248, 0) + H248 - L248 + K248 + Z247, 0),
      MAX(Y247 + IF(MONTH(A248)=12, P248+V248, 0) + H248 - L248, 0)
    )
)</f>
        <v>385125.6796</v>
      </c>
      <c r="Z248" s="65">
        <f>IFS(
  B248&lt;55,
    MIN(
      IF(AA247 &gt;= VLOOKUP(YEAR(A248), Lookup!$Q:$R, 2),
        Z247 + IF(MONTH(A248)=12, Q248+W248, 0) + I248
          + AA247 + IF(MONTH(A248)=12, R248+X248, 0) - VLOOKUP(YEAR(A248), Lookup!$Q:$R, 2) + J248,
        Z247 + IF(MONTH(A248)=12, Q248+W248, 0) + I248
      ),
      VLOOKUP(YEAR(A248), Lookup!$K:$M, 3)
    ),
  B248=55,
    IF(Z247 &gt;= AD248, Z247 - AD248, 0),
  B248&gt;55, 0
)</f>
        <v>326517.6879</v>
      </c>
      <c r="AA248" s="65">
        <f>IFS(
  B248&lt;65,
    IF(AA247+J248 &lt; VLOOKUP(YEAR(A248), Lookup!$Q:$R, 2),
      AA247 + IF(MONTH(A248)=12, R247+X247, 0) + J248,
      MIN(
        AA247 + IF(MONTH(A248)=12, R247+X247, 0) + J248 ,
        VLOOKUP(YEAR(A248), Lookup!$Q:$R, 2)
      )
    ),
  B248&gt;=65,
    IF(AA247+J248 &lt; VLOOKUP(questions!$C$5, Lookup!$Q:$R, 2),
      AA247 + IF(MONTH(A248)=12, R247+X247, 0) + J248 ,
      MIN(
        AA247 + IF(MONTH(A248)=12, R247+X247, 0) + J248,
        VLOOKUP(questions!$C$5, Lookup!$Q:$R, 2)
      )
    )
)</f>
        <v>157193.3202</v>
      </c>
      <c r="AB248" s="65">
        <f t="shared" si="13"/>
        <v>0</v>
      </c>
      <c r="AC248" s="66">
        <f t="array" ref="AC248">IFS(B248&lt;66, XLOOKUP(year(A248),Lookup!$K$13:$K1000,Lookup!$L$13:$L1000,"missing",,1),B248&gt;65,XLOOKUP(questions!$C$5,Lookup!$K$13:$K1000,Lookup!$L$13:$L1000,"missing",,1))</f>
        <v>219357.4003</v>
      </c>
      <c r="AD248" s="66">
        <f t="array" ref="AD248">IFS(B248&lt;66, XLOOKUP(year(A248),Lookup!$K$13:$K1000,Lookup!$M$13:$M1000,"missing",,1),B248&gt;65, XLOOKUP(questions!$C$5,Lookup!$K$13:$K1000,Lookup!$M$13:$M1000,"missing",,1))</f>
        <v>438714.8006</v>
      </c>
      <c r="AE248" s="66">
        <f t="array" ref="AE248">IFS(B248&lt;66, XLOOKUP(year(A248),Lookup!$K$13:$K1000,Lookup!$N$13:$N1000,"missing",,1),B248&gt;65,XLOOKUP(questions!$C$5,Lookup!$K$13:$K1000,Lookup!$N$13:$N1000,"missing",,1))</f>
        <v>877429.6012</v>
      </c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</row>
    <row r="249">
      <c r="A249" s="55">
        <f t="shared" si="7"/>
        <v>53600</v>
      </c>
      <c r="B249" s="56">
        <f>round(YEARFRAC(EOMONTH(questions!$C$3, 0),A249,1),2)</f>
        <v>47.83</v>
      </c>
      <c r="C249" s="57">
        <f>IF(B249&lt;questions!$C$6,if(MONTH(A249)=1,C248*(1+questions!$C$12),C248),0)</f>
        <v>18061.11235</v>
      </c>
      <c r="D249" s="58">
        <f>IF(MONTH(A249)=12,C249*questions!$C$11,0)</f>
        <v>0</v>
      </c>
      <c r="E249" s="59">
        <f t="shared" si="2"/>
        <v>8000</v>
      </c>
      <c r="F249" s="59">
        <f t="shared" si="3"/>
        <v>0</v>
      </c>
      <c r="G249" s="60">
        <f t="array" ref="G249">if(YEAR(A249)=2025,XLOOKUP(B249,Lookup!$A$3:$A$7,Lookup!$D$3:$D$7,,1)*SUM(E249:F249), XLOOKUP(B249,Lookup!$A$14:$A$18,Lookup!$D$14:$D$18,,1)*SUM(E249:F249))</f>
        <v>2960</v>
      </c>
      <c r="H249" s="60">
        <f t="array" ref="H249">if(YEAR(A249)=2025,XLOOKUP(B249,Lookup!$F$3:$F$10,Lookup!$G$3:$G$10,,1)*G249, XLOOKUP(B249,Lookup!$F$14:$F$21,Lookup!$G$14:$G$21,,1)*G249)</f>
        <v>1520.256</v>
      </c>
      <c r="I249" s="60">
        <f t="array" ref="I249">if(B249&lt;55, if(YEAR(A249)=2025,XLOOKUP(B249,Lookup!$F$3:$F$10,Lookup!$H$3:$H$10,,1)*G249, XLOOKUP(B249,Lookup!$F$14:$F$21,Lookup!$H$14:$H$21,,1)*G249),0)</f>
        <v>639.952</v>
      </c>
      <c r="J249" s="60">
        <f t="array" ref="J249">if(YEAR(A249)=2025,XLOOKUP(B249,Lookup!$F$3:$F$10,Lookup!$I$3:$I$10,,1)*G249, XLOOKUP(B249,Lookup!$F$14:$F$21,Lookup!$I$14:$I$21,,1)*G249)</f>
        <v>799.792</v>
      </c>
      <c r="K249" s="61">
        <f t="array" ref="K249">if(B249&gt;54, if(YEAR(A249)=2025,XLOOKUP(B249,Lookup!$F$3:$F$10,Lookup!$H$3:$H$10,,1)*G249, XLOOKUP(B249,Lookup!$F$14:$F$21,Lookup!$H$14:$H$21,,1)*G249),0)</f>
        <v>0</v>
      </c>
      <c r="L249" s="62">
        <f>IF(and(A249&lt;questions!$C$19,questions!$C$18="yes"),questions!$C$20,0)</f>
        <v>0</v>
      </c>
      <c r="M249" s="63">
        <f>(Y248+H249)*Lookup!A$26/12</f>
        <v>805.5123658</v>
      </c>
      <c r="N249" s="63">
        <f>if(B249&lt;55, (Z248+I249)*Lookup!B$26/12, (AB248+K249)*Lookup!B$26/12)</f>
        <v>1090.525466</v>
      </c>
      <c r="O249" s="63">
        <f>(AA248+J249)*Lookup!C$26/12</f>
        <v>526.6437074</v>
      </c>
      <c r="P249" s="63">
        <f t="shared" si="8"/>
        <v>7135.592092</v>
      </c>
      <c r="Q249" s="63">
        <f t="shared" si="4"/>
        <v>9716.607169</v>
      </c>
      <c r="R249" s="63">
        <f t="shared" si="5"/>
        <v>4671.74543</v>
      </c>
      <c r="S249" s="64">
        <f t="shared" si="9"/>
        <v>16.66666667</v>
      </c>
      <c r="T249" s="64">
        <f t="shared" si="10"/>
        <v>33.33333333</v>
      </c>
      <c r="U249" s="64">
        <f t="shared" si="11"/>
        <v>0</v>
      </c>
      <c r="V249" s="64">
        <f t="shared" ref="V249:X249" si="257">IF(year($A249)=year($A248), V248+S249, S249)</f>
        <v>150</v>
      </c>
      <c r="W249" s="64">
        <f t="shared" si="257"/>
        <v>300</v>
      </c>
      <c r="X249" s="64">
        <f t="shared" si="257"/>
        <v>0</v>
      </c>
      <c r="Y249" s="65">
        <f>IFS(
  B249&lt;55,
    MAX(
      Y248 + IF(MONTH(A249)=12, P249+V249, 0) + H249 - L249
      + MAX(0,
          IF(AA248 &gt;= VLOOKUP(YEAR(A249), Lookup!$Q:$R, 2),
            Z248 + IF(MONTH(A249)=12, Q249+W249, 0) + I249
              + AA248 + IF(MONTH(A249)=12, R249+X249, 0)
              - VLOOKUP(YEAR(A249), Lookup!$Q:$R, 2) + J249,
            Z248 + IF(MONTH(A249)=12, Q249+W249, 0) + I249
          ) - VLOOKUP(YEAR(A249), Lookup!$K:$M, 3)
        ),
    0),
  B249=55,
    IF(Z248&gt;=AD249,
      MAX(Y248 + IF(MONTH(A249)=12, P249+V249, 0) + H249 - L249, 0),
      MAX(MAX(0, Y248-(AD249-Z248)) + IF(MONTH(A249)=12, P249+V249, 0) + H249 - L249, 0)
    ),
  B249&gt;55,
    IF(AB248&gt;=$AH$7,
      MAX(Y248 + IF(MONTH(A249)=12, P249+V249, 0) + H249 - L249 + K249 + Z248, 0),
      MAX(Y248 + IF(MONTH(A249)=12, P249+V249, 0) + H249 - L249, 0)
    )
)</f>
        <v>386645.9356</v>
      </c>
      <c r="Z249" s="65">
        <f>IFS(
  B249&lt;55,
    MIN(
      IF(AA248 &gt;= VLOOKUP(YEAR(A249), Lookup!$Q:$R, 2),
        Z248 + IF(MONTH(A249)=12, Q249+W249, 0) + I249
          + AA248 + IF(MONTH(A249)=12, R249+X249, 0) - VLOOKUP(YEAR(A249), Lookup!$Q:$R, 2) + J249,
        Z248 + IF(MONTH(A249)=12, Q249+W249, 0) + I249
      ),
      VLOOKUP(YEAR(A249), Lookup!$K:$M, 3)
    ),
  B249=55,
    IF(Z248 &gt;= AD249, Z248 - AD249, 0),
  B249&gt;55, 0
)</f>
        <v>327957.4319</v>
      </c>
      <c r="AA249" s="65">
        <f>IFS(
  B249&lt;65,
    IF(AA248+J249 &lt; VLOOKUP(YEAR(A249), Lookup!$Q:$R, 2),
      AA248 + IF(MONTH(A249)=12, R248+X248, 0) + J249,
      MIN(
        AA248 + IF(MONTH(A249)=12, R248+X248, 0) + J249 ,
        VLOOKUP(YEAR(A249), Lookup!$Q:$R, 2)
      )
    ),
  B249&gt;=65,
    IF(AA248+J249 &lt; VLOOKUP(questions!$C$5, Lookup!$Q:$R, 2),
      AA248 + IF(MONTH(A249)=12, R248+X248, 0) + J249 ,
      MIN(
        AA248 + IF(MONTH(A249)=12, R248+X248, 0) + J249,
        VLOOKUP(questions!$C$5, Lookup!$Q:$R, 2)
      )
    )
)</f>
        <v>157193.3202</v>
      </c>
      <c r="AB249" s="65">
        <f t="shared" si="13"/>
        <v>0</v>
      </c>
      <c r="AC249" s="66">
        <f t="array" ref="AC249">IFS(B249&lt;66, XLOOKUP(year(A249),Lookup!$K$13:$K1000,Lookup!$L$13:$L1000,"missing",,1),B249&gt;65,XLOOKUP(questions!$C$5,Lookup!$K$13:$K1000,Lookup!$L$13:$L1000,"missing",,1))</f>
        <v>219357.4003</v>
      </c>
      <c r="AD249" s="66">
        <f t="array" ref="AD249">IFS(B249&lt;66, XLOOKUP(year(A249),Lookup!$K$13:$K1000,Lookup!$M$13:$M1000,"missing",,1),B249&gt;65, XLOOKUP(questions!$C$5,Lookup!$K$13:$K1000,Lookup!$M$13:$M1000,"missing",,1))</f>
        <v>438714.8006</v>
      </c>
      <c r="AE249" s="66">
        <f t="array" ref="AE249">IFS(B249&lt;66, XLOOKUP(year(A249),Lookup!$K$13:$K1000,Lookup!$N$13:$N1000,"missing",,1),B249&gt;65,XLOOKUP(questions!$C$5,Lookup!$K$13:$K1000,Lookup!$N$13:$N1000,"missing",,1))</f>
        <v>877429.6012</v>
      </c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</row>
    <row r="250">
      <c r="A250" s="55">
        <f t="shared" si="7"/>
        <v>53631</v>
      </c>
      <c r="B250" s="56">
        <f>round(YEARFRAC(EOMONTH(questions!$C$3, 0),A250,1),2)</f>
        <v>47.92</v>
      </c>
      <c r="C250" s="57">
        <f>IF(B250&lt;questions!$C$6,if(MONTH(A250)=1,C249*(1+questions!$C$12),C249),0)</f>
        <v>18061.11235</v>
      </c>
      <c r="D250" s="58">
        <f>IF(MONTH(A250)=12,C250*questions!$C$11,0)</f>
        <v>0</v>
      </c>
      <c r="E250" s="59">
        <f t="shared" si="2"/>
        <v>8000</v>
      </c>
      <c r="F250" s="59">
        <f t="shared" si="3"/>
        <v>0</v>
      </c>
      <c r="G250" s="60">
        <f t="array" ref="G250">if(YEAR(A250)=2025,XLOOKUP(B250,Lookup!$A$3:$A$7,Lookup!$D$3:$D$7,,1)*SUM(E250:F250), XLOOKUP(B250,Lookup!$A$14:$A$18,Lookup!$D$14:$D$18,,1)*SUM(E250:F250))</f>
        <v>2960</v>
      </c>
      <c r="H250" s="60">
        <f t="array" ref="H250">if(YEAR(A250)=2025,XLOOKUP(B250,Lookup!$F$3:$F$10,Lookup!$G$3:$G$10,,1)*G250, XLOOKUP(B250,Lookup!$F$14:$F$21,Lookup!$G$14:$G$21,,1)*G250)</f>
        <v>1520.256</v>
      </c>
      <c r="I250" s="60">
        <f t="array" ref="I250">if(B250&lt;55, if(YEAR(A250)=2025,XLOOKUP(B250,Lookup!$F$3:$F$10,Lookup!$H$3:$H$10,,1)*G250, XLOOKUP(B250,Lookup!$F$14:$F$21,Lookup!$H$14:$H$21,,1)*G250),0)</f>
        <v>639.952</v>
      </c>
      <c r="J250" s="60">
        <f t="array" ref="J250">if(YEAR(A250)=2025,XLOOKUP(B250,Lookup!$F$3:$F$10,Lookup!$I$3:$I$10,,1)*G250, XLOOKUP(B250,Lookup!$F$14:$F$21,Lookup!$I$14:$I$21,,1)*G250)</f>
        <v>799.792</v>
      </c>
      <c r="K250" s="61">
        <f t="array" ref="K250">if(B250&gt;54, if(YEAR(A250)=2025,XLOOKUP(B250,Lookup!$F$3:$F$10,Lookup!$H$3:$H$10,,1)*G250, XLOOKUP(B250,Lookup!$F$14:$F$21,Lookup!$H$14:$H$21,,1)*G250),0)</f>
        <v>0</v>
      </c>
      <c r="L250" s="62">
        <f>IF(and(A250&lt;questions!$C$19,questions!$C$18="yes"),questions!$C$20,0)</f>
        <v>0</v>
      </c>
      <c r="M250" s="63">
        <f>(Y249+H250)*Lookup!A$26/12</f>
        <v>808.6795658</v>
      </c>
      <c r="N250" s="63">
        <f>if(B250&lt;55, (Z249+I250)*Lookup!B$26/12, (AB249+K250)*Lookup!B$26/12)</f>
        <v>1095.324613</v>
      </c>
      <c r="O250" s="63">
        <f>(AA249+J250)*Lookup!C$26/12</f>
        <v>526.6437074</v>
      </c>
      <c r="P250" s="63">
        <f t="shared" si="8"/>
        <v>7944.271658</v>
      </c>
      <c r="Q250" s="63">
        <f t="shared" si="4"/>
        <v>10811.93178</v>
      </c>
      <c r="R250" s="63">
        <f t="shared" si="5"/>
        <v>5198.389137</v>
      </c>
      <c r="S250" s="64">
        <f t="shared" si="9"/>
        <v>16.66666667</v>
      </c>
      <c r="T250" s="64">
        <f t="shared" si="10"/>
        <v>33.33333333</v>
      </c>
      <c r="U250" s="64">
        <f t="shared" si="11"/>
        <v>0</v>
      </c>
      <c r="V250" s="64">
        <f t="shared" ref="V250:X250" si="258">IF(year($A250)=year($A249), V249+S250, S250)</f>
        <v>166.6666667</v>
      </c>
      <c r="W250" s="64">
        <f t="shared" si="258"/>
        <v>333.3333333</v>
      </c>
      <c r="X250" s="64">
        <f t="shared" si="258"/>
        <v>0</v>
      </c>
      <c r="Y250" s="65">
        <f>IFS(
  B250&lt;55,
    MAX(
      Y249 + IF(MONTH(A250)=12, P250+V250, 0) + H250 - L250
      + MAX(0,
          IF(AA249 &gt;= VLOOKUP(YEAR(A250), Lookup!$Q:$R, 2),
            Z249 + IF(MONTH(A250)=12, Q250+W250, 0) + I250
              + AA249 + IF(MONTH(A250)=12, R250+X250, 0)
              - VLOOKUP(YEAR(A250), Lookup!$Q:$R, 2) + J250,
            Z249 + IF(MONTH(A250)=12, Q250+W250, 0) + I250
          ) - VLOOKUP(YEAR(A250), Lookup!$K:$M, 3)
        ),
    0),
  B250=55,
    IF(Z249&gt;=AD250,
      MAX(Y249 + IF(MONTH(A250)=12, P250+V250, 0) + H250 - L250, 0),
      MAX(MAX(0, Y249-(AD250-Z249)) + IF(MONTH(A250)=12, P250+V250, 0) + H250 - L250, 0)
    ),
  B250&gt;55,
    IF(AB249&gt;=$AH$7,
      MAX(Y249 + IF(MONTH(A250)=12, P250+V250, 0) + H250 - L250 + K250 + Z249, 0),
      MAX(Y249 + IF(MONTH(A250)=12, P250+V250, 0) + H250 - L250, 0)
    )
)</f>
        <v>388166.1916</v>
      </c>
      <c r="Z250" s="65">
        <f>IFS(
  B250&lt;55,
    MIN(
      IF(AA249 &gt;= VLOOKUP(YEAR(A250), Lookup!$Q:$R, 2),
        Z249 + IF(MONTH(A250)=12, Q250+W250, 0) + I250
          + AA249 + IF(MONTH(A250)=12, R250+X250, 0) - VLOOKUP(YEAR(A250), Lookup!$Q:$R, 2) + J250,
        Z249 + IF(MONTH(A250)=12, Q250+W250, 0) + I250
      ),
      VLOOKUP(YEAR(A250), Lookup!$K:$M, 3)
    ),
  B250=55,
    IF(Z249 &gt;= AD250, Z249 - AD250, 0),
  B250&gt;55, 0
)</f>
        <v>329397.1759</v>
      </c>
      <c r="AA250" s="65">
        <f>IFS(
  B250&lt;65,
    IF(AA249+J250 &lt; VLOOKUP(YEAR(A250), Lookup!$Q:$R, 2),
      AA249 + IF(MONTH(A250)=12, R249+X249, 0) + J250,
      MIN(
        AA249 + IF(MONTH(A250)=12, R249+X249, 0) + J250 ,
        VLOOKUP(YEAR(A250), Lookup!$Q:$R, 2)
      )
    ),
  B250&gt;=65,
    IF(AA249+J250 &lt; VLOOKUP(questions!$C$5, Lookup!$Q:$R, 2),
      AA249 + IF(MONTH(A250)=12, R249+X249, 0) + J250 ,
      MIN(
        AA249 + IF(MONTH(A250)=12, R249+X249, 0) + J250,
        VLOOKUP(questions!$C$5, Lookup!$Q:$R, 2)
      )
    )
)</f>
        <v>157193.3202</v>
      </c>
      <c r="AB250" s="65">
        <f t="shared" si="13"/>
        <v>0</v>
      </c>
      <c r="AC250" s="66">
        <f t="array" ref="AC250">IFS(B250&lt;66, XLOOKUP(year(A250),Lookup!$K$13:$K1000,Lookup!$L$13:$L1000,"missing",,1),B250&gt;65,XLOOKUP(questions!$C$5,Lookup!$K$13:$K1000,Lookup!$L$13:$L1000,"missing",,1))</f>
        <v>219357.4003</v>
      </c>
      <c r="AD250" s="66">
        <f t="array" ref="AD250">IFS(B250&lt;66, XLOOKUP(year(A250),Lookup!$K$13:$K1000,Lookup!$M$13:$M1000,"missing",,1),B250&gt;65, XLOOKUP(questions!$C$5,Lookup!$K$13:$K1000,Lookup!$M$13:$M1000,"missing",,1))</f>
        <v>438714.8006</v>
      </c>
      <c r="AE250" s="66">
        <f t="array" ref="AE250">IFS(B250&lt;66, XLOOKUP(year(A250),Lookup!$K$13:$K1000,Lookup!$N$13:$N1000,"missing",,1),B250&gt;65,XLOOKUP(questions!$C$5,Lookup!$K$13:$K1000,Lookup!$N$13:$N1000,"missing",,1))</f>
        <v>877429.6012</v>
      </c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</row>
    <row r="251">
      <c r="A251" s="55">
        <f t="shared" si="7"/>
        <v>53661</v>
      </c>
      <c r="B251" s="56">
        <f>round(YEARFRAC(EOMONTH(questions!$C$3, 0),A251,1),2)</f>
        <v>48</v>
      </c>
      <c r="C251" s="57">
        <f>IF(B251&lt;questions!$C$6,if(MONTH(A251)=1,C250*(1+questions!$C$12),C250),0)</f>
        <v>18061.11235</v>
      </c>
      <c r="D251" s="58">
        <f>IF(MONTH(A251)=12,C251*questions!$C$11,0)</f>
        <v>0</v>
      </c>
      <c r="E251" s="59">
        <f t="shared" si="2"/>
        <v>8000</v>
      </c>
      <c r="F251" s="59">
        <f t="shared" si="3"/>
        <v>0</v>
      </c>
      <c r="G251" s="60">
        <f t="array" ref="G251">if(YEAR(A251)=2025,XLOOKUP(B251,Lookup!$A$3:$A$7,Lookup!$D$3:$D$7,,1)*SUM(E251:F251), XLOOKUP(B251,Lookup!$A$14:$A$18,Lookup!$D$14:$D$18,,1)*SUM(E251:F251))</f>
        <v>2960</v>
      </c>
      <c r="H251" s="60">
        <f t="array" ref="H251">if(YEAR(A251)=2025,XLOOKUP(B251,Lookup!$F$3:$F$10,Lookup!$G$3:$G$10,,1)*G251, XLOOKUP(B251,Lookup!$F$14:$F$21,Lookup!$G$14:$G$21,,1)*G251)</f>
        <v>1520.256</v>
      </c>
      <c r="I251" s="60">
        <f t="array" ref="I251">if(B251&lt;55, if(YEAR(A251)=2025,XLOOKUP(B251,Lookup!$F$3:$F$10,Lookup!$H$3:$H$10,,1)*G251, XLOOKUP(B251,Lookup!$F$14:$F$21,Lookup!$H$14:$H$21,,1)*G251),0)</f>
        <v>639.952</v>
      </c>
      <c r="J251" s="60">
        <f t="array" ref="J251">if(YEAR(A251)=2025,XLOOKUP(B251,Lookup!$F$3:$F$10,Lookup!$I$3:$I$10,,1)*G251, XLOOKUP(B251,Lookup!$F$14:$F$21,Lookup!$I$14:$I$21,,1)*G251)</f>
        <v>799.792</v>
      </c>
      <c r="K251" s="61">
        <f t="array" ref="K251">if(B251&gt;54, if(YEAR(A251)=2025,XLOOKUP(B251,Lookup!$F$3:$F$10,Lookup!$H$3:$H$10,,1)*G251, XLOOKUP(B251,Lookup!$F$14:$F$21,Lookup!$H$14:$H$21,,1)*G251),0)</f>
        <v>0</v>
      </c>
      <c r="L251" s="62">
        <f>IF(and(A251&lt;questions!$C$19,questions!$C$18="yes"),questions!$C$20,0)</f>
        <v>0</v>
      </c>
      <c r="M251" s="63">
        <f>(Y250+H251)*Lookup!A$26/12</f>
        <v>811.8467658</v>
      </c>
      <c r="N251" s="63">
        <f>if(B251&lt;55, (Z250+I251)*Lookup!B$26/12, (AB250+K251)*Lookup!B$26/12)</f>
        <v>1100.12376</v>
      </c>
      <c r="O251" s="63">
        <f>(AA250+J251)*Lookup!C$26/12</f>
        <v>526.6437074</v>
      </c>
      <c r="P251" s="63">
        <f t="shared" si="8"/>
        <v>8756.118424</v>
      </c>
      <c r="Q251" s="63">
        <f t="shared" si="4"/>
        <v>11912.05554</v>
      </c>
      <c r="R251" s="63">
        <f t="shared" si="5"/>
        <v>5725.032845</v>
      </c>
      <c r="S251" s="64">
        <f t="shared" si="9"/>
        <v>16.66666667</v>
      </c>
      <c r="T251" s="64">
        <f t="shared" si="10"/>
        <v>33.33333333</v>
      </c>
      <c r="U251" s="64">
        <f t="shared" si="11"/>
        <v>0</v>
      </c>
      <c r="V251" s="64">
        <f t="shared" ref="V251:X251" si="259">IF(year($A251)=year($A250), V250+S251, S251)</f>
        <v>183.3333333</v>
      </c>
      <c r="W251" s="64">
        <f t="shared" si="259"/>
        <v>366.6666667</v>
      </c>
      <c r="X251" s="64">
        <f t="shared" si="259"/>
        <v>0</v>
      </c>
      <c r="Y251" s="65">
        <f>IFS(
  B251&lt;55,
    MAX(
      Y250 + IF(MONTH(A251)=12, P251+V251, 0) + H251 - L251
      + MAX(0,
          IF(AA250 &gt;= VLOOKUP(YEAR(A251), Lookup!$Q:$R, 2),
            Z250 + IF(MONTH(A251)=12, Q251+W251, 0) + I251
              + AA250 + IF(MONTH(A251)=12, R251+X251, 0)
              - VLOOKUP(YEAR(A251), Lookup!$Q:$R, 2) + J251,
            Z250 + IF(MONTH(A251)=12, Q251+W251, 0) + I251
          ) - VLOOKUP(YEAR(A251), Lookup!$K:$M, 3)
        ),
    0),
  B251=55,
    IF(Z250&gt;=AD251,
      MAX(Y250 + IF(MONTH(A251)=12, P251+V251, 0) + H251 - L251, 0),
      MAX(MAX(0, Y250-(AD251-Z250)) + IF(MONTH(A251)=12, P251+V251, 0) + H251 - L251, 0)
    ),
  B251&gt;55,
    IF(AB250&gt;=$AH$7,
      MAX(Y250 + IF(MONTH(A251)=12, P251+V251, 0) + H251 - L251 + K251 + Z250, 0),
      MAX(Y250 + IF(MONTH(A251)=12, P251+V251, 0) + H251 - L251, 0)
    )
)</f>
        <v>389686.4476</v>
      </c>
      <c r="Z251" s="65">
        <f>IFS(
  B251&lt;55,
    MIN(
      IF(AA250 &gt;= VLOOKUP(YEAR(A251), Lookup!$Q:$R, 2),
        Z250 + IF(MONTH(A251)=12, Q251+W251, 0) + I251
          + AA250 + IF(MONTH(A251)=12, R251+X251, 0) - VLOOKUP(YEAR(A251), Lookup!$Q:$R, 2) + J251,
        Z250 + IF(MONTH(A251)=12, Q251+W251, 0) + I251
      ),
      VLOOKUP(YEAR(A251), Lookup!$K:$M, 3)
    ),
  B251=55,
    IF(Z250 &gt;= AD251, Z250 - AD251, 0),
  B251&gt;55, 0
)</f>
        <v>330836.9199</v>
      </c>
      <c r="AA251" s="65">
        <f>IFS(
  B251&lt;65,
    IF(AA250+J251 &lt; VLOOKUP(YEAR(A251), Lookup!$Q:$R, 2),
      AA250 + IF(MONTH(A251)=12, R250+X250, 0) + J251,
      MIN(
        AA250 + IF(MONTH(A251)=12, R250+X250, 0) + J251 ,
        VLOOKUP(YEAR(A251), Lookup!$Q:$R, 2)
      )
    ),
  B251&gt;=65,
    IF(AA250+J251 &lt; VLOOKUP(questions!$C$5, Lookup!$Q:$R, 2),
      AA250 + IF(MONTH(A251)=12, R250+X250, 0) + J251 ,
      MIN(
        AA250 + IF(MONTH(A251)=12, R250+X250, 0) + J251,
        VLOOKUP(questions!$C$5, Lookup!$Q:$R, 2)
      )
    )
)</f>
        <v>157193.3202</v>
      </c>
      <c r="AB251" s="65">
        <f t="shared" si="13"/>
        <v>0</v>
      </c>
      <c r="AC251" s="66">
        <f t="array" ref="AC251">IFS(B251&lt;66, XLOOKUP(year(A251),Lookup!$K$13:$K1000,Lookup!$L$13:$L1000,"missing",,1),B251&gt;65,XLOOKUP(questions!$C$5,Lookup!$K$13:$K1000,Lookup!$L$13:$L1000,"missing",,1))</f>
        <v>219357.4003</v>
      </c>
      <c r="AD251" s="66">
        <f t="array" ref="AD251">IFS(B251&lt;66, XLOOKUP(year(A251),Lookup!$K$13:$K1000,Lookup!$M$13:$M1000,"missing",,1),B251&gt;65, XLOOKUP(questions!$C$5,Lookup!$K$13:$K1000,Lookup!$M$13:$M1000,"missing",,1))</f>
        <v>438714.8006</v>
      </c>
      <c r="AE251" s="66">
        <f t="array" ref="AE251">IFS(B251&lt;66, XLOOKUP(year(A251),Lookup!$K$13:$K1000,Lookup!$N$13:$N1000,"missing",,1),B251&gt;65,XLOOKUP(questions!$C$5,Lookup!$K$13:$K1000,Lookup!$N$13:$N1000,"missing",,1))</f>
        <v>877429.6012</v>
      </c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</row>
    <row r="252">
      <c r="A252" s="55">
        <f t="shared" si="7"/>
        <v>53692</v>
      </c>
      <c r="B252" s="56">
        <f>round(YEARFRAC(EOMONTH(questions!$C$3, 0),A252,1),2)</f>
        <v>48.08</v>
      </c>
      <c r="C252" s="57">
        <f>IF(B252&lt;questions!$C$6,if(MONTH(A252)=1,C251*(1+questions!$C$12),C251),0)</f>
        <v>18061.11235</v>
      </c>
      <c r="D252" s="57">
        <f>IF(MONTH(A252)=12,C252*questions!$C$11,0)</f>
        <v>18061.11235</v>
      </c>
      <c r="E252" s="59">
        <f t="shared" si="2"/>
        <v>8000</v>
      </c>
      <c r="F252" s="59">
        <f t="shared" si="3"/>
        <v>6000</v>
      </c>
      <c r="G252" s="60">
        <f t="array" ref="G252">if(YEAR(A252)=2025,XLOOKUP(B252,Lookup!$A$3:$A$7,Lookup!$D$3:$D$7,,1)*SUM(E252:F252), XLOOKUP(B252,Lookup!$A$14:$A$18,Lookup!$D$14:$D$18,,1)*SUM(E252:F252))</f>
        <v>5180</v>
      </c>
      <c r="H252" s="60">
        <f t="array" ref="H252">if(YEAR(A252)=2025,XLOOKUP(B252,Lookup!$F$3:$F$10,Lookup!$G$3:$G$10,,1)*G252, XLOOKUP(B252,Lookup!$F$14:$F$21,Lookup!$G$14:$G$21,,1)*G252)</f>
        <v>2660.448</v>
      </c>
      <c r="I252" s="60">
        <f t="array" ref="I252">if(B252&lt;55, if(YEAR(A252)=2025,XLOOKUP(B252,Lookup!$F$3:$F$10,Lookup!$H$3:$H$10,,1)*G252, XLOOKUP(B252,Lookup!$F$14:$F$21,Lookup!$H$14:$H$21,,1)*G252),0)</f>
        <v>1119.916</v>
      </c>
      <c r="J252" s="60">
        <f t="array" ref="J252">if(YEAR(A252)=2025,XLOOKUP(B252,Lookup!$F$3:$F$10,Lookup!$I$3:$I$10,,1)*G252, XLOOKUP(B252,Lookup!$F$14:$F$21,Lookup!$I$14:$I$21,,1)*G252)</f>
        <v>1399.636</v>
      </c>
      <c r="K252" s="61">
        <f t="array" ref="K252">if(B252&gt;54, if(YEAR(A252)=2025,XLOOKUP(B252,Lookup!$F$3:$F$10,Lookup!$H$3:$H$10,,1)*G252, XLOOKUP(B252,Lookup!$F$14:$F$21,Lookup!$H$14:$H$21,,1)*G252),0)</f>
        <v>0</v>
      </c>
      <c r="L252" s="62">
        <f>IF(and(A252&lt;questions!$C$19,questions!$C$18="yes"),questions!$C$20,0)</f>
        <v>0</v>
      </c>
      <c r="M252" s="63">
        <f>(Y251+H252)*Lookup!A$26/12</f>
        <v>817.3893658</v>
      </c>
      <c r="N252" s="63">
        <f>if(B252&lt;55, (Z251+I252)*Lookup!B$26/12, (AB251+K252)*Lookup!B$26/12)</f>
        <v>1106.522786</v>
      </c>
      <c r="O252" s="63">
        <f>(AA251+J252)*Lookup!C$26/12</f>
        <v>528.6431874</v>
      </c>
      <c r="P252" s="63">
        <f t="shared" si="8"/>
        <v>9573.507789</v>
      </c>
      <c r="Q252" s="63">
        <f t="shared" si="4"/>
        <v>13018.57833</v>
      </c>
      <c r="R252" s="63">
        <f t="shared" si="5"/>
        <v>6253.676032</v>
      </c>
      <c r="S252" s="64">
        <f t="shared" si="9"/>
        <v>16.66666667</v>
      </c>
      <c r="T252" s="64">
        <f t="shared" si="10"/>
        <v>33.33333333</v>
      </c>
      <c r="U252" s="64">
        <f t="shared" si="11"/>
        <v>0</v>
      </c>
      <c r="V252" s="64">
        <f t="shared" ref="V252:X252" si="260">IF(year($A252)=year($A251), V251+S252, S252)</f>
        <v>200</v>
      </c>
      <c r="W252" s="64">
        <f t="shared" si="260"/>
        <v>400</v>
      </c>
      <c r="X252" s="64">
        <f t="shared" si="260"/>
        <v>0</v>
      </c>
      <c r="Y252" s="65">
        <f>IFS(
  B252&lt;55,
    MAX(
      Y251 + IF(MONTH(A252)=12, P252+V252, 0) + H252 - L252
      + MAX(0,
          IF(AA251 &gt;= VLOOKUP(YEAR(A252), Lookup!$Q:$R, 2),
            Z251 + IF(MONTH(A252)=12, Q252+W252, 0) + I252
              + AA251 + IF(MONTH(A252)=12, R252+X252, 0)
              - VLOOKUP(YEAR(A252), Lookup!$Q:$R, 2) + J252,
            Z251 + IF(MONTH(A252)=12, Q252+W252, 0) + I252
          ) - VLOOKUP(YEAR(A252), Lookup!$K:$M, 3)
        ),
    0),
  B252=55,
    IF(Z251&gt;=AD252,
      MAX(Y251 + IF(MONTH(A252)=12, P252+V252, 0) + H252 - L252, 0),
      MAX(MAX(0, Y251-(AD252-Z251)) + IF(MONTH(A252)=12, P252+V252, 0) + H252 - L252, 0)
    ),
  B252&gt;55,
    IF(AB251&gt;=$AH$7,
      MAX(Y251 + IF(MONTH(A252)=12, P252+V252, 0) + H252 - L252 + K252 + Z251, 0),
      MAX(Y251 + IF(MONTH(A252)=12, P252+V252, 0) + H252 - L252, 0)
    )
)</f>
        <v>402120.4034</v>
      </c>
      <c r="Z252" s="65">
        <f>IFS(
  B252&lt;55,
    MIN(
      IF(AA251 &gt;= VLOOKUP(YEAR(A252), Lookup!$Q:$R, 2),
        Z251 + IF(MONTH(A252)=12, Q252+W252, 0) + I252
          + AA251 + IF(MONTH(A252)=12, R252+X252, 0) - VLOOKUP(YEAR(A252), Lookup!$Q:$R, 2) + J252,
        Z251 + IF(MONTH(A252)=12, Q252+W252, 0) + I252
      ),
      VLOOKUP(YEAR(A252), Lookup!$K:$M, 3)
    ),
  B252=55,
    IF(Z251 &gt;= AD252, Z251 - AD252, 0),
  B252&gt;55, 0
)</f>
        <v>353028.7262</v>
      </c>
      <c r="AA252" s="65">
        <f>IFS(
  B252&lt;65,
    IF(AA251+J252 &lt; VLOOKUP(YEAR(A252), Lookup!$Q:$R, 2),
      AA251 + IF(MONTH(A252)=12, R251+X251, 0) + J252,
      MIN(
        AA251 + IF(MONTH(A252)=12, R251+X251, 0) + J252 ,
        VLOOKUP(YEAR(A252), Lookup!$Q:$R, 2)
      )
    ),
  B252&gt;=65,
    IF(AA251+J252 &lt; VLOOKUP(questions!$C$5, Lookup!$Q:$R, 2),
      AA251 + IF(MONTH(A252)=12, R251+X251, 0) + J252 ,
      MIN(
        AA251 + IF(MONTH(A252)=12, R251+X251, 0) + J252,
        VLOOKUP(questions!$C$5, Lookup!$Q:$R, 2)
      )
    )
)</f>
        <v>157193.3202</v>
      </c>
      <c r="AB252" s="65">
        <f t="shared" si="13"/>
        <v>0</v>
      </c>
      <c r="AC252" s="66">
        <f t="array" ref="AC252">IFS(B252&lt;66, XLOOKUP(year(A252),Lookup!$K$13:$K1000,Lookup!$L$13:$L1000,"missing",,1),B252&gt;65,XLOOKUP(questions!$C$5,Lookup!$K$13:$K1000,Lookup!$L$13:$L1000,"missing",,1))</f>
        <v>219357.4003</v>
      </c>
      <c r="AD252" s="66">
        <f t="array" ref="AD252">IFS(B252&lt;66, XLOOKUP(year(A252),Lookup!$K$13:$K1000,Lookup!$M$13:$M1000,"missing",,1),B252&gt;65, XLOOKUP(questions!$C$5,Lookup!$K$13:$K1000,Lookup!$M$13:$M1000,"missing",,1))</f>
        <v>438714.8006</v>
      </c>
      <c r="AE252" s="66">
        <f t="array" ref="AE252">IFS(B252&lt;66, XLOOKUP(year(A252),Lookup!$K$13:$K1000,Lookup!$N$13:$N1000,"missing",,1),B252&gt;65,XLOOKUP(questions!$C$5,Lookup!$K$13:$K1000,Lookup!$N$13:$N1000,"missing",,1))</f>
        <v>877429.6012</v>
      </c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</row>
    <row r="253">
      <c r="A253" s="55">
        <f t="shared" si="7"/>
        <v>53723</v>
      </c>
      <c r="B253" s="56">
        <f>round(YEARFRAC(EOMONTH(questions!$C$3, 0),A253,1),2)</f>
        <v>48.17</v>
      </c>
      <c r="C253" s="57">
        <f>IF(B253&lt;questions!$C$6,if(MONTH(A253)=1,C252*(1+questions!$C$12),C252),0)</f>
        <v>18602.94572</v>
      </c>
      <c r="D253" s="58">
        <f>IF(MONTH(A253)=12,C253*questions!$C$11,0)</f>
        <v>0</v>
      </c>
      <c r="E253" s="59">
        <f t="shared" si="2"/>
        <v>8000</v>
      </c>
      <c r="F253" s="59">
        <f t="shared" si="3"/>
        <v>0</v>
      </c>
      <c r="G253" s="60">
        <f t="array" ref="G253">if(YEAR(A253)=2025,XLOOKUP(B253,Lookup!$A$3:$A$7,Lookup!$D$3:$D$7,,1)*SUM(E253:F253), XLOOKUP(B253,Lookup!$A$14:$A$18,Lookup!$D$14:$D$18,,1)*SUM(E253:F253))</f>
        <v>2960</v>
      </c>
      <c r="H253" s="60">
        <f t="array" ref="H253">if(YEAR(A253)=2025,XLOOKUP(B253,Lookup!$F$3:$F$10,Lookup!$G$3:$G$10,,1)*G253, XLOOKUP(B253,Lookup!$F$14:$F$21,Lookup!$G$14:$G$21,,1)*G253)</f>
        <v>1520.256</v>
      </c>
      <c r="I253" s="60">
        <f t="array" ref="I253">if(B253&lt;55, if(YEAR(A253)=2025,XLOOKUP(B253,Lookup!$F$3:$F$10,Lookup!$H$3:$H$10,,1)*G253, XLOOKUP(B253,Lookup!$F$14:$F$21,Lookup!$H$14:$H$21,,1)*G253),0)</f>
        <v>639.952</v>
      </c>
      <c r="J253" s="60">
        <f t="array" ref="J253">if(YEAR(A253)=2025,XLOOKUP(B253,Lookup!$F$3:$F$10,Lookup!$I$3:$I$10,,1)*G253, XLOOKUP(B253,Lookup!$F$14:$F$21,Lookup!$I$14:$I$21,,1)*G253)</f>
        <v>799.792</v>
      </c>
      <c r="K253" s="61">
        <f t="array" ref="K253">if(B253&gt;54, if(YEAR(A253)=2025,XLOOKUP(B253,Lookup!$F$3:$F$10,Lookup!$H$3:$H$10,,1)*G253, XLOOKUP(B253,Lookup!$F$14:$F$21,Lookup!$H$14:$H$21,,1)*G253),0)</f>
        <v>0</v>
      </c>
      <c r="L253" s="62">
        <f>IF(and(A253&lt;questions!$C$19,questions!$C$18="yes"),questions!$C$20,0)</f>
        <v>0</v>
      </c>
      <c r="M253" s="63">
        <f>(Y252+H253)*Lookup!A$26/12</f>
        <v>840.9180403</v>
      </c>
      <c r="N253" s="63">
        <f>if(B253&lt;55, (Z252+I253)*Lookup!B$26/12, (AB252+K253)*Lookup!B$26/12)</f>
        <v>1178.895594</v>
      </c>
      <c r="O253" s="63">
        <f>(AA252+J253)*Lookup!C$26/12</f>
        <v>526.6437074</v>
      </c>
      <c r="P253" s="63">
        <f t="shared" si="8"/>
        <v>840.9180403</v>
      </c>
      <c r="Q253" s="63">
        <f t="shared" si="4"/>
        <v>1178.895594</v>
      </c>
      <c r="R253" s="63">
        <f t="shared" si="5"/>
        <v>526.6437074</v>
      </c>
      <c r="S253" s="64">
        <f t="shared" si="9"/>
        <v>16.66666667</v>
      </c>
      <c r="T253" s="64">
        <f t="shared" si="10"/>
        <v>33.33333333</v>
      </c>
      <c r="U253" s="64">
        <f t="shared" si="11"/>
        <v>0</v>
      </c>
      <c r="V253" s="64">
        <f t="shared" ref="V253:X253" si="261">IF(year($A253)=year($A252), V252+S253, S253)</f>
        <v>16.66666667</v>
      </c>
      <c r="W253" s="64">
        <f t="shared" si="261"/>
        <v>33.33333333</v>
      </c>
      <c r="X253" s="64">
        <f t="shared" si="261"/>
        <v>0</v>
      </c>
      <c r="Y253" s="65">
        <f>IFS(
  B253&lt;55,
    MAX(
      Y252 + IF(MONTH(A253)=12, P253+V253, 0) + H253 - L253
      + MAX(0,
          IF(AA252 &gt;= VLOOKUP(YEAR(A253), Lookup!$Q:$R, 2),
            Z252 + IF(MONTH(A253)=12, Q253+W253, 0) + I253
              + AA252 + IF(MONTH(A253)=12, R253+X253, 0)
              - VLOOKUP(YEAR(A253), Lookup!$Q:$R, 2) + J253,
            Z252 + IF(MONTH(A253)=12, Q253+W253, 0) + I253
          ) - VLOOKUP(YEAR(A253), Lookup!$K:$M, 3)
        ),
    0),
  B253=55,
    IF(Z252&gt;=AD253,
      MAX(Y252 + IF(MONTH(A253)=12, P253+V253, 0) + H253 - L253, 0),
      MAX(MAX(0, Y252-(AD253-Z252)) + IF(MONTH(A253)=12, P253+V253, 0) + H253 - L253, 0)
    ),
  B253&gt;55,
    IF(AB252&gt;=$AH$7,
      MAX(Y252 + IF(MONTH(A253)=12, P253+V253, 0) + H253 - L253 + K253 + Z252, 0),
      MAX(Y252 + IF(MONTH(A253)=12, P253+V253, 0) + H253 - L253, 0)
    )
)</f>
        <v>403640.6594</v>
      </c>
      <c r="Z253" s="65">
        <f>IFS(
  B253&lt;55,
    MIN(
      IF(AA252 &gt;= VLOOKUP(YEAR(A253), Lookup!$Q:$R, 2),
        Z252 + IF(MONTH(A253)=12, Q253+W253, 0) + I253
          + AA252 + IF(MONTH(A253)=12, R253+X253, 0) - VLOOKUP(YEAR(A253), Lookup!$Q:$R, 2) + J253,
        Z252 + IF(MONTH(A253)=12, Q253+W253, 0) + I253
      ),
      VLOOKUP(YEAR(A253), Lookup!$K:$M, 3)
    ),
  B253=55,
    IF(Z252 &gt;= AD253, Z252 - AD253, 0),
  B253&gt;55, 0
)</f>
        <v>353668.6782</v>
      </c>
      <c r="AA253" s="65">
        <f>IFS(
  B253&lt;65,
    IF(AA252+J253 &lt; VLOOKUP(YEAR(A253), Lookup!$Q:$R, 2),
      AA252 + IF(MONTH(A253)=12, R252+X252, 0) + J253,
      MIN(
        AA252 + IF(MONTH(A253)=12, R252+X252, 0) + J253 ,
        VLOOKUP(YEAR(A253), Lookup!$Q:$R, 2)
      )
    ),
  B253&gt;=65,
    IF(AA252+J253 &lt; VLOOKUP(questions!$C$5, Lookup!$Q:$R, 2),
      AA252 + IF(MONTH(A253)=12, R252+X252, 0) + J253 ,
      MIN(
        AA252 + IF(MONTH(A253)=12, R252+X252, 0) + J253,
        VLOOKUP(questions!$C$5, Lookup!$Q:$R, 2)
      )
    )
)</f>
        <v>157993.1122</v>
      </c>
      <c r="AB253" s="65">
        <f t="shared" si="13"/>
        <v>0</v>
      </c>
      <c r="AC253" s="66">
        <f t="array" ref="AC253">IFS(B253&lt;66, XLOOKUP(year(A253),Lookup!$K$13:$K1000,Lookup!$L$13:$L1000,"missing",,1),B253&gt;65,XLOOKUP(questions!$C$5,Lookup!$K$13:$K1000,Lookup!$L$13:$L1000,"missing",,1))</f>
        <v>227034.9093</v>
      </c>
      <c r="AD253" s="66">
        <f t="array" ref="AD253">IFS(B253&lt;66, XLOOKUP(year(A253),Lookup!$K$13:$K1000,Lookup!$M$13:$M1000,"missing",,1),B253&gt;65, XLOOKUP(questions!$C$5,Lookup!$K$13:$K1000,Lookup!$M$13:$M1000,"missing",,1))</f>
        <v>454069.8186</v>
      </c>
      <c r="AE253" s="66">
        <f t="array" ref="AE253">IFS(B253&lt;66, XLOOKUP(year(A253),Lookup!$K$13:$K1000,Lookup!$N$13:$N1000,"missing",,1),B253&gt;65,XLOOKUP(questions!$C$5,Lookup!$K$13:$K1000,Lookup!$N$13:$N1000,"missing",,1))</f>
        <v>908139.6373</v>
      </c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</row>
    <row r="254">
      <c r="A254" s="55">
        <f t="shared" si="7"/>
        <v>53751</v>
      </c>
      <c r="B254" s="56">
        <f>round(YEARFRAC(EOMONTH(questions!$C$3, 0),A254,1),2)</f>
        <v>48.25</v>
      </c>
      <c r="C254" s="57">
        <f>IF(B254&lt;questions!$C$6,if(MONTH(A254)=1,C253*(1+questions!$C$12),C253),0)</f>
        <v>18602.94572</v>
      </c>
      <c r="D254" s="58">
        <f>IF(MONTH(A254)=12,C254*questions!$C$11,0)</f>
        <v>0</v>
      </c>
      <c r="E254" s="59">
        <f t="shared" si="2"/>
        <v>8000</v>
      </c>
      <c r="F254" s="59">
        <f t="shared" si="3"/>
        <v>0</v>
      </c>
      <c r="G254" s="60">
        <f t="array" ref="G254">if(YEAR(A254)=2025,XLOOKUP(B254,Lookup!$A$3:$A$7,Lookup!$D$3:$D$7,,1)*SUM(E254:F254), XLOOKUP(B254,Lookup!$A$14:$A$18,Lookup!$D$14:$D$18,,1)*SUM(E254:F254))</f>
        <v>2960</v>
      </c>
      <c r="H254" s="60">
        <f t="array" ref="H254">if(YEAR(A254)=2025,XLOOKUP(B254,Lookup!$F$3:$F$10,Lookup!$G$3:$G$10,,1)*G254, XLOOKUP(B254,Lookup!$F$14:$F$21,Lookup!$G$14:$G$21,,1)*G254)</f>
        <v>1520.256</v>
      </c>
      <c r="I254" s="60">
        <f t="array" ref="I254">if(B254&lt;55, if(YEAR(A254)=2025,XLOOKUP(B254,Lookup!$F$3:$F$10,Lookup!$H$3:$H$10,,1)*G254, XLOOKUP(B254,Lookup!$F$14:$F$21,Lookup!$H$14:$H$21,,1)*G254),0)</f>
        <v>639.952</v>
      </c>
      <c r="J254" s="60">
        <f t="array" ref="J254">if(YEAR(A254)=2025,XLOOKUP(B254,Lookup!$F$3:$F$10,Lookup!$I$3:$I$10,,1)*G254, XLOOKUP(B254,Lookup!$F$14:$F$21,Lookup!$I$14:$I$21,,1)*G254)</f>
        <v>799.792</v>
      </c>
      <c r="K254" s="61">
        <f t="array" ref="K254">if(B254&gt;54, if(YEAR(A254)=2025,XLOOKUP(B254,Lookup!$F$3:$F$10,Lookup!$H$3:$H$10,,1)*G254, XLOOKUP(B254,Lookup!$F$14:$F$21,Lookup!$H$14:$H$21,,1)*G254),0)</f>
        <v>0</v>
      </c>
      <c r="L254" s="62">
        <f>IF(and(A254&lt;questions!$C$19,questions!$C$18="yes"),questions!$C$20,0)</f>
        <v>0</v>
      </c>
      <c r="M254" s="63">
        <f>(Y253+H254)*Lookup!A$26/12</f>
        <v>844.0852403</v>
      </c>
      <c r="N254" s="63">
        <f>if(B254&lt;55, (Z253+I254)*Lookup!B$26/12, (AB253+K254)*Lookup!B$26/12)</f>
        <v>1181.028767</v>
      </c>
      <c r="O254" s="63">
        <f>(AA253+J254)*Lookup!C$26/12</f>
        <v>529.3096807</v>
      </c>
      <c r="P254" s="63">
        <f t="shared" si="8"/>
        <v>1685.003281</v>
      </c>
      <c r="Q254" s="63">
        <f t="shared" si="4"/>
        <v>2359.924361</v>
      </c>
      <c r="R254" s="63">
        <f t="shared" si="5"/>
        <v>1055.953388</v>
      </c>
      <c r="S254" s="64">
        <f t="shared" si="9"/>
        <v>16.66666667</v>
      </c>
      <c r="T254" s="64">
        <f t="shared" si="10"/>
        <v>33.33333333</v>
      </c>
      <c r="U254" s="64">
        <f t="shared" si="11"/>
        <v>0</v>
      </c>
      <c r="V254" s="64">
        <f t="shared" ref="V254:X254" si="262">IF(year($A254)=year($A253), V253+S254, S254)</f>
        <v>33.33333333</v>
      </c>
      <c r="W254" s="64">
        <f t="shared" si="262"/>
        <v>66.66666667</v>
      </c>
      <c r="X254" s="64">
        <f t="shared" si="262"/>
        <v>0</v>
      </c>
      <c r="Y254" s="65">
        <f>IFS(
  B254&lt;55,
    MAX(
      Y253 + IF(MONTH(A254)=12, P254+V254, 0) + H254 - L254
      + MAX(0,
          IF(AA253 &gt;= VLOOKUP(YEAR(A254), Lookup!$Q:$R, 2),
            Z253 + IF(MONTH(A254)=12, Q254+W254, 0) + I254
              + AA253 + IF(MONTH(A254)=12, R254+X254, 0)
              - VLOOKUP(YEAR(A254), Lookup!$Q:$R, 2) + J254,
            Z253 + IF(MONTH(A254)=12, Q254+W254, 0) + I254
          ) - VLOOKUP(YEAR(A254), Lookup!$K:$M, 3)
        ),
    0),
  B254=55,
    IF(Z253&gt;=AD254,
      MAX(Y253 + IF(MONTH(A254)=12, P254+V254, 0) + H254 - L254, 0),
      MAX(MAX(0, Y253-(AD254-Z253)) + IF(MONTH(A254)=12, P254+V254, 0) + H254 - L254, 0)
    ),
  B254&gt;55,
    IF(AB253&gt;=$AH$7,
      MAX(Y253 + IF(MONTH(A254)=12, P254+V254, 0) + H254 - L254 + K254 + Z253, 0),
      MAX(Y253 + IF(MONTH(A254)=12, P254+V254, 0) + H254 - L254, 0)
    )
)</f>
        <v>405160.9154</v>
      </c>
      <c r="Z254" s="65">
        <f>IFS(
  B254&lt;55,
    MIN(
      IF(AA253 &gt;= VLOOKUP(YEAR(A254), Lookup!$Q:$R, 2),
        Z253 + IF(MONTH(A254)=12, Q254+W254, 0) + I254
          + AA253 + IF(MONTH(A254)=12, R254+X254, 0) - VLOOKUP(YEAR(A254), Lookup!$Q:$R, 2) + J254,
        Z253 + IF(MONTH(A254)=12, Q254+W254, 0) + I254
      ),
      VLOOKUP(YEAR(A254), Lookup!$K:$M, 3)
    ),
  B254=55,
    IF(Z253 &gt;= AD254, Z253 - AD254, 0),
  B254&gt;55, 0
)</f>
        <v>354308.6302</v>
      </c>
      <c r="AA254" s="65">
        <f>IFS(
  B254&lt;65,
    IF(AA253+J254 &lt; VLOOKUP(YEAR(A254), Lookup!$Q:$R, 2),
      AA253 + IF(MONTH(A254)=12, R253+X253, 0) + J254,
      MIN(
        AA253 + IF(MONTH(A254)=12, R253+X253, 0) + J254 ,
        VLOOKUP(YEAR(A254), Lookup!$Q:$R, 2)
      )
    ),
  B254&gt;=65,
    IF(AA253+J254 &lt; VLOOKUP(questions!$C$5, Lookup!$Q:$R, 2),
      AA253 + IF(MONTH(A254)=12, R253+X253, 0) + J254 ,
      MIN(
        AA253 + IF(MONTH(A254)=12, R253+X253, 0) + J254,
        VLOOKUP(questions!$C$5, Lookup!$Q:$R, 2)
      )
    )
)</f>
        <v>158792.9042</v>
      </c>
      <c r="AB254" s="65">
        <f t="shared" si="13"/>
        <v>0</v>
      </c>
      <c r="AC254" s="66">
        <f t="array" ref="AC254">IFS(B254&lt;66, XLOOKUP(year(A254),Lookup!$K$13:$K1000,Lookup!$L$13:$L1000,"missing",,1),B254&gt;65,XLOOKUP(questions!$C$5,Lookup!$K$13:$K1000,Lookup!$L$13:$L1000,"missing",,1))</f>
        <v>227034.9093</v>
      </c>
      <c r="AD254" s="66">
        <f t="array" ref="AD254">IFS(B254&lt;66, XLOOKUP(year(A254),Lookup!$K$13:$K1000,Lookup!$M$13:$M1000,"missing",,1),B254&gt;65, XLOOKUP(questions!$C$5,Lookup!$K$13:$K1000,Lookup!$M$13:$M1000,"missing",,1))</f>
        <v>454069.8186</v>
      </c>
      <c r="AE254" s="66">
        <f t="array" ref="AE254">IFS(B254&lt;66, XLOOKUP(year(A254),Lookup!$K$13:$K1000,Lookup!$N$13:$N1000,"missing",,1),B254&gt;65,XLOOKUP(questions!$C$5,Lookup!$K$13:$K1000,Lookup!$N$13:$N1000,"missing",,1))</f>
        <v>908139.6373</v>
      </c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</row>
    <row r="255">
      <c r="A255" s="55">
        <f t="shared" si="7"/>
        <v>53782</v>
      </c>
      <c r="B255" s="56">
        <f>round(YEARFRAC(EOMONTH(questions!$C$3, 0),A255,1),2)</f>
        <v>48.33</v>
      </c>
      <c r="C255" s="57">
        <f>IF(B255&lt;questions!$C$6,if(MONTH(A255)=1,C254*(1+questions!$C$12),C254),0)</f>
        <v>18602.94572</v>
      </c>
      <c r="D255" s="58">
        <f>IF(MONTH(A255)=12,C255*questions!$C$11,0)</f>
        <v>0</v>
      </c>
      <c r="E255" s="59">
        <f t="shared" si="2"/>
        <v>8000</v>
      </c>
      <c r="F255" s="59">
        <f t="shared" si="3"/>
        <v>0</v>
      </c>
      <c r="G255" s="60">
        <f t="array" ref="G255">if(YEAR(A255)=2025,XLOOKUP(B255,Lookup!$A$3:$A$7,Lookup!$D$3:$D$7,,1)*SUM(E255:F255), XLOOKUP(B255,Lookup!$A$14:$A$18,Lookup!$D$14:$D$18,,1)*SUM(E255:F255))</f>
        <v>2960</v>
      </c>
      <c r="H255" s="60">
        <f t="array" ref="H255">if(YEAR(A255)=2025,XLOOKUP(B255,Lookup!$F$3:$F$10,Lookup!$G$3:$G$10,,1)*G255, XLOOKUP(B255,Lookup!$F$14:$F$21,Lookup!$G$14:$G$21,,1)*G255)</f>
        <v>1520.256</v>
      </c>
      <c r="I255" s="60">
        <f t="array" ref="I255">if(B255&lt;55, if(YEAR(A255)=2025,XLOOKUP(B255,Lookup!$F$3:$F$10,Lookup!$H$3:$H$10,,1)*G255, XLOOKUP(B255,Lookup!$F$14:$F$21,Lookup!$H$14:$H$21,,1)*G255),0)</f>
        <v>639.952</v>
      </c>
      <c r="J255" s="60">
        <f t="array" ref="J255">if(YEAR(A255)=2025,XLOOKUP(B255,Lookup!$F$3:$F$10,Lookup!$I$3:$I$10,,1)*G255, XLOOKUP(B255,Lookup!$F$14:$F$21,Lookup!$I$14:$I$21,,1)*G255)</f>
        <v>799.792</v>
      </c>
      <c r="K255" s="61">
        <f t="array" ref="K255">if(B255&gt;54, if(YEAR(A255)=2025,XLOOKUP(B255,Lookup!$F$3:$F$10,Lookup!$H$3:$H$10,,1)*G255, XLOOKUP(B255,Lookup!$F$14:$F$21,Lookup!$H$14:$H$21,,1)*G255),0)</f>
        <v>0</v>
      </c>
      <c r="L255" s="62">
        <f>IF(and(A255&lt;questions!$C$19,questions!$C$18="yes"),questions!$C$20,0)</f>
        <v>0</v>
      </c>
      <c r="M255" s="63">
        <f>(Y254+H255)*Lookup!A$26/12</f>
        <v>847.2524403</v>
      </c>
      <c r="N255" s="63">
        <f>if(B255&lt;55, (Z254+I255)*Lookup!B$26/12, (AB254+K255)*Lookup!B$26/12)</f>
        <v>1183.161941</v>
      </c>
      <c r="O255" s="63">
        <f>(AA254+J255)*Lookup!C$26/12</f>
        <v>531.975654</v>
      </c>
      <c r="P255" s="63">
        <f t="shared" si="8"/>
        <v>2532.255721</v>
      </c>
      <c r="Q255" s="63">
        <f t="shared" si="4"/>
        <v>3543.086302</v>
      </c>
      <c r="R255" s="63">
        <f t="shared" si="5"/>
        <v>1587.929042</v>
      </c>
      <c r="S255" s="64">
        <f t="shared" si="9"/>
        <v>16.66666667</v>
      </c>
      <c r="T255" s="64">
        <f t="shared" si="10"/>
        <v>33.33333333</v>
      </c>
      <c r="U255" s="64">
        <f t="shared" si="11"/>
        <v>0</v>
      </c>
      <c r="V255" s="64">
        <f t="shared" ref="V255:X255" si="263">IF(year($A255)=year($A254), V254+S255, S255)</f>
        <v>50</v>
      </c>
      <c r="W255" s="64">
        <f t="shared" si="263"/>
        <v>100</v>
      </c>
      <c r="X255" s="64">
        <f t="shared" si="263"/>
        <v>0</v>
      </c>
      <c r="Y255" s="65">
        <f>IFS(
  B255&lt;55,
    MAX(
      Y254 + IF(MONTH(A255)=12, P255+V255, 0) + H255 - L255
      + MAX(0,
          IF(AA254 &gt;= VLOOKUP(YEAR(A255), Lookup!$Q:$R, 2),
            Z254 + IF(MONTH(A255)=12, Q255+W255, 0) + I255
              + AA254 + IF(MONTH(A255)=12, R255+X255, 0)
              - VLOOKUP(YEAR(A255), Lookup!$Q:$R, 2) + J255,
            Z254 + IF(MONTH(A255)=12, Q255+W255, 0) + I255
          ) - VLOOKUP(YEAR(A255), Lookup!$K:$M, 3)
        ),
    0),
  B255=55,
    IF(Z254&gt;=AD255,
      MAX(Y254 + IF(MONTH(A255)=12, P255+V255, 0) + H255 - L255, 0),
      MAX(MAX(0, Y254-(AD255-Z254)) + IF(MONTH(A255)=12, P255+V255, 0) + H255 - L255, 0)
    ),
  B255&gt;55,
    IF(AB254&gt;=$AH$7,
      MAX(Y254 + IF(MONTH(A255)=12, P255+V255, 0) + H255 - L255 + K255 + Z254, 0),
      MAX(Y254 + IF(MONTH(A255)=12, P255+V255, 0) + H255 - L255, 0)
    )
)</f>
        <v>406681.1714</v>
      </c>
      <c r="Z255" s="65">
        <f>IFS(
  B255&lt;55,
    MIN(
      IF(AA254 &gt;= VLOOKUP(YEAR(A255), Lookup!$Q:$R, 2),
        Z254 + IF(MONTH(A255)=12, Q255+W255, 0) + I255
          + AA254 + IF(MONTH(A255)=12, R255+X255, 0) - VLOOKUP(YEAR(A255), Lookup!$Q:$R, 2) + J255,
        Z254 + IF(MONTH(A255)=12, Q255+W255, 0) + I255
      ),
      VLOOKUP(YEAR(A255), Lookup!$K:$M, 3)
    ),
  B255=55,
    IF(Z254 &gt;= AD255, Z254 - AD255, 0),
  B255&gt;55, 0
)</f>
        <v>354948.5822</v>
      </c>
      <c r="AA255" s="65">
        <f>IFS(
  B255&lt;65,
    IF(AA254+J255 &lt; VLOOKUP(YEAR(A255), Lookup!$Q:$R, 2),
      AA254 + IF(MONTH(A255)=12, R254+X254, 0) + J255,
      MIN(
        AA254 + IF(MONTH(A255)=12, R254+X254, 0) + J255 ,
        VLOOKUP(YEAR(A255), Lookup!$Q:$R, 2)
      )
    ),
  B255&gt;=65,
    IF(AA254+J255 &lt; VLOOKUP(questions!$C$5, Lookup!$Q:$R, 2),
      AA254 + IF(MONTH(A255)=12, R254+X254, 0) + J255 ,
      MIN(
        AA254 + IF(MONTH(A255)=12, R254+X254, 0) + J255,
        VLOOKUP(questions!$C$5, Lookup!$Q:$R, 2)
      )
    )
)</f>
        <v>159592.6962</v>
      </c>
      <c r="AB255" s="65">
        <f t="shared" si="13"/>
        <v>0</v>
      </c>
      <c r="AC255" s="66">
        <f t="array" ref="AC255">IFS(B255&lt;66, XLOOKUP(year(A255),Lookup!$K$13:$K1000,Lookup!$L$13:$L1000,"missing",,1),B255&gt;65,XLOOKUP(questions!$C$5,Lookup!$K$13:$K1000,Lookup!$L$13:$L1000,"missing",,1))</f>
        <v>227034.9093</v>
      </c>
      <c r="AD255" s="66">
        <f t="array" ref="AD255">IFS(B255&lt;66, XLOOKUP(year(A255),Lookup!$K$13:$K1000,Lookup!$M$13:$M1000,"missing",,1),B255&gt;65, XLOOKUP(questions!$C$5,Lookup!$K$13:$K1000,Lookup!$M$13:$M1000,"missing",,1))</f>
        <v>454069.8186</v>
      </c>
      <c r="AE255" s="66">
        <f t="array" ref="AE255">IFS(B255&lt;66, XLOOKUP(year(A255),Lookup!$K$13:$K1000,Lookup!$N$13:$N1000,"missing",,1),B255&gt;65,XLOOKUP(questions!$C$5,Lookup!$K$13:$K1000,Lookup!$N$13:$N1000,"missing",,1))</f>
        <v>908139.6373</v>
      </c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</row>
    <row r="256">
      <c r="A256" s="55">
        <f t="shared" si="7"/>
        <v>53812</v>
      </c>
      <c r="B256" s="56">
        <f>round(YEARFRAC(EOMONTH(questions!$C$3, 0),A256,1),2)</f>
        <v>48.41</v>
      </c>
      <c r="C256" s="57">
        <f>IF(B256&lt;questions!$C$6,if(MONTH(A256)=1,C255*(1+questions!$C$12),C255),0)</f>
        <v>18602.94572</v>
      </c>
      <c r="D256" s="58">
        <f>IF(MONTH(A256)=12,C256*questions!$C$11,0)</f>
        <v>0</v>
      </c>
      <c r="E256" s="59">
        <f t="shared" si="2"/>
        <v>8000</v>
      </c>
      <c r="F256" s="59">
        <f t="shared" si="3"/>
        <v>0</v>
      </c>
      <c r="G256" s="60">
        <f t="array" ref="G256">if(YEAR(A256)=2025,XLOOKUP(B256,Lookup!$A$3:$A$7,Lookup!$D$3:$D$7,,1)*SUM(E256:F256), XLOOKUP(B256,Lookup!$A$14:$A$18,Lookup!$D$14:$D$18,,1)*SUM(E256:F256))</f>
        <v>2960</v>
      </c>
      <c r="H256" s="60">
        <f t="array" ref="H256">if(YEAR(A256)=2025,XLOOKUP(B256,Lookup!$F$3:$F$10,Lookup!$G$3:$G$10,,1)*G256, XLOOKUP(B256,Lookup!$F$14:$F$21,Lookup!$G$14:$G$21,,1)*G256)</f>
        <v>1520.256</v>
      </c>
      <c r="I256" s="60">
        <f t="array" ref="I256">if(B256&lt;55, if(YEAR(A256)=2025,XLOOKUP(B256,Lookup!$F$3:$F$10,Lookup!$H$3:$H$10,,1)*G256, XLOOKUP(B256,Lookup!$F$14:$F$21,Lookup!$H$14:$H$21,,1)*G256),0)</f>
        <v>639.952</v>
      </c>
      <c r="J256" s="60">
        <f t="array" ref="J256">if(YEAR(A256)=2025,XLOOKUP(B256,Lookup!$F$3:$F$10,Lookup!$I$3:$I$10,,1)*G256, XLOOKUP(B256,Lookup!$F$14:$F$21,Lookup!$I$14:$I$21,,1)*G256)</f>
        <v>799.792</v>
      </c>
      <c r="K256" s="61">
        <f t="array" ref="K256">if(B256&gt;54, if(YEAR(A256)=2025,XLOOKUP(B256,Lookup!$F$3:$F$10,Lookup!$H$3:$H$10,,1)*G256, XLOOKUP(B256,Lookup!$F$14:$F$21,Lookup!$H$14:$H$21,,1)*G256),0)</f>
        <v>0</v>
      </c>
      <c r="L256" s="62">
        <f>IF(and(A256&lt;questions!$C$19,questions!$C$18="yes"),questions!$C$20,0)</f>
        <v>0</v>
      </c>
      <c r="M256" s="63">
        <f>(Y255+H256)*Lookup!A$26/12</f>
        <v>850.4196403</v>
      </c>
      <c r="N256" s="63">
        <f>if(B256&lt;55, (Z255+I256)*Lookup!B$26/12, (AB255+K256)*Lookup!B$26/12)</f>
        <v>1185.295114</v>
      </c>
      <c r="O256" s="63">
        <f>(AA255+J256)*Lookup!C$26/12</f>
        <v>534.6416274</v>
      </c>
      <c r="P256" s="63">
        <f t="shared" si="8"/>
        <v>3382.675361</v>
      </c>
      <c r="Q256" s="63">
        <f t="shared" si="4"/>
        <v>4728.381416</v>
      </c>
      <c r="R256" s="63">
        <f t="shared" si="5"/>
        <v>2122.57067</v>
      </c>
      <c r="S256" s="64">
        <f t="shared" si="9"/>
        <v>16.66666667</v>
      </c>
      <c r="T256" s="64">
        <f t="shared" si="10"/>
        <v>33.33333333</v>
      </c>
      <c r="U256" s="64">
        <f t="shared" si="11"/>
        <v>0</v>
      </c>
      <c r="V256" s="64">
        <f t="shared" ref="V256:X256" si="264">IF(year($A256)=year($A255), V255+S256, S256)</f>
        <v>66.66666667</v>
      </c>
      <c r="W256" s="64">
        <f t="shared" si="264"/>
        <v>133.3333333</v>
      </c>
      <c r="X256" s="64">
        <f t="shared" si="264"/>
        <v>0</v>
      </c>
      <c r="Y256" s="65">
        <f>IFS(
  B256&lt;55,
    MAX(
      Y255 + IF(MONTH(A256)=12, P256+V256, 0) + H256 - L256
      + MAX(0,
          IF(AA255 &gt;= VLOOKUP(YEAR(A256), Lookup!$Q:$R, 2),
            Z255 + IF(MONTH(A256)=12, Q256+W256, 0) + I256
              + AA255 + IF(MONTH(A256)=12, R256+X256, 0)
              - VLOOKUP(YEAR(A256), Lookup!$Q:$R, 2) + J256,
            Z255 + IF(MONTH(A256)=12, Q256+W256, 0) + I256
          ) - VLOOKUP(YEAR(A256), Lookup!$K:$M, 3)
        ),
    0),
  B256=55,
    IF(Z255&gt;=AD256,
      MAX(Y255 + IF(MONTH(A256)=12, P256+V256, 0) + H256 - L256, 0),
      MAX(MAX(0, Y255-(AD256-Z255)) + IF(MONTH(A256)=12, P256+V256, 0) + H256 - L256, 0)
    ),
  B256&gt;55,
    IF(AB255&gt;=$AH$7,
      MAX(Y255 + IF(MONTH(A256)=12, P256+V256, 0) + H256 - L256 + K256 + Z255, 0),
      MAX(Y255 + IF(MONTH(A256)=12, P256+V256, 0) + H256 - L256, 0)
    )
)</f>
        <v>408201.4274</v>
      </c>
      <c r="Z256" s="65">
        <f>IFS(
  B256&lt;55,
    MIN(
      IF(AA255 &gt;= VLOOKUP(YEAR(A256), Lookup!$Q:$R, 2),
        Z255 + IF(MONTH(A256)=12, Q256+W256, 0) + I256
          + AA255 + IF(MONTH(A256)=12, R256+X256, 0) - VLOOKUP(YEAR(A256), Lookup!$Q:$R, 2) + J256,
        Z255 + IF(MONTH(A256)=12, Q256+W256, 0) + I256
      ),
      VLOOKUP(YEAR(A256), Lookup!$K:$M, 3)
    ),
  B256=55,
    IF(Z255 &gt;= AD256, Z255 - AD256, 0),
  B256&gt;55, 0
)</f>
        <v>355588.5342</v>
      </c>
      <c r="AA256" s="65">
        <f>IFS(
  B256&lt;65,
    IF(AA255+J256 &lt; VLOOKUP(YEAR(A256), Lookup!$Q:$R, 2),
      AA255 + IF(MONTH(A256)=12, R255+X255, 0) + J256,
      MIN(
        AA255 + IF(MONTH(A256)=12, R255+X255, 0) + J256 ,
        VLOOKUP(YEAR(A256), Lookup!$Q:$R, 2)
      )
    ),
  B256&gt;=65,
    IF(AA255+J256 &lt; VLOOKUP(questions!$C$5, Lookup!$Q:$R, 2),
      AA255 + IF(MONTH(A256)=12, R255+X255, 0) + J256 ,
      MIN(
        AA255 + IF(MONTH(A256)=12, R255+X255, 0) + J256,
        VLOOKUP(questions!$C$5, Lookup!$Q:$R, 2)
      )
    )
)</f>
        <v>160392.4882</v>
      </c>
      <c r="AB256" s="65">
        <f t="shared" si="13"/>
        <v>0</v>
      </c>
      <c r="AC256" s="66">
        <f t="array" ref="AC256">IFS(B256&lt;66, XLOOKUP(year(A256),Lookup!$K$13:$K1000,Lookup!$L$13:$L1000,"missing",,1),B256&gt;65,XLOOKUP(questions!$C$5,Lookup!$K$13:$K1000,Lookup!$L$13:$L1000,"missing",,1))</f>
        <v>227034.9093</v>
      </c>
      <c r="AD256" s="66">
        <f t="array" ref="AD256">IFS(B256&lt;66, XLOOKUP(year(A256),Lookup!$K$13:$K1000,Lookup!$M$13:$M1000,"missing",,1),B256&gt;65, XLOOKUP(questions!$C$5,Lookup!$K$13:$K1000,Lookup!$M$13:$M1000,"missing",,1))</f>
        <v>454069.8186</v>
      </c>
      <c r="AE256" s="66">
        <f t="array" ref="AE256">IFS(B256&lt;66, XLOOKUP(year(A256),Lookup!$K$13:$K1000,Lookup!$N$13:$N1000,"missing",,1),B256&gt;65,XLOOKUP(questions!$C$5,Lookup!$K$13:$K1000,Lookup!$N$13:$N1000,"missing",,1))</f>
        <v>908139.6373</v>
      </c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</row>
    <row r="257">
      <c r="A257" s="55">
        <f t="shared" si="7"/>
        <v>53843</v>
      </c>
      <c r="B257" s="56">
        <f>round(YEARFRAC(EOMONTH(questions!$C$3, 0),A257,1),2)</f>
        <v>48.5</v>
      </c>
      <c r="C257" s="57">
        <f>IF(B257&lt;questions!$C$6,if(MONTH(A257)=1,C256*(1+questions!$C$12),C256),0)</f>
        <v>18602.94572</v>
      </c>
      <c r="D257" s="58">
        <f>IF(MONTH(A257)=12,C257*questions!$C$11,0)</f>
        <v>0</v>
      </c>
      <c r="E257" s="59">
        <f t="shared" si="2"/>
        <v>8000</v>
      </c>
      <c r="F257" s="59">
        <f t="shared" si="3"/>
        <v>0</v>
      </c>
      <c r="G257" s="60">
        <f t="array" ref="G257">if(YEAR(A257)=2025,XLOOKUP(B257,Lookup!$A$3:$A$7,Lookup!$D$3:$D$7,,1)*SUM(E257:F257), XLOOKUP(B257,Lookup!$A$14:$A$18,Lookup!$D$14:$D$18,,1)*SUM(E257:F257))</f>
        <v>2960</v>
      </c>
      <c r="H257" s="60">
        <f t="array" ref="H257">if(YEAR(A257)=2025,XLOOKUP(B257,Lookup!$F$3:$F$10,Lookup!$G$3:$G$10,,1)*G257, XLOOKUP(B257,Lookup!$F$14:$F$21,Lookup!$G$14:$G$21,,1)*G257)</f>
        <v>1520.256</v>
      </c>
      <c r="I257" s="60">
        <f t="array" ref="I257">if(B257&lt;55, if(YEAR(A257)=2025,XLOOKUP(B257,Lookup!$F$3:$F$10,Lookup!$H$3:$H$10,,1)*G257, XLOOKUP(B257,Lookup!$F$14:$F$21,Lookup!$H$14:$H$21,,1)*G257),0)</f>
        <v>639.952</v>
      </c>
      <c r="J257" s="60">
        <f t="array" ref="J257">if(YEAR(A257)=2025,XLOOKUP(B257,Lookup!$F$3:$F$10,Lookup!$I$3:$I$10,,1)*G257, XLOOKUP(B257,Lookup!$F$14:$F$21,Lookup!$I$14:$I$21,,1)*G257)</f>
        <v>799.792</v>
      </c>
      <c r="K257" s="61">
        <f t="array" ref="K257">if(B257&gt;54, if(YEAR(A257)=2025,XLOOKUP(B257,Lookup!$F$3:$F$10,Lookup!$H$3:$H$10,,1)*G257, XLOOKUP(B257,Lookup!$F$14:$F$21,Lookup!$H$14:$H$21,,1)*G257),0)</f>
        <v>0</v>
      </c>
      <c r="L257" s="62">
        <f>IF(and(A257&lt;questions!$C$19,questions!$C$18="yes"),questions!$C$20,0)</f>
        <v>0</v>
      </c>
      <c r="M257" s="63">
        <f>(Y256+H257)*Lookup!A$26/12</f>
        <v>853.5868403</v>
      </c>
      <c r="N257" s="63">
        <f>if(B257&lt;55, (Z256+I257)*Lookup!B$26/12, (AB256+K257)*Lookup!B$26/12)</f>
        <v>1187.428287</v>
      </c>
      <c r="O257" s="63">
        <f>(AA256+J257)*Lookup!C$26/12</f>
        <v>537.3076007</v>
      </c>
      <c r="P257" s="63">
        <f t="shared" si="8"/>
        <v>4236.262202</v>
      </c>
      <c r="Q257" s="63">
        <f t="shared" si="4"/>
        <v>5915.809704</v>
      </c>
      <c r="R257" s="63">
        <f t="shared" si="5"/>
        <v>2659.87827</v>
      </c>
      <c r="S257" s="64">
        <f t="shared" si="9"/>
        <v>16.66666667</v>
      </c>
      <c r="T257" s="64">
        <f t="shared" si="10"/>
        <v>33.33333333</v>
      </c>
      <c r="U257" s="64">
        <f t="shared" si="11"/>
        <v>0</v>
      </c>
      <c r="V257" s="64">
        <f t="shared" ref="V257:X257" si="265">IF(year($A257)=year($A256), V256+S257, S257)</f>
        <v>83.33333333</v>
      </c>
      <c r="W257" s="64">
        <f t="shared" si="265"/>
        <v>166.6666667</v>
      </c>
      <c r="X257" s="64">
        <f t="shared" si="265"/>
        <v>0</v>
      </c>
      <c r="Y257" s="65">
        <f>IFS(
  B257&lt;55,
    MAX(
      Y256 + IF(MONTH(A257)=12, P257+V257, 0) + H257 - L257
      + MAX(0,
          IF(AA256 &gt;= VLOOKUP(YEAR(A257), Lookup!$Q:$R, 2),
            Z256 + IF(MONTH(A257)=12, Q257+W257, 0) + I257
              + AA256 + IF(MONTH(A257)=12, R257+X257, 0)
              - VLOOKUP(YEAR(A257), Lookup!$Q:$R, 2) + J257,
            Z256 + IF(MONTH(A257)=12, Q257+W257, 0) + I257
          ) - VLOOKUP(YEAR(A257), Lookup!$K:$M, 3)
        ),
    0),
  B257=55,
    IF(Z256&gt;=AD257,
      MAX(Y256 + IF(MONTH(A257)=12, P257+V257, 0) + H257 - L257, 0),
      MAX(MAX(0, Y256-(AD257-Z256)) + IF(MONTH(A257)=12, P257+V257, 0) + H257 - L257, 0)
    ),
  B257&gt;55,
    IF(AB256&gt;=$AH$7,
      MAX(Y256 + IF(MONTH(A257)=12, P257+V257, 0) + H257 - L257 + K257 + Z256, 0),
      MAX(Y256 + IF(MONTH(A257)=12, P257+V257, 0) + H257 - L257, 0)
    )
)</f>
        <v>409721.6834</v>
      </c>
      <c r="Z257" s="65">
        <f>IFS(
  B257&lt;55,
    MIN(
      IF(AA256 &gt;= VLOOKUP(YEAR(A257), Lookup!$Q:$R, 2),
        Z256 + IF(MONTH(A257)=12, Q257+W257, 0) + I257
          + AA256 + IF(MONTH(A257)=12, R257+X257, 0) - VLOOKUP(YEAR(A257), Lookup!$Q:$R, 2) + J257,
        Z256 + IF(MONTH(A257)=12, Q257+W257, 0) + I257
      ),
      VLOOKUP(YEAR(A257), Lookup!$K:$M, 3)
    ),
  B257=55,
    IF(Z256 &gt;= AD257, Z256 - AD257, 0),
  B257&gt;55, 0
)</f>
        <v>356228.4862</v>
      </c>
      <c r="AA257" s="65">
        <f>IFS(
  B257&lt;65,
    IF(AA256+J257 &lt; VLOOKUP(YEAR(A257), Lookup!$Q:$R, 2),
      AA256 + IF(MONTH(A257)=12, R256+X256, 0) + J257,
      MIN(
        AA256 + IF(MONTH(A257)=12, R256+X256, 0) + J257 ,
        VLOOKUP(YEAR(A257), Lookup!$Q:$R, 2)
      )
    ),
  B257&gt;=65,
    IF(AA256+J257 &lt; VLOOKUP(questions!$C$5, Lookup!$Q:$R, 2),
      AA256 + IF(MONTH(A257)=12, R256+X256, 0) + J257 ,
      MIN(
        AA256 + IF(MONTH(A257)=12, R256+X256, 0) + J257,
        VLOOKUP(questions!$C$5, Lookup!$Q:$R, 2)
      )
    )
)</f>
        <v>161192.2802</v>
      </c>
      <c r="AB257" s="65">
        <f t="shared" si="13"/>
        <v>0</v>
      </c>
      <c r="AC257" s="66">
        <f t="array" ref="AC257">IFS(B257&lt;66, XLOOKUP(year(A257),Lookup!$K$13:$K1000,Lookup!$L$13:$L1000,"missing",,1),B257&gt;65,XLOOKUP(questions!$C$5,Lookup!$K$13:$K1000,Lookup!$L$13:$L1000,"missing",,1))</f>
        <v>227034.9093</v>
      </c>
      <c r="AD257" s="66">
        <f t="array" ref="AD257">IFS(B257&lt;66, XLOOKUP(year(A257),Lookup!$K$13:$K1000,Lookup!$M$13:$M1000,"missing",,1),B257&gt;65, XLOOKUP(questions!$C$5,Lookup!$K$13:$K1000,Lookup!$M$13:$M1000,"missing",,1))</f>
        <v>454069.8186</v>
      </c>
      <c r="AE257" s="66">
        <f t="array" ref="AE257">IFS(B257&lt;66, XLOOKUP(year(A257),Lookup!$K$13:$K1000,Lookup!$N$13:$N1000,"missing",,1),B257&gt;65,XLOOKUP(questions!$C$5,Lookup!$K$13:$K1000,Lookup!$N$13:$N1000,"missing",,1))</f>
        <v>908139.6373</v>
      </c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</row>
    <row r="258">
      <c r="A258" s="55">
        <f t="shared" si="7"/>
        <v>53873</v>
      </c>
      <c r="B258" s="56">
        <f>round(YEARFRAC(EOMONTH(questions!$C$3, 0),A258,1),2)</f>
        <v>48.58</v>
      </c>
      <c r="C258" s="57">
        <f>IF(B258&lt;questions!$C$6,if(MONTH(A258)=1,C257*(1+questions!$C$12),C257),0)</f>
        <v>18602.94572</v>
      </c>
      <c r="D258" s="58">
        <f>IF(MONTH(A258)=12,C258*questions!$C$11,0)</f>
        <v>0</v>
      </c>
      <c r="E258" s="59">
        <f t="shared" si="2"/>
        <v>8000</v>
      </c>
      <c r="F258" s="59">
        <f t="shared" si="3"/>
        <v>0</v>
      </c>
      <c r="G258" s="60">
        <f t="array" ref="G258">if(YEAR(A258)=2025,XLOOKUP(B258,Lookup!$A$3:$A$7,Lookup!$D$3:$D$7,,1)*SUM(E258:F258), XLOOKUP(B258,Lookup!$A$14:$A$18,Lookup!$D$14:$D$18,,1)*SUM(E258:F258))</f>
        <v>2960</v>
      </c>
      <c r="H258" s="60">
        <f t="array" ref="H258">if(YEAR(A258)=2025,XLOOKUP(B258,Lookup!$F$3:$F$10,Lookup!$G$3:$G$10,,1)*G258, XLOOKUP(B258,Lookup!$F$14:$F$21,Lookup!$G$14:$G$21,,1)*G258)</f>
        <v>1520.256</v>
      </c>
      <c r="I258" s="60">
        <f t="array" ref="I258">if(B258&lt;55, if(YEAR(A258)=2025,XLOOKUP(B258,Lookup!$F$3:$F$10,Lookup!$H$3:$H$10,,1)*G258, XLOOKUP(B258,Lookup!$F$14:$F$21,Lookup!$H$14:$H$21,,1)*G258),0)</f>
        <v>639.952</v>
      </c>
      <c r="J258" s="60">
        <f t="array" ref="J258">if(YEAR(A258)=2025,XLOOKUP(B258,Lookup!$F$3:$F$10,Lookup!$I$3:$I$10,,1)*G258, XLOOKUP(B258,Lookup!$F$14:$F$21,Lookup!$I$14:$I$21,,1)*G258)</f>
        <v>799.792</v>
      </c>
      <c r="K258" s="61">
        <f t="array" ref="K258">if(B258&gt;54, if(YEAR(A258)=2025,XLOOKUP(B258,Lookup!$F$3:$F$10,Lookup!$H$3:$H$10,,1)*G258, XLOOKUP(B258,Lookup!$F$14:$F$21,Lookup!$H$14:$H$21,,1)*G258),0)</f>
        <v>0</v>
      </c>
      <c r="L258" s="62">
        <f>IF(and(A258&lt;questions!$C$19,questions!$C$18="yes"),questions!$C$20,0)</f>
        <v>0</v>
      </c>
      <c r="M258" s="63">
        <f>(Y257+H258)*Lookup!A$26/12</f>
        <v>856.7540403</v>
      </c>
      <c r="N258" s="63">
        <f>if(B258&lt;55, (Z257+I258)*Lookup!B$26/12, (AB257+K258)*Lookup!B$26/12)</f>
        <v>1189.561461</v>
      </c>
      <c r="O258" s="63">
        <f>(AA257+J258)*Lookup!C$26/12</f>
        <v>539.973574</v>
      </c>
      <c r="P258" s="63">
        <f t="shared" si="8"/>
        <v>5093.016242</v>
      </c>
      <c r="Q258" s="63">
        <f t="shared" si="4"/>
        <v>7105.371164</v>
      </c>
      <c r="R258" s="63">
        <f t="shared" si="5"/>
        <v>3199.851844</v>
      </c>
      <c r="S258" s="64">
        <f t="shared" si="9"/>
        <v>16.66666667</v>
      </c>
      <c r="T258" s="64">
        <f t="shared" si="10"/>
        <v>33.33333333</v>
      </c>
      <c r="U258" s="64">
        <f t="shared" si="11"/>
        <v>0</v>
      </c>
      <c r="V258" s="64">
        <f t="shared" ref="V258:X258" si="266">IF(year($A258)=year($A257), V257+S258, S258)</f>
        <v>100</v>
      </c>
      <c r="W258" s="64">
        <f t="shared" si="266"/>
        <v>200</v>
      </c>
      <c r="X258" s="64">
        <f t="shared" si="266"/>
        <v>0</v>
      </c>
      <c r="Y258" s="65">
        <f>IFS(
  B258&lt;55,
    MAX(
      Y257 + IF(MONTH(A258)=12, P258+V258, 0) + H258 - L258
      + MAX(0,
          IF(AA257 &gt;= VLOOKUP(YEAR(A258), Lookup!$Q:$R, 2),
            Z257 + IF(MONTH(A258)=12, Q258+W258, 0) + I258
              + AA257 + IF(MONTH(A258)=12, R258+X258, 0)
              - VLOOKUP(YEAR(A258), Lookup!$Q:$R, 2) + J258,
            Z257 + IF(MONTH(A258)=12, Q258+W258, 0) + I258
          ) - VLOOKUP(YEAR(A258), Lookup!$K:$M, 3)
        ),
    0),
  B258=55,
    IF(Z257&gt;=AD258,
      MAX(Y257 + IF(MONTH(A258)=12, P258+V258, 0) + H258 - L258, 0),
      MAX(MAX(0, Y257-(AD258-Z257)) + IF(MONTH(A258)=12, P258+V258, 0) + H258 - L258, 0)
    ),
  B258&gt;55,
    IF(AB257&gt;=$AH$7,
      MAX(Y257 + IF(MONTH(A258)=12, P258+V258, 0) + H258 - L258 + K258 + Z257, 0),
      MAX(Y257 + IF(MONTH(A258)=12, P258+V258, 0) + H258 - L258, 0)
    )
)</f>
        <v>411241.9394</v>
      </c>
      <c r="Z258" s="65">
        <f>IFS(
  B258&lt;55,
    MIN(
      IF(AA257 &gt;= VLOOKUP(YEAR(A258), Lookup!$Q:$R, 2),
        Z257 + IF(MONTH(A258)=12, Q258+W258, 0) + I258
          + AA257 + IF(MONTH(A258)=12, R258+X258, 0) - VLOOKUP(YEAR(A258), Lookup!$Q:$R, 2) + J258,
        Z257 + IF(MONTH(A258)=12, Q258+W258, 0) + I258
      ),
      VLOOKUP(YEAR(A258), Lookup!$K:$M, 3)
    ),
  B258=55,
    IF(Z257 &gt;= AD258, Z257 - AD258, 0),
  B258&gt;55, 0
)</f>
        <v>356868.4382</v>
      </c>
      <c r="AA258" s="65">
        <f>IFS(
  B258&lt;65,
    IF(AA257+J258 &lt; VLOOKUP(YEAR(A258), Lookup!$Q:$R, 2),
      AA257 + IF(MONTH(A258)=12, R257+X257, 0) + J258,
      MIN(
        AA257 + IF(MONTH(A258)=12, R257+X257, 0) + J258 ,
        VLOOKUP(YEAR(A258), Lookup!$Q:$R, 2)
      )
    ),
  B258&gt;=65,
    IF(AA257+J258 &lt; VLOOKUP(questions!$C$5, Lookup!$Q:$R, 2),
      AA257 + IF(MONTH(A258)=12, R257+X257, 0) + J258 ,
      MIN(
        AA257 + IF(MONTH(A258)=12, R257+X257, 0) + J258,
        VLOOKUP(questions!$C$5, Lookup!$Q:$R, 2)
      )
    )
)</f>
        <v>161992.0722</v>
      </c>
      <c r="AB258" s="65">
        <f t="shared" si="13"/>
        <v>0</v>
      </c>
      <c r="AC258" s="66">
        <f t="array" ref="AC258">IFS(B258&lt;66, XLOOKUP(year(A258),Lookup!$K$13:$K1000,Lookup!$L$13:$L1000,"missing",,1),B258&gt;65,XLOOKUP(questions!$C$5,Lookup!$K$13:$K1000,Lookup!$L$13:$L1000,"missing",,1))</f>
        <v>227034.9093</v>
      </c>
      <c r="AD258" s="66">
        <f t="array" ref="AD258">IFS(B258&lt;66, XLOOKUP(year(A258),Lookup!$K$13:$K1000,Lookup!$M$13:$M1000,"missing",,1),B258&gt;65, XLOOKUP(questions!$C$5,Lookup!$K$13:$K1000,Lookup!$M$13:$M1000,"missing",,1))</f>
        <v>454069.8186</v>
      </c>
      <c r="AE258" s="66">
        <f t="array" ref="AE258">IFS(B258&lt;66, XLOOKUP(year(A258),Lookup!$K$13:$K1000,Lookup!$N$13:$N1000,"missing",,1),B258&gt;65,XLOOKUP(questions!$C$5,Lookup!$K$13:$K1000,Lookup!$N$13:$N1000,"missing",,1))</f>
        <v>908139.6373</v>
      </c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</row>
    <row r="259">
      <c r="A259" s="55">
        <f t="shared" si="7"/>
        <v>53904</v>
      </c>
      <c r="B259" s="56">
        <f>round(YEARFRAC(EOMONTH(questions!$C$3, 0),A259,1),2)</f>
        <v>48.67</v>
      </c>
      <c r="C259" s="57">
        <f>IF(B259&lt;questions!$C$6,if(MONTH(A259)=1,C258*(1+questions!$C$12),C258),0)</f>
        <v>18602.94572</v>
      </c>
      <c r="D259" s="58">
        <f>IF(MONTH(A259)=12,C259*questions!$C$11,0)</f>
        <v>0</v>
      </c>
      <c r="E259" s="59">
        <f t="shared" si="2"/>
        <v>8000</v>
      </c>
      <c r="F259" s="59">
        <f t="shared" si="3"/>
        <v>0</v>
      </c>
      <c r="G259" s="60">
        <f t="array" ref="G259">if(YEAR(A259)=2025,XLOOKUP(B259,Lookup!$A$3:$A$7,Lookup!$D$3:$D$7,,1)*SUM(E259:F259), XLOOKUP(B259,Lookup!$A$14:$A$18,Lookup!$D$14:$D$18,,1)*SUM(E259:F259))</f>
        <v>2960</v>
      </c>
      <c r="H259" s="60">
        <f t="array" ref="H259">if(YEAR(A259)=2025,XLOOKUP(B259,Lookup!$F$3:$F$10,Lookup!$G$3:$G$10,,1)*G259, XLOOKUP(B259,Lookup!$F$14:$F$21,Lookup!$G$14:$G$21,,1)*G259)</f>
        <v>1520.256</v>
      </c>
      <c r="I259" s="60">
        <f t="array" ref="I259">if(B259&lt;55, if(YEAR(A259)=2025,XLOOKUP(B259,Lookup!$F$3:$F$10,Lookup!$H$3:$H$10,,1)*G259, XLOOKUP(B259,Lookup!$F$14:$F$21,Lookup!$H$14:$H$21,,1)*G259),0)</f>
        <v>639.952</v>
      </c>
      <c r="J259" s="60">
        <f t="array" ref="J259">if(YEAR(A259)=2025,XLOOKUP(B259,Lookup!$F$3:$F$10,Lookup!$I$3:$I$10,,1)*G259, XLOOKUP(B259,Lookup!$F$14:$F$21,Lookup!$I$14:$I$21,,1)*G259)</f>
        <v>799.792</v>
      </c>
      <c r="K259" s="61">
        <f t="array" ref="K259">if(B259&gt;54, if(YEAR(A259)=2025,XLOOKUP(B259,Lookup!$F$3:$F$10,Lookup!$H$3:$H$10,,1)*G259, XLOOKUP(B259,Lookup!$F$14:$F$21,Lookup!$H$14:$H$21,,1)*G259),0)</f>
        <v>0</v>
      </c>
      <c r="L259" s="62">
        <f>IF(and(A259&lt;questions!$C$19,questions!$C$18="yes"),questions!$C$20,0)</f>
        <v>0</v>
      </c>
      <c r="M259" s="63">
        <f>(Y258+H259)*Lookup!A$26/12</f>
        <v>859.9212403</v>
      </c>
      <c r="N259" s="63">
        <f>if(B259&lt;55, (Z258+I259)*Lookup!B$26/12, (AB258+K259)*Lookup!B$26/12)</f>
        <v>1191.694634</v>
      </c>
      <c r="O259" s="63">
        <f>(AA258+J259)*Lookup!C$26/12</f>
        <v>542.6395474</v>
      </c>
      <c r="P259" s="63">
        <f t="shared" si="8"/>
        <v>5952.937482</v>
      </c>
      <c r="Q259" s="63">
        <f t="shared" si="4"/>
        <v>8297.065798</v>
      </c>
      <c r="R259" s="63">
        <f t="shared" si="5"/>
        <v>3742.491392</v>
      </c>
      <c r="S259" s="64">
        <f t="shared" si="9"/>
        <v>16.66666667</v>
      </c>
      <c r="T259" s="64">
        <f t="shared" si="10"/>
        <v>33.33333333</v>
      </c>
      <c r="U259" s="64">
        <f t="shared" si="11"/>
        <v>0</v>
      </c>
      <c r="V259" s="64">
        <f t="shared" ref="V259:X259" si="267">IF(year($A259)=year($A258), V258+S259, S259)</f>
        <v>116.6666667</v>
      </c>
      <c r="W259" s="64">
        <f t="shared" si="267"/>
        <v>233.3333333</v>
      </c>
      <c r="X259" s="64">
        <f t="shared" si="267"/>
        <v>0</v>
      </c>
      <c r="Y259" s="65">
        <f>IFS(
  B259&lt;55,
    MAX(
      Y258 + IF(MONTH(A259)=12, P259+V259, 0) + H259 - L259
      + MAX(0,
          IF(AA258 &gt;= VLOOKUP(YEAR(A259), Lookup!$Q:$R, 2),
            Z258 + IF(MONTH(A259)=12, Q259+W259, 0) + I259
              + AA258 + IF(MONTH(A259)=12, R259+X259, 0)
              - VLOOKUP(YEAR(A259), Lookup!$Q:$R, 2) + J259,
            Z258 + IF(MONTH(A259)=12, Q259+W259, 0) + I259
          ) - VLOOKUP(YEAR(A259), Lookup!$K:$M, 3)
        ),
    0),
  B259=55,
    IF(Z258&gt;=AD259,
      MAX(Y258 + IF(MONTH(A259)=12, P259+V259, 0) + H259 - L259, 0),
      MAX(MAX(0, Y258-(AD259-Z258)) + IF(MONTH(A259)=12, P259+V259, 0) + H259 - L259, 0)
    ),
  B259&gt;55,
    IF(AB258&gt;=$AH$7,
      MAX(Y258 + IF(MONTH(A259)=12, P259+V259, 0) + H259 - L259 + K259 + Z258, 0),
      MAX(Y258 + IF(MONTH(A259)=12, P259+V259, 0) + H259 - L259, 0)
    )
)</f>
        <v>412762.1954</v>
      </c>
      <c r="Z259" s="65">
        <f>IFS(
  B259&lt;55,
    MIN(
      IF(AA258 &gt;= VLOOKUP(YEAR(A259), Lookup!$Q:$R, 2),
        Z258 + IF(MONTH(A259)=12, Q259+W259, 0) + I259
          + AA258 + IF(MONTH(A259)=12, R259+X259, 0) - VLOOKUP(YEAR(A259), Lookup!$Q:$R, 2) + J259,
        Z258 + IF(MONTH(A259)=12, Q259+W259, 0) + I259
      ),
      VLOOKUP(YEAR(A259), Lookup!$K:$M, 3)
    ),
  B259=55,
    IF(Z258 &gt;= AD259, Z258 - AD259, 0),
  B259&gt;55, 0
)</f>
        <v>357508.3902</v>
      </c>
      <c r="AA259" s="65">
        <f>IFS(
  B259&lt;65,
    IF(AA258+J259 &lt; VLOOKUP(YEAR(A259), Lookup!$Q:$R, 2),
      AA258 + IF(MONTH(A259)=12, R258+X258, 0) + J259,
      MIN(
        AA258 + IF(MONTH(A259)=12, R258+X258, 0) + J259 ,
        VLOOKUP(YEAR(A259), Lookup!$Q:$R, 2)
      )
    ),
  B259&gt;=65,
    IF(AA258+J259 &lt; VLOOKUP(questions!$C$5, Lookup!$Q:$R, 2),
      AA258 + IF(MONTH(A259)=12, R258+X258, 0) + J259 ,
      MIN(
        AA258 + IF(MONTH(A259)=12, R258+X258, 0) + J259,
        VLOOKUP(questions!$C$5, Lookup!$Q:$R, 2)
      )
    )
)</f>
        <v>162695.0864</v>
      </c>
      <c r="AB259" s="65">
        <f t="shared" si="13"/>
        <v>0</v>
      </c>
      <c r="AC259" s="66">
        <f t="array" ref="AC259">IFS(B259&lt;66, XLOOKUP(year(A259),Lookup!$K$13:$K1000,Lookup!$L$13:$L1000,"missing",,1),B259&gt;65,XLOOKUP(questions!$C$5,Lookup!$K$13:$K1000,Lookup!$L$13:$L1000,"missing",,1))</f>
        <v>227034.9093</v>
      </c>
      <c r="AD259" s="66">
        <f t="array" ref="AD259">IFS(B259&lt;66, XLOOKUP(year(A259),Lookup!$K$13:$K1000,Lookup!$M$13:$M1000,"missing",,1),B259&gt;65, XLOOKUP(questions!$C$5,Lookup!$K$13:$K1000,Lookup!$M$13:$M1000,"missing",,1))</f>
        <v>454069.8186</v>
      </c>
      <c r="AE259" s="66">
        <f t="array" ref="AE259">IFS(B259&lt;66, XLOOKUP(year(A259),Lookup!$K$13:$K1000,Lookup!$N$13:$N1000,"missing",,1),B259&gt;65,XLOOKUP(questions!$C$5,Lookup!$K$13:$K1000,Lookup!$N$13:$N1000,"missing",,1))</f>
        <v>908139.6373</v>
      </c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</row>
    <row r="260">
      <c r="A260" s="55">
        <f t="shared" si="7"/>
        <v>53935</v>
      </c>
      <c r="B260" s="56">
        <f>round(YEARFRAC(EOMONTH(questions!$C$3, 0),A260,1),2)</f>
        <v>48.75</v>
      </c>
      <c r="C260" s="57">
        <f>IF(B260&lt;questions!$C$6,if(MONTH(A260)=1,C259*(1+questions!$C$12),C259),0)</f>
        <v>18602.94572</v>
      </c>
      <c r="D260" s="58">
        <f>IF(MONTH(A260)=12,C260*questions!$C$11,0)</f>
        <v>0</v>
      </c>
      <c r="E260" s="59">
        <f t="shared" si="2"/>
        <v>8000</v>
      </c>
      <c r="F260" s="59">
        <f t="shared" si="3"/>
        <v>0</v>
      </c>
      <c r="G260" s="60">
        <f t="array" ref="G260">if(YEAR(A260)=2025,XLOOKUP(B260,Lookup!$A$3:$A$7,Lookup!$D$3:$D$7,,1)*SUM(E260:F260), XLOOKUP(B260,Lookup!$A$14:$A$18,Lookup!$D$14:$D$18,,1)*SUM(E260:F260))</f>
        <v>2960</v>
      </c>
      <c r="H260" s="60">
        <f t="array" ref="H260">if(YEAR(A260)=2025,XLOOKUP(B260,Lookup!$F$3:$F$10,Lookup!$G$3:$G$10,,1)*G260, XLOOKUP(B260,Lookup!$F$14:$F$21,Lookup!$G$14:$G$21,,1)*G260)</f>
        <v>1520.256</v>
      </c>
      <c r="I260" s="60">
        <f t="array" ref="I260">if(B260&lt;55, if(YEAR(A260)=2025,XLOOKUP(B260,Lookup!$F$3:$F$10,Lookup!$H$3:$H$10,,1)*G260, XLOOKUP(B260,Lookup!$F$14:$F$21,Lookup!$H$14:$H$21,,1)*G260),0)</f>
        <v>639.952</v>
      </c>
      <c r="J260" s="60">
        <f t="array" ref="J260">if(YEAR(A260)=2025,XLOOKUP(B260,Lookup!$F$3:$F$10,Lookup!$I$3:$I$10,,1)*G260, XLOOKUP(B260,Lookup!$F$14:$F$21,Lookup!$I$14:$I$21,,1)*G260)</f>
        <v>799.792</v>
      </c>
      <c r="K260" s="61">
        <f t="array" ref="K260">if(B260&gt;54, if(YEAR(A260)=2025,XLOOKUP(B260,Lookup!$F$3:$F$10,Lookup!$H$3:$H$10,,1)*G260, XLOOKUP(B260,Lookup!$F$14:$F$21,Lookup!$H$14:$H$21,,1)*G260),0)</f>
        <v>0</v>
      </c>
      <c r="L260" s="62">
        <f>IF(and(A260&lt;questions!$C$19,questions!$C$18="yes"),questions!$C$20,0)</f>
        <v>0</v>
      </c>
      <c r="M260" s="63">
        <f>(Y259+H260)*Lookup!A$26/12</f>
        <v>863.0884403</v>
      </c>
      <c r="N260" s="63">
        <f>if(B260&lt;55, (Z259+I260)*Lookup!B$26/12, (AB259+K260)*Lookup!B$26/12)</f>
        <v>1193.827807</v>
      </c>
      <c r="O260" s="63">
        <f>(AA259+J260)*Lookup!C$26/12</f>
        <v>544.9829281</v>
      </c>
      <c r="P260" s="63">
        <f t="shared" si="8"/>
        <v>6816.025923</v>
      </c>
      <c r="Q260" s="63">
        <f t="shared" si="4"/>
        <v>9490.893606</v>
      </c>
      <c r="R260" s="63">
        <f t="shared" si="5"/>
        <v>4287.47432</v>
      </c>
      <c r="S260" s="64">
        <f t="shared" si="9"/>
        <v>16.66666667</v>
      </c>
      <c r="T260" s="64">
        <f t="shared" si="10"/>
        <v>33.33333333</v>
      </c>
      <c r="U260" s="64">
        <f t="shared" si="11"/>
        <v>0</v>
      </c>
      <c r="V260" s="64">
        <f t="shared" ref="V260:X260" si="268">IF(year($A260)=year($A259), V259+S260, S260)</f>
        <v>133.3333333</v>
      </c>
      <c r="W260" s="64">
        <f t="shared" si="268"/>
        <v>266.6666667</v>
      </c>
      <c r="X260" s="64">
        <f t="shared" si="268"/>
        <v>0</v>
      </c>
      <c r="Y260" s="65">
        <f>IFS(
  B260&lt;55,
    MAX(
      Y259 + IF(MONTH(A260)=12, P260+V260, 0) + H260 - L260
      + MAX(0,
          IF(AA259 &gt;= VLOOKUP(YEAR(A260), Lookup!$Q:$R, 2),
            Z259 + IF(MONTH(A260)=12, Q260+W260, 0) + I260
              + AA259 + IF(MONTH(A260)=12, R260+X260, 0)
              - VLOOKUP(YEAR(A260), Lookup!$Q:$R, 2) + J260,
            Z259 + IF(MONTH(A260)=12, Q260+W260, 0) + I260
          ) - VLOOKUP(YEAR(A260), Lookup!$K:$M, 3)
        ),
    0),
  B260=55,
    IF(Z259&gt;=AD260,
      MAX(Y259 + IF(MONTH(A260)=12, P260+V260, 0) + H260 - L260, 0),
      MAX(MAX(0, Y259-(AD260-Z259)) + IF(MONTH(A260)=12, P260+V260, 0) + H260 - L260, 0)
    ),
  B260&gt;55,
    IF(AB259&gt;=$AH$7,
      MAX(Y259 + IF(MONTH(A260)=12, P260+V260, 0) + H260 - L260 + K260 + Z259, 0),
      MAX(Y259 + IF(MONTH(A260)=12, P260+V260, 0) + H260 - L260, 0)
    )
)</f>
        <v>414282.4514</v>
      </c>
      <c r="Z260" s="65">
        <f>IFS(
  B260&lt;55,
    MIN(
      IF(AA259 &gt;= VLOOKUP(YEAR(A260), Lookup!$Q:$R, 2),
        Z259 + IF(MONTH(A260)=12, Q260+W260, 0) + I260
          + AA259 + IF(MONTH(A260)=12, R260+X260, 0) - VLOOKUP(YEAR(A260), Lookup!$Q:$R, 2) + J260,
        Z259 + IF(MONTH(A260)=12, Q260+W260, 0) + I260
      ),
      VLOOKUP(YEAR(A260), Lookup!$K:$M, 3)
    ),
  B260=55,
    IF(Z259 &gt;= AD260, Z259 - AD260, 0),
  B260&gt;55, 0
)</f>
        <v>358948.1342</v>
      </c>
      <c r="AA260" s="65">
        <f>IFS(
  B260&lt;65,
    IF(AA259+J260 &lt; VLOOKUP(YEAR(A260), Lookup!$Q:$R, 2),
      AA259 + IF(MONTH(A260)=12, R259+X259, 0) + J260,
      MIN(
        AA259 + IF(MONTH(A260)=12, R259+X259, 0) + J260 ,
        VLOOKUP(YEAR(A260), Lookup!$Q:$R, 2)
      )
    ),
  B260&gt;=65,
    IF(AA259+J260 &lt; VLOOKUP(questions!$C$5, Lookup!$Q:$R, 2),
      AA259 + IF(MONTH(A260)=12, R259+X259, 0) + J260 ,
      MIN(
        AA259 + IF(MONTH(A260)=12, R259+X259, 0) + J260,
        VLOOKUP(questions!$C$5, Lookup!$Q:$R, 2)
      )
    )
)</f>
        <v>162695.0864</v>
      </c>
      <c r="AB260" s="65">
        <f t="shared" si="13"/>
        <v>0</v>
      </c>
      <c r="AC260" s="66">
        <f t="array" ref="AC260">IFS(B260&lt;66, XLOOKUP(year(A260),Lookup!$K$13:$K1000,Lookup!$L$13:$L1000,"missing",,1),B260&gt;65,XLOOKUP(questions!$C$5,Lookup!$K$13:$K1000,Lookup!$L$13:$L1000,"missing",,1))</f>
        <v>227034.9093</v>
      </c>
      <c r="AD260" s="66">
        <f t="array" ref="AD260">IFS(B260&lt;66, XLOOKUP(year(A260),Lookup!$K$13:$K1000,Lookup!$M$13:$M1000,"missing",,1),B260&gt;65, XLOOKUP(questions!$C$5,Lookup!$K$13:$K1000,Lookup!$M$13:$M1000,"missing",,1))</f>
        <v>454069.8186</v>
      </c>
      <c r="AE260" s="66">
        <f t="array" ref="AE260">IFS(B260&lt;66, XLOOKUP(year(A260),Lookup!$K$13:$K1000,Lookup!$N$13:$N1000,"missing",,1),B260&gt;65,XLOOKUP(questions!$C$5,Lookup!$K$13:$K1000,Lookup!$N$13:$N1000,"missing",,1))</f>
        <v>908139.6373</v>
      </c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</row>
    <row r="261">
      <c r="A261" s="55">
        <f t="shared" si="7"/>
        <v>53965</v>
      </c>
      <c r="B261" s="56">
        <f>round(YEARFRAC(EOMONTH(questions!$C$3, 0),A261,1),2)</f>
        <v>48.83</v>
      </c>
      <c r="C261" s="57">
        <f>IF(B261&lt;questions!$C$6,if(MONTH(A261)=1,C260*(1+questions!$C$12),C260),0)</f>
        <v>18602.94572</v>
      </c>
      <c r="D261" s="58">
        <f>IF(MONTH(A261)=12,C261*questions!$C$11,0)</f>
        <v>0</v>
      </c>
      <c r="E261" s="59">
        <f t="shared" si="2"/>
        <v>8000</v>
      </c>
      <c r="F261" s="59">
        <f t="shared" si="3"/>
        <v>0</v>
      </c>
      <c r="G261" s="60">
        <f t="array" ref="G261">if(YEAR(A261)=2025,XLOOKUP(B261,Lookup!$A$3:$A$7,Lookup!$D$3:$D$7,,1)*SUM(E261:F261), XLOOKUP(B261,Lookup!$A$14:$A$18,Lookup!$D$14:$D$18,,1)*SUM(E261:F261))</f>
        <v>2960</v>
      </c>
      <c r="H261" s="60">
        <f t="array" ref="H261">if(YEAR(A261)=2025,XLOOKUP(B261,Lookup!$F$3:$F$10,Lookup!$G$3:$G$10,,1)*G261, XLOOKUP(B261,Lookup!$F$14:$F$21,Lookup!$G$14:$G$21,,1)*G261)</f>
        <v>1520.256</v>
      </c>
      <c r="I261" s="60">
        <f t="array" ref="I261">if(B261&lt;55, if(YEAR(A261)=2025,XLOOKUP(B261,Lookup!$F$3:$F$10,Lookup!$H$3:$H$10,,1)*G261, XLOOKUP(B261,Lookup!$F$14:$F$21,Lookup!$H$14:$H$21,,1)*G261),0)</f>
        <v>639.952</v>
      </c>
      <c r="J261" s="60">
        <f t="array" ref="J261">if(YEAR(A261)=2025,XLOOKUP(B261,Lookup!$F$3:$F$10,Lookup!$I$3:$I$10,,1)*G261, XLOOKUP(B261,Lookup!$F$14:$F$21,Lookup!$I$14:$I$21,,1)*G261)</f>
        <v>799.792</v>
      </c>
      <c r="K261" s="61">
        <f t="array" ref="K261">if(B261&gt;54, if(YEAR(A261)=2025,XLOOKUP(B261,Lookup!$F$3:$F$10,Lookup!$H$3:$H$10,,1)*G261, XLOOKUP(B261,Lookup!$F$14:$F$21,Lookup!$H$14:$H$21,,1)*G261),0)</f>
        <v>0</v>
      </c>
      <c r="L261" s="62">
        <f>IF(and(A261&lt;questions!$C$19,questions!$C$18="yes"),questions!$C$20,0)</f>
        <v>0</v>
      </c>
      <c r="M261" s="63">
        <f>(Y260+H261)*Lookup!A$26/12</f>
        <v>866.2556403</v>
      </c>
      <c r="N261" s="63">
        <f>if(B261&lt;55, (Z260+I261)*Lookup!B$26/12, (AB260+K261)*Lookup!B$26/12)</f>
        <v>1198.626954</v>
      </c>
      <c r="O261" s="63">
        <f>(AA260+J261)*Lookup!C$26/12</f>
        <v>544.9829281</v>
      </c>
      <c r="P261" s="63">
        <f t="shared" si="8"/>
        <v>7682.281563</v>
      </c>
      <c r="Q261" s="63">
        <f t="shared" si="4"/>
        <v>10689.52056</v>
      </c>
      <c r="R261" s="63">
        <f t="shared" si="5"/>
        <v>4832.457248</v>
      </c>
      <c r="S261" s="64">
        <f t="shared" si="9"/>
        <v>16.66666667</v>
      </c>
      <c r="T261" s="64">
        <f t="shared" si="10"/>
        <v>33.33333333</v>
      </c>
      <c r="U261" s="64">
        <f t="shared" si="11"/>
        <v>0</v>
      </c>
      <c r="V261" s="64">
        <f t="shared" ref="V261:X261" si="269">IF(year($A261)=year($A260), V260+S261, S261)</f>
        <v>150</v>
      </c>
      <c r="W261" s="64">
        <f t="shared" si="269"/>
        <v>300</v>
      </c>
      <c r="X261" s="64">
        <f t="shared" si="269"/>
        <v>0</v>
      </c>
      <c r="Y261" s="65">
        <f>IFS(
  B261&lt;55,
    MAX(
      Y260 + IF(MONTH(A261)=12, P261+V261, 0) + H261 - L261
      + MAX(0,
          IF(AA260 &gt;= VLOOKUP(YEAR(A261), Lookup!$Q:$R, 2),
            Z260 + IF(MONTH(A261)=12, Q261+W261, 0) + I261
              + AA260 + IF(MONTH(A261)=12, R261+X261, 0)
              - VLOOKUP(YEAR(A261), Lookup!$Q:$R, 2) + J261,
            Z260 + IF(MONTH(A261)=12, Q261+W261, 0) + I261
          ) - VLOOKUP(YEAR(A261), Lookup!$K:$M, 3)
        ),
    0),
  B261=55,
    IF(Z260&gt;=AD261,
      MAX(Y260 + IF(MONTH(A261)=12, P261+V261, 0) + H261 - L261, 0),
      MAX(MAX(0, Y260-(AD261-Z260)) + IF(MONTH(A261)=12, P261+V261, 0) + H261 - L261, 0)
    ),
  B261&gt;55,
    IF(AB260&gt;=$AH$7,
      MAX(Y260 + IF(MONTH(A261)=12, P261+V261, 0) + H261 - L261 + K261 + Z260, 0),
      MAX(Y260 + IF(MONTH(A261)=12, P261+V261, 0) + H261 - L261, 0)
    )
)</f>
        <v>415802.7074</v>
      </c>
      <c r="Z261" s="65">
        <f>IFS(
  B261&lt;55,
    MIN(
      IF(AA260 &gt;= VLOOKUP(YEAR(A261), Lookup!$Q:$R, 2),
        Z260 + IF(MONTH(A261)=12, Q261+W261, 0) + I261
          + AA260 + IF(MONTH(A261)=12, R261+X261, 0) - VLOOKUP(YEAR(A261), Lookup!$Q:$R, 2) + J261,
        Z260 + IF(MONTH(A261)=12, Q261+W261, 0) + I261
      ),
      VLOOKUP(YEAR(A261), Lookup!$K:$M, 3)
    ),
  B261=55,
    IF(Z260 &gt;= AD261, Z260 - AD261, 0),
  B261&gt;55, 0
)</f>
        <v>360387.8782</v>
      </c>
      <c r="AA261" s="65">
        <f>IFS(
  B261&lt;65,
    IF(AA260+J261 &lt; VLOOKUP(YEAR(A261), Lookup!$Q:$R, 2),
      AA260 + IF(MONTH(A261)=12, R260+X260, 0) + J261,
      MIN(
        AA260 + IF(MONTH(A261)=12, R260+X260, 0) + J261 ,
        VLOOKUP(YEAR(A261), Lookup!$Q:$R, 2)
      )
    ),
  B261&gt;=65,
    IF(AA260+J261 &lt; VLOOKUP(questions!$C$5, Lookup!$Q:$R, 2),
      AA260 + IF(MONTH(A261)=12, R260+X260, 0) + J261 ,
      MIN(
        AA260 + IF(MONTH(A261)=12, R260+X260, 0) + J261,
        VLOOKUP(questions!$C$5, Lookup!$Q:$R, 2)
      )
    )
)</f>
        <v>162695.0864</v>
      </c>
      <c r="AB261" s="65">
        <f t="shared" si="13"/>
        <v>0</v>
      </c>
      <c r="AC261" s="66">
        <f t="array" ref="AC261">IFS(B261&lt;66, XLOOKUP(year(A261),Lookup!$K$13:$K1000,Lookup!$L$13:$L1000,"missing",,1),B261&gt;65,XLOOKUP(questions!$C$5,Lookup!$K$13:$K1000,Lookup!$L$13:$L1000,"missing",,1))</f>
        <v>227034.9093</v>
      </c>
      <c r="AD261" s="66">
        <f t="array" ref="AD261">IFS(B261&lt;66, XLOOKUP(year(A261),Lookup!$K$13:$K1000,Lookup!$M$13:$M1000,"missing",,1),B261&gt;65, XLOOKUP(questions!$C$5,Lookup!$K$13:$K1000,Lookup!$M$13:$M1000,"missing",,1))</f>
        <v>454069.8186</v>
      </c>
      <c r="AE261" s="66">
        <f t="array" ref="AE261">IFS(B261&lt;66, XLOOKUP(year(A261),Lookup!$K$13:$K1000,Lookup!$N$13:$N1000,"missing",,1),B261&gt;65,XLOOKUP(questions!$C$5,Lookup!$K$13:$K1000,Lookup!$N$13:$N1000,"missing",,1))</f>
        <v>908139.6373</v>
      </c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</row>
    <row r="262">
      <c r="A262" s="55">
        <f t="shared" si="7"/>
        <v>53996</v>
      </c>
      <c r="B262" s="56">
        <f>round(YEARFRAC(EOMONTH(questions!$C$3, 0),A262,1),2)</f>
        <v>48.92</v>
      </c>
      <c r="C262" s="57">
        <f>IF(B262&lt;questions!$C$6,if(MONTH(A262)=1,C261*(1+questions!$C$12),C261),0)</f>
        <v>18602.94572</v>
      </c>
      <c r="D262" s="58">
        <f>IF(MONTH(A262)=12,C262*questions!$C$11,0)</f>
        <v>0</v>
      </c>
      <c r="E262" s="59">
        <f t="shared" si="2"/>
        <v>8000</v>
      </c>
      <c r="F262" s="59">
        <f t="shared" si="3"/>
        <v>0</v>
      </c>
      <c r="G262" s="60">
        <f t="array" ref="G262">if(YEAR(A262)=2025,XLOOKUP(B262,Lookup!$A$3:$A$7,Lookup!$D$3:$D$7,,1)*SUM(E262:F262), XLOOKUP(B262,Lookup!$A$14:$A$18,Lookup!$D$14:$D$18,,1)*SUM(E262:F262))</f>
        <v>2960</v>
      </c>
      <c r="H262" s="60">
        <f t="array" ref="H262">if(YEAR(A262)=2025,XLOOKUP(B262,Lookup!$F$3:$F$10,Lookup!$G$3:$G$10,,1)*G262, XLOOKUP(B262,Lookup!$F$14:$F$21,Lookup!$G$14:$G$21,,1)*G262)</f>
        <v>1520.256</v>
      </c>
      <c r="I262" s="60">
        <f t="array" ref="I262">if(B262&lt;55, if(YEAR(A262)=2025,XLOOKUP(B262,Lookup!$F$3:$F$10,Lookup!$H$3:$H$10,,1)*G262, XLOOKUP(B262,Lookup!$F$14:$F$21,Lookup!$H$14:$H$21,,1)*G262),0)</f>
        <v>639.952</v>
      </c>
      <c r="J262" s="60">
        <f t="array" ref="J262">if(YEAR(A262)=2025,XLOOKUP(B262,Lookup!$F$3:$F$10,Lookup!$I$3:$I$10,,1)*G262, XLOOKUP(B262,Lookup!$F$14:$F$21,Lookup!$I$14:$I$21,,1)*G262)</f>
        <v>799.792</v>
      </c>
      <c r="K262" s="61">
        <f t="array" ref="K262">if(B262&gt;54, if(YEAR(A262)=2025,XLOOKUP(B262,Lookup!$F$3:$F$10,Lookup!$H$3:$H$10,,1)*G262, XLOOKUP(B262,Lookup!$F$14:$F$21,Lookup!$H$14:$H$21,,1)*G262),0)</f>
        <v>0</v>
      </c>
      <c r="L262" s="62">
        <f>IF(and(A262&lt;questions!$C$19,questions!$C$18="yes"),questions!$C$20,0)</f>
        <v>0</v>
      </c>
      <c r="M262" s="63">
        <f>(Y261+H262)*Lookup!A$26/12</f>
        <v>869.4228403</v>
      </c>
      <c r="N262" s="63">
        <f>if(B262&lt;55, (Z261+I262)*Lookup!B$26/12, (AB261+K262)*Lookup!B$26/12)</f>
        <v>1203.426101</v>
      </c>
      <c r="O262" s="63">
        <f>(AA261+J262)*Lookup!C$26/12</f>
        <v>544.9829281</v>
      </c>
      <c r="P262" s="63">
        <f t="shared" si="8"/>
        <v>8551.704403</v>
      </c>
      <c r="Q262" s="63">
        <f t="shared" si="4"/>
        <v>11892.94666</v>
      </c>
      <c r="R262" s="63">
        <f t="shared" si="5"/>
        <v>5377.440176</v>
      </c>
      <c r="S262" s="64">
        <f t="shared" si="9"/>
        <v>16.66666667</v>
      </c>
      <c r="T262" s="64">
        <f t="shared" si="10"/>
        <v>33.33333333</v>
      </c>
      <c r="U262" s="64">
        <f t="shared" si="11"/>
        <v>0</v>
      </c>
      <c r="V262" s="64">
        <f t="shared" ref="V262:X262" si="270">IF(year($A262)=year($A261), V261+S262, S262)</f>
        <v>166.6666667</v>
      </c>
      <c r="W262" s="64">
        <f t="shared" si="270"/>
        <v>333.3333333</v>
      </c>
      <c r="X262" s="64">
        <f t="shared" si="270"/>
        <v>0</v>
      </c>
      <c r="Y262" s="65">
        <f>IFS(
  B262&lt;55,
    MAX(
      Y261 + IF(MONTH(A262)=12, P262+V262, 0) + H262 - L262
      + MAX(0,
          IF(AA261 &gt;= VLOOKUP(YEAR(A262), Lookup!$Q:$R, 2),
            Z261 + IF(MONTH(A262)=12, Q262+W262, 0) + I262
              + AA261 + IF(MONTH(A262)=12, R262+X262, 0)
              - VLOOKUP(YEAR(A262), Lookup!$Q:$R, 2) + J262,
            Z261 + IF(MONTH(A262)=12, Q262+W262, 0) + I262
          ) - VLOOKUP(YEAR(A262), Lookup!$K:$M, 3)
        ),
    0),
  B262=55,
    IF(Z261&gt;=AD262,
      MAX(Y261 + IF(MONTH(A262)=12, P262+V262, 0) + H262 - L262, 0),
      MAX(MAX(0, Y261-(AD262-Z261)) + IF(MONTH(A262)=12, P262+V262, 0) + H262 - L262, 0)
    ),
  B262&gt;55,
    IF(AB261&gt;=$AH$7,
      MAX(Y261 + IF(MONTH(A262)=12, P262+V262, 0) + H262 - L262 + K262 + Z261, 0),
      MAX(Y261 + IF(MONTH(A262)=12, P262+V262, 0) + H262 - L262, 0)
    )
)</f>
        <v>417322.9634</v>
      </c>
      <c r="Z262" s="65">
        <f>IFS(
  B262&lt;55,
    MIN(
      IF(AA261 &gt;= VLOOKUP(YEAR(A262), Lookup!$Q:$R, 2),
        Z261 + IF(MONTH(A262)=12, Q262+W262, 0) + I262
          + AA261 + IF(MONTH(A262)=12, R262+X262, 0) - VLOOKUP(YEAR(A262), Lookup!$Q:$R, 2) + J262,
        Z261 + IF(MONTH(A262)=12, Q262+W262, 0) + I262
      ),
      VLOOKUP(YEAR(A262), Lookup!$K:$M, 3)
    ),
  B262=55,
    IF(Z261 &gt;= AD262, Z261 - AD262, 0),
  B262&gt;55, 0
)</f>
        <v>361827.6222</v>
      </c>
      <c r="AA262" s="65">
        <f>IFS(
  B262&lt;65,
    IF(AA261+J262 &lt; VLOOKUP(YEAR(A262), Lookup!$Q:$R, 2),
      AA261 + IF(MONTH(A262)=12, R261+X261, 0) + J262,
      MIN(
        AA261 + IF(MONTH(A262)=12, R261+X261, 0) + J262 ,
        VLOOKUP(YEAR(A262), Lookup!$Q:$R, 2)
      )
    ),
  B262&gt;=65,
    IF(AA261+J262 &lt; VLOOKUP(questions!$C$5, Lookup!$Q:$R, 2),
      AA261 + IF(MONTH(A262)=12, R261+X261, 0) + J262 ,
      MIN(
        AA261 + IF(MONTH(A262)=12, R261+X261, 0) + J262,
        VLOOKUP(questions!$C$5, Lookup!$Q:$R, 2)
      )
    )
)</f>
        <v>162695.0864</v>
      </c>
      <c r="AB262" s="65">
        <f t="shared" si="13"/>
        <v>0</v>
      </c>
      <c r="AC262" s="66">
        <f t="array" ref="AC262">IFS(B262&lt;66, XLOOKUP(year(A262),Lookup!$K$13:$K1000,Lookup!$L$13:$L1000,"missing",,1),B262&gt;65,XLOOKUP(questions!$C$5,Lookup!$K$13:$K1000,Lookup!$L$13:$L1000,"missing",,1))</f>
        <v>227034.9093</v>
      </c>
      <c r="AD262" s="66">
        <f t="array" ref="AD262">IFS(B262&lt;66, XLOOKUP(year(A262),Lookup!$K$13:$K1000,Lookup!$M$13:$M1000,"missing",,1),B262&gt;65, XLOOKUP(questions!$C$5,Lookup!$K$13:$K1000,Lookup!$M$13:$M1000,"missing",,1))</f>
        <v>454069.8186</v>
      </c>
      <c r="AE262" s="66">
        <f t="array" ref="AE262">IFS(B262&lt;66, XLOOKUP(year(A262),Lookup!$K$13:$K1000,Lookup!$N$13:$N1000,"missing",,1),B262&gt;65,XLOOKUP(questions!$C$5,Lookup!$K$13:$K1000,Lookup!$N$13:$N1000,"missing",,1))</f>
        <v>908139.6373</v>
      </c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</row>
    <row r="263">
      <c r="A263" s="55">
        <f t="shared" si="7"/>
        <v>54026</v>
      </c>
      <c r="B263" s="56">
        <f>round(YEARFRAC(EOMONTH(questions!$C$3, 0),A263,1),2)</f>
        <v>49</v>
      </c>
      <c r="C263" s="57">
        <f>IF(B263&lt;questions!$C$6,if(MONTH(A263)=1,C262*(1+questions!$C$12),C262),0)</f>
        <v>18602.94572</v>
      </c>
      <c r="D263" s="58">
        <f>IF(MONTH(A263)=12,C263*questions!$C$11,0)</f>
        <v>0</v>
      </c>
      <c r="E263" s="59">
        <f t="shared" si="2"/>
        <v>8000</v>
      </c>
      <c r="F263" s="59">
        <f t="shared" si="3"/>
        <v>0</v>
      </c>
      <c r="G263" s="60">
        <f t="array" ref="G263">if(YEAR(A263)=2025,XLOOKUP(B263,Lookup!$A$3:$A$7,Lookup!$D$3:$D$7,,1)*SUM(E263:F263), XLOOKUP(B263,Lookup!$A$14:$A$18,Lookup!$D$14:$D$18,,1)*SUM(E263:F263))</f>
        <v>2960</v>
      </c>
      <c r="H263" s="60">
        <f t="array" ref="H263">if(YEAR(A263)=2025,XLOOKUP(B263,Lookup!$F$3:$F$10,Lookup!$G$3:$G$10,,1)*G263, XLOOKUP(B263,Lookup!$F$14:$F$21,Lookup!$G$14:$G$21,,1)*G263)</f>
        <v>1520.256</v>
      </c>
      <c r="I263" s="60">
        <f t="array" ref="I263">if(B263&lt;55, if(YEAR(A263)=2025,XLOOKUP(B263,Lookup!$F$3:$F$10,Lookup!$H$3:$H$10,,1)*G263, XLOOKUP(B263,Lookup!$F$14:$F$21,Lookup!$H$14:$H$21,,1)*G263),0)</f>
        <v>639.952</v>
      </c>
      <c r="J263" s="60">
        <f t="array" ref="J263">if(YEAR(A263)=2025,XLOOKUP(B263,Lookup!$F$3:$F$10,Lookup!$I$3:$I$10,,1)*G263, XLOOKUP(B263,Lookup!$F$14:$F$21,Lookup!$I$14:$I$21,,1)*G263)</f>
        <v>799.792</v>
      </c>
      <c r="K263" s="61">
        <f t="array" ref="K263">if(B263&gt;54, if(YEAR(A263)=2025,XLOOKUP(B263,Lookup!$F$3:$F$10,Lookup!$H$3:$H$10,,1)*G263, XLOOKUP(B263,Lookup!$F$14:$F$21,Lookup!$H$14:$H$21,,1)*G263),0)</f>
        <v>0</v>
      </c>
      <c r="L263" s="62">
        <f>IF(and(A263&lt;questions!$C$19,questions!$C$18="yes"),questions!$C$20,0)</f>
        <v>0</v>
      </c>
      <c r="M263" s="63">
        <f>(Y262+H263)*Lookup!A$26/12</f>
        <v>872.5900403</v>
      </c>
      <c r="N263" s="63">
        <f>if(B263&lt;55, (Z262+I263)*Lookup!B$26/12, (AB262+K263)*Lookup!B$26/12)</f>
        <v>1208.225247</v>
      </c>
      <c r="O263" s="63">
        <f>(AA262+J263)*Lookup!C$26/12</f>
        <v>544.9829281</v>
      </c>
      <c r="P263" s="63">
        <f t="shared" si="8"/>
        <v>9424.294444</v>
      </c>
      <c r="Q263" s="63">
        <f t="shared" si="4"/>
        <v>13101.17191</v>
      </c>
      <c r="R263" s="63">
        <f t="shared" si="5"/>
        <v>5922.423104</v>
      </c>
      <c r="S263" s="64">
        <f t="shared" si="9"/>
        <v>16.66666667</v>
      </c>
      <c r="T263" s="64">
        <f t="shared" si="10"/>
        <v>33.33333333</v>
      </c>
      <c r="U263" s="64">
        <f t="shared" si="11"/>
        <v>0</v>
      </c>
      <c r="V263" s="64">
        <f t="shared" ref="V263:X263" si="271">IF(year($A263)=year($A262), V262+S263, S263)</f>
        <v>183.3333333</v>
      </c>
      <c r="W263" s="64">
        <f t="shared" si="271"/>
        <v>366.6666667</v>
      </c>
      <c r="X263" s="64">
        <f t="shared" si="271"/>
        <v>0</v>
      </c>
      <c r="Y263" s="65">
        <f>IFS(
  B263&lt;55,
    MAX(
      Y262 + IF(MONTH(A263)=12, P263+V263, 0) + H263 - L263
      + MAX(0,
          IF(AA262 &gt;= VLOOKUP(YEAR(A263), Lookup!$Q:$R, 2),
            Z262 + IF(MONTH(A263)=12, Q263+W263, 0) + I263
              + AA262 + IF(MONTH(A263)=12, R263+X263, 0)
              - VLOOKUP(YEAR(A263), Lookup!$Q:$R, 2) + J263,
            Z262 + IF(MONTH(A263)=12, Q263+W263, 0) + I263
          ) - VLOOKUP(YEAR(A263), Lookup!$K:$M, 3)
        ),
    0),
  B263=55,
    IF(Z262&gt;=AD263,
      MAX(Y262 + IF(MONTH(A263)=12, P263+V263, 0) + H263 - L263, 0),
      MAX(MAX(0, Y262-(AD263-Z262)) + IF(MONTH(A263)=12, P263+V263, 0) + H263 - L263, 0)
    ),
  B263&gt;55,
    IF(AB262&gt;=$AH$7,
      MAX(Y262 + IF(MONTH(A263)=12, P263+V263, 0) + H263 - L263 + K263 + Z262, 0),
      MAX(Y262 + IF(MONTH(A263)=12, P263+V263, 0) + H263 - L263, 0)
    )
)</f>
        <v>418843.2194</v>
      </c>
      <c r="Z263" s="65">
        <f>IFS(
  B263&lt;55,
    MIN(
      IF(AA262 &gt;= VLOOKUP(YEAR(A263), Lookup!$Q:$R, 2),
        Z262 + IF(MONTH(A263)=12, Q263+W263, 0) + I263
          + AA262 + IF(MONTH(A263)=12, R263+X263, 0) - VLOOKUP(YEAR(A263), Lookup!$Q:$R, 2) + J263,
        Z262 + IF(MONTH(A263)=12, Q263+W263, 0) + I263
      ),
      VLOOKUP(YEAR(A263), Lookup!$K:$M, 3)
    ),
  B263=55,
    IF(Z262 &gt;= AD263, Z262 - AD263, 0),
  B263&gt;55, 0
)</f>
        <v>363267.3662</v>
      </c>
      <c r="AA263" s="65">
        <f>IFS(
  B263&lt;65,
    IF(AA262+J263 &lt; VLOOKUP(YEAR(A263), Lookup!$Q:$R, 2),
      AA262 + IF(MONTH(A263)=12, R262+X262, 0) + J263,
      MIN(
        AA262 + IF(MONTH(A263)=12, R262+X262, 0) + J263 ,
        VLOOKUP(YEAR(A263), Lookup!$Q:$R, 2)
      )
    ),
  B263&gt;=65,
    IF(AA262+J263 &lt; VLOOKUP(questions!$C$5, Lookup!$Q:$R, 2),
      AA262 + IF(MONTH(A263)=12, R262+X262, 0) + J263 ,
      MIN(
        AA262 + IF(MONTH(A263)=12, R262+X262, 0) + J263,
        VLOOKUP(questions!$C$5, Lookup!$Q:$R, 2)
      )
    )
)</f>
        <v>162695.0864</v>
      </c>
      <c r="AB263" s="65">
        <f t="shared" si="13"/>
        <v>0</v>
      </c>
      <c r="AC263" s="66">
        <f t="array" ref="AC263">IFS(B263&lt;66, XLOOKUP(year(A263),Lookup!$K$13:$K1000,Lookup!$L$13:$L1000,"missing",,1),B263&gt;65,XLOOKUP(questions!$C$5,Lookup!$K$13:$K1000,Lookup!$L$13:$L1000,"missing",,1))</f>
        <v>227034.9093</v>
      </c>
      <c r="AD263" s="66">
        <f t="array" ref="AD263">IFS(B263&lt;66, XLOOKUP(year(A263),Lookup!$K$13:$K1000,Lookup!$M$13:$M1000,"missing",,1),B263&gt;65, XLOOKUP(questions!$C$5,Lookup!$K$13:$K1000,Lookup!$M$13:$M1000,"missing",,1))</f>
        <v>454069.8186</v>
      </c>
      <c r="AE263" s="66">
        <f t="array" ref="AE263">IFS(B263&lt;66, XLOOKUP(year(A263),Lookup!$K$13:$K1000,Lookup!$N$13:$N1000,"missing",,1),B263&gt;65,XLOOKUP(questions!$C$5,Lookup!$K$13:$K1000,Lookup!$N$13:$N1000,"missing",,1))</f>
        <v>908139.6373</v>
      </c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</row>
    <row r="264">
      <c r="A264" s="55">
        <f t="shared" si="7"/>
        <v>54057</v>
      </c>
      <c r="B264" s="56">
        <f>round(YEARFRAC(EOMONTH(questions!$C$3, 0),A264,1),2)</f>
        <v>49.08</v>
      </c>
      <c r="C264" s="57">
        <f>IF(B264&lt;questions!$C$6,if(MONTH(A264)=1,C263*(1+questions!$C$12),C263),0)</f>
        <v>18602.94572</v>
      </c>
      <c r="D264" s="57">
        <f>IF(MONTH(A264)=12,C264*questions!$C$11,0)</f>
        <v>18602.94572</v>
      </c>
      <c r="E264" s="59">
        <f t="shared" si="2"/>
        <v>8000</v>
      </c>
      <c r="F264" s="59">
        <f t="shared" si="3"/>
        <v>6000</v>
      </c>
      <c r="G264" s="60">
        <f t="array" ref="G264">if(YEAR(A264)=2025,XLOOKUP(B264,Lookup!$A$3:$A$7,Lookup!$D$3:$D$7,,1)*SUM(E264:F264), XLOOKUP(B264,Lookup!$A$14:$A$18,Lookup!$D$14:$D$18,,1)*SUM(E264:F264))</f>
        <v>5180</v>
      </c>
      <c r="H264" s="60">
        <f t="array" ref="H264">if(YEAR(A264)=2025,XLOOKUP(B264,Lookup!$F$3:$F$10,Lookup!$G$3:$G$10,,1)*G264, XLOOKUP(B264,Lookup!$F$14:$F$21,Lookup!$G$14:$G$21,,1)*G264)</f>
        <v>2660.448</v>
      </c>
      <c r="I264" s="60">
        <f t="array" ref="I264">if(B264&lt;55, if(YEAR(A264)=2025,XLOOKUP(B264,Lookup!$F$3:$F$10,Lookup!$H$3:$H$10,,1)*G264, XLOOKUP(B264,Lookup!$F$14:$F$21,Lookup!$H$14:$H$21,,1)*G264),0)</f>
        <v>1119.916</v>
      </c>
      <c r="J264" s="60">
        <f t="array" ref="J264">if(YEAR(A264)=2025,XLOOKUP(B264,Lookup!$F$3:$F$10,Lookup!$I$3:$I$10,,1)*G264, XLOOKUP(B264,Lookup!$F$14:$F$21,Lookup!$I$14:$I$21,,1)*G264)</f>
        <v>1399.636</v>
      </c>
      <c r="K264" s="61">
        <f t="array" ref="K264">if(B264&gt;54, if(YEAR(A264)=2025,XLOOKUP(B264,Lookup!$F$3:$F$10,Lookup!$H$3:$H$10,,1)*G264, XLOOKUP(B264,Lookup!$F$14:$F$21,Lookup!$H$14:$H$21,,1)*G264),0)</f>
        <v>0</v>
      </c>
      <c r="L264" s="62">
        <f>IF(and(A264&lt;questions!$C$19,questions!$C$18="yes"),questions!$C$20,0)</f>
        <v>0</v>
      </c>
      <c r="M264" s="63">
        <f>(Y263+H264)*Lookup!A$26/12</f>
        <v>878.1326403</v>
      </c>
      <c r="N264" s="63">
        <f>if(B264&lt;55, (Z263+I264)*Lookup!B$26/12, (AB263+K264)*Lookup!B$26/12)</f>
        <v>1214.624274</v>
      </c>
      <c r="O264" s="63">
        <f>(AA263+J264)*Lookup!C$26/12</f>
        <v>546.9824081</v>
      </c>
      <c r="P264" s="63">
        <f t="shared" si="8"/>
        <v>10302.42708</v>
      </c>
      <c r="Q264" s="63">
        <f t="shared" si="4"/>
        <v>14315.79618</v>
      </c>
      <c r="R264" s="63">
        <f t="shared" si="5"/>
        <v>6469.405512</v>
      </c>
      <c r="S264" s="64">
        <f t="shared" si="9"/>
        <v>16.66666667</v>
      </c>
      <c r="T264" s="64">
        <f t="shared" si="10"/>
        <v>33.33333333</v>
      </c>
      <c r="U264" s="64">
        <f t="shared" si="11"/>
        <v>0</v>
      </c>
      <c r="V264" s="64">
        <f t="shared" ref="V264:X264" si="272">IF(year($A264)=year($A263), V263+S264, S264)</f>
        <v>200</v>
      </c>
      <c r="W264" s="64">
        <f t="shared" si="272"/>
        <v>400</v>
      </c>
      <c r="X264" s="64">
        <f t="shared" si="272"/>
        <v>0</v>
      </c>
      <c r="Y264" s="65">
        <f>IFS(
  B264&lt;55,
    MAX(
      Y263 + IF(MONTH(A264)=12, P264+V264, 0) + H264 - L264
      + MAX(0,
          IF(AA263 &gt;= VLOOKUP(YEAR(A264), Lookup!$Q:$R, 2),
            Z263 + IF(MONTH(A264)=12, Q264+W264, 0) + I264
              + AA263 + IF(MONTH(A264)=12, R264+X264, 0)
              - VLOOKUP(YEAR(A264), Lookup!$Q:$R, 2) + J264,
            Z263 + IF(MONTH(A264)=12, Q264+W264, 0) + I264
          ) - VLOOKUP(YEAR(A264), Lookup!$K:$M, 3)
        ),
    0),
  B264=55,
    IF(Z263&gt;=AD264,
      MAX(Y263 + IF(MONTH(A264)=12, P264+V264, 0) + H264 - L264, 0),
      MAX(MAX(0, Y263-(AD264-Z263)) + IF(MONTH(A264)=12, P264+V264, 0) + H264 - L264, 0)
    ),
  B264&gt;55,
    IF(AB263&gt;=$AH$7,
      MAX(Y263 + IF(MONTH(A264)=12, P264+V264, 0) + H264 - L264 + K264 + Z263, 0),
      MAX(Y263 + IF(MONTH(A264)=12, P264+V264, 0) + H264 - L264, 0)
    )
)</f>
        <v>432006.0944</v>
      </c>
      <c r="Z264" s="65">
        <f>IFS(
  B264&lt;55,
    MIN(
      IF(AA263 &gt;= VLOOKUP(YEAR(A264), Lookup!$Q:$R, 2),
        Z263 + IF(MONTH(A264)=12, Q264+W264, 0) + I264
          + AA263 + IF(MONTH(A264)=12, R264+X264, 0) - VLOOKUP(YEAR(A264), Lookup!$Q:$R, 2) + J264,
        Z263 + IF(MONTH(A264)=12, Q264+W264, 0) + I264
      ),
      VLOOKUP(YEAR(A264), Lookup!$K:$M, 3)
    ),
  B264=55,
    IF(Z263 &gt;= AD264, Z263 - AD264, 0),
  B264&gt;55, 0
)</f>
        <v>386972.1199</v>
      </c>
      <c r="AA264" s="65">
        <f>IFS(
  B264&lt;65,
    IF(AA263+J264 &lt; VLOOKUP(YEAR(A264), Lookup!$Q:$R, 2),
      AA263 + IF(MONTH(A264)=12, R263+X263, 0) + J264,
      MIN(
        AA263 + IF(MONTH(A264)=12, R263+X263, 0) + J264 ,
        VLOOKUP(YEAR(A264), Lookup!$Q:$R, 2)
      )
    ),
  B264&gt;=65,
    IF(AA263+J264 &lt; VLOOKUP(questions!$C$5, Lookup!$Q:$R, 2),
      AA263 + IF(MONTH(A264)=12, R263+X263, 0) + J264 ,
      MIN(
        AA263 + IF(MONTH(A264)=12, R263+X263, 0) + J264,
        VLOOKUP(questions!$C$5, Lookup!$Q:$R, 2)
      )
    )
)</f>
        <v>162695.0864</v>
      </c>
      <c r="AB264" s="65">
        <f t="shared" si="13"/>
        <v>0</v>
      </c>
      <c r="AC264" s="66">
        <f t="array" ref="AC264">IFS(B264&lt;66, XLOOKUP(year(A264),Lookup!$K$13:$K1000,Lookup!$L$13:$L1000,"missing",,1),B264&gt;65,XLOOKUP(questions!$C$5,Lookup!$K$13:$K1000,Lookup!$L$13:$L1000,"missing",,1))</f>
        <v>227034.9093</v>
      </c>
      <c r="AD264" s="66">
        <f t="array" ref="AD264">IFS(B264&lt;66, XLOOKUP(year(A264),Lookup!$K$13:$K1000,Lookup!$M$13:$M1000,"missing",,1),B264&gt;65, XLOOKUP(questions!$C$5,Lookup!$K$13:$K1000,Lookup!$M$13:$M1000,"missing",,1))</f>
        <v>454069.8186</v>
      </c>
      <c r="AE264" s="66">
        <f t="array" ref="AE264">IFS(B264&lt;66, XLOOKUP(year(A264),Lookup!$K$13:$K1000,Lookup!$N$13:$N1000,"missing",,1),B264&gt;65,XLOOKUP(questions!$C$5,Lookup!$K$13:$K1000,Lookup!$N$13:$N1000,"missing",,1))</f>
        <v>908139.6373</v>
      </c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</row>
    <row r="265">
      <c r="A265" s="55">
        <f t="shared" si="7"/>
        <v>54088</v>
      </c>
      <c r="B265" s="56">
        <f>round(YEARFRAC(EOMONTH(questions!$C$3, 0),A265,1),2)</f>
        <v>49.17</v>
      </c>
      <c r="C265" s="57">
        <f>IF(B265&lt;questions!$C$6,if(MONTH(A265)=1,C264*(1+questions!$C$12),C264),0)</f>
        <v>19161.03409</v>
      </c>
      <c r="D265" s="58">
        <f>IF(MONTH(A265)=12,C265*questions!$C$11,0)</f>
        <v>0</v>
      </c>
      <c r="E265" s="59">
        <f t="shared" si="2"/>
        <v>8000</v>
      </c>
      <c r="F265" s="59">
        <f t="shared" si="3"/>
        <v>0</v>
      </c>
      <c r="G265" s="60">
        <f t="array" ref="G265">if(YEAR(A265)=2025,XLOOKUP(B265,Lookup!$A$3:$A$7,Lookup!$D$3:$D$7,,1)*SUM(E265:F265), XLOOKUP(B265,Lookup!$A$14:$A$18,Lookup!$D$14:$D$18,,1)*SUM(E265:F265))</f>
        <v>2960</v>
      </c>
      <c r="H265" s="60">
        <f t="array" ref="H265">if(YEAR(A265)=2025,XLOOKUP(B265,Lookup!$F$3:$F$10,Lookup!$G$3:$G$10,,1)*G265, XLOOKUP(B265,Lookup!$F$14:$F$21,Lookup!$G$14:$G$21,,1)*G265)</f>
        <v>1520.256</v>
      </c>
      <c r="I265" s="60">
        <f t="array" ref="I265">if(B265&lt;55, if(YEAR(A265)=2025,XLOOKUP(B265,Lookup!$F$3:$F$10,Lookup!$H$3:$H$10,,1)*G265, XLOOKUP(B265,Lookup!$F$14:$F$21,Lookup!$H$14:$H$21,,1)*G265),0)</f>
        <v>639.952</v>
      </c>
      <c r="J265" s="60">
        <f t="array" ref="J265">if(YEAR(A265)=2025,XLOOKUP(B265,Lookup!$F$3:$F$10,Lookup!$I$3:$I$10,,1)*G265, XLOOKUP(B265,Lookup!$F$14:$F$21,Lookup!$I$14:$I$21,,1)*G265)</f>
        <v>799.792</v>
      </c>
      <c r="K265" s="61">
        <f t="array" ref="K265">if(B265&gt;54, if(YEAR(A265)=2025,XLOOKUP(B265,Lookup!$F$3:$F$10,Lookup!$H$3:$H$10,,1)*G265, XLOOKUP(B265,Lookup!$F$14:$F$21,Lookup!$H$14:$H$21,,1)*G265),0)</f>
        <v>0</v>
      </c>
      <c r="L265" s="62">
        <f>IF(and(A265&lt;questions!$C$19,questions!$C$18="yes"),questions!$C$20,0)</f>
        <v>0</v>
      </c>
      <c r="M265" s="63">
        <f>(Y264+H265)*Lookup!A$26/12</f>
        <v>903.1798968</v>
      </c>
      <c r="N265" s="63">
        <f>if(B265&lt;55, (Z264+I265)*Lookup!B$26/12, (AB264+K265)*Lookup!B$26/12)</f>
        <v>1292.04024</v>
      </c>
      <c r="O265" s="63">
        <f>(AA264+J265)*Lookup!C$26/12</f>
        <v>544.9829281</v>
      </c>
      <c r="P265" s="63">
        <f t="shared" si="8"/>
        <v>903.1798968</v>
      </c>
      <c r="Q265" s="63">
        <f t="shared" si="4"/>
        <v>1292.04024</v>
      </c>
      <c r="R265" s="63">
        <f t="shared" si="5"/>
        <v>544.9829281</v>
      </c>
      <c r="S265" s="64">
        <f t="shared" si="9"/>
        <v>16.66666667</v>
      </c>
      <c r="T265" s="64">
        <f t="shared" si="10"/>
        <v>33.33333333</v>
      </c>
      <c r="U265" s="64">
        <f t="shared" si="11"/>
        <v>0</v>
      </c>
      <c r="V265" s="64">
        <f t="shared" ref="V265:X265" si="273">IF(year($A265)=year($A264), V264+S265, S265)</f>
        <v>16.66666667</v>
      </c>
      <c r="W265" s="64">
        <f t="shared" si="273"/>
        <v>33.33333333</v>
      </c>
      <c r="X265" s="64">
        <f t="shared" si="273"/>
        <v>0</v>
      </c>
      <c r="Y265" s="65">
        <f>IFS(
  B265&lt;55,
    MAX(
      Y264 + IF(MONTH(A265)=12, P265+V265, 0) + H265 - L265
      + MAX(0,
          IF(AA264 &gt;= VLOOKUP(YEAR(A265), Lookup!$Q:$R, 2),
            Z264 + IF(MONTH(A265)=12, Q265+W265, 0) + I265
              + AA264 + IF(MONTH(A265)=12, R265+X265, 0)
              - VLOOKUP(YEAR(A265), Lookup!$Q:$R, 2) + J265,
            Z264 + IF(MONTH(A265)=12, Q265+W265, 0) + I265
          ) - VLOOKUP(YEAR(A265), Lookup!$K:$M, 3)
        ),
    0),
  B265=55,
    IF(Z264&gt;=AD265,
      MAX(Y264 + IF(MONTH(A265)=12, P265+V265, 0) + H265 - L265, 0),
      MAX(MAX(0, Y264-(AD265-Z264)) + IF(MONTH(A265)=12, P265+V265, 0) + H265 - L265, 0)
    ),
  B265&gt;55,
    IF(AB264&gt;=$AH$7,
      MAX(Y264 + IF(MONTH(A265)=12, P265+V265, 0) + H265 - L265 + K265 + Z264, 0),
      MAX(Y264 + IF(MONTH(A265)=12, P265+V265, 0) + H265 - L265, 0)
    )
)</f>
        <v>433526.3504</v>
      </c>
      <c r="Z265" s="65">
        <f>IFS(
  B265&lt;55,
    MIN(
      IF(AA264 &gt;= VLOOKUP(YEAR(A265), Lookup!$Q:$R, 2),
        Z264 + IF(MONTH(A265)=12, Q265+W265, 0) + I265
          + AA264 + IF(MONTH(A265)=12, R265+X265, 0) - VLOOKUP(YEAR(A265), Lookup!$Q:$R, 2) + J265,
        Z264 + IF(MONTH(A265)=12, Q265+W265, 0) + I265
      ),
      VLOOKUP(YEAR(A265), Lookup!$K:$M, 3)
    ),
  B265=55,
    IF(Z264 &gt;= AD265, Z264 - AD265, 0),
  B265&gt;55, 0
)</f>
        <v>387612.0719</v>
      </c>
      <c r="AA265" s="65">
        <f>IFS(
  B265&lt;65,
    IF(AA264+J265 &lt; VLOOKUP(YEAR(A265), Lookup!$Q:$R, 2),
      AA264 + IF(MONTH(A265)=12, R264+X264, 0) + J265,
      MIN(
        AA264 + IF(MONTH(A265)=12, R264+X264, 0) + J265 ,
        VLOOKUP(YEAR(A265), Lookup!$Q:$R, 2)
      )
    ),
  B265&gt;=65,
    IF(AA264+J265 &lt; VLOOKUP(questions!$C$5, Lookup!$Q:$R, 2),
      AA264 + IF(MONTH(A265)=12, R264+X264, 0) + J265 ,
      MIN(
        AA264 + IF(MONTH(A265)=12, R264+X264, 0) + J265,
        VLOOKUP(questions!$C$5, Lookup!$Q:$R, 2)
      )
    )
)</f>
        <v>163494.8784</v>
      </c>
      <c r="AB265" s="65">
        <f t="shared" si="13"/>
        <v>0</v>
      </c>
      <c r="AC265" s="66">
        <f t="array" ref="AC265">IFS(B265&lt;66, XLOOKUP(year(A265),Lookup!$K$13:$K1000,Lookup!$L$13:$L1000,"missing",,1),B265&gt;65,XLOOKUP(questions!$C$5,Lookup!$K$13:$K1000,Lookup!$L$13:$L1000,"missing",,1))</f>
        <v>234981.1311</v>
      </c>
      <c r="AD265" s="66">
        <f t="array" ref="AD265">IFS(B265&lt;66, XLOOKUP(year(A265),Lookup!$K$13:$K1000,Lookup!$M$13:$M1000,"missing",,1),B265&gt;65, XLOOKUP(questions!$C$5,Lookup!$K$13:$K1000,Lookup!$M$13:$M1000,"missing",,1))</f>
        <v>469962.2623</v>
      </c>
      <c r="AE265" s="66">
        <f t="array" ref="AE265">IFS(B265&lt;66, XLOOKUP(year(A265),Lookup!$K$13:$K1000,Lookup!$N$13:$N1000,"missing",,1),B265&gt;65,XLOOKUP(questions!$C$5,Lookup!$K$13:$K1000,Lookup!$N$13:$N1000,"missing",,1))</f>
        <v>939924.5246</v>
      </c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</row>
    <row r="266">
      <c r="A266" s="55">
        <f t="shared" si="7"/>
        <v>54117</v>
      </c>
      <c r="B266" s="56">
        <f>round(YEARFRAC(EOMONTH(questions!$C$3, 0),A266,1),2)</f>
        <v>49.25</v>
      </c>
      <c r="C266" s="57">
        <f>IF(B266&lt;questions!$C$6,if(MONTH(A266)=1,C265*(1+questions!$C$12),C265),0)</f>
        <v>19161.03409</v>
      </c>
      <c r="D266" s="58">
        <f>IF(MONTH(A266)=12,C266*questions!$C$11,0)</f>
        <v>0</v>
      </c>
      <c r="E266" s="59">
        <f t="shared" si="2"/>
        <v>8000</v>
      </c>
      <c r="F266" s="59">
        <f t="shared" si="3"/>
        <v>0</v>
      </c>
      <c r="G266" s="60">
        <f t="array" ref="G266">if(YEAR(A266)=2025,XLOOKUP(B266,Lookup!$A$3:$A$7,Lookup!$D$3:$D$7,,1)*SUM(E266:F266), XLOOKUP(B266,Lookup!$A$14:$A$18,Lookup!$D$14:$D$18,,1)*SUM(E266:F266))</f>
        <v>2960</v>
      </c>
      <c r="H266" s="60">
        <f t="array" ref="H266">if(YEAR(A266)=2025,XLOOKUP(B266,Lookup!$F$3:$F$10,Lookup!$G$3:$G$10,,1)*G266, XLOOKUP(B266,Lookup!$F$14:$F$21,Lookup!$G$14:$G$21,,1)*G266)</f>
        <v>1520.256</v>
      </c>
      <c r="I266" s="60">
        <f t="array" ref="I266">if(B266&lt;55, if(YEAR(A266)=2025,XLOOKUP(B266,Lookup!$F$3:$F$10,Lookup!$H$3:$H$10,,1)*G266, XLOOKUP(B266,Lookup!$F$14:$F$21,Lookup!$H$14:$H$21,,1)*G266),0)</f>
        <v>639.952</v>
      </c>
      <c r="J266" s="60">
        <f t="array" ref="J266">if(YEAR(A266)=2025,XLOOKUP(B266,Lookup!$F$3:$F$10,Lookup!$I$3:$I$10,,1)*G266, XLOOKUP(B266,Lookup!$F$14:$F$21,Lookup!$I$14:$I$21,,1)*G266)</f>
        <v>799.792</v>
      </c>
      <c r="K266" s="61">
        <f t="array" ref="K266">if(B266&gt;54, if(YEAR(A266)=2025,XLOOKUP(B266,Lookup!$F$3:$F$10,Lookup!$H$3:$H$10,,1)*G266, XLOOKUP(B266,Lookup!$F$14:$F$21,Lookup!$H$14:$H$21,,1)*G266),0)</f>
        <v>0</v>
      </c>
      <c r="L266" s="62">
        <f>IF(and(A266&lt;questions!$C$19,questions!$C$18="yes"),questions!$C$20,0)</f>
        <v>0</v>
      </c>
      <c r="M266" s="63">
        <f>(Y265+H266)*Lookup!A$26/12</f>
        <v>906.3470968</v>
      </c>
      <c r="N266" s="63">
        <f>if(B266&lt;55, (Z265+I266)*Lookup!B$26/12, (AB265+K266)*Lookup!B$26/12)</f>
        <v>1294.173413</v>
      </c>
      <c r="O266" s="63">
        <f>(AA265+J266)*Lookup!C$26/12</f>
        <v>547.6489014</v>
      </c>
      <c r="P266" s="63">
        <f t="shared" si="8"/>
        <v>1809.526994</v>
      </c>
      <c r="Q266" s="63">
        <f t="shared" si="4"/>
        <v>2586.213653</v>
      </c>
      <c r="R266" s="63">
        <f t="shared" si="5"/>
        <v>1092.631829</v>
      </c>
      <c r="S266" s="64">
        <f t="shared" si="9"/>
        <v>16.66666667</v>
      </c>
      <c r="T266" s="64">
        <f t="shared" si="10"/>
        <v>33.33333333</v>
      </c>
      <c r="U266" s="64">
        <f t="shared" si="11"/>
        <v>0</v>
      </c>
      <c r="V266" s="64">
        <f t="shared" ref="V266:X266" si="274">IF(year($A266)=year($A265), V265+S266, S266)</f>
        <v>33.33333333</v>
      </c>
      <c r="W266" s="64">
        <f t="shared" si="274"/>
        <v>66.66666667</v>
      </c>
      <c r="X266" s="64">
        <f t="shared" si="274"/>
        <v>0</v>
      </c>
      <c r="Y266" s="65">
        <f>IFS(
  B266&lt;55,
    MAX(
      Y265 + IF(MONTH(A266)=12, P266+V266, 0) + H266 - L266
      + MAX(0,
          IF(AA265 &gt;= VLOOKUP(YEAR(A266), Lookup!$Q:$R, 2),
            Z265 + IF(MONTH(A266)=12, Q266+W266, 0) + I266
              + AA265 + IF(MONTH(A266)=12, R266+X266, 0)
              - VLOOKUP(YEAR(A266), Lookup!$Q:$R, 2) + J266,
            Z265 + IF(MONTH(A266)=12, Q266+W266, 0) + I266
          ) - VLOOKUP(YEAR(A266), Lookup!$K:$M, 3)
        ),
    0),
  B266=55,
    IF(Z265&gt;=AD266,
      MAX(Y265 + IF(MONTH(A266)=12, P266+V266, 0) + H266 - L266, 0),
      MAX(MAX(0, Y265-(AD266-Z265)) + IF(MONTH(A266)=12, P266+V266, 0) + H266 - L266, 0)
    ),
  B266&gt;55,
    IF(AB265&gt;=$AH$7,
      MAX(Y265 + IF(MONTH(A266)=12, P266+V266, 0) + H266 - L266 + K266 + Z265, 0),
      MAX(Y265 + IF(MONTH(A266)=12, P266+V266, 0) + H266 - L266, 0)
    )
)</f>
        <v>435046.6064</v>
      </c>
      <c r="Z266" s="65">
        <f>IFS(
  B266&lt;55,
    MIN(
      IF(AA265 &gt;= VLOOKUP(YEAR(A266), Lookup!$Q:$R, 2),
        Z265 + IF(MONTH(A266)=12, Q266+W266, 0) + I266
          + AA265 + IF(MONTH(A266)=12, R266+X266, 0) - VLOOKUP(YEAR(A266), Lookup!$Q:$R, 2) + J266,
        Z265 + IF(MONTH(A266)=12, Q266+W266, 0) + I266
      ),
      VLOOKUP(YEAR(A266), Lookup!$K:$M, 3)
    ),
  B266=55,
    IF(Z265 &gt;= AD266, Z265 - AD266, 0),
  B266&gt;55, 0
)</f>
        <v>388252.0239</v>
      </c>
      <c r="AA266" s="65">
        <f>IFS(
  B266&lt;65,
    IF(AA265+J266 &lt; VLOOKUP(YEAR(A266), Lookup!$Q:$R, 2),
      AA265 + IF(MONTH(A266)=12, R265+X265, 0) + J266,
      MIN(
        AA265 + IF(MONTH(A266)=12, R265+X265, 0) + J266 ,
        VLOOKUP(YEAR(A266), Lookup!$Q:$R, 2)
      )
    ),
  B266&gt;=65,
    IF(AA265+J266 &lt; VLOOKUP(questions!$C$5, Lookup!$Q:$R, 2),
      AA265 + IF(MONTH(A266)=12, R265+X265, 0) + J266 ,
      MIN(
        AA265 + IF(MONTH(A266)=12, R265+X265, 0) + J266,
        VLOOKUP(questions!$C$5, Lookup!$Q:$R, 2)
      )
    )
)</f>
        <v>164294.6704</v>
      </c>
      <c r="AB266" s="65">
        <f t="shared" si="13"/>
        <v>0</v>
      </c>
      <c r="AC266" s="66">
        <f t="array" ref="AC266">IFS(B266&lt;66, XLOOKUP(year(A266),Lookup!$K$13:$K1000,Lookup!$L$13:$L1000,"missing",,1),B266&gt;65,XLOOKUP(questions!$C$5,Lookup!$K$13:$K1000,Lookup!$L$13:$L1000,"missing",,1))</f>
        <v>234981.1311</v>
      </c>
      <c r="AD266" s="66">
        <f t="array" ref="AD266">IFS(B266&lt;66, XLOOKUP(year(A266),Lookup!$K$13:$K1000,Lookup!$M$13:$M1000,"missing",,1),B266&gt;65, XLOOKUP(questions!$C$5,Lookup!$K$13:$K1000,Lookup!$M$13:$M1000,"missing",,1))</f>
        <v>469962.2623</v>
      </c>
      <c r="AE266" s="66">
        <f t="array" ref="AE266">IFS(B266&lt;66, XLOOKUP(year(A266),Lookup!$K$13:$K1000,Lookup!$N$13:$N1000,"missing",,1),B266&gt;65,XLOOKUP(questions!$C$5,Lookup!$K$13:$K1000,Lookup!$N$13:$N1000,"missing",,1))</f>
        <v>939924.5246</v>
      </c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</row>
    <row r="267">
      <c r="A267" s="55">
        <f t="shared" si="7"/>
        <v>54148</v>
      </c>
      <c r="B267" s="56">
        <f>round(YEARFRAC(EOMONTH(questions!$C$3, 0),A267,1),2)</f>
        <v>49.33</v>
      </c>
      <c r="C267" s="57">
        <f>IF(B267&lt;questions!$C$6,if(MONTH(A267)=1,C266*(1+questions!$C$12),C266),0)</f>
        <v>19161.03409</v>
      </c>
      <c r="D267" s="58">
        <f>IF(MONTH(A267)=12,C267*questions!$C$11,0)</f>
        <v>0</v>
      </c>
      <c r="E267" s="59">
        <f t="shared" si="2"/>
        <v>8000</v>
      </c>
      <c r="F267" s="59">
        <f t="shared" si="3"/>
        <v>0</v>
      </c>
      <c r="G267" s="60">
        <f t="array" ref="G267">if(YEAR(A267)=2025,XLOOKUP(B267,Lookup!$A$3:$A$7,Lookup!$D$3:$D$7,,1)*SUM(E267:F267), XLOOKUP(B267,Lookup!$A$14:$A$18,Lookup!$D$14:$D$18,,1)*SUM(E267:F267))</f>
        <v>2960</v>
      </c>
      <c r="H267" s="60">
        <f t="array" ref="H267">if(YEAR(A267)=2025,XLOOKUP(B267,Lookup!$F$3:$F$10,Lookup!$G$3:$G$10,,1)*G267, XLOOKUP(B267,Lookup!$F$14:$F$21,Lookup!$G$14:$G$21,,1)*G267)</f>
        <v>1520.256</v>
      </c>
      <c r="I267" s="60">
        <f t="array" ref="I267">if(B267&lt;55, if(YEAR(A267)=2025,XLOOKUP(B267,Lookup!$F$3:$F$10,Lookup!$H$3:$H$10,,1)*G267, XLOOKUP(B267,Lookup!$F$14:$F$21,Lookup!$H$14:$H$21,,1)*G267),0)</f>
        <v>639.952</v>
      </c>
      <c r="J267" s="60">
        <f t="array" ref="J267">if(YEAR(A267)=2025,XLOOKUP(B267,Lookup!$F$3:$F$10,Lookup!$I$3:$I$10,,1)*G267, XLOOKUP(B267,Lookup!$F$14:$F$21,Lookup!$I$14:$I$21,,1)*G267)</f>
        <v>799.792</v>
      </c>
      <c r="K267" s="61">
        <f t="array" ref="K267">if(B267&gt;54, if(YEAR(A267)=2025,XLOOKUP(B267,Lookup!$F$3:$F$10,Lookup!$H$3:$H$10,,1)*G267, XLOOKUP(B267,Lookup!$F$14:$F$21,Lookup!$H$14:$H$21,,1)*G267),0)</f>
        <v>0</v>
      </c>
      <c r="L267" s="62">
        <f>IF(and(A267&lt;questions!$C$19,questions!$C$18="yes"),questions!$C$20,0)</f>
        <v>0</v>
      </c>
      <c r="M267" s="63">
        <f>(Y266+H267)*Lookup!A$26/12</f>
        <v>909.5142968</v>
      </c>
      <c r="N267" s="63">
        <f>if(B267&lt;55, (Z266+I267)*Lookup!B$26/12, (AB266+K267)*Lookup!B$26/12)</f>
        <v>1296.306586</v>
      </c>
      <c r="O267" s="63">
        <f>(AA266+J267)*Lookup!C$26/12</f>
        <v>550.3148747</v>
      </c>
      <c r="P267" s="63">
        <f t="shared" si="8"/>
        <v>2719.04129</v>
      </c>
      <c r="Q267" s="63">
        <f t="shared" si="4"/>
        <v>3882.520239</v>
      </c>
      <c r="R267" s="63">
        <f t="shared" si="5"/>
        <v>1642.946704</v>
      </c>
      <c r="S267" s="64">
        <f t="shared" si="9"/>
        <v>16.66666667</v>
      </c>
      <c r="T267" s="64">
        <f t="shared" si="10"/>
        <v>33.33333333</v>
      </c>
      <c r="U267" s="64">
        <f t="shared" si="11"/>
        <v>0</v>
      </c>
      <c r="V267" s="64">
        <f t="shared" ref="V267:X267" si="275">IF(year($A267)=year($A266), V266+S267, S267)</f>
        <v>50</v>
      </c>
      <c r="W267" s="64">
        <f t="shared" si="275"/>
        <v>100</v>
      </c>
      <c r="X267" s="64">
        <f t="shared" si="275"/>
        <v>0</v>
      </c>
      <c r="Y267" s="65">
        <f>IFS(
  B267&lt;55,
    MAX(
      Y266 + IF(MONTH(A267)=12, P267+V267, 0) + H267 - L267
      + MAX(0,
          IF(AA266 &gt;= VLOOKUP(YEAR(A267), Lookup!$Q:$R, 2),
            Z266 + IF(MONTH(A267)=12, Q267+W267, 0) + I267
              + AA266 + IF(MONTH(A267)=12, R267+X267, 0)
              - VLOOKUP(YEAR(A267), Lookup!$Q:$R, 2) + J267,
            Z266 + IF(MONTH(A267)=12, Q267+W267, 0) + I267
          ) - VLOOKUP(YEAR(A267), Lookup!$K:$M, 3)
        ),
    0),
  B267=55,
    IF(Z266&gt;=AD267,
      MAX(Y266 + IF(MONTH(A267)=12, P267+V267, 0) + H267 - L267, 0),
      MAX(MAX(0, Y266-(AD267-Z266)) + IF(MONTH(A267)=12, P267+V267, 0) + H267 - L267, 0)
    ),
  B267&gt;55,
    IF(AB266&gt;=$AH$7,
      MAX(Y266 + IF(MONTH(A267)=12, P267+V267, 0) + H267 - L267 + K267 + Z266, 0),
      MAX(Y266 + IF(MONTH(A267)=12, P267+V267, 0) + H267 - L267, 0)
    )
)</f>
        <v>436566.8624</v>
      </c>
      <c r="Z267" s="65">
        <f>IFS(
  B267&lt;55,
    MIN(
      IF(AA266 &gt;= VLOOKUP(YEAR(A267), Lookup!$Q:$R, 2),
        Z266 + IF(MONTH(A267)=12, Q267+W267, 0) + I267
          + AA266 + IF(MONTH(A267)=12, R267+X267, 0) - VLOOKUP(YEAR(A267), Lookup!$Q:$R, 2) + J267,
        Z266 + IF(MONTH(A267)=12, Q267+W267, 0) + I267
      ),
      VLOOKUP(YEAR(A267), Lookup!$K:$M, 3)
    ),
  B267=55,
    IF(Z266 &gt;= AD267, Z266 - AD267, 0),
  B267&gt;55, 0
)</f>
        <v>388891.9759</v>
      </c>
      <c r="AA267" s="65">
        <f>IFS(
  B267&lt;65,
    IF(AA266+J267 &lt; VLOOKUP(YEAR(A267), Lookup!$Q:$R, 2),
      AA266 + IF(MONTH(A267)=12, R266+X266, 0) + J267,
      MIN(
        AA266 + IF(MONTH(A267)=12, R266+X266, 0) + J267 ,
        VLOOKUP(YEAR(A267), Lookup!$Q:$R, 2)
      )
    ),
  B267&gt;=65,
    IF(AA266+J267 &lt; VLOOKUP(questions!$C$5, Lookup!$Q:$R, 2),
      AA266 + IF(MONTH(A267)=12, R266+X266, 0) + J267 ,
      MIN(
        AA266 + IF(MONTH(A267)=12, R266+X266, 0) + J267,
        VLOOKUP(questions!$C$5, Lookup!$Q:$R, 2)
      )
    )
)</f>
        <v>165094.4624</v>
      </c>
      <c r="AB267" s="65">
        <f t="shared" si="13"/>
        <v>0</v>
      </c>
      <c r="AC267" s="66">
        <f t="array" ref="AC267">IFS(B267&lt;66, XLOOKUP(year(A267),Lookup!$K$13:$K1000,Lookup!$L$13:$L1000,"missing",,1),B267&gt;65,XLOOKUP(questions!$C$5,Lookup!$K$13:$K1000,Lookup!$L$13:$L1000,"missing",,1))</f>
        <v>234981.1311</v>
      </c>
      <c r="AD267" s="66">
        <f t="array" ref="AD267">IFS(B267&lt;66, XLOOKUP(year(A267),Lookup!$K$13:$K1000,Lookup!$M$13:$M1000,"missing",,1),B267&gt;65, XLOOKUP(questions!$C$5,Lookup!$K$13:$K1000,Lookup!$M$13:$M1000,"missing",,1))</f>
        <v>469962.2623</v>
      </c>
      <c r="AE267" s="66">
        <f t="array" ref="AE267">IFS(B267&lt;66, XLOOKUP(year(A267),Lookup!$K$13:$K1000,Lookup!$N$13:$N1000,"missing",,1),B267&gt;65,XLOOKUP(questions!$C$5,Lookup!$K$13:$K1000,Lookup!$N$13:$N1000,"missing",,1))</f>
        <v>939924.5246</v>
      </c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</row>
    <row r="268">
      <c r="A268" s="55">
        <f t="shared" si="7"/>
        <v>54178</v>
      </c>
      <c r="B268" s="56">
        <f>round(YEARFRAC(EOMONTH(questions!$C$3, 0),A268,1),2)</f>
        <v>49.42</v>
      </c>
      <c r="C268" s="57">
        <f>IF(B268&lt;questions!$C$6,if(MONTH(A268)=1,C267*(1+questions!$C$12),C267),0)</f>
        <v>19161.03409</v>
      </c>
      <c r="D268" s="58">
        <f>IF(MONTH(A268)=12,C268*questions!$C$11,0)</f>
        <v>0</v>
      </c>
      <c r="E268" s="59">
        <f t="shared" si="2"/>
        <v>8000</v>
      </c>
      <c r="F268" s="59">
        <f t="shared" si="3"/>
        <v>0</v>
      </c>
      <c r="G268" s="60">
        <f t="array" ref="G268">if(YEAR(A268)=2025,XLOOKUP(B268,Lookup!$A$3:$A$7,Lookup!$D$3:$D$7,,1)*SUM(E268:F268), XLOOKUP(B268,Lookup!$A$14:$A$18,Lookup!$D$14:$D$18,,1)*SUM(E268:F268))</f>
        <v>2960</v>
      </c>
      <c r="H268" s="60">
        <f t="array" ref="H268">if(YEAR(A268)=2025,XLOOKUP(B268,Lookup!$F$3:$F$10,Lookup!$G$3:$G$10,,1)*G268, XLOOKUP(B268,Lookup!$F$14:$F$21,Lookup!$G$14:$G$21,,1)*G268)</f>
        <v>1520.256</v>
      </c>
      <c r="I268" s="60">
        <f t="array" ref="I268">if(B268&lt;55, if(YEAR(A268)=2025,XLOOKUP(B268,Lookup!$F$3:$F$10,Lookup!$H$3:$H$10,,1)*G268, XLOOKUP(B268,Lookup!$F$14:$F$21,Lookup!$H$14:$H$21,,1)*G268),0)</f>
        <v>639.952</v>
      </c>
      <c r="J268" s="60">
        <f t="array" ref="J268">if(YEAR(A268)=2025,XLOOKUP(B268,Lookup!$F$3:$F$10,Lookup!$I$3:$I$10,,1)*G268, XLOOKUP(B268,Lookup!$F$14:$F$21,Lookup!$I$14:$I$21,,1)*G268)</f>
        <v>799.792</v>
      </c>
      <c r="K268" s="61">
        <f t="array" ref="K268">if(B268&gt;54, if(YEAR(A268)=2025,XLOOKUP(B268,Lookup!$F$3:$F$10,Lookup!$H$3:$H$10,,1)*G268, XLOOKUP(B268,Lookup!$F$14:$F$21,Lookup!$H$14:$H$21,,1)*G268),0)</f>
        <v>0</v>
      </c>
      <c r="L268" s="62">
        <f>IF(and(A268&lt;questions!$C$19,questions!$C$18="yes"),questions!$C$20,0)</f>
        <v>0</v>
      </c>
      <c r="M268" s="63">
        <f>(Y267+H268)*Lookup!A$26/12</f>
        <v>912.6814968</v>
      </c>
      <c r="N268" s="63">
        <f>if(B268&lt;55, (Z267+I268)*Lookup!B$26/12, (AB267+K268)*Lookup!B$26/12)</f>
        <v>1298.43976</v>
      </c>
      <c r="O268" s="63">
        <f>(AA267+J268)*Lookup!C$26/12</f>
        <v>552.9808481</v>
      </c>
      <c r="P268" s="63">
        <f t="shared" si="8"/>
        <v>3631.722787</v>
      </c>
      <c r="Q268" s="63">
        <f t="shared" si="4"/>
        <v>5180.959999</v>
      </c>
      <c r="R268" s="63">
        <f t="shared" si="5"/>
        <v>2195.927552</v>
      </c>
      <c r="S268" s="64">
        <f t="shared" si="9"/>
        <v>16.66666667</v>
      </c>
      <c r="T268" s="64">
        <f t="shared" si="10"/>
        <v>33.33333333</v>
      </c>
      <c r="U268" s="64">
        <f t="shared" si="11"/>
        <v>0</v>
      </c>
      <c r="V268" s="64">
        <f t="shared" ref="V268:X268" si="276">IF(year($A268)=year($A267), V267+S268, S268)</f>
        <v>66.66666667</v>
      </c>
      <c r="W268" s="64">
        <f t="shared" si="276"/>
        <v>133.3333333</v>
      </c>
      <c r="X268" s="64">
        <f t="shared" si="276"/>
        <v>0</v>
      </c>
      <c r="Y268" s="65">
        <f>IFS(
  B268&lt;55,
    MAX(
      Y267 + IF(MONTH(A268)=12, P268+V268, 0) + H268 - L268
      + MAX(0,
          IF(AA267 &gt;= VLOOKUP(YEAR(A268), Lookup!$Q:$R, 2),
            Z267 + IF(MONTH(A268)=12, Q268+W268, 0) + I268
              + AA267 + IF(MONTH(A268)=12, R268+X268, 0)
              - VLOOKUP(YEAR(A268), Lookup!$Q:$R, 2) + J268,
            Z267 + IF(MONTH(A268)=12, Q268+W268, 0) + I268
          ) - VLOOKUP(YEAR(A268), Lookup!$K:$M, 3)
        ),
    0),
  B268=55,
    IF(Z267&gt;=AD268,
      MAX(Y267 + IF(MONTH(A268)=12, P268+V268, 0) + H268 - L268, 0),
      MAX(MAX(0, Y267-(AD268-Z267)) + IF(MONTH(A268)=12, P268+V268, 0) + H268 - L268, 0)
    ),
  B268&gt;55,
    IF(AB267&gt;=$AH$7,
      MAX(Y267 + IF(MONTH(A268)=12, P268+V268, 0) + H268 - L268 + K268 + Z267, 0),
      MAX(Y267 + IF(MONTH(A268)=12, P268+V268, 0) + H268 - L268, 0)
    )
)</f>
        <v>438087.1184</v>
      </c>
      <c r="Z268" s="65">
        <f>IFS(
  B268&lt;55,
    MIN(
      IF(AA267 &gt;= VLOOKUP(YEAR(A268), Lookup!$Q:$R, 2),
        Z267 + IF(MONTH(A268)=12, Q268+W268, 0) + I268
          + AA267 + IF(MONTH(A268)=12, R268+X268, 0) - VLOOKUP(YEAR(A268), Lookup!$Q:$R, 2) + J268,
        Z267 + IF(MONTH(A268)=12, Q268+W268, 0) + I268
      ),
      VLOOKUP(YEAR(A268), Lookup!$K:$M, 3)
    ),
  B268=55,
    IF(Z267 &gt;= AD268, Z267 - AD268, 0),
  B268&gt;55, 0
)</f>
        <v>389531.9279</v>
      </c>
      <c r="AA268" s="65">
        <f>IFS(
  B268&lt;65,
    IF(AA267+J268 &lt; VLOOKUP(YEAR(A268), Lookup!$Q:$R, 2),
      AA267 + IF(MONTH(A268)=12, R267+X267, 0) + J268,
      MIN(
        AA267 + IF(MONTH(A268)=12, R267+X267, 0) + J268 ,
        VLOOKUP(YEAR(A268), Lookup!$Q:$R, 2)
      )
    ),
  B268&gt;=65,
    IF(AA267+J268 &lt; VLOOKUP(questions!$C$5, Lookup!$Q:$R, 2),
      AA267 + IF(MONTH(A268)=12, R267+X267, 0) + J268 ,
      MIN(
        AA267 + IF(MONTH(A268)=12, R267+X267, 0) + J268,
        VLOOKUP(questions!$C$5, Lookup!$Q:$R, 2)
      )
    )
)</f>
        <v>165894.2544</v>
      </c>
      <c r="AB268" s="65">
        <f t="shared" si="13"/>
        <v>0</v>
      </c>
      <c r="AC268" s="66">
        <f t="array" ref="AC268">IFS(B268&lt;66, XLOOKUP(year(A268),Lookup!$K$13:$K1000,Lookup!$L$13:$L1000,"missing",,1),B268&gt;65,XLOOKUP(questions!$C$5,Lookup!$K$13:$K1000,Lookup!$L$13:$L1000,"missing",,1))</f>
        <v>234981.1311</v>
      </c>
      <c r="AD268" s="66">
        <f t="array" ref="AD268">IFS(B268&lt;66, XLOOKUP(year(A268),Lookup!$K$13:$K1000,Lookup!$M$13:$M1000,"missing",,1),B268&gt;65, XLOOKUP(questions!$C$5,Lookup!$K$13:$K1000,Lookup!$M$13:$M1000,"missing",,1))</f>
        <v>469962.2623</v>
      </c>
      <c r="AE268" s="66">
        <f t="array" ref="AE268">IFS(B268&lt;66, XLOOKUP(year(A268),Lookup!$K$13:$K1000,Lookup!$N$13:$N1000,"missing",,1),B268&gt;65,XLOOKUP(questions!$C$5,Lookup!$K$13:$K1000,Lookup!$N$13:$N1000,"missing",,1))</f>
        <v>939924.5246</v>
      </c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</row>
    <row r="269">
      <c r="A269" s="55">
        <f t="shared" si="7"/>
        <v>54209</v>
      </c>
      <c r="B269" s="56">
        <f>round(YEARFRAC(EOMONTH(questions!$C$3, 0),A269,1),2)</f>
        <v>49.5</v>
      </c>
      <c r="C269" s="57">
        <f>IF(B269&lt;questions!$C$6,if(MONTH(A269)=1,C268*(1+questions!$C$12),C268),0)</f>
        <v>19161.03409</v>
      </c>
      <c r="D269" s="58">
        <f>IF(MONTH(A269)=12,C269*questions!$C$11,0)</f>
        <v>0</v>
      </c>
      <c r="E269" s="59">
        <f t="shared" si="2"/>
        <v>8000</v>
      </c>
      <c r="F269" s="59">
        <f t="shared" si="3"/>
        <v>0</v>
      </c>
      <c r="G269" s="60">
        <f t="array" ref="G269">if(YEAR(A269)=2025,XLOOKUP(B269,Lookup!$A$3:$A$7,Lookup!$D$3:$D$7,,1)*SUM(E269:F269), XLOOKUP(B269,Lookup!$A$14:$A$18,Lookup!$D$14:$D$18,,1)*SUM(E269:F269))</f>
        <v>2960</v>
      </c>
      <c r="H269" s="60">
        <f t="array" ref="H269">if(YEAR(A269)=2025,XLOOKUP(B269,Lookup!$F$3:$F$10,Lookup!$G$3:$G$10,,1)*G269, XLOOKUP(B269,Lookup!$F$14:$F$21,Lookup!$G$14:$G$21,,1)*G269)</f>
        <v>1520.256</v>
      </c>
      <c r="I269" s="60">
        <f t="array" ref="I269">if(B269&lt;55, if(YEAR(A269)=2025,XLOOKUP(B269,Lookup!$F$3:$F$10,Lookup!$H$3:$H$10,,1)*G269, XLOOKUP(B269,Lookup!$F$14:$F$21,Lookup!$H$14:$H$21,,1)*G269),0)</f>
        <v>639.952</v>
      </c>
      <c r="J269" s="60">
        <f t="array" ref="J269">if(YEAR(A269)=2025,XLOOKUP(B269,Lookup!$F$3:$F$10,Lookup!$I$3:$I$10,,1)*G269, XLOOKUP(B269,Lookup!$F$14:$F$21,Lookup!$I$14:$I$21,,1)*G269)</f>
        <v>799.792</v>
      </c>
      <c r="K269" s="61">
        <f t="array" ref="K269">if(B269&gt;54, if(YEAR(A269)=2025,XLOOKUP(B269,Lookup!$F$3:$F$10,Lookup!$H$3:$H$10,,1)*G269, XLOOKUP(B269,Lookup!$F$14:$F$21,Lookup!$H$14:$H$21,,1)*G269),0)</f>
        <v>0</v>
      </c>
      <c r="L269" s="62">
        <f>IF(and(A269&lt;questions!$C$19,questions!$C$18="yes"),questions!$C$20,0)</f>
        <v>0</v>
      </c>
      <c r="M269" s="63">
        <f>(Y268+H269)*Lookup!A$26/12</f>
        <v>915.8486968</v>
      </c>
      <c r="N269" s="63">
        <f>if(B269&lt;55, (Z268+I269)*Lookup!B$26/12, (AB268+K269)*Lookup!B$26/12)</f>
        <v>1300.572933</v>
      </c>
      <c r="O269" s="63">
        <f>(AA268+J269)*Lookup!C$26/12</f>
        <v>555.6468214</v>
      </c>
      <c r="P269" s="63">
        <f t="shared" si="8"/>
        <v>4547.571484</v>
      </c>
      <c r="Q269" s="63">
        <f t="shared" si="4"/>
        <v>6481.532932</v>
      </c>
      <c r="R269" s="63">
        <f t="shared" si="5"/>
        <v>2751.574374</v>
      </c>
      <c r="S269" s="64">
        <f t="shared" si="9"/>
        <v>16.66666667</v>
      </c>
      <c r="T269" s="64">
        <f t="shared" si="10"/>
        <v>33.33333333</v>
      </c>
      <c r="U269" s="64">
        <f t="shared" si="11"/>
        <v>0</v>
      </c>
      <c r="V269" s="64">
        <f t="shared" ref="V269:X269" si="277">IF(year($A269)=year($A268), V268+S269, S269)</f>
        <v>83.33333333</v>
      </c>
      <c r="W269" s="64">
        <f t="shared" si="277"/>
        <v>166.6666667</v>
      </c>
      <c r="X269" s="64">
        <f t="shared" si="277"/>
        <v>0</v>
      </c>
      <c r="Y269" s="65">
        <f>IFS(
  B269&lt;55,
    MAX(
      Y268 + IF(MONTH(A269)=12, P269+V269, 0) + H269 - L269
      + MAX(0,
          IF(AA268 &gt;= VLOOKUP(YEAR(A269), Lookup!$Q:$R, 2),
            Z268 + IF(MONTH(A269)=12, Q269+W269, 0) + I269
              + AA268 + IF(MONTH(A269)=12, R269+X269, 0)
              - VLOOKUP(YEAR(A269), Lookup!$Q:$R, 2) + J269,
            Z268 + IF(MONTH(A269)=12, Q269+W269, 0) + I269
          ) - VLOOKUP(YEAR(A269), Lookup!$K:$M, 3)
        ),
    0),
  B269=55,
    IF(Z268&gt;=AD269,
      MAX(Y268 + IF(MONTH(A269)=12, P269+V269, 0) + H269 - L269, 0),
      MAX(MAX(0, Y268-(AD269-Z268)) + IF(MONTH(A269)=12, P269+V269, 0) + H269 - L269, 0)
    ),
  B269&gt;55,
    IF(AB268&gt;=$AH$7,
      MAX(Y268 + IF(MONTH(A269)=12, P269+V269, 0) + H269 - L269 + K269 + Z268, 0),
      MAX(Y268 + IF(MONTH(A269)=12, P269+V269, 0) + H269 - L269, 0)
    )
)</f>
        <v>439607.3744</v>
      </c>
      <c r="Z269" s="65">
        <f>IFS(
  B269&lt;55,
    MIN(
      IF(AA268 &gt;= VLOOKUP(YEAR(A269), Lookup!$Q:$R, 2),
        Z268 + IF(MONTH(A269)=12, Q269+W269, 0) + I269
          + AA268 + IF(MONTH(A269)=12, R269+X269, 0) - VLOOKUP(YEAR(A269), Lookup!$Q:$R, 2) + J269,
        Z268 + IF(MONTH(A269)=12, Q269+W269, 0) + I269
      ),
      VLOOKUP(YEAR(A269), Lookup!$K:$M, 3)
    ),
  B269=55,
    IF(Z268 &gt;= AD269, Z268 - AD269, 0),
  B269&gt;55, 0
)</f>
        <v>390171.8799</v>
      </c>
      <c r="AA269" s="65">
        <f>IFS(
  B269&lt;65,
    IF(AA268+J269 &lt; VLOOKUP(YEAR(A269), Lookup!$Q:$R, 2),
      AA268 + IF(MONTH(A269)=12, R268+X268, 0) + J269,
      MIN(
        AA268 + IF(MONTH(A269)=12, R268+X268, 0) + J269 ,
        VLOOKUP(YEAR(A269), Lookup!$Q:$R, 2)
      )
    ),
  B269&gt;=65,
    IF(AA268+J269 &lt; VLOOKUP(questions!$C$5, Lookup!$Q:$R, 2),
      AA268 + IF(MONTH(A269)=12, R268+X268, 0) + J269 ,
      MIN(
        AA268 + IF(MONTH(A269)=12, R268+X268, 0) + J269,
        VLOOKUP(questions!$C$5, Lookup!$Q:$R, 2)
      )
    )
)</f>
        <v>166694.0464</v>
      </c>
      <c r="AB269" s="65">
        <f t="shared" si="13"/>
        <v>0</v>
      </c>
      <c r="AC269" s="66">
        <f t="array" ref="AC269">IFS(B269&lt;66, XLOOKUP(year(A269),Lookup!$K$13:$K1000,Lookup!$L$13:$L1000,"missing",,1),B269&gt;65,XLOOKUP(questions!$C$5,Lookup!$K$13:$K1000,Lookup!$L$13:$L1000,"missing",,1))</f>
        <v>234981.1311</v>
      </c>
      <c r="AD269" s="66">
        <f t="array" ref="AD269">IFS(B269&lt;66, XLOOKUP(year(A269),Lookup!$K$13:$K1000,Lookup!$M$13:$M1000,"missing",,1),B269&gt;65, XLOOKUP(questions!$C$5,Lookup!$K$13:$K1000,Lookup!$M$13:$M1000,"missing",,1))</f>
        <v>469962.2623</v>
      </c>
      <c r="AE269" s="66">
        <f t="array" ref="AE269">IFS(B269&lt;66, XLOOKUP(year(A269),Lookup!$K$13:$K1000,Lookup!$N$13:$N1000,"missing",,1),B269&gt;65,XLOOKUP(questions!$C$5,Lookup!$K$13:$K1000,Lookup!$N$13:$N1000,"missing",,1))</f>
        <v>939924.5246</v>
      </c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</row>
    <row r="270">
      <c r="A270" s="55">
        <f t="shared" si="7"/>
        <v>54239</v>
      </c>
      <c r="B270" s="56">
        <f>round(YEARFRAC(EOMONTH(questions!$C$3, 0),A270,1),2)</f>
        <v>49.58</v>
      </c>
      <c r="C270" s="57">
        <f>IF(B270&lt;questions!$C$6,if(MONTH(A270)=1,C269*(1+questions!$C$12),C269),0)</f>
        <v>19161.03409</v>
      </c>
      <c r="D270" s="58">
        <f>IF(MONTH(A270)=12,C270*questions!$C$11,0)</f>
        <v>0</v>
      </c>
      <c r="E270" s="59">
        <f t="shared" si="2"/>
        <v>8000</v>
      </c>
      <c r="F270" s="59">
        <f t="shared" si="3"/>
        <v>0</v>
      </c>
      <c r="G270" s="60">
        <f t="array" ref="G270">if(YEAR(A270)=2025,XLOOKUP(B270,Lookup!$A$3:$A$7,Lookup!$D$3:$D$7,,1)*SUM(E270:F270), XLOOKUP(B270,Lookup!$A$14:$A$18,Lookup!$D$14:$D$18,,1)*SUM(E270:F270))</f>
        <v>2960</v>
      </c>
      <c r="H270" s="60">
        <f t="array" ref="H270">if(YEAR(A270)=2025,XLOOKUP(B270,Lookup!$F$3:$F$10,Lookup!$G$3:$G$10,,1)*G270, XLOOKUP(B270,Lookup!$F$14:$F$21,Lookup!$G$14:$G$21,,1)*G270)</f>
        <v>1520.256</v>
      </c>
      <c r="I270" s="60">
        <f t="array" ref="I270">if(B270&lt;55, if(YEAR(A270)=2025,XLOOKUP(B270,Lookup!$F$3:$F$10,Lookup!$H$3:$H$10,,1)*G270, XLOOKUP(B270,Lookup!$F$14:$F$21,Lookup!$H$14:$H$21,,1)*G270),0)</f>
        <v>639.952</v>
      </c>
      <c r="J270" s="60">
        <f t="array" ref="J270">if(YEAR(A270)=2025,XLOOKUP(B270,Lookup!$F$3:$F$10,Lookup!$I$3:$I$10,,1)*G270, XLOOKUP(B270,Lookup!$F$14:$F$21,Lookup!$I$14:$I$21,,1)*G270)</f>
        <v>799.792</v>
      </c>
      <c r="K270" s="61">
        <f t="array" ref="K270">if(B270&gt;54, if(YEAR(A270)=2025,XLOOKUP(B270,Lookup!$F$3:$F$10,Lookup!$H$3:$H$10,,1)*G270, XLOOKUP(B270,Lookup!$F$14:$F$21,Lookup!$H$14:$H$21,,1)*G270),0)</f>
        <v>0</v>
      </c>
      <c r="L270" s="62">
        <f>IF(and(A270&lt;questions!$C$19,questions!$C$18="yes"),questions!$C$20,0)</f>
        <v>0</v>
      </c>
      <c r="M270" s="63">
        <f>(Y269+H270)*Lookup!A$26/12</f>
        <v>919.0158968</v>
      </c>
      <c r="N270" s="63">
        <f>if(B270&lt;55, (Z269+I270)*Lookup!B$26/12, (AB269+K270)*Lookup!B$26/12)</f>
        <v>1302.706106</v>
      </c>
      <c r="O270" s="63">
        <f>(AA269+J270)*Lookup!C$26/12</f>
        <v>558.3127947</v>
      </c>
      <c r="P270" s="63">
        <f t="shared" si="8"/>
        <v>5466.587381</v>
      </c>
      <c r="Q270" s="63">
        <f t="shared" si="4"/>
        <v>7784.239038</v>
      </c>
      <c r="R270" s="63">
        <f t="shared" si="5"/>
        <v>3309.887168</v>
      </c>
      <c r="S270" s="64">
        <f t="shared" si="9"/>
        <v>16.66666667</v>
      </c>
      <c r="T270" s="64">
        <f t="shared" si="10"/>
        <v>33.33333333</v>
      </c>
      <c r="U270" s="64">
        <f t="shared" si="11"/>
        <v>0</v>
      </c>
      <c r="V270" s="64">
        <f t="shared" ref="V270:X270" si="278">IF(year($A270)=year($A269), V269+S270, S270)</f>
        <v>100</v>
      </c>
      <c r="W270" s="64">
        <f t="shared" si="278"/>
        <v>200</v>
      </c>
      <c r="X270" s="64">
        <f t="shared" si="278"/>
        <v>0</v>
      </c>
      <c r="Y270" s="65">
        <f>IFS(
  B270&lt;55,
    MAX(
      Y269 + IF(MONTH(A270)=12, P270+V270, 0) + H270 - L270
      + MAX(0,
          IF(AA269 &gt;= VLOOKUP(YEAR(A270), Lookup!$Q:$R, 2),
            Z269 + IF(MONTH(A270)=12, Q270+W270, 0) + I270
              + AA269 + IF(MONTH(A270)=12, R270+X270, 0)
              - VLOOKUP(YEAR(A270), Lookup!$Q:$R, 2) + J270,
            Z269 + IF(MONTH(A270)=12, Q270+W270, 0) + I270
          ) - VLOOKUP(YEAR(A270), Lookup!$K:$M, 3)
        ),
    0),
  B270=55,
    IF(Z269&gt;=AD270,
      MAX(Y269 + IF(MONTH(A270)=12, P270+V270, 0) + H270 - L270, 0),
      MAX(MAX(0, Y269-(AD270-Z269)) + IF(MONTH(A270)=12, P270+V270, 0) + H270 - L270, 0)
    ),
  B270&gt;55,
    IF(AB269&gt;=$AH$7,
      MAX(Y269 + IF(MONTH(A270)=12, P270+V270, 0) + H270 - L270 + K270 + Z269, 0),
      MAX(Y269 + IF(MONTH(A270)=12, P270+V270, 0) + H270 - L270, 0)
    )
)</f>
        <v>441127.6304</v>
      </c>
      <c r="Z270" s="65">
        <f>IFS(
  B270&lt;55,
    MIN(
      IF(AA269 &gt;= VLOOKUP(YEAR(A270), Lookup!$Q:$R, 2),
        Z269 + IF(MONTH(A270)=12, Q270+W270, 0) + I270
          + AA269 + IF(MONTH(A270)=12, R270+X270, 0) - VLOOKUP(YEAR(A270), Lookup!$Q:$R, 2) + J270,
        Z269 + IF(MONTH(A270)=12, Q270+W270, 0) + I270
      ),
      VLOOKUP(YEAR(A270), Lookup!$K:$M, 3)
    ),
  B270=55,
    IF(Z269 &gt;= AD270, Z269 - AD270, 0),
  B270&gt;55, 0
)</f>
        <v>390811.8319</v>
      </c>
      <c r="AA270" s="65">
        <f>IFS(
  B270&lt;65,
    IF(AA269+J270 &lt; VLOOKUP(YEAR(A270), Lookup!$Q:$R, 2),
      AA269 + IF(MONTH(A270)=12, R269+X269, 0) + J270,
      MIN(
        AA269 + IF(MONTH(A270)=12, R269+X269, 0) + J270 ,
        VLOOKUP(YEAR(A270), Lookup!$Q:$R, 2)
      )
    ),
  B270&gt;=65,
    IF(AA269+J270 &lt; VLOOKUP(questions!$C$5, Lookup!$Q:$R, 2),
      AA269 + IF(MONTH(A270)=12, R269+X269, 0) + J270 ,
      MIN(
        AA269 + IF(MONTH(A270)=12, R269+X269, 0) + J270,
        VLOOKUP(questions!$C$5, Lookup!$Q:$R, 2)
      )
    )
)</f>
        <v>167493.8384</v>
      </c>
      <c r="AB270" s="65">
        <f t="shared" si="13"/>
        <v>0</v>
      </c>
      <c r="AC270" s="66">
        <f t="array" ref="AC270">IFS(B270&lt;66, XLOOKUP(year(A270),Lookup!$K$13:$K1000,Lookup!$L$13:$L1000,"missing",,1),B270&gt;65,XLOOKUP(questions!$C$5,Lookup!$K$13:$K1000,Lookup!$L$13:$L1000,"missing",,1))</f>
        <v>234981.1311</v>
      </c>
      <c r="AD270" s="66">
        <f t="array" ref="AD270">IFS(B270&lt;66, XLOOKUP(year(A270),Lookup!$K$13:$K1000,Lookup!$M$13:$M1000,"missing",,1),B270&gt;65, XLOOKUP(questions!$C$5,Lookup!$K$13:$K1000,Lookup!$M$13:$M1000,"missing",,1))</f>
        <v>469962.2623</v>
      </c>
      <c r="AE270" s="66">
        <f t="array" ref="AE270">IFS(B270&lt;66, XLOOKUP(year(A270),Lookup!$K$13:$K1000,Lookup!$N$13:$N1000,"missing",,1),B270&gt;65,XLOOKUP(questions!$C$5,Lookup!$K$13:$K1000,Lookup!$N$13:$N1000,"missing",,1))</f>
        <v>939924.5246</v>
      </c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</row>
    <row r="271">
      <c r="A271" s="55">
        <f t="shared" si="7"/>
        <v>54270</v>
      </c>
      <c r="B271" s="56">
        <f>round(YEARFRAC(EOMONTH(questions!$C$3, 0),A271,1),2)</f>
        <v>49.67</v>
      </c>
      <c r="C271" s="57">
        <f>IF(B271&lt;questions!$C$6,if(MONTH(A271)=1,C270*(1+questions!$C$12),C270),0)</f>
        <v>19161.03409</v>
      </c>
      <c r="D271" s="58">
        <f>IF(MONTH(A271)=12,C271*questions!$C$11,0)</f>
        <v>0</v>
      </c>
      <c r="E271" s="59">
        <f t="shared" si="2"/>
        <v>8000</v>
      </c>
      <c r="F271" s="59">
        <f t="shared" si="3"/>
        <v>0</v>
      </c>
      <c r="G271" s="60">
        <f t="array" ref="G271">if(YEAR(A271)=2025,XLOOKUP(B271,Lookup!$A$3:$A$7,Lookup!$D$3:$D$7,,1)*SUM(E271:F271), XLOOKUP(B271,Lookup!$A$14:$A$18,Lookup!$D$14:$D$18,,1)*SUM(E271:F271))</f>
        <v>2960</v>
      </c>
      <c r="H271" s="60">
        <f t="array" ref="H271">if(YEAR(A271)=2025,XLOOKUP(B271,Lookup!$F$3:$F$10,Lookup!$G$3:$G$10,,1)*G271, XLOOKUP(B271,Lookup!$F$14:$F$21,Lookup!$G$14:$G$21,,1)*G271)</f>
        <v>1520.256</v>
      </c>
      <c r="I271" s="60">
        <f t="array" ref="I271">if(B271&lt;55, if(YEAR(A271)=2025,XLOOKUP(B271,Lookup!$F$3:$F$10,Lookup!$H$3:$H$10,,1)*G271, XLOOKUP(B271,Lookup!$F$14:$F$21,Lookup!$H$14:$H$21,,1)*G271),0)</f>
        <v>639.952</v>
      </c>
      <c r="J271" s="60">
        <f t="array" ref="J271">if(YEAR(A271)=2025,XLOOKUP(B271,Lookup!$F$3:$F$10,Lookup!$I$3:$I$10,,1)*G271, XLOOKUP(B271,Lookup!$F$14:$F$21,Lookup!$I$14:$I$21,,1)*G271)</f>
        <v>799.792</v>
      </c>
      <c r="K271" s="61">
        <f t="array" ref="K271">if(B271&gt;54, if(YEAR(A271)=2025,XLOOKUP(B271,Lookup!$F$3:$F$10,Lookup!$H$3:$H$10,,1)*G271, XLOOKUP(B271,Lookup!$F$14:$F$21,Lookup!$H$14:$H$21,,1)*G271),0)</f>
        <v>0</v>
      </c>
      <c r="L271" s="62">
        <f>IF(and(A271&lt;questions!$C$19,questions!$C$18="yes"),questions!$C$20,0)</f>
        <v>0</v>
      </c>
      <c r="M271" s="63">
        <f>(Y270+H271)*Lookup!A$26/12</f>
        <v>922.1830968</v>
      </c>
      <c r="N271" s="63">
        <f>if(B271&lt;55, (Z270+I271)*Lookup!B$26/12, (AB270+K271)*Lookup!B$26/12)</f>
        <v>1304.83928</v>
      </c>
      <c r="O271" s="63">
        <f>(AA270+J271)*Lookup!C$26/12</f>
        <v>560.9787681</v>
      </c>
      <c r="P271" s="63">
        <f t="shared" si="8"/>
        <v>6388.770477</v>
      </c>
      <c r="Q271" s="63">
        <f t="shared" si="4"/>
        <v>9089.078318</v>
      </c>
      <c r="R271" s="63">
        <f t="shared" si="5"/>
        <v>3870.865936</v>
      </c>
      <c r="S271" s="64">
        <f t="shared" si="9"/>
        <v>16.66666667</v>
      </c>
      <c r="T271" s="64">
        <f t="shared" si="10"/>
        <v>33.33333333</v>
      </c>
      <c r="U271" s="64">
        <f t="shared" si="11"/>
        <v>0</v>
      </c>
      <c r="V271" s="64">
        <f t="shared" ref="V271:X271" si="279">IF(year($A271)=year($A270), V270+S271, S271)</f>
        <v>116.6666667</v>
      </c>
      <c r="W271" s="64">
        <f t="shared" si="279"/>
        <v>233.3333333</v>
      </c>
      <c r="X271" s="64">
        <f t="shared" si="279"/>
        <v>0</v>
      </c>
      <c r="Y271" s="65">
        <f>IFS(
  B271&lt;55,
    MAX(
      Y270 + IF(MONTH(A271)=12, P271+V271, 0) + H271 - L271
      + MAX(0,
          IF(AA270 &gt;= VLOOKUP(YEAR(A271), Lookup!$Q:$R, 2),
            Z270 + IF(MONTH(A271)=12, Q271+W271, 0) + I271
              + AA270 + IF(MONTH(A271)=12, R271+X271, 0)
              - VLOOKUP(YEAR(A271), Lookup!$Q:$R, 2) + J271,
            Z270 + IF(MONTH(A271)=12, Q271+W271, 0) + I271
          ) - VLOOKUP(YEAR(A271), Lookup!$K:$M, 3)
        ),
    0),
  B271=55,
    IF(Z270&gt;=AD271,
      MAX(Y270 + IF(MONTH(A271)=12, P271+V271, 0) + H271 - L271, 0),
      MAX(MAX(0, Y270-(AD271-Z270)) + IF(MONTH(A271)=12, P271+V271, 0) + H271 - L271, 0)
    ),
  B271&gt;55,
    IF(AB270&gt;=$AH$7,
      MAX(Y270 + IF(MONTH(A271)=12, P271+V271, 0) + H271 - L271 + K271 + Z270, 0),
      MAX(Y270 + IF(MONTH(A271)=12, P271+V271, 0) + H271 - L271, 0)
    )
)</f>
        <v>442647.8864</v>
      </c>
      <c r="Z271" s="65">
        <f>IFS(
  B271&lt;55,
    MIN(
      IF(AA270 &gt;= VLOOKUP(YEAR(A271), Lookup!$Q:$R, 2),
        Z270 + IF(MONTH(A271)=12, Q271+W271, 0) + I271
          + AA270 + IF(MONTH(A271)=12, R271+X271, 0) - VLOOKUP(YEAR(A271), Lookup!$Q:$R, 2) + J271,
        Z270 + IF(MONTH(A271)=12, Q271+W271, 0) + I271
      ),
      VLOOKUP(YEAR(A271), Lookup!$K:$M, 3)
    ),
  B271=55,
    IF(Z270 &gt;= AD271, Z270 - AD271, 0),
  B271&gt;55, 0
)</f>
        <v>391451.7839</v>
      </c>
      <c r="AA271" s="65">
        <f>IFS(
  B271&lt;65,
    IF(AA270+J271 &lt; VLOOKUP(YEAR(A271), Lookup!$Q:$R, 2),
      AA270 + IF(MONTH(A271)=12, R270+X270, 0) + J271,
      MIN(
        AA270 + IF(MONTH(A271)=12, R270+X270, 0) + J271 ,
        VLOOKUP(YEAR(A271), Lookup!$Q:$R, 2)
      )
    ),
  B271&gt;=65,
    IF(AA270+J271 &lt; VLOOKUP(questions!$C$5, Lookup!$Q:$R, 2),
      AA270 + IF(MONTH(A271)=12, R270+X270, 0) + J271 ,
      MIN(
        AA270 + IF(MONTH(A271)=12, R270+X270, 0) + J271,
        VLOOKUP(questions!$C$5, Lookup!$Q:$R, 2)
      )
    )
)</f>
        <v>168293.6304</v>
      </c>
      <c r="AB271" s="65">
        <f t="shared" si="13"/>
        <v>0</v>
      </c>
      <c r="AC271" s="66">
        <f t="array" ref="AC271">IFS(B271&lt;66, XLOOKUP(year(A271),Lookup!$K$13:$K1000,Lookup!$L$13:$L1000,"missing",,1),B271&gt;65,XLOOKUP(questions!$C$5,Lookup!$K$13:$K1000,Lookup!$L$13:$L1000,"missing",,1))</f>
        <v>234981.1311</v>
      </c>
      <c r="AD271" s="66">
        <f t="array" ref="AD271">IFS(B271&lt;66, XLOOKUP(year(A271),Lookup!$K$13:$K1000,Lookup!$M$13:$M1000,"missing",,1),B271&gt;65, XLOOKUP(questions!$C$5,Lookup!$K$13:$K1000,Lookup!$M$13:$M1000,"missing",,1))</f>
        <v>469962.2623</v>
      </c>
      <c r="AE271" s="66">
        <f t="array" ref="AE271">IFS(B271&lt;66, XLOOKUP(year(A271),Lookup!$K$13:$K1000,Lookup!$N$13:$N1000,"missing",,1),B271&gt;65,XLOOKUP(questions!$C$5,Lookup!$K$13:$K1000,Lookup!$N$13:$N1000,"missing",,1))</f>
        <v>939924.5246</v>
      </c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</row>
    <row r="272">
      <c r="A272" s="55">
        <f t="shared" si="7"/>
        <v>54301</v>
      </c>
      <c r="B272" s="56">
        <f>round(YEARFRAC(EOMONTH(questions!$C$3, 0),A272,1),2)</f>
        <v>49.75</v>
      </c>
      <c r="C272" s="57">
        <f>IF(B272&lt;questions!$C$6,if(MONTH(A272)=1,C271*(1+questions!$C$12),C271),0)</f>
        <v>19161.03409</v>
      </c>
      <c r="D272" s="58">
        <f>IF(MONTH(A272)=12,C272*questions!$C$11,0)</f>
        <v>0</v>
      </c>
      <c r="E272" s="59">
        <f t="shared" si="2"/>
        <v>8000</v>
      </c>
      <c r="F272" s="59">
        <f t="shared" si="3"/>
        <v>0</v>
      </c>
      <c r="G272" s="60">
        <f t="array" ref="G272">if(YEAR(A272)=2025,XLOOKUP(B272,Lookup!$A$3:$A$7,Lookup!$D$3:$D$7,,1)*SUM(E272:F272), XLOOKUP(B272,Lookup!$A$14:$A$18,Lookup!$D$14:$D$18,,1)*SUM(E272:F272))</f>
        <v>2960</v>
      </c>
      <c r="H272" s="60">
        <f t="array" ref="H272">if(YEAR(A272)=2025,XLOOKUP(B272,Lookup!$F$3:$F$10,Lookup!$G$3:$G$10,,1)*G272, XLOOKUP(B272,Lookup!$F$14:$F$21,Lookup!$G$14:$G$21,,1)*G272)</f>
        <v>1520.256</v>
      </c>
      <c r="I272" s="60">
        <f t="array" ref="I272">if(B272&lt;55, if(YEAR(A272)=2025,XLOOKUP(B272,Lookup!$F$3:$F$10,Lookup!$H$3:$H$10,,1)*G272, XLOOKUP(B272,Lookup!$F$14:$F$21,Lookup!$H$14:$H$21,,1)*G272),0)</f>
        <v>639.952</v>
      </c>
      <c r="J272" s="60">
        <f t="array" ref="J272">if(YEAR(A272)=2025,XLOOKUP(B272,Lookup!$F$3:$F$10,Lookup!$I$3:$I$10,,1)*G272, XLOOKUP(B272,Lookup!$F$14:$F$21,Lookup!$I$14:$I$21,,1)*G272)</f>
        <v>799.792</v>
      </c>
      <c r="K272" s="61">
        <f t="array" ref="K272">if(B272&gt;54, if(YEAR(A272)=2025,XLOOKUP(B272,Lookup!$F$3:$F$10,Lookup!$H$3:$H$10,,1)*G272, XLOOKUP(B272,Lookup!$F$14:$F$21,Lookup!$H$14:$H$21,,1)*G272),0)</f>
        <v>0</v>
      </c>
      <c r="L272" s="62">
        <f>IF(and(A272&lt;questions!$C$19,questions!$C$18="yes"),questions!$C$20,0)</f>
        <v>0</v>
      </c>
      <c r="M272" s="63">
        <f>(Y271+H272)*Lookup!A$26/12</f>
        <v>925.3502968</v>
      </c>
      <c r="N272" s="63">
        <f>if(B272&lt;55, (Z271+I272)*Lookup!B$26/12, (AB271+K272)*Lookup!B$26/12)</f>
        <v>1306.972453</v>
      </c>
      <c r="O272" s="63">
        <f>(AA271+J272)*Lookup!C$26/12</f>
        <v>563.6447414</v>
      </c>
      <c r="P272" s="63">
        <f t="shared" si="8"/>
        <v>7314.120774</v>
      </c>
      <c r="Q272" s="63">
        <f t="shared" si="4"/>
        <v>10396.05077</v>
      </c>
      <c r="R272" s="63">
        <f t="shared" si="5"/>
        <v>4434.510678</v>
      </c>
      <c r="S272" s="64">
        <f t="shared" si="9"/>
        <v>16.66666667</v>
      </c>
      <c r="T272" s="64">
        <f t="shared" si="10"/>
        <v>33.33333333</v>
      </c>
      <c r="U272" s="64">
        <f t="shared" si="11"/>
        <v>0</v>
      </c>
      <c r="V272" s="64">
        <f t="shared" ref="V272:X272" si="280">IF(year($A272)=year($A271), V271+S272, S272)</f>
        <v>133.3333333</v>
      </c>
      <c r="W272" s="64">
        <f t="shared" si="280"/>
        <v>266.6666667</v>
      </c>
      <c r="X272" s="64">
        <f t="shared" si="280"/>
        <v>0</v>
      </c>
      <c r="Y272" s="65">
        <f>IFS(
  B272&lt;55,
    MAX(
      Y271 + IF(MONTH(A272)=12, P272+V272, 0) + H272 - L272
      + MAX(0,
          IF(AA271 &gt;= VLOOKUP(YEAR(A272), Lookup!$Q:$R, 2),
            Z271 + IF(MONTH(A272)=12, Q272+W272, 0) + I272
              + AA271 + IF(MONTH(A272)=12, R272+X272, 0)
              - VLOOKUP(YEAR(A272), Lookup!$Q:$R, 2) + J272,
            Z271 + IF(MONTH(A272)=12, Q272+W272, 0) + I272
          ) - VLOOKUP(YEAR(A272), Lookup!$K:$M, 3)
        ),
    0),
  B272=55,
    IF(Z271&gt;=AD272,
      MAX(Y271 + IF(MONTH(A272)=12, P272+V272, 0) + H272 - L272, 0),
      MAX(MAX(0, Y271-(AD272-Z271)) + IF(MONTH(A272)=12, P272+V272, 0) + H272 - L272, 0)
    ),
  B272&gt;55,
    IF(AB271&gt;=$AH$7,
      MAX(Y271 + IF(MONTH(A272)=12, P272+V272, 0) + H272 - L272 + K272 + Z271, 0),
      MAX(Y271 + IF(MONTH(A272)=12, P272+V272, 0) + H272 - L272, 0)
    )
)</f>
        <v>444168.1424</v>
      </c>
      <c r="Z272" s="65">
        <f>IFS(
  B272&lt;55,
    MIN(
      IF(AA271 &gt;= VLOOKUP(YEAR(A272), Lookup!$Q:$R, 2),
        Z271 + IF(MONTH(A272)=12, Q272+W272, 0) + I272
          + AA271 + IF(MONTH(A272)=12, R272+X272, 0) - VLOOKUP(YEAR(A272), Lookup!$Q:$R, 2) + J272,
        Z271 + IF(MONTH(A272)=12, Q272+W272, 0) + I272
      ),
      VLOOKUP(YEAR(A272), Lookup!$K:$M, 3)
    ),
  B272=55,
    IF(Z271 &gt;= AD272, Z271 - AD272, 0),
  B272&gt;55, 0
)</f>
        <v>392091.7359</v>
      </c>
      <c r="AA272" s="65">
        <f>IFS(
  B272&lt;65,
    IF(AA271+J272 &lt; VLOOKUP(YEAR(A272), Lookup!$Q:$R, 2),
      AA271 + IF(MONTH(A272)=12, R271+X271, 0) + J272,
      MIN(
        AA271 + IF(MONTH(A272)=12, R271+X271, 0) + J272 ,
        VLOOKUP(YEAR(A272), Lookup!$Q:$R, 2)
      )
    ),
  B272&gt;=65,
    IF(AA271+J272 &lt; VLOOKUP(questions!$C$5, Lookup!$Q:$R, 2),
      AA271 + IF(MONTH(A272)=12, R271+X271, 0) + J272 ,
      MIN(
        AA271 + IF(MONTH(A272)=12, R271+X271, 0) + J272,
        VLOOKUP(questions!$C$5, Lookup!$Q:$R, 2)
      )
    )
)</f>
        <v>168389.4144</v>
      </c>
      <c r="AB272" s="65">
        <f t="shared" si="13"/>
        <v>0</v>
      </c>
      <c r="AC272" s="66">
        <f t="array" ref="AC272">IFS(B272&lt;66, XLOOKUP(year(A272),Lookup!$K$13:$K1000,Lookup!$L$13:$L1000,"missing",,1),B272&gt;65,XLOOKUP(questions!$C$5,Lookup!$K$13:$K1000,Lookup!$L$13:$L1000,"missing",,1))</f>
        <v>234981.1311</v>
      </c>
      <c r="AD272" s="66">
        <f t="array" ref="AD272">IFS(B272&lt;66, XLOOKUP(year(A272),Lookup!$K$13:$K1000,Lookup!$M$13:$M1000,"missing",,1),B272&gt;65, XLOOKUP(questions!$C$5,Lookup!$K$13:$K1000,Lookup!$M$13:$M1000,"missing",,1))</f>
        <v>469962.2623</v>
      </c>
      <c r="AE272" s="66">
        <f t="array" ref="AE272">IFS(B272&lt;66, XLOOKUP(year(A272),Lookup!$K$13:$K1000,Lookup!$N$13:$N1000,"missing",,1),B272&gt;65,XLOOKUP(questions!$C$5,Lookup!$K$13:$K1000,Lookup!$N$13:$N1000,"missing",,1))</f>
        <v>939924.5246</v>
      </c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</row>
    <row r="273">
      <c r="A273" s="55">
        <f t="shared" si="7"/>
        <v>54331</v>
      </c>
      <c r="B273" s="56">
        <f>round(YEARFRAC(EOMONTH(questions!$C$3, 0),A273,1),2)</f>
        <v>49.83</v>
      </c>
      <c r="C273" s="57">
        <f>IF(B273&lt;questions!$C$6,if(MONTH(A273)=1,C272*(1+questions!$C$12),C272),0)</f>
        <v>19161.03409</v>
      </c>
      <c r="D273" s="58">
        <f>IF(MONTH(A273)=12,C273*questions!$C$11,0)</f>
        <v>0</v>
      </c>
      <c r="E273" s="59">
        <f t="shared" si="2"/>
        <v>8000</v>
      </c>
      <c r="F273" s="59">
        <f t="shared" si="3"/>
        <v>0</v>
      </c>
      <c r="G273" s="60">
        <f t="array" ref="G273">if(YEAR(A273)=2025,XLOOKUP(B273,Lookup!$A$3:$A$7,Lookup!$D$3:$D$7,,1)*SUM(E273:F273), XLOOKUP(B273,Lookup!$A$14:$A$18,Lookup!$D$14:$D$18,,1)*SUM(E273:F273))</f>
        <v>2960</v>
      </c>
      <c r="H273" s="60">
        <f t="array" ref="H273">if(YEAR(A273)=2025,XLOOKUP(B273,Lookup!$F$3:$F$10,Lookup!$G$3:$G$10,,1)*G273, XLOOKUP(B273,Lookup!$F$14:$F$21,Lookup!$G$14:$G$21,,1)*G273)</f>
        <v>1520.256</v>
      </c>
      <c r="I273" s="60">
        <f t="array" ref="I273">if(B273&lt;55, if(YEAR(A273)=2025,XLOOKUP(B273,Lookup!$F$3:$F$10,Lookup!$H$3:$H$10,,1)*G273, XLOOKUP(B273,Lookup!$F$14:$F$21,Lookup!$H$14:$H$21,,1)*G273),0)</f>
        <v>639.952</v>
      </c>
      <c r="J273" s="60">
        <f t="array" ref="J273">if(YEAR(A273)=2025,XLOOKUP(B273,Lookup!$F$3:$F$10,Lookup!$I$3:$I$10,,1)*G273, XLOOKUP(B273,Lookup!$F$14:$F$21,Lookup!$I$14:$I$21,,1)*G273)</f>
        <v>799.792</v>
      </c>
      <c r="K273" s="61">
        <f t="array" ref="K273">if(B273&gt;54, if(YEAR(A273)=2025,XLOOKUP(B273,Lookup!$F$3:$F$10,Lookup!$H$3:$H$10,,1)*G273, XLOOKUP(B273,Lookup!$F$14:$F$21,Lookup!$H$14:$H$21,,1)*G273),0)</f>
        <v>0</v>
      </c>
      <c r="L273" s="62">
        <f>IF(and(A273&lt;questions!$C$19,questions!$C$18="yes"),questions!$C$20,0)</f>
        <v>0</v>
      </c>
      <c r="M273" s="63">
        <f>(Y272+H273)*Lookup!A$26/12</f>
        <v>928.5174968</v>
      </c>
      <c r="N273" s="63">
        <f>if(B273&lt;55, (Z272+I273)*Lookup!B$26/12, (AB272+K273)*Lookup!B$26/12)</f>
        <v>1309.105626</v>
      </c>
      <c r="O273" s="63">
        <f>(AA272+J273)*Lookup!C$26/12</f>
        <v>563.9640215</v>
      </c>
      <c r="P273" s="63">
        <f t="shared" si="8"/>
        <v>8242.638271</v>
      </c>
      <c r="Q273" s="63">
        <f t="shared" si="4"/>
        <v>11705.1564</v>
      </c>
      <c r="R273" s="63">
        <f t="shared" si="5"/>
        <v>4998.474699</v>
      </c>
      <c r="S273" s="64">
        <f t="shared" si="9"/>
        <v>16.66666667</v>
      </c>
      <c r="T273" s="64">
        <f t="shared" si="10"/>
        <v>33.33333333</v>
      </c>
      <c r="U273" s="64">
        <f t="shared" si="11"/>
        <v>0</v>
      </c>
      <c r="V273" s="64">
        <f t="shared" ref="V273:X273" si="281">IF(year($A273)=year($A272), V272+S273, S273)</f>
        <v>150</v>
      </c>
      <c r="W273" s="64">
        <f t="shared" si="281"/>
        <v>300</v>
      </c>
      <c r="X273" s="64">
        <f t="shared" si="281"/>
        <v>0</v>
      </c>
      <c r="Y273" s="65">
        <f>IFS(
  B273&lt;55,
    MAX(
      Y272 + IF(MONTH(A273)=12, P273+V273, 0) + H273 - L273
      + MAX(0,
          IF(AA272 &gt;= VLOOKUP(YEAR(A273), Lookup!$Q:$R, 2),
            Z272 + IF(MONTH(A273)=12, Q273+W273, 0) + I273
              + AA272 + IF(MONTH(A273)=12, R273+X273, 0)
              - VLOOKUP(YEAR(A273), Lookup!$Q:$R, 2) + J273,
            Z272 + IF(MONTH(A273)=12, Q273+W273, 0) + I273
          ) - VLOOKUP(YEAR(A273), Lookup!$K:$M, 3)
        ),
    0),
  B273=55,
    IF(Z272&gt;=AD273,
      MAX(Y272 + IF(MONTH(A273)=12, P273+V273, 0) + H273 - L273, 0),
      MAX(MAX(0, Y272-(AD273-Z272)) + IF(MONTH(A273)=12, P273+V273, 0) + H273 - L273, 0)
    ),
  B273&gt;55,
    IF(AB272&gt;=$AH$7,
      MAX(Y272 + IF(MONTH(A273)=12, P273+V273, 0) + H273 - L273 + K273 + Z272, 0),
      MAX(Y272 + IF(MONTH(A273)=12, P273+V273, 0) + H273 - L273, 0)
    )
)</f>
        <v>445688.3984</v>
      </c>
      <c r="Z273" s="65">
        <f>IFS(
  B273&lt;55,
    MIN(
      IF(AA272 &gt;= VLOOKUP(YEAR(A273), Lookup!$Q:$R, 2),
        Z272 + IF(MONTH(A273)=12, Q273+W273, 0) + I273
          + AA272 + IF(MONTH(A273)=12, R273+X273, 0) - VLOOKUP(YEAR(A273), Lookup!$Q:$R, 2) + J273,
        Z272 + IF(MONTH(A273)=12, Q273+W273, 0) + I273
      ),
      VLOOKUP(YEAR(A273), Lookup!$K:$M, 3)
    ),
  B273=55,
    IF(Z272 &gt;= AD273, Z272 - AD273, 0),
  B273&gt;55, 0
)</f>
        <v>393531.4799</v>
      </c>
      <c r="AA273" s="65">
        <f>IFS(
  B273&lt;65,
    IF(AA272+J273 &lt; VLOOKUP(YEAR(A273), Lookup!$Q:$R, 2),
      AA272 + IF(MONTH(A273)=12, R272+X272, 0) + J273,
      MIN(
        AA272 + IF(MONTH(A273)=12, R272+X272, 0) + J273 ,
        VLOOKUP(YEAR(A273), Lookup!$Q:$R, 2)
      )
    ),
  B273&gt;=65,
    IF(AA272+J273 &lt; VLOOKUP(questions!$C$5, Lookup!$Q:$R, 2),
      AA272 + IF(MONTH(A273)=12, R272+X272, 0) + J273 ,
      MIN(
        AA272 + IF(MONTH(A273)=12, R272+X272, 0) + J273,
        VLOOKUP(questions!$C$5, Lookup!$Q:$R, 2)
      )
    )
)</f>
        <v>168389.4144</v>
      </c>
      <c r="AB273" s="65">
        <f t="shared" si="13"/>
        <v>0</v>
      </c>
      <c r="AC273" s="66">
        <f t="array" ref="AC273">IFS(B273&lt;66, XLOOKUP(year(A273),Lookup!$K$13:$K1000,Lookup!$L$13:$L1000,"missing",,1),B273&gt;65,XLOOKUP(questions!$C$5,Lookup!$K$13:$K1000,Lookup!$L$13:$L1000,"missing",,1))</f>
        <v>234981.1311</v>
      </c>
      <c r="AD273" s="66">
        <f t="array" ref="AD273">IFS(B273&lt;66, XLOOKUP(year(A273),Lookup!$K$13:$K1000,Lookup!$M$13:$M1000,"missing",,1),B273&gt;65, XLOOKUP(questions!$C$5,Lookup!$K$13:$K1000,Lookup!$M$13:$M1000,"missing",,1))</f>
        <v>469962.2623</v>
      </c>
      <c r="AE273" s="66">
        <f t="array" ref="AE273">IFS(B273&lt;66, XLOOKUP(year(A273),Lookup!$K$13:$K1000,Lookup!$N$13:$N1000,"missing",,1),B273&gt;65,XLOOKUP(questions!$C$5,Lookup!$K$13:$K1000,Lookup!$N$13:$N1000,"missing",,1))</f>
        <v>939924.5246</v>
      </c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</row>
    <row r="274">
      <c r="A274" s="55">
        <f t="shared" si="7"/>
        <v>54362</v>
      </c>
      <c r="B274" s="56">
        <f>round(YEARFRAC(EOMONTH(questions!$C$3, 0),A274,1),2)</f>
        <v>49.92</v>
      </c>
      <c r="C274" s="57">
        <f>IF(B274&lt;questions!$C$6,if(MONTH(A274)=1,C273*(1+questions!$C$12),C273),0)</f>
        <v>19161.03409</v>
      </c>
      <c r="D274" s="58">
        <f>IF(MONTH(A274)=12,C274*questions!$C$11,0)</f>
        <v>0</v>
      </c>
      <c r="E274" s="59">
        <f t="shared" si="2"/>
        <v>8000</v>
      </c>
      <c r="F274" s="59">
        <f t="shared" si="3"/>
        <v>0</v>
      </c>
      <c r="G274" s="60">
        <f t="array" ref="G274">if(YEAR(A274)=2025,XLOOKUP(B274,Lookup!$A$3:$A$7,Lookup!$D$3:$D$7,,1)*SUM(E274:F274), XLOOKUP(B274,Lookup!$A$14:$A$18,Lookup!$D$14:$D$18,,1)*SUM(E274:F274))</f>
        <v>2960</v>
      </c>
      <c r="H274" s="60">
        <f t="array" ref="H274">if(YEAR(A274)=2025,XLOOKUP(B274,Lookup!$F$3:$F$10,Lookup!$G$3:$G$10,,1)*G274, XLOOKUP(B274,Lookup!$F$14:$F$21,Lookup!$G$14:$G$21,,1)*G274)</f>
        <v>1520.256</v>
      </c>
      <c r="I274" s="60">
        <f t="array" ref="I274">if(B274&lt;55, if(YEAR(A274)=2025,XLOOKUP(B274,Lookup!$F$3:$F$10,Lookup!$H$3:$H$10,,1)*G274, XLOOKUP(B274,Lookup!$F$14:$F$21,Lookup!$H$14:$H$21,,1)*G274),0)</f>
        <v>639.952</v>
      </c>
      <c r="J274" s="60">
        <f t="array" ref="J274">if(YEAR(A274)=2025,XLOOKUP(B274,Lookup!$F$3:$F$10,Lookup!$I$3:$I$10,,1)*G274, XLOOKUP(B274,Lookup!$F$14:$F$21,Lookup!$I$14:$I$21,,1)*G274)</f>
        <v>799.792</v>
      </c>
      <c r="K274" s="61">
        <f t="array" ref="K274">if(B274&gt;54, if(YEAR(A274)=2025,XLOOKUP(B274,Lookup!$F$3:$F$10,Lookup!$H$3:$H$10,,1)*G274, XLOOKUP(B274,Lookup!$F$14:$F$21,Lookup!$H$14:$H$21,,1)*G274),0)</f>
        <v>0</v>
      </c>
      <c r="L274" s="62">
        <f>IF(and(A274&lt;questions!$C$19,questions!$C$18="yes"),questions!$C$20,0)</f>
        <v>0</v>
      </c>
      <c r="M274" s="63">
        <f>(Y273+H274)*Lookup!A$26/12</f>
        <v>931.6846968</v>
      </c>
      <c r="N274" s="63">
        <f>if(B274&lt;55, (Z273+I274)*Lookup!B$26/12, (AB273+K274)*Lookup!B$26/12)</f>
        <v>1313.904773</v>
      </c>
      <c r="O274" s="63">
        <f>(AA273+J274)*Lookup!C$26/12</f>
        <v>563.9640215</v>
      </c>
      <c r="P274" s="63">
        <f t="shared" si="8"/>
        <v>9174.322968</v>
      </c>
      <c r="Q274" s="63">
        <f t="shared" si="4"/>
        <v>13019.06117</v>
      </c>
      <c r="R274" s="63">
        <f t="shared" si="5"/>
        <v>5562.438721</v>
      </c>
      <c r="S274" s="64">
        <f t="shared" si="9"/>
        <v>16.66666667</v>
      </c>
      <c r="T274" s="64">
        <f t="shared" si="10"/>
        <v>33.33333333</v>
      </c>
      <c r="U274" s="64">
        <f t="shared" si="11"/>
        <v>0</v>
      </c>
      <c r="V274" s="64">
        <f t="shared" ref="V274:X274" si="282">IF(year($A274)=year($A273), V273+S274, S274)</f>
        <v>166.6666667</v>
      </c>
      <c r="W274" s="64">
        <f t="shared" si="282"/>
        <v>333.3333333</v>
      </c>
      <c r="X274" s="64">
        <f t="shared" si="282"/>
        <v>0</v>
      </c>
      <c r="Y274" s="65">
        <f>IFS(
  B274&lt;55,
    MAX(
      Y273 + IF(MONTH(A274)=12, P274+V274, 0) + H274 - L274
      + MAX(0,
          IF(AA273 &gt;= VLOOKUP(YEAR(A274), Lookup!$Q:$R, 2),
            Z273 + IF(MONTH(A274)=12, Q274+W274, 0) + I274
              + AA273 + IF(MONTH(A274)=12, R274+X274, 0)
              - VLOOKUP(YEAR(A274), Lookup!$Q:$R, 2) + J274,
            Z273 + IF(MONTH(A274)=12, Q274+W274, 0) + I274
          ) - VLOOKUP(YEAR(A274), Lookup!$K:$M, 3)
        ),
    0),
  B274=55,
    IF(Z273&gt;=AD274,
      MAX(Y273 + IF(MONTH(A274)=12, P274+V274, 0) + H274 - L274, 0),
      MAX(MAX(0, Y273-(AD274-Z273)) + IF(MONTH(A274)=12, P274+V274, 0) + H274 - L274, 0)
    ),
  B274&gt;55,
    IF(AB273&gt;=$AH$7,
      MAX(Y273 + IF(MONTH(A274)=12, P274+V274, 0) + H274 - L274 + K274 + Z273, 0),
      MAX(Y273 + IF(MONTH(A274)=12, P274+V274, 0) + H274 - L274, 0)
    )
)</f>
        <v>447208.6544</v>
      </c>
      <c r="Z274" s="65">
        <f>IFS(
  B274&lt;55,
    MIN(
      IF(AA273 &gt;= VLOOKUP(YEAR(A274), Lookup!$Q:$R, 2),
        Z273 + IF(MONTH(A274)=12, Q274+W274, 0) + I274
          + AA273 + IF(MONTH(A274)=12, R274+X274, 0) - VLOOKUP(YEAR(A274), Lookup!$Q:$R, 2) + J274,
        Z273 + IF(MONTH(A274)=12, Q274+W274, 0) + I274
      ),
      VLOOKUP(YEAR(A274), Lookup!$K:$M, 3)
    ),
  B274=55,
    IF(Z273 &gt;= AD274, Z273 - AD274, 0),
  B274&gt;55, 0
)</f>
        <v>394971.2239</v>
      </c>
      <c r="AA274" s="65">
        <f>IFS(
  B274&lt;65,
    IF(AA273+J274 &lt; VLOOKUP(YEAR(A274), Lookup!$Q:$R, 2),
      AA273 + IF(MONTH(A274)=12, R273+X273, 0) + J274,
      MIN(
        AA273 + IF(MONTH(A274)=12, R273+X273, 0) + J274 ,
        VLOOKUP(YEAR(A274), Lookup!$Q:$R, 2)
      )
    ),
  B274&gt;=65,
    IF(AA273+J274 &lt; VLOOKUP(questions!$C$5, Lookup!$Q:$R, 2),
      AA273 + IF(MONTH(A274)=12, R273+X273, 0) + J274 ,
      MIN(
        AA273 + IF(MONTH(A274)=12, R273+X273, 0) + J274,
        VLOOKUP(questions!$C$5, Lookup!$Q:$R, 2)
      )
    )
)</f>
        <v>168389.4144</v>
      </c>
      <c r="AB274" s="65">
        <f t="shared" si="13"/>
        <v>0</v>
      </c>
      <c r="AC274" s="66">
        <f t="array" ref="AC274">IFS(B274&lt;66, XLOOKUP(year(A274),Lookup!$K$13:$K1000,Lookup!$L$13:$L1000,"missing",,1),B274&gt;65,XLOOKUP(questions!$C$5,Lookup!$K$13:$K1000,Lookup!$L$13:$L1000,"missing",,1))</f>
        <v>234981.1311</v>
      </c>
      <c r="AD274" s="66">
        <f t="array" ref="AD274">IFS(B274&lt;66, XLOOKUP(year(A274),Lookup!$K$13:$K1000,Lookup!$M$13:$M1000,"missing",,1),B274&gt;65, XLOOKUP(questions!$C$5,Lookup!$K$13:$K1000,Lookup!$M$13:$M1000,"missing",,1))</f>
        <v>469962.2623</v>
      </c>
      <c r="AE274" s="66">
        <f t="array" ref="AE274">IFS(B274&lt;66, XLOOKUP(year(A274),Lookup!$K$13:$K1000,Lookup!$N$13:$N1000,"missing",,1),B274&gt;65,XLOOKUP(questions!$C$5,Lookup!$K$13:$K1000,Lookup!$N$13:$N1000,"missing",,1))</f>
        <v>939924.5246</v>
      </c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</row>
    <row r="275">
      <c r="A275" s="55">
        <f t="shared" si="7"/>
        <v>54392</v>
      </c>
      <c r="B275" s="56">
        <f>round(YEARFRAC(EOMONTH(questions!$C$3, 0),A275,1),2)</f>
        <v>50</v>
      </c>
      <c r="C275" s="57">
        <f>IF(B275&lt;questions!$C$6,if(MONTH(A275)=1,C274*(1+questions!$C$12),C274),0)</f>
        <v>19161.03409</v>
      </c>
      <c r="D275" s="58">
        <f>IF(MONTH(A275)=12,C275*questions!$C$11,0)</f>
        <v>0</v>
      </c>
      <c r="E275" s="59">
        <f t="shared" si="2"/>
        <v>8000</v>
      </c>
      <c r="F275" s="59">
        <f t="shared" si="3"/>
        <v>0</v>
      </c>
      <c r="G275" s="60">
        <f t="array" ref="G275">if(YEAR(A275)=2025,XLOOKUP(B275,Lookup!$A$3:$A$7,Lookup!$D$3:$D$7,,1)*SUM(E275:F275), XLOOKUP(B275,Lookup!$A$14:$A$18,Lookup!$D$14:$D$18,,1)*SUM(E275:F275))</f>
        <v>2960</v>
      </c>
      <c r="H275" s="60">
        <f t="array" ref="H275">if(YEAR(A275)=2025,XLOOKUP(B275,Lookup!$F$3:$F$10,Lookup!$G$3:$G$10,,1)*G275, XLOOKUP(B275,Lookup!$F$14:$F$21,Lookup!$G$14:$G$21,,1)*G275)</f>
        <v>1520.256</v>
      </c>
      <c r="I275" s="60">
        <f t="array" ref="I275">if(B275&lt;55, if(YEAR(A275)=2025,XLOOKUP(B275,Lookup!$F$3:$F$10,Lookup!$H$3:$H$10,,1)*G275, XLOOKUP(B275,Lookup!$F$14:$F$21,Lookup!$H$14:$H$21,,1)*G275),0)</f>
        <v>639.952</v>
      </c>
      <c r="J275" s="60">
        <f t="array" ref="J275">if(YEAR(A275)=2025,XLOOKUP(B275,Lookup!$F$3:$F$10,Lookup!$I$3:$I$10,,1)*G275, XLOOKUP(B275,Lookup!$F$14:$F$21,Lookup!$I$14:$I$21,,1)*G275)</f>
        <v>799.792</v>
      </c>
      <c r="K275" s="61">
        <f t="array" ref="K275">if(B275&gt;54, if(YEAR(A275)=2025,XLOOKUP(B275,Lookup!$F$3:$F$10,Lookup!$H$3:$H$10,,1)*G275, XLOOKUP(B275,Lookup!$F$14:$F$21,Lookup!$H$14:$H$21,,1)*G275),0)</f>
        <v>0</v>
      </c>
      <c r="L275" s="62">
        <f>IF(and(A275&lt;questions!$C$19,questions!$C$18="yes"),questions!$C$20,0)</f>
        <v>0</v>
      </c>
      <c r="M275" s="63">
        <f>(Y274+H275)*Lookup!A$26/12</f>
        <v>934.8518968</v>
      </c>
      <c r="N275" s="63">
        <f>if(B275&lt;55, (Z274+I275)*Lookup!B$26/12, (AB274+K275)*Lookup!B$26/12)</f>
        <v>1318.70392</v>
      </c>
      <c r="O275" s="63">
        <f>(AA274+J275)*Lookup!C$26/12</f>
        <v>563.9640215</v>
      </c>
      <c r="P275" s="63">
        <f t="shared" si="8"/>
        <v>10109.17486</v>
      </c>
      <c r="Q275" s="63">
        <f t="shared" si="4"/>
        <v>14337.76509</v>
      </c>
      <c r="R275" s="63">
        <f t="shared" si="5"/>
        <v>6126.402742</v>
      </c>
      <c r="S275" s="64">
        <f t="shared" si="9"/>
        <v>16.66666667</v>
      </c>
      <c r="T275" s="64">
        <f t="shared" si="10"/>
        <v>33.33333333</v>
      </c>
      <c r="U275" s="64">
        <f t="shared" si="11"/>
        <v>0</v>
      </c>
      <c r="V275" s="64">
        <f t="shared" ref="V275:X275" si="283">IF(year($A275)=year($A274), V274+S275, S275)</f>
        <v>183.3333333</v>
      </c>
      <c r="W275" s="64">
        <f t="shared" si="283"/>
        <v>366.6666667</v>
      </c>
      <c r="X275" s="64">
        <f t="shared" si="283"/>
        <v>0</v>
      </c>
      <c r="Y275" s="65">
        <f>IFS(
  B275&lt;55,
    MAX(
      Y274 + IF(MONTH(A275)=12, P275+V275, 0) + H275 - L275
      + MAX(0,
          IF(AA274 &gt;= VLOOKUP(YEAR(A275), Lookup!$Q:$R, 2),
            Z274 + IF(MONTH(A275)=12, Q275+W275, 0) + I275
              + AA274 + IF(MONTH(A275)=12, R275+X275, 0)
              - VLOOKUP(YEAR(A275), Lookup!$Q:$R, 2) + J275,
            Z274 + IF(MONTH(A275)=12, Q275+W275, 0) + I275
          ) - VLOOKUP(YEAR(A275), Lookup!$K:$M, 3)
        ),
    0),
  B275=55,
    IF(Z274&gt;=AD275,
      MAX(Y274 + IF(MONTH(A275)=12, P275+V275, 0) + H275 - L275, 0),
      MAX(MAX(0, Y274-(AD275-Z274)) + IF(MONTH(A275)=12, P275+V275, 0) + H275 - L275, 0)
    ),
  B275&gt;55,
    IF(AB274&gt;=$AH$7,
      MAX(Y274 + IF(MONTH(A275)=12, P275+V275, 0) + H275 - L275 + K275 + Z274, 0),
      MAX(Y274 + IF(MONTH(A275)=12, P275+V275, 0) + H275 - L275, 0)
    )
)</f>
        <v>448728.9104</v>
      </c>
      <c r="Z275" s="65">
        <f>IFS(
  B275&lt;55,
    MIN(
      IF(AA274 &gt;= VLOOKUP(YEAR(A275), Lookup!$Q:$R, 2),
        Z274 + IF(MONTH(A275)=12, Q275+W275, 0) + I275
          + AA274 + IF(MONTH(A275)=12, R275+X275, 0) - VLOOKUP(YEAR(A275), Lookup!$Q:$R, 2) + J275,
        Z274 + IF(MONTH(A275)=12, Q275+W275, 0) + I275
      ),
      VLOOKUP(YEAR(A275), Lookup!$K:$M, 3)
    ),
  B275=55,
    IF(Z274 &gt;= AD275, Z274 - AD275, 0),
  B275&gt;55, 0
)</f>
        <v>396410.9679</v>
      </c>
      <c r="AA275" s="65">
        <f>IFS(
  B275&lt;65,
    IF(AA274+J275 &lt; VLOOKUP(YEAR(A275), Lookup!$Q:$R, 2),
      AA274 + IF(MONTH(A275)=12, R274+X274, 0) + J275,
      MIN(
        AA274 + IF(MONTH(A275)=12, R274+X274, 0) + J275 ,
        VLOOKUP(YEAR(A275), Lookup!$Q:$R, 2)
      )
    ),
  B275&gt;=65,
    IF(AA274+J275 &lt; VLOOKUP(questions!$C$5, Lookup!$Q:$R, 2),
      AA274 + IF(MONTH(A275)=12, R274+X274, 0) + J275 ,
      MIN(
        AA274 + IF(MONTH(A275)=12, R274+X274, 0) + J275,
        VLOOKUP(questions!$C$5, Lookup!$Q:$R, 2)
      )
    )
)</f>
        <v>168389.4144</v>
      </c>
      <c r="AB275" s="65">
        <f t="shared" si="13"/>
        <v>0</v>
      </c>
      <c r="AC275" s="66">
        <f t="array" ref="AC275">IFS(B275&lt;66, XLOOKUP(year(A275),Lookup!$K$13:$K1000,Lookup!$L$13:$L1000,"missing",,1),B275&gt;65,XLOOKUP(questions!$C$5,Lookup!$K$13:$K1000,Lookup!$L$13:$L1000,"missing",,1))</f>
        <v>234981.1311</v>
      </c>
      <c r="AD275" s="66">
        <f t="array" ref="AD275">IFS(B275&lt;66, XLOOKUP(year(A275),Lookup!$K$13:$K1000,Lookup!$M$13:$M1000,"missing",,1),B275&gt;65, XLOOKUP(questions!$C$5,Lookup!$K$13:$K1000,Lookup!$M$13:$M1000,"missing",,1))</f>
        <v>469962.2623</v>
      </c>
      <c r="AE275" s="66">
        <f t="array" ref="AE275">IFS(B275&lt;66, XLOOKUP(year(A275),Lookup!$K$13:$K1000,Lookup!$N$13:$N1000,"missing",,1),B275&gt;65,XLOOKUP(questions!$C$5,Lookup!$K$13:$K1000,Lookup!$N$13:$N1000,"missing",,1))</f>
        <v>939924.5246</v>
      </c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</row>
    <row r="276">
      <c r="A276" s="55">
        <f t="shared" si="7"/>
        <v>54423</v>
      </c>
      <c r="B276" s="56">
        <f>round(YEARFRAC(EOMONTH(questions!$C$3, 0),A276,1),2)</f>
        <v>50.08</v>
      </c>
      <c r="C276" s="57">
        <f>IF(B276&lt;questions!$C$6,if(MONTH(A276)=1,C275*(1+questions!$C$12),C275),0)</f>
        <v>19161.03409</v>
      </c>
      <c r="D276" s="57">
        <f>IF(MONTH(A276)=12,C276*questions!$C$11,0)</f>
        <v>19161.03409</v>
      </c>
      <c r="E276" s="59">
        <f t="shared" si="2"/>
        <v>8000</v>
      </c>
      <c r="F276" s="59">
        <f t="shared" si="3"/>
        <v>6000</v>
      </c>
      <c r="G276" s="60">
        <f t="array" ref="G276">if(YEAR(A276)=2025,XLOOKUP(B276,Lookup!$A$3:$A$7,Lookup!$D$3:$D$7,,1)*SUM(E276:F276), XLOOKUP(B276,Lookup!$A$14:$A$18,Lookup!$D$14:$D$18,,1)*SUM(E276:F276))</f>
        <v>5180</v>
      </c>
      <c r="H276" s="60">
        <f t="array" ref="H276">if(YEAR(A276)=2025,XLOOKUP(B276,Lookup!$F$3:$F$10,Lookup!$G$3:$G$10,,1)*G276, XLOOKUP(B276,Lookup!$F$14:$F$21,Lookup!$G$14:$G$21,,1)*G276)</f>
        <v>2100.49</v>
      </c>
      <c r="I276" s="60">
        <f t="array" ref="I276">if(B276&lt;55, if(YEAR(A276)=2025,XLOOKUP(B276,Lookup!$F$3:$F$10,Lookup!$H$3:$H$10,,1)*G276, XLOOKUP(B276,Lookup!$F$14:$F$21,Lookup!$H$14:$H$21,,1)*G276),0)</f>
        <v>1609.944</v>
      </c>
      <c r="J276" s="60">
        <f t="array" ref="J276">if(YEAR(A276)=2025,XLOOKUP(B276,Lookup!$F$3:$F$10,Lookup!$I$3:$I$10,,1)*G276, XLOOKUP(B276,Lookup!$F$14:$F$21,Lookup!$I$14:$I$21,,1)*G276)</f>
        <v>1469.566</v>
      </c>
      <c r="K276" s="61">
        <f t="array" ref="K276">if(B276&gt;54, if(YEAR(A276)=2025,XLOOKUP(B276,Lookup!$F$3:$F$10,Lookup!$H$3:$H$10,,1)*G276, XLOOKUP(B276,Lookup!$F$14:$F$21,Lookup!$H$14:$H$21,,1)*G276),0)</f>
        <v>0</v>
      </c>
      <c r="L276" s="62">
        <f>IF(and(A276&lt;questions!$C$19,questions!$C$18="yes"),questions!$C$20,0)</f>
        <v>0</v>
      </c>
      <c r="M276" s="63">
        <f>(Y275+H276)*Lookup!A$26/12</f>
        <v>939.2279176</v>
      </c>
      <c r="N276" s="63">
        <f>if(B276&lt;55, (Z275+I276)*Lookup!B$26/12, (AB275+K276)*Lookup!B$26/12)</f>
        <v>1326.736373</v>
      </c>
      <c r="O276" s="63">
        <f>(AA275+J276)*Lookup!C$26/12</f>
        <v>566.1966015</v>
      </c>
      <c r="P276" s="63">
        <f t="shared" si="8"/>
        <v>11048.40278</v>
      </c>
      <c r="Q276" s="63">
        <f t="shared" si="4"/>
        <v>15664.50146</v>
      </c>
      <c r="R276" s="63">
        <f t="shared" si="5"/>
        <v>6692.599344</v>
      </c>
      <c r="S276" s="64">
        <f t="shared" si="9"/>
        <v>16.66666667</v>
      </c>
      <c r="T276" s="64">
        <f t="shared" si="10"/>
        <v>33.33333333</v>
      </c>
      <c r="U276" s="64">
        <f t="shared" si="11"/>
        <v>0</v>
      </c>
      <c r="V276" s="64">
        <f t="shared" ref="V276:X276" si="284">IF(year($A276)=year($A275), V275+S276, S276)</f>
        <v>200</v>
      </c>
      <c r="W276" s="64">
        <f t="shared" si="284"/>
        <v>400</v>
      </c>
      <c r="X276" s="64">
        <f t="shared" si="284"/>
        <v>0</v>
      </c>
      <c r="Y276" s="65">
        <f>IFS(
  B276&lt;55,
    MAX(
      Y275 + IF(MONTH(A276)=12, P276+V276, 0) + H276 - L276
      + MAX(0,
          IF(AA275 &gt;= VLOOKUP(YEAR(A276), Lookup!$Q:$R, 2),
            Z275 + IF(MONTH(A276)=12, Q276+W276, 0) + I276
              + AA275 + IF(MONTH(A276)=12, R276+X276, 0)
              - VLOOKUP(YEAR(A276), Lookup!$Q:$R, 2) + J276,
            Z275 + IF(MONTH(A276)=12, Q276+W276, 0) + I276
          ) - VLOOKUP(YEAR(A276), Lookup!$K:$M, 3)
        ),
    0),
  B276=55,
    IF(Z275&gt;=AD276,
      MAX(Y275 + IF(MONTH(A276)=12, P276+V276, 0) + H276 - L276, 0),
      MAX(MAX(0, Y275-(AD276-Z275)) + IF(MONTH(A276)=12, P276+V276, 0) + H276 - L276, 0)
    ),
  B276&gt;55,
    IF(AB275&gt;=$AH$7,
      MAX(Y275 + IF(MONTH(A276)=12, P276+V276, 0) + H276 - L276 + K276 + Z275, 0),
      MAX(Y275 + IF(MONTH(A276)=12, P276+V276, 0) + H276 - L276, 0)
    )
)</f>
        <v>462077.8032</v>
      </c>
      <c r="Z276" s="65">
        <f>IFS(
  B276&lt;55,
    MIN(
      IF(AA275 &gt;= VLOOKUP(YEAR(A276), Lookup!$Q:$R, 2),
        Z275 + IF(MONTH(A276)=12, Q276+W276, 0) + I276
          + AA275 + IF(MONTH(A276)=12, R276+X276, 0) - VLOOKUP(YEAR(A276), Lookup!$Q:$R, 2) + J276,
        Z275 + IF(MONTH(A276)=12, Q276+W276, 0) + I276
      ),
      VLOOKUP(YEAR(A276), Lookup!$K:$M, 3)
    ),
  B276=55,
    IF(Z275 &gt;= AD276, Z275 - AD276, 0),
  B276&gt;55, 0
)</f>
        <v>422247.5787</v>
      </c>
      <c r="AA276" s="65">
        <f>IFS(
  B276&lt;65,
    IF(AA275+J276 &lt; VLOOKUP(YEAR(A276), Lookup!$Q:$R, 2),
      AA275 + IF(MONTH(A276)=12, R275+X275, 0) + J276,
      MIN(
        AA275 + IF(MONTH(A276)=12, R275+X275, 0) + J276 ,
        VLOOKUP(YEAR(A276), Lookup!$Q:$R, 2)
      )
    ),
  B276&gt;=65,
    IF(AA275+J276 &lt; VLOOKUP(questions!$C$5, Lookup!$Q:$R, 2),
      AA275 + IF(MONTH(A276)=12, R275+X275, 0) + J276 ,
      MIN(
        AA275 + IF(MONTH(A276)=12, R275+X275, 0) + J276,
        VLOOKUP(questions!$C$5, Lookup!$Q:$R, 2)
      )
    )
)</f>
        <v>168389.4144</v>
      </c>
      <c r="AB276" s="65">
        <f t="shared" si="13"/>
        <v>0</v>
      </c>
      <c r="AC276" s="66">
        <f t="array" ref="AC276">IFS(B276&lt;66, XLOOKUP(year(A276),Lookup!$K$13:$K1000,Lookup!$L$13:$L1000,"missing",,1),B276&gt;65,XLOOKUP(questions!$C$5,Lookup!$K$13:$K1000,Lookup!$L$13:$L1000,"missing",,1))</f>
        <v>234981.1311</v>
      </c>
      <c r="AD276" s="66">
        <f t="array" ref="AD276">IFS(B276&lt;66, XLOOKUP(year(A276),Lookup!$K$13:$K1000,Lookup!$M$13:$M1000,"missing",,1),B276&gt;65, XLOOKUP(questions!$C$5,Lookup!$K$13:$K1000,Lookup!$M$13:$M1000,"missing",,1))</f>
        <v>469962.2623</v>
      </c>
      <c r="AE276" s="66">
        <f t="array" ref="AE276">IFS(B276&lt;66, XLOOKUP(year(A276),Lookup!$K$13:$K1000,Lookup!$N$13:$N1000,"missing",,1),B276&gt;65,XLOOKUP(questions!$C$5,Lookup!$K$13:$K1000,Lookup!$N$13:$N1000,"missing",,1))</f>
        <v>939924.5246</v>
      </c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</row>
    <row r="277">
      <c r="A277" s="55">
        <f t="shared" si="7"/>
        <v>54454</v>
      </c>
      <c r="B277" s="56">
        <f>round(YEARFRAC(EOMONTH(questions!$C$3, 0),A277,1),2)</f>
        <v>50.17</v>
      </c>
      <c r="C277" s="57">
        <f>IF(B277&lt;questions!$C$6,if(MONTH(A277)=1,C276*(1+questions!$C$12),C276),0)</f>
        <v>19735.86511</v>
      </c>
      <c r="D277" s="58">
        <f>IF(MONTH(A277)=12,C277*questions!$C$11,0)</f>
        <v>0</v>
      </c>
      <c r="E277" s="59">
        <f t="shared" si="2"/>
        <v>8000</v>
      </c>
      <c r="F277" s="59">
        <f t="shared" si="3"/>
        <v>0</v>
      </c>
      <c r="G277" s="60">
        <f t="array" ref="G277">if(YEAR(A277)=2025,XLOOKUP(B277,Lookup!$A$3:$A$7,Lookup!$D$3:$D$7,,1)*SUM(E277:F277), XLOOKUP(B277,Lookup!$A$14:$A$18,Lookup!$D$14:$D$18,,1)*SUM(E277:F277))</f>
        <v>2960</v>
      </c>
      <c r="H277" s="60">
        <f t="array" ref="H277">if(YEAR(A277)=2025,XLOOKUP(B277,Lookup!$F$3:$F$10,Lookup!$G$3:$G$10,,1)*G277, XLOOKUP(B277,Lookup!$F$14:$F$21,Lookup!$G$14:$G$21,,1)*G277)</f>
        <v>1200.28</v>
      </c>
      <c r="I277" s="60">
        <f t="array" ref="I277">if(B277&lt;55, if(YEAR(A277)=2025,XLOOKUP(B277,Lookup!$F$3:$F$10,Lookup!$H$3:$H$10,,1)*G277, XLOOKUP(B277,Lookup!$F$14:$F$21,Lookup!$H$14:$H$21,,1)*G277),0)</f>
        <v>919.968</v>
      </c>
      <c r="J277" s="60">
        <f t="array" ref="J277">if(YEAR(A277)=2025,XLOOKUP(B277,Lookup!$F$3:$F$10,Lookup!$I$3:$I$10,,1)*G277, XLOOKUP(B277,Lookup!$F$14:$F$21,Lookup!$I$14:$I$21,,1)*G277)</f>
        <v>839.752</v>
      </c>
      <c r="K277" s="61">
        <f t="array" ref="K277">if(B277&gt;54, if(YEAR(A277)=2025,XLOOKUP(B277,Lookup!$F$3:$F$10,Lookup!$H$3:$H$10,,1)*G277, XLOOKUP(B277,Lookup!$F$14:$F$21,Lookup!$H$14:$H$21,,1)*G277),0)</f>
        <v>0</v>
      </c>
      <c r="L277" s="62">
        <f>IF(and(A277&lt;questions!$C$19,questions!$C$18="yes"),questions!$C$20,0)</f>
        <v>0</v>
      </c>
      <c r="M277" s="63">
        <f>(Y276+H277)*Lookup!A$26/12</f>
        <v>965.1626734</v>
      </c>
      <c r="N277" s="63">
        <f>if(B277&lt;55, (Z276+I277)*Lookup!B$26/12, (AB276+K277)*Lookup!B$26/12)</f>
        <v>1410.558489</v>
      </c>
      <c r="O277" s="63">
        <f>(AA276+J277)*Lookup!C$26/12</f>
        <v>564.0972215</v>
      </c>
      <c r="P277" s="63">
        <f t="shared" si="8"/>
        <v>965.1626734</v>
      </c>
      <c r="Q277" s="63">
        <f t="shared" si="4"/>
        <v>1410.558489</v>
      </c>
      <c r="R277" s="63">
        <f t="shared" si="5"/>
        <v>564.0972215</v>
      </c>
      <c r="S277" s="64">
        <f t="shared" si="9"/>
        <v>16.66666667</v>
      </c>
      <c r="T277" s="64">
        <f t="shared" si="10"/>
        <v>33.33333333</v>
      </c>
      <c r="U277" s="64">
        <f t="shared" si="11"/>
        <v>0</v>
      </c>
      <c r="V277" s="64">
        <f t="shared" ref="V277:X277" si="285">IF(year($A277)=year($A276), V276+S277, S277)</f>
        <v>16.66666667</v>
      </c>
      <c r="W277" s="64">
        <f t="shared" si="285"/>
        <v>33.33333333</v>
      </c>
      <c r="X277" s="64">
        <f t="shared" si="285"/>
        <v>0</v>
      </c>
      <c r="Y277" s="65">
        <f>IFS(
  B277&lt;55,
    MAX(
      Y276 + IF(MONTH(A277)=12, P277+V277, 0) + H277 - L277
      + MAX(0,
          IF(AA276 &gt;= VLOOKUP(YEAR(A277), Lookup!$Q:$R, 2),
            Z276 + IF(MONTH(A277)=12, Q277+W277, 0) + I277
              + AA276 + IF(MONTH(A277)=12, R277+X277, 0)
              - VLOOKUP(YEAR(A277), Lookup!$Q:$R, 2) + J277,
            Z276 + IF(MONTH(A277)=12, Q277+W277, 0) + I277
          ) - VLOOKUP(YEAR(A277), Lookup!$K:$M, 3)
        ),
    0),
  B277=55,
    IF(Z276&gt;=AD277,
      MAX(Y276 + IF(MONTH(A277)=12, P277+V277, 0) + H277 - L277, 0),
      MAX(MAX(0, Y276-(AD277-Z276)) + IF(MONTH(A277)=12, P277+V277, 0) + H277 - L277, 0)
    ),
  B277&gt;55,
    IF(AB276&gt;=$AH$7,
      MAX(Y276 + IF(MONTH(A277)=12, P277+V277, 0) + H277 - L277 + K277 + Z276, 0),
      MAX(Y276 + IF(MONTH(A277)=12, P277+V277, 0) + H277 - L277, 0)
    )
)</f>
        <v>463278.0832</v>
      </c>
      <c r="Z277" s="65">
        <f>IFS(
  B277&lt;55,
    MIN(
      IF(AA276 &gt;= VLOOKUP(YEAR(A277), Lookup!$Q:$R, 2),
        Z276 + IF(MONTH(A277)=12, Q277+W277, 0) + I277
          + AA276 + IF(MONTH(A277)=12, R277+X277, 0) - VLOOKUP(YEAR(A277), Lookup!$Q:$R, 2) + J277,
        Z276 + IF(MONTH(A277)=12, Q277+W277, 0) + I277
      ),
      VLOOKUP(YEAR(A277), Lookup!$K:$M, 3)
    ),
  B277=55,
    IF(Z276 &gt;= AD277, Z276 - AD277, 0),
  B277&gt;55, 0
)</f>
        <v>423167.5467</v>
      </c>
      <c r="AA277" s="65">
        <f>IFS(
  B277&lt;65,
    IF(AA276+J277 &lt; VLOOKUP(YEAR(A277), Lookup!$Q:$R, 2),
      AA276 + IF(MONTH(A277)=12, R276+X276, 0) + J277,
      MIN(
        AA276 + IF(MONTH(A277)=12, R276+X276, 0) + J277 ,
        VLOOKUP(YEAR(A277), Lookup!$Q:$R, 2)
      )
    ),
  B277&gt;=65,
    IF(AA276+J277 &lt; VLOOKUP(questions!$C$5, Lookup!$Q:$R, 2),
      AA276 + IF(MONTH(A277)=12, R276+X276, 0) + J277 ,
      MIN(
        AA276 + IF(MONTH(A277)=12, R276+X276, 0) + J277,
        VLOOKUP(questions!$C$5, Lookup!$Q:$R, 2)
      )
    )
)</f>
        <v>169229.1664</v>
      </c>
      <c r="AB277" s="65">
        <f t="shared" si="13"/>
        <v>0</v>
      </c>
      <c r="AC277" s="66">
        <f t="array" ref="AC277">IFS(B277&lt;66, XLOOKUP(year(A277),Lookup!$K$13:$K1000,Lookup!$L$13:$L1000,"missing",,1),B277&gt;65,XLOOKUP(questions!$C$5,Lookup!$K$13:$K1000,Lookup!$L$13:$L1000,"missing",,1))</f>
        <v>243205.4707</v>
      </c>
      <c r="AD277" s="66">
        <f t="array" ref="AD277">IFS(B277&lt;66, XLOOKUP(year(A277),Lookup!$K$13:$K1000,Lookup!$M$13:$M1000,"missing",,1),B277&gt;65, XLOOKUP(questions!$C$5,Lookup!$K$13:$K1000,Lookup!$M$13:$M1000,"missing",,1))</f>
        <v>486410.9415</v>
      </c>
      <c r="AE277" s="66">
        <f t="array" ref="AE277">IFS(B277&lt;66, XLOOKUP(year(A277),Lookup!$K$13:$K1000,Lookup!$N$13:$N1000,"missing",,1),B277&gt;65,XLOOKUP(questions!$C$5,Lookup!$K$13:$K1000,Lookup!$N$13:$N1000,"missing",,1))</f>
        <v>972821.883</v>
      </c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</row>
    <row r="278">
      <c r="A278" s="55">
        <f t="shared" si="7"/>
        <v>54482</v>
      </c>
      <c r="B278" s="56">
        <f>round(YEARFRAC(EOMONTH(questions!$C$3, 0),A278,1),2)</f>
        <v>50.25</v>
      </c>
      <c r="C278" s="57">
        <f>IF(B278&lt;questions!$C$6,if(MONTH(A278)=1,C277*(1+questions!$C$12),C277),0)</f>
        <v>19735.86511</v>
      </c>
      <c r="D278" s="58">
        <f>IF(MONTH(A278)=12,C278*questions!$C$11,0)</f>
        <v>0</v>
      </c>
      <c r="E278" s="59">
        <f t="shared" si="2"/>
        <v>8000</v>
      </c>
      <c r="F278" s="59">
        <f t="shared" si="3"/>
        <v>0</v>
      </c>
      <c r="G278" s="60">
        <f t="array" ref="G278">if(YEAR(A278)=2025,XLOOKUP(B278,Lookup!$A$3:$A$7,Lookup!$D$3:$D$7,,1)*SUM(E278:F278), XLOOKUP(B278,Lookup!$A$14:$A$18,Lookup!$D$14:$D$18,,1)*SUM(E278:F278))</f>
        <v>2960</v>
      </c>
      <c r="H278" s="60">
        <f t="array" ref="H278">if(YEAR(A278)=2025,XLOOKUP(B278,Lookup!$F$3:$F$10,Lookup!$G$3:$G$10,,1)*G278, XLOOKUP(B278,Lookup!$F$14:$F$21,Lookup!$G$14:$G$21,,1)*G278)</f>
        <v>1200.28</v>
      </c>
      <c r="I278" s="60">
        <f t="array" ref="I278">if(B278&lt;55, if(YEAR(A278)=2025,XLOOKUP(B278,Lookup!$F$3:$F$10,Lookup!$H$3:$H$10,,1)*G278, XLOOKUP(B278,Lookup!$F$14:$F$21,Lookup!$H$14:$H$21,,1)*G278),0)</f>
        <v>919.968</v>
      </c>
      <c r="J278" s="60">
        <f t="array" ref="J278">if(YEAR(A278)=2025,XLOOKUP(B278,Lookup!$F$3:$F$10,Lookup!$I$3:$I$10,,1)*G278, XLOOKUP(B278,Lookup!$F$14:$F$21,Lookup!$I$14:$I$21,,1)*G278)</f>
        <v>839.752</v>
      </c>
      <c r="K278" s="61">
        <f t="array" ref="K278">if(B278&gt;54, if(YEAR(A278)=2025,XLOOKUP(B278,Lookup!$F$3:$F$10,Lookup!$H$3:$H$10,,1)*G278, XLOOKUP(B278,Lookup!$F$14:$F$21,Lookup!$H$14:$H$21,,1)*G278),0)</f>
        <v>0</v>
      </c>
      <c r="L278" s="62">
        <f>IF(and(A278&lt;questions!$C$19,questions!$C$18="yes"),questions!$C$20,0)</f>
        <v>0</v>
      </c>
      <c r="M278" s="63">
        <f>(Y277+H278)*Lookup!A$26/12</f>
        <v>967.6632567</v>
      </c>
      <c r="N278" s="63">
        <f>if(B278&lt;55, (Z277+I278)*Lookup!B$26/12, (AB277+K278)*Lookup!B$26/12)</f>
        <v>1413.625049</v>
      </c>
      <c r="O278" s="63">
        <f>(AA277+J278)*Lookup!C$26/12</f>
        <v>566.8963948</v>
      </c>
      <c r="P278" s="63">
        <f t="shared" si="8"/>
        <v>1932.82593</v>
      </c>
      <c r="Q278" s="63">
        <f t="shared" si="4"/>
        <v>2824.183538</v>
      </c>
      <c r="R278" s="63">
        <f t="shared" si="5"/>
        <v>1130.993616</v>
      </c>
      <c r="S278" s="64">
        <f t="shared" si="9"/>
        <v>16.66666667</v>
      </c>
      <c r="T278" s="64">
        <f t="shared" si="10"/>
        <v>33.33333333</v>
      </c>
      <c r="U278" s="64">
        <f t="shared" si="11"/>
        <v>0</v>
      </c>
      <c r="V278" s="64">
        <f t="shared" ref="V278:X278" si="286">IF(year($A278)=year($A277), V277+S278, S278)</f>
        <v>33.33333333</v>
      </c>
      <c r="W278" s="64">
        <f t="shared" si="286"/>
        <v>66.66666667</v>
      </c>
      <c r="X278" s="64">
        <f t="shared" si="286"/>
        <v>0</v>
      </c>
      <c r="Y278" s="65">
        <f>IFS(
  B278&lt;55,
    MAX(
      Y277 + IF(MONTH(A278)=12, P278+V278, 0) + H278 - L278
      + MAX(0,
          IF(AA277 &gt;= VLOOKUP(YEAR(A278), Lookup!$Q:$R, 2),
            Z277 + IF(MONTH(A278)=12, Q278+W278, 0) + I278
              + AA277 + IF(MONTH(A278)=12, R278+X278, 0)
              - VLOOKUP(YEAR(A278), Lookup!$Q:$R, 2) + J278,
            Z277 + IF(MONTH(A278)=12, Q278+W278, 0) + I278
          ) - VLOOKUP(YEAR(A278), Lookup!$K:$M, 3)
        ),
    0),
  B278=55,
    IF(Z277&gt;=AD278,
      MAX(Y277 + IF(MONTH(A278)=12, P278+V278, 0) + H278 - L278, 0),
      MAX(MAX(0, Y277-(AD278-Z277)) + IF(MONTH(A278)=12, P278+V278, 0) + H278 - L278, 0)
    ),
  B278&gt;55,
    IF(AB277&gt;=$AH$7,
      MAX(Y277 + IF(MONTH(A278)=12, P278+V278, 0) + H278 - L278 + K278 + Z277, 0),
      MAX(Y277 + IF(MONTH(A278)=12, P278+V278, 0) + H278 - L278, 0)
    )
)</f>
        <v>464478.3632</v>
      </c>
      <c r="Z278" s="65">
        <f>IFS(
  B278&lt;55,
    MIN(
      IF(AA277 &gt;= VLOOKUP(YEAR(A278), Lookup!$Q:$R, 2),
        Z277 + IF(MONTH(A278)=12, Q278+W278, 0) + I278
          + AA277 + IF(MONTH(A278)=12, R278+X278, 0) - VLOOKUP(YEAR(A278), Lookup!$Q:$R, 2) + J278,
        Z277 + IF(MONTH(A278)=12, Q278+W278, 0) + I278
      ),
      VLOOKUP(YEAR(A278), Lookup!$K:$M, 3)
    ),
  B278=55,
    IF(Z277 &gt;= AD278, Z277 - AD278, 0),
  B278&gt;55, 0
)</f>
        <v>424087.5147</v>
      </c>
      <c r="AA278" s="65">
        <f>IFS(
  B278&lt;65,
    IF(AA277+J278 &lt; VLOOKUP(YEAR(A278), Lookup!$Q:$R, 2),
      AA277 + IF(MONTH(A278)=12, R277+X277, 0) + J278,
      MIN(
        AA277 + IF(MONTH(A278)=12, R277+X277, 0) + J278 ,
        VLOOKUP(YEAR(A278), Lookup!$Q:$R, 2)
      )
    ),
  B278&gt;=65,
    IF(AA277+J278 &lt; VLOOKUP(questions!$C$5, Lookup!$Q:$R, 2),
      AA277 + IF(MONTH(A278)=12, R277+X277, 0) + J278 ,
      MIN(
        AA277 + IF(MONTH(A278)=12, R277+X277, 0) + J278,
        VLOOKUP(questions!$C$5, Lookup!$Q:$R, 2)
      )
    )
)</f>
        <v>170068.9184</v>
      </c>
      <c r="AB278" s="65">
        <f t="shared" si="13"/>
        <v>0</v>
      </c>
      <c r="AC278" s="66">
        <f t="array" ref="AC278">IFS(B278&lt;66, XLOOKUP(year(A278),Lookup!$K$13:$K1000,Lookup!$L$13:$L1000,"missing",,1),B278&gt;65,XLOOKUP(questions!$C$5,Lookup!$K$13:$K1000,Lookup!$L$13:$L1000,"missing",,1))</f>
        <v>243205.4707</v>
      </c>
      <c r="AD278" s="66">
        <f t="array" ref="AD278">IFS(B278&lt;66, XLOOKUP(year(A278),Lookup!$K$13:$K1000,Lookup!$M$13:$M1000,"missing",,1),B278&gt;65, XLOOKUP(questions!$C$5,Lookup!$K$13:$K1000,Lookup!$M$13:$M1000,"missing",,1))</f>
        <v>486410.9415</v>
      </c>
      <c r="AE278" s="66">
        <f t="array" ref="AE278">IFS(B278&lt;66, XLOOKUP(year(A278),Lookup!$K$13:$K1000,Lookup!$N$13:$N1000,"missing",,1),B278&gt;65,XLOOKUP(questions!$C$5,Lookup!$K$13:$K1000,Lookup!$N$13:$N1000,"missing",,1))</f>
        <v>972821.883</v>
      </c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</row>
    <row r="279">
      <c r="A279" s="55">
        <f t="shared" si="7"/>
        <v>54513</v>
      </c>
      <c r="B279" s="56">
        <f>round(YEARFRAC(EOMONTH(questions!$C$3, 0),A279,1),2)</f>
        <v>50.33</v>
      </c>
      <c r="C279" s="57">
        <f>IF(B279&lt;questions!$C$6,if(MONTH(A279)=1,C278*(1+questions!$C$12),C278),0)</f>
        <v>19735.86511</v>
      </c>
      <c r="D279" s="58">
        <f>IF(MONTH(A279)=12,C279*questions!$C$11,0)</f>
        <v>0</v>
      </c>
      <c r="E279" s="59">
        <f t="shared" si="2"/>
        <v>8000</v>
      </c>
      <c r="F279" s="59">
        <f t="shared" si="3"/>
        <v>0</v>
      </c>
      <c r="G279" s="60">
        <f t="array" ref="G279">if(YEAR(A279)=2025,XLOOKUP(B279,Lookup!$A$3:$A$7,Lookup!$D$3:$D$7,,1)*SUM(E279:F279), XLOOKUP(B279,Lookup!$A$14:$A$18,Lookup!$D$14:$D$18,,1)*SUM(E279:F279))</f>
        <v>2960</v>
      </c>
      <c r="H279" s="60">
        <f t="array" ref="H279">if(YEAR(A279)=2025,XLOOKUP(B279,Lookup!$F$3:$F$10,Lookup!$G$3:$G$10,,1)*G279, XLOOKUP(B279,Lookup!$F$14:$F$21,Lookup!$G$14:$G$21,,1)*G279)</f>
        <v>1200.28</v>
      </c>
      <c r="I279" s="60">
        <f t="array" ref="I279">if(B279&lt;55, if(YEAR(A279)=2025,XLOOKUP(B279,Lookup!$F$3:$F$10,Lookup!$H$3:$H$10,,1)*G279, XLOOKUP(B279,Lookup!$F$14:$F$21,Lookup!$H$14:$H$21,,1)*G279),0)</f>
        <v>919.968</v>
      </c>
      <c r="J279" s="60">
        <f t="array" ref="J279">if(YEAR(A279)=2025,XLOOKUP(B279,Lookup!$F$3:$F$10,Lookup!$I$3:$I$10,,1)*G279, XLOOKUP(B279,Lookup!$F$14:$F$21,Lookup!$I$14:$I$21,,1)*G279)</f>
        <v>839.752</v>
      </c>
      <c r="K279" s="61">
        <f t="array" ref="K279">if(B279&gt;54, if(YEAR(A279)=2025,XLOOKUP(B279,Lookup!$F$3:$F$10,Lookup!$H$3:$H$10,,1)*G279, XLOOKUP(B279,Lookup!$F$14:$F$21,Lookup!$H$14:$H$21,,1)*G279),0)</f>
        <v>0</v>
      </c>
      <c r="L279" s="62">
        <f>IF(and(A279&lt;questions!$C$19,questions!$C$18="yes"),questions!$C$20,0)</f>
        <v>0</v>
      </c>
      <c r="M279" s="63">
        <f>(Y278+H279)*Lookup!A$26/12</f>
        <v>970.1638401</v>
      </c>
      <c r="N279" s="63">
        <f>if(B279&lt;55, (Z278+I279)*Lookup!B$26/12, (AB278+K279)*Lookup!B$26/12)</f>
        <v>1416.691609</v>
      </c>
      <c r="O279" s="63">
        <f>(AA278+J279)*Lookup!C$26/12</f>
        <v>569.6955682</v>
      </c>
      <c r="P279" s="63">
        <f t="shared" si="8"/>
        <v>2902.98977</v>
      </c>
      <c r="Q279" s="63">
        <f t="shared" si="4"/>
        <v>4240.875147</v>
      </c>
      <c r="R279" s="63">
        <f t="shared" si="5"/>
        <v>1700.689184</v>
      </c>
      <c r="S279" s="64">
        <f t="shared" si="9"/>
        <v>16.66666667</v>
      </c>
      <c r="T279" s="64">
        <f t="shared" si="10"/>
        <v>33.33333333</v>
      </c>
      <c r="U279" s="64">
        <f t="shared" si="11"/>
        <v>0</v>
      </c>
      <c r="V279" s="64">
        <f t="shared" ref="V279:X279" si="287">IF(year($A279)=year($A278), V278+S279, S279)</f>
        <v>50</v>
      </c>
      <c r="W279" s="64">
        <f t="shared" si="287"/>
        <v>100</v>
      </c>
      <c r="X279" s="64">
        <f t="shared" si="287"/>
        <v>0</v>
      </c>
      <c r="Y279" s="65">
        <f>IFS(
  B279&lt;55,
    MAX(
      Y278 + IF(MONTH(A279)=12, P279+V279, 0) + H279 - L279
      + MAX(0,
          IF(AA278 &gt;= VLOOKUP(YEAR(A279), Lookup!$Q:$R, 2),
            Z278 + IF(MONTH(A279)=12, Q279+W279, 0) + I279
              + AA278 + IF(MONTH(A279)=12, R279+X279, 0)
              - VLOOKUP(YEAR(A279), Lookup!$Q:$R, 2) + J279,
            Z278 + IF(MONTH(A279)=12, Q279+W279, 0) + I279
          ) - VLOOKUP(YEAR(A279), Lookup!$K:$M, 3)
        ),
    0),
  B279=55,
    IF(Z278&gt;=AD279,
      MAX(Y278 + IF(MONTH(A279)=12, P279+V279, 0) + H279 - L279, 0),
      MAX(MAX(0, Y278-(AD279-Z278)) + IF(MONTH(A279)=12, P279+V279, 0) + H279 - L279, 0)
    ),
  B279&gt;55,
    IF(AB278&gt;=$AH$7,
      MAX(Y278 + IF(MONTH(A279)=12, P279+V279, 0) + H279 - L279 + K279 + Z278, 0),
      MAX(Y278 + IF(MONTH(A279)=12, P279+V279, 0) + H279 - L279, 0)
    )
)</f>
        <v>465678.6432</v>
      </c>
      <c r="Z279" s="65">
        <f>IFS(
  B279&lt;55,
    MIN(
      IF(AA278 &gt;= VLOOKUP(YEAR(A279), Lookup!$Q:$R, 2),
        Z278 + IF(MONTH(A279)=12, Q279+W279, 0) + I279
          + AA278 + IF(MONTH(A279)=12, R279+X279, 0) - VLOOKUP(YEAR(A279), Lookup!$Q:$R, 2) + J279,
        Z278 + IF(MONTH(A279)=12, Q279+W279, 0) + I279
      ),
      VLOOKUP(YEAR(A279), Lookup!$K:$M, 3)
    ),
  B279=55,
    IF(Z278 &gt;= AD279, Z278 - AD279, 0),
  B279&gt;55, 0
)</f>
        <v>425007.4827</v>
      </c>
      <c r="AA279" s="65">
        <f>IFS(
  B279&lt;65,
    IF(AA278+J279 &lt; VLOOKUP(YEAR(A279), Lookup!$Q:$R, 2),
      AA278 + IF(MONTH(A279)=12, R278+X278, 0) + J279,
      MIN(
        AA278 + IF(MONTH(A279)=12, R278+X278, 0) + J279 ,
        VLOOKUP(YEAR(A279), Lookup!$Q:$R, 2)
      )
    ),
  B279&gt;=65,
    IF(AA278+J279 &lt; VLOOKUP(questions!$C$5, Lookup!$Q:$R, 2),
      AA278 + IF(MONTH(A279)=12, R278+X278, 0) + J279 ,
      MIN(
        AA278 + IF(MONTH(A279)=12, R278+X278, 0) + J279,
        VLOOKUP(questions!$C$5, Lookup!$Q:$R, 2)
      )
    )
)</f>
        <v>170908.6704</v>
      </c>
      <c r="AB279" s="65">
        <f t="shared" si="13"/>
        <v>0</v>
      </c>
      <c r="AC279" s="66">
        <f t="array" ref="AC279">IFS(B279&lt;66, XLOOKUP(year(A279),Lookup!$K$13:$K1000,Lookup!$L$13:$L1000,"missing",,1),B279&gt;65,XLOOKUP(questions!$C$5,Lookup!$K$13:$K1000,Lookup!$L$13:$L1000,"missing",,1))</f>
        <v>243205.4707</v>
      </c>
      <c r="AD279" s="66">
        <f t="array" ref="AD279">IFS(B279&lt;66, XLOOKUP(year(A279),Lookup!$K$13:$K1000,Lookup!$M$13:$M1000,"missing",,1),B279&gt;65, XLOOKUP(questions!$C$5,Lookup!$K$13:$K1000,Lookup!$M$13:$M1000,"missing",,1))</f>
        <v>486410.9415</v>
      </c>
      <c r="AE279" s="66">
        <f t="array" ref="AE279">IFS(B279&lt;66, XLOOKUP(year(A279),Lookup!$K$13:$K1000,Lookup!$N$13:$N1000,"missing",,1),B279&gt;65,XLOOKUP(questions!$C$5,Lookup!$K$13:$K1000,Lookup!$N$13:$N1000,"missing",,1))</f>
        <v>972821.883</v>
      </c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</row>
    <row r="280">
      <c r="A280" s="55">
        <f t="shared" si="7"/>
        <v>54543</v>
      </c>
      <c r="B280" s="56">
        <f>round(YEARFRAC(EOMONTH(questions!$C$3, 0),A280,1),2)</f>
        <v>50.41</v>
      </c>
      <c r="C280" s="57">
        <f>IF(B280&lt;questions!$C$6,if(MONTH(A280)=1,C279*(1+questions!$C$12),C279),0)</f>
        <v>19735.86511</v>
      </c>
      <c r="D280" s="58">
        <f>IF(MONTH(A280)=12,C280*questions!$C$11,0)</f>
        <v>0</v>
      </c>
      <c r="E280" s="59">
        <f t="shared" si="2"/>
        <v>8000</v>
      </c>
      <c r="F280" s="59">
        <f t="shared" si="3"/>
        <v>0</v>
      </c>
      <c r="G280" s="60">
        <f t="array" ref="G280">if(YEAR(A280)=2025,XLOOKUP(B280,Lookup!$A$3:$A$7,Lookup!$D$3:$D$7,,1)*SUM(E280:F280), XLOOKUP(B280,Lookup!$A$14:$A$18,Lookup!$D$14:$D$18,,1)*SUM(E280:F280))</f>
        <v>2960</v>
      </c>
      <c r="H280" s="60">
        <f t="array" ref="H280">if(YEAR(A280)=2025,XLOOKUP(B280,Lookup!$F$3:$F$10,Lookup!$G$3:$G$10,,1)*G280, XLOOKUP(B280,Lookup!$F$14:$F$21,Lookup!$G$14:$G$21,,1)*G280)</f>
        <v>1200.28</v>
      </c>
      <c r="I280" s="60">
        <f t="array" ref="I280">if(B280&lt;55, if(YEAR(A280)=2025,XLOOKUP(B280,Lookup!$F$3:$F$10,Lookup!$H$3:$H$10,,1)*G280, XLOOKUP(B280,Lookup!$F$14:$F$21,Lookup!$H$14:$H$21,,1)*G280),0)</f>
        <v>919.968</v>
      </c>
      <c r="J280" s="60">
        <f t="array" ref="J280">if(YEAR(A280)=2025,XLOOKUP(B280,Lookup!$F$3:$F$10,Lookup!$I$3:$I$10,,1)*G280, XLOOKUP(B280,Lookup!$F$14:$F$21,Lookup!$I$14:$I$21,,1)*G280)</f>
        <v>839.752</v>
      </c>
      <c r="K280" s="61">
        <f t="array" ref="K280">if(B280&gt;54, if(YEAR(A280)=2025,XLOOKUP(B280,Lookup!$F$3:$F$10,Lookup!$H$3:$H$10,,1)*G280, XLOOKUP(B280,Lookup!$F$14:$F$21,Lookup!$H$14:$H$21,,1)*G280),0)</f>
        <v>0</v>
      </c>
      <c r="L280" s="62">
        <f>IF(and(A280&lt;questions!$C$19,questions!$C$18="yes"),questions!$C$20,0)</f>
        <v>0</v>
      </c>
      <c r="M280" s="63">
        <f>(Y279+H280)*Lookup!A$26/12</f>
        <v>972.6644234</v>
      </c>
      <c r="N280" s="63">
        <f>if(B280&lt;55, (Z279+I280)*Lookup!B$26/12, (AB279+K280)*Lookup!B$26/12)</f>
        <v>1419.758169</v>
      </c>
      <c r="O280" s="63">
        <f>(AA279+J280)*Lookup!C$26/12</f>
        <v>572.4947415</v>
      </c>
      <c r="P280" s="63">
        <f t="shared" si="8"/>
        <v>3875.654194</v>
      </c>
      <c r="Q280" s="63">
        <f t="shared" si="4"/>
        <v>5660.633316</v>
      </c>
      <c r="R280" s="63">
        <f t="shared" si="5"/>
        <v>2273.183926</v>
      </c>
      <c r="S280" s="64">
        <f t="shared" si="9"/>
        <v>16.66666667</v>
      </c>
      <c r="T280" s="64">
        <f t="shared" si="10"/>
        <v>33.33333333</v>
      </c>
      <c r="U280" s="64">
        <f t="shared" si="11"/>
        <v>0</v>
      </c>
      <c r="V280" s="64">
        <f t="shared" ref="V280:X280" si="288">IF(year($A280)=year($A279), V279+S280, S280)</f>
        <v>66.66666667</v>
      </c>
      <c r="W280" s="64">
        <f t="shared" si="288"/>
        <v>133.3333333</v>
      </c>
      <c r="X280" s="64">
        <f t="shared" si="288"/>
        <v>0</v>
      </c>
      <c r="Y280" s="65">
        <f>IFS(
  B280&lt;55,
    MAX(
      Y279 + IF(MONTH(A280)=12, P280+V280, 0) + H280 - L280
      + MAX(0,
          IF(AA279 &gt;= VLOOKUP(YEAR(A280), Lookup!$Q:$R, 2),
            Z279 + IF(MONTH(A280)=12, Q280+W280, 0) + I280
              + AA279 + IF(MONTH(A280)=12, R280+X280, 0)
              - VLOOKUP(YEAR(A280), Lookup!$Q:$R, 2) + J280,
            Z279 + IF(MONTH(A280)=12, Q280+W280, 0) + I280
          ) - VLOOKUP(YEAR(A280), Lookup!$K:$M, 3)
        ),
    0),
  B280=55,
    IF(Z279&gt;=AD280,
      MAX(Y279 + IF(MONTH(A280)=12, P280+V280, 0) + H280 - L280, 0),
      MAX(MAX(0, Y279-(AD280-Z279)) + IF(MONTH(A280)=12, P280+V280, 0) + H280 - L280, 0)
    ),
  B280&gt;55,
    IF(AB279&gt;=$AH$7,
      MAX(Y279 + IF(MONTH(A280)=12, P280+V280, 0) + H280 - L280 + K280 + Z279, 0),
      MAX(Y279 + IF(MONTH(A280)=12, P280+V280, 0) + H280 - L280, 0)
    )
)</f>
        <v>466878.9232</v>
      </c>
      <c r="Z280" s="65">
        <f>IFS(
  B280&lt;55,
    MIN(
      IF(AA279 &gt;= VLOOKUP(YEAR(A280), Lookup!$Q:$R, 2),
        Z279 + IF(MONTH(A280)=12, Q280+W280, 0) + I280
          + AA279 + IF(MONTH(A280)=12, R280+X280, 0) - VLOOKUP(YEAR(A280), Lookup!$Q:$R, 2) + J280,
        Z279 + IF(MONTH(A280)=12, Q280+W280, 0) + I280
      ),
      VLOOKUP(YEAR(A280), Lookup!$K:$M, 3)
    ),
  B280=55,
    IF(Z279 &gt;= AD280, Z279 - AD280, 0),
  B280&gt;55, 0
)</f>
        <v>425927.4507</v>
      </c>
      <c r="AA280" s="65">
        <f>IFS(
  B280&lt;65,
    IF(AA279+J280 &lt; VLOOKUP(YEAR(A280), Lookup!$Q:$R, 2),
      AA279 + IF(MONTH(A280)=12, R279+X279, 0) + J280,
      MIN(
        AA279 + IF(MONTH(A280)=12, R279+X279, 0) + J280 ,
        VLOOKUP(YEAR(A280), Lookup!$Q:$R, 2)
      )
    ),
  B280&gt;=65,
    IF(AA279+J280 &lt; VLOOKUP(questions!$C$5, Lookup!$Q:$R, 2),
      AA279 + IF(MONTH(A280)=12, R279+X279, 0) + J280 ,
      MIN(
        AA279 + IF(MONTH(A280)=12, R279+X279, 0) + J280,
        VLOOKUP(questions!$C$5, Lookup!$Q:$R, 2)
      )
    )
)</f>
        <v>171748.4224</v>
      </c>
      <c r="AB280" s="65">
        <f t="shared" si="13"/>
        <v>0</v>
      </c>
      <c r="AC280" s="66">
        <f t="array" ref="AC280">IFS(B280&lt;66, XLOOKUP(year(A280),Lookup!$K$13:$K1000,Lookup!$L$13:$L1000,"missing",,1),B280&gt;65,XLOOKUP(questions!$C$5,Lookup!$K$13:$K1000,Lookup!$L$13:$L1000,"missing",,1))</f>
        <v>243205.4707</v>
      </c>
      <c r="AD280" s="66">
        <f t="array" ref="AD280">IFS(B280&lt;66, XLOOKUP(year(A280),Lookup!$K$13:$K1000,Lookup!$M$13:$M1000,"missing",,1),B280&gt;65, XLOOKUP(questions!$C$5,Lookup!$K$13:$K1000,Lookup!$M$13:$M1000,"missing",,1))</f>
        <v>486410.9415</v>
      </c>
      <c r="AE280" s="66">
        <f t="array" ref="AE280">IFS(B280&lt;66, XLOOKUP(year(A280),Lookup!$K$13:$K1000,Lookup!$N$13:$N1000,"missing",,1),B280&gt;65,XLOOKUP(questions!$C$5,Lookup!$K$13:$K1000,Lookup!$N$13:$N1000,"missing",,1))</f>
        <v>972821.883</v>
      </c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</row>
    <row r="281">
      <c r="A281" s="55">
        <f t="shared" si="7"/>
        <v>54574</v>
      </c>
      <c r="B281" s="56">
        <f>round(YEARFRAC(EOMONTH(questions!$C$3, 0),A281,1),2)</f>
        <v>50.5</v>
      </c>
      <c r="C281" s="57">
        <f>IF(B281&lt;questions!$C$6,if(MONTH(A281)=1,C280*(1+questions!$C$12),C280),0)</f>
        <v>19735.86511</v>
      </c>
      <c r="D281" s="58">
        <f>IF(MONTH(A281)=12,C281*questions!$C$11,0)</f>
        <v>0</v>
      </c>
      <c r="E281" s="59">
        <f t="shared" si="2"/>
        <v>8000</v>
      </c>
      <c r="F281" s="59">
        <f t="shared" si="3"/>
        <v>0</v>
      </c>
      <c r="G281" s="60">
        <f t="array" ref="G281">if(YEAR(A281)=2025,XLOOKUP(B281,Lookup!$A$3:$A$7,Lookup!$D$3:$D$7,,1)*SUM(E281:F281), XLOOKUP(B281,Lookup!$A$14:$A$18,Lookup!$D$14:$D$18,,1)*SUM(E281:F281))</f>
        <v>2960</v>
      </c>
      <c r="H281" s="60">
        <f t="array" ref="H281">if(YEAR(A281)=2025,XLOOKUP(B281,Lookup!$F$3:$F$10,Lookup!$G$3:$G$10,,1)*G281, XLOOKUP(B281,Lookup!$F$14:$F$21,Lookup!$G$14:$G$21,,1)*G281)</f>
        <v>1200.28</v>
      </c>
      <c r="I281" s="60">
        <f t="array" ref="I281">if(B281&lt;55, if(YEAR(A281)=2025,XLOOKUP(B281,Lookup!$F$3:$F$10,Lookup!$H$3:$H$10,,1)*G281, XLOOKUP(B281,Lookup!$F$14:$F$21,Lookup!$H$14:$H$21,,1)*G281),0)</f>
        <v>919.968</v>
      </c>
      <c r="J281" s="60">
        <f t="array" ref="J281">if(YEAR(A281)=2025,XLOOKUP(B281,Lookup!$F$3:$F$10,Lookup!$I$3:$I$10,,1)*G281, XLOOKUP(B281,Lookup!$F$14:$F$21,Lookup!$I$14:$I$21,,1)*G281)</f>
        <v>839.752</v>
      </c>
      <c r="K281" s="61">
        <f t="array" ref="K281">if(B281&gt;54, if(YEAR(A281)=2025,XLOOKUP(B281,Lookup!$F$3:$F$10,Lookup!$H$3:$H$10,,1)*G281, XLOOKUP(B281,Lookup!$F$14:$F$21,Lookup!$H$14:$H$21,,1)*G281),0)</f>
        <v>0</v>
      </c>
      <c r="L281" s="62">
        <f>IF(and(A281&lt;questions!$C$19,questions!$C$18="yes"),questions!$C$20,0)</f>
        <v>0</v>
      </c>
      <c r="M281" s="63">
        <f>(Y280+H281)*Lookup!A$26/12</f>
        <v>975.1650067</v>
      </c>
      <c r="N281" s="63">
        <f>if(B281&lt;55, (Z280+I281)*Lookup!B$26/12, (AB280+K281)*Lookup!B$26/12)</f>
        <v>1422.824729</v>
      </c>
      <c r="O281" s="63">
        <f>(AA280+J281)*Lookup!C$26/12</f>
        <v>575.2939148</v>
      </c>
      <c r="P281" s="63">
        <f t="shared" si="8"/>
        <v>4850.8192</v>
      </c>
      <c r="Q281" s="63">
        <f t="shared" si="4"/>
        <v>7083.458045</v>
      </c>
      <c r="R281" s="63">
        <f t="shared" si="5"/>
        <v>2848.477841</v>
      </c>
      <c r="S281" s="64">
        <f t="shared" si="9"/>
        <v>16.66666667</v>
      </c>
      <c r="T281" s="64">
        <f t="shared" si="10"/>
        <v>33.33333333</v>
      </c>
      <c r="U281" s="64">
        <f t="shared" si="11"/>
        <v>0</v>
      </c>
      <c r="V281" s="64">
        <f t="shared" ref="V281:X281" si="289">IF(year($A281)=year($A280), V280+S281, S281)</f>
        <v>83.33333333</v>
      </c>
      <c r="W281" s="64">
        <f t="shared" si="289"/>
        <v>166.6666667</v>
      </c>
      <c r="X281" s="64">
        <f t="shared" si="289"/>
        <v>0</v>
      </c>
      <c r="Y281" s="65">
        <f>IFS(
  B281&lt;55,
    MAX(
      Y280 + IF(MONTH(A281)=12, P281+V281, 0) + H281 - L281
      + MAX(0,
          IF(AA280 &gt;= VLOOKUP(YEAR(A281), Lookup!$Q:$R, 2),
            Z280 + IF(MONTH(A281)=12, Q281+W281, 0) + I281
              + AA280 + IF(MONTH(A281)=12, R281+X281, 0)
              - VLOOKUP(YEAR(A281), Lookup!$Q:$R, 2) + J281,
            Z280 + IF(MONTH(A281)=12, Q281+W281, 0) + I281
          ) - VLOOKUP(YEAR(A281), Lookup!$K:$M, 3)
        ),
    0),
  B281=55,
    IF(Z280&gt;=AD281,
      MAX(Y280 + IF(MONTH(A281)=12, P281+V281, 0) + H281 - L281, 0),
      MAX(MAX(0, Y280-(AD281-Z280)) + IF(MONTH(A281)=12, P281+V281, 0) + H281 - L281, 0)
    ),
  B281&gt;55,
    IF(AB280&gt;=$AH$7,
      MAX(Y280 + IF(MONTH(A281)=12, P281+V281, 0) + H281 - L281 + K281 + Z280, 0),
      MAX(Y280 + IF(MONTH(A281)=12, P281+V281, 0) + H281 - L281, 0)
    )
)</f>
        <v>468079.2032</v>
      </c>
      <c r="Z281" s="65">
        <f>IFS(
  B281&lt;55,
    MIN(
      IF(AA280 &gt;= VLOOKUP(YEAR(A281), Lookup!$Q:$R, 2),
        Z280 + IF(MONTH(A281)=12, Q281+W281, 0) + I281
          + AA280 + IF(MONTH(A281)=12, R281+X281, 0) - VLOOKUP(YEAR(A281), Lookup!$Q:$R, 2) + J281,
        Z280 + IF(MONTH(A281)=12, Q281+W281, 0) + I281
      ),
      VLOOKUP(YEAR(A281), Lookup!$K:$M, 3)
    ),
  B281=55,
    IF(Z280 &gt;= AD281, Z280 - AD281, 0),
  B281&gt;55, 0
)</f>
        <v>426847.4187</v>
      </c>
      <c r="AA281" s="65">
        <f>IFS(
  B281&lt;65,
    IF(AA280+J281 &lt; VLOOKUP(YEAR(A281), Lookup!$Q:$R, 2),
      AA280 + IF(MONTH(A281)=12, R280+X280, 0) + J281,
      MIN(
        AA280 + IF(MONTH(A281)=12, R280+X280, 0) + J281 ,
        VLOOKUP(YEAR(A281), Lookup!$Q:$R, 2)
      )
    ),
  B281&gt;=65,
    IF(AA280+J281 &lt; VLOOKUP(questions!$C$5, Lookup!$Q:$R, 2),
      AA280 + IF(MONTH(A281)=12, R280+X280, 0) + J281 ,
      MIN(
        AA280 + IF(MONTH(A281)=12, R280+X280, 0) + J281,
        VLOOKUP(questions!$C$5, Lookup!$Q:$R, 2)
      )
    )
)</f>
        <v>172588.1744</v>
      </c>
      <c r="AB281" s="65">
        <f t="shared" si="13"/>
        <v>0</v>
      </c>
      <c r="AC281" s="66">
        <f t="array" ref="AC281">IFS(B281&lt;66, XLOOKUP(year(A281),Lookup!$K$13:$K1000,Lookup!$L$13:$L1000,"missing",,1),B281&gt;65,XLOOKUP(questions!$C$5,Lookup!$K$13:$K1000,Lookup!$L$13:$L1000,"missing",,1))</f>
        <v>243205.4707</v>
      </c>
      <c r="AD281" s="66">
        <f t="array" ref="AD281">IFS(B281&lt;66, XLOOKUP(year(A281),Lookup!$K$13:$K1000,Lookup!$M$13:$M1000,"missing",,1),B281&gt;65, XLOOKUP(questions!$C$5,Lookup!$K$13:$K1000,Lookup!$M$13:$M1000,"missing",,1))</f>
        <v>486410.9415</v>
      </c>
      <c r="AE281" s="66">
        <f t="array" ref="AE281">IFS(B281&lt;66, XLOOKUP(year(A281),Lookup!$K$13:$K1000,Lookup!$N$13:$N1000,"missing",,1),B281&gt;65,XLOOKUP(questions!$C$5,Lookup!$K$13:$K1000,Lookup!$N$13:$N1000,"missing",,1))</f>
        <v>972821.883</v>
      </c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</row>
    <row r="282">
      <c r="A282" s="55">
        <f t="shared" si="7"/>
        <v>54604</v>
      </c>
      <c r="B282" s="56">
        <f>round(YEARFRAC(EOMONTH(questions!$C$3, 0),A282,1),2)</f>
        <v>50.58</v>
      </c>
      <c r="C282" s="57">
        <f>IF(B282&lt;questions!$C$6,if(MONTH(A282)=1,C281*(1+questions!$C$12),C281),0)</f>
        <v>19735.86511</v>
      </c>
      <c r="D282" s="58">
        <f>IF(MONTH(A282)=12,C282*questions!$C$11,0)</f>
        <v>0</v>
      </c>
      <c r="E282" s="59">
        <f t="shared" si="2"/>
        <v>8000</v>
      </c>
      <c r="F282" s="59">
        <f t="shared" si="3"/>
        <v>0</v>
      </c>
      <c r="G282" s="60">
        <f t="array" ref="G282">if(YEAR(A282)=2025,XLOOKUP(B282,Lookup!$A$3:$A$7,Lookup!$D$3:$D$7,,1)*SUM(E282:F282), XLOOKUP(B282,Lookup!$A$14:$A$18,Lookup!$D$14:$D$18,,1)*SUM(E282:F282))</f>
        <v>2960</v>
      </c>
      <c r="H282" s="60">
        <f t="array" ref="H282">if(YEAR(A282)=2025,XLOOKUP(B282,Lookup!$F$3:$F$10,Lookup!$G$3:$G$10,,1)*G282, XLOOKUP(B282,Lookup!$F$14:$F$21,Lookup!$G$14:$G$21,,1)*G282)</f>
        <v>1200.28</v>
      </c>
      <c r="I282" s="60">
        <f t="array" ref="I282">if(B282&lt;55, if(YEAR(A282)=2025,XLOOKUP(B282,Lookup!$F$3:$F$10,Lookup!$H$3:$H$10,,1)*G282, XLOOKUP(B282,Lookup!$F$14:$F$21,Lookup!$H$14:$H$21,,1)*G282),0)</f>
        <v>919.968</v>
      </c>
      <c r="J282" s="60">
        <f t="array" ref="J282">if(YEAR(A282)=2025,XLOOKUP(B282,Lookup!$F$3:$F$10,Lookup!$I$3:$I$10,,1)*G282, XLOOKUP(B282,Lookup!$F$14:$F$21,Lookup!$I$14:$I$21,,1)*G282)</f>
        <v>839.752</v>
      </c>
      <c r="K282" s="61">
        <f t="array" ref="K282">if(B282&gt;54, if(YEAR(A282)=2025,XLOOKUP(B282,Lookup!$F$3:$F$10,Lookup!$H$3:$H$10,,1)*G282, XLOOKUP(B282,Lookup!$F$14:$F$21,Lookup!$H$14:$H$21,,1)*G282),0)</f>
        <v>0</v>
      </c>
      <c r="L282" s="62">
        <f>IF(and(A282&lt;questions!$C$19,questions!$C$18="yes"),questions!$C$20,0)</f>
        <v>0</v>
      </c>
      <c r="M282" s="63">
        <f>(Y281+H282)*Lookup!A$26/12</f>
        <v>977.6655901</v>
      </c>
      <c r="N282" s="63">
        <f>if(B282&lt;55, (Z281+I282)*Lookup!B$26/12, (AB281+K282)*Lookup!B$26/12)</f>
        <v>1425.891289</v>
      </c>
      <c r="O282" s="63">
        <f>(AA281+J282)*Lookup!C$26/12</f>
        <v>578.0930882</v>
      </c>
      <c r="P282" s="63">
        <f t="shared" si="8"/>
        <v>5828.48479</v>
      </c>
      <c r="Q282" s="63">
        <f t="shared" si="4"/>
        <v>8509.349334</v>
      </c>
      <c r="R282" s="63">
        <f t="shared" si="5"/>
        <v>3426.570929</v>
      </c>
      <c r="S282" s="64">
        <f t="shared" si="9"/>
        <v>16.66666667</v>
      </c>
      <c r="T282" s="64">
        <f t="shared" si="10"/>
        <v>33.33333333</v>
      </c>
      <c r="U282" s="64">
        <f t="shared" si="11"/>
        <v>0</v>
      </c>
      <c r="V282" s="64">
        <f t="shared" ref="V282:X282" si="290">IF(year($A282)=year($A281), V281+S282, S282)</f>
        <v>100</v>
      </c>
      <c r="W282" s="64">
        <f t="shared" si="290"/>
        <v>200</v>
      </c>
      <c r="X282" s="64">
        <f t="shared" si="290"/>
        <v>0</v>
      </c>
      <c r="Y282" s="65">
        <f>IFS(
  B282&lt;55,
    MAX(
      Y281 + IF(MONTH(A282)=12, P282+V282, 0) + H282 - L282
      + MAX(0,
          IF(AA281 &gt;= VLOOKUP(YEAR(A282), Lookup!$Q:$R, 2),
            Z281 + IF(MONTH(A282)=12, Q282+W282, 0) + I282
              + AA281 + IF(MONTH(A282)=12, R282+X282, 0)
              - VLOOKUP(YEAR(A282), Lookup!$Q:$R, 2) + J282,
            Z281 + IF(MONTH(A282)=12, Q282+W282, 0) + I282
          ) - VLOOKUP(YEAR(A282), Lookup!$K:$M, 3)
        ),
    0),
  B282=55,
    IF(Z281&gt;=AD282,
      MAX(Y281 + IF(MONTH(A282)=12, P282+V282, 0) + H282 - L282, 0),
      MAX(MAX(0, Y281-(AD282-Z281)) + IF(MONTH(A282)=12, P282+V282, 0) + H282 - L282, 0)
    ),
  B282&gt;55,
    IF(AB281&gt;=$AH$7,
      MAX(Y281 + IF(MONTH(A282)=12, P282+V282, 0) + H282 - L282 + K282 + Z281, 0),
      MAX(Y281 + IF(MONTH(A282)=12, P282+V282, 0) + H282 - L282, 0)
    )
)</f>
        <v>469279.4832</v>
      </c>
      <c r="Z282" s="65">
        <f>IFS(
  B282&lt;55,
    MIN(
      IF(AA281 &gt;= VLOOKUP(YEAR(A282), Lookup!$Q:$R, 2),
        Z281 + IF(MONTH(A282)=12, Q282+W282, 0) + I282
          + AA281 + IF(MONTH(A282)=12, R282+X282, 0) - VLOOKUP(YEAR(A282), Lookup!$Q:$R, 2) + J282,
        Z281 + IF(MONTH(A282)=12, Q282+W282, 0) + I282
      ),
      VLOOKUP(YEAR(A282), Lookup!$K:$M, 3)
    ),
  B282=55,
    IF(Z281 &gt;= AD282, Z281 - AD282, 0),
  B282&gt;55, 0
)</f>
        <v>427767.3867</v>
      </c>
      <c r="AA282" s="65">
        <f>IFS(
  B282&lt;65,
    IF(AA281+J282 &lt; VLOOKUP(YEAR(A282), Lookup!$Q:$R, 2),
      AA281 + IF(MONTH(A282)=12, R281+X281, 0) + J282,
      MIN(
        AA281 + IF(MONTH(A282)=12, R281+X281, 0) + J282 ,
        VLOOKUP(YEAR(A282), Lookup!$Q:$R, 2)
      )
    ),
  B282&gt;=65,
    IF(AA281+J282 &lt; VLOOKUP(questions!$C$5, Lookup!$Q:$R, 2),
      AA281 + IF(MONTH(A282)=12, R281+X281, 0) + J282 ,
      MIN(
        AA281 + IF(MONTH(A282)=12, R281+X281, 0) + J282,
        VLOOKUP(questions!$C$5, Lookup!$Q:$R, 2)
      )
    )
)</f>
        <v>173427.9264</v>
      </c>
      <c r="AB282" s="65">
        <f t="shared" si="13"/>
        <v>0</v>
      </c>
      <c r="AC282" s="66">
        <f t="array" ref="AC282">IFS(B282&lt;66, XLOOKUP(year(A282),Lookup!$K$13:$K1000,Lookup!$L$13:$L1000,"missing",,1),B282&gt;65,XLOOKUP(questions!$C$5,Lookup!$K$13:$K1000,Lookup!$L$13:$L1000,"missing",,1))</f>
        <v>243205.4707</v>
      </c>
      <c r="AD282" s="66">
        <f t="array" ref="AD282">IFS(B282&lt;66, XLOOKUP(year(A282),Lookup!$K$13:$K1000,Lookup!$M$13:$M1000,"missing",,1),B282&gt;65, XLOOKUP(questions!$C$5,Lookup!$K$13:$K1000,Lookup!$M$13:$M1000,"missing",,1))</f>
        <v>486410.9415</v>
      </c>
      <c r="AE282" s="66">
        <f t="array" ref="AE282">IFS(B282&lt;66, XLOOKUP(year(A282),Lookup!$K$13:$K1000,Lookup!$N$13:$N1000,"missing",,1),B282&gt;65,XLOOKUP(questions!$C$5,Lookup!$K$13:$K1000,Lookup!$N$13:$N1000,"missing",,1))</f>
        <v>972821.883</v>
      </c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</row>
    <row r="283">
      <c r="A283" s="55">
        <f t="shared" si="7"/>
        <v>54635</v>
      </c>
      <c r="B283" s="56">
        <f>round(YEARFRAC(EOMONTH(questions!$C$3, 0),A283,1),2)</f>
        <v>50.67</v>
      </c>
      <c r="C283" s="57">
        <f>IF(B283&lt;questions!$C$6,if(MONTH(A283)=1,C282*(1+questions!$C$12),C282),0)</f>
        <v>19735.86511</v>
      </c>
      <c r="D283" s="58">
        <f>IF(MONTH(A283)=12,C283*questions!$C$11,0)</f>
        <v>0</v>
      </c>
      <c r="E283" s="59">
        <f t="shared" si="2"/>
        <v>8000</v>
      </c>
      <c r="F283" s="59">
        <f t="shared" si="3"/>
        <v>0</v>
      </c>
      <c r="G283" s="60">
        <f t="array" ref="G283">if(YEAR(A283)=2025,XLOOKUP(B283,Lookup!$A$3:$A$7,Lookup!$D$3:$D$7,,1)*SUM(E283:F283), XLOOKUP(B283,Lookup!$A$14:$A$18,Lookup!$D$14:$D$18,,1)*SUM(E283:F283))</f>
        <v>2960</v>
      </c>
      <c r="H283" s="60">
        <f t="array" ref="H283">if(YEAR(A283)=2025,XLOOKUP(B283,Lookup!$F$3:$F$10,Lookup!$G$3:$G$10,,1)*G283, XLOOKUP(B283,Lookup!$F$14:$F$21,Lookup!$G$14:$G$21,,1)*G283)</f>
        <v>1200.28</v>
      </c>
      <c r="I283" s="60">
        <f t="array" ref="I283">if(B283&lt;55, if(YEAR(A283)=2025,XLOOKUP(B283,Lookup!$F$3:$F$10,Lookup!$H$3:$H$10,,1)*G283, XLOOKUP(B283,Lookup!$F$14:$F$21,Lookup!$H$14:$H$21,,1)*G283),0)</f>
        <v>919.968</v>
      </c>
      <c r="J283" s="60">
        <f t="array" ref="J283">if(YEAR(A283)=2025,XLOOKUP(B283,Lookup!$F$3:$F$10,Lookup!$I$3:$I$10,,1)*G283, XLOOKUP(B283,Lookup!$F$14:$F$21,Lookup!$I$14:$I$21,,1)*G283)</f>
        <v>839.752</v>
      </c>
      <c r="K283" s="61">
        <f t="array" ref="K283">if(B283&gt;54, if(YEAR(A283)=2025,XLOOKUP(B283,Lookup!$F$3:$F$10,Lookup!$H$3:$H$10,,1)*G283, XLOOKUP(B283,Lookup!$F$14:$F$21,Lookup!$H$14:$H$21,,1)*G283),0)</f>
        <v>0</v>
      </c>
      <c r="L283" s="62">
        <f>IF(and(A283&lt;questions!$C$19,questions!$C$18="yes"),questions!$C$20,0)</f>
        <v>0</v>
      </c>
      <c r="M283" s="63">
        <f>(Y282+H283)*Lookup!A$26/12</f>
        <v>980.1661734</v>
      </c>
      <c r="N283" s="63">
        <f>if(B283&lt;55, (Z282+I283)*Lookup!B$26/12, (AB282+K283)*Lookup!B$26/12)</f>
        <v>1428.957849</v>
      </c>
      <c r="O283" s="63">
        <f>(AA282+J283)*Lookup!C$26/12</f>
        <v>580.8922615</v>
      </c>
      <c r="P283" s="63">
        <f t="shared" si="8"/>
        <v>6808.650964</v>
      </c>
      <c r="Q283" s="63">
        <f t="shared" si="4"/>
        <v>9938.307183</v>
      </c>
      <c r="R283" s="63">
        <f t="shared" si="5"/>
        <v>4007.46319</v>
      </c>
      <c r="S283" s="64">
        <f t="shared" si="9"/>
        <v>16.66666667</v>
      </c>
      <c r="T283" s="64">
        <f t="shared" si="10"/>
        <v>33.33333333</v>
      </c>
      <c r="U283" s="64">
        <f t="shared" si="11"/>
        <v>0</v>
      </c>
      <c r="V283" s="64">
        <f t="shared" ref="V283:X283" si="291">IF(year($A283)=year($A282), V282+S283, S283)</f>
        <v>116.6666667</v>
      </c>
      <c r="W283" s="64">
        <f t="shared" si="291"/>
        <v>233.3333333</v>
      </c>
      <c r="X283" s="64">
        <f t="shared" si="291"/>
        <v>0</v>
      </c>
      <c r="Y283" s="65">
        <f>IFS(
  B283&lt;55,
    MAX(
      Y282 + IF(MONTH(A283)=12, P283+V283, 0) + H283 - L283
      + MAX(0,
          IF(AA282 &gt;= VLOOKUP(YEAR(A283), Lookup!$Q:$R, 2),
            Z282 + IF(MONTH(A283)=12, Q283+W283, 0) + I283
              + AA282 + IF(MONTH(A283)=12, R283+X283, 0)
              - VLOOKUP(YEAR(A283), Lookup!$Q:$R, 2) + J283,
            Z282 + IF(MONTH(A283)=12, Q283+W283, 0) + I283
          ) - VLOOKUP(YEAR(A283), Lookup!$K:$M, 3)
        ),
    0),
  B283=55,
    IF(Z282&gt;=AD283,
      MAX(Y282 + IF(MONTH(A283)=12, P283+V283, 0) + H283 - L283, 0),
      MAX(MAX(0, Y282-(AD283-Z282)) + IF(MONTH(A283)=12, P283+V283, 0) + H283 - L283, 0)
    ),
  B283&gt;55,
    IF(AB282&gt;=$AH$7,
      MAX(Y282 + IF(MONTH(A283)=12, P283+V283, 0) + H283 - L283 + K283 + Z282, 0),
      MAX(Y282 + IF(MONTH(A283)=12, P283+V283, 0) + H283 - L283, 0)
    )
)</f>
        <v>470479.7632</v>
      </c>
      <c r="Z283" s="65">
        <f>IFS(
  B283&lt;55,
    MIN(
      IF(AA282 &gt;= VLOOKUP(YEAR(A283), Lookup!$Q:$R, 2),
        Z282 + IF(MONTH(A283)=12, Q283+W283, 0) + I283
          + AA282 + IF(MONTH(A283)=12, R283+X283, 0) - VLOOKUP(YEAR(A283), Lookup!$Q:$R, 2) + J283,
        Z282 + IF(MONTH(A283)=12, Q283+W283, 0) + I283
      ),
      VLOOKUP(YEAR(A283), Lookup!$K:$M, 3)
    ),
  B283=55,
    IF(Z282 &gt;= AD283, Z282 - AD283, 0),
  B283&gt;55, 0
)</f>
        <v>428687.3547</v>
      </c>
      <c r="AA283" s="65">
        <f>IFS(
  B283&lt;65,
    IF(AA282+J283 &lt; VLOOKUP(YEAR(A283), Lookup!$Q:$R, 2),
      AA282 + IF(MONTH(A283)=12, R282+X282, 0) + J283,
      MIN(
        AA282 + IF(MONTH(A283)=12, R282+X282, 0) + J283 ,
        VLOOKUP(YEAR(A283), Lookup!$Q:$R, 2)
      )
    ),
  B283&gt;=65,
    IF(AA282+J283 &lt; VLOOKUP(questions!$C$5, Lookup!$Q:$R, 2),
      AA282 + IF(MONTH(A283)=12, R282+X282, 0) + J283 ,
      MIN(
        AA282 + IF(MONTH(A283)=12, R282+X282, 0) + J283,
        VLOOKUP(questions!$C$5, Lookup!$Q:$R, 2)
      )
    )
)</f>
        <v>174267.6784</v>
      </c>
      <c r="AB283" s="65">
        <f t="shared" si="13"/>
        <v>0</v>
      </c>
      <c r="AC283" s="66">
        <f t="array" ref="AC283">IFS(B283&lt;66, XLOOKUP(year(A283),Lookup!$K$13:$K1000,Lookup!$L$13:$L1000,"missing",,1),B283&gt;65,XLOOKUP(questions!$C$5,Lookup!$K$13:$K1000,Lookup!$L$13:$L1000,"missing",,1))</f>
        <v>243205.4707</v>
      </c>
      <c r="AD283" s="66">
        <f t="array" ref="AD283">IFS(B283&lt;66, XLOOKUP(year(A283),Lookup!$K$13:$K1000,Lookup!$M$13:$M1000,"missing",,1),B283&gt;65, XLOOKUP(questions!$C$5,Lookup!$K$13:$K1000,Lookup!$M$13:$M1000,"missing",,1))</f>
        <v>486410.9415</v>
      </c>
      <c r="AE283" s="66">
        <f t="array" ref="AE283">IFS(B283&lt;66, XLOOKUP(year(A283),Lookup!$K$13:$K1000,Lookup!$N$13:$N1000,"missing",,1),B283&gt;65,XLOOKUP(questions!$C$5,Lookup!$K$13:$K1000,Lookup!$N$13:$N1000,"missing",,1))</f>
        <v>972821.883</v>
      </c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</row>
    <row r="284">
      <c r="A284" s="55">
        <f t="shared" si="7"/>
        <v>54666</v>
      </c>
      <c r="B284" s="56">
        <f>round(YEARFRAC(EOMONTH(questions!$C$3, 0),A284,1),2)</f>
        <v>50.75</v>
      </c>
      <c r="C284" s="57">
        <f>IF(B284&lt;questions!$C$6,if(MONTH(A284)=1,C283*(1+questions!$C$12),C283),0)</f>
        <v>19735.86511</v>
      </c>
      <c r="D284" s="58">
        <f>IF(MONTH(A284)=12,C284*questions!$C$11,0)</f>
        <v>0</v>
      </c>
      <c r="E284" s="59">
        <f t="shared" si="2"/>
        <v>8000</v>
      </c>
      <c r="F284" s="59">
        <f t="shared" si="3"/>
        <v>0</v>
      </c>
      <c r="G284" s="60">
        <f t="array" ref="G284">if(YEAR(A284)=2025,XLOOKUP(B284,Lookup!$A$3:$A$7,Lookup!$D$3:$D$7,,1)*SUM(E284:F284), XLOOKUP(B284,Lookup!$A$14:$A$18,Lookup!$D$14:$D$18,,1)*SUM(E284:F284))</f>
        <v>2960</v>
      </c>
      <c r="H284" s="60">
        <f t="array" ref="H284">if(YEAR(A284)=2025,XLOOKUP(B284,Lookup!$F$3:$F$10,Lookup!$G$3:$G$10,,1)*G284, XLOOKUP(B284,Lookup!$F$14:$F$21,Lookup!$G$14:$G$21,,1)*G284)</f>
        <v>1200.28</v>
      </c>
      <c r="I284" s="60">
        <f t="array" ref="I284">if(B284&lt;55, if(YEAR(A284)=2025,XLOOKUP(B284,Lookup!$F$3:$F$10,Lookup!$H$3:$H$10,,1)*G284, XLOOKUP(B284,Lookup!$F$14:$F$21,Lookup!$H$14:$H$21,,1)*G284),0)</f>
        <v>919.968</v>
      </c>
      <c r="J284" s="60">
        <f t="array" ref="J284">if(YEAR(A284)=2025,XLOOKUP(B284,Lookup!$F$3:$F$10,Lookup!$I$3:$I$10,,1)*G284, XLOOKUP(B284,Lookup!$F$14:$F$21,Lookup!$I$14:$I$21,,1)*G284)</f>
        <v>839.752</v>
      </c>
      <c r="K284" s="61">
        <f t="array" ref="K284">if(B284&gt;54, if(YEAR(A284)=2025,XLOOKUP(B284,Lookup!$F$3:$F$10,Lookup!$H$3:$H$10,,1)*G284, XLOOKUP(B284,Lookup!$F$14:$F$21,Lookup!$H$14:$H$21,,1)*G284),0)</f>
        <v>0</v>
      </c>
      <c r="L284" s="62">
        <f>IF(and(A284&lt;questions!$C$19,questions!$C$18="yes"),questions!$C$20,0)</f>
        <v>0</v>
      </c>
      <c r="M284" s="63">
        <f>(Y283+H284)*Lookup!A$26/12</f>
        <v>982.6667567</v>
      </c>
      <c r="N284" s="63">
        <f>if(B284&lt;55, (Z283+I284)*Lookup!B$26/12, (AB283+K284)*Lookup!B$26/12)</f>
        <v>1432.024409</v>
      </c>
      <c r="O284" s="63">
        <f>(AA283+J284)*Lookup!C$26/12</f>
        <v>583.6914348</v>
      </c>
      <c r="P284" s="63">
        <f t="shared" si="8"/>
        <v>7791.31772</v>
      </c>
      <c r="Q284" s="63">
        <f t="shared" si="4"/>
        <v>11370.33159</v>
      </c>
      <c r="R284" s="63">
        <f t="shared" si="5"/>
        <v>4591.154625</v>
      </c>
      <c r="S284" s="64">
        <f t="shared" si="9"/>
        <v>16.66666667</v>
      </c>
      <c r="T284" s="64">
        <f t="shared" si="10"/>
        <v>33.33333333</v>
      </c>
      <c r="U284" s="64">
        <f t="shared" si="11"/>
        <v>0</v>
      </c>
      <c r="V284" s="64">
        <f t="shared" ref="V284:X284" si="292">IF(year($A284)=year($A283), V283+S284, S284)</f>
        <v>133.3333333</v>
      </c>
      <c r="W284" s="64">
        <f t="shared" si="292"/>
        <v>266.6666667</v>
      </c>
      <c r="X284" s="64">
        <f t="shared" si="292"/>
        <v>0</v>
      </c>
      <c r="Y284" s="65">
        <f>IFS(
  B284&lt;55,
    MAX(
      Y283 + IF(MONTH(A284)=12, P284+V284, 0) + H284 - L284
      + MAX(0,
          IF(AA283 &gt;= VLOOKUP(YEAR(A284), Lookup!$Q:$R, 2),
            Z283 + IF(MONTH(A284)=12, Q284+W284, 0) + I284
              + AA283 + IF(MONTH(A284)=12, R284+X284, 0)
              - VLOOKUP(YEAR(A284), Lookup!$Q:$R, 2) + J284,
            Z283 + IF(MONTH(A284)=12, Q284+W284, 0) + I284
          ) - VLOOKUP(YEAR(A284), Lookup!$K:$M, 3)
        ),
    0),
  B284=55,
    IF(Z283&gt;=AD284,
      MAX(Y283 + IF(MONTH(A284)=12, P284+V284, 0) + H284 - L284, 0),
      MAX(MAX(0, Y283-(AD284-Z283)) + IF(MONTH(A284)=12, P284+V284, 0) + H284 - L284, 0)
    ),
  B284&gt;55,
    IF(AB283&gt;=$AH$7,
      MAX(Y283 + IF(MONTH(A284)=12, P284+V284, 0) + H284 - L284 + K284 + Z283, 0),
      MAX(Y283 + IF(MONTH(A284)=12, P284+V284, 0) + H284 - L284, 0)
    )
)</f>
        <v>471680.0432</v>
      </c>
      <c r="Z284" s="65">
        <f>IFS(
  B284&lt;55,
    MIN(
      IF(AA283 &gt;= VLOOKUP(YEAR(A284), Lookup!$Q:$R, 2),
        Z283 + IF(MONTH(A284)=12, Q284+W284, 0) + I284
          + AA283 + IF(MONTH(A284)=12, R284+X284, 0) - VLOOKUP(YEAR(A284), Lookup!$Q:$R, 2) + J284,
        Z283 + IF(MONTH(A284)=12, Q284+W284, 0) + I284
      ),
      VLOOKUP(YEAR(A284), Lookup!$K:$M, 3)
    ),
  B284=55,
    IF(Z283 &gt;= AD284, Z283 - AD284, 0),
  B284&gt;55, 0
)</f>
        <v>429607.3227</v>
      </c>
      <c r="AA284" s="65">
        <f>IFS(
  B284&lt;65,
    IF(AA283+J284 &lt; VLOOKUP(YEAR(A284), Lookup!$Q:$R, 2),
      AA283 + IF(MONTH(A284)=12, R283+X283, 0) + J284,
      MIN(
        AA283 + IF(MONTH(A284)=12, R283+X283, 0) + J284 ,
        VLOOKUP(YEAR(A284), Lookup!$Q:$R, 2)
      )
    ),
  B284&gt;=65,
    IF(AA283+J284 &lt; VLOOKUP(questions!$C$5, Lookup!$Q:$R, 2),
      AA283 + IF(MONTH(A284)=12, R283+X283, 0) + J284 ,
      MIN(
        AA283 + IF(MONTH(A284)=12, R283+X283, 0) + J284,
        VLOOKUP(questions!$C$5, Lookup!$Q:$R, 2)
      )
    )
)</f>
        <v>174283.044</v>
      </c>
      <c r="AB284" s="65">
        <f t="shared" si="13"/>
        <v>0</v>
      </c>
      <c r="AC284" s="66">
        <f t="array" ref="AC284">IFS(B284&lt;66, XLOOKUP(year(A284),Lookup!$K$13:$K1000,Lookup!$L$13:$L1000,"missing",,1),B284&gt;65,XLOOKUP(questions!$C$5,Lookup!$K$13:$K1000,Lookup!$L$13:$L1000,"missing",,1))</f>
        <v>243205.4707</v>
      </c>
      <c r="AD284" s="66">
        <f t="array" ref="AD284">IFS(B284&lt;66, XLOOKUP(year(A284),Lookup!$K$13:$K1000,Lookup!$M$13:$M1000,"missing",,1),B284&gt;65, XLOOKUP(questions!$C$5,Lookup!$K$13:$K1000,Lookup!$M$13:$M1000,"missing",,1))</f>
        <v>486410.9415</v>
      </c>
      <c r="AE284" s="66">
        <f t="array" ref="AE284">IFS(B284&lt;66, XLOOKUP(year(A284),Lookup!$K$13:$K1000,Lookup!$N$13:$N1000,"missing",,1),B284&gt;65,XLOOKUP(questions!$C$5,Lookup!$K$13:$K1000,Lookup!$N$13:$N1000,"missing",,1))</f>
        <v>972821.883</v>
      </c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</row>
    <row r="285">
      <c r="A285" s="55">
        <f t="shared" si="7"/>
        <v>54696</v>
      </c>
      <c r="B285" s="56">
        <f>round(YEARFRAC(EOMONTH(questions!$C$3, 0),A285,1),2)</f>
        <v>50.83</v>
      </c>
      <c r="C285" s="57">
        <f>IF(B285&lt;questions!$C$6,if(MONTH(A285)=1,C284*(1+questions!$C$12),C284),0)</f>
        <v>19735.86511</v>
      </c>
      <c r="D285" s="58">
        <f>IF(MONTH(A285)=12,C285*questions!$C$11,0)</f>
        <v>0</v>
      </c>
      <c r="E285" s="59">
        <f t="shared" si="2"/>
        <v>8000</v>
      </c>
      <c r="F285" s="59">
        <f t="shared" si="3"/>
        <v>0</v>
      </c>
      <c r="G285" s="60">
        <f t="array" ref="G285">if(YEAR(A285)=2025,XLOOKUP(B285,Lookup!$A$3:$A$7,Lookup!$D$3:$D$7,,1)*SUM(E285:F285), XLOOKUP(B285,Lookup!$A$14:$A$18,Lookup!$D$14:$D$18,,1)*SUM(E285:F285))</f>
        <v>2960</v>
      </c>
      <c r="H285" s="60">
        <f t="array" ref="H285">if(YEAR(A285)=2025,XLOOKUP(B285,Lookup!$F$3:$F$10,Lookup!$G$3:$G$10,,1)*G285, XLOOKUP(B285,Lookup!$F$14:$F$21,Lookup!$G$14:$G$21,,1)*G285)</f>
        <v>1200.28</v>
      </c>
      <c r="I285" s="60">
        <f t="array" ref="I285">if(B285&lt;55, if(YEAR(A285)=2025,XLOOKUP(B285,Lookup!$F$3:$F$10,Lookup!$H$3:$H$10,,1)*G285, XLOOKUP(B285,Lookup!$F$14:$F$21,Lookup!$H$14:$H$21,,1)*G285),0)</f>
        <v>919.968</v>
      </c>
      <c r="J285" s="60">
        <f t="array" ref="J285">if(YEAR(A285)=2025,XLOOKUP(B285,Lookup!$F$3:$F$10,Lookup!$I$3:$I$10,,1)*G285, XLOOKUP(B285,Lookup!$F$14:$F$21,Lookup!$I$14:$I$21,,1)*G285)</f>
        <v>839.752</v>
      </c>
      <c r="K285" s="61">
        <f t="array" ref="K285">if(B285&gt;54, if(YEAR(A285)=2025,XLOOKUP(B285,Lookup!$F$3:$F$10,Lookup!$H$3:$H$10,,1)*G285, XLOOKUP(B285,Lookup!$F$14:$F$21,Lookup!$H$14:$H$21,,1)*G285),0)</f>
        <v>0</v>
      </c>
      <c r="L285" s="62">
        <f>IF(and(A285&lt;questions!$C$19,questions!$C$18="yes"),questions!$C$20,0)</f>
        <v>0</v>
      </c>
      <c r="M285" s="63">
        <f>(Y284+H285)*Lookup!A$26/12</f>
        <v>985.1673401</v>
      </c>
      <c r="N285" s="63">
        <f>if(B285&lt;55, (Z284+I285)*Lookup!B$26/12, (AB284+K285)*Lookup!B$26/12)</f>
        <v>1435.090969</v>
      </c>
      <c r="O285" s="63">
        <f>(AA284+J285)*Lookup!C$26/12</f>
        <v>583.7426532</v>
      </c>
      <c r="P285" s="63">
        <f t="shared" si="8"/>
        <v>8776.485061</v>
      </c>
      <c r="Q285" s="63">
        <f t="shared" si="4"/>
        <v>12805.42256</v>
      </c>
      <c r="R285" s="63">
        <f t="shared" si="5"/>
        <v>5174.897278</v>
      </c>
      <c r="S285" s="64">
        <f t="shared" si="9"/>
        <v>16.66666667</v>
      </c>
      <c r="T285" s="64">
        <f t="shared" si="10"/>
        <v>33.33333333</v>
      </c>
      <c r="U285" s="64">
        <f t="shared" si="11"/>
        <v>0</v>
      </c>
      <c r="V285" s="64">
        <f t="shared" ref="V285:X285" si="293">IF(year($A285)=year($A284), V284+S285, S285)</f>
        <v>150</v>
      </c>
      <c r="W285" s="64">
        <f t="shared" si="293"/>
        <v>300</v>
      </c>
      <c r="X285" s="64">
        <f t="shared" si="293"/>
        <v>0</v>
      </c>
      <c r="Y285" s="65">
        <f>IFS(
  B285&lt;55,
    MAX(
      Y284 + IF(MONTH(A285)=12, P285+V285, 0) + H285 - L285
      + MAX(0,
          IF(AA284 &gt;= VLOOKUP(YEAR(A285), Lookup!$Q:$R, 2),
            Z284 + IF(MONTH(A285)=12, Q285+W285, 0) + I285
              + AA284 + IF(MONTH(A285)=12, R285+X285, 0)
              - VLOOKUP(YEAR(A285), Lookup!$Q:$R, 2) + J285,
            Z284 + IF(MONTH(A285)=12, Q285+W285, 0) + I285
          ) - VLOOKUP(YEAR(A285), Lookup!$K:$M, 3)
        ),
    0),
  B285=55,
    IF(Z284&gt;=AD285,
      MAX(Y284 + IF(MONTH(A285)=12, P285+V285, 0) + H285 - L285, 0),
      MAX(MAX(0, Y284-(AD285-Z284)) + IF(MONTH(A285)=12, P285+V285, 0) + H285 - L285, 0)
    ),
  B285&gt;55,
    IF(AB284&gt;=$AH$7,
      MAX(Y284 + IF(MONTH(A285)=12, P285+V285, 0) + H285 - L285 + K285 + Z284, 0),
      MAX(Y284 + IF(MONTH(A285)=12, P285+V285, 0) + H285 - L285, 0)
    )
)</f>
        <v>472880.3232</v>
      </c>
      <c r="Z285" s="65">
        <f>IFS(
  B285&lt;55,
    MIN(
      IF(AA284 &gt;= VLOOKUP(YEAR(A285), Lookup!$Q:$R, 2),
        Z284 + IF(MONTH(A285)=12, Q285+W285, 0) + I285
          + AA284 + IF(MONTH(A285)=12, R285+X285, 0) - VLOOKUP(YEAR(A285), Lookup!$Q:$R, 2) + J285,
        Z284 + IF(MONTH(A285)=12, Q285+W285, 0) + I285
      ),
      VLOOKUP(YEAR(A285), Lookup!$K:$M, 3)
    ),
  B285=55,
    IF(Z284 &gt;= AD285, Z284 - AD285, 0),
  B285&gt;55, 0
)</f>
        <v>431367.0427</v>
      </c>
      <c r="AA285" s="65">
        <f>IFS(
  B285&lt;65,
    IF(AA284+J285 &lt; VLOOKUP(YEAR(A285), Lookup!$Q:$R, 2),
      AA284 + IF(MONTH(A285)=12, R284+X284, 0) + J285,
      MIN(
        AA284 + IF(MONTH(A285)=12, R284+X284, 0) + J285 ,
        VLOOKUP(YEAR(A285), Lookup!$Q:$R, 2)
      )
    ),
  B285&gt;=65,
    IF(AA284+J285 &lt; VLOOKUP(questions!$C$5, Lookup!$Q:$R, 2),
      AA284 + IF(MONTH(A285)=12, R284+X284, 0) + J285 ,
      MIN(
        AA284 + IF(MONTH(A285)=12, R284+X284, 0) + J285,
        VLOOKUP(questions!$C$5, Lookup!$Q:$R, 2)
      )
    )
)</f>
        <v>174283.044</v>
      </c>
      <c r="AB285" s="65">
        <f t="shared" si="13"/>
        <v>0</v>
      </c>
      <c r="AC285" s="66">
        <f t="array" ref="AC285">IFS(B285&lt;66, XLOOKUP(year(A285),Lookup!$K$13:$K1000,Lookup!$L$13:$L1000,"missing",,1),B285&gt;65,XLOOKUP(questions!$C$5,Lookup!$K$13:$K1000,Lookup!$L$13:$L1000,"missing",,1))</f>
        <v>243205.4707</v>
      </c>
      <c r="AD285" s="66">
        <f t="array" ref="AD285">IFS(B285&lt;66, XLOOKUP(year(A285),Lookup!$K$13:$K1000,Lookup!$M$13:$M1000,"missing",,1),B285&gt;65, XLOOKUP(questions!$C$5,Lookup!$K$13:$K1000,Lookup!$M$13:$M1000,"missing",,1))</f>
        <v>486410.9415</v>
      </c>
      <c r="AE285" s="66">
        <f t="array" ref="AE285">IFS(B285&lt;66, XLOOKUP(year(A285),Lookup!$K$13:$K1000,Lookup!$N$13:$N1000,"missing",,1),B285&gt;65,XLOOKUP(questions!$C$5,Lookup!$K$13:$K1000,Lookup!$N$13:$N1000,"missing",,1))</f>
        <v>972821.883</v>
      </c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</row>
    <row r="286">
      <c r="A286" s="55">
        <f t="shared" si="7"/>
        <v>54727</v>
      </c>
      <c r="B286" s="56">
        <f>round(YEARFRAC(EOMONTH(questions!$C$3, 0),A286,1),2)</f>
        <v>50.92</v>
      </c>
      <c r="C286" s="57">
        <f>IF(B286&lt;questions!$C$6,if(MONTH(A286)=1,C285*(1+questions!$C$12),C285),0)</f>
        <v>19735.86511</v>
      </c>
      <c r="D286" s="58">
        <f>IF(MONTH(A286)=12,C286*questions!$C$11,0)</f>
        <v>0</v>
      </c>
      <c r="E286" s="59">
        <f t="shared" si="2"/>
        <v>8000</v>
      </c>
      <c r="F286" s="59">
        <f t="shared" si="3"/>
        <v>0</v>
      </c>
      <c r="G286" s="60">
        <f t="array" ref="G286">if(YEAR(A286)=2025,XLOOKUP(B286,Lookup!$A$3:$A$7,Lookup!$D$3:$D$7,,1)*SUM(E286:F286), XLOOKUP(B286,Lookup!$A$14:$A$18,Lookup!$D$14:$D$18,,1)*SUM(E286:F286))</f>
        <v>2960</v>
      </c>
      <c r="H286" s="60">
        <f t="array" ref="H286">if(YEAR(A286)=2025,XLOOKUP(B286,Lookup!$F$3:$F$10,Lookup!$G$3:$G$10,,1)*G286, XLOOKUP(B286,Lookup!$F$14:$F$21,Lookup!$G$14:$G$21,,1)*G286)</f>
        <v>1200.28</v>
      </c>
      <c r="I286" s="60">
        <f t="array" ref="I286">if(B286&lt;55, if(YEAR(A286)=2025,XLOOKUP(B286,Lookup!$F$3:$F$10,Lookup!$H$3:$H$10,,1)*G286, XLOOKUP(B286,Lookup!$F$14:$F$21,Lookup!$H$14:$H$21,,1)*G286),0)</f>
        <v>919.968</v>
      </c>
      <c r="J286" s="60">
        <f t="array" ref="J286">if(YEAR(A286)=2025,XLOOKUP(B286,Lookup!$F$3:$F$10,Lookup!$I$3:$I$10,,1)*G286, XLOOKUP(B286,Lookup!$F$14:$F$21,Lookup!$I$14:$I$21,,1)*G286)</f>
        <v>839.752</v>
      </c>
      <c r="K286" s="61">
        <f t="array" ref="K286">if(B286&gt;54, if(YEAR(A286)=2025,XLOOKUP(B286,Lookup!$F$3:$F$10,Lookup!$H$3:$H$10,,1)*G286, XLOOKUP(B286,Lookup!$F$14:$F$21,Lookup!$H$14:$H$21,,1)*G286),0)</f>
        <v>0</v>
      </c>
      <c r="L286" s="62">
        <f>IF(and(A286&lt;questions!$C$19,questions!$C$18="yes"),questions!$C$20,0)</f>
        <v>0</v>
      </c>
      <c r="M286" s="63">
        <f>(Y285+H286)*Lookup!A$26/12</f>
        <v>987.6679234</v>
      </c>
      <c r="N286" s="63">
        <f>if(B286&lt;55, (Z285+I286)*Lookup!B$26/12, (AB285+K286)*Lookup!B$26/12)</f>
        <v>1440.956702</v>
      </c>
      <c r="O286" s="63">
        <f>(AA285+J286)*Lookup!C$26/12</f>
        <v>583.7426532</v>
      </c>
      <c r="P286" s="63">
        <f t="shared" si="8"/>
        <v>9764.152984</v>
      </c>
      <c r="Q286" s="63">
        <f t="shared" si="4"/>
        <v>14246.37926</v>
      </c>
      <c r="R286" s="63">
        <f t="shared" si="5"/>
        <v>5758.639932</v>
      </c>
      <c r="S286" s="64">
        <f t="shared" si="9"/>
        <v>16.66666667</v>
      </c>
      <c r="T286" s="64">
        <f t="shared" si="10"/>
        <v>33.33333333</v>
      </c>
      <c r="U286" s="64">
        <f t="shared" si="11"/>
        <v>0</v>
      </c>
      <c r="V286" s="64">
        <f t="shared" ref="V286:X286" si="294">IF(year($A286)=year($A285), V285+S286, S286)</f>
        <v>166.6666667</v>
      </c>
      <c r="W286" s="64">
        <f t="shared" si="294"/>
        <v>333.3333333</v>
      </c>
      <c r="X286" s="64">
        <f t="shared" si="294"/>
        <v>0</v>
      </c>
      <c r="Y286" s="65">
        <f>IFS(
  B286&lt;55,
    MAX(
      Y285 + IF(MONTH(A286)=12, P286+V286, 0) + H286 - L286
      + MAX(0,
          IF(AA285 &gt;= VLOOKUP(YEAR(A286), Lookup!$Q:$R, 2),
            Z285 + IF(MONTH(A286)=12, Q286+W286, 0) + I286
              + AA285 + IF(MONTH(A286)=12, R286+X286, 0)
              - VLOOKUP(YEAR(A286), Lookup!$Q:$R, 2) + J286,
            Z285 + IF(MONTH(A286)=12, Q286+W286, 0) + I286
          ) - VLOOKUP(YEAR(A286), Lookup!$K:$M, 3)
        ),
    0),
  B286=55,
    IF(Z285&gt;=AD286,
      MAX(Y285 + IF(MONTH(A286)=12, P286+V286, 0) + H286 - L286, 0),
      MAX(MAX(0, Y285-(AD286-Z285)) + IF(MONTH(A286)=12, P286+V286, 0) + H286 - L286, 0)
    ),
  B286&gt;55,
    IF(AB285&gt;=$AH$7,
      MAX(Y285 + IF(MONTH(A286)=12, P286+V286, 0) + H286 - L286 + K286 + Z285, 0),
      MAX(Y285 + IF(MONTH(A286)=12, P286+V286, 0) + H286 - L286, 0)
    )
)</f>
        <v>474080.6032</v>
      </c>
      <c r="Z286" s="65">
        <f>IFS(
  B286&lt;55,
    MIN(
      IF(AA285 &gt;= VLOOKUP(YEAR(A286), Lookup!$Q:$R, 2),
        Z285 + IF(MONTH(A286)=12, Q286+W286, 0) + I286
          + AA285 + IF(MONTH(A286)=12, R286+X286, 0) - VLOOKUP(YEAR(A286), Lookup!$Q:$R, 2) + J286,
        Z285 + IF(MONTH(A286)=12, Q286+W286, 0) + I286
      ),
      VLOOKUP(YEAR(A286), Lookup!$K:$M, 3)
    ),
  B286=55,
    IF(Z285 &gt;= AD286, Z285 - AD286, 0),
  B286&gt;55, 0
)</f>
        <v>433126.7627</v>
      </c>
      <c r="AA286" s="65">
        <f>IFS(
  B286&lt;65,
    IF(AA285+J286 &lt; VLOOKUP(YEAR(A286), Lookup!$Q:$R, 2),
      AA285 + IF(MONTH(A286)=12, R285+X285, 0) + J286,
      MIN(
        AA285 + IF(MONTH(A286)=12, R285+X285, 0) + J286 ,
        VLOOKUP(YEAR(A286), Lookup!$Q:$R, 2)
      )
    ),
  B286&gt;=65,
    IF(AA285+J286 &lt; VLOOKUP(questions!$C$5, Lookup!$Q:$R, 2),
      AA285 + IF(MONTH(A286)=12, R285+X285, 0) + J286 ,
      MIN(
        AA285 + IF(MONTH(A286)=12, R285+X285, 0) + J286,
        VLOOKUP(questions!$C$5, Lookup!$Q:$R, 2)
      )
    )
)</f>
        <v>174283.044</v>
      </c>
      <c r="AB286" s="65">
        <f t="shared" si="13"/>
        <v>0</v>
      </c>
      <c r="AC286" s="66">
        <f t="array" ref="AC286">IFS(B286&lt;66, XLOOKUP(year(A286),Lookup!$K$13:$K1000,Lookup!$L$13:$L1000,"missing",,1),B286&gt;65,XLOOKUP(questions!$C$5,Lookup!$K$13:$K1000,Lookup!$L$13:$L1000,"missing",,1))</f>
        <v>243205.4707</v>
      </c>
      <c r="AD286" s="66">
        <f t="array" ref="AD286">IFS(B286&lt;66, XLOOKUP(year(A286),Lookup!$K$13:$K1000,Lookup!$M$13:$M1000,"missing",,1),B286&gt;65, XLOOKUP(questions!$C$5,Lookup!$K$13:$K1000,Lookup!$M$13:$M1000,"missing",,1))</f>
        <v>486410.9415</v>
      </c>
      <c r="AE286" s="66">
        <f t="array" ref="AE286">IFS(B286&lt;66, XLOOKUP(year(A286),Lookup!$K$13:$K1000,Lookup!$N$13:$N1000,"missing",,1),B286&gt;65,XLOOKUP(questions!$C$5,Lookup!$K$13:$K1000,Lookup!$N$13:$N1000,"missing",,1))</f>
        <v>972821.883</v>
      </c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</row>
    <row r="287">
      <c r="A287" s="55">
        <f t="shared" si="7"/>
        <v>54757</v>
      </c>
      <c r="B287" s="56">
        <f>round(YEARFRAC(EOMONTH(questions!$C$3, 0),A287,1),2)</f>
        <v>51</v>
      </c>
      <c r="C287" s="57">
        <f>IF(B287&lt;questions!$C$6,if(MONTH(A287)=1,C286*(1+questions!$C$12),C286),0)</f>
        <v>19735.86511</v>
      </c>
      <c r="D287" s="58">
        <f>IF(MONTH(A287)=12,C287*questions!$C$11,0)</f>
        <v>0</v>
      </c>
      <c r="E287" s="59">
        <f t="shared" si="2"/>
        <v>8000</v>
      </c>
      <c r="F287" s="59">
        <f t="shared" si="3"/>
        <v>0</v>
      </c>
      <c r="G287" s="60">
        <f t="array" ref="G287">if(YEAR(A287)=2025,XLOOKUP(B287,Lookup!$A$3:$A$7,Lookup!$D$3:$D$7,,1)*SUM(E287:F287), XLOOKUP(B287,Lookup!$A$14:$A$18,Lookup!$D$14:$D$18,,1)*SUM(E287:F287))</f>
        <v>2960</v>
      </c>
      <c r="H287" s="60">
        <f t="array" ref="H287">if(YEAR(A287)=2025,XLOOKUP(B287,Lookup!$F$3:$F$10,Lookup!$G$3:$G$10,,1)*G287, XLOOKUP(B287,Lookup!$F$14:$F$21,Lookup!$G$14:$G$21,,1)*G287)</f>
        <v>1200.28</v>
      </c>
      <c r="I287" s="60">
        <f t="array" ref="I287">if(B287&lt;55, if(YEAR(A287)=2025,XLOOKUP(B287,Lookup!$F$3:$F$10,Lookup!$H$3:$H$10,,1)*G287, XLOOKUP(B287,Lookup!$F$14:$F$21,Lookup!$H$14:$H$21,,1)*G287),0)</f>
        <v>919.968</v>
      </c>
      <c r="J287" s="60">
        <f t="array" ref="J287">if(YEAR(A287)=2025,XLOOKUP(B287,Lookup!$F$3:$F$10,Lookup!$I$3:$I$10,,1)*G287, XLOOKUP(B287,Lookup!$F$14:$F$21,Lookup!$I$14:$I$21,,1)*G287)</f>
        <v>839.752</v>
      </c>
      <c r="K287" s="61">
        <f t="array" ref="K287">if(B287&gt;54, if(YEAR(A287)=2025,XLOOKUP(B287,Lookup!$F$3:$F$10,Lookup!$H$3:$H$10,,1)*G287, XLOOKUP(B287,Lookup!$F$14:$F$21,Lookup!$H$14:$H$21,,1)*G287),0)</f>
        <v>0</v>
      </c>
      <c r="L287" s="62">
        <f>IF(and(A287&lt;questions!$C$19,questions!$C$18="yes"),questions!$C$20,0)</f>
        <v>0</v>
      </c>
      <c r="M287" s="63">
        <f>(Y286+H287)*Lookup!A$26/12</f>
        <v>990.1685067</v>
      </c>
      <c r="N287" s="63">
        <f>if(B287&lt;55, (Z286+I287)*Lookup!B$26/12, (AB286+K287)*Lookup!B$26/12)</f>
        <v>1446.822436</v>
      </c>
      <c r="O287" s="63">
        <f>(AA286+J287)*Lookup!C$26/12</f>
        <v>583.7426532</v>
      </c>
      <c r="P287" s="63">
        <f t="shared" si="8"/>
        <v>10754.32149</v>
      </c>
      <c r="Q287" s="63">
        <f t="shared" si="4"/>
        <v>15693.2017</v>
      </c>
      <c r="R287" s="63">
        <f t="shared" si="5"/>
        <v>6342.382585</v>
      </c>
      <c r="S287" s="64">
        <f t="shared" si="9"/>
        <v>16.66666667</v>
      </c>
      <c r="T287" s="64">
        <f t="shared" si="10"/>
        <v>33.33333333</v>
      </c>
      <c r="U287" s="64">
        <f t="shared" si="11"/>
        <v>0</v>
      </c>
      <c r="V287" s="64">
        <f t="shared" ref="V287:X287" si="295">IF(year($A287)=year($A286), V286+S287, S287)</f>
        <v>183.3333333</v>
      </c>
      <c r="W287" s="64">
        <f t="shared" si="295"/>
        <v>366.6666667</v>
      </c>
      <c r="X287" s="64">
        <f t="shared" si="295"/>
        <v>0</v>
      </c>
      <c r="Y287" s="65">
        <f>IFS(
  B287&lt;55,
    MAX(
      Y286 + IF(MONTH(A287)=12, P287+V287, 0) + H287 - L287
      + MAX(0,
          IF(AA286 &gt;= VLOOKUP(YEAR(A287), Lookup!$Q:$R, 2),
            Z286 + IF(MONTH(A287)=12, Q287+W287, 0) + I287
              + AA286 + IF(MONTH(A287)=12, R287+X287, 0)
              - VLOOKUP(YEAR(A287), Lookup!$Q:$R, 2) + J287,
            Z286 + IF(MONTH(A287)=12, Q287+W287, 0) + I287
          ) - VLOOKUP(YEAR(A287), Lookup!$K:$M, 3)
        ),
    0),
  B287=55,
    IF(Z286&gt;=AD287,
      MAX(Y286 + IF(MONTH(A287)=12, P287+V287, 0) + H287 - L287, 0),
      MAX(MAX(0, Y286-(AD287-Z286)) + IF(MONTH(A287)=12, P287+V287, 0) + H287 - L287, 0)
    ),
  B287&gt;55,
    IF(AB286&gt;=$AH$7,
      MAX(Y286 + IF(MONTH(A287)=12, P287+V287, 0) + H287 - L287 + K287 + Z286, 0),
      MAX(Y286 + IF(MONTH(A287)=12, P287+V287, 0) + H287 - L287, 0)
    )
)</f>
        <v>475280.8832</v>
      </c>
      <c r="Z287" s="65">
        <f>IFS(
  B287&lt;55,
    MIN(
      IF(AA286 &gt;= VLOOKUP(YEAR(A287), Lookup!$Q:$R, 2),
        Z286 + IF(MONTH(A287)=12, Q287+W287, 0) + I287
          + AA286 + IF(MONTH(A287)=12, R287+X287, 0) - VLOOKUP(YEAR(A287), Lookup!$Q:$R, 2) + J287,
        Z286 + IF(MONTH(A287)=12, Q287+W287, 0) + I287
      ),
      VLOOKUP(YEAR(A287), Lookup!$K:$M, 3)
    ),
  B287=55,
    IF(Z286 &gt;= AD287, Z286 - AD287, 0),
  B287&gt;55, 0
)</f>
        <v>434886.4827</v>
      </c>
      <c r="AA287" s="65">
        <f>IFS(
  B287&lt;65,
    IF(AA286+J287 &lt; VLOOKUP(YEAR(A287), Lookup!$Q:$R, 2),
      AA286 + IF(MONTH(A287)=12, R286+X286, 0) + J287,
      MIN(
        AA286 + IF(MONTH(A287)=12, R286+X286, 0) + J287 ,
        VLOOKUP(YEAR(A287), Lookup!$Q:$R, 2)
      )
    ),
  B287&gt;=65,
    IF(AA286+J287 &lt; VLOOKUP(questions!$C$5, Lookup!$Q:$R, 2),
      AA286 + IF(MONTH(A287)=12, R286+X286, 0) + J287 ,
      MIN(
        AA286 + IF(MONTH(A287)=12, R286+X286, 0) + J287,
        VLOOKUP(questions!$C$5, Lookup!$Q:$R, 2)
      )
    )
)</f>
        <v>174283.044</v>
      </c>
      <c r="AB287" s="65">
        <f t="shared" si="13"/>
        <v>0</v>
      </c>
      <c r="AC287" s="66">
        <f t="array" ref="AC287">IFS(B287&lt;66, XLOOKUP(year(A287),Lookup!$K$13:$K1000,Lookup!$L$13:$L1000,"missing",,1),B287&gt;65,XLOOKUP(questions!$C$5,Lookup!$K$13:$K1000,Lookup!$L$13:$L1000,"missing",,1))</f>
        <v>243205.4707</v>
      </c>
      <c r="AD287" s="66">
        <f t="array" ref="AD287">IFS(B287&lt;66, XLOOKUP(year(A287),Lookup!$K$13:$K1000,Lookup!$M$13:$M1000,"missing",,1),B287&gt;65, XLOOKUP(questions!$C$5,Lookup!$K$13:$K1000,Lookup!$M$13:$M1000,"missing",,1))</f>
        <v>486410.9415</v>
      </c>
      <c r="AE287" s="66">
        <f t="array" ref="AE287">IFS(B287&lt;66, XLOOKUP(year(A287),Lookup!$K$13:$K1000,Lookup!$N$13:$N1000,"missing",,1),B287&gt;65,XLOOKUP(questions!$C$5,Lookup!$K$13:$K1000,Lookup!$N$13:$N1000,"missing",,1))</f>
        <v>972821.883</v>
      </c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</row>
    <row r="288">
      <c r="A288" s="55">
        <f t="shared" si="7"/>
        <v>54788</v>
      </c>
      <c r="B288" s="56">
        <f>round(YEARFRAC(EOMONTH(questions!$C$3, 0),A288,1),2)</f>
        <v>51.08</v>
      </c>
      <c r="C288" s="57">
        <f>IF(B288&lt;questions!$C$6,if(MONTH(A288)=1,C287*(1+questions!$C$12),C287),0)</f>
        <v>19735.86511</v>
      </c>
      <c r="D288" s="57">
        <f>IF(MONTH(A288)=12,C288*questions!$C$11,0)</f>
        <v>19735.86511</v>
      </c>
      <c r="E288" s="59">
        <f t="shared" si="2"/>
        <v>8000</v>
      </c>
      <c r="F288" s="59">
        <f t="shared" si="3"/>
        <v>6000</v>
      </c>
      <c r="G288" s="60">
        <f t="array" ref="G288">if(YEAR(A288)=2025,XLOOKUP(B288,Lookup!$A$3:$A$7,Lookup!$D$3:$D$7,,1)*SUM(E288:F288), XLOOKUP(B288,Lookup!$A$14:$A$18,Lookup!$D$14:$D$18,,1)*SUM(E288:F288))</f>
        <v>5180</v>
      </c>
      <c r="H288" s="60">
        <f t="array" ref="H288">if(YEAR(A288)=2025,XLOOKUP(B288,Lookup!$F$3:$F$10,Lookup!$G$3:$G$10,,1)*G288, XLOOKUP(B288,Lookup!$F$14:$F$21,Lookup!$G$14:$G$21,,1)*G288)</f>
        <v>2100.49</v>
      </c>
      <c r="I288" s="60">
        <f t="array" ref="I288">if(B288&lt;55, if(YEAR(A288)=2025,XLOOKUP(B288,Lookup!$F$3:$F$10,Lookup!$H$3:$H$10,,1)*G288, XLOOKUP(B288,Lookup!$F$14:$F$21,Lookup!$H$14:$H$21,,1)*G288),0)</f>
        <v>1609.944</v>
      </c>
      <c r="J288" s="60">
        <f t="array" ref="J288">if(YEAR(A288)=2025,XLOOKUP(B288,Lookup!$F$3:$F$10,Lookup!$I$3:$I$10,,1)*G288, XLOOKUP(B288,Lookup!$F$14:$F$21,Lookup!$I$14:$I$21,,1)*G288)</f>
        <v>1469.566</v>
      </c>
      <c r="K288" s="61">
        <f t="array" ref="K288">if(B288&gt;54, if(YEAR(A288)=2025,XLOOKUP(B288,Lookup!$F$3:$F$10,Lookup!$H$3:$H$10,,1)*G288, XLOOKUP(B288,Lookup!$F$14:$F$21,Lookup!$H$14:$H$21,,1)*G288),0)</f>
        <v>0</v>
      </c>
      <c r="L288" s="62">
        <f>IF(and(A288&lt;questions!$C$19,questions!$C$18="yes"),questions!$C$20,0)</f>
        <v>0</v>
      </c>
      <c r="M288" s="63">
        <f>(Y287+H288)*Lookup!A$26/12</f>
        <v>994.5445276</v>
      </c>
      <c r="N288" s="63">
        <f>if(B288&lt;55, (Z287+I288)*Lookup!B$26/12, (AB287+K288)*Lookup!B$26/12)</f>
        <v>1454.988089</v>
      </c>
      <c r="O288" s="63">
        <f>(AA287+J288)*Lookup!C$26/12</f>
        <v>585.8420332</v>
      </c>
      <c r="P288" s="63">
        <f t="shared" si="8"/>
        <v>11748.86602</v>
      </c>
      <c r="Q288" s="63">
        <f t="shared" si="4"/>
        <v>17148.18979</v>
      </c>
      <c r="R288" s="63">
        <f t="shared" si="5"/>
        <v>6928.224618</v>
      </c>
      <c r="S288" s="64">
        <f t="shared" si="9"/>
        <v>16.66666667</v>
      </c>
      <c r="T288" s="64">
        <f t="shared" si="10"/>
        <v>33.33333333</v>
      </c>
      <c r="U288" s="64">
        <f t="shared" si="11"/>
        <v>0</v>
      </c>
      <c r="V288" s="64">
        <f t="shared" ref="V288:X288" si="296">IF(year($A288)=year($A287), V287+S288, S288)</f>
        <v>200</v>
      </c>
      <c r="W288" s="64">
        <f t="shared" si="296"/>
        <v>400</v>
      </c>
      <c r="X288" s="64">
        <f t="shared" si="296"/>
        <v>0</v>
      </c>
      <c r="Y288" s="65">
        <f>IFS(
  B288&lt;55,
    MAX(
      Y287 + IF(MONTH(A288)=12, P288+V288, 0) + H288 - L288
      + MAX(0,
          IF(AA287 &gt;= VLOOKUP(YEAR(A288), Lookup!$Q:$R, 2),
            Z287 + IF(MONTH(A288)=12, Q288+W288, 0) + I288
              + AA287 + IF(MONTH(A288)=12, R288+X288, 0)
              - VLOOKUP(YEAR(A288), Lookup!$Q:$R, 2) + J288,
            Z287 + IF(MONTH(A288)=12, Q288+W288, 0) + I288
          ) - VLOOKUP(YEAR(A288), Lookup!$K:$M, 3)
        ),
    0),
  B288=55,
    IF(Z287&gt;=AD288,
      MAX(Y287 + IF(MONTH(A288)=12, P288+V288, 0) + H288 - L288, 0),
      MAX(MAX(0, Y287-(AD288-Z287)) + IF(MONTH(A288)=12, P288+V288, 0) + H288 - L288, 0)
    ),
  B288&gt;55,
    IF(AB287&gt;=$AH$7,
      MAX(Y287 + IF(MONTH(A288)=12, P288+V288, 0) + H288 - L288 + K288 + Z287, 0),
      MAX(Y287 + IF(MONTH(A288)=12, P288+V288, 0) + H288 - L288, 0)
    )
)</f>
        <v>489330.2392</v>
      </c>
      <c r="Z288" s="65">
        <f>IFS(
  B288&lt;55,
    MIN(
      IF(AA287 &gt;= VLOOKUP(YEAR(A288), Lookup!$Q:$R, 2),
        Z287 + IF(MONTH(A288)=12, Q288+W288, 0) + I288
          + AA287 + IF(MONTH(A288)=12, R288+X288, 0) - VLOOKUP(YEAR(A288), Lookup!$Q:$R, 2) + J288,
        Z287 + IF(MONTH(A288)=12, Q288+W288, 0) + I288
      ),
      VLOOKUP(YEAR(A288), Lookup!$K:$M, 3)
    ),
  B288=55,
    IF(Z287 &gt;= AD288, Z287 - AD288, 0),
  B288&gt;55, 0
)</f>
        <v>462442.4071</v>
      </c>
      <c r="AA288" s="65">
        <f>IFS(
  B288&lt;65,
    IF(AA287+J288 &lt; VLOOKUP(YEAR(A288), Lookup!$Q:$R, 2),
      AA287 + IF(MONTH(A288)=12, R287+X287, 0) + J288,
      MIN(
        AA287 + IF(MONTH(A288)=12, R287+X287, 0) + J288 ,
        VLOOKUP(YEAR(A288), Lookup!$Q:$R, 2)
      )
    ),
  B288&gt;=65,
    IF(AA287+J288 &lt; VLOOKUP(questions!$C$5, Lookup!$Q:$R, 2),
      AA287 + IF(MONTH(A288)=12, R287+X287, 0) + J288 ,
      MIN(
        AA287 + IF(MONTH(A288)=12, R287+X287, 0) + J288,
        VLOOKUP(questions!$C$5, Lookup!$Q:$R, 2)
      )
    )
)</f>
        <v>174283.044</v>
      </c>
      <c r="AB288" s="65">
        <f t="shared" si="13"/>
        <v>0</v>
      </c>
      <c r="AC288" s="66">
        <f t="array" ref="AC288">IFS(B288&lt;66, XLOOKUP(year(A288),Lookup!$K$13:$K1000,Lookup!$L$13:$L1000,"missing",,1),B288&gt;65,XLOOKUP(questions!$C$5,Lookup!$K$13:$K1000,Lookup!$L$13:$L1000,"missing",,1))</f>
        <v>243205.4707</v>
      </c>
      <c r="AD288" s="66">
        <f t="array" ref="AD288">IFS(B288&lt;66, XLOOKUP(year(A288),Lookup!$K$13:$K1000,Lookup!$M$13:$M1000,"missing",,1),B288&gt;65, XLOOKUP(questions!$C$5,Lookup!$K$13:$K1000,Lookup!$M$13:$M1000,"missing",,1))</f>
        <v>486410.9415</v>
      </c>
      <c r="AE288" s="66">
        <f t="array" ref="AE288">IFS(B288&lt;66, XLOOKUP(year(A288),Lookup!$K$13:$K1000,Lookup!$N$13:$N1000,"missing",,1),B288&gt;65,XLOOKUP(questions!$C$5,Lookup!$K$13:$K1000,Lookup!$N$13:$N1000,"missing",,1))</f>
        <v>972821.883</v>
      </c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</row>
    <row r="289">
      <c r="A289" s="55">
        <f t="shared" si="7"/>
        <v>54819</v>
      </c>
      <c r="B289" s="56">
        <f>round(YEARFRAC(EOMONTH(questions!$C$3, 0),A289,1),2)</f>
        <v>51.17</v>
      </c>
      <c r="C289" s="57">
        <f>IF(B289&lt;questions!$C$6,if(MONTH(A289)=1,C288*(1+questions!$C$12),C288),0)</f>
        <v>20327.94106</v>
      </c>
      <c r="D289" s="58">
        <f>IF(MONTH(A289)=12,C289*questions!$C$11,0)</f>
        <v>0</v>
      </c>
      <c r="E289" s="59">
        <f t="shared" si="2"/>
        <v>8000</v>
      </c>
      <c r="F289" s="59">
        <f t="shared" si="3"/>
        <v>0</v>
      </c>
      <c r="G289" s="60">
        <f t="array" ref="G289">if(YEAR(A289)=2025,XLOOKUP(B289,Lookup!$A$3:$A$7,Lookup!$D$3:$D$7,,1)*SUM(E289:F289), XLOOKUP(B289,Lookup!$A$14:$A$18,Lookup!$D$14:$D$18,,1)*SUM(E289:F289))</f>
        <v>2960</v>
      </c>
      <c r="H289" s="60">
        <f t="array" ref="H289">if(YEAR(A289)=2025,XLOOKUP(B289,Lookup!$F$3:$F$10,Lookup!$G$3:$G$10,,1)*G289, XLOOKUP(B289,Lookup!$F$14:$F$21,Lookup!$G$14:$G$21,,1)*G289)</f>
        <v>1200.28</v>
      </c>
      <c r="I289" s="60">
        <f t="array" ref="I289">if(B289&lt;55, if(YEAR(A289)=2025,XLOOKUP(B289,Lookup!$F$3:$F$10,Lookup!$H$3:$H$10,,1)*G289, XLOOKUP(B289,Lookup!$F$14:$F$21,Lookup!$H$14:$H$21,,1)*G289),0)</f>
        <v>919.968</v>
      </c>
      <c r="J289" s="60">
        <f t="array" ref="J289">if(YEAR(A289)=2025,XLOOKUP(B289,Lookup!$F$3:$F$10,Lookup!$I$3:$I$10,,1)*G289, XLOOKUP(B289,Lookup!$F$14:$F$21,Lookup!$I$14:$I$21,,1)*G289)</f>
        <v>839.752</v>
      </c>
      <c r="K289" s="61">
        <f t="array" ref="K289">if(B289&gt;54, if(YEAR(A289)=2025,XLOOKUP(B289,Lookup!$F$3:$F$10,Lookup!$H$3:$H$10,,1)*G289, XLOOKUP(B289,Lookup!$F$14:$F$21,Lookup!$H$14:$H$21,,1)*G289),0)</f>
        <v>0</v>
      </c>
      <c r="L289" s="62">
        <f>IF(and(A289&lt;questions!$C$19,questions!$C$18="yes"),questions!$C$20,0)</f>
        <v>0</v>
      </c>
      <c r="M289" s="63">
        <f>(Y288+H289)*Lookup!A$26/12</f>
        <v>1021.938582</v>
      </c>
      <c r="N289" s="63">
        <f>if(B289&lt;55, (Z288+I289)*Lookup!B$26/12, (AB288+K289)*Lookup!B$26/12)</f>
        <v>1544.54125</v>
      </c>
      <c r="O289" s="63">
        <f>(AA288+J289)*Lookup!C$26/12</f>
        <v>583.7426532</v>
      </c>
      <c r="P289" s="63">
        <f t="shared" si="8"/>
        <v>1021.938582</v>
      </c>
      <c r="Q289" s="63">
        <f t="shared" si="4"/>
        <v>1544.54125</v>
      </c>
      <c r="R289" s="63">
        <f t="shared" si="5"/>
        <v>583.7426532</v>
      </c>
      <c r="S289" s="64">
        <f t="shared" si="9"/>
        <v>16.66666667</v>
      </c>
      <c r="T289" s="64">
        <f t="shared" si="10"/>
        <v>33.33333333</v>
      </c>
      <c r="U289" s="64">
        <f t="shared" si="11"/>
        <v>0</v>
      </c>
      <c r="V289" s="64">
        <f t="shared" ref="V289:X289" si="297">IF(year($A289)=year($A288), V288+S289, S289)</f>
        <v>16.66666667</v>
      </c>
      <c r="W289" s="64">
        <f t="shared" si="297"/>
        <v>33.33333333</v>
      </c>
      <c r="X289" s="64">
        <f t="shared" si="297"/>
        <v>0</v>
      </c>
      <c r="Y289" s="65">
        <f>IFS(
  B289&lt;55,
    MAX(
      Y288 + IF(MONTH(A289)=12, P289+V289, 0) + H289 - L289
      + MAX(0,
          IF(AA288 &gt;= VLOOKUP(YEAR(A289), Lookup!$Q:$R, 2),
            Z288 + IF(MONTH(A289)=12, Q289+W289, 0) + I289
              + AA288 + IF(MONTH(A289)=12, R289+X289, 0)
              - VLOOKUP(YEAR(A289), Lookup!$Q:$R, 2) + J289,
            Z288 + IF(MONTH(A289)=12, Q289+W289, 0) + I289
          ) - VLOOKUP(YEAR(A289), Lookup!$K:$M, 3)
        ),
    0),
  B289=55,
    IF(Z288&gt;=AD289,
      MAX(Y288 + IF(MONTH(A289)=12, P289+V289, 0) + H289 - L289, 0),
      MAX(MAX(0, Y288-(AD289-Z288)) + IF(MONTH(A289)=12, P289+V289, 0) + H289 - L289, 0)
    ),
  B289&gt;55,
    IF(AB288&gt;=$AH$7,
      MAX(Y288 + IF(MONTH(A289)=12, P289+V289, 0) + H289 - L289 + K289 + Z288, 0),
      MAX(Y288 + IF(MONTH(A289)=12, P289+V289, 0) + H289 - L289, 0)
    )
)</f>
        <v>490530.5192</v>
      </c>
      <c r="Z289" s="65">
        <f>IFS(
  B289&lt;55,
    MIN(
      IF(AA288 &gt;= VLOOKUP(YEAR(A289), Lookup!$Q:$R, 2),
        Z288 + IF(MONTH(A289)=12, Q289+W289, 0) + I289
          + AA288 + IF(MONTH(A289)=12, R289+X289, 0) - VLOOKUP(YEAR(A289), Lookup!$Q:$R, 2) + J289,
        Z288 + IF(MONTH(A289)=12, Q289+W289, 0) + I289
      ),
      VLOOKUP(YEAR(A289), Lookup!$K:$M, 3)
    ),
  B289=55,
    IF(Z288 &gt;= AD289, Z288 - AD289, 0),
  B289&gt;55, 0
)</f>
        <v>463362.3751</v>
      </c>
      <c r="AA289" s="65">
        <f>IFS(
  B289&lt;65,
    IF(AA288+J289 &lt; VLOOKUP(YEAR(A289), Lookup!$Q:$R, 2),
      AA288 + IF(MONTH(A289)=12, R288+X288, 0) + J289,
      MIN(
        AA288 + IF(MONTH(A289)=12, R288+X288, 0) + J289 ,
        VLOOKUP(YEAR(A289), Lookup!$Q:$R, 2)
      )
    ),
  B289&gt;=65,
    IF(AA288+J289 &lt; VLOOKUP(questions!$C$5, Lookup!$Q:$R, 2),
      AA288 + IF(MONTH(A289)=12, R288+X288, 0) + J289 ,
      MIN(
        AA288 + IF(MONTH(A289)=12, R288+X288, 0) + J289,
        VLOOKUP(questions!$C$5, Lookup!$Q:$R, 2)
      )
    )
)</f>
        <v>175122.796</v>
      </c>
      <c r="AB289" s="65">
        <f t="shared" si="13"/>
        <v>0</v>
      </c>
      <c r="AC289" s="66">
        <f t="array" ref="AC289">IFS(B289&lt;66, XLOOKUP(year(A289),Lookup!$K$13:$K1000,Lookup!$L$13:$L1000,"missing",,1),B289&gt;65,XLOOKUP(questions!$C$5,Lookup!$K$13:$K1000,Lookup!$L$13:$L1000,"missing",,1))</f>
        <v>251717.6622</v>
      </c>
      <c r="AD289" s="66">
        <f t="array" ref="AD289">IFS(B289&lt;66, XLOOKUP(year(A289),Lookup!$K$13:$K1000,Lookup!$M$13:$M1000,"missing",,1),B289&gt;65, XLOOKUP(questions!$C$5,Lookup!$K$13:$K1000,Lookup!$M$13:$M1000,"missing",,1))</f>
        <v>503435.3244</v>
      </c>
      <c r="AE289" s="66">
        <f t="array" ref="AE289">IFS(B289&lt;66, XLOOKUP(year(A289),Lookup!$K$13:$K1000,Lookup!$N$13:$N1000,"missing",,1),B289&gt;65,XLOOKUP(questions!$C$5,Lookup!$K$13:$K1000,Lookup!$N$13:$N1000,"missing",,1))</f>
        <v>1006870.649</v>
      </c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</row>
    <row r="290">
      <c r="A290" s="55">
        <f t="shared" si="7"/>
        <v>54847</v>
      </c>
      <c r="B290" s="56">
        <f>round(YEARFRAC(EOMONTH(questions!$C$3, 0),A290,1),2)</f>
        <v>51.25</v>
      </c>
      <c r="C290" s="57">
        <f>IF(B290&lt;questions!$C$6,if(MONTH(A290)=1,C289*(1+questions!$C$12),C289),0)</f>
        <v>20327.94106</v>
      </c>
      <c r="D290" s="58">
        <f>IF(MONTH(A290)=12,C290*questions!$C$11,0)</f>
        <v>0</v>
      </c>
      <c r="E290" s="59">
        <f t="shared" si="2"/>
        <v>8000</v>
      </c>
      <c r="F290" s="59">
        <f t="shared" si="3"/>
        <v>0</v>
      </c>
      <c r="G290" s="60">
        <f t="array" ref="G290">if(YEAR(A290)=2025,XLOOKUP(B290,Lookup!$A$3:$A$7,Lookup!$D$3:$D$7,,1)*SUM(E290:F290), XLOOKUP(B290,Lookup!$A$14:$A$18,Lookup!$D$14:$D$18,,1)*SUM(E290:F290))</f>
        <v>2960</v>
      </c>
      <c r="H290" s="60">
        <f t="array" ref="H290">if(YEAR(A290)=2025,XLOOKUP(B290,Lookup!$F$3:$F$10,Lookup!$G$3:$G$10,,1)*G290, XLOOKUP(B290,Lookup!$F$14:$F$21,Lookup!$G$14:$G$21,,1)*G290)</f>
        <v>1200.28</v>
      </c>
      <c r="I290" s="60">
        <f t="array" ref="I290">if(B290&lt;55, if(YEAR(A290)=2025,XLOOKUP(B290,Lookup!$F$3:$F$10,Lookup!$H$3:$H$10,,1)*G290, XLOOKUP(B290,Lookup!$F$14:$F$21,Lookup!$H$14:$H$21,,1)*G290),0)</f>
        <v>919.968</v>
      </c>
      <c r="J290" s="60">
        <f t="array" ref="J290">if(YEAR(A290)=2025,XLOOKUP(B290,Lookup!$F$3:$F$10,Lookup!$I$3:$I$10,,1)*G290, XLOOKUP(B290,Lookup!$F$14:$F$21,Lookup!$I$14:$I$21,,1)*G290)</f>
        <v>839.752</v>
      </c>
      <c r="K290" s="61">
        <f t="array" ref="K290">if(B290&gt;54, if(YEAR(A290)=2025,XLOOKUP(B290,Lookup!$F$3:$F$10,Lookup!$H$3:$H$10,,1)*G290, XLOOKUP(B290,Lookup!$F$14:$F$21,Lookup!$H$14:$H$21,,1)*G290),0)</f>
        <v>0</v>
      </c>
      <c r="L290" s="62">
        <f>IF(and(A290&lt;questions!$C$19,questions!$C$18="yes"),questions!$C$20,0)</f>
        <v>0</v>
      </c>
      <c r="M290" s="63">
        <f>(Y289+H290)*Lookup!A$26/12</f>
        <v>1024.439165</v>
      </c>
      <c r="N290" s="63">
        <f>if(B290&lt;55, (Z289+I290)*Lookup!B$26/12, (AB289+K290)*Lookup!B$26/12)</f>
        <v>1547.60781</v>
      </c>
      <c r="O290" s="63">
        <f>(AA289+J290)*Lookup!C$26/12</f>
        <v>586.5418265</v>
      </c>
      <c r="P290" s="63">
        <f t="shared" si="8"/>
        <v>2046.377747</v>
      </c>
      <c r="Q290" s="63">
        <f t="shared" si="4"/>
        <v>3092.149061</v>
      </c>
      <c r="R290" s="63">
        <f t="shared" si="5"/>
        <v>1170.28448</v>
      </c>
      <c r="S290" s="64">
        <f t="shared" si="9"/>
        <v>16.66666667</v>
      </c>
      <c r="T290" s="64">
        <f t="shared" si="10"/>
        <v>33.33333333</v>
      </c>
      <c r="U290" s="64">
        <f t="shared" si="11"/>
        <v>0</v>
      </c>
      <c r="V290" s="64">
        <f t="shared" ref="V290:X290" si="298">IF(year($A290)=year($A289), V289+S290, S290)</f>
        <v>33.33333333</v>
      </c>
      <c r="W290" s="64">
        <f t="shared" si="298"/>
        <v>66.66666667</v>
      </c>
      <c r="X290" s="64">
        <f t="shared" si="298"/>
        <v>0</v>
      </c>
      <c r="Y290" s="65">
        <f>IFS(
  B290&lt;55,
    MAX(
      Y289 + IF(MONTH(A290)=12, P290+V290, 0) + H290 - L290
      + MAX(0,
          IF(AA289 &gt;= VLOOKUP(YEAR(A290), Lookup!$Q:$R, 2),
            Z289 + IF(MONTH(A290)=12, Q290+W290, 0) + I290
              + AA289 + IF(MONTH(A290)=12, R290+X290, 0)
              - VLOOKUP(YEAR(A290), Lookup!$Q:$R, 2) + J290,
            Z289 + IF(MONTH(A290)=12, Q290+W290, 0) + I290
          ) - VLOOKUP(YEAR(A290), Lookup!$K:$M, 3)
        ),
    0),
  B290=55,
    IF(Z289&gt;=AD290,
      MAX(Y289 + IF(MONTH(A290)=12, P290+V290, 0) + H290 - L290, 0),
      MAX(MAX(0, Y289-(AD290-Z289)) + IF(MONTH(A290)=12, P290+V290, 0) + H290 - L290, 0)
    ),
  B290&gt;55,
    IF(AB289&gt;=$AH$7,
      MAX(Y289 + IF(MONTH(A290)=12, P290+V290, 0) + H290 - L290 + K290 + Z289, 0),
      MAX(Y289 + IF(MONTH(A290)=12, P290+V290, 0) + H290 - L290, 0)
    )
)</f>
        <v>491730.7992</v>
      </c>
      <c r="Z290" s="65">
        <f>IFS(
  B290&lt;55,
    MIN(
      IF(AA289 &gt;= VLOOKUP(YEAR(A290), Lookup!$Q:$R, 2),
        Z289 + IF(MONTH(A290)=12, Q290+W290, 0) + I290
          + AA289 + IF(MONTH(A290)=12, R290+X290, 0) - VLOOKUP(YEAR(A290), Lookup!$Q:$R, 2) + J290,
        Z289 + IF(MONTH(A290)=12, Q290+W290, 0) + I290
      ),
      VLOOKUP(YEAR(A290), Lookup!$K:$M, 3)
    ),
  B290=55,
    IF(Z289 &gt;= AD290, Z289 - AD290, 0),
  B290&gt;55, 0
)</f>
        <v>464282.3431</v>
      </c>
      <c r="AA290" s="65">
        <f>IFS(
  B290&lt;65,
    IF(AA289+J290 &lt; VLOOKUP(YEAR(A290), Lookup!$Q:$R, 2),
      AA289 + IF(MONTH(A290)=12, R289+X289, 0) + J290,
      MIN(
        AA289 + IF(MONTH(A290)=12, R289+X289, 0) + J290 ,
        VLOOKUP(YEAR(A290), Lookup!$Q:$R, 2)
      )
    ),
  B290&gt;=65,
    IF(AA289+J290 &lt; VLOOKUP(questions!$C$5, Lookup!$Q:$R, 2),
      AA289 + IF(MONTH(A290)=12, R289+X289, 0) + J290 ,
      MIN(
        AA289 + IF(MONTH(A290)=12, R289+X289, 0) + J290,
        VLOOKUP(questions!$C$5, Lookup!$Q:$R, 2)
      )
    )
)</f>
        <v>175962.548</v>
      </c>
      <c r="AB290" s="65">
        <f t="shared" si="13"/>
        <v>0</v>
      </c>
      <c r="AC290" s="66">
        <f t="array" ref="AC290">IFS(B290&lt;66, XLOOKUP(year(A290),Lookup!$K$13:$K1000,Lookup!$L$13:$L1000,"missing",,1),B290&gt;65,XLOOKUP(questions!$C$5,Lookup!$K$13:$K1000,Lookup!$L$13:$L1000,"missing",,1))</f>
        <v>251717.6622</v>
      </c>
      <c r="AD290" s="66">
        <f t="array" ref="AD290">IFS(B290&lt;66, XLOOKUP(year(A290),Lookup!$K$13:$K1000,Lookup!$M$13:$M1000,"missing",,1),B290&gt;65, XLOOKUP(questions!$C$5,Lookup!$K$13:$K1000,Lookup!$M$13:$M1000,"missing",,1))</f>
        <v>503435.3244</v>
      </c>
      <c r="AE290" s="66">
        <f t="array" ref="AE290">IFS(B290&lt;66, XLOOKUP(year(A290),Lookup!$K$13:$K1000,Lookup!$N$13:$N1000,"missing",,1),B290&gt;65,XLOOKUP(questions!$C$5,Lookup!$K$13:$K1000,Lookup!$N$13:$N1000,"missing",,1))</f>
        <v>1006870.649</v>
      </c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</row>
    <row r="291">
      <c r="A291" s="55">
        <f t="shared" si="7"/>
        <v>54878</v>
      </c>
      <c r="B291" s="56">
        <f>round(YEARFRAC(EOMONTH(questions!$C$3, 0),A291,1),2)</f>
        <v>51.33</v>
      </c>
      <c r="C291" s="57">
        <f>IF(B291&lt;questions!$C$6,if(MONTH(A291)=1,C290*(1+questions!$C$12),C290),0)</f>
        <v>20327.94106</v>
      </c>
      <c r="D291" s="58">
        <f>IF(MONTH(A291)=12,C291*questions!$C$11,0)</f>
        <v>0</v>
      </c>
      <c r="E291" s="59">
        <f t="shared" si="2"/>
        <v>8000</v>
      </c>
      <c r="F291" s="59">
        <f t="shared" si="3"/>
        <v>0</v>
      </c>
      <c r="G291" s="60">
        <f t="array" ref="G291">if(YEAR(A291)=2025,XLOOKUP(B291,Lookup!$A$3:$A$7,Lookup!$D$3:$D$7,,1)*SUM(E291:F291), XLOOKUP(B291,Lookup!$A$14:$A$18,Lookup!$D$14:$D$18,,1)*SUM(E291:F291))</f>
        <v>2960</v>
      </c>
      <c r="H291" s="60">
        <f t="array" ref="H291">if(YEAR(A291)=2025,XLOOKUP(B291,Lookup!$F$3:$F$10,Lookup!$G$3:$G$10,,1)*G291, XLOOKUP(B291,Lookup!$F$14:$F$21,Lookup!$G$14:$G$21,,1)*G291)</f>
        <v>1200.28</v>
      </c>
      <c r="I291" s="60">
        <f t="array" ref="I291">if(B291&lt;55, if(YEAR(A291)=2025,XLOOKUP(B291,Lookup!$F$3:$F$10,Lookup!$H$3:$H$10,,1)*G291, XLOOKUP(B291,Lookup!$F$14:$F$21,Lookup!$H$14:$H$21,,1)*G291),0)</f>
        <v>919.968</v>
      </c>
      <c r="J291" s="60">
        <f t="array" ref="J291">if(YEAR(A291)=2025,XLOOKUP(B291,Lookup!$F$3:$F$10,Lookup!$I$3:$I$10,,1)*G291, XLOOKUP(B291,Lookup!$F$14:$F$21,Lookup!$I$14:$I$21,,1)*G291)</f>
        <v>839.752</v>
      </c>
      <c r="K291" s="61">
        <f t="array" ref="K291">if(B291&gt;54, if(YEAR(A291)=2025,XLOOKUP(B291,Lookup!$F$3:$F$10,Lookup!$H$3:$H$10,,1)*G291, XLOOKUP(B291,Lookup!$F$14:$F$21,Lookup!$H$14:$H$21,,1)*G291),0)</f>
        <v>0</v>
      </c>
      <c r="L291" s="62">
        <f>IF(and(A291&lt;questions!$C$19,questions!$C$18="yes"),questions!$C$20,0)</f>
        <v>0</v>
      </c>
      <c r="M291" s="63">
        <f>(Y290+H291)*Lookup!A$26/12</f>
        <v>1026.939748</v>
      </c>
      <c r="N291" s="63">
        <f>if(B291&lt;55, (Z290+I291)*Lookup!B$26/12, (AB290+K291)*Lookup!B$26/12)</f>
        <v>1550.67437</v>
      </c>
      <c r="O291" s="63">
        <f>(AA290+J291)*Lookup!C$26/12</f>
        <v>589.3409998</v>
      </c>
      <c r="P291" s="63">
        <f t="shared" si="8"/>
        <v>3073.317495</v>
      </c>
      <c r="Q291" s="63">
        <f t="shared" si="4"/>
        <v>4642.823431</v>
      </c>
      <c r="R291" s="63">
        <f t="shared" si="5"/>
        <v>1759.62548</v>
      </c>
      <c r="S291" s="64">
        <f t="shared" si="9"/>
        <v>16.66666667</v>
      </c>
      <c r="T291" s="64">
        <f t="shared" si="10"/>
        <v>33.33333333</v>
      </c>
      <c r="U291" s="64">
        <f t="shared" si="11"/>
        <v>0</v>
      </c>
      <c r="V291" s="64">
        <f t="shared" ref="V291:X291" si="299">IF(year($A291)=year($A290), V290+S291, S291)</f>
        <v>50</v>
      </c>
      <c r="W291" s="64">
        <f t="shared" si="299"/>
        <v>100</v>
      </c>
      <c r="X291" s="64">
        <f t="shared" si="299"/>
        <v>0</v>
      </c>
      <c r="Y291" s="65">
        <f>IFS(
  B291&lt;55,
    MAX(
      Y290 + IF(MONTH(A291)=12, P291+V291, 0) + H291 - L291
      + MAX(0,
          IF(AA290 &gt;= VLOOKUP(YEAR(A291), Lookup!$Q:$R, 2),
            Z290 + IF(MONTH(A291)=12, Q291+W291, 0) + I291
              + AA290 + IF(MONTH(A291)=12, R291+X291, 0)
              - VLOOKUP(YEAR(A291), Lookup!$Q:$R, 2) + J291,
            Z290 + IF(MONTH(A291)=12, Q291+W291, 0) + I291
          ) - VLOOKUP(YEAR(A291), Lookup!$K:$M, 3)
        ),
    0),
  B291=55,
    IF(Z290&gt;=AD291,
      MAX(Y290 + IF(MONTH(A291)=12, P291+V291, 0) + H291 - L291, 0),
      MAX(MAX(0, Y290-(AD291-Z290)) + IF(MONTH(A291)=12, P291+V291, 0) + H291 - L291, 0)
    ),
  B291&gt;55,
    IF(AB290&gt;=$AH$7,
      MAX(Y290 + IF(MONTH(A291)=12, P291+V291, 0) + H291 - L291 + K291 + Z290, 0),
      MAX(Y290 + IF(MONTH(A291)=12, P291+V291, 0) + H291 - L291, 0)
    )
)</f>
        <v>492931.0792</v>
      </c>
      <c r="Z291" s="65">
        <f>IFS(
  B291&lt;55,
    MIN(
      IF(AA290 &gt;= VLOOKUP(YEAR(A291), Lookup!$Q:$R, 2),
        Z290 + IF(MONTH(A291)=12, Q291+W291, 0) + I291
          + AA290 + IF(MONTH(A291)=12, R291+X291, 0) - VLOOKUP(YEAR(A291), Lookup!$Q:$R, 2) + J291,
        Z290 + IF(MONTH(A291)=12, Q291+W291, 0) + I291
      ),
      VLOOKUP(YEAR(A291), Lookup!$K:$M, 3)
    ),
  B291=55,
    IF(Z290 &gt;= AD291, Z290 - AD291, 0),
  B291&gt;55, 0
)</f>
        <v>465202.3111</v>
      </c>
      <c r="AA291" s="65">
        <f>IFS(
  B291&lt;65,
    IF(AA290+J291 &lt; VLOOKUP(YEAR(A291), Lookup!$Q:$R, 2),
      AA290 + IF(MONTH(A291)=12, R290+X290, 0) + J291,
      MIN(
        AA290 + IF(MONTH(A291)=12, R290+X290, 0) + J291 ,
        VLOOKUP(YEAR(A291), Lookup!$Q:$R, 2)
      )
    ),
  B291&gt;=65,
    IF(AA290+J291 &lt; VLOOKUP(questions!$C$5, Lookup!$Q:$R, 2),
      AA290 + IF(MONTH(A291)=12, R290+X290, 0) + J291 ,
      MIN(
        AA290 + IF(MONTH(A291)=12, R290+X290, 0) + J291,
        VLOOKUP(questions!$C$5, Lookup!$Q:$R, 2)
      )
    )
)</f>
        <v>176802.3</v>
      </c>
      <c r="AB291" s="65">
        <f t="shared" si="13"/>
        <v>0</v>
      </c>
      <c r="AC291" s="66">
        <f t="array" ref="AC291">IFS(B291&lt;66, XLOOKUP(year(A291),Lookup!$K$13:$K1000,Lookup!$L$13:$L1000,"missing",,1),B291&gt;65,XLOOKUP(questions!$C$5,Lookup!$K$13:$K1000,Lookup!$L$13:$L1000,"missing",,1))</f>
        <v>251717.6622</v>
      </c>
      <c r="AD291" s="66">
        <f t="array" ref="AD291">IFS(B291&lt;66, XLOOKUP(year(A291),Lookup!$K$13:$K1000,Lookup!$M$13:$M1000,"missing",,1),B291&gt;65, XLOOKUP(questions!$C$5,Lookup!$K$13:$K1000,Lookup!$M$13:$M1000,"missing",,1))</f>
        <v>503435.3244</v>
      </c>
      <c r="AE291" s="66">
        <f t="array" ref="AE291">IFS(B291&lt;66, XLOOKUP(year(A291),Lookup!$K$13:$K1000,Lookup!$N$13:$N1000,"missing",,1),B291&gt;65,XLOOKUP(questions!$C$5,Lookup!$K$13:$K1000,Lookup!$N$13:$N1000,"missing",,1))</f>
        <v>1006870.649</v>
      </c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</row>
    <row r="292">
      <c r="A292" s="55">
        <f t="shared" si="7"/>
        <v>54908</v>
      </c>
      <c r="B292" s="56">
        <f>round(YEARFRAC(EOMONTH(questions!$C$3, 0),A292,1),2)</f>
        <v>51.41</v>
      </c>
      <c r="C292" s="57">
        <f>IF(B292&lt;questions!$C$6,if(MONTH(A292)=1,C291*(1+questions!$C$12),C291),0)</f>
        <v>20327.94106</v>
      </c>
      <c r="D292" s="58">
        <f>IF(MONTH(A292)=12,C292*questions!$C$11,0)</f>
        <v>0</v>
      </c>
      <c r="E292" s="59">
        <f t="shared" si="2"/>
        <v>8000</v>
      </c>
      <c r="F292" s="59">
        <f t="shared" si="3"/>
        <v>0</v>
      </c>
      <c r="G292" s="60">
        <f t="array" ref="G292">if(YEAR(A292)=2025,XLOOKUP(B292,Lookup!$A$3:$A$7,Lookup!$D$3:$D$7,,1)*SUM(E292:F292), XLOOKUP(B292,Lookup!$A$14:$A$18,Lookup!$D$14:$D$18,,1)*SUM(E292:F292))</f>
        <v>2960</v>
      </c>
      <c r="H292" s="60">
        <f t="array" ref="H292">if(YEAR(A292)=2025,XLOOKUP(B292,Lookup!$F$3:$F$10,Lookup!$G$3:$G$10,,1)*G292, XLOOKUP(B292,Lookup!$F$14:$F$21,Lookup!$G$14:$G$21,,1)*G292)</f>
        <v>1200.28</v>
      </c>
      <c r="I292" s="60">
        <f t="array" ref="I292">if(B292&lt;55, if(YEAR(A292)=2025,XLOOKUP(B292,Lookup!$F$3:$F$10,Lookup!$H$3:$H$10,,1)*G292, XLOOKUP(B292,Lookup!$F$14:$F$21,Lookup!$H$14:$H$21,,1)*G292),0)</f>
        <v>919.968</v>
      </c>
      <c r="J292" s="60">
        <f t="array" ref="J292">if(YEAR(A292)=2025,XLOOKUP(B292,Lookup!$F$3:$F$10,Lookup!$I$3:$I$10,,1)*G292, XLOOKUP(B292,Lookup!$F$14:$F$21,Lookup!$I$14:$I$21,,1)*G292)</f>
        <v>839.752</v>
      </c>
      <c r="K292" s="61">
        <f t="array" ref="K292">if(B292&gt;54, if(YEAR(A292)=2025,XLOOKUP(B292,Lookup!$F$3:$F$10,Lookup!$H$3:$H$10,,1)*G292, XLOOKUP(B292,Lookup!$F$14:$F$21,Lookup!$H$14:$H$21,,1)*G292),0)</f>
        <v>0</v>
      </c>
      <c r="L292" s="62">
        <f>IF(and(A292&lt;questions!$C$19,questions!$C$18="yes"),questions!$C$20,0)</f>
        <v>0</v>
      </c>
      <c r="M292" s="63">
        <f>(Y291+H292)*Lookup!A$26/12</f>
        <v>1029.440332</v>
      </c>
      <c r="N292" s="63">
        <f>if(B292&lt;55, (Z291+I292)*Lookup!B$26/12, (AB291+K292)*Lookup!B$26/12)</f>
        <v>1553.74093</v>
      </c>
      <c r="O292" s="63">
        <f>(AA291+J292)*Lookup!C$26/12</f>
        <v>592.1401732</v>
      </c>
      <c r="P292" s="63">
        <f t="shared" si="8"/>
        <v>4102.757827</v>
      </c>
      <c r="Q292" s="63">
        <f t="shared" si="4"/>
        <v>6196.564362</v>
      </c>
      <c r="R292" s="63">
        <f t="shared" si="5"/>
        <v>2351.765653</v>
      </c>
      <c r="S292" s="64">
        <f t="shared" si="9"/>
        <v>16.66666667</v>
      </c>
      <c r="T292" s="64">
        <f t="shared" si="10"/>
        <v>33.33333333</v>
      </c>
      <c r="U292" s="64">
        <f t="shared" si="11"/>
        <v>0</v>
      </c>
      <c r="V292" s="64">
        <f t="shared" ref="V292:X292" si="300">IF(year($A292)=year($A291), V291+S292, S292)</f>
        <v>66.66666667</v>
      </c>
      <c r="W292" s="64">
        <f t="shared" si="300"/>
        <v>133.3333333</v>
      </c>
      <c r="X292" s="64">
        <f t="shared" si="300"/>
        <v>0</v>
      </c>
      <c r="Y292" s="65">
        <f>IFS(
  B292&lt;55,
    MAX(
      Y291 + IF(MONTH(A292)=12, P292+V292, 0) + H292 - L292
      + MAX(0,
          IF(AA291 &gt;= VLOOKUP(YEAR(A292), Lookup!$Q:$R, 2),
            Z291 + IF(MONTH(A292)=12, Q292+W292, 0) + I292
              + AA291 + IF(MONTH(A292)=12, R292+X292, 0)
              - VLOOKUP(YEAR(A292), Lookup!$Q:$R, 2) + J292,
            Z291 + IF(MONTH(A292)=12, Q292+W292, 0) + I292
          ) - VLOOKUP(YEAR(A292), Lookup!$K:$M, 3)
        ),
    0),
  B292=55,
    IF(Z291&gt;=AD292,
      MAX(Y291 + IF(MONTH(A292)=12, P292+V292, 0) + H292 - L292, 0),
      MAX(MAX(0, Y291-(AD292-Z291)) + IF(MONTH(A292)=12, P292+V292, 0) + H292 - L292, 0)
    ),
  B292&gt;55,
    IF(AB291&gt;=$AH$7,
      MAX(Y291 + IF(MONTH(A292)=12, P292+V292, 0) + H292 - L292 + K292 + Z291, 0),
      MAX(Y291 + IF(MONTH(A292)=12, P292+V292, 0) + H292 - L292, 0)
    )
)</f>
        <v>494131.3592</v>
      </c>
      <c r="Z292" s="65">
        <f>IFS(
  B292&lt;55,
    MIN(
      IF(AA291 &gt;= VLOOKUP(YEAR(A292), Lookup!$Q:$R, 2),
        Z291 + IF(MONTH(A292)=12, Q292+W292, 0) + I292
          + AA291 + IF(MONTH(A292)=12, R292+X292, 0) - VLOOKUP(YEAR(A292), Lookup!$Q:$R, 2) + J292,
        Z291 + IF(MONTH(A292)=12, Q292+W292, 0) + I292
      ),
      VLOOKUP(YEAR(A292), Lookup!$K:$M, 3)
    ),
  B292=55,
    IF(Z291 &gt;= AD292, Z291 - AD292, 0),
  B292&gt;55, 0
)</f>
        <v>466122.2791</v>
      </c>
      <c r="AA292" s="65">
        <f>IFS(
  B292&lt;65,
    IF(AA291+J292 &lt; VLOOKUP(YEAR(A292), Lookup!$Q:$R, 2),
      AA291 + IF(MONTH(A292)=12, R291+X291, 0) + J292,
      MIN(
        AA291 + IF(MONTH(A292)=12, R291+X291, 0) + J292 ,
        VLOOKUP(YEAR(A292), Lookup!$Q:$R, 2)
      )
    ),
  B292&gt;=65,
    IF(AA291+J292 &lt; VLOOKUP(questions!$C$5, Lookup!$Q:$R, 2),
      AA291 + IF(MONTH(A292)=12, R291+X291, 0) + J292 ,
      MIN(
        AA291 + IF(MONTH(A292)=12, R291+X291, 0) + J292,
        VLOOKUP(questions!$C$5, Lookup!$Q:$R, 2)
      )
    )
)</f>
        <v>177642.052</v>
      </c>
      <c r="AB292" s="65">
        <f t="shared" si="13"/>
        <v>0</v>
      </c>
      <c r="AC292" s="66">
        <f t="array" ref="AC292">IFS(B292&lt;66, XLOOKUP(year(A292),Lookup!$K$13:$K1000,Lookup!$L$13:$L1000,"missing",,1),B292&gt;65,XLOOKUP(questions!$C$5,Lookup!$K$13:$K1000,Lookup!$L$13:$L1000,"missing",,1))</f>
        <v>251717.6622</v>
      </c>
      <c r="AD292" s="66">
        <f t="array" ref="AD292">IFS(B292&lt;66, XLOOKUP(year(A292),Lookup!$K$13:$K1000,Lookup!$M$13:$M1000,"missing",,1),B292&gt;65, XLOOKUP(questions!$C$5,Lookup!$K$13:$K1000,Lookup!$M$13:$M1000,"missing",,1))</f>
        <v>503435.3244</v>
      </c>
      <c r="AE292" s="66">
        <f t="array" ref="AE292">IFS(B292&lt;66, XLOOKUP(year(A292),Lookup!$K$13:$K1000,Lookup!$N$13:$N1000,"missing",,1),B292&gt;65,XLOOKUP(questions!$C$5,Lookup!$K$13:$K1000,Lookup!$N$13:$N1000,"missing",,1))</f>
        <v>1006870.649</v>
      </c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</row>
    <row r="293">
      <c r="A293" s="55">
        <f t="shared" si="7"/>
        <v>54939</v>
      </c>
      <c r="B293" s="56">
        <f>round(YEARFRAC(EOMONTH(questions!$C$3, 0),A293,1),2)</f>
        <v>51.5</v>
      </c>
      <c r="C293" s="57">
        <f>IF(B293&lt;questions!$C$6,if(MONTH(A293)=1,C292*(1+questions!$C$12),C292),0)</f>
        <v>20327.94106</v>
      </c>
      <c r="D293" s="58">
        <f>IF(MONTH(A293)=12,C293*questions!$C$11,0)</f>
        <v>0</v>
      </c>
      <c r="E293" s="59">
        <f t="shared" si="2"/>
        <v>8000</v>
      </c>
      <c r="F293" s="59">
        <f t="shared" si="3"/>
        <v>0</v>
      </c>
      <c r="G293" s="60">
        <f t="array" ref="G293">if(YEAR(A293)=2025,XLOOKUP(B293,Lookup!$A$3:$A$7,Lookup!$D$3:$D$7,,1)*SUM(E293:F293), XLOOKUP(B293,Lookup!$A$14:$A$18,Lookup!$D$14:$D$18,,1)*SUM(E293:F293))</f>
        <v>2960</v>
      </c>
      <c r="H293" s="60">
        <f t="array" ref="H293">if(YEAR(A293)=2025,XLOOKUP(B293,Lookup!$F$3:$F$10,Lookup!$G$3:$G$10,,1)*G293, XLOOKUP(B293,Lookup!$F$14:$F$21,Lookup!$G$14:$G$21,,1)*G293)</f>
        <v>1200.28</v>
      </c>
      <c r="I293" s="60">
        <f t="array" ref="I293">if(B293&lt;55, if(YEAR(A293)=2025,XLOOKUP(B293,Lookup!$F$3:$F$10,Lookup!$H$3:$H$10,,1)*G293, XLOOKUP(B293,Lookup!$F$14:$F$21,Lookup!$H$14:$H$21,,1)*G293),0)</f>
        <v>919.968</v>
      </c>
      <c r="J293" s="60">
        <f t="array" ref="J293">if(YEAR(A293)=2025,XLOOKUP(B293,Lookup!$F$3:$F$10,Lookup!$I$3:$I$10,,1)*G293, XLOOKUP(B293,Lookup!$F$14:$F$21,Lookup!$I$14:$I$21,,1)*G293)</f>
        <v>839.752</v>
      </c>
      <c r="K293" s="61">
        <f t="array" ref="K293">if(B293&gt;54, if(YEAR(A293)=2025,XLOOKUP(B293,Lookup!$F$3:$F$10,Lookup!$H$3:$H$10,,1)*G293, XLOOKUP(B293,Lookup!$F$14:$F$21,Lookup!$H$14:$H$21,,1)*G293),0)</f>
        <v>0</v>
      </c>
      <c r="L293" s="62">
        <f>IF(and(A293&lt;questions!$C$19,questions!$C$18="yes"),questions!$C$20,0)</f>
        <v>0</v>
      </c>
      <c r="M293" s="63">
        <f>(Y292+H293)*Lookup!A$26/12</f>
        <v>1031.940915</v>
      </c>
      <c r="N293" s="63">
        <f>if(B293&lt;55, (Z292+I293)*Lookup!B$26/12, (AB292+K293)*Lookup!B$26/12)</f>
        <v>1556.80749</v>
      </c>
      <c r="O293" s="63">
        <f>(AA292+J293)*Lookup!C$26/12</f>
        <v>594.9393465</v>
      </c>
      <c r="P293" s="63">
        <f t="shared" si="8"/>
        <v>5134.698742</v>
      </c>
      <c r="Q293" s="63">
        <f t="shared" si="4"/>
        <v>7753.371852</v>
      </c>
      <c r="R293" s="63">
        <f t="shared" si="5"/>
        <v>2946.704999</v>
      </c>
      <c r="S293" s="64">
        <f t="shared" si="9"/>
        <v>16.66666667</v>
      </c>
      <c r="T293" s="64">
        <f t="shared" si="10"/>
        <v>33.33333333</v>
      </c>
      <c r="U293" s="64">
        <f t="shared" si="11"/>
        <v>0</v>
      </c>
      <c r="V293" s="64">
        <f t="shared" ref="V293:X293" si="301">IF(year($A293)=year($A292), V292+S293, S293)</f>
        <v>83.33333333</v>
      </c>
      <c r="W293" s="64">
        <f t="shared" si="301"/>
        <v>166.6666667</v>
      </c>
      <c r="X293" s="64">
        <f t="shared" si="301"/>
        <v>0</v>
      </c>
      <c r="Y293" s="65">
        <f>IFS(
  B293&lt;55,
    MAX(
      Y292 + IF(MONTH(A293)=12, P293+V293, 0) + H293 - L293
      + MAX(0,
          IF(AA292 &gt;= VLOOKUP(YEAR(A293), Lookup!$Q:$R, 2),
            Z292 + IF(MONTH(A293)=12, Q293+W293, 0) + I293
              + AA292 + IF(MONTH(A293)=12, R293+X293, 0)
              - VLOOKUP(YEAR(A293), Lookup!$Q:$R, 2) + J293,
            Z292 + IF(MONTH(A293)=12, Q293+W293, 0) + I293
          ) - VLOOKUP(YEAR(A293), Lookup!$K:$M, 3)
        ),
    0),
  B293=55,
    IF(Z292&gt;=AD293,
      MAX(Y292 + IF(MONTH(A293)=12, P293+V293, 0) + H293 - L293, 0),
      MAX(MAX(0, Y292-(AD293-Z292)) + IF(MONTH(A293)=12, P293+V293, 0) + H293 - L293, 0)
    ),
  B293&gt;55,
    IF(AB292&gt;=$AH$7,
      MAX(Y292 + IF(MONTH(A293)=12, P293+V293, 0) + H293 - L293 + K293 + Z292, 0),
      MAX(Y292 + IF(MONTH(A293)=12, P293+V293, 0) + H293 - L293, 0)
    )
)</f>
        <v>495331.6392</v>
      </c>
      <c r="Z293" s="65">
        <f>IFS(
  B293&lt;55,
    MIN(
      IF(AA292 &gt;= VLOOKUP(YEAR(A293), Lookup!$Q:$R, 2),
        Z292 + IF(MONTH(A293)=12, Q293+W293, 0) + I293
          + AA292 + IF(MONTH(A293)=12, R293+X293, 0) - VLOOKUP(YEAR(A293), Lookup!$Q:$R, 2) + J293,
        Z292 + IF(MONTH(A293)=12, Q293+W293, 0) + I293
      ),
      VLOOKUP(YEAR(A293), Lookup!$K:$M, 3)
    ),
  B293=55,
    IF(Z292 &gt;= AD293, Z292 - AD293, 0),
  B293&gt;55, 0
)</f>
        <v>467042.2471</v>
      </c>
      <c r="AA293" s="65">
        <f>IFS(
  B293&lt;65,
    IF(AA292+J293 &lt; VLOOKUP(YEAR(A293), Lookup!$Q:$R, 2),
      AA292 + IF(MONTH(A293)=12, R292+X292, 0) + J293,
      MIN(
        AA292 + IF(MONTH(A293)=12, R292+X292, 0) + J293 ,
        VLOOKUP(YEAR(A293), Lookup!$Q:$R, 2)
      )
    ),
  B293&gt;=65,
    IF(AA292+J293 &lt; VLOOKUP(questions!$C$5, Lookup!$Q:$R, 2),
      AA292 + IF(MONTH(A293)=12, R292+X292, 0) + J293 ,
      MIN(
        AA292 + IF(MONTH(A293)=12, R292+X292, 0) + J293,
        VLOOKUP(questions!$C$5, Lookup!$Q:$R, 2)
      )
    )
)</f>
        <v>178481.804</v>
      </c>
      <c r="AB293" s="65">
        <f t="shared" si="13"/>
        <v>0</v>
      </c>
      <c r="AC293" s="66">
        <f t="array" ref="AC293">IFS(B293&lt;66, XLOOKUP(year(A293),Lookup!$K$13:$K1000,Lookup!$L$13:$L1000,"missing",,1),B293&gt;65,XLOOKUP(questions!$C$5,Lookup!$K$13:$K1000,Lookup!$L$13:$L1000,"missing",,1))</f>
        <v>251717.6622</v>
      </c>
      <c r="AD293" s="66">
        <f t="array" ref="AD293">IFS(B293&lt;66, XLOOKUP(year(A293),Lookup!$K$13:$K1000,Lookup!$M$13:$M1000,"missing",,1),B293&gt;65, XLOOKUP(questions!$C$5,Lookup!$K$13:$K1000,Lookup!$M$13:$M1000,"missing",,1))</f>
        <v>503435.3244</v>
      </c>
      <c r="AE293" s="66">
        <f t="array" ref="AE293">IFS(B293&lt;66, XLOOKUP(year(A293),Lookup!$K$13:$K1000,Lookup!$N$13:$N1000,"missing",,1),B293&gt;65,XLOOKUP(questions!$C$5,Lookup!$K$13:$K1000,Lookup!$N$13:$N1000,"missing",,1))</f>
        <v>1006870.649</v>
      </c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</row>
    <row r="294">
      <c r="A294" s="55">
        <f t="shared" si="7"/>
        <v>54969</v>
      </c>
      <c r="B294" s="56">
        <f>round(YEARFRAC(EOMONTH(questions!$C$3, 0),A294,1),2)</f>
        <v>51.58</v>
      </c>
      <c r="C294" s="57">
        <f>IF(B294&lt;questions!$C$6,if(MONTH(A294)=1,C293*(1+questions!$C$12),C293),0)</f>
        <v>20327.94106</v>
      </c>
      <c r="D294" s="58">
        <f>IF(MONTH(A294)=12,C294*questions!$C$11,0)</f>
        <v>0</v>
      </c>
      <c r="E294" s="59">
        <f t="shared" si="2"/>
        <v>8000</v>
      </c>
      <c r="F294" s="59">
        <f t="shared" si="3"/>
        <v>0</v>
      </c>
      <c r="G294" s="60">
        <f t="array" ref="G294">if(YEAR(A294)=2025,XLOOKUP(B294,Lookup!$A$3:$A$7,Lookup!$D$3:$D$7,,1)*SUM(E294:F294), XLOOKUP(B294,Lookup!$A$14:$A$18,Lookup!$D$14:$D$18,,1)*SUM(E294:F294))</f>
        <v>2960</v>
      </c>
      <c r="H294" s="60">
        <f t="array" ref="H294">if(YEAR(A294)=2025,XLOOKUP(B294,Lookup!$F$3:$F$10,Lookup!$G$3:$G$10,,1)*G294, XLOOKUP(B294,Lookup!$F$14:$F$21,Lookup!$G$14:$G$21,,1)*G294)</f>
        <v>1200.28</v>
      </c>
      <c r="I294" s="60">
        <f t="array" ref="I294">if(B294&lt;55, if(YEAR(A294)=2025,XLOOKUP(B294,Lookup!$F$3:$F$10,Lookup!$H$3:$H$10,,1)*G294, XLOOKUP(B294,Lookup!$F$14:$F$21,Lookup!$H$14:$H$21,,1)*G294),0)</f>
        <v>919.968</v>
      </c>
      <c r="J294" s="60">
        <f t="array" ref="J294">if(YEAR(A294)=2025,XLOOKUP(B294,Lookup!$F$3:$F$10,Lookup!$I$3:$I$10,,1)*G294, XLOOKUP(B294,Lookup!$F$14:$F$21,Lookup!$I$14:$I$21,,1)*G294)</f>
        <v>839.752</v>
      </c>
      <c r="K294" s="61">
        <f t="array" ref="K294">if(B294&gt;54, if(YEAR(A294)=2025,XLOOKUP(B294,Lookup!$F$3:$F$10,Lookup!$H$3:$H$10,,1)*G294, XLOOKUP(B294,Lookup!$F$14:$F$21,Lookup!$H$14:$H$21,,1)*G294),0)</f>
        <v>0</v>
      </c>
      <c r="L294" s="62">
        <f>IF(and(A294&lt;questions!$C$19,questions!$C$18="yes"),questions!$C$20,0)</f>
        <v>0</v>
      </c>
      <c r="M294" s="63">
        <f>(Y293+H294)*Lookup!A$26/12</f>
        <v>1034.441498</v>
      </c>
      <c r="N294" s="63">
        <f>if(B294&lt;55, (Z293+I294)*Lookup!B$26/12, (AB293+K294)*Lookup!B$26/12)</f>
        <v>1559.87405</v>
      </c>
      <c r="O294" s="63">
        <f>(AA293+J294)*Lookup!C$26/12</f>
        <v>597.7385198</v>
      </c>
      <c r="P294" s="63">
        <f t="shared" si="8"/>
        <v>6169.140241</v>
      </c>
      <c r="Q294" s="63">
        <f t="shared" si="4"/>
        <v>9313.245902</v>
      </c>
      <c r="R294" s="63">
        <f t="shared" si="5"/>
        <v>3544.443519</v>
      </c>
      <c r="S294" s="64">
        <f t="shared" si="9"/>
        <v>16.66666667</v>
      </c>
      <c r="T294" s="64">
        <f t="shared" si="10"/>
        <v>33.33333333</v>
      </c>
      <c r="U294" s="64">
        <f t="shared" si="11"/>
        <v>0</v>
      </c>
      <c r="V294" s="64">
        <f t="shared" ref="V294:X294" si="302">IF(year($A294)=year($A293), V293+S294, S294)</f>
        <v>100</v>
      </c>
      <c r="W294" s="64">
        <f t="shared" si="302"/>
        <v>200</v>
      </c>
      <c r="X294" s="64">
        <f t="shared" si="302"/>
        <v>0</v>
      </c>
      <c r="Y294" s="65">
        <f>IFS(
  B294&lt;55,
    MAX(
      Y293 + IF(MONTH(A294)=12, P294+V294, 0) + H294 - L294
      + MAX(0,
          IF(AA293 &gt;= VLOOKUP(YEAR(A294), Lookup!$Q:$R, 2),
            Z293 + IF(MONTH(A294)=12, Q294+W294, 0) + I294
              + AA293 + IF(MONTH(A294)=12, R294+X294, 0)
              - VLOOKUP(YEAR(A294), Lookup!$Q:$R, 2) + J294,
            Z293 + IF(MONTH(A294)=12, Q294+W294, 0) + I294
          ) - VLOOKUP(YEAR(A294), Lookup!$K:$M, 3)
        ),
    0),
  B294=55,
    IF(Z293&gt;=AD294,
      MAX(Y293 + IF(MONTH(A294)=12, P294+V294, 0) + H294 - L294, 0),
      MAX(MAX(0, Y293-(AD294-Z293)) + IF(MONTH(A294)=12, P294+V294, 0) + H294 - L294, 0)
    ),
  B294&gt;55,
    IF(AB293&gt;=$AH$7,
      MAX(Y293 + IF(MONTH(A294)=12, P294+V294, 0) + H294 - L294 + K294 + Z293, 0),
      MAX(Y293 + IF(MONTH(A294)=12, P294+V294, 0) + H294 - L294, 0)
    )
)</f>
        <v>496531.9192</v>
      </c>
      <c r="Z294" s="65">
        <f>IFS(
  B294&lt;55,
    MIN(
      IF(AA293 &gt;= VLOOKUP(YEAR(A294), Lookup!$Q:$R, 2),
        Z293 + IF(MONTH(A294)=12, Q294+W294, 0) + I294
          + AA293 + IF(MONTH(A294)=12, R294+X294, 0) - VLOOKUP(YEAR(A294), Lookup!$Q:$R, 2) + J294,
        Z293 + IF(MONTH(A294)=12, Q294+W294, 0) + I294
      ),
      VLOOKUP(YEAR(A294), Lookup!$K:$M, 3)
    ),
  B294=55,
    IF(Z293 &gt;= AD294, Z293 - AD294, 0),
  B294&gt;55, 0
)</f>
        <v>467962.2151</v>
      </c>
      <c r="AA294" s="65">
        <f>IFS(
  B294&lt;65,
    IF(AA293+J294 &lt; VLOOKUP(YEAR(A294), Lookup!$Q:$R, 2),
      AA293 + IF(MONTH(A294)=12, R293+X293, 0) + J294,
      MIN(
        AA293 + IF(MONTH(A294)=12, R293+X293, 0) + J294 ,
        VLOOKUP(YEAR(A294), Lookup!$Q:$R, 2)
      )
    ),
  B294&gt;=65,
    IF(AA293+J294 &lt; VLOOKUP(questions!$C$5, Lookup!$Q:$R, 2),
      AA293 + IF(MONTH(A294)=12, R293+X293, 0) + J294 ,
      MIN(
        AA293 + IF(MONTH(A294)=12, R293+X293, 0) + J294,
        VLOOKUP(questions!$C$5, Lookup!$Q:$R, 2)
      )
    )
)</f>
        <v>179321.556</v>
      </c>
      <c r="AB294" s="65">
        <f t="shared" si="13"/>
        <v>0</v>
      </c>
      <c r="AC294" s="66">
        <f t="array" ref="AC294">IFS(B294&lt;66, XLOOKUP(year(A294),Lookup!$K$13:$K1000,Lookup!$L$13:$L1000,"missing",,1),B294&gt;65,XLOOKUP(questions!$C$5,Lookup!$K$13:$K1000,Lookup!$L$13:$L1000,"missing",,1))</f>
        <v>251717.6622</v>
      </c>
      <c r="AD294" s="66">
        <f t="array" ref="AD294">IFS(B294&lt;66, XLOOKUP(year(A294),Lookup!$K$13:$K1000,Lookup!$M$13:$M1000,"missing",,1),B294&gt;65, XLOOKUP(questions!$C$5,Lookup!$K$13:$K1000,Lookup!$M$13:$M1000,"missing",,1))</f>
        <v>503435.3244</v>
      </c>
      <c r="AE294" s="66">
        <f t="array" ref="AE294">IFS(B294&lt;66, XLOOKUP(year(A294),Lookup!$K$13:$K1000,Lookup!$N$13:$N1000,"missing",,1),B294&gt;65,XLOOKUP(questions!$C$5,Lookup!$K$13:$K1000,Lookup!$N$13:$N1000,"missing",,1))</f>
        <v>1006870.649</v>
      </c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</row>
    <row r="295">
      <c r="A295" s="55">
        <f t="shared" si="7"/>
        <v>55000</v>
      </c>
      <c r="B295" s="56">
        <f>round(YEARFRAC(EOMONTH(questions!$C$3, 0),A295,1),2)</f>
        <v>51.67</v>
      </c>
      <c r="C295" s="57">
        <f>IF(B295&lt;questions!$C$6,if(MONTH(A295)=1,C294*(1+questions!$C$12),C294),0)</f>
        <v>20327.94106</v>
      </c>
      <c r="D295" s="58">
        <f>IF(MONTH(A295)=12,C295*questions!$C$11,0)</f>
        <v>0</v>
      </c>
      <c r="E295" s="59">
        <f t="shared" si="2"/>
        <v>8000</v>
      </c>
      <c r="F295" s="59">
        <f t="shared" si="3"/>
        <v>0</v>
      </c>
      <c r="G295" s="60">
        <f t="array" ref="G295">if(YEAR(A295)=2025,XLOOKUP(B295,Lookup!$A$3:$A$7,Lookup!$D$3:$D$7,,1)*SUM(E295:F295), XLOOKUP(B295,Lookup!$A$14:$A$18,Lookup!$D$14:$D$18,,1)*SUM(E295:F295))</f>
        <v>2960</v>
      </c>
      <c r="H295" s="60">
        <f t="array" ref="H295">if(YEAR(A295)=2025,XLOOKUP(B295,Lookup!$F$3:$F$10,Lookup!$G$3:$G$10,,1)*G295, XLOOKUP(B295,Lookup!$F$14:$F$21,Lookup!$G$14:$G$21,,1)*G295)</f>
        <v>1200.28</v>
      </c>
      <c r="I295" s="60">
        <f t="array" ref="I295">if(B295&lt;55, if(YEAR(A295)=2025,XLOOKUP(B295,Lookup!$F$3:$F$10,Lookup!$H$3:$H$10,,1)*G295, XLOOKUP(B295,Lookup!$F$14:$F$21,Lookup!$H$14:$H$21,,1)*G295),0)</f>
        <v>919.968</v>
      </c>
      <c r="J295" s="60">
        <f t="array" ref="J295">if(YEAR(A295)=2025,XLOOKUP(B295,Lookup!$F$3:$F$10,Lookup!$I$3:$I$10,,1)*G295, XLOOKUP(B295,Lookup!$F$14:$F$21,Lookup!$I$14:$I$21,,1)*G295)</f>
        <v>839.752</v>
      </c>
      <c r="K295" s="61">
        <f t="array" ref="K295">if(B295&gt;54, if(YEAR(A295)=2025,XLOOKUP(B295,Lookup!$F$3:$F$10,Lookup!$H$3:$H$10,,1)*G295, XLOOKUP(B295,Lookup!$F$14:$F$21,Lookup!$H$14:$H$21,,1)*G295),0)</f>
        <v>0</v>
      </c>
      <c r="L295" s="62">
        <f>IF(and(A295&lt;questions!$C$19,questions!$C$18="yes"),questions!$C$20,0)</f>
        <v>0</v>
      </c>
      <c r="M295" s="63">
        <f>(Y294+H295)*Lookup!A$26/12</f>
        <v>1036.942082</v>
      </c>
      <c r="N295" s="63">
        <f>if(B295&lt;55, (Z294+I295)*Lookup!B$26/12, (AB294+K295)*Lookup!B$26/12)</f>
        <v>1562.94061</v>
      </c>
      <c r="O295" s="63">
        <f>(AA294+J295)*Lookup!C$26/12</f>
        <v>600.5376932</v>
      </c>
      <c r="P295" s="63">
        <f t="shared" si="8"/>
        <v>7206.082322</v>
      </c>
      <c r="Q295" s="63">
        <f t="shared" si="4"/>
        <v>10876.18651</v>
      </c>
      <c r="R295" s="63">
        <f t="shared" si="5"/>
        <v>4144.981212</v>
      </c>
      <c r="S295" s="64">
        <f t="shared" si="9"/>
        <v>16.66666667</v>
      </c>
      <c r="T295" s="64">
        <f t="shared" si="10"/>
        <v>33.33333333</v>
      </c>
      <c r="U295" s="64">
        <f t="shared" si="11"/>
        <v>0</v>
      </c>
      <c r="V295" s="64">
        <f t="shared" ref="V295:X295" si="303">IF(year($A295)=year($A294), V294+S295, S295)</f>
        <v>116.6666667</v>
      </c>
      <c r="W295" s="64">
        <f t="shared" si="303"/>
        <v>233.3333333</v>
      </c>
      <c r="X295" s="64">
        <f t="shared" si="303"/>
        <v>0</v>
      </c>
      <c r="Y295" s="65">
        <f>IFS(
  B295&lt;55,
    MAX(
      Y294 + IF(MONTH(A295)=12, P295+V295, 0) + H295 - L295
      + MAX(0,
          IF(AA294 &gt;= VLOOKUP(YEAR(A295), Lookup!$Q:$R, 2),
            Z294 + IF(MONTH(A295)=12, Q295+W295, 0) + I295
              + AA294 + IF(MONTH(A295)=12, R295+X295, 0)
              - VLOOKUP(YEAR(A295), Lookup!$Q:$R, 2) + J295,
            Z294 + IF(MONTH(A295)=12, Q295+W295, 0) + I295
          ) - VLOOKUP(YEAR(A295), Lookup!$K:$M, 3)
        ),
    0),
  B295=55,
    IF(Z294&gt;=AD295,
      MAX(Y294 + IF(MONTH(A295)=12, P295+V295, 0) + H295 - L295, 0),
      MAX(MAX(0, Y294-(AD295-Z294)) + IF(MONTH(A295)=12, P295+V295, 0) + H295 - L295, 0)
    ),
  B295&gt;55,
    IF(AB294&gt;=$AH$7,
      MAX(Y294 + IF(MONTH(A295)=12, P295+V295, 0) + H295 - L295 + K295 + Z294, 0),
      MAX(Y294 + IF(MONTH(A295)=12, P295+V295, 0) + H295 - L295, 0)
    )
)</f>
        <v>497732.1992</v>
      </c>
      <c r="Z295" s="65">
        <f>IFS(
  B295&lt;55,
    MIN(
      IF(AA294 &gt;= VLOOKUP(YEAR(A295), Lookup!$Q:$R, 2),
        Z294 + IF(MONTH(A295)=12, Q295+W295, 0) + I295
          + AA294 + IF(MONTH(A295)=12, R295+X295, 0) - VLOOKUP(YEAR(A295), Lookup!$Q:$R, 2) + J295,
        Z294 + IF(MONTH(A295)=12, Q295+W295, 0) + I295
      ),
      VLOOKUP(YEAR(A295), Lookup!$K:$M, 3)
    ),
  B295=55,
    IF(Z294 &gt;= AD295, Z294 - AD295, 0),
  B295&gt;55, 0
)</f>
        <v>468882.1831</v>
      </c>
      <c r="AA295" s="65">
        <f>IFS(
  B295&lt;65,
    IF(AA294+J295 &lt; VLOOKUP(YEAR(A295), Lookup!$Q:$R, 2),
      AA294 + IF(MONTH(A295)=12, R294+X294, 0) + J295,
      MIN(
        AA294 + IF(MONTH(A295)=12, R294+X294, 0) + J295 ,
        VLOOKUP(YEAR(A295), Lookup!$Q:$R, 2)
      )
    ),
  B295&gt;=65,
    IF(AA294+J295 &lt; VLOOKUP(questions!$C$5, Lookup!$Q:$R, 2),
      AA294 + IF(MONTH(A295)=12, R294+X294, 0) + J295 ,
      MIN(
        AA294 + IF(MONTH(A295)=12, R294+X294, 0) + J295,
        VLOOKUP(questions!$C$5, Lookup!$Q:$R, 2)
      )
    )
)</f>
        <v>180161.308</v>
      </c>
      <c r="AB295" s="65">
        <f t="shared" si="13"/>
        <v>0</v>
      </c>
      <c r="AC295" s="66">
        <f t="array" ref="AC295">IFS(B295&lt;66, XLOOKUP(year(A295),Lookup!$K$13:$K1000,Lookup!$L$13:$L1000,"missing",,1),B295&gt;65,XLOOKUP(questions!$C$5,Lookup!$K$13:$K1000,Lookup!$L$13:$L1000,"missing",,1))</f>
        <v>251717.6622</v>
      </c>
      <c r="AD295" s="66">
        <f t="array" ref="AD295">IFS(B295&lt;66, XLOOKUP(year(A295),Lookup!$K$13:$K1000,Lookup!$M$13:$M1000,"missing",,1),B295&gt;65, XLOOKUP(questions!$C$5,Lookup!$K$13:$K1000,Lookup!$M$13:$M1000,"missing",,1))</f>
        <v>503435.3244</v>
      </c>
      <c r="AE295" s="66">
        <f t="array" ref="AE295">IFS(B295&lt;66, XLOOKUP(year(A295),Lookup!$K$13:$K1000,Lookup!$N$13:$N1000,"missing",,1),B295&gt;65,XLOOKUP(questions!$C$5,Lookup!$K$13:$K1000,Lookup!$N$13:$N1000,"missing",,1))</f>
        <v>1006870.649</v>
      </c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</row>
    <row r="296">
      <c r="A296" s="55">
        <f t="shared" si="7"/>
        <v>55031</v>
      </c>
      <c r="B296" s="56">
        <f>round(YEARFRAC(EOMONTH(questions!$C$3, 0),A296,1),2)</f>
        <v>51.75</v>
      </c>
      <c r="C296" s="57">
        <f>IF(B296&lt;questions!$C$6,if(MONTH(A296)=1,C295*(1+questions!$C$12),C295),0)</f>
        <v>20327.94106</v>
      </c>
      <c r="D296" s="58">
        <f>IF(MONTH(A296)=12,C296*questions!$C$11,0)</f>
        <v>0</v>
      </c>
      <c r="E296" s="59">
        <f t="shared" si="2"/>
        <v>8000</v>
      </c>
      <c r="F296" s="59">
        <f t="shared" si="3"/>
        <v>0</v>
      </c>
      <c r="G296" s="60">
        <f t="array" ref="G296">if(YEAR(A296)=2025,XLOOKUP(B296,Lookup!$A$3:$A$7,Lookup!$D$3:$D$7,,1)*SUM(E296:F296), XLOOKUP(B296,Lookup!$A$14:$A$18,Lookup!$D$14:$D$18,,1)*SUM(E296:F296))</f>
        <v>2960</v>
      </c>
      <c r="H296" s="60">
        <f t="array" ref="H296">if(YEAR(A296)=2025,XLOOKUP(B296,Lookup!$F$3:$F$10,Lookup!$G$3:$G$10,,1)*G296, XLOOKUP(B296,Lookup!$F$14:$F$21,Lookup!$G$14:$G$21,,1)*G296)</f>
        <v>1200.28</v>
      </c>
      <c r="I296" s="60">
        <f t="array" ref="I296">if(B296&lt;55, if(YEAR(A296)=2025,XLOOKUP(B296,Lookup!$F$3:$F$10,Lookup!$H$3:$H$10,,1)*G296, XLOOKUP(B296,Lookup!$F$14:$F$21,Lookup!$H$14:$H$21,,1)*G296),0)</f>
        <v>919.968</v>
      </c>
      <c r="J296" s="60">
        <f t="array" ref="J296">if(YEAR(A296)=2025,XLOOKUP(B296,Lookup!$F$3:$F$10,Lookup!$I$3:$I$10,,1)*G296, XLOOKUP(B296,Lookup!$F$14:$F$21,Lookup!$I$14:$I$21,,1)*G296)</f>
        <v>839.752</v>
      </c>
      <c r="K296" s="61">
        <f t="array" ref="K296">if(B296&gt;54, if(YEAR(A296)=2025,XLOOKUP(B296,Lookup!$F$3:$F$10,Lookup!$H$3:$H$10,,1)*G296, XLOOKUP(B296,Lookup!$F$14:$F$21,Lookup!$H$14:$H$21,,1)*G296),0)</f>
        <v>0</v>
      </c>
      <c r="L296" s="62">
        <f>IF(and(A296&lt;questions!$C$19,questions!$C$18="yes"),questions!$C$20,0)</f>
        <v>0</v>
      </c>
      <c r="M296" s="63">
        <f>(Y295+H296)*Lookup!A$26/12</f>
        <v>1039.442665</v>
      </c>
      <c r="N296" s="63">
        <f>if(B296&lt;55, (Z295+I296)*Lookup!B$26/12, (AB295+K296)*Lookup!B$26/12)</f>
        <v>1566.00717</v>
      </c>
      <c r="O296" s="63">
        <f>(AA295+J296)*Lookup!C$26/12</f>
        <v>603.3368665</v>
      </c>
      <c r="P296" s="63">
        <f t="shared" si="8"/>
        <v>8245.524987</v>
      </c>
      <c r="Q296" s="63">
        <f t="shared" si="4"/>
        <v>12442.19368</v>
      </c>
      <c r="R296" s="63">
        <f t="shared" si="5"/>
        <v>4748.318079</v>
      </c>
      <c r="S296" s="64">
        <f t="shared" si="9"/>
        <v>16.66666667</v>
      </c>
      <c r="T296" s="64">
        <f t="shared" si="10"/>
        <v>33.33333333</v>
      </c>
      <c r="U296" s="64">
        <f t="shared" si="11"/>
        <v>0</v>
      </c>
      <c r="V296" s="64">
        <f t="shared" ref="V296:X296" si="304">IF(year($A296)=year($A295), V295+S296, S296)</f>
        <v>133.3333333</v>
      </c>
      <c r="W296" s="64">
        <f t="shared" si="304"/>
        <v>266.6666667</v>
      </c>
      <c r="X296" s="64">
        <f t="shared" si="304"/>
        <v>0</v>
      </c>
      <c r="Y296" s="65">
        <f>IFS(
  B296&lt;55,
    MAX(
      Y295 + IF(MONTH(A296)=12, P296+V296, 0) + H296 - L296
      + MAX(0,
          IF(AA295 &gt;= VLOOKUP(YEAR(A296), Lookup!$Q:$R, 2),
            Z295 + IF(MONTH(A296)=12, Q296+W296, 0) + I296
              + AA295 + IF(MONTH(A296)=12, R296+X296, 0)
              - VLOOKUP(YEAR(A296), Lookup!$Q:$R, 2) + J296,
            Z295 + IF(MONTH(A296)=12, Q296+W296, 0) + I296
          ) - VLOOKUP(YEAR(A296), Lookup!$K:$M, 3)
        ),
    0),
  B296=55,
    IF(Z295&gt;=AD296,
      MAX(Y295 + IF(MONTH(A296)=12, P296+V296, 0) + H296 - L296, 0),
      MAX(MAX(0, Y295-(AD296-Z295)) + IF(MONTH(A296)=12, P296+V296, 0) + H296 - L296, 0)
    ),
  B296&gt;55,
    IF(AB295&gt;=$AH$7,
      MAX(Y295 + IF(MONTH(A296)=12, P296+V296, 0) + H296 - L296 + K296 + Z295, 0),
      MAX(Y295 + IF(MONTH(A296)=12, P296+V296, 0) + H296 - L296, 0)
    )
)</f>
        <v>498932.4792</v>
      </c>
      <c r="Z296" s="65">
        <f>IFS(
  B296&lt;55,
    MIN(
      IF(AA295 &gt;= VLOOKUP(YEAR(A296), Lookup!$Q:$R, 2),
        Z295 + IF(MONTH(A296)=12, Q296+W296, 0) + I296
          + AA295 + IF(MONTH(A296)=12, R296+X296, 0) - VLOOKUP(YEAR(A296), Lookup!$Q:$R, 2) + J296,
        Z295 + IF(MONTH(A296)=12, Q296+W296, 0) + I296
      ),
      VLOOKUP(YEAR(A296), Lookup!$K:$M, 3)
    ),
  B296=55,
    IF(Z295 &gt;= AD296, Z295 - AD296, 0),
  B296&gt;55, 0
)</f>
        <v>469802.1511</v>
      </c>
      <c r="AA296" s="65">
        <f>IFS(
  B296&lt;65,
    IF(AA295+J296 &lt; VLOOKUP(YEAR(A296), Lookup!$Q:$R, 2),
      AA295 + IF(MONTH(A296)=12, R295+X295, 0) + J296,
      MIN(
        AA295 + IF(MONTH(A296)=12, R295+X295, 0) + J296 ,
        VLOOKUP(YEAR(A296), Lookup!$Q:$R, 2)
      )
    ),
  B296&gt;=65,
    IF(AA295+J296 &lt; VLOOKUP(questions!$C$5, Lookup!$Q:$R, 2),
      AA295 + IF(MONTH(A296)=12, R295+X295, 0) + J296 ,
      MIN(
        AA295 + IF(MONTH(A296)=12, R295+X295, 0) + J296,
        VLOOKUP(questions!$C$5, Lookup!$Q:$R, 2)
      )
    )
)</f>
        <v>180382.9505</v>
      </c>
      <c r="AB296" s="65">
        <f t="shared" si="13"/>
        <v>0</v>
      </c>
      <c r="AC296" s="66">
        <f t="array" ref="AC296">IFS(B296&lt;66, XLOOKUP(year(A296),Lookup!$K$13:$K1000,Lookup!$L$13:$L1000,"missing",,1),B296&gt;65,XLOOKUP(questions!$C$5,Lookup!$K$13:$K1000,Lookup!$L$13:$L1000,"missing",,1))</f>
        <v>251717.6622</v>
      </c>
      <c r="AD296" s="66">
        <f t="array" ref="AD296">IFS(B296&lt;66, XLOOKUP(year(A296),Lookup!$K$13:$K1000,Lookup!$M$13:$M1000,"missing",,1),B296&gt;65, XLOOKUP(questions!$C$5,Lookup!$K$13:$K1000,Lookup!$M$13:$M1000,"missing",,1))</f>
        <v>503435.3244</v>
      </c>
      <c r="AE296" s="66">
        <f t="array" ref="AE296">IFS(B296&lt;66, XLOOKUP(year(A296),Lookup!$K$13:$K1000,Lookup!$N$13:$N1000,"missing",,1),B296&gt;65,XLOOKUP(questions!$C$5,Lookup!$K$13:$K1000,Lookup!$N$13:$N1000,"missing",,1))</f>
        <v>1006870.649</v>
      </c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</row>
    <row r="297">
      <c r="A297" s="55">
        <f t="shared" si="7"/>
        <v>55061</v>
      </c>
      <c r="B297" s="56">
        <f>round(YEARFRAC(EOMONTH(questions!$C$3, 0),A297,1),2)</f>
        <v>51.83</v>
      </c>
      <c r="C297" s="57">
        <f>IF(B297&lt;questions!$C$6,if(MONTH(A297)=1,C296*(1+questions!$C$12),C296),0)</f>
        <v>20327.94106</v>
      </c>
      <c r="D297" s="58">
        <f>IF(MONTH(A297)=12,C297*questions!$C$11,0)</f>
        <v>0</v>
      </c>
      <c r="E297" s="59">
        <f t="shared" si="2"/>
        <v>8000</v>
      </c>
      <c r="F297" s="59">
        <f t="shared" si="3"/>
        <v>0</v>
      </c>
      <c r="G297" s="60">
        <f t="array" ref="G297">if(YEAR(A297)=2025,XLOOKUP(B297,Lookup!$A$3:$A$7,Lookup!$D$3:$D$7,,1)*SUM(E297:F297), XLOOKUP(B297,Lookup!$A$14:$A$18,Lookup!$D$14:$D$18,,1)*SUM(E297:F297))</f>
        <v>2960</v>
      </c>
      <c r="H297" s="60">
        <f t="array" ref="H297">if(YEAR(A297)=2025,XLOOKUP(B297,Lookup!$F$3:$F$10,Lookup!$G$3:$G$10,,1)*G297, XLOOKUP(B297,Lookup!$F$14:$F$21,Lookup!$G$14:$G$21,,1)*G297)</f>
        <v>1200.28</v>
      </c>
      <c r="I297" s="60">
        <f t="array" ref="I297">if(B297&lt;55, if(YEAR(A297)=2025,XLOOKUP(B297,Lookup!$F$3:$F$10,Lookup!$H$3:$H$10,,1)*G297, XLOOKUP(B297,Lookup!$F$14:$F$21,Lookup!$H$14:$H$21,,1)*G297),0)</f>
        <v>919.968</v>
      </c>
      <c r="J297" s="60">
        <f t="array" ref="J297">if(YEAR(A297)=2025,XLOOKUP(B297,Lookup!$F$3:$F$10,Lookup!$I$3:$I$10,,1)*G297, XLOOKUP(B297,Lookup!$F$14:$F$21,Lookup!$I$14:$I$21,,1)*G297)</f>
        <v>839.752</v>
      </c>
      <c r="K297" s="61">
        <f t="array" ref="K297">if(B297&gt;54, if(YEAR(A297)=2025,XLOOKUP(B297,Lookup!$F$3:$F$10,Lookup!$H$3:$H$10,,1)*G297, XLOOKUP(B297,Lookup!$F$14:$F$21,Lookup!$H$14:$H$21,,1)*G297),0)</f>
        <v>0</v>
      </c>
      <c r="L297" s="62">
        <f>IF(and(A297&lt;questions!$C$19,questions!$C$18="yes"),questions!$C$20,0)</f>
        <v>0</v>
      </c>
      <c r="M297" s="63">
        <f>(Y296+H297)*Lookup!A$26/12</f>
        <v>1041.943248</v>
      </c>
      <c r="N297" s="63">
        <f>if(B297&lt;55, (Z296+I297)*Lookup!B$26/12, (AB296+K297)*Lookup!B$26/12)</f>
        <v>1569.07373</v>
      </c>
      <c r="O297" s="63">
        <f>(AA296+J297)*Lookup!C$26/12</f>
        <v>604.075675</v>
      </c>
      <c r="P297" s="63">
        <f t="shared" si="8"/>
        <v>9287.468236</v>
      </c>
      <c r="Q297" s="63">
        <f t="shared" si="4"/>
        <v>14011.26741</v>
      </c>
      <c r="R297" s="63">
        <f t="shared" si="5"/>
        <v>5352.393754</v>
      </c>
      <c r="S297" s="64">
        <f t="shared" si="9"/>
        <v>16.66666667</v>
      </c>
      <c r="T297" s="64">
        <f t="shared" si="10"/>
        <v>33.33333333</v>
      </c>
      <c r="U297" s="64">
        <f t="shared" si="11"/>
        <v>0</v>
      </c>
      <c r="V297" s="64">
        <f t="shared" ref="V297:X297" si="305">IF(year($A297)=year($A296), V296+S297, S297)</f>
        <v>150</v>
      </c>
      <c r="W297" s="64">
        <f t="shared" si="305"/>
        <v>300</v>
      </c>
      <c r="X297" s="64">
        <f t="shared" si="305"/>
        <v>0</v>
      </c>
      <c r="Y297" s="65">
        <f>IFS(
  B297&lt;55,
    MAX(
      Y296 + IF(MONTH(A297)=12, P297+V297, 0) + H297 - L297
      + MAX(0,
          IF(AA296 &gt;= VLOOKUP(YEAR(A297), Lookup!$Q:$R, 2),
            Z296 + IF(MONTH(A297)=12, Q297+W297, 0) + I297
              + AA296 + IF(MONTH(A297)=12, R297+X297, 0)
              - VLOOKUP(YEAR(A297), Lookup!$Q:$R, 2) + J297,
            Z296 + IF(MONTH(A297)=12, Q297+W297, 0) + I297
          ) - VLOOKUP(YEAR(A297), Lookup!$K:$M, 3)
        ),
    0),
  B297=55,
    IF(Z296&gt;=AD297,
      MAX(Y296 + IF(MONTH(A297)=12, P297+V297, 0) + H297 - L297, 0),
      MAX(MAX(0, Y296-(AD297-Z296)) + IF(MONTH(A297)=12, P297+V297, 0) + H297 - L297, 0)
    ),
  B297&gt;55,
    IF(AB296&gt;=$AH$7,
      MAX(Y296 + IF(MONTH(A297)=12, P297+V297, 0) + H297 - L297 + K297 + Z296, 0),
      MAX(Y296 + IF(MONTH(A297)=12, P297+V297, 0) + H297 - L297, 0)
    )
)</f>
        <v>500132.7592</v>
      </c>
      <c r="Z297" s="65">
        <f>IFS(
  B297&lt;55,
    MIN(
      IF(AA296 &gt;= VLOOKUP(YEAR(A297), Lookup!$Q:$R, 2),
        Z296 + IF(MONTH(A297)=12, Q297+W297, 0) + I297
          + AA296 + IF(MONTH(A297)=12, R297+X297, 0) - VLOOKUP(YEAR(A297), Lookup!$Q:$R, 2) + J297,
        Z296 + IF(MONTH(A297)=12, Q297+W297, 0) + I297
      ),
      VLOOKUP(YEAR(A297), Lookup!$K:$M, 3)
    ),
  B297=55,
    IF(Z296 &gt;= AD297, Z296 - AD297, 0),
  B297&gt;55, 0
)</f>
        <v>471561.8711</v>
      </c>
      <c r="AA297" s="65">
        <f>IFS(
  B297&lt;65,
    IF(AA296+J297 &lt; VLOOKUP(YEAR(A297), Lookup!$Q:$R, 2),
      AA296 + IF(MONTH(A297)=12, R296+X296, 0) + J297,
      MIN(
        AA296 + IF(MONTH(A297)=12, R296+X296, 0) + J297 ,
        VLOOKUP(YEAR(A297), Lookup!$Q:$R, 2)
      )
    ),
  B297&gt;=65,
    IF(AA296+J297 &lt; VLOOKUP(questions!$C$5, Lookup!$Q:$R, 2),
      AA296 + IF(MONTH(A297)=12, R296+X296, 0) + J297 ,
      MIN(
        AA296 + IF(MONTH(A297)=12, R296+X296, 0) + J297,
        VLOOKUP(questions!$C$5, Lookup!$Q:$R, 2)
      )
    )
)</f>
        <v>180382.9505</v>
      </c>
      <c r="AB297" s="65">
        <f t="shared" si="13"/>
        <v>0</v>
      </c>
      <c r="AC297" s="66">
        <f t="array" ref="AC297">IFS(B297&lt;66, XLOOKUP(year(A297),Lookup!$K$13:$K1000,Lookup!$L$13:$L1000,"missing",,1),B297&gt;65,XLOOKUP(questions!$C$5,Lookup!$K$13:$K1000,Lookup!$L$13:$L1000,"missing",,1))</f>
        <v>251717.6622</v>
      </c>
      <c r="AD297" s="66">
        <f t="array" ref="AD297">IFS(B297&lt;66, XLOOKUP(year(A297),Lookup!$K$13:$K1000,Lookup!$M$13:$M1000,"missing",,1),B297&gt;65, XLOOKUP(questions!$C$5,Lookup!$K$13:$K1000,Lookup!$M$13:$M1000,"missing",,1))</f>
        <v>503435.3244</v>
      </c>
      <c r="AE297" s="66">
        <f t="array" ref="AE297">IFS(B297&lt;66, XLOOKUP(year(A297),Lookup!$K$13:$K1000,Lookup!$N$13:$N1000,"missing",,1),B297&gt;65,XLOOKUP(questions!$C$5,Lookup!$K$13:$K1000,Lookup!$N$13:$N1000,"missing",,1))</f>
        <v>1006870.649</v>
      </c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</row>
    <row r="298">
      <c r="A298" s="55">
        <f t="shared" si="7"/>
        <v>55092</v>
      </c>
      <c r="B298" s="56">
        <f>round(YEARFRAC(EOMONTH(questions!$C$3, 0),A298,1),2)</f>
        <v>51.92</v>
      </c>
      <c r="C298" s="57">
        <f>IF(B298&lt;questions!$C$6,if(MONTH(A298)=1,C297*(1+questions!$C$12),C297),0)</f>
        <v>20327.94106</v>
      </c>
      <c r="D298" s="58">
        <f>IF(MONTH(A298)=12,C298*questions!$C$11,0)</f>
        <v>0</v>
      </c>
      <c r="E298" s="59">
        <f t="shared" si="2"/>
        <v>8000</v>
      </c>
      <c r="F298" s="59">
        <f t="shared" si="3"/>
        <v>0</v>
      </c>
      <c r="G298" s="60">
        <f t="array" ref="G298">if(YEAR(A298)=2025,XLOOKUP(B298,Lookup!$A$3:$A$7,Lookup!$D$3:$D$7,,1)*SUM(E298:F298), XLOOKUP(B298,Lookup!$A$14:$A$18,Lookup!$D$14:$D$18,,1)*SUM(E298:F298))</f>
        <v>2960</v>
      </c>
      <c r="H298" s="60">
        <f t="array" ref="H298">if(YEAR(A298)=2025,XLOOKUP(B298,Lookup!$F$3:$F$10,Lookup!$G$3:$G$10,,1)*G298, XLOOKUP(B298,Lookup!$F$14:$F$21,Lookup!$G$14:$G$21,,1)*G298)</f>
        <v>1200.28</v>
      </c>
      <c r="I298" s="60">
        <f t="array" ref="I298">if(B298&lt;55, if(YEAR(A298)=2025,XLOOKUP(B298,Lookup!$F$3:$F$10,Lookup!$H$3:$H$10,,1)*G298, XLOOKUP(B298,Lookup!$F$14:$F$21,Lookup!$H$14:$H$21,,1)*G298),0)</f>
        <v>919.968</v>
      </c>
      <c r="J298" s="60">
        <f t="array" ref="J298">if(YEAR(A298)=2025,XLOOKUP(B298,Lookup!$F$3:$F$10,Lookup!$I$3:$I$10,,1)*G298, XLOOKUP(B298,Lookup!$F$14:$F$21,Lookup!$I$14:$I$21,,1)*G298)</f>
        <v>839.752</v>
      </c>
      <c r="K298" s="61">
        <f t="array" ref="K298">if(B298&gt;54, if(YEAR(A298)=2025,XLOOKUP(B298,Lookup!$F$3:$F$10,Lookup!$H$3:$H$10,,1)*G298, XLOOKUP(B298,Lookup!$F$14:$F$21,Lookup!$H$14:$H$21,,1)*G298),0)</f>
        <v>0</v>
      </c>
      <c r="L298" s="62">
        <f>IF(and(A298&lt;questions!$C$19,questions!$C$18="yes"),questions!$C$20,0)</f>
        <v>0</v>
      </c>
      <c r="M298" s="63">
        <f>(Y297+H298)*Lookup!A$26/12</f>
        <v>1044.443832</v>
      </c>
      <c r="N298" s="63">
        <f>if(B298&lt;55, (Z297+I298)*Lookup!B$26/12, (AB297+K298)*Lookup!B$26/12)</f>
        <v>1574.939464</v>
      </c>
      <c r="O298" s="63">
        <f>(AA297+J298)*Lookup!C$26/12</f>
        <v>604.075675</v>
      </c>
      <c r="P298" s="63">
        <f t="shared" si="8"/>
        <v>10331.91207</v>
      </c>
      <c r="Q298" s="63">
        <f t="shared" si="4"/>
        <v>15586.20688</v>
      </c>
      <c r="R298" s="63">
        <f t="shared" si="5"/>
        <v>5956.469429</v>
      </c>
      <c r="S298" s="64">
        <f t="shared" si="9"/>
        <v>16.66666667</v>
      </c>
      <c r="T298" s="64">
        <f t="shared" si="10"/>
        <v>33.33333333</v>
      </c>
      <c r="U298" s="64">
        <f t="shared" si="11"/>
        <v>0</v>
      </c>
      <c r="V298" s="64">
        <f t="shared" ref="V298:X298" si="306">IF(year($A298)=year($A297), V297+S298, S298)</f>
        <v>166.6666667</v>
      </c>
      <c r="W298" s="64">
        <f t="shared" si="306"/>
        <v>333.3333333</v>
      </c>
      <c r="X298" s="64">
        <f t="shared" si="306"/>
        <v>0</v>
      </c>
      <c r="Y298" s="65">
        <f>IFS(
  B298&lt;55,
    MAX(
      Y297 + IF(MONTH(A298)=12, P298+V298, 0) + H298 - L298
      + MAX(0,
          IF(AA297 &gt;= VLOOKUP(YEAR(A298), Lookup!$Q:$R, 2),
            Z297 + IF(MONTH(A298)=12, Q298+W298, 0) + I298
              + AA297 + IF(MONTH(A298)=12, R298+X298, 0)
              - VLOOKUP(YEAR(A298), Lookup!$Q:$R, 2) + J298,
            Z297 + IF(MONTH(A298)=12, Q298+W298, 0) + I298
          ) - VLOOKUP(YEAR(A298), Lookup!$K:$M, 3)
        ),
    0),
  B298=55,
    IF(Z297&gt;=AD298,
      MAX(Y297 + IF(MONTH(A298)=12, P298+V298, 0) + H298 - L298, 0),
      MAX(MAX(0, Y297-(AD298-Z297)) + IF(MONTH(A298)=12, P298+V298, 0) + H298 - L298, 0)
    ),
  B298&gt;55,
    IF(AB297&gt;=$AH$7,
      MAX(Y297 + IF(MONTH(A298)=12, P298+V298, 0) + H298 - L298 + K298 + Z297, 0),
      MAX(Y297 + IF(MONTH(A298)=12, P298+V298, 0) + H298 - L298, 0)
    )
)</f>
        <v>501333.0392</v>
      </c>
      <c r="Z298" s="65">
        <f>IFS(
  B298&lt;55,
    MIN(
      IF(AA297 &gt;= VLOOKUP(YEAR(A298), Lookup!$Q:$R, 2),
        Z297 + IF(MONTH(A298)=12, Q298+W298, 0) + I298
          + AA297 + IF(MONTH(A298)=12, R298+X298, 0) - VLOOKUP(YEAR(A298), Lookup!$Q:$R, 2) + J298,
        Z297 + IF(MONTH(A298)=12, Q298+W298, 0) + I298
      ),
      VLOOKUP(YEAR(A298), Lookup!$K:$M, 3)
    ),
  B298=55,
    IF(Z297 &gt;= AD298, Z297 - AD298, 0),
  B298&gt;55, 0
)</f>
        <v>473321.5911</v>
      </c>
      <c r="AA298" s="65">
        <f>IFS(
  B298&lt;65,
    IF(AA297+J298 &lt; VLOOKUP(YEAR(A298), Lookup!$Q:$R, 2),
      AA297 + IF(MONTH(A298)=12, R297+X297, 0) + J298,
      MIN(
        AA297 + IF(MONTH(A298)=12, R297+X297, 0) + J298 ,
        VLOOKUP(YEAR(A298), Lookup!$Q:$R, 2)
      )
    ),
  B298&gt;=65,
    IF(AA297+J298 &lt; VLOOKUP(questions!$C$5, Lookup!$Q:$R, 2),
      AA297 + IF(MONTH(A298)=12, R297+X297, 0) + J298 ,
      MIN(
        AA297 + IF(MONTH(A298)=12, R297+X297, 0) + J298,
        VLOOKUP(questions!$C$5, Lookup!$Q:$R, 2)
      )
    )
)</f>
        <v>180382.9505</v>
      </c>
      <c r="AB298" s="65">
        <f t="shared" si="13"/>
        <v>0</v>
      </c>
      <c r="AC298" s="66">
        <f t="array" ref="AC298">IFS(B298&lt;66, XLOOKUP(year(A298),Lookup!$K$13:$K1000,Lookup!$L$13:$L1000,"missing",,1),B298&gt;65,XLOOKUP(questions!$C$5,Lookup!$K$13:$K1000,Lookup!$L$13:$L1000,"missing",,1))</f>
        <v>251717.6622</v>
      </c>
      <c r="AD298" s="66">
        <f t="array" ref="AD298">IFS(B298&lt;66, XLOOKUP(year(A298),Lookup!$K$13:$K1000,Lookup!$M$13:$M1000,"missing",,1),B298&gt;65, XLOOKUP(questions!$C$5,Lookup!$K$13:$K1000,Lookup!$M$13:$M1000,"missing",,1))</f>
        <v>503435.3244</v>
      </c>
      <c r="AE298" s="66">
        <f t="array" ref="AE298">IFS(B298&lt;66, XLOOKUP(year(A298),Lookup!$K$13:$K1000,Lookup!$N$13:$N1000,"missing",,1),B298&gt;65,XLOOKUP(questions!$C$5,Lookup!$K$13:$K1000,Lookup!$N$13:$N1000,"missing",,1))</f>
        <v>1006870.649</v>
      </c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</row>
    <row r="299">
      <c r="A299" s="55">
        <f t="shared" si="7"/>
        <v>55122</v>
      </c>
      <c r="B299" s="56">
        <f>round(YEARFRAC(EOMONTH(questions!$C$3, 0),A299,1),2)</f>
        <v>52</v>
      </c>
      <c r="C299" s="57">
        <f>IF(B299&lt;questions!$C$6,if(MONTH(A299)=1,C298*(1+questions!$C$12),C298),0)</f>
        <v>20327.94106</v>
      </c>
      <c r="D299" s="58">
        <f>IF(MONTH(A299)=12,C299*questions!$C$11,0)</f>
        <v>0</v>
      </c>
      <c r="E299" s="59">
        <f t="shared" si="2"/>
        <v>8000</v>
      </c>
      <c r="F299" s="59">
        <f t="shared" si="3"/>
        <v>0</v>
      </c>
      <c r="G299" s="60">
        <f t="array" ref="G299">if(YEAR(A299)=2025,XLOOKUP(B299,Lookup!$A$3:$A$7,Lookup!$D$3:$D$7,,1)*SUM(E299:F299), XLOOKUP(B299,Lookup!$A$14:$A$18,Lookup!$D$14:$D$18,,1)*SUM(E299:F299))</f>
        <v>2960</v>
      </c>
      <c r="H299" s="60">
        <f t="array" ref="H299">if(YEAR(A299)=2025,XLOOKUP(B299,Lookup!$F$3:$F$10,Lookup!$G$3:$G$10,,1)*G299, XLOOKUP(B299,Lookup!$F$14:$F$21,Lookup!$G$14:$G$21,,1)*G299)</f>
        <v>1200.28</v>
      </c>
      <c r="I299" s="60">
        <f t="array" ref="I299">if(B299&lt;55, if(YEAR(A299)=2025,XLOOKUP(B299,Lookup!$F$3:$F$10,Lookup!$H$3:$H$10,,1)*G299, XLOOKUP(B299,Lookup!$F$14:$F$21,Lookup!$H$14:$H$21,,1)*G299),0)</f>
        <v>919.968</v>
      </c>
      <c r="J299" s="60">
        <f t="array" ref="J299">if(YEAR(A299)=2025,XLOOKUP(B299,Lookup!$F$3:$F$10,Lookup!$I$3:$I$10,,1)*G299, XLOOKUP(B299,Lookup!$F$14:$F$21,Lookup!$I$14:$I$21,,1)*G299)</f>
        <v>839.752</v>
      </c>
      <c r="K299" s="61">
        <f t="array" ref="K299">if(B299&gt;54, if(YEAR(A299)=2025,XLOOKUP(B299,Lookup!$F$3:$F$10,Lookup!$H$3:$H$10,,1)*G299, XLOOKUP(B299,Lookup!$F$14:$F$21,Lookup!$H$14:$H$21,,1)*G299),0)</f>
        <v>0</v>
      </c>
      <c r="L299" s="62">
        <f>IF(and(A299&lt;questions!$C$19,questions!$C$18="yes"),questions!$C$20,0)</f>
        <v>0</v>
      </c>
      <c r="M299" s="63">
        <f>(Y298+H299)*Lookup!A$26/12</f>
        <v>1046.944415</v>
      </c>
      <c r="N299" s="63">
        <f>if(B299&lt;55, (Z298+I299)*Lookup!B$26/12, (AB298+K299)*Lookup!B$26/12)</f>
        <v>1580.805197</v>
      </c>
      <c r="O299" s="63">
        <f>(AA298+J299)*Lookup!C$26/12</f>
        <v>604.075675</v>
      </c>
      <c r="P299" s="63">
        <f t="shared" si="8"/>
        <v>11378.85648</v>
      </c>
      <c r="Q299" s="63">
        <f t="shared" si="4"/>
        <v>17167.01207</v>
      </c>
      <c r="R299" s="63">
        <f t="shared" si="5"/>
        <v>6560.545104</v>
      </c>
      <c r="S299" s="64">
        <f t="shared" si="9"/>
        <v>16.66666667</v>
      </c>
      <c r="T299" s="64">
        <f t="shared" si="10"/>
        <v>33.33333333</v>
      </c>
      <c r="U299" s="64">
        <f t="shared" si="11"/>
        <v>0</v>
      </c>
      <c r="V299" s="64">
        <f t="shared" ref="V299:X299" si="307">IF(year($A299)=year($A298), V298+S299, S299)</f>
        <v>183.3333333</v>
      </c>
      <c r="W299" s="64">
        <f t="shared" si="307"/>
        <v>366.6666667</v>
      </c>
      <c r="X299" s="64">
        <f t="shared" si="307"/>
        <v>0</v>
      </c>
      <c r="Y299" s="65">
        <f>IFS(
  B299&lt;55,
    MAX(
      Y298 + IF(MONTH(A299)=12, P299+V299, 0) + H299 - L299
      + MAX(0,
          IF(AA298 &gt;= VLOOKUP(YEAR(A299), Lookup!$Q:$R, 2),
            Z298 + IF(MONTH(A299)=12, Q299+W299, 0) + I299
              + AA298 + IF(MONTH(A299)=12, R299+X299, 0)
              - VLOOKUP(YEAR(A299), Lookup!$Q:$R, 2) + J299,
            Z298 + IF(MONTH(A299)=12, Q299+W299, 0) + I299
          ) - VLOOKUP(YEAR(A299), Lookup!$K:$M, 3)
        ),
    0),
  B299=55,
    IF(Z298&gt;=AD299,
      MAX(Y298 + IF(MONTH(A299)=12, P299+V299, 0) + H299 - L299, 0),
      MAX(MAX(0, Y298-(AD299-Z298)) + IF(MONTH(A299)=12, P299+V299, 0) + H299 - L299, 0)
    ),
  B299&gt;55,
    IF(AB298&gt;=$AH$7,
      MAX(Y298 + IF(MONTH(A299)=12, P299+V299, 0) + H299 - L299 + K299 + Z298, 0),
      MAX(Y298 + IF(MONTH(A299)=12, P299+V299, 0) + H299 - L299, 0)
    )
)</f>
        <v>502533.3192</v>
      </c>
      <c r="Z299" s="65">
        <f>IFS(
  B299&lt;55,
    MIN(
      IF(AA298 &gt;= VLOOKUP(YEAR(A299), Lookup!$Q:$R, 2),
        Z298 + IF(MONTH(A299)=12, Q299+W299, 0) + I299
          + AA298 + IF(MONTH(A299)=12, R299+X299, 0) - VLOOKUP(YEAR(A299), Lookup!$Q:$R, 2) + J299,
        Z298 + IF(MONTH(A299)=12, Q299+W299, 0) + I299
      ),
      VLOOKUP(YEAR(A299), Lookup!$K:$M, 3)
    ),
  B299=55,
    IF(Z298 &gt;= AD299, Z298 - AD299, 0),
  B299&gt;55, 0
)</f>
        <v>475081.3111</v>
      </c>
      <c r="AA299" s="65">
        <f>IFS(
  B299&lt;65,
    IF(AA298+J299 &lt; VLOOKUP(YEAR(A299), Lookup!$Q:$R, 2),
      AA298 + IF(MONTH(A299)=12, R298+X298, 0) + J299,
      MIN(
        AA298 + IF(MONTH(A299)=12, R298+X298, 0) + J299 ,
        VLOOKUP(YEAR(A299), Lookup!$Q:$R, 2)
      )
    ),
  B299&gt;=65,
    IF(AA298+J299 &lt; VLOOKUP(questions!$C$5, Lookup!$Q:$R, 2),
      AA298 + IF(MONTH(A299)=12, R298+X298, 0) + J299 ,
      MIN(
        AA298 + IF(MONTH(A299)=12, R298+X298, 0) + J299,
        VLOOKUP(questions!$C$5, Lookup!$Q:$R, 2)
      )
    )
)</f>
        <v>180382.9505</v>
      </c>
      <c r="AB299" s="65">
        <f t="shared" si="13"/>
        <v>0</v>
      </c>
      <c r="AC299" s="66">
        <f t="array" ref="AC299">IFS(B299&lt;66, XLOOKUP(year(A299),Lookup!$K$13:$K1000,Lookup!$L$13:$L1000,"missing",,1),B299&gt;65,XLOOKUP(questions!$C$5,Lookup!$K$13:$K1000,Lookup!$L$13:$L1000,"missing",,1))</f>
        <v>251717.6622</v>
      </c>
      <c r="AD299" s="66">
        <f t="array" ref="AD299">IFS(B299&lt;66, XLOOKUP(year(A299),Lookup!$K$13:$K1000,Lookup!$M$13:$M1000,"missing",,1),B299&gt;65, XLOOKUP(questions!$C$5,Lookup!$K$13:$K1000,Lookup!$M$13:$M1000,"missing",,1))</f>
        <v>503435.3244</v>
      </c>
      <c r="AE299" s="66">
        <f t="array" ref="AE299">IFS(B299&lt;66, XLOOKUP(year(A299),Lookup!$K$13:$K1000,Lookup!$N$13:$N1000,"missing",,1),B299&gt;65,XLOOKUP(questions!$C$5,Lookup!$K$13:$K1000,Lookup!$N$13:$N1000,"missing",,1))</f>
        <v>1006870.649</v>
      </c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</row>
    <row r="300">
      <c r="A300" s="55">
        <f t="shared" si="7"/>
        <v>55153</v>
      </c>
      <c r="B300" s="56">
        <f>round(YEARFRAC(EOMONTH(questions!$C$3, 0),A300,1),2)</f>
        <v>52.08</v>
      </c>
      <c r="C300" s="57">
        <f>IF(B300&lt;questions!$C$6,if(MONTH(A300)=1,C299*(1+questions!$C$12),C299),0)</f>
        <v>20327.94106</v>
      </c>
      <c r="D300" s="57">
        <f>IF(MONTH(A300)=12,C300*questions!$C$11,0)</f>
        <v>20327.94106</v>
      </c>
      <c r="E300" s="59">
        <f t="shared" si="2"/>
        <v>8000</v>
      </c>
      <c r="F300" s="59">
        <f t="shared" si="3"/>
        <v>6000</v>
      </c>
      <c r="G300" s="60">
        <f t="array" ref="G300">if(YEAR(A300)=2025,XLOOKUP(B300,Lookup!$A$3:$A$7,Lookup!$D$3:$D$7,,1)*SUM(E300:F300), XLOOKUP(B300,Lookup!$A$14:$A$18,Lookup!$D$14:$D$18,,1)*SUM(E300:F300))</f>
        <v>5180</v>
      </c>
      <c r="H300" s="60">
        <f t="array" ref="H300">if(YEAR(A300)=2025,XLOOKUP(B300,Lookup!$F$3:$F$10,Lookup!$G$3:$G$10,,1)*G300, XLOOKUP(B300,Lookup!$F$14:$F$21,Lookup!$G$14:$G$21,,1)*G300)</f>
        <v>2100.49</v>
      </c>
      <c r="I300" s="60">
        <f t="array" ref="I300">if(B300&lt;55, if(YEAR(A300)=2025,XLOOKUP(B300,Lookup!$F$3:$F$10,Lookup!$H$3:$H$10,,1)*G300, XLOOKUP(B300,Lookup!$F$14:$F$21,Lookup!$H$14:$H$21,,1)*G300),0)</f>
        <v>1609.944</v>
      </c>
      <c r="J300" s="60">
        <f t="array" ref="J300">if(YEAR(A300)=2025,XLOOKUP(B300,Lookup!$F$3:$F$10,Lookup!$I$3:$I$10,,1)*G300, XLOOKUP(B300,Lookup!$F$14:$F$21,Lookup!$I$14:$I$21,,1)*G300)</f>
        <v>1469.566</v>
      </c>
      <c r="K300" s="61">
        <f t="array" ref="K300">if(B300&gt;54, if(YEAR(A300)=2025,XLOOKUP(B300,Lookup!$F$3:$F$10,Lookup!$H$3:$H$10,,1)*G300, XLOOKUP(B300,Lookup!$F$14:$F$21,Lookup!$H$14:$H$21,,1)*G300),0)</f>
        <v>0</v>
      </c>
      <c r="L300" s="62">
        <f>IF(and(A300&lt;questions!$C$19,questions!$C$18="yes"),questions!$C$20,0)</f>
        <v>0</v>
      </c>
      <c r="M300" s="63">
        <f>(Y299+H300)*Lookup!A$26/12</f>
        <v>1051.320436</v>
      </c>
      <c r="N300" s="63">
        <f>if(B300&lt;55, (Z299+I300)*Lookup!B$26/12, (AB299+K300)*Lookup!B$26/12)</f>
        <v>1588.97085</v>
      </c>
      <c r="O300" s="63">
        <f>(AA299+J300)*Lookup!C$26/12</f>
        <v>606.175055</v>
      </c>
      <c r="P300" s="63">
        <f t="shared" si="8"/>
        <v>12430.17692</v>
      </c>
      <c r="Q300" s="63">
        <f t="shared" si="4"/>
        <v>18755.98292</v>
      </c>
      <c r="R300" s="63">
        <f t="shared" si="5"/>
        <v>7166.720159</v>
      </c>
      <c r="S300" s="64">
        <f t="shared" si="9"/>
        <v>16.66666667</v>
      </c>
      <c r="T300" s="64">
        <f t="shared" si="10"/>
        <v>33.33333333</v>
      </c>
      <c r="U300" s="64">
        <f t="shared" si="11"/>
        <v>0</v>
      </c>
      <c r="V300" s="64">
        <f t="shared" ref="V300:X300" si="308">IF(year($A300)=year($A299), V299+S300, S300)</f>
        <v>200</v>
      </c>
      <c r="W300" s="64">
        <f t="shared" si="308"/>
        <v>400</v>
      </c>
      <c r="X300" s="64">
        <f t="shared" si="308"/>
        <v>0</v>
      </c>
      <c r="Y300" s="65">
        <f>IFS(
  B300&lt;55,
    MAX(
      Y299 + IF(MONTH(A300)=12, P300+V300, 0) + H300 - L300
      + MAX(0,
          IF(AA299 &gt;= VLOOKUP(YEAR(A300), Lookup!$Q:$R, 2),
            Z299 + IF(MONTH(A300)=12, Q300+W300, 0) + I300
              + AA299 + IF(MONTH(A300)=12, R300+X300, 0)
              - VLOOKUP(YEAR(A300), Lookup!$Q:$R, 2) + J300,
            Z299 + IF(MONTH(A300)=12, Q300+W300, 0) + I300
          ) - VLOOKUP(YEAR(A300), Lookup!$K:$M, 3)
        ),
    0),
  B300=55,
    IF(Z299&gt;=AD300,
      MAX(Y299 + IF(MONTH(A300)=12, P300+V300, 0) + H300 - L300, 0),
      MAX(MAX(0, Y299-(AD300-Z299)) + IF(MONTH(A300)=12, P300+V300, 0) + H300 - L300, 0)
    ),
  B300&gt;55,
    IF(AB299&gt;=$AH$7,
      MAX(Y299 + IF(MONTH(A300)=12, P300+V300, 0) + H300 - L300 + K300 + Z299, 0),
      MAX(Y299 + IF(MONTH(A300)=12, P300+V300, 0) + H300 - L300, 0)
    )
)</f>
        <v>518312.1859</v>
      </c>
      <c r="Z300" s="65">
        <f>IFS(
  B300&lt;55,
    MIN(
      IF(AA299 &gt;= VLOOKUP(YEAR(A300), Lookup!$Q:$R, 2),
        Z299 + IF(MONTH(A300)=12, Q300+W300, 0) + I300
          + AA299 + IF(MONTH(A300)=12, R300+X300, 0) - VLOOKUP(YEAR(A300), Lookup!$Q:$R, 2) + J300,
        Z299 + IF(MONTH(A300)=12, Q300+W300, 0) + I300
      ),
      VLOOKUP(YEAR(A300), Lookup!$K:$M, 3)
    ),
  B300=55,
    IF(Z299 &gt;= AD300, Z299 - AD300, 0),
  B300&gt;55, 0
)</f>
        <v>503435.3244</v>
      </c>
      <c r="AA300" s="65">
        <f>IFS(
  B300&lt;65,
    IF(AA299+J300 &lt; VLOOKUP(YEAR(A300), Lookup!$Q:$R, 2),
      AA299 + IF(MONTH(A300)=12, R299+X299, 0) + J300,
      MIN(
        AA299 + IF(MONTH(A300)=12, R299+X299, 0) + J300 ,
        VLOOKUP(YEAR(A300), Lookup!$Q:$R, 2)
      )
    ),
  B300&gt;=65,
    IF(AA299+J300 &lt; VLOOKUP(questions!$C$5, Lookup!$Q:$R, 2),
      AA299 + IF(MONTH(A300)=12, R299+X299, 0) + J300 ,
      MIN(
        AA299 + IF(MONTH(A300)=12, R299+X299, 0) + J300,
        VLOOKUP(questions!$C$5, Lookup!$Q:$R, 2)
      )
    )
)</f>
        <v>180382.9505</v>
      </c>
      <c r="AB300" s="65">
        <f t="shared" si="13"/>
        <v>0</v>
      </c>
      <c r="AC300" s="66">
        <f t="array" ref="AC300">IFS(B300&lt;66, XLOOKUP(year(A300),Lookup!$K$13:$K1000,Lookup!$L$13:$L1000,"missing",,1),B300&gt;65,XLOOKUP(questions!$C$5,Lookup!$K$13:$K1000,Lookup!$L$13:$L1000,"missing",,1))</f>
        <v>251717.6622</v>
      </c>
      <c r="AD300" s="66">
        <f t="array" ref="AD300">IFS(B300&lt;66, XLOOKUP(year(A300),Lookup!$K$13:$K1000,Lookup!$M$13:$M1000,"missing",,1),B300&gt;65, XLOOKUP(questions!$C$5,Lookup!$K$13:$K1000,Lookup!$M$13:$M1000,"missing",,1))</f>
        <v>503435.3244</v>
      </c>
      <c r="AE300" s="66">
        <f t="array" ref="AE300">IFS(B300&lt;66, XLOOKUP(year(A300),Lookup!$K$13:$K1000,Lookup!$N$13:$N1000,"missing",,1),B300&gt;65,XLOOKUP(questions!$C$5,Lookup!$K$13:$K1000,Lookup!$N$13:$N1000,"missing",,1))</f>
        <v>1006870.649</v>
      </c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</row>
    <row r="301">
      <c r="A301" s="55">
        <f t="shared" si="7"/>
        <v>55184</v>
      </c>
      <c r="B301" s="56">
        <f>round(YEARFRAC(EOMONTH(questions!$C$3, 0),A301,1),2)</f>
        <v>52.17</v>
      </c>
      <c r="C301" s="57">
        <f>IF(B301&lt;questions!$C$6,if(MONTH(A301)=1,C300*(1+questions!$C$12),C300),0)</f>
        <v>20937.7793</v>
      </c>
      <c r="D301" s="58">
        <f>IF(MONTH(A301)=12,C301*questions!$C$11,0)</f>
        <v>0</v>
      </c>
      <c r="E301" s="59">
        <f t="shared" si="2"/>
        <v>8000</v>
      </c>
      <c r="F301" s="59">
        <f t="shared" si="3"/>
        <v>0</v>
      </c>
      <c r="G301" s="60">
        <f t="array" ref="G301">if(YEAR(A301)=2025,XLOOKUP(B301,Lookup!$A$3:$A$7,Lookup!$D$3:$D$7,,1)*SUM(E301:F301), XLOOKUP(B301,Lookup!$A$14:$A$18,Lookup!$D$14:$D$18,,1)*SUM(E301:F301))</f>
        <v>2960</v>
      </c>
      <c r="H301" s="60">
        <f t="array" ref="H301">if(YEAR(A301)=2025,XLOOKUP(B301,Lookup!$F$3:$F$10,Lookup!$G$3:$G$10,,1)*G301, XLOOKUP(B301,Lookup!$F$14:$F$21,Lookup!$G$14:$G$21,,1)*G301)</f>
        <v>1200.28</v>
      </c>
      <c r="I301" s="60">
        <f t="array" ref="I301">if(B301&lt;55, if(YEAR(A301)=2025,XLOOKUP(B301,Lookup!$F$3:$F$10,Lookup!$H$3:$H$10,,1)*G301, XLOOKUP(B301,Lookup!$F$14:$F$21,Lookup!$H$14:$H$21,,1)*G301),0)</f>
        <v>919.968</v>
      </c>
      <c r="J301" s="60">
        <f t="array" ref="J301">if(YEAR(A301)=2025,XLOOKUP(B301,Lookup!$F$3:$F$10,Lookup!$I$3:$I$10,,1)*G301, XLOOKUP(B301,Lookup!$F$14:$F$21,Lookup!$I$14:$I$21,,1)*G301)</f>
        <v>839.752</v>
      </c>
      <c r="K301" s="61">
        <f t="array" ref="K301">if(B301&gt;54, if(YEAR(A301)=2025,XLOOKUP(B301,Lookup!$F$3:$F$10,Lookup!$H$3:$H$10,,1)*G301, XLOOKUP(B301,Lookup!$F$14:$F$21,Lookup!$H$14:$H$21,,1)*G301),0)</f>
        <v>0</v>
      </c>
      <c r="L301" s="62">
        <f>IF(and(A301&lt;questions!$C$19,questions!$C$18="yes"),questions!$C$20,0)</f>
        <v>0</v>
      </c>
      <c r="M301" s="63">
        <f>(Y300+H301)*Lookup!A$26/12</f>
        <v>1082.317637</v>
      </c>
      <c r="N301" s="63">
        <f>if(B301&lt;55, (Z300+I301)*Lookup!B$26/12, (AB300+K301)*Lookup!B$26/12)</f>
        <v>1681.184308</v>
      </c>
      <c r="O301" s="63">
        <f>(AA300+J301)*Lookup!C$26/12</f>
        <v>604.075675</v>
      </c>
      <c r="P301" s="63">
        <f t="shared" si="8"/>
        <v>1082.317637</v>
      </c>
      <c r="Q301" s="63">
        <f t="shared" si="4"/>
        <v>1681.184308</v>
      </c>
      <c r="R301" s="63">
        <f t="shared" si="5"/>
        <v>604.075675</v>
      </c>
      <c r="S301" s="64">
        <f t="shared" si="9"/>
        <v>16.66666667</v>
      </c>
      <c r="T301" s="64">
        <f t="shared" si="10"/>
        <v>33.33333333</v>
      </c>
      <c r="U301" s="64">
        <f t="shared" si="11"/>
        <v>0</v>
      </c>
      <c r="V301" s="64">
        <f t="shared" ref="V301:X301" si="309">IF(year($A301)=year($A300), V300+S301, S301)</f>
        <v>16.66666667</v>
      </c>
      <c r="W301" s="64">
        <f t="shared" si="309"/>
        <v>33.33333333</v>
      </c>
      <c r="X301" s="64">
        <f t="shared" si="309"/>
        <v>0</v>
      </c>
      <c r="Y301" s="65">
        <f>IFS(
  B301&lt;55,
    MAX(
      Y300 + IF(MONTH(A301)=12, P301+V301, 0) + H301 - L301
      + MAX(0,
          IF(AA300 &gt;= VLOOKUP(YEAR(A301), Lookup!$Q:$R, 2),
            Z300 + IF(MONTH(A301)=12, Q301+W301, 0) + I301
              + AA300 + IF(MONTH(A301)=12, R301+X301, 0)
              - VLOOKUP(YEAR(A301), Lookup!$Q:$R, 2) + J301,
            Z300 + IF(MONTH(A301)=12, Q301+W301, 0) + I301
          ) - VLOOKUP(YEAR(A301), Lookup!$K:$M, 3)
        ),
    0),
  B301=55,
    IF(Z300&gt;=AD301,
      MAX(Y300 + IF(MONTH(A301)=12, P301+V301, 0) + H301 - L301, 0),
      MAX(MAX(0, Y300-(AD301-Z300)) + IF(MONTH(A301)=12, P301+V301, 0) + H301 - L301, 0)
    ),
  B301&gt;55,
    IF(AB300&gt;=$AH$7,
      MAX(Y300 + IF(MONTH(A301)=12, P301+V301, 0) + H301 - L301 + K301 + Z300, 0),
      MAX(Y300 + IF(MONTH(A301)=12, P301+V301, 0) + H301 - L301, 0)
    )
)</f>
        <v>519512.4659</v>
      </c>
      <c r="Z301" s="65">
        <f>IFS(
  B301&lt;55,
    MIN(
      IF(AA300 &gt;= VLOOKUP(YEAR(A301), Lookup!$Q:$R, 2),
        Z300 + IF(MONTH(A301)=12, Q301+W301, 0) + I301
          + AA300 + IF(MONTH(A301)=12, R301+X301, 0) - VLOOKUP(YEAR(A301), Lookup!$Q:$R, 2) + J301,
        Z300 + IF(MONTH(A301)=12, Q301+W301, 0) + I301
      ),
      VLOOKUP(YEAR(A301), Lookup!$K:$M, 3)
    ),
  B301=55,
    IF(Z300 &gt;= AD301, Z300 - AD301, 0),
  B301&gt;55, 0
)</f>
        <v>504355.2924</v>
      </c>
      <c r="AA301" s="65">
        <f>IFS(
  B301&lt;65,
    IF(AA300+J301 &lt; VLOOKUP(YEAR(A301), Lookup!$Q:$R, 2),
      AA300 + IF(MONTH(A301)=12, R300+X300, 0) + J301,
      MIN(
        AA300 + IF(MONTH(A301)=12, R300+X300, 0) + J301 ,
        VLOOKUP(YEAR(A301), Lookup!$Q:$R, 2)
      )
    ),
  B301&gt;=65,
    IF(AA300+J301 &lt; VLOOKUP(questions!$C$5, Lookup!$Q:$R, 2),
      AA300 + IF(MONTH(A301)=12, R300+X300, 0) + J301 ,
      MIN(
        AA300 + IF(MONTH(A301)=12, R300+X300, 0) + J301,
        VLOOKUP(questions!$C$5, Lookup!$Q:$R, 2)
      )
    )
)</f>
        <v>181222.7025</v>
      </c>
      <c r="AB301" s="65">
        <f t="shared" si="13"/>
        <v>0</v>
      </c>
      <c r="AC301" s="66">
        <f t="array" ref="AC301">IFS(B301&lt;66, XLOOKUP(year(A301),Lookup!$K$13:$K1000,Lookup!$L$13:$L1000,"missing",,1),B301&gt;65,XLOOKUP(questions!$C$5,Lookup!$K$13:$K1000,Lookup!$L$13:$L1000,"missing",,1))</f>
        <v>260527.7804</v>
      </c>
      <c r="AD301" s="66">
        <f t="array" ref="AD301">IFS(B301&lt;66, XLOOKUP(year(A301),Lookup!$K$13:$K1000,Lookup!$M$13:$M1000,"missing",,1),B301&gt;65, XLOOKUP(questions!$C$5,Lookup!$K$13:$K1000,Lookup!$M$13:$M1000,"missing",,1))</f>
        <v>521055.5608</v>
      </c>
      <c r="AE301" s="66">
        <f t="array" ref="AE301">IFS(B301&lt;66, XLOOKUP(year(A301),Lookup!$K$13:$K1000,Lookup!$N$13:$N1000,"missing",,1),B301&gt;65,XLOOKUP(questions!$C$5,Lookup!$K$13:$K1000,Lookup!$N$13:$N1000,"missing",,1))</f>
        <v>1042111.122</v>
      </c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</row>
    <row r="302">
      <c r="A302" s="55">
        <f t="shared" si="7"/>
        <v>55212</v>
      </c>
      <c r="B302" s="56">
        <f>round(YEARFRAC(EOMONTH(questions!$C$3, 0),A302,1),2)</f>
        <v>52.25</v>
      </c>
      <c r="C302" s="57">
        <f>IF(B302&lt;questions!$C$6,if(MONTH(A302)=1,C301*(1+questions!$C$12),C301),0)</f>
        <v>20937.7793</v>
      </c>
      <c r="D302" s="58">
        <f>IF(MONTH(A302)=12,C302*questions!$C$11,0)</f>
        <v>0</v>
      </c>
      <c r="E302" s="59">
        <f t="shared" si="2"/>
        <v>8000</v>
      </c>
      <c r="F302" s="59">
        <f t="shared" si="3"/>
        <v>0</v>
      </c>
      <c r="G302" s="60">
        <f t="array" ref="G302">if(YEAR(A302)=2025,XLOOKUP(B302,Lookup!$A$3:$A$7,Lookup!$D$3:$D$7,,1)*SUM(E302:F302), XLOOKUP(B302,Lookup!$A$14:$A$18,Lookup!$D$14:$D$18,,1)*SUM(E302:F302))</f>
        <v>2960</v>
      </c>
      <c r="H302" s="60">
        <f t="array" ref="H302">if(YEAR(A302)=2025,XLOOKUP(B302,Lookup!$F$3:$F$10,Lookup!$G$3:$G$10,,1)*G302, XLOOKUP(B302,Lookup!$F$14:$F$21,Lookup!$G$14:$G$21,,1)*G302)</f>
        <v>1200.28</v>
      </c>
      <c r="I302" s="60">
        <f t="array" ref="I302">if(B302&lt;55, if(YEAR(A302)=2025,XLOOKUP(B302,Lookup!$F$3:$F$10,Lookup!$H$3:$H$10,,1)*G302, XLOOKUP(B302,Lookup!$F$14:$F$21,Lookup!$H$14:$H$21,,1)*G302),0)</f>
        <v>919.968</v>
      </c>
      <c r="J302" s="60">
        <f t="array" ref="J302">if(YEAR(A302)=2025,XLOOKUP(B302,Lookup!$F$3:$F$10,Lookup!$I$3:$I$10,,1)*G302, XLOOKUP(B302,Lookup!$F$14:$F$21,Lookup!$I$14:$I$21,,1)*G302)</f>
        <v>839.752</v>
      </c>
      <c r="K302" s="61">
        <f t="array" ref="K302">if(B302&gt;54, if(YEAR(A302)=2025,XLOOKUP(B302,Lookup!$F$3:$F$10,Lookup!$H$3:$H$10,,1)*G302, XLOOKUP(B302,Lookup!$F$14:$F$21,Lookup!$H$14:$H$21,,1)*G302),0)</f>
        <v>0</v>
      </c>
      <c r="L302" s="62">
        <f>IF(and(A302&lt;questions!$C$19,questions!$C$18="yes"),questions!$C$20,0)</f>
        <v>0</v>
      </c>
      <c r="M302" s="63">
        <f>(Y301+H302)*Lookup!A$26/12</f>
        <v>1084.818221</v>
      </c>
      <c r="N302" s="63">
        <f>if(B302&lt;55, (Z301+I302)*Lookup!B$26/12, (AB301+K302)*Lookup!B$26/12)</f>
        <v>1684.250868</v>
      </c>
      <c r="O302" s="63">
        <f>(AA301+J302)*Lookup!C$26/12</f>
        <v>606.8748483</v>
      </c>
      <c r="P302" s="63">
        <f t="shared" si="8"/>
        <v>2167.135858</v>
      </c>
      <c r="Q302" s="63">
        <f t="shared" si="4"/>
        <v>3365.435176</v>
      </c>
      <c r="R302" s="63">
        <f t="shared" si="5"/>
        <v>1210.950523</v>
      </c>
      <c r="S302" s="64">
        <f t="shared" si="9"/>
        <v>16.66666667</v>
      </c>
      <c r="T302" s="64">
        <f t="shared" si="10"/>
        <v>33.33333333</v>
      </c>
      <c r="U302" s="64">
        <f t="shared" si="11"/>
        <v>0</v>
      </c>
      <c r="V302" s="64">
        <f t="shared" ref="V302:X302" si="310">IF(year($A302)=year($A301), V301+S302, S302)</f>
        <v>33.33333333</v>
      </c>
      <c r="W302" s="64">
        <f t="shared" si="310"/>
        <v>66.66666667</v>
      </c>
      <c r="X302" s="64">
        <f t="shared" si="310"/>
        <v>0</v>
      </c>
      <c r="Y302" s="65">
        <f>IFS(
  B302&lt;55,
    MAX(
      Y301 + IF(MONTH(A302)=12, P302+V302, 0) + H302 - L302
      + MAX(0,
          IF(AA301 &gt;= VLOOKUP(YEAR(A302), Lookup!$Q:$R, 2),
            Z301 + IF(MONTH(A302)=12, Q302+W302, 0) + I302
              + AA301 + IF(MONTH(A302)=12, R302+X302, 0)
              - VLOOKUP(YEAR(A302), Lookup!$Q:$R, 2) + J302,
            Z301 + IF(MONTH(A302)=12, Q302+W302, 0) + I302
          ) - VLOOKUP(YEAR(A302), Lookup!$K:$M, 3)
        ),
    0),
  B302=55,
    IF(Z301&gt;=AD302,
      MAX(Y301 + IF(MONTH(A302)=12, P302+V302, 0) + H302 - L302, 0),
      MAX(MAX(0, Y301-(AD302-Z301)) + IF(MONTH(A302)=12, P302+V302, 0) + H302 - L302, 0)
    ),
  B302&gt;55,
    IF(AB301&gt;=$AH$7,
      MAX(Y301 + IF(MONTH(A302)=12, P302+V302, 0) + H302 - L302 + K302 + Z301, 0),
      MAX(Y301 + IF(MONTH(A302)=12, P302+V302, 0) + H302 - L302, 0)
    )
)</f>
        <v>520712.7459</v>
      </c>
      <c r="Z302" s="65">
        <f>IFS(
  B302&lt;55,
    MIN(
      IF(AA301 &gt;= VLOOKUP(YEAR(A302), Lookup!$Q:$R, 2),
        Z301 + IF(MONTH(A302)=12, Q302+W302, 0) + I302
          + AA301 + IF(MONTH(A302)=12, R302+X302, 0) - VLOOKUP(YEAR(A302), Lookup!$Q:$R, 2) + J302,
        Z301 + IF(MONTH(A302)=12, Q302+W302, 0) + I302
      ),
      VLOOKUP(YEAR(A302), Lookup!$K:$M, 3)
    ),
  B302=55,
    IF(Z301 &gt;= AD302, Z301 - AD302, 0),
  B302&gt;55, 0
)</f>
        <v>505275.2604</v>
      </c>
      <c r="AA302" s="65">
        <f>IFS(
  B302&lt;65,
    IF(AA301+J302 &lt; VLOOKUP(YEAR(A302), Lookup!$Q:$R, 2),
      AA301 + IF(MONTH(A302)=12, R301+X301, 0) + J302,
      MIN(
        AA301 + IF(MONTH(A302)=12, R301+X301, 0) + J302 ,
        VLOOKUP(YEAR(A302), Lookup!$Q:$R, 2)
      )
    ),
  B302&gt;=65,
    IF(AA301+J302 &lt; VLOOKUP(questions!$C$5, Lookup!$Q:$R, 2),
      AA301 + IF(MONTH(A302)=12, R301+X301, 0) + J302 ,
      MIN(
        AA301 + IF(MONTH(A302)=12, R301+X301, 0) + J302,
        VLOOKUP(questions!$C$5, Lookup!$Q:$R, 2)
      )
    )
)</f>
        <v>182062.4545</v>
      </c>
      <c r="AB302" s="65">
        <f t="shared" si="13"/>
        <v>0</v>
      </c>
      <c r="AC302" s="66">
        <f t="array" ref="AC302">IFS(B302&lt;66, XLOOKUP(year(A302),Lookup!$K$13:$K1000,Lookup!$L$13:$L1000,"missing",,1),B302&gt;65,XLOOKUP(questions!$C$5,Lookup!$K$13:$K1000,Lookup!$L$13:$L1000,"missing",,1))</f>
        <v>260527.7804</v>
      </c>
      <c r="AD302" s="66">
        <f t="array" ref="AD302">IFS(B302&lt;66, XLOOKUP(year(A302),Lookup!$K$13:$K1000,Lookup!$M$13:$M1000,"missing",,1),B302&gt;65, XLOOKUP(questions!$C$5,Lookup!$K$13:$K1000,Lookup!$M$13:$M1000,"missing",,1))</f>
        <v>521055.5608</v>
      </c>
      <c r="AE302" s="66">
        <f t="array" ref="AE302">IFS(B302&lt;66, XLOOKUP(year(A302),Lookup!$K$13:$K1000,Lookup!$N$13:$N1000,"missing",,1),B302&gt;65,XLOOKUP(questions!$C$5,Lookup!$K$13:$K1000,Lookup!$N$13:$N1000,"missing",,1))</f>
        <v>1042111.122</v>
      </c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</row>
    <row r="303">
      <c r="A303" s="55">
        <f t="shared" si="7"/>
        <v>55243</v>
      </c>
      <c r="B303" s="56">
        <f>round(YEARFRAC(EOMONTH(questions!$C$3, 0),A303,1),2)</f>
        <v>52.33</v>
      </c>
      <c r="C303" s="57">
        <f>IF(B303&lt;questions!$C$6,if(MONTH(A303)=1,C302*(1+questions!$C$12),C302),0)</f>
        <v>20937.7793</v>
      </c>
      <c r="D303" s="58">
        <f>IF(MONTH(A303)=12,C303*questions!$C$11,0)</f>
        <v>0</v>
      </c>
      <c r="E303" s="59">
        <f t="shared" si="2"/>
        <v>8000</v>
      </c>
      <c r="F303" s="59">
        <f t="shared" si="3"/>
        <v>0</v>
      </c>
      <c r="G303" s="60">
        <f t="array" ref="G303">if(YEAR(A303)=2025,XLOOKUP(B303,Lookup!$A$3:$A$7,Lookup!$D$3:$D$7,,1)*SUM(E303:F303), XLOOKUP(B303,Lookup!$A$14:$A$18,Lookup!$D$14:$D$18,,1)*SUM(E303:F303))</f>
        <v>2960</v>
      </c>
      <c r="H303" s="60">
        <f t="array" ref="H303">if(YEAR(A303)=2025,XLOOKUP(B303,Lookup!$F$3:$F$10,Lookup!$G$3:$G$10,,1)*G303, XLOOKUP(B303,Lookup!$F$14:$F$21,Lookup!$G$14:$G$21,,1)*G303)</f>
        <v>1200.28</v>
      </c>
      <c r="I303" s="60">
        <f t="array" ref="I303">if(B303&lt;55, if(YEAR(A303)=2025,XLOOKUP(B303,Lookup!$F$3:$F$10,Lookup!$H$3:$H$10,,1)*G303, XLOOKUP(B303,Lookup!$F$14:$F$21,Lookup!$H$14:$H$21,,1)*G303),0)</f>
        <v>919.968</v>
      </c>
      <c r="J303" s="60">
        <f t="array" ref="J303">if(YEAR(A303)=2025,XLOOKUP(B303,Lookup!$F$3:$F$10,Lookup!$I$3:$I$10,,1)*G303, XLOOKUP(B303,Lookup!$F$14:$F$21,Lookup!$I$14:$I$21,,1)*G303)</f>
        <v>839.752</v>
      </c>
      <c r="K303" s="61">
        <f t="array" ref="K303">if(B303&gt;54, if(YEAR(A303)=2025,XLOOKUP(B303,Lookup!$F$3:$F$10,Lookup!$H$3:$H$10,,1)*G303, XLOOKUP(B303,Lookup!$F$14:$F$21,Lookup!$H$14:$H$21,,1)*G303),0)</f>
        <v>0</v>
      </c>
      <c r="L303" s="62">
        <f>IF(and(A303&lt;questions!$C$19,questions!$C$18="yes"),questions!$C$20,0)</f>
        <v>0</v>
      </c>
      <c r="M303" s="63">
        <f>(Y302+H303)*Lookup!A$26/12</f>
        <v>1087.318804</v>
      </c>
      <c r="N303" s="63">
        <f>if(B303&lt;55, (Z302+I303)*Lookup!B$26/12, (AB302+K303)*Lookup!B$26/12)</f>
        <v>1687.317428</v>
      </c>
      <c r="O303" s="63">
        <f>(AA302+J303)*Lookup!C$26/12</f>
        <v>609.6740216</v>
      </c>
      <c r="P303" s="63">
        <f t="shared" si="8"/>
        <v>3254.454662</v>
      </c>
      <c r="Q303" s="63">
        <f t="shared" si="4"/>
        <v>5052.752604</v>
      </c>
      <c r="R303" s="63">
        <f t="shared" si="5"/>
        <v>1820.624545</v>
      </c>
      <c r="S303" s="64">
        <f t="shared" si="9"/>
        <v>16.66666667</v>
      </c>
      <c r="T303" s="64">
        <f t="shared" si="10"/>
        <v>33.33333333</v>
      </c>
      <c r="U303" s="64">
        <f t="shared" si="11"/>
        <v>0</v>
      </c>
      <c r="V303" s="64">
        <f t="shared" ref="V303:X303" si="311">IF(year($A303)=year($A302), V302+S303, S303)</f>
        <v>50</v>
      </c>
      <c r="W303" s="64">
        <f t="shared" si="311"/>
        <v>100</v>
      </c>
      <c r="X303" s="64">
        <f t="shared" si="311"/>
        <v>0</v>
      </c>
      <c r="Y303" s="65">
        <f>IFS(
  B303&lt;55,
    MAX(
      Y302 + IF(MONTH(A303)=12, P303+V303, 0) + H303 - L303
      + MAX(0,
          IF(AA302 &gt;= VLOOKUP(YEAR(A303), Lookup!$Q:$R, 2),
            Z302 + IF(MONTH(A303)=12, Q303+W303, 0) + I303
              + AA302 + IF(MONTH(A303)=12, R303+X303, 0)
              - VLOOKUP(YEAR(A303), Lookup!$Q:$R, 2) + J303,
            Z302 + IF(MONTH(A303)=12, Q303+W303, 0) + I303
          ) - VLOOKUP(YEAR(A303), Lookup!$K:$M, 3)
        ),
    0),
  B303=55,
    IF(Z302&gt;=AD303,
      MAX(Y302 + IF(MONTH(A303)=12, P303+V303, 0) + H303 - L303, 0),
      MAX(MAX(0, Y302-(AD303-Z302)) + IF(MONTH(A303)=12, P303+V303, 0) + H303 - L303, 0)
    ),
  B303&gt;55,
    IF(AB302&gt;=$AH$7,
      MAX(Y302 + IF(MONTH(A303)=12, P303+V303, 0) + H303 - L303 + K303 + Z302, 0),
      MAX(Y302 + IF(MONTH(A303)=12, P303+V303, 0) + H303 - L303, 0)
    )
)</f>
        <v>521913.0259</v>
      </c>
      <c r="Z303" s="65">
        <f>IFS(
  B303&lt;55,
    MIN(
      IF(AA302 &gt;= VLOOKUP(YEAR(A303), Lookup!$Q:$R, 2),
        Z302 + IF(MONTH(A303)=12, Q303+W303, 0) + I303
          + AA302 + IF(MONTH(A303)=12, R303+X303, 0) - VLOOKUP(YEAR(A303), Lookup!$Q:$R, 2) + J303,
        Z302 + IF(MONTH(A303)=12, Q303+W303, 0) + I303
      ),
      VLOOKUP(YEAR(A303), Lookup!$K:$M, 3)
    ),
  B303=55,
    IF(Z302 &gt;= AD303, Z302 - AD303, 0),
  B303&gt;55, 0
)</f>
        <v>506195.2284</v>
      </c>
      <c r="AA303" s="65">
        <f>IFS(
  B303&lt;65,
    IF(AA302+J303 &lt; VLOOKUP(YEAR(A303), Lookup!$Q:$R, 2),
      AA302 + IF(MONTH(A303)=12, R302+X302, 0) + J303,
      MIN(
        AA302 + IF(MONTH(A303)=12, R302+X302, 0) + J303 ,
        VLOOKUP(YEAR(A303), Lookup!$Q:$R, 2)
      )
    ),
  B303&gt;=65,
    IF(AA302+J303 &lt; VLOOKUP(questions!$C$5, Lookup!$Q:$R, 2),
      AA302 + IF(MONTH(A303)=12, R302+X302, 0) + J303 ,
      MIN(
        AA302 + IF(MONTH(A303)=12, R302+X302, 0) + J303,
        VLOOKUP(questions!$C$5, Lookup!$Q:$R, 2)
      )
    )
)</f>
        <v>182902.2065</v>
      </c>
      <c r="AB303" s="65">
        <f t="shared" si="13"/>
        <v>0</v>
      </c>
      <c r="AC303" s="66">
        <f t="array" ref="AC303">IFS(B303&lt;66, XLOOKUP(year(A303),Lookup!$K$13:$K1000,Lookup!$L$13:$L1000,"missing",,1),B303&gt;65,XLOOKUP(questions!$C$5,Lookup!$K$13:$K1000,Lookup!$L$13:$L1000,"missing",,1))</f>
        <v>260527.7804</v>
      </c>
      <c r="AD303" s="66">
        <f t="array" ref="AD303">IFS(B303&lt;66, XLOOKUP(year(A303),Lookup!$K$13:$K1000,Lookup!$M$13:$M1000,"missing",,1),B303&gt;65, XLOOKUP(questions!$C$5,Lookup!$K$13:$K1000,Lookup!$M$13:$M1000,"missing",,1))</f>
        <v>521055.5608</v>
      </c>
      <c r="AE303" s="66">
        <f t="array" ref="AE303">IFS(B303&lt;66, XLOOKUP(year(A303),Lookup!$K$13:$K1000,Lookup!$N$13:$N1000,"missing",,1),B303&gt;65,XLOOKUP(questions!$C$5,Lookup!$K$13:$K1000,Lookup!$N$13:$N1000,"missing",,1))</f>
        <v>1042111.122</v>
      </c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</row>
    <row r="304">
      <c r="A304" s="55">
        <f t="shared" si="7"/>
        <v>55273</v>
      </c>
      <c r="B304" s="56">
        <f>round(YEARFRAC(EOMONTH(questions!$C$3, 0),A304,1),2)</f>
        <v>52.41</v>
      </c>
      <c r="C304" s="57">
        <f>IF(B304&lt;questions!$C$6,if(MONTH(A304)=1,C303*(1+questions!$C$12),C303),0)</f>
        <v>20937.7793</v>
      </c>
      <c r="D304" s="58">
        <f>IF(MONTH(A304)=12,C304*questions!$C$11,0)</f>
        <v>0</v>
      </c>
      <c r="E304" s="59">
        <f t="shared" si="2"/>
        <v>8000</v>
      </c>
      <c r="F304" s="59">
        <f t="shared" si="3"/>
        <v>0</v>
      </c>
      <c r="G304" s="60">
        <f t="array" ref="G304">if(YEAR(A304)=2025,XLOOKUP(B304,Lookup!$A$3:$A$7,Lookup!$D$3:$D$7,,1)*SUM(E304:F304), XLOOKUP(B304,Lookup!$A$14:$A$18,Lookup!$D$14:$D$18,,1)*SUM(E304:F304))</f>
        <v>2960</v>
      </c>
      <c r="H304" s="60">
        <f t="array" ref="H304">if(YEAR(A304)=2025,XLOOKUP(B304,Lookup!$F$3:$F$10,Lookup!$G$3:$G$10,,1)*G304, XLOOKUP(B304,Lookup!$F$14:$F$21,Lookup!$G$14:$G$21,,1)*G304)</f>
        <v>1200.28</v>
      </c>
      <c r="I304" s="60">
        <f t="array" ref="I304">if(B304&lt;55, if(YEAR(A304)=2025,XLOOKUP(B304,Lookup!$F$3:$F$10,Lookup!$H$3:$H$10,,1)*G304, XLOOKUP(B304,Lookup!$F$14:$F$21,Lookup!$H$14:$H$21,,1)*G304),0)</f>
        <v>919.968</v>
      </c>
      <c r="J304" s="60">
        <f t="array" ref="J304">if(YEAR(A304)=2025,XLOOKUP(B304,Lookup!$F$3:$F$10,Lookup!$I$3:$I$10,,1)*G304, XLOOKUP(B304,Lookup!$F$14:$F$21,Lookup!$I$14:$I$21,,1)*G304)</f>
        <v>839.752</v>
      </c>
      <c r="K304" s="61">
        <f t="array" ref="K304">if(B304&gt;54, if(YEAR(A304)=2025,XLOOKUP(B304,Lookup!$F$3:$F$10,Lookup!$H$3:$H$10,,1)*G304, XLOOKUP(B304,Lookup!$F$14:$F$21,Lookup!$H$14:$H$21,,1)*G304),0)</f>
        <v>0</v>
      </c>
      <c r="L304" s="62">
        <f>IF(and(A304&lt;questions!$C$19,questions!$C$18="yes"),questions!$C$20,0)</f>
        <v>0</v>
      </c>
      <c r="M304" s="63">
        <f>(Y303+H304)*Lookup!A$26/12</f>
        <v>1089.819387</v>
      </c>
      <c r="N304" s="63">
        <f>if(B304&lt;55, (Z303+I304)*Lookup!B$26/12, (AB303+K304)*Lookup!B$26/12)</f>
        <v>1690.383988</v>
      </c>
      <c r="O304" s="63">
        <f>(AA303+J304)*Lookup!C$26/12</f>
        <v>612.473195</v>
      </c>
      <c r="P304" s="63">
        <f t="shared" si="8"/>
        <v>4344.27405</v>
      </c>
      <c r="Q304" s="63">
        <f t="shared" si="4"/>
        <v>6743.136592</v>
      </c>
      <c r="R304" s="63">
        <f t="shared" si="5"/>
        <v>2433.09774</v>
      </c>
      <c r="S304" s="64">
        <f t="shared" si="9"/>
        <v>16.66666667</v>
      </c>
      <c r="T304" s="64">
        <f t="shared" si="10"/>
        <v>33.33333333</v>
      </c>
      <c r="U304" s="64">
        <f t="shared" si="11"/>
        <v>0</v>
      </c>
      <c r="V304" s="64">
        <f t="shared" ref="V304:X304" si="312">IF(year($A304)=year($A303), V303+S304, S304)</f>
        <v>66.66666667</v>
      </c>
      <c r="W304" s="64">
        <f t="shared" si="312"/>
        <v>133.3333333</v>
      </c>
      <c r="X304" s="64">
        <f t="shared" si="312"/>
        <v>0</v>
      </c>
      <c r="Y304" s="65">
        <f>IFS(
  B304&lt;55,
    MAX(
      Y303 + IF(MONTH(A304)=12, P304+V304, 0) + H304 - L304
      + MAX(0,
          IF(AA303 &gt;= VLOOKUP(YEAR(A304), Lookup!$Q:$R, 2),
            Z303 + IF(MONTH(A304)=12, Q304+W304, 0) + I304
              + AA303 + IF(MONTH(A304)=12, R304+X304, 0)
              - VLOOKUP(YEAR(A304), Lookup!$Q:$R, 2) + J304,
            Z303 + IF(MONTH(A304)=12, Q304+W304, 0) + I304
          ) - VLOOKUP(YEAR(A304), Lookup!$K:$M, 3)
        ),
    0),
  B304=55,
    IF(Z303&gt;=AD304,
      MAX(Y303 + IF(MONTH(A304)=12, P304+V304, 0) + H304 - L304, 0),
      MAX(MAX(0, Y303-(AD304-Z303)) + IF(MONTH(A304)=12, P304+V304, 0) + H304 - L304, 0)
    ),
  B304&gt;55,
    IF(AB303&gt;=$AH$7,
      MAX(Y303 + IF(MONTH(A304)=12, P304+V304, 0) + H304 - L304 + K304 + Z303, 0),
      MAX(Y303 + IF(MONTH(A304)=12, P304+V304, 0) + H304 - L304, 0)
    )
)</f>
        <v>523113.3059</v>
      </c>
      <c r="Z304" s="65">
        <f>IFS(
  B304&lt;55,
    MIN(
      IF(AA303 &gt;= VLOOKUP(YEAR(A304), Lookup!$Q:$R, 2),
        Z303 + IF(MONTH(A304)=12, Q304+W304, 0) + I304
          + AA303 + IF(MONTH(A304)=12, R304+X304, 0) - VLOOKUP(YEAR(A304), Lookup!$Q:$R, 2) + J304,
        Z303 + IF(MONTH(A304)=12, Q304+W304, 0) + I304
      ),
      VLOOKUP(YEAR(A304), Lookup!$K:$M, 3)
    ),
  B304=55,
    IF(Z303 &gt;= AD304, Z303 - AD304, 0),
  B304&gt;55, 0
)</f>
        <v>507115.1964</v>
      </c>
      <c r="AA304" s="65">
        <f>IFS(
  B304&lt;65,
    IF(AA303+J304 &lt; VLOOKUP(YEAR(A304), Lookup!$Q:$R, 2),
      AA303 + IF(MONTH(A304)=12, R303+X303, 0) + J304,
      MIN(
        AA303 + IF(MONTH(A304)=12, R303+X303, 0) + J304 ,
        VLOOKUP(YEAR(A304), Lookup!$Q:$R, 2)
      )
    ),
  B304&gt;=65,
    IF(AA303+J304 &lt; VLOOKUP(questions!$C$5, Lookup!$Q:$R, 2),
      AA303 + IF(MONTH(A304)=12, R303+X303, 0) + J304 ,
      MIN(
        AA303 + IF(MONTH(A304)=12, R303+X303, 0) + J304,
        VLOOKUP(questions!$C$5, Lookup!$Q:$R, 2)
      )
    )
)</f>
        <v>183741.9585</v>
      </c>
      <c r="AB304" s="65">
        <f t="shared" si="13"/>
        <v>0</v>
      </c>
      <c r="AC304" s="66">
        <f t="array" ref="AC304">IFS(B304&lt;66, XLOOKUP(year(A304),Lookup!$K$13:$K1000,Lookup!$L$13:$L1000,"missing",,1),B304&gt;65,XLOOKUP(questions!$C$5,Lookup!$K$13:$K1000,Lookup!$L$13:$L1000,"missing",,1))</f>
        <v>260527.7804</v>
      </c>
      <c r="AD304" s="66">
        <f t="array" ref="AD304">IFS(B304&lt;66, XLOOKUP(year(A304),Lookup!$K$13:$K1000,Lookup!$M$13:$M1000,"missing",,1),B304&gt;65, XLOOKUP(questions!$C$5,Lookup!$K$13:$K1000,Lookup!$M$13:$M1000,"missing",,1))</f>
        <v>521055.5608</v>
      </c>
      <c r="AE304" s="66">
        <f t="array" ref="AE304">IFS(B304&lt;66, XLOOKUP(year(A304),Lookup!$K$13:$K1000,Lookup!$N$13:$N1000,"missing",,1),B304&gt;65,XLOOKUP(questions!$C$5,Lookup!$K$13:$K1000,Lookup!$N$13:$N1000,"missing",,1))</f>
        <v>1042111.122</v>
      </c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</row>
    <row r="305">
      <c r="A305" s="55">
        <f t="shared" si="7"/>
        <v>55304</v>
      </c>
      <c r="B305" s="56">
        <f>round(YEARFRAC(EOMONTH(questions!$C$3, 0),A305,1),2)</f>
        <v>52.5</v>
      </c>
      <c r="C305" s="57">
        <f>IF(B305&lt;questions!$C$6,if(MONTH(A305)=1,C304*(1+questions!$C$12),C304),0)</f>
        <v>20937.7793</v>
      </c>
      <c r="D305" s="58">
        <f>IF(MONTH(A305)=12,C305*questions!$C$11,0)</f>
        <v>0</v>
      </c>
      <c r="E305" s="59">
        <f t="shared" si="2"/>
        <v>8000</v>
      </c>
      <c r="F305" s="59">
        <f t="shared" si="3"/>
        <v>0</v>
      </c>
      <c r="G305" s="60">
        <f t="array" ref="G305">if(YEAR(A305)=2025,XLOOKUP(B305,Lookup!$A$3:$A$7,Lookup!$D$3:$D$7,,1)*SUM(E305:F305), XLOOKUP(B305,Lookup!$A$14:$A$18,Lookup!$D$14:$D$18,,1)*SUM(E305:F305))</f>
        <v>2960</v>
      </c>
      <c r="H305" s="60">
        <f t="array" ref="H305">if(YEAR(A305)=2025,XLOOKUP(B305,Lookup!$F$3:$F$10,Lookup!$G$3:$G$10,,1)*G305, XLOOKUP(B305,Lookup!$F$14:$F$21,Lookup!$G$14:$G$21,,1)*G305)</f>
        <v>1200.28</v>
      </c>
      <c r="I305" s="60">
        <f t="array" ref="I305">if(B305&lt;55, if(YEAR(A305)=2025,XLOOKUP(B305,Lookup!$F$3:$F$10,Lookup!$H$3:$H$10,,1)*G305, XLOOKUP(B305,Lookup!$F$14:$F$21,Lookup!$H$14:$H$21,,1)*G305),0)</f>
        <v>919.968</v>
      </c>
      <c r="J305" s="60">
        <f t="array" ref="J305">if(YEAR(A305)=2025,XLOOKUP(B305,Lookup!$F$3:$F$10,Lookup!$I$3:$I$10,,1)*G305, XLOOKUP(B305,Lookup!$F$14:$F$21,Lookup!$I$14:$I$21,,1)*G305)</f>
        <v>839.752</v>
      </c>
      <c r="K305" s="61">
        <f t="array" ref="K305">if(B305&gt;54, if(YEAR(A305)=2025,XLOOKUP(B305,Lookup!$F$3:$F$10,Lookup!$H$3:$H$10,,1)*G305, XLOOKUP(B305,Lookup!$F$14:$F$21,Lookup!$H$14:$H$21,,1)*G305),0)</f>
        <v>0</v>
      </c>
      <c r="L305" s="62">
        <f>IF(and(A305&lt;questions!$C$19,questions!$C$18="yes"),questions!$C$20,0)</f>
        <v>0</v>
      </c>
      <c r="M305" s="63">
        <f>(Y304+H305)*Lookup!A$26/12</f>
        <v>1092.319971</v>
      </c>
      <c r="N305" s="63">
        <f>if(B305&lt;55, (Z304+I305)*Lookup!B$26/12, (AB304+K305)*Lookup!B$26/12)</f>
        <v>1693.450548</v>
      </c>
      <c r="O305" s="63">
        <f>(AA304+J305)*Lookup!C$26/12</f>
        <v>615.2723683</v>
      </c>
      <c r="P305" s="63">
        <f t="shared" si="8"/>
        <v>5436.59402</v>
      </c>
      <c r="Q305" s="63">
        <f t="shared" si="4"/>
        <v>8436.58714</v>
      </c>
      <c r="R305" s="63">
        <f t="shared" si="5"/>
        <v>3048.370108</v>
      </c>
      <c r="S305" s="64">
        <f t="shared" si="9"/>
        <v>16.66666667</v>
      </c>
      <c r="T305" s="64">
        <f t="shared" si="10"/>
        <v>33.33333333</v>
      </c>
      <c r="U305" s="64">
        <f t="shared" si="11"/>
        <v>0</v>
      </c>
      <c r="V305" s="64">
        <f t="shared" ref="V305:X305" si="313">IF(year($A305)=year($A304), V304+S305, S305)</f>
        <v>83.33333333</v>
      </c>
      <c r="W305" s="64">
        <f t="shared" si="313"/>
        <v>166.6666667</v>
      </c>
      <c r="X305" s="64">
        <f t="shared" si="313"/>
        <v>0</v>
      </c>
      <c r="Y305" s="65">
        <f>IFS(
  B305&lt;55,
    MAX(
      Y304 + IF(MONTH(A305)=12, P305+V305, 0) + H305 - L305
      + MAX(0,
          IF(AA304 &gt;= VLOOKUP(YEAR(A305), Lookup!$Q:$R, 2),
            Z304 + IF(MONTH(A305)=12, Q305+W305, 0) + I305
              + AA304 + IF(MONTH(A305)=12, R305+X305, 0)
              - VLOOKUP(YEAR(A305), Lookup!$Q:$R, 2) + J305,
            Z304 + IF(MONTH(A305)=12, Q305+W305, 0) + I305
          ) - VLOOKUP(YEAR(A305), Lookup!$K:$M, 3)
        ),
    0),
  B305=55,
    IF(Z304&gt;=AD305,
      MAX(Y304 + IF(MONTH(A305)=12, P305+V305, 0) + H305 - L305, 0),
      MAX(MAX(0, Y304-(AD305-Z304)) + IF(MONTH(A305)=12, P305+V305, 0) + H305 - L305, 0)
    ),
  B305&gt;55,
    IF(AB304&gt;=$AH$7,
      MAX(Y304 + IF(MONTH(A305)=12, P305+V305, 0) + H305 - L305 + K305 + Z304, 0),
      MAX(Y304 + IF(MONTH(A305)=12, P305+V305, 0) + H305 - L305, 0)
    )
)</f>
        <v>524313.5859</v>
      </c>
      <c r="Z305" s="65">
        <f>IFS(
  B305&lt;55,
    MIN(
      IF(AA304 &gt;= VLOOKUP(YEAR(A305), Lookup!$Q:$R, 2),
        Z304 + IF(MONTH(A305)=12, Q305+W305, 0) + I305
          + AA304 + IF(MONTH(A305)=12, R305+X305, 0) - VLOOKUP(YEAR(A305), Lookup!$Q:$R, 2) + J305,
        Z304 + IF(MONTH(A305)=12, Q305+W305, 0) + I305
      ),
      VLOOKUP(YEAR(A305), Lookup!$K:$M, 3)
    ),
  B305=55,
    IF(Z304 &gt;= AD305, Z304 - AD305, 0),
  B305&gt;55, 0
)</f>
        <v>508035.1644</v>
      </c>
      <c r="AA305" s="65">
        <f>IFS(
  B305&lt;65,
    IF(AA304+J305 &lt; VLOOKUP(YEAR(A305), Lookup!$Q:$R, 2),
      AA304 + IF(MONTH(A305)=12, R304+X304, 0) + J305,
      MIN(
        AA304 + IF(MONTH(A305)=12, R304+X304, 0) + J305 ,
        VLOOKUP(YEAR(A305), Lookup!$Q:$R, 2)
      )
    ),
  B305&gt;=65,
    IF(AA304+J305 &lt; VLOOKUP(questions!$C$5, Lookup!$Q:$R, 2),
      AA304 + IF(MONTH(A305)=12, R304+X304, 0) + J305 ,
      MIN(
        AA304 + IF(MONTH(A305)=12, R304+X304, 0) + J305,
        VLOOKUP(questions!$C$5, Lookup!$Q:$R, 2)
      )
    )
)</f>
        <v>184581.7105</v>
      </c>
      <c r="AB305" s="65">
        <f t="shared" si="13"/>
        <v>0</v>
      </c>
      <c r="AC305" s="66">
        <f t="array" ref="AC305">IFS(B305&lt;66, XLOOKUP(year(A305),Lookup!$K$13:$K1000,Lookup!$L$13:$L1000,"missing",,1),B305&gt;65,XLOOKUP(questions!$C$5,Lookup!$K$13:$K1000,Lookup!$L$13:$L1000,"missing",,1))</f>
        <v>260527.7804</v>
      </c>
      <c r="AD305" s="66">
        <f t="array" ref="AD305">IFS(B305&lt;66, XLOOKUP(year(A305),Lookup!$K$13:$K1000,Lookup!$M$13:$M1000,"missing",,1),B305&gt;65, XLOOKUP(questions!$C$5,Lookup!$K$13:$K1000,Lookup!$M$13:$M1000,"missing",,1))</f>
        <v>521055.5608</v>
      </c>
      <c r="AE305" s="66">
        <f t="array" ref="AE305">IFS(B305&lt;66, XLOOKUP(year(A305),Lookup!$K$13:$K1000,Lookup!$N$13:$N1000,"missing",,1),B305&gt;65,XLOOKUP(questions!$C$5,Lookup!$K$13:$K1000,Lookup!$N$13:$N1000,"missing",,1))</f>
        <v>1042111.122</v>
      </c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</row>
    <row r="306">
      <c r="A306" s="55">
        <f t="shared" si="7"/>
        <v>55334</v>
      </c>
      <c r="B306" s="56">
        <f>round(YEARFRAC(EOMONTH(questions!$C$3, 0),A306,1),2)</f>
        <v>52.58</v>
      </c>
      <c r="C306" s="57">
        <f>IF(B306&lt;questions!$C$6,if(MONTH(A306)=1,C305*(1+questions!$C$12),C305),0)</f>
        <v>20937.7793</v>
      </c>
      <c r="D306" s="58">
        <f>IF(MONTH(A306)=12,C306*questions!$C$11,0)</f>
        <v>0</v>
      </c>
      <c r="E306" s="59">
        <f t="shared" si="2"/>
        <v>8000</v>
      </c>
      <c r="F306" s="59">
        <f t="shared" si="3"/>
        <v>0</v>
      </c>
      <c r="G306" s="60">
        <f t="array" ref="G306">if(YEAR(A306)=2025,XLOOKUP(B306,Lookup!$A$3:$A$7,Lookup!$D$3:$D$7,,1)*SUM(E306:F306), XLOOKUP(B306,Lookup!$A$14:$A$18,Lookup!$D$14:$D$18,,1)*SUM(E306:F306))</f>
        <v>2960</v>
      </c>
      <c r="H306" s="60">
        <f t="array" ref="H306">if(YEAR(A306)=2025,XLOOKUP(B306,Lookup!$F$3:$F$10,Lookup!$G$3:$G$10,,1)*G306, XLOOKUP(B306,Lookup!$F$14:$F$21,Lookup!$G$14:$G$21,,1)*G306)</f>
        <v>1200.28</v>
      </c>
      <c r="I306" s="60">
        <f t="array" ref="I306">if(B306&lt;55, if(YEAR(A306)=2025,XLOOKUP(B306,Lookup!$F$3:$F$10,Lookup!$H$3:$H$10,,1)*G306, XLOOKUP(B306,Lookup!$F$14:$F$21,Lookup!$H$14:$H$21,,1)*G306),0)</f>
        <v>919.968</v>
      </c>
      <c r="J306" s="60">
        <f t="array" ref="J306">if(YEAR(A306)=2025,XLOOKUP(B306,Lookup!$F$3:$F$10,Lookup!$I$3:$I$10,,1)*G306, XLOOKUP(B306,Lookup!$F$14:$F$21,Lookup!$I$14:$I$21,,1)*G306)</f>
        <v>839.752</v>
      </c>
      <c r="K306" s="61">
        <f t="array" ref="K306">if(B306&gt;54, if(YEAR(A306)=2025,XLOOKUP(B306,Lookup!$F$3:$F$10,Lookup!$H$3:$H$10,,1)*G306, XLOOKUP(B306,Lookup!$F$14:$F$21,Lookup!$H$14:$H$21,,1)*G306),0)</f>
        <v>0</v>
      </c>
      <c r="L306" s="62">
        <f>IF(and(A306&lt;questions!$C$19,questions!$C$18="yes"),questions!$C$20,0)</f>
        <v>0</v>
      </c>
      <c r="M306" s="63">
        <f>(Y305+H306)*Lookup!A$26/12</f>
        <v>1094.820554</v>
      </c>
      <c r="N306" s="63">
        <f>if(B306&lt;55, (Z305+I306)*Lookup!B$26/12, (AB305+K306)*Lookup!B$26/12)</f>
        <v>1696.517108</v>
      </c>
      <c r="O306" s="63">
        <f>(AA305+J306)*Lookup!C$26/12</f>
        <v>618.0715416</v>
      </c>
      <c r="P306" s="63">
        <f t="shared" si="8"/>
        <v>6531.414574</v>
      </c>
      <c r="Q306" s="63">
        <f t="shared" si="4"/>
        <v>10133.10425</v>
      </c>
      <c r="R306" s="63">
        <f t="shared" si="5"/>
        <v>3666.44165</v>
      </c>
      <c r="S306" s="64">
        <f t="shared" si="9"/>
        <v>16.66666667</v>
      </c>
      <c r="T306" s="64">
        <f t="shared" si="10"/>
        <v>33.33333333</v>
      </c>
      <c r="U306" s="64">
        <f t="shared" si="11"/>
        <v>0</v>
      </c>
      <c r="V306" s="64">
        <f t="shared" ref="V306:X306" si="314">IF(year($A306)=year($A305), V305+S306, S306)</f>
        <v>100</v>
      </c>
      <c r="W306" s="64">
        <f t="shared" si="314"/>
        <v>200</v>
      </c>
      <c r="X306" s="64">
        <f t="shared" si="314"/>
        <v>0</v>
      </c>
      <c r="Y306" s="65">
        <f>IFS(
  B306&lt;55,
    MAX(
      Y305 + IF(MONTH(A306)=12, P306+V306, 0) + H306 - L306
      + MAX(0,
          IF(AA305 &gt;= VLOOKUP(YEAR(A306), Lookup!$Q:$R, 2),
            Z305 + IF(MONTH(A306)=12, Q306+W306, 0) + I306
              + AA305 + IF(MONTH(A306)=12, R306+X306, 0)
              - VLOOKUP(YEAR(A306), Lookup!$Q:$R, 2) + J306,
            Z305 + IF(MONTH(A306)=12, Q306+W306, 0) + I306
          ) - VLOOKUP(YEAR(A306), Lookup!$K:$M, 3)
        ),
    0),
  B306=55,
    IF(Z305&gt;=AD306,
      MAX(Y305 + IF(MONTH(A306)=12, P306+V306, 0) + H306 - L306, 0),
      MAX(MAX(0, Y305-(AD306-Z305)) + IF(MONTH(A306)=12, P306+V306, 0) + H306 - L306, 0)
    ),
  B306&gt;55,
    IF(AB305&gt;=$AH$7,
      MAX(Y305 + IF(MONTH(A306)=12, P306+V306, 0) + H306 - L306 + K306 + Z305, 0),
      MAX(Y305 + IF(MONTH(A306)=12, P306+V306, 0) + H306 - L306, 0)
    )
)</f>
        <v>525513.8659</v>
      </c>
      <c r="Z306" s="65">
        <f>IFS(
  B306&lt;55,
    MIN(
      IF(AA305 &gt;= VLOOKUP(YEAR(A306), Lookup!$Q:$R, 2),
        Z305 + IF(MONTH(A306)=12, Q306+W306, 0) + I306
          + AA305 + IF(MONTH(A306)=12, R306+X306, 0) - VLOOKUP(YEAR(A306), Lookup!$Q:$R, 2) + J306,
        Z305 + IF(MONTH(A306)=12, Q306+W306, 0) + I306
      ),
      VLOOKUP(YEAR(A306), Lookup!$K:$M, 3)
    ),
  B306=55,
    IF(Z305 &gt;= AD306, Z305 - AD306, 0),
  B306&gt;55, 0
)</f>
        <v>508955.1324</v>
      </c>
      <c r="AA306" s="65">
        <f>IFS(
  B306&lt;65,
    IF(AA305+J306 &lt; VLOOKUP(YEAR(A306), Lookup!$Q:$R, 2),
      AA305 + IF(MONTH(A306)=12, R305+X305, 0) + J306,
      MIN(
        AA305 + IF(MONTH(A306)=12, R305+X305, 0) + J306 ,
        VLOOKUP(YEAR(A306), Lookup!$Q:$R, 2)
      )
    ),
  B306&gt;=65,
    IF(AA305+J306 &lt; VLOOKUP(questions!$C$5, Lookup!$Q:$R, 2),
      AA305 + IF(MONTH(A306)=12, R305+X305, 0) + J306 ,
      MIN(
        AA305 + IF(MONTH(A306)=12, R305+X305, 0) + J306,
        VLOOKUP(questions!$C$5, Lookup!$Q:$R, 2)
      )
    )
)</f>
        <v>185421.4625</v>
      </c>
      <c r="AB306" s="65">
        <f t="shared" si="13"/>
        <v>0</v>
      </c>
      <c r="AC306" s="66">
        <f t="array" ref="AC306">IFS(B306&lt;66, XLOOKUP(year(A306),Lookup!$K$13:$K1000,Lookup!$L$13:$L1000,"missing",,1),B306&gt;65,XLOOKUP(questions!$C$5,Lookup!$K$13:$K1000,Lookup!$L$13:$L1000,"missing",,1))</f>
        <v>260527.7804</v>
      </c>
      <c r="AD306" s="66">
        <f t="array" ref="AD306">IFS(B306&lt;66, XLOOKUP(year(A306),Lookup!$K$13:$K1000,Lookup!$M$13:$M1000,"missing",,1),B306&gt;65, XLOOKUP(questions!$C$5,Lookup!$K$13:$K1000,Lookup!$M$13:$M1000,"missing",,1))</f>
        <v>521055.5608</v>
      </c>
      <c r="AE306" s="66">
        <f t="array" ref="AE306">IFS(B306&lt;66, XLOOKUP(year(A306),Lookup!$K$13:$K1000,Lookup!$N$13:$N1000,"missing",,1),B306&gt;65,XLOOKUP(questions!$C$5,Lookup!$K$13:$K1000,Lookup!$N$13:$N1000,"missing",,1))</f>
        <v>1042111.122</v>
      </c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</row>
    <row r="307">
      <c r="A307" s="55">
        <f t="shared" si="7"/>
        <v>55365</v>
      </c>
      <c r="B307" s="56">
        <f>round(YEARFRAC(EOMONTH(questions!$C$3, 0),A307,1),2)</f>
        <v>52.67</v>
      </c>
      <c r="C307" s="57">
        <f>IF(B307&lt;questions!$C$6,if(MONTH(A307)=1,C306*(1+questions!$C$12),C306),0)</f>
        <v>20937.7793</v>
      </c>
      <c r="D307" s="58">
        <f>IF(MONTH(A307)=12,C307*questions!$C$11,0)</f>
        <v>0</v>
      </c>
      <c r="E307" s="59">
        <f t="shared" si="2"/>
        <v>8000</v>
      </c>
      <c r="F307" s="59">
        <f t="shared" si="3"/>
        <v>0</v>
      </c>
      <c r="G307" s="60">
        <f t="array" ref="G307">if(YEAR(A307)=2025,XLOOKUP(B307,Lookup!$A$3:$A$7,Lookup!$D$3:$D$7,,1)*SUM(E307:F307), XLOOKUP(B307,Lookup!$A$14:$A$18,Lookup!$D$14:$D$18,,1)*SUM(E307:F307))</f>
        <v>2960</v>
      </c>
      <c r="H307" s="60">
        <f t="array" ref="H307">if(YEAR(A307)=2025,XLOOKUP(B307,Lookup!$F$3:$F$10,Lookup!$G$3:$G$10,,1)*G307, XLOOKUP(B307,Lookup!$F$14:$F$21,Lookup!$G$14:$G$21,,1)*G307)</f>
        <v>1200.28</v>
      </c>
      <c r="I307" s="60">
        <f t="array" ref="I307">if(B307&lt;55, if(YEAR(A307)=2025,XLOOKUP(B307,Lookup!$F$3:$F$10,Lookup!$H$3:$H$10,,1)*G307, XLOOKUP(B307,Lookup!$F$14:$F$21,Lookup!$H$14:$H$21,,1)*G307),0)</f>
        <v>919.968</v>
      </c>
      <c r="J307" s="60">
        <f t="array" ref="J307">if(YEAR(A307)=2025,XLOOKUP(B307,Lookup!$F$3:$F$10,Lookup!$I$3:$I$10,,1)*G307, XLOOKUP(B307,Lookup!$F$14:$F$21,Lookup!$I$14:$I$21,,1)*G307)</f>
        <v>839.752</v>
      </c>
      <c r="K307" s="61">
        <f t="array" ref="K307">if(B307&gt;54, if(YEAR(A307)=2025,XLOOKUP(B307,Lookup!$F$3:$F$10,Lookup!$H$3:$H$10,,1)*G307, XLOOKUP(B307,Lookup!$F$14:$F$21,Lookup!$H$14:$H$21,,1)*G307),0)</f>
        <v>0</v>
      </c>
      <c r="L307" s="62">
        <f>IF(and(A307&lt;questions!$C$19,questions!$C$18="yes"),questions!$C$20,0)</f>
        <v>0</v>
      </c>
      <c r="M307" s="63">
        <f>(Y306+H307)*Lookup!A$26/12</f>
        <v>1097.321137</v>
      </c>
      <c r="N307" s="63">
        <f>if(B307&lt;55, (Z306+I307)*Lookup!B$26/12, (AB306+K307)*Lookup!B$26/12)</f>
        <v>1699.583668</v>
      </c>
      <c r="O307" s="63">
        <f>(AA306+J307)*Lookup!C$26/12</f>
        <v>620.870715</v>
      </c>
      <c r="P307" s="63">
        <f t="shared" si="8"/>
        <v>7628.735712</v>
      </c>
      <c r="Q307" s="63">
        <f t="shared" si="4"/>
        <v>11832.68792</v>
      </c>
      <c r="R307" s="63">
        <f t="shared" si="5"/>
        <v>4287.312365</v>
      </c>
      <c r="S307" s="64">
        <f t="shared" si="9"/>
        <v>16.66666667</v>
      </c>
      <c r="T307" s="64">
        <f t="shared" si="10"/>
        <v>33.33333333</v>
      </c>
      <c r="U307" s="64">
        <f t="shared" si="11"/>
        <v>0</v>
      </c>
      <c r="V307" s="64">
        <f t="shared" ref="V307:X307" si="315">IF(year($A307)=year($A306), V306+S307, S307)</f>
        <v>116.6666667</v>
      </c>
      <c r="W307" s="64">
        <f t="shared" si="315"/>
        <v>233.3333333</v>
      </c>
      <c r="X307" s="64">
        <f t="shared" si="315"/>
        <v>0</v>
      </c>
      <c r="Y307" s="65">
        <f>IFS(
  B307&lt;55,
    MAX(
      Y306 + IF(MONTH(A307)=12, P307+V307, 0) + H307 - L307
      + MAX(0,
          IF(AA306 &gt;= VLOOKUP(YEAR(A307), Lookup!$Q:$R, 2),
            Z306 + IF(MONTH(A307)=12, Q307+W307, 0) + I307
              + AA306 + IF(MONTH(A307)=12, R307+X307, 0)
              - VLOOKUP(YEAR(A307), Lookup!$Q:$R, 2) + J307,
            Z306 + IF(MONTH(A307)=12, Q307+W307, 0) + I307
          ) - VLOOKUP(YEAR(A307), Lookup!$K:$M, 3)
        ),
    0),
  B307=55,
    IF(Z306&gt;=AD307,
      MAX(Y306 + IF(MONTH(A307)=12, P307+V307, 0) + H307 - L307, 0),
      MAX(MAX(0, Y306-(AD307-Z306)) + IF(MONTH(A307)=12, P307+V307, 0) + H307 - L307, 0)
    ),
  B307&gt;55,
    IF(AB306&gt;=$AH$7,
      MAX(Y306 + IF(MONTH(A307)=12, P307+V307, 0) + H307 - L307 + K307 + Z306, 0),
      MAX(Y306 + IF(MONTH(A307)=12, P307+V307, 0) + H307 - L307, 0)
    )
)</f>
        <v>526714.1459</v>
      </c>
      <c r="Z307" s="65">
        <f>IFS(
  B307&lt;55,
    MIN(
      IF(AA306 &gt;= VLOOKUP(YEAR(A307), Lookup!$Q:$R, 2),
        Z306 + IF(MONTH(A307)=12, Q307+W307, 0) + I307
          + AA306 + IF(MONTH(A307)=12, R307+X307, 0) - VLOOKUP(YEAR(A307), Lookup!$Q:$R, 2) + J307,
        Z306 + IF(MONTH(A307)=12, Q307+W307, 0) + I307
      ),
      VLOOKUP(YEAR(A307), Lookup!$K:$M, 3)
    ),
  B307=55,
    IF(Z306 &gt;= AD307, Z306 - AD307, 0),
  B307&gt;55, 0
)</f>
        <v>509875.1004</v>
      </c>
      <c r="AA307" s="65">
        <f>IFS(
  B307&lt;65,
    IF(AA306+J307 &lt; VLOOKUP(YEAR(A307), Lookup!$Q:$R, 2),
      AA306 + IF(MONTH(A307)=12, R306+X306, 0) + J307,
      MIN(
        AA306 + IF(MONTH(A307)=12, R306+X306, 0) + J307 ,
        VLOOKUP(YEAR(A307), Lookup!$Q:$R, 2)
      )
    ),
  B307&gt;=65,
    IF(AA306+J307 &lt; VLOOKUP(questions!$C$5, Lookup!$Q:$R, 2),
      AA306 + IF(MONTH(A307)=12, R306+X306, 0) + J307 ,
      MIN(
        AA306 + IF(MONTH(A307)=12, R306+X306, 0) + J307,
        VLOOKUP(questions!$C$5, Lookup!$Q:$R, 2)
      )
    )
)</f>
        <v>186261.2145</v>
      </c>
      <c r="AB307" s="65">
        <f t="shared" si="13"/>
        <v>0</v>
      </c>
      <c r="AC307" s="66">
        <f t="array" ref="AC307">IFS(B307&lt;66, XLOOKUP(year(A307),Lookup!$K$13:$K1000,Lookup!$L$13:$L1000,"missing",,1),B307&gt;65,XLOOKUP(questions!$C$5,Lookup!$K$13:$K1000,Lookup!$L$13:$L1000,"missing",,1))</f>
        <v>260527.7804</v>
      </c>
      <c r="AD307" s="66">
        <f t="array" ref="AD307">IFS(B307&lt;66, XLOOKUP(year(A307),Lookup!$K$13:$K1000,Lookup!$M$13:$M1000,"missing",,1),B307&gt;65, XLOOKUP(questions!$C$5,Lookup!$K$13:$K1000,Lookup!$M$13:$M1000,"missing",,1))</f>
        <v>521055.5608</v>
      </c>
      <c r="AE307" s="66">
        <f t="array" ref="AE307">IFS(B307&lt;66, XLOOKUP(year(A307),Lookup!$K$13:$K1000,Lookup!$N$13:$N1000,"missing",,1),B307&gt;65,XLOOKUP(questions!$C$5,Lookup!$K$13:$K1000,Lookup!$N$13:$N1000,"missing",,1))</f>
        <v>1042111.122</v>
      </c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</row>
    <row r="308">
      <c r="A308" s="55">
        <f t="shared" si="7"/>
        <v>55396</v>
      </c>
      <c r="B308" s="56">
        <f>round(YEARFRAC(EOMONTH(questions!$C$3, 0),A308,1),2)</f>
        <v>52.75</v>
      </c>
      <c r="C308" s="57">
        <f>IF(B308&lt;questions!$C$6,if(MONTH(A308)=1,C307*(1+questions!$C$12),C307),0)</f>
        <v>20937.7793</v>
      </c>
      <c r="D308" s="58">
        <f>IF(MONTH(A308)=12,C308*questions!$C$11,0)</f>
        <v>0</v>
      </c>
      <c r="E308" s="59">
        <f t="shared" si="2"/>
        <v>8000</v>
      </c>
      <c r="F308" s="59">
        <f t="shared" si="3"/>
        <v>0</v>
      </c>
      <c r="G308" s="60">
        <f t="array" ref="G308">if(YEAR(A308)=2025,XLOOKUP(B308,Lookup!$A$3:$A$7,Lookup!$D$3:$D$7,,1)*SUM(E308:F308), XLOOKUP(B308,Lookup!$A$14:$A$18,Lookup!$D$14:$D$18,,1)*SUM(E308:F308))</f>
        <v>2960</v>
      </c>
      <c r="H308" s="60">
        <f t="array" ref="H308">if(YEAR(A308)=2025,XLOOKUP(B308,Lookup!$F$3:$F$10,Lookup!$G$3:$G$10,,1)*G308, XLOOKUP(B308,Lookup!$F$14:$F$21,Lookup!$G$14:$G$21,,1)*G308)</f>
        <v>1200.28</v>
      </c>
      <c r="I308" s="60">
        <f t="array" ref="I308">if(B308&lt;55, if(YEAR(A308)=2025,XLOOKUP(B308,Lookup!$F$3:$F$10,Lookup!$H$3:$H$10,,1)*G308, XLOOKUP(B308,Lookup!$F$14:$F$21,Lookup!$H$14:$H$21,,1)*G308),0)</f>
        <v>919.968</v>
      </c>
      <c r="J308" s="60">
        <f t="array" ref="J308">if(YEAR(A308)=2025,XLOOKUP(B308,Lookup!$F$3:$F$10,Lookup!$I$3:$I$10,,1)*G308, XLOOKUP(B308,Lookup!$F$14:$F$21,Lookup!$I$14:$I$21,,1)*G308)</f>
        <v>839.752</v>
      </c>
      <c r="K308" s="61">
        <f t="array" ref="K308">if(B308&gt;54, if(YEAR(A308)=2025,XLOOKUP(B308,Lookup!$F$3:$F$10,Lookup!$H$3:$H$10,,1)*G308, XLOOKUP(B308,Lookup!$F$14:$F$21,Lookup!$H$14:$H$21,,1)*G308),0)</f>
        <v>0</v>
      </c>
      <c r="L308" s="62">
        <f>IF(and(A308&lt;questions!$C$19,questions!$C$18="yes"),questions!$C$20,0)</f>
        <v>0</v>
      </c>
      <c r="M308" s="63">
        <f>(Y307+H308)*Lookup!A$26/12</f>
        <v>1099.821721</v>
      </c>
      <c r="N308" s="63">
        <f>if(B308&lt;55, (Z307+I308)*Lookup!B$26/12, (AB307+K308)*Lookup!B$26/12)</f>
        <v>1702.650228</v>
      </c>
      <c r="O308" s="63">
        <f>(AA307+J308)*Lookup!C$26/12</f>
        <v>623.6698883</v>
      </c>
      <c r="P308" s="63">
        <f t="shared" si="8"/>
        <v>8728.557432</v>
      </c>
      <c r="Q308" s="63">
        <f t="shared" si="4"/>
        <v>13535.33814</v>
      </c>
      <c r="R308" s="63">
        <f t="shared" si="5"/>
        <v>4910.982253</v>
      </c>
      <c r="S308" s="64">
        <f t="shared" si="9"/>
        <v>16.66666667</v>
      </c>
      <c r="T308" s="64">
        <f t="shared" si="10"/>
        <v>33.33333333</v>
      </c>
      <c r="U308" s="64">
        <f t="shared" si="11"/>
        <v>0</v>
      </c>
      <c r="V308" s="64">
        <f t="shared" ref="V308:X308" si="316">IF(year($A308)=year($A307), V307+S308, S308)</f>
        <v>133.3333333</v>
      </c>
      <c r="W308" s="64">
        <f t="shared" si="316"/>
        <v>266.6666667</v>
      </c>
      <c r="X308" s="64">
        <f t="shared" si="316"/>
        <v>0</v>
      </c>
      <c r="Y308" s="65">
        <f>IFS(
  B308&lt;55,
    MAX(
      Y307 + IF(MONTH(A308)=12, P308+V308, 0) + H308 - L308
      + MAX(0,
          IF(AA307 &gt;= VLOOKUP(YEAR(A308), Lookup!$Q:$R, 2),
            Z307 + IF(MONTH(A308)=12, Q308+W308, 0) + I308
              + AA307 + IF(MONTH(A308)=12, R308+X308, 0)
              - VLOOKUP(YEAR(A308), Lookup!$Q:$R, 2) + J308,
            Z307 + IF(MONTH(A308)=12, Q308+W308, 0) + I308
          ) - VLOOKUP(YEAR(A308), Lookup!$K:$M, 3)
        ),
    0),
  B308=55,
    IF(Z307&gt;=AD308,
      MAX(Y307 + IF(MONTH(A308)=12, P308+V308, 0) + H308 - L308, 0),
      MAX(MAX(0, Y307-(AD308-Z307)) + IF(MONTH(A308)=12, P308+V308, 0) + H308 - L308, 0)
    ),
  B308&gt;55,
    IF(AB307&gt;=$AH$7,
      MAX(Y307 + IF(MONTH(A308)=12, P308+V308, 0) + H308 - L308 + K308 + Z307, 0),
      MAX(Y307 + IF(MONTH(A308)=12, P308+V308, 0) + H308 - L308, 0)
    )
)</f>
        <v>527914.4259</v>
      </c>
      <c r="Z308" s="65">
        <f>IFS(
  B308&lt;55,
    MIN(
      IF(AA307 &gt;= VLOOKUP(YEAR(A308), Lookup!$Q:$R, 2),
        Z307 + IF(MONTH(A308)=12, Q308+W308, 0) + I308
          + AA307 + IF(MONTH(A308)=12, R308+X308, 0) - VLOOKUP(YEAR(A308), Lookup!$Q:$R, 2) + J308,
        Z307 + IF(MONTH(A308)=12, Q308+W308, 0) + I308
      ),
      VLOOKUP(YEAR(A308), Lookup!$K:$M, 3)
    ),
  B308=55,
    IF(Z307 &gt;= AD308, Z307 - AD308, 0),
  B308&gt;55, 0
)</f>
        <v>510795.0684</v>
      </c>
      <c r="AA308" s="65">
        <f>IFS(
  B308&lt;65,
    IF(AA307+J308 &lt; VLOOKUP(YEAR(A308), Lookup!$Q:$R, 2),
      AA307 + IF(MONTH(A308)=12, R307+X307, 0) + J308,
      MIN(
        AA307 + IF(MONTH(A308)=12, R307+X307, 0) + J308 ,
        VLOOKUP(YEAR(A308), Lookup!$Q:$R, 2)
      )
    ),
  B308&gt;=65,
    IF(AA307+J308 &lt; VLOOKUP(questions!$C$5, Lookup!$Q:$R, 2),
      AA307 + IF(MONTH(A308)=12, R307+X307, 0) + J308 ,
      MIN(
        AA307 + IF(MONTH(A308)=12, R307+X307, 0) + J308,
        VLOOKUP(questions!$C$5, Lookup!$Q:$R, 2)
      )
    )
)</f>
        <v>186696.3538</v>
      </c>
      <c r="AB308" s="65">
        <f t="shared" si="13"/>
        <v>0</v>
      </c>
      <c r="AC308" s="66">
        <f t="array" ref="AC308">IFS(B308&lt;66, XLOOKUP(year(A308),Lookup!$K$13:$K1000,Lookup!$L$13:$L1000,"missing",,1),B308&gt;65,XLOOKUP(questions!$C$5,Lookup!$K$13:$K1000,Lookup!$L$13:$L1000,"missing",,1))</f>
        <v>260527.7804</v>
      </c>
      <c r="AD308" s="66">
        <f t="array" ref="AD308">IFS(B308&lt;66, XLOOKUP(year(A308),Lookup!$K$13:$K1000,Lookup!$M$13:$M1000,"missing",,1),B308&gt;65, XLOOKUP(questions!$C$5,Lookup!$K$13:$K1000,Lookup!$M$13:$M1000,"missing",,1))</f>
        <v>521055.5608</v>
      </c>
      <c r="AE308" s="66">
        <f t="array" ref="AE308">IFS(B308&lt;66, XLOOKUP(year(A308),Lookup!$K$13:$K1000,Lookup!$N$13:$N1000,"missing",,1),B308&gt;65,XLOOKUP(questions!$C$5,Lookup!$K$13:$K1000,Lookup!$N$13:$N1000,"missing",,1))</f>
        <v>1042111.122</v>
      </c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</row>
    <row r="309">
      <c r="A309" s="55">
        <f t="shared" si="7"/>
        <v>55426</v>
      </c>
      <c r="B309" s="56">
        <f>round(YEARFRAC(EOMONTH(questions!$C$3, 0),A309,1),2)</f>
        <v>52.83</v>
      </c>
      <c r="C309" s="57">
        <f>IF(B309&lt;questions!$C$6,if(MONTH(A309)=1,C308*(1+questions!$C$12),C308),0)</f>
        <v>20937.7793</v>
      </c>
      <c r="D309" s="58">
        <f>IF(MONTH(A309)=12,C309*questions!$C$11,0)</f>
        <v>0</v>
      </c>
      <c r="E309" s="59">
        <f t="shared" si="2"/>
        <v>8000</v>
      </c>
      <c r="F309" s="59">
        <f t="shared" si="3"/>
        <v>0</v>
      </c>
      <c r="G309" s="60">
        <f t="array" ref="G309">if(YEAR(A309)=2025,XLOOKUP(B309,Lookup!$A$3:$A$7,Lookup!$D$3:$D$7,,1)*SUM(E309:F309), XLOOKUP(B309,Lookup!$A$14:$A$18,Lookup!$D$14:$D$18,,1)*SUM(E309:F309))</f>
        <v>2960</v>
      </c>
      <c r="H309" s="60">
        <f t="array" ref="H309">if(YEAR(A309)=2025,XLOOKUP(B309,Lookup!$F$3:$F$10,Lookup!$G$3:$G$10,,1)*G309, XLOOKUP(B309,Lookup!$F$14:$F$21,Lookup!$G$14:$G$21,,1)*G309)</f>
        <v>1200.28</v>
      </c>
      <c r="I309" s="60">
        <f t="array" ref="I309">if(B309&lt;55, if(YEAR(A309)=2025,XLOOKUP(B309,Lookup!$F$3:$F$10,Lookup!$H$3:$H$10,,1)*G309, XLOOKUP(B309,Lookup!$F$14:$F$21,Lookup!$H$14:$H$21,,1)*G309),0)</f>
        <v>919.968</v>
      </c>
      <c r="J309" s="60">
        <f t="array" ref="J309">if(YEAR(A309)=2025,XLOOKUP(B309,Lookup!$F$3:$F$10,Lookup!$I$3:$I$10,,1)*G309, XLOOKUP(B309,Lookup!$F$14:$F$21,Lookup!$I$14:$I$21,,1)*G309)</f>
        <v>839.752</v>
      </c>
      <c r="K309" s="61">
        <f t="array" ref="K309">if(B309&gt;54, if(YEAR(A309)=2025,XLOOKUP(B309,Lookup!$F$3:$F$10,Lookup!$H$3:$H$10,,1)*G309, XLOOKUP(B309,Lookup!$F$14:$F$21,Lookup!$H$14:$H$21,,1)*G309),0)</f>
        <v>0</v>
      </c>
      <c r="L309" s="62">
        <f>IF(and(A309&lt;questions!$C$19,questions!$C$18="yes"),questions!$C$20,0)</f>
        <v>0</v>
      </c>
      <c r="M309" s="63">
        <f>(Y308+H309)*Lookup!A$26/12</f>
        <v>1102.322304</v>
      </c>
      <c r="N309" s="63">
        <f>if(B309&lt;55, (Z308+I309)*Lookup!B$26/12, (AB308+K309)*Lookup!B$26/12)</f>
        <v>1705.716788</v>
      </c>
      <c r="O309" s="63">
        <f>(AA308+J309)*Lookup!C$26/12</f>
        <v>625.1203525</v>
      </c>
      <c r="P309" s="63">
        <f t="shared" si="8"/>
        <v>9830.879736</v>
      </c>
      <c r="Q309" s="63">
        <f t="shared" si="4"/>
        <v>15241.05493</v>
      </c>
      <c r="R309" s="63">
        <f t="shared" si="5"/>
        <v>5536.102606</v>
      </c>
      <c r="S309" s="64">
        <f t="shared" si="9"/>
        <v>16.66666667</v>
      </c>
      <c r="T309" s="64">
        <f t="shared" si="10"/>
        <v>33.33333333</v>
      </c>
      <c r="U309" s="64">
        <f t="shared" si="11"/>
        <v>0</v>
      </c>
      <c r="V309" s="64">
        <f t="shared" ref="V309:X309" si="317">IF(year($A309)=year($A308), V308+S309, S309)</f>
        <v>150</v>
      </c>
      <c r="W309" s="64">
        <f t="shared" si="317"/>
        <v>300</v>
      </c>
      <c r="X309" s="64">
        <f t="shared" si="317"/>
        <v>0</v>
      </c>
      <c r="Y309" s="65">
        <f>IFS(
  B309&lt;55,
    MAX(
      Y308 + IF(MONTH(A309)=12, P309+V309, 0) + H309 - L309
      + MAX(0,
          IF(AA308 &gt;= VLOOKUP(YEAR(A309), Lookup!$Q:$R, 2),
            Z308 + IF(MONTH(A309)=12, Q309+W309, 0) + I309
              + AA308 + IF(MONTH(A309)=12, R309+X309, 0)
              - VLOOKUP(YEAR(A309), Lookup!$Q:$R, 2) + J309,
            Z308 + IF(MONTH(A309)=12, Q309+W309, 0) + I309
          ) - VLOOKUP(YEAR(A309), Lookup!$K:$M, 3)
        ),
    0),
  B309=55,
    IF(Z308&gt;=AD309,
      MAX(Y308 + IF(MONTH(A309)=12, P309+V309, 0) + H309 - L309, 0),
      MAX(MAX(0, Y308-(AD309-Z308)) + IF(MONTH(A309)=12, P309+V309, 0) + H309 - L309, 0)
    ),
  B309&gt;55,
    IF(AB308&gt;=$AH$7,
      MAX(Y308 + IF(MONTH(A309)=12, P309+V309, 0) + H309 - L309 + K309 + Z308, 0),
      MAX(Y308 + IF(MONTH(A309)=12, P309+V309, 0) + H309 - L309, 0)
    )
)</f>
        <v>529114.7059</v>
      </c>
      <c r="Z309" s="65">
        <f>IFS(
  B309&lt;55,
    MIN(
      IF(AA308 &gt;= VLOOKUP(YEAR(A309), Lookup!$Q:$R, 2),
        Z308 + IF(MONTH(A309)=12, Q309+W309, 0) + I309
          + AA308 + IF(MONTH(A309)=12, R309+X309, 0) - VLOOKUP(YEAR(A309), Lookup!$Q:$R, 2) + J309,
        Z308 + IF(MONTH(A309)=12, Q309+W309, 0) + I309
      ),
      VLOOKUP(YEAR(A309), Lookup!$K:$M, 3)
    ),
  B309=55,
    IF(Z308 &gt;= AD309, Z308 - AD309, 0),
  B309&gt;55, 0
)</f>
        <v>512554.7884</v>
      </c>
      <c r="AA309" s="65">
        <f>IFS(
  B309&lt;65,
    IF(AA308+J309 &lt; VLOOKUP(YEAR(A309), Lookup!$Q:$R, 2),
      AA308 + IF(MONTH(A309)=12, R308+X308, 0) + J309,
      MIN(
        AA308 + IF(MONTH(A309)=12, R308+X308, 0) + J309 ,
        VLOOKUP(YEAR(A309), Lookup!$Q:$R, 2)
      )
    ),
  B309&gt;=65,
    IF(AA308+J309 &lt; VLOOKUP(questions!$C$5, Lookup!$Q:$R, 2),
      AA308 + IF(MONTH(A309)=12, R308+X308, 0) + J309 ,
      MIN(
        AA308 + IF(MONTH(A309)=12, R308+X308, 0) + J309,
        VLOOKUP(questions!$C$5, Lookup!$Q:$R, 2)
      )
    )
)</f>
        <v>186696.3538</v>
      </c>
      <c r="AB309" s="65">
        <f t="shared" si="13"/>
        <v>0</v>
      </c>
      <c r="AC309" s="66">
        <f t="array" ref="AC309">IFS(B309&lt;66, XLOOKUP(year(A309),Lookup!$K$13:$K1000,Lookup!$L$13:$L1000,"missing",,1),B309&gt;65,XLOOKUP(questions!$C$5,Lookup!$K$13:$K1000,Lookup!$L$13:$L1000,"missing",,1))</f>
        <v>260527.7804</v>
      </c>
      <c r="AD309" s="66">
        <f t="array" ref="AD309">IFS(B309&lt;66, XLOOKUP(year(A309),Lookup!$K$13:$K1000,Lookup!$M$13:$M1000,"missing",,1),B309&gt;65, XLOOKUP(questions!$C$5,Lookup!$K$13:$K1000,Lookup!$M$13:$M1000,"missing",,1))</f>
        <v>521055.5608</v>
      </c>
      <c r="AE309" s="66">
        <f t="array" ref="AE309">IFS(B309&lt;66, XLOOKUP(year(A309),Lookup!$K$13:$K1000,Lookup!$N$13:$N1000,"missing",,1),B309&gt;65,XLOOKUP(questions!$C$5,Lookup!$K$13:$K1000,Lookup!$N$13:$N1000,"missing",,1))</f>
        <v>1042111.122</v>
      </c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</row>
    <row r="310">
      <c r="A310" s="55">
        <f t="shared" si="7"/>
        <v>55457</v>
      </c>
      <c r="B310" s="56">
        <f>round(YEARFRAC(EOMONTH(questions!$C$3, 0),A310,1),2)</f>
        <v>52.92</v>
      </c>
      <c r="C310" s="57">
        <f>IF(B310&lt;questions!$C$6,if(MONTH(A310)=1,C309*(1+questions!$C$12),C309),0)</f>
        <v>20937.7793</v>
      </c>
      <c r="D310" s="58">
        <f>IF(MONTH(A310)=12,C310*questions!$C$11,0)</f>
        <v>0</v>
      </c>
      <c r="E310" s="59">
        <f t="shared" si="2"/>
        <v>8000</v>
      </c>
      <c r="F310" s="59">
        <f t="shared" si="3"/>
        <v>0</v>
      </c>
      <c r="G310" s="60">
        <f t="array" ref="G310">if(YEAR(A310)=2025,XLOOKUP(B310,Lookup!$A$3:$A$7,Lookup!$D$3:$D$7,,1)*SUM(E310:F310), XLOOKUP(B310,Lookup!$A$14:$A$18,Lookup!$D$14:$D$18,,1)*SUM(E310:F310))</f>
        <v>2960</v>
      </c>
      <c r="H310" s="60">
        <f t="array" ref="H310">if(YEAR(A310)=2025,XLOOKUP(B310,Lookup!$F$3:$F$10,Lookup!$G$3:$G$10,,1)*G310, XLOOKUP(B310,Lookup!$F$14:$F$21,Lookup!$G$14:$G$21,,1)*G310)</f>
        <v>1200.28</v>
      </c>
      <c r="I310" s="60">
        <f t="array" ref="I310">if(B310&lt;55, if(YEAR(A310)=2025,XLOOKUP(B310,Lookup!$F$3:$F$10,Lookup!$H$3:$H$10,,1)*G310, XLOOKUP(B310,Lookup!$F$14:$F$21,Lookup!$H$14:$H$21,,1)*G310),0)</f>
        <v>919.968</v>
      </c>
      <c r="J310" s="60">
        <f t="array" ref="J310">if(YEAR(A310)=2025,XLOOKUP(B310,Lookup!$F$3:$F$10,Lookup!$I$3:$I$10,,1)*G310, XLOOKUP(B310,Lookup!$F$14:$F$21,Lookup!$I$14:$I$21,,1)*G310)</f>
        <v>839.752</v>
      </c>
      <c r="K310" s="61">
        <f t="array" ref="K310">if(B310&gt;54, if(YEAR(A310)=2025,XLOOKUP(B310,Lookup!$F$3:$F$10,Lookup!$H$3:$H$10,,1)*G310, XLOOKUP(B310,Lookup!$F$14:$F$21,Lookup!$H$14:$H$21,,1)*G310),0)</f>
        <v>0</v>
      </c>
      <c r="L310" s="62">
        <f>IF(and(A310&lt;questions!$C$19,questions!$C$18="yes"),questions!$C$20,0)</f>
        <v>0</v>
      </c>
      <c r="M310" s="63">
        <f>(Y309+H310)*Lookup!A$26/12</f>
        <v>1104.822887</v>
      </c>
      <c r="N310" s="63">
        <f>if(B310&lt;55, (Z309+I310)*Lookup!B$26/12, (AB309+K310)*Lookup!B$26/12)</f>
        <v>1711.582521</v>
      </c>
      <c r="O310" s="63">
        <f>(AA309+J310)*Lookup!C$26/12</f>
        <v>625.1203525</v>
      </c>
      <c r="P310" s="63">
        <f t="shared" si="8"/>
        <v>10935.70262</v>
      </c>
      <c r="Q310" s="63">
        <f t="shared" si="4"/>
        <v>16952.63745</v>
      </c>
      <c r="R310" s="63">
        <f t="shared" si="5"/>
        <v>6161.222958</v>
      </c>
      <c r="S310" s="64">
        <f t="shared" si="9"/>
        <v>16.66666667</v>
      </c>
      <c r="T310" s="64">
        <f t="shared" si="10"/>
        <v>33.33333333</v>
      </c>
      <c r="U310" s="64">
        <f t="shared" si="11"/>
        <v>0</v>
      </c>
      <c r="V310" s="64">
        <f t="shared" ref="V310:X310" si="318">IF(year($A310)=year($A309), V309+S310, S310)</f>
        <v>166.6666667</v>
      </c>
      <c r="W310" s="64">
        <f t="shared" si="318"/>
        <v>333.3333333</v>
      </c>
      <c r="X310" s="64">
        <f t="shared" si="318"/>
        <v>0</v>
      </c>
      <c r="Y310" s="65">
        <f>IFS(
  B310&lt;55,
    MAX(
      Y309 + IF(MONTH(A310)=12, P310+V310, 0) + H310 - L310
      + MAX(0,
          IF(AA309 &gt;= VLOOKUP(YEAR(A310), Lookup!$Q:$R, 2),
            Z309 + IF(MONTH(A310)=12, Q310+W310, 0) + I310
              + AA309 + IF(MONTH(A310)=12, R310+X310, 0)
              - VLOOKUP(YEAR(A310), Lookup!$Q:$R, 2) + J310,
            Z309 + IF(MONTH(A310)=12, Q310+W310, 0) + I310
          ) - VLOOKUP(YEAR(A310), Lookup!$K:$M, 3)
        ),
    0),
  B310=55,
    IF(Z309&gt;=AD310,
      MAX(Y309 + IF(MONTH(A310)=12, P310+V310, 0) + H310 - L310, 0),
      MAX(MAX(0, Y309-(AD310-Z309)) + IF(MONTH(A310)=12, P310+V310, 0) + H310 - L310, 0)
    ),
  B310&gt;55,
    IF(AB309&gt;=$AH$7,
      MAX(Y309 + IF(MONTH(A310)=12, P310+V310, 0) + H310 - L310 + K310 + Z309, 0),
      MAX(Y309 + IF(MONTH(A310)=12, P310+V310, 0) + H310 - L310, 0)
    )
)</f>
        <v>530314.9859</v>
      </c>
      <c r="Z310" s="65">
        <f>IFS(
  B310&lt;55,
    MIN(
      IF(AA309 &gt;= VLOOKUP(YEAR(A310), Lookup!$Q:$R, 2),
        Z309 + IF(MONTH(A310)=12, Q310+W310, 0) + I310
          + AA309 + IF(MONTH(A310)=12, R310+X310, 0) - VLOOKUP(YEAR(A310), Lookup!$Q:$R, 2) + J310,
        Z309 + IF(MONTH(A310)=12, Q310+W310, 0) + I310
      ),
      VLOOKUP(YEAR(A310), Lookup!$K:$M, 3)
    ),
  B310=55,
    IF(Z309 &gt;= AD310, Z309 - AD310, 0),
  B310&gt;55, 0
)</f>
        <v>514314.5084</v>
      </c>
      <c r="AA310" s="65">
        <f>IFS(
  B310&lt;65,
    IF(AA309+J310 &lt; VLOOKUP(YEAR(A310), Lookup!$Q:$R, 2),
      AA309 + IF(MONTH(A310)=12, R309+X309, 0) + J310,
      MIN(
        AA309 + IF(MONTH(A310)=12, R309+X309, 0) + J310 ,
        VLOOKUP(YEAR(A310), Lookup!$Q:$R, 2)
      )
    ),
  B310&gt;=65,
    IF(AA309+J310 &lt; VLOOKUP(questions!$C$5, Lookup!$Q:$R, 2),
      AA309 + IF(MONTH(A310)=12, R309+X309, 0) + J310 ,
      MIN(
        AA309 + IF(MONTH(A310)=12, R309+X309, 0) + J310,
        VLOOKUP(questions!$C$5, Lookup!$Q:$R, 2)
      )
    )
)</f>
        <v>186696.3538</v>
      </c>
      <c r="AB310" s="65">
        <f t="shared" si="13"/>
        <v>0</v>
      </c>
      <c r="AC310" s="66">
        <f t="array" ref="AC310">IFS(B310&lt;66, XLOOKUP(year(A310),Lookup!$K$13:$K1000,Lookup!$L$13:$L1000,"missing",,1),B310&gt;65,XLOOKUP(questions!$C$5,Lookup!$K$13:$K1000,Lookup!$L$13:$L1000,"missing",,1))</f>
        <v>260527.7804</v>
      </c>
      <c r="AD310" s="66">
        <f t="array" ref="AD310">IFS(B310&lt;66, XLOOKUP(year(A310),Lookup!$K$13:$K1000,Lookup!$M$13:$M1000,"missing",,1),B310&gt;65, XLOOKUP(questions!$C$5,Lookup!$K$13:$K1000,Lookup!$M$13:$M1000,"missing",,1))</f>
        <v>521055.5608</v>
      </c>
      <c r="AE310" s="66">
        <f t="array" ref="AE310">IFS(B310&lt;66, XLOOKUP(year(A310),Lookup!$K$13:$K1000,Lookup!$N$13:$N1000,"missing",,1),B310&gt;65,XLOOKUP(questions!$C$5,Lookup!$K$13:$K1000,Lookup!$N$13:$N1000,"missing",,1))</f>
        <v>1042111.122</v>
      </c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</row>
    <row r="311">
      <c r="A311" s="55">
        <f t="shared" si="7"/>
        <v>55487</v>
      </c>
      <c r="B311" s="56">
        <f>round(YEARFRAC(EOMONTH(questions!$C$3, 0),A311,1),2)</f>
        <v>53</v>
      </c>
      <c r="C311" s="57">
        <f>IF(B311&lt;questions!$C$6,if(MONTH(A311)=1,C310*(1+questions!$C$12),C310),0)</f>
        <v>20937.7793</v>
      </c>
      <c r="D311" s="58">
        <f>IF(MONTH(A311)=12,C311*questions!$C$11,0)</f>
        <v>0</v>
      </c>
      <c r="E311" s="59">
        <f t="shared" si="2"/>
        <v>8000</v>
      </c>
      <c r="F311" s="59">
        <f t="shared" si="3"/>
        <v>0</v>
      </c>
      <c r="G311" s="60">
        <f t="array" ref="G311">if(YEAR(A311)=2025,XLOOKUP(B311,Lookup!$A$3:$A$7,Lookup!$D$3:$D$7,,1)*SUM(E311:F311), XLOOKUP(B311,Lookup!$A$14:$A$18,Lookup!$D$14:$D$18,,1)*SUM(E311:F311))</f>
        <v>2960</v>
      </c>
      <c r="H311" s="60">
        <f t="array" ref="H311">if(YEAR(A311)=2025,XLOOKUP(B311,Lookup!$F$3:$F$10,Lookup!$G$3:$G$10,,1)*G311, XLOOKUP(B311,Lookup!$F$14:$F$21,Lookup!$G$14:$G$21,,1)*G311)</f>
        <v>1200.28</v>
      </c>
      <c r="I311" s="60">
        <f t="array" ref="I311">if(B311&lt;55, if(YEAR(A311)=2025,XLOOKUP(B311,Lookup!$F$3:$F$10,Lookup!$H$3:$H$10,,1)*G311, XLOOKUP(B311,Lookup!$F$14:$F$21,Lookup!$H$14:$H$21,,1)*G311),0)</f>
        <v>919.968</v>
      </c>
      <c r="J311" s="60">
        <f t="array" ref="J311">if(YEAR(A311)=2025,XLOOKUP(B311,Lookup!$F$3:$F$10,Lookup!$I$3:$I$10,,1)*G311, XLOOKUP(B311,Lookup!$F$14:$F$21,Lookup!$I$14:$I$21,,1)*G311)</f>
        <v>839.752</v>
      </c>
      <c r="K311" s="61">
        <f t="array" ref="K311">if(B311&gt;54, if(YEAR(A311)=2025,XLOOKUP(B311,Lookup!$F$3:$F$10,Lookup!$H$3:$H$10,,1)*G311, XLOOKUP(B311,Lookup!$F$14:$F$21,Lookup!$H$14:$H$21,,1)*G311),0)</f>
        <v>0</v>
      </c>
      <c r="L311" s="62">
        <f>IF(and(A311&lt;questions!$C$19,questions!$C$18="yes"),questions!$C$20,0)</f>
        <v>0</v>
      </c>
      <c r="M311" s="63">
        <f>(Y310+H311)*Lookup!A$26/12</f>
        <v>1107.323471</v>
      </c>
      <c r="N311" s="63">
        <f>if(B311&lt;55, (Z310+I311)*Lookup!B$26/12, (AB310+K311)*Lookup!B$26/12)</f>
        <v>1717.448255</v>
      </c>
      <c r="O311" s="63">
        <f>(AA310+J311)*Lookup!C$26/12</f>
        <v>625.1203525</v>
      </c>
      <c r="P311" s="63">
        <f t="shared" si="8"/>
        <v>12043.02609</v>
      </c>
      <c r="Q311" s="63">
        <f t="shared" si="4"/>
        <v>18670.08571</v>
      </c>
      <c r="R311" s="63">
        <f t="shared" si="5"/>
        <v>6786.343311</v>
      </c>
      <c r="S311" s="64">
        <f t="shared" si="9"/>
        <v>16.66666667</v>
      </c>
      <c r="T311" s="64">
        <f t="shared" si="10"/>
        <v>33.33333333</v>
      </c>
      <c r="U311" s="64">
        <f t="shared" si="11"/>
        <v>0</v>
      </c>
      <c r="V311" s="64">
        <f t="shared" ref="V311:X311" si="319">IF(year($A311)=year($A310), V310+S311, S311)</f>
        <v>183.3333333</v>
      </c>
      <c r="W311" s="64">
        <f t="shared" si="319"/>
        <v>366.6666667</v>
      </c>
      <c r="X311" s="64">
        <f t="shared" si="319"/>
        <v>0</v>
      </c>
      <c r="Y311" s="65">
        <f>IFS(
  B311&lt;55,
    MAX(
      Y310 + IF(MONTH(A311)=12, P311+V311, 0) + H311 - L311
      + MAX(0,
          IF(AA310 &gt;= VLOOKUP(YEAR(A311), Lookup!$Q:$R, 2),
            Z310 + IF(MONTH(A311)=12, Q311+W311, 0) + I311
              + AA310 + IF(MONTH(A311)=12, R311+X311, 0)
              - VLOOKUP(YEAR(A311), Lookup!$Q:$R, 2) + J311,
            Z310 + IF(MONTH(A311)=12, Q311+W311, 0) + I311
          ) - VLOOKUP(YEAR(A311), Lookup!$K:$M, 3)
        ),
    0),
  B311=55,
    IF(Z310&gt;=AD311,
      MAX(Y310 + IF(MONTH(A311)=12, P311+V311, 0) + H311 - L311, 0),
      MAX(MAX(0, Y310-(AD311-Z310)) + IF(MONTH(A311)=12, P311+V311, 0) + H311 - L311, 0)
    ),
  B311&gt;55,
    IF(AB310&gt;=$AH$7,
      MAX(Y310 + IF(MONTH(A311)=12, P311+V311, 0) + H311 - L311 + K311 + Z310, 0),
      MAX(Y310 + IF(MONTH(A311)=12, P311+V311, 0) + H311 - L311, 0)
    )
)</f>
        <v>531515.2659</v>
      </c>
      <c r="Z311" s="65">
        <f>IFS(
  B311&lt;55,
    MIN(
      IF(AA310 &gt;= VLOOKUP(YEAR(A311), Lookup!$Q:$R, 2),
        Z310 + IF(MONTH(A311)=12, Q311+W311, 0) + I311
          + AA310 + IF(MONTH(A311)=12, R311+X311, 0) - VLOOKUP(YEAR(A311), Lookup!$Q:$R, 2) + J311,
        Z310 + IF(MONTH(A311)=12, Q311+W311, 0) + I311
      ),
      VLOOKUP(YEAR(A311), Lookup!$K:$M, 3)
    ),
  B311=55,
    IF(Z310 &gt;= AD311, Z310 - AD311, 0),
  B311&gt;55, 0
)</f>
        <v>516074.2284</v>
      </c>
      <c r="AA311" s="65">
        <f>IFS(
  B311&lt;65,
    IF(AA310+J311 &lt; VLOOKUP(YEAR(A311), Lookup!$Q:$R, 2),
      AA310 + IF(MONTH(A311)=12, R310+X310, 0) + J311,
      MIN(
        AA310 + IF(MONTH(A311)=12, R310+X310, 0) + J311 ,
        VLOOKUP(YEAR(A311), Lookup!$Q:$R, 2)
      )
    ),
  B311&gt;=65,
    IF(AA310+J311 &lt; VLOOKUP(questions!$C$5, Lookup!$Q:$R, 2),
      AA310 + IF(MONTH(A311)=12, R310+X310, 0) + J311 ,
      MIN(
        AA310 + IF(MONTH(A311)=12, R310+X310, 0) + J311,
        VLOOKUP(questions!$C$5, Lookup!$Q:$R, 2)
      )
    )
)</f>
        <v>186696.3538</v>
      </c>
      <c r="AB311" s="65">
        <f t="shared" si="13"/>
        <v>0</v>
      </c>
      <c r="AC311" s="66">
        <f t="array" ref="AC311">IFS(B311&lt;66, XLOOKUP(year(A311),Lookup!$K$13:$K1000,Lookup!$L$13:$L1000,"missing",,1),B311&gt;65,XLOOKUP(questions!$C$5,Lookup!$K$13:$K1000,Lookup!$L$13:$L1000,"missing",,1))</f>
        <v>260527.7804</v>
      </c>
      <c r="AD311" s="66">
        <f t="array" ref="AD311">IFS(B311&lt;66, XLOOKUP(year(A311),Lookup!$K$13:$K1000,Lookup!$M$13:$M1000,"missing",,1),B311&gt;65, XLOOKUP(questions!$C$5,Lookup!$K$13:$K1000,Lookup!$M$13:$M1000,"missing",,1))</f>
        <v>521055.5608</v>
      </c>
      <c r="AE311" s="66">
        <f t="array" ref="AE311">IFS(B311&lt;66, XLOOKUP(year(A311),Lookup!$K$13:$K1000,Lookup!$N$13:$N1000,"missing",,1),B311&gt;65,XLOOKUP(questions!$C$5,Lookup!$K$13:$K1000,Lookup!$N$13:$N1000,"missing",,1))</f>
        <v>1042111.122</v>
      </c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</row>
    <row r="312">
      <c r="A312" s="55">
        <f t="shared" si="7"/>
        <v>55518</v>
      </c>
      <c r="B312" s="56">
        <f>round(YEARFRAC(EOMONTH(questions!$C$3, 0),A312,1),2)</f>
        <v>53.08</v>
      </c>
      <c r="C312" s="57">
        <f>IF(B312&lt;questions!$C$6,if(MONTH(A312)=1,C311*(1+questions!$C$12),C311),0)</f>
        <v>20937.7793</v>
      </c>
      <c r="D312" s="57">
        <f>IF(MONTH(A312)=12,C312*questions!$C$11,0)</f>
        <v>20937.7793</v>
      </c>
      <c r="E312" s="59">
        <f t="shared" si="2"/>
        <v>8000</v>
      </c>
      <c r="F312" s="59">
        <f t="shared" si="3"/>
        <v>6000</v>
      </c>
      <c r="G312" s="60">
        <f t="array" ref="G312">if(YEAR(A312)=2025,XLOOKUP(B312,Lookup!$A$3:$A$7,Lookup!$D$3:$D$7,,1)*SUM(E312:F312), XLOOKUP(B312,Lookup!$A$14:$A$18,Lookup!$D$14:$D$18,,1)*SUM(E312:F312))</f>
        <v>5180</v>
      </c>
      <c r="H312" s="60">
        <f t="array" ref="H312">if(YEAR(A312)=2025,XLOOKUP(B312,Lookup!$F$3:$F$10,Lookup!$G$3:$G$10,,1)*G312, XLOOKUP(B312,Lookup!$F$14:$F$21,Lookup!$G$14:$G$21,,1)*G312)</f>
        <v>2100.49</v>
      </c>
      <c r="I312" s="60">
        <f t="array" ref="I312">if(B312&lt;55, if(YEAR(A312)=2025,XLOOKUP(B312,Lookup!$F$3:$F$10,Lookup!$H$3:$H$10,,1)*G312, XLOOKUP(B312,Lookup!$F$14:$F$21,Lookup!$H$14:$H$21,,1)*G312),0)</f>
        <v>1609.944</v>
      </c>
      <c r="J312" s="60">
        <f t="array" ref="J312">if(YEAR(A312)=2025,XLOOKUP(B312,Lookup!$F$3:$F$10,Lookup!$I$3:$I$10,,1)*G312, XLOOKUP(B312,Lookup!$F$14:$F$21,Lookup!$I$14:$I$21,,1)*G312)</f>
        <v>1469.566</v>
      </c>
      <c r="K312" s="61">
        <f t="array" ref="K312">if(B312&gt;54, if(YEAR(A312)=2025,XLOOKUP(B312,Lookup!$F$3:$F$10,Lookup!$H$3:$H$10,,1)*G312, XLOOKUP(B312,Lookup!$F$14:$F$21,Lookup!$H$14:$H$21,,1)*G312),0)</f>
        <v>0</v>
      </c>
      <c r="L312" s="62">
        <f>IF(and(A312&lt;questions!$C$19,questions!$C$18="yes"),questions!$C$20,0)</f>
        <v>0</v>
      </c>
      <c r="M312" s="63">
        <f>(Y311+H312)*Lookup!A$26/12</f>
        <v>1111.699492</v>
      </c>
      <c r="N312" s="63">
        <f>if(B312&lt;55, (Z311+I312)*Lookup!B$26/12, (AB311+K312)*Lookup!B$26/12)</f>
        <v>1725.613908</v>
      </c>
      <c r="O312" s="63">
        <f>(AA311+J312)*Lookup!C$26/12</f>
        <v>627.2197325</v>
      </c>
      <c r="P312" s="63">
        <f t="shared" si="8"/>
        <v>13154.72559</v>
      </c>
      <c r="Q312" s="63">
        <f t="shared" si="4"/>
        <v>20395.69962</v>
      </c>
      <c r="R312" s="63">
        <f t="shared" si="5"/>
        <v>7413.563043</v>
      </c>
      <c r="S312" s="64">
        <f t="shared" si="9"/>
        <v>16.66666667</v>
      </c>
      <c r="T312" s="64">
        <f t="shared" si="10"/>
        <v>33.33333333</v>
      </c>
      <c r="U312" s="64">
        <f t="shared" si="11"/>
        <v>0</v>
      </c>
      <c r="V312" s="64">
        <f t="shared" ref="V312:X312" si="320">IF(year($A312)=year($A311), V311+S312, S312)</f>
        <v>200</v>
      </c>
      <c r="W312" s="64">
        <f t="shared" si="320"/>
        <v>400</v>
      </c>
      <c r="X312" s="64">
        <f t="shared" si="320"/>
        <v>0</v>
      </c>
      <c r="Y312" s="65">
        <f>IFS(
  B312&lt;55,
    MAX(
      Y311 + IF(MONTH(A312)=12, P312+V312, 0) + H312 - L312
      + MAX(0,
          IF(AA311 &gt;= VLOOKUP(YEAR(A312), Lookup!$Q:$R, 2),
            Z311 + IF(MONTH(A312)=12, Q312+W312, 0) + I312
              + AA311 + IF(MONTH(A312)=12, R312+X312, 0)
              - VLOOKUP(YEAR(A312), Lookup!$Q:$R, 2) + J312,
            Z311 + IF(MONTH(A312)=12, Q312+W312, 0) + I312
          ) - VLOOKUP(YEAR(A312), Lookup!$K:$M, 3)
        ),
    0),
  B312=55,
    IF(Z311&gt;=AD312,
      MAX(Y311 + IF(MONTH(A312)=12, P312+V312, 0) + H312 - L312, 0),
      MAX(MAX(0, Y311-(AD312-Z311)) + IF(MONTH(A312)=12, P312+V312, 0) + H312 - L312, 0)
    ),
  B312&gt;55,
    IF(AB311&gt;=$AH$7,
      MAX(Y311 + IF(MONTH(A312)=12, P312+V312, 0) + H312 - L312 + K312 + Z311, 0),
      MAX(Y311 + IF(MONTH(A312)=12, P312+V312, 0) + H312 - L312, 0)
    )
)</f>
        <v>573277.9218</v>
      </c>
      <c r="Z312" s="65">
        <f>IFS(
  B312&lt;55,
    MIN(
      IF(AA311 &gt;= VLOOKUP(YEAR(A312), Lookup!$Q:$R, 2),
        Z311 + IF(MONTH(A312)=12, Q312+W312, 0) + I312
          + AA311 + IF(MONTH(A312)=12, R312+X312, 0) - VLOOKUP(YEAR(A312), Lookup!$Q:$R, 2) + J312,
        Z311 + IF(MONTH(A312)=12, Q312+W312, 0) + I312
      ),
      VLOOKUP(YEAR(A312), Lookup!$K:$M, 3)
    ),
  B312=55,
    IF(Z311 &gt;= AD312, Z311 - AD312, 0),
  B312&gt;55, 0
)</f>
        <v>521055.5608</v>
      </c>
      <c r="AA312" s="65">
        <f>IFS(
  B312&lt;65,
    IF(AA311+J312 &lt; VLOOKUP(YEAR(A312), Lookup!$Q:$R, 2),
      AA311 + IF(MONTH(A312)=12, R311+X311, 0) + J312,
      MIN(
        AA311 + IF(MONTH(A312)=12, R311+X311, 0) + J312 ,
        VLOOKUP(YEAR(A312), Lookup!$Q:$R, 2)
      )
    ),
  B312&gt;=65,
    IF(AA311+J312 &lt; VLOOKUP(questions!$C$5, Lookup!$Q:$R, 2),
      AA311 + IF(MONTH(A312)=12, R311+X311, 0) + J312 ,
      MIN(
        AA311 + IF(MONTH(A312)=12, R311+X311, 0) + J312,
        VLOOKUP(questions!$C$5, Lookup!$Q:$R, 2)
      )
    )
)</f>
        <v>186696.3538</v>
      </c>
      <c r="AB312" s="65">
        <f t="shared" si="13"/>
        <v>0</v>
      </c>
      <c r="AC312" s="66">
        <f t="array" ref="AC312">IFS(B312&lt;66, XLOOKUP(year(A312),Lookup!$K$13:$K1000,Lookup!$L$13:$L1000,"missing",,1),B312&gt;65,XLOOKUP(questions!$C$5,Lookup!$K$13:$K1000,Lookup!$L$13:$L1000,"missing",,1))</f>
        <v>260527.7804</v>
      </c>
      <c r="AD312" s="66">
        <f t="array" ref="AD312">IFS(B312&lt;66, XLOOKUP(year(A312),Lookup!$K$13:$K1000,Lookup!$M$13:$M1000,"missing",,1),B312&gt;65, XLOOKUP(questions!$C$5,Lookup!$K$13:$K1000,Lookup!$M$13:$M1000,"missing",,1))</f>
        <v>521055.5608</v>
      </c>
      <c r="AE312" s="66">
        <f t="array" ref="AE312">IFS(B312&lt;66, XLOOKUP(year(A312),Lookup!$K$13:$K1000,Lookup!$N$13:$N1000,"missing",,1),B312&gt;65,XLOOKUP(questions!$C$5,Lookup!$K$13:$K1000,Lookup!$N$13:$N1000,"missing",,1))</f>
        <v>1042111.122</v>
      </c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</row>
    <row r="313">
      <c r="A313" s="55">
        <f t="shared" si="7"/>
        <v>55549</v>
      </c>
      <c r="B313" s="56">
        <f>round(YEARFRAC(EOMONTH(questions!$C$3, 0),A313,1),2)</f>
        <v>53.17</v>
      </c>
      <c r="C313" s="57">
        <f>IF(B313&lt;questions!$C$6,if(MONTH(A313)=1,C312*(1+questions!$C$12),C312),0)</f>
        <v>21565.91268</v>
      </c>
      <c r="D313" s="58">
        <f>IF(MONTH(A313)=12,C313*questions!$C$11,0)</f>
        <v>0</v>
      </c>
      <c r="E313" s="59">
        <f t="shared" si="2"/>
        <v>8000</v>
      </c>
      <c r="F313" s="59">
        <f t="shared" si="3"/>
        <v>0</v>
      </c>
      <c r="G313" s="60">
        <f t="array" ref="G313">if(YEAR(A313)=2025,XLOOKUP(B313,Lookup!$A$3:$A$7,Lookup!$D$3:$D$7,,1)*SUM(E313:F313), XLOOKUP(B313,Lookup!$A$14:$A$18,Lookup!$D$14:$D$18,,1)*SUM(E313:F313))</f>
        <v>2960</v>
      </c>
      <c r="H313" s="60">
        <f t="array" ref="H313">if(YEAR(A313)=2025,XLOOKUP(B313,Lookup!$F$3:$F$10,Lookup!$G$3:$G$10,,1)*G313, XLOOKUP(B313,Lookup!$F$14:$F$21,Lookup!$G$14:$G$21,,1)*G313)</f>
        <v>1200.28</v>
      </c>
      <c r="I313" s="60">
        <f t="array" ref="I313">if(B313&lt;55, if(YEAR(A313)=2025,XLOOKUP(B313,Lookup!$F$3:$F$10,Lookup!$H$3:$H$10,,1)*G313, XLOOKUP(B313,Lookup!$F$14:$F$21,Lookup!$H$14:$H$21,,1)*G313),0)</f>
        <v>919.968</v>
      </c>
      <c r="J313" s="60">
        <f t="array" ref="J313">if(YEAR(A313)=2025,XLOOKUP(B313,Lookup!$F$3:$F$10,Lookup!$I$3:$I$10,,1)*G313, XLOOKUP(B313,Lookup!$F$14:$F$21,Lookup!$I$14:$I$21,,1)*G313)</f>
        <v>839.752</v>
      </c>
      <c r="K313" s="61">
        <f t="array" ref="K313">if(B313&gt;54, if(YEAR(A313)=2025,XLOOKUP(B313,Lookup!$F$3:$F$10,Lookup!$H$3:$H$10,,1)*G313, XLOOKUP(B313,Lookup!$F$14:$F$21,Lookup!$H$14:$H$21,,1)*G313),0)</f>
        <v>0</v>
      </c>
      <c r="L313" s="62">
        <f>IF(and(A313&lt;questions!$C$19,questions!$C$18="yes"),questions!$C$20,0)</f>
        <v>0</v>
      </c>
      <c r="M313" s="63">
        <f>(Y312+H313)*Lookup!A$26/12</f>
        <v>1196.829587</v>
      </c>
      <c r="N313" s="63">
        <f>if(B313&lt;55, (Z312+I313)*Lookup!B$26/12, (AB312+K313)*Lookup!B$26/12)</f>
        <v>1739.918429</v>
      </c>
      <c r="O313" s="63">
        <f>(AA312+J313)*Lookup!C$26/12</f>
        <v>625.1203525</v>
      </c>
      <c r="P313" s="63">
        <f t="shared" si="8"/>
        <v>1196.829587</v>
      </c>
      <c r="Q313" s="63">
        <f t="shared" si="4"/>
        <v>1739.918429</v>
      </c>
      <c r="R313" s="63">
        <f t="shared" si="5"/>
        <v>625.1203525</v>
      </c>
      <c r="S313" s="64">
        <f t="shared" si="9"/>
        <v>16.66666667</v>
      </c>
      <c r="T313" s="64">
        <f t="shared" si="10"/>
        <v>33.33333333</v>
      </c>
      <c r="U313" s="64">
        <f t="shared" si="11"/>
        <v>0</v>
      </c>
      <c r="V313" s="64">
        <f t="shared" ref="V313:X313" si="321">IF(year($A313)=year($A312), V312+S313, S313)</f>
        <v>16.66666667</v>
      </c>
      <c r="W313" s="64">
        <f t="shared" si="321"/>
        <v>33.33333333</v>
      </c>
      <c r="X313" s="64">
        <f t="shared" si="321"/>
        <v>0</v>
      </c>
      <c r="Y313" s="65">
        <f>IFS(
  B313&lt;55,
    MAX(
      Y312 + IF(MONTH(A313)=12, P313+V313, 0) + H313 - L313
      + MAX(0,
          IF(AA312 &gt;= VLOOKUP(YEAR(A313), Lookup!$Q:$R, 2),
            Z312 + IF(MONTH(A313)=12, Q313+W313, 0) + I313
              + AA312 + IF(MONTH(A313)=12, R313+X313, 0)
              - VLOOKUP(YEAR(A313), Lookup!$Q:$R, 2) + J313,
            Z312 + IF(MONTH(A313)=12, Q313+W313, 0) + I313
          ) - VLOOKUP(YEAR(A313), Lookup!$K:$M, 3)
        ),
    0),
  B313=55,
    IF(Z312&gt;=AD313,
      MAX(Y312 + IF(MONTH(A313)=12, P313+V313, 0) + H313 - L313, 0),
      MAX(MAX(0, Y312-(AD313-Z312)) + IF(MONTH(A313)=12, P313+V313, 0) + H313 - L313, 0)
    ),
  B313&gt;55,
    IF(AB312&gt;=$AH$7,
      MAX(Y312 + IF(MONTH(A313)=12, P313+V313, 0) + H313 - L313 + K313 + Z312, 0),
      MAX(Y312 + IF(MONTH(A313)=12, P313+V313, 0) + H313 - L313, 0)
    )
)</f>
        <v>574478.2018</v>
      </c>
      <c r="Z313" s="65">
        <f>IFS(
  B313&lt;55,
    MIN(
      IF(AA312 &gt;= VLOOKUP(YEAR(A313), Lookup!$Q:$R, 2),
        Z312 + IF(MONTH(A313)=12, Q313+W313, 0) + I313
          + AA312 + IF(MONTH(A313)=12, R313+X313, 0) - VLOOKUP(YEAR(A313), Lookup!$Q:$R, 2) + J313,
        Z312 + IF(MONTH(A313)=12, Q313+W313, 0) + I313
      ),
      VLOOKUP(YEAR(A313), Lookup!$K:$M, 3)
    ),
  B313=55,
    IF(Z312 &gt;= AD313, Z312 - AD313, 0),
  B313&gt;55, 0
)</f>
        <v>521975.5288</v>
      </c>
      <c r="AA313" s="65">
        <f>IFS(
  B313&lt;65,
    IF(AA312+J313 &lt; VLOOKUP(YEAR(A313), Lookup!$Q:$R, 2),
      AA312 + IF(MONTH(A313)=12, R312+X312, 0) + J313,
      MIN(
        AA312 + IF(MONTH(A313)=12, R312+X312, 0) + J313 ,
        VLOOKUP(YEAR(A313), Lookup!$Q:$R, 2)
      )
    ),
  B313&gt;=65,
    IF(AA312+J313 &lt; VLOOKUP(questions!$C$5, Lookup!$Q:$R, 2),
      AA312 + IF(MONTH(A313)=12, R312+X312, 0) + J313 ,
      MIN(
        AA312 + IF(MONTH(A313)=12, R312+X312, 0) + J313,
        VLOOKUP(questions!$C$5, Lookup!$Q:$R, 2)
      )
    )
)</f>
        <v>187536.1058</v>
      </c>
      <c r="AB313" s="65">
        <f t="shared" si="13"/>
        <v>0</v>
      </c>
      <c r="AC313" s="66">
        <f t="array" ref="AC313">IFS(B313&lt;66, XLOOKUP(year(A313),Lookup!$K$13:$K1000,Lookup!$L$13:$L1000,"missing",,1),B313&gt;65,XLOOKUP(questions!$C$5,Lookup!$K$13:$K1000,Lookup!$L$13:$L1000,"missing",,1))</f>
        <v>269646.2527</v>
      </c>
      <c r="AD313" s="66">
        <f t="array" ref="AD313">IFS(B313&lt;66, XLOOKUP(year(A313),Lookup!$K$13:$K1000,Lookup!$M$13:$M1000,"missing",,1),B313&gt;65, XLOOKUP(questions!$C$5,Lookup!$K$13:$K1000,Lookup!$M$13:$M1000,"missing",,1))</f>
        <v>539292.5054</v>
      </c>
      <c r="AE313" s="66">
        <f t="array" ref="AE313">IFS(B313&lt;66, XLOOKUP(year(A313),Lookup!$K$13:$K1000,Lookup!$N$13:$N1000,"missing",,1),B313&gt;65,XLOOKUP(questions!$C$5,Lookup!$K$13:$K1000,Lookup!$N$13:$N1000,"missing",,1))</f>
        <v>1078585.011</v>
      </c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</row>
    <row r="314">
      <c r="A314" s="55">
        <f t="shared" si="7"/>
        <v>55578</v>
      </c>
      <c r="B314" s="56">
        <f>round(YEARFRAC(EOMONTH(questions!$C$3, 0),A314,1),2)</f>
        <v>53.25</v>
      </c>
      <c r="C314" s="57">
        <f>IF(B314&lt;questions!$C$6,if(MONTH(A314)=1,C313*(1+questions!$C$12),C313),0)</f>
        <v>21565.91268</v>
      </c>
      <c r="D314" s="58">
        <f>IF(MONTH(A314)=12,C314*questions!$C$11,0)</f>
        <v>0</v>
      </c>
      <c r="E314" s="59">
        <f t="shared" si="2"/>
        <v>8000</v>
      </c>
      <c r="F314" s="59">
        <f t="shared" si="3"/>
        <v>0</v>
      </c>
      <c r="G314" s="60">
        <f t="array" ref="G314">if(YEAR(A314)=2025,XLOOKUP(B314,Lookup!$A$3:$A$7,Lookup!$D$3:$D$7,,1)*SUM(E314:F314), XLOOKUP(B314,Lookup!$A$14:$A$18,Lookup!$D$14:$D$18,,1)*SUM(E314:F314))</f>
        <v>2960</v>
      </c>
      <c r="H314" s="60">
        <f t="array" ref="H314">if(YEAR(A314)=2025,XLOOKUP(B314,Lookup!$F$3:$F$10,Lookup!$G$3:$G$10,,1)*G314, XLOOKUP(B314,Lookup!$F$14:$F$21,Lookup!$G$14:$G$21,,1)*G314)</f>
        <v>1200.28</v>
      </c>
      <c r="I314" s="60">
        <f t="array" ref="I314">if(B314&lt;55, if(YEAR(A314)=2025,XLOOKUP(B314,Lookup!$F$3:$F$10,Lookup!$H$3:$H$10,,1)*G314, XLOOKUP(B314,Lookup!$F$14:$F$21,Lookup!$H$14:$H$21,,1)*G314),0)</f>
        <v>919.968</v>
      </c>
      <c r="J314" s="60">
        <f t="array" ref="J314">if(YEAR(A314)=2025,XLOOKUP(B314,Lookup!$F$3:$F$10,Lookup!$I$3:$I$10,,1)*G314, XLOOKUP(B314,Lookup!$F$14:$F$21,Lookup!$I$14:$I$21,,1)*G314)</f>
        <v>839.752</v>
      </c>
      <c r="K314" s="61">
        <f t="array" ref="K314">if(B314&gt;54, if(YEAR(A314)=2025,XLOOKUP(B314,Lookup!$F$3:$F$10,Lookup!$H$3:$H$10,,1)*G314, XLOOKUP(B314,Lookup!$F$14:$F$21,Lookup!$H$14:$H$21,,1)*G314),0)</f>
        <v>0</v>
      </c>
      <c r="L314" s="62">
        <f>IF(and(A314&lt;questions!$C$19,questions!$C$18="yes"),questions!$C$20,0)</f>
        <v>0</v>
      </c>
      <c r="M314" s="63">
        <f>(Y313+H314)*Lookup!A$26/12</f>
        <v>1199.33017</v>
      </c>
      <c r="N314" s="63">
        <f>if(B314&lt;55, (Z313+I314)*Lookup!B$26/12, (AB313+K314)*Lookup!B$26/12)</f>
        <v>1742.984989</v>
      </c>
      <c r="O314" s="63">
        <f>(AA313+J314)*Lookup!C$26/12</f>
        <v>627.9195259</v>
      </c>
      <c r="P314" s="63">
        <f t="shared" si="8"/>
        <v>2396.159758</v>
      </c>
      <c r="Q314" s="63">
        <f t="shared" si="4"/>
        <v>3482.903419</v>
      </c>
      <c r="R314" s="63">
        <f t="shared" si="5"/>
        <v>1253.039878</v>
      </c>
      <c r="S314" s="64">
        <f t="shared" si="9"/>
        <v>16.66666667</v>
      </c>
      <c r="T314" s="64">
        <f t="shared" si="10"/>
        <v>33.33333333</v>
      </c>
      <c r="U314" s="64">
        <f t="shared" si="11"/>
        <v>0</v>
      </c>
      <c r="V314" s="64">
        <f t="shared" ref="V314:X314" si="322">IF(year($A314)=year($A313), V313+S314, S314)</f>
        <v>33.33333333</v>
      </c>
      <c r="W314" s="64">
        <f t="shared" si="322"/>
        <v>66.66666667</v>
      </c>
      <c r="X314" s="64">
        <f t="shared" si="322"/>
        <v>0</v>
      </c>
      <c r="Y314" s="65">
        <f>IFS(
  B314&lt;55,
    MAX(
      Y313 + IF(MONTH(A314)=12, P314+V314, 0) + H314 - L314
      + MAX(0,
          IF(AA313 &gt;= VLOOKUP(YEAR(A314), Lookup!$Q:$R, 2),
            Z313 + IF(MONTH(A314)=12, Q314+W314, 0) + I314
              + AA313 + IF(MONTH(A314)=12, R314+X314, 0)
              - VLOOKUP(YEAR(A314), Lookup!$Q:$R, 2) + J314,
            Z313 + IF(MONTH(A314)=12, Q314+W314, 0) + I314
          ) - VLOOKUP(YEAR(A314), Lookup!$K:$M, 3)
        ),
    0),
  B314=55,
    IF(Z313&gt;=AD314,
      MAX(Y313 + IF(MONTH(A314)=12, P314+V314, 0) + H314 - L314, 0),
      MAX(MAX(0, Y313-(AD314-Z313)) + IF(MONTH(A314)=12, P314+V314, 0) + H314 - L314, 0)
    ),
  B314&gt;55,
    IF(AB313&gt;=$AH$7,
      MAX(Y313 + IF(MONTH(A314)=12, P314+V314, 0) + H314 - L314 + K314 + Z313, 0),
      MAX(Y313 + IF(MONTH(A314)=12, P314+V314, 0) + H314 - L314, 0)
    )
)</f>
        <v>575678.4818</v>
      </c>
      <c r="Z314" s="65">
        <f>IFS(
  B314&lt;55,
    MIN(
      IF(AA313 &gt;= VLOOKUP(YEAR(A314), Lookup!$Q:$R, 2),
        Z313 + IF(MONTH(A314)=12, Q314+W314, 0) + I314
          + AA313 + IF(MONTH(A314)=12, R314+X314, 0) - VLOOKUP(YEAR(A314), Lookup!$Q:$R, 2) + J314,
        Z313 + IF(MONTH(A314)=12, Q314+W314, 0) + I314
      ),
      VLOOKUP(YEAR(A314), Lookup!$K:$M, 3)
    ),
  B314=55,
    IF(Z313 &gt;= AD314, Z313 - AD314, 0),
  B314&gt;55, 0
)</f>
        <v>522895.4968</v>
      </c>
      <c r="AA314" s="65">
        <f>IFS(
  B314&lt;65,
    IF(AA313+J314 &lt; VLOOKUP(YEAR(A314), Lookup!$Q:$R, 2),
      AA313 + IF(MONTH(A314)=12, R313+X313, 0) + J314,
      MIN(
        AA313 + IF(MONTH(A314)=12, R313+X313, 0) + J314 ,
        VLOOKUP(YEAR(A314), Lookup!$Q:$R, 2)
      )
    ),
  B314&gt;=65,
    IF(AA313+J314 &lt; VLOOKUP(questions!$C$5, Lookup!$Q:$R, 2),
      AA313 + IF(MONTH(A314)=12, R313+X313, 0) + J314 ,
      MIN(
        AA313 + IF(MONTH(A314)=12, R313+X313, 0) + J314,
        VLOOKUP(questions!$C$5, Lookup!$Q:$R, 2)
      )
    )
)</f>
        <v>188375.8578</v>
      </c>
      <c r="AB314" s="65">
        <f t="shared" si="13"/>
        <v>0</v>
      </c>
      <c r="AC314" s="66">
        <f t="array" ref="AC314">IFS(B314&lt;66, XLOOKUP(year(A314),Lookup!$K$13:$K1000,Lookup!$L$13:$L1000,"missing",,1),B314&gt;65,XLOOKUP(questions!$C$5,Lookup!$K$13:$K1000,Lookup!$L$13:$L1000,"missing",,1))</f>
        <v>269646.2527</v>
      </c>
      <c r="AD314" s="66">
        <f t="array" ref="AD314">IFS(B314&lt;66, XLOOKUP(year(A314),Lookup!$K$13:$K1000,Lookup!$M$13:$M1000,"missing",,1),B314&gt;65, XLOOKUP(questions!$C$5,Lookup!$K$13:$K1000,Lookup!$M$13:$M1000,"missing",,1))</f>
        <v>539292.5054</v>
      </c>
      <c r="AE314" s="66">
        <f t="array" ref="AE314">IFS(B314&lt;66, XLOOKUP(year(A314),Lookup!$K$13:$K1000,Lookup!$N$13:$N1000,"missing",,1),B314&gt;65,XLOOKUP(questions!$C$5,Lookup!$K$13:$K1000,Lookup!$N$13:$N1000,"missing",,1))</f>
        <v>1078585.011</v>
      </c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</row>
    <row r="315">
      <c r="A315" s="55">
        <f t="shared" si="7"/>
        <v>55609</v>
      </c>
      <c r="B315" s="56">
        <f>round(YEARFRAC(EOMONTH(questions!$C$3, 0),A315,1),2)</f>
        <v>53.33</v>
      </c>
      <c r="C315" s="57">
        <f>IF(B315&lt;questions!$C$6,if(MONTH(A315)=1,C314*(1+questions!$C$12),C314),0)</f>
        <v>21565.91268</v>
      </c>
      <c r="D315" s="58">
        <f>IF(MONTH(A315)=12,C315*questions!$C$11,0)</f>
        <v>0</v>
      </c>
      <c r="E315" s="59">
        <f t="shared" si="2"/>
        <v>8000</v>
      </c>
      <c r="F315" s="59">
        <f t="shared" si="3"/>
        <v>0</v>
      </c>
      <c r="G315" s="60">
        <f t="array" ref="G315">if(YEAR(A315)=2025,XLOOKUP(B315,Lookup!$A$3:$A$7,Lookup!$D$3:$D$7,,1)*SUM(E315:F315), XLOOKUP(B315,Lookup!$A$14:$A$18,Lookup!$D$14:$D$18,,1)*SUM(E315:F315))</f>
        <v>2960</v>
      </c>
      <c r="H315" s="60">
        <f t="array" ref="H315">if(YEAR(A315)=2025,XLOOKUP(B315,Lookup!$F$3:$F$10,Lookup!$G$3:$G$10,,1)*G315, XLOOKUP(B315,Lookup!$F$14:$F$21,Lookup!$G$14:$G$21,,1)*G315)</f>
        <v>1200.28</v>
      </c>
      <c r="I315" s="60">
        <f t="array" ref="I315">if(B315&lt;55, if(YEAR(A315)=2025,XLOOKUP(B315,Lookup!$F$3:$F$10,Lookup!$H$3:$H$10,,1)*G315, XLOOKUP(B315,Lookup!$F$14:$F$21,Lookup!$H$14:$H$21,,1)*G315),0)</f>
        <v>919.968</v>
      </c>
      <c r="J315" s="60">
        <f t="array" ref="J315">if(YEAR(A315)=2025,XLOOKUP(B315,Lookup!$F$3:$F$10,Lookup!$I$3:$I$10,,1)*G315, XLOOKUP(B315,Lookup!$F$14:$F$21,Lookup!$I$14:$I$21,,1)*G315)</f>
        <v>839.752</v>
      </c>
      <c r="K315" s="61">
        <f t="array" ref="K315">if(B315&gt;54, if(YEAR(A315)=2025,XLOOKUP(B315,Lookup!$F$3:$F$10,Lookup!$H$3:$H$10,,1)*G315, XLOOKUP(B315,Lookup!$F$14:$F$21,Lookup!$H$14:$H$21,,1)*G315),0)</f>
        <v>0</v>
      </c>
      <c r="L315" s="62">
        <f>IF(and(A315&lt;questions!$C$19,questions!$C$18="yes"),questions!$C$20,0)</f>
        <v>0</v>
      </c>
      <c r="M315" s="63">
        <f>(Y314+H315)*Lookup!A$26/12</f>
        <v>1201.830754</v>
      </c>
      <c r="N315" s="63">
        <f>if(B315&lt;55, (Z314+I315)*Lookup!B$26/12, (AB314+K315)*Lookup!B$26/12)</f>
        <v>1746.051549</v>
      </c>
      <c r="O315" s="63">
        <f>(AA314+J315)*Lookup!C$26/12</f>
        <v>630.7186992</v>
      </c>
      <c r="P315" s="63">
        <f t="shared" si="8"/>
        <v>3597.990511</v>
      </c>
      <c r="Q315" s="63">
        <f t="shared" si="4"/>
        <v>5228.954968</v>
      </c>
      <c r="R315" s="63">
        <f t="shared" si="5"/>
        <v>1883.758578</v>
      </c>
      <c r="S315" s="64">
        <f t="shared" si="9"/>
        <v>16.66666667</v>
      </c>
      <c r="T315" s="64">
        <f t="shared" si="10"/>
        <v>33.33333333</v>
      </c>
      <c r="U315" s="64">
        <f t="shared" si="11"/>
        <v>0</v>
      </c>
      <c r="V315" s="64">
        <f t="shared" ref="V315:X315" si="323">IF(year($A315)=year($A314), V314+S315, S315)</f>
        <v>50</v>
      </c>
      <c r="W315" s="64">
        <f t="shared" si="323"/>
        <v>100</v>
      </c>
      <c r="X315" s="64">
        <f t="shared" si="323"/>
        <v>0</v>
      </c>
      <c r="Y315" s="65">
        <f>IFS(
  B315&lt;55,
    MAX(
      Y314 + IF(MONTH(A315)=12, P315+V315, 0) + H315 - L315
      + MAX(0,
          IF(AA314 &gt;= VLOOKUP(YEAR(A315), Lookup!$Q:$R, 2),
            Z314 + IF(MONTH(A315)=12, Q315+W315, 0) + I315
              + AA314 + IF(MONTH(A315)=12, R315+X315, 0)
              - VLOOKUP(YEAR(A315), Lookup!$Q:$R, 2) + J315,
            Z314 + IF(MONTH(A315)=12, Q315+W315, 0) + I315
          ) - VLOOKUP(YEAR(A315), Lookup!$K:$M, 3)
        ),
    0),
  B315=55,
    IF(Z314&gt;=AD315,
      MAX(Y314 + IF(MONTH(A315)=12, P315+V315, 0) + H315 - L315, 0),
      MAX(MAX(0, Y314-(AD315-Z314)) + IF(MONTH(A315)=12, P315+V315, 0) + H315 - L315, 0)
    ),
  B315&gt;55,
    IF(AB314&gt;=$AH$7,
      MAX(Y314 + IF(MONTH(A315)=12, P315+V315, 0) + H315 - L315 + K315 + Z314, 0),
      MAX(Y314 + IF(MONTH(A315)=12, P315+V315, 0) + H315 - L315, 0)
    )
)</f>
        <v>576878.7618</v>
      </c>
      <c r="Z315" s="65">
        <f>IFS(
  B315&lt;55,
    MIN(
      IF(AA314 &gt;= VLOOKUP(YEAR(A315), Lookup!$Q:$R, 2),
        Z314 + IF(MONTH(A315)=12, Q315+W315, 0) + I315
          + AA314 + IF(MONTH(A315)=12, R315+X315, 0) - VLOOKUP(YEAR(A315), Lookup!$Q:$R, 2) + J315,
        Z314 + IF(MONTH(A315)=12, Q315+W315, 0) + I315
      ),
      VLOOKUP(YEAR(A315), Lookup!$K:$M, 3)
    ),
  B315=55,
    IF(Z314 &gt;= AD315, Z314 - AD315, 0),
  B315&gt;55, 0
)</f>
        <v>523815.4648</v>
      </c>
      <c r="AA315" s="65">
        <f>IFS(
  B315&lt;65,
    IF(AA314+J315 &lt; VLOOKUP(YEAR(A315), Lookup!$Q:$R, 2),
      AA314 + IF(MONTH(A315)=12, R314+X314, 0) + J315,
      MIN(
        AA314 + IF(MONTH(A315)=12, R314+X314, 0) + J315 ,
        VLOOKUP(YEAR(A315), Lookup!$Q:$R, 2)
      )
    ),
  B315&gt;=65,
    IF(AA314+J315 &lt; VLOOKUP(questions!$C$5, Lookup!$Q:$R, 2),
      AA314 + IF(MONTH(A315)=12, R314+X314, 0) + J315 ,
      MIN(
        AA314 + IF(MONTH(A315)=12, R314+X314, 0) + J315,
        VLOOKUP(questions!$C$5, Lookup!$Q:$R, 2)
      )
    )
)</f>
        <v>189215.6098</v>
      </c>
      <c r="AB315" s="65">
        <f t="shared" si="13"/>
        <v>0</v>
      </c>
      <c r="AC315" s="66">
        <f t="array" ref="AC315">IFS(B315&lt;66, XLOOKUP(year(A315),Lookup!$K$13:$K1000,Lookup!$L$13:$L1000,"missing",,1),B315&gt;65,XLOOKUP(questions!$C$5,Lookup!$K$13:$K1000,Lookup!$L$13:$L1000,"missing",,1))</f>
        <v>269646.2527</v>
      </c>
      <c r="AD315" s="66">
        <f t="array" ref="AD315">IFS(B315&lt;66, XLOOKUP(year(A315),Lookup!$K$13:$K1000,Lookup!$M$13:$M1000,"missing",,1),B315&gt;65, XLOOKUP(questions!$C$5,Lookup!$K$13:$K1000,Lookup!$M$13:$M1000,"missing",,1))</f>
        <v>539292.5054</v>
      </c>
      <c r="AE315" s="66">
        <f t="array" ref="AE315">IFS(B315&lt;66, XLOOKUP(year(A315),Lookup!$K$13:$K1000,Lookup!$N$13:$N1000,"missing",,1),B315&gt;65,XLOOKUP(questions!$C$5,Lookup!$K$13:$K1000,Lookup!$N$13:$N1000,"missing",,1))</f>
        <v>1078585.011</v>
      </c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</row>
    <row r="316">
      <c r="A316" s="55">
        <f t="shared" si="7"/>
        <v>55639</v>
      </c>
      <c r="B316" s="56">
        <f>round(YEARFRAC(EOMONTH(questions!$C$3, 0),A316,1),2)</f>
        <v>53.42</v>
      </c>
      <c r="C316" s="57">
        <f>IF(B316&lt;questions!$C$6,if(MONTH(A316)=1,C315*(1+questions!$C$12),C315),0)</f>
        <v>21565.91268</v>
      </c>
      <c r="D316" s="58">
        <f>IF(MONTH(A316)=12,C316*questions!$C$11,0)</f>
        <v>0</v>
      </c>
      <c r="E316" s="59">
        <f t="shared" si="2"/>
        <v>8000</v>
      </c>
      <c r="F316" s="59">
        <f t="shared" si="3"/>
        <v>0</v>
      </c>
      <c r="G316" s="60">
        <f t="array" ref="G316">if(YEAR(A316)=2025,XLOOKUP(B316,Lookup!$A$3:$A$7,Lookup!$D$3:$D$7,,1)*SUM(E316:F316), XLOOKUP(B316,Lookup!$A$14:$A$18,Lookup!$D$14:$D$18,,1)*SUM(E316:F316))</f>
        <v>2960</v>
      </c>
      <c r="H316" s="60">
        <f t="array" ref="H316">if(YEAR(A316)=2025,XLOOKUP(B316,Lookup!$F$3:$F$10,Lookup!$G$3:$G$10,,1)*G316, XLOOKUP(B316,Lookup!$F$14:$F$21,Lookup!$G$14:$G$21,,1)*G316)</f>
        <v>1200.28</v>
      </c>
      <c r="I316" s="60">
        <f t="array" ref="I316">if(B316&lt;55, if(YEAR(A316)=2025,XLOOKUP(B316,Lookup!$F$3:$F$10,Lookup!$H$3:$H$10,,1)*G316, XLOOKUP(B316,Lookup!$F$14:$F$21,Lookup!$H$14:$H$21,,1)*G316),0)</f>
        <v>919.968</v>
      </c>
      <c r="J316" s="60">
        <f t="array" ref="J316">if(YEAR(A316)=2025,XLOOKUP(B316,Lookup!$F$3:$F$10,Lookup!$I$3:$I$10,,1)*G316, XLOOKUP(B316,Lookup!$F$14:$F$21,Lookup!$I$14:$I$21,,1)*G316)</f>
        <v>839.752</v>
      </c>
      <c r="K316" s="61">
        <f t="array" ref="K316">if(B316&gt;54, if(YEAR(A316)=2025,XLOOKUP(B316,Lookup!$F$3:$F$10,Lookup!$H$3:$H$10,,1)*G316, XLOOKUP(B316,Lookup!$F$14:$F$21,Lookup!$H$14:$H$21,,1)*G316),0)</f>
        <v>0</v>
      </c>
      <c r="L316" s="62">
        <f>IF(and(A316&lt;questions!$C$19,questions!$C$18="yes"),questions!$C$20,0)</f>
        <v>0</v>
      </c>
      <c r="M316" s="63">
        <f>(Y315+H316)*Lookup!A$26/12</f>
        <v>1204.331337</v>
      </c>
      <c r="N316" s="63">
        <f>if(B316&lt;55, (Z315+I316)*Lookup!B$26/12, (AB315+K316)*Lookup!B$26/12)</f>
        <v>1749.118109</v>
      </c>
      <c r="O316" s="63">
        <f>(AA315+J316)*Lookup!C$26/12</f>
        <v>633.5178725</v>
      </c>
      <c r="P316" s="63">
        <f t="shared" si="8"/>
        <v>4802.321849</v>
      </c>
      <c r="Q316" s="63">
        <f t="shared" si="4"/>
        <v>6978.073077</v>
      </c>
      <c r="R316" s="63">
        <f t="shared" si="5"/>
        <v>2517.27645</v>
      </c>
      <c r="S316" s="64">
        <f t="shared" si="9"/>
        <v>16.66666667</v>
      </c>
      <c r="T316" s="64">
        <f t="shared" si="10"/>
        <v>33.33333333</v>
      </c>
      <c r="U316" s="64">
        <f t="shared" si="11"/>
        <v>0</v>
      </c>
      <c r="V316" s="64">
        <f t="shared" ref="V316:X316" si="324">IF(year($A316)=year($A315), V315+S316, S316)</f>
        <v>66.66666667</v>
      </c>
      <c r="W316" s="64">
        <f t="shared" si="324"/>
        <v>133.3333333</v>
      </c>
      <c r="X316" s="64">
        <f t="shared" si="324"/>
        <v>0</v>
      </c>
      <c r="Y316" s="65">
        <f>IFS(
  B316&lt;55,
    MAX(
      Y315 + IF(MONTH(A316)=12, P316+V316, 0) + H316 - L316
      + MAX(0,
          IF(AA315 &gt;= VLOOKUP(YEAR(A316), Lookup!$Q:$R, 2),
            Z315 + IF(MONTH(A316)=12, Q316+W316, 0) + I316
              + AA315 + IF(MONTH(A316)=12, R316+X316, 0)
              - VLOOKUP(YEAR(A316), Lookup!$Q:$R, 2) + J316,
            Z315 + IF(MONTH(A316)=12, Q316+W316, 0) + I316
          ) - VLOOKUP(YEAR(A316), Lookup!$K:$M, 3)
        ),
    0),
  B316=55,
    IF(Z315&gt;=AD316,
      MAX(Y315 + IF(MONTH(A316)=12, P316+V316, 0) + H316 - L316, 0),
      MAX(MAX(0, Y315-(AD316-Z315)) + IF(MONTH(A316)=12, P316+V316, 0) + H316 - L316, 0)
    ),
  B316&gt;55,
    IF(AB315&gt;=$AH$7,
      MAX(Y315 + IF(MONTH(A316)=12, P316+V316, 0) + H316 - L316 + K316 + Z315, 0),
      MAX(Y315 + IF(MONTH(A316)=12, P316+V316, 0) + H316 - L316, 0)
    )
)</f>
        <v>578079.0418</v>
      </c>
      <c r="Z316" s="65">
        <f>IFS(
  B316&lt;55,
    MIN(
      IF(AA315 &gt;= VLOOKUP(YEAR(A316), Lookup!$Q:$R, 2),
        Z315 + IF(MONTH(A316)=12, Q316+W316, 0) + I316
          + AA315 + IF(MONTH(A316)=12, R316+X316, 0) - VLOOKUP(YEAR(A316), Lookup!$Q:$R, 2) + J316,
        Z315 + IF(MONTH(A316)=12, Q316+W316, 0) + I316
      ),
      VLOOKUP(YEAR(A316), Lookup!$K:$M, 3)
    ),
  B316=55,
    IF(Z315 &gt;= AD316, Z315 - AD316, 0),
  B316&gt;55, 0
)</f>
        <v>524735.4328</v>
      </c>
      <c r="AA316" s="65">
        <f>IFS(
  B316&lt;65,
    IF(AA315+J316 &lt; VLOOKUP(YEAR(A316), Lookup!$Q:$R, 2),
      AA315 + IF(MONTH(A316)=12, R315+X315, 0) + J316,
      MIN(
        AA315 + IF(MONTH(A316)=12, R315+X315, 0) + J316 ,
        VLOOKUP(YEAR(A316), Lookup!$Q:$R, 2)
      )
    ),
  B316&gt;=65,
    IF(AA315+J316 &lt; VLOOKUP(questions!$C$5, Lookup!$Q:$R, 2),
      AA315 + IF(MONTH(A316)=12, R315+X315, 0) + J316 ,
      MIN(
        AA315 + IF(MONTH(A316)=12, R315+X315, 0) + J316,
        VLOOKUP(questions!$C$5, Lookup!$Q:$R, 2)
      )
    )
)</f>
        <v>190055.3618</v>
      </c>
      <c r="AB316" s="65">
        <f t="shared" si="13"/>
        <v>0</v>
      </c>
      <c r="AC316" s="66">
        <f t="array" ref="AC316">IFS(B316&lt;66, XLOOKUP(year(A316),Lookup!$K$13:$K1000,Lookup!$L$13:$L1000,"missing",,1),B316&gt;65,XLOOKUP(questions!$C$5,Lookup!$K$13:$K1000,Lookup!$L$13:$L1000,"missing",,1))</f>
        <v>269646.2527</v>
      </c>
      <c r="AD316" s="66">
        <f t="array" ref="AD316">IFS(B316&lt;66, XLOOKUP(year(A316),Lookup!$K$13:$K1000,Lookup!$M$13:$M1000,"missing",,1),B316&gt;65, XLOOKUP(questions!$C$5,Lookup!$K$13:$K1000,Lookup!$M$13:$M1000,"missing",,1))</f>
        <v>539292.5054</v>
      </c>
      <c r="AE316" s="66">
        <f t="array" ref="AE316">IFS(B316&lt;66, XLOOKUP(year(A316),Lookup!$K$13:$K1000,Lookup!$N$13:$N1000,"missing",,1),B316&gt;65,XLOOKUP(questions!$C$5,Lookup!$K$13:$K1000,Lookup!$N$13:$N1000,"missing",,1))</f>
        <v>1078585.011</v>
      </c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</row>
    <row r="317">
      <c r="A317" s="55">
        <f t="shared" si="7"/>
        <v>55670</v>
      </c>
      <c r="B317" s="56">
        <f>round(YEARFRAC(EOMONTH(questions!$C$3, 0),A317,1),2)</f>
        <v>53.5</v>
      </c>
      <c r="C317" s="57">
        <f>IF(B317&lt;questions!$C$6,if(MONTH(A317)=1,C316*(1+questions!$C$12),C316),0)</f>
        <v>21565.91268</v>
      </c>
      <c r="D317" s="58">
        <f>IF(MONTH(A317)=12,C317*questions!$C$11,0)</f>
        <v>0</v>
      </c>
      <c r="E317" s="59">
        <f t="shared" si="2"/>
        <v>8000</v>
      </c>
      <c r="F317" s="59">
        <f t="shared" si="3"/>
        <v>0</v>
      </c>
      <c r="G317" s="60">
        <f t="array" ref="G317">if(YEAR(A317)=2025,XLOOKUP(B317,Lookup!$A$3:$A$7,Lookup!$D$3:$D$7,,1)*SUM(E317:F317), XLOOKUP(B317,Lookup!$A$14:$A$18,Lookup!$D$14:$D$18,,1)*SUM(E317:F317))</f>
        <v>2960</v>
      </c>
      <c r="H317" s="60">
        <f t="array" ref="H317">if(YEAR(A317)=2025,XLOOKUP(B317,Lookup!$F$3:$F$10,Lookup!$G$3:$G$10,,1)*G317, XLOOKUP(B317,Lookup!$F$14:$F$21,Lookup!$G$14:$G$21,,1)*G317)</f>
        <v>1200.28</v>
      </c>
      <c r="I317" s="60">
        <f t="array" ref="I317">if(B317&lt;55, if(YEAR(A317)=2025,XLOOKUP(B317,Lookup!$F$3:$F$10,Lookup!$H$3:$H$10,,1)*G317, XLOOKUP(B317,Lookup!$F$14:$F$21,Lookup!$H$14:$H$21,,1)*G317),0)</f>
        <v>919.968</v>
      </c>
      <c r="J317" s="60">
        <f t="array" ref="J317">if(YEAR(A317)=2025,XLOOKUP(B317,Lookup!$F$3:$F$10,Lookup!$I$3:$I$10,,1)*G317, XLOOKUP(B317,Lookup!$F$14:$F$21,Lookup!$I$14:$I$21,,1)*G317)</f>
        <v>839.752</v>
      </c>
      <c r="K317" s="61">
        <f t="array" ref="K317">if(B317&gt;54, if(YEAR(A317)=2025,XLOOKUP(B317,Lookup!$F$3:$F$10,Lookup!$H$3:$H$10,,1)*G317, XLOOKUP(B317,Lookup!$F$14:$F$21,Lookup!$H$14:$H$21,,1)*G317),0)</f>
        <v>0</v>
      </c>
      <c r="L317" s="62">
        <f>IF(and(A317&lt;questions!$C$19,questions!$C$18="yes"),questions!$C$20,0)</f>
        <v>0</v>
      </c>
      <c r="M317" s="63">
        <f>(Y316+H317)*Lookup!A$26/12</f>
        <v>1206.83192</v>
      </c>
      <c r="N317" s="63">
        <f>if(B317&lt;55, (Z316+I317)*Lookup!B$26/12, (AB316+K317)*Lookup!B$26/12)</f>
        <v>1752.184669</v>
      </c>
      <c r="O317" s="63">
        <f>(AA316+J317)*Lookup!C$26/12</f>
        <v>636.3170459</v>
      </c>
      <c r="P317" s="63">
        <f t="shared" si="8"/>
        <v>6009.153769</v>
      </c>
      <c r="Q317" s="63">
        <f t="shared" si="4"/>
        <v>8730.257746</v>
      </c>
      <c r="R317" s="63">
        <f t="shared" si="5"/>
        <v>3153.593496</v>
      </c>
      <c r="S317" s="64">
        <f t="shared" si="9"/>
        <v>16.66666667</v>
      </c>
      <c r="T317" s="64">
        <f t="shared" si="10"/>
        <v>33.33333333</v>
      </c>
      <c r="U317" s="64">
        <f t="shared" si="11"/>
        <v>0</v>
      </c>
      <c r="V317" s="64">
        <f t="shared" ref="V317:X317" si="325">IF(year($A317)=year($A316), V316+S317, S317)</f>
        <v>83.33333333</v>
      </c>
      <c r="W317" s="64">
        <f t="shared" si="325"/>
        <v>166.6666667</v>
      </c>
      <c r="X317" s="64">
        <f t="shared" si="325"/>
        <v>0</v>
      </c>
      <c r="Y317" s="65">
        <f>IFS(
  B317&lt;55,
    MAX(
      Y316 + IF(MONTH(A317)=12, P317+V317, 0) + H317 - L317
      + MAX(0,
          IF(AA316 &gt;= VLOOKUP(YEAR(A317), Lookup!$Q:$R, 2),
            Z316 + IF(MONTH(A317)=12, Q317+W317, 0) + I317
              + AA316 + IF(MONTH(A317)=12, R317+X317, 0)
              - VLOOKUP(YEAR(A317), Lookup!$Q:$R, 2) + J317,
            Z316 + IF(MONTH(A317)=12, Q317+W317, 0) + I317
          ) - VLOOKUP(YEAR(A317), Lookup!$K:$M, 3)
        ),
    0),
  B317=55,
    IF(Z316&gt;=AD317,
      MAX(Y316 + IF(MONTH(A317)=12, P317+V317, 0) + H317 - L317, 0),
      MAX(MAX(0, Y316-(AD317-Z316)) + IF(MONTH(A317)=12, P317+V317, 0) + H317 - L317, 0)
    ),
  B317&gt;55,
    IF(AB316&gt;=$AH$7,
      MAX(Y316 + IF(MONTH(A317)=12, P317+V317, 0) + H317 - L317 + K317 + Z316, 0),
      MAX(Y316 + IF(MONTH(A317)=12, P317+V317, 0) + H317 - L317, 0)
    )
)</f>
        <v>579279.3218</v>
      </c>
      <c r="Z317" s="65">
        <f>IFS(
  B317&lt;55,
    MIN(
      IF(AA316 &gt;= VLOOKUP(YEAR(A317), Lookup!$Q:$R, 2),
        Z316 + IF(MONTH(A317)=12, Q317+W317, 0) + I317
          + AA316 + IF(MONTH(A317)=12, R317+X317, 0) - VLOOKUP(YEAR(A317), Lookup!$Q:$R, 2) + J317,
        Z316 + IF(MONTH(A317)=12, Q317+W317, 0) + I317
      ),
      VLOOKUP(YEAR(A317), Lookup!$K:$M, 3)
    ),
  B317=55,
    IF(Z316 &gt;= AD317, Z316 - AD317, 0),
  B317&gt;55, 0
)</f>
        <v>525655.4008</v>
      </c>
      <c r="AA317" s="65">
        <f>IFS(
  B317&lt;65,
    IF(AA316+J317 &lt; VLOOKUP(YEAR(A317), Lookup!$Q:$R, 2),
      AA316 + IF(MONTH(A317)=12, R316+X316, 0) + J317,
      MIN(
        AA316 + IF(MONTH(A317)=12, R316+X316, 0) + J317 ,
        VLOOKUP(YEAR(A317), Lookup!$Q:$R, 2)
      )
    ),
  B317&gt;=65,
    IF(AA316+J317 &lt; VLOOKUP(questions!$C$5, Lookup!$Q:$R, 2),
      AA316 + IF(MONTH(A317)=12, R316+X316, 0) + J317 ,
      MIN(
        AA316 + IF(MONTH(A317)=12, R316+X316, 0) + J317,
        VLOOKUP(questions!$C$5, Lookup!$Q:$R, 2)
      )
    )
)</f>
        <v>190895.1138</v>
      </c>
      <c r="AB317" s="65">
        <f t="shared" si="13"/>
        <v>0</v>
      </c>
      <c r="AC317" s="66">
        <f t="array" ref="AC317">IFS(B317&lt;66, XLOOKUP(year(A317),Lookup!$K$13:$K1000,Lookup!$L$13:$L1000,"missing",,1),B317&gt;65,XLOOKUP(questions!$C$5,Lookup!$K$13:$K1000,Lookup!$L$13:$L1000,"missing",,1))</f>
        <v>269646.2527</v>
      </c>
      <c r="AD317" s="66">
        <f t="array" ref="AD317">IFS(B317&lt;66, XLOOKUP(year(A317),Lookup!$K$13:$K1000,Lookup!$M$13:$M1000,"missing",,1),B317&gt;65, XLOOKUP(questions!$C$5,Lookup!$K$13:$K1000,Lookup!$M$13:$M1000,"missing",,1))</f>
        <v>539292.5054</v>
      </c>
      <c r="AE317" s="66">
        <f t="array" ref="AE317">IFS(B317&lt;66, XLOOKUP(year(A317),Lookup!$K$13:$K1000,Lookup!$N$13:$N1000,"missing",,1),B317&gt;65,XLOOKUP(questions!$C$5,Lookup!$K$13:$K1000,Lookup!$N$13:$N1000,"missing",,1))</f>
        <v>1078585.011</v>
      </c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</row>
    <row r="318">
      <c r="A318" s="55">
        <f t="shared" si="7"/>
        <v>55700</v>
      </c>
      <c r="B318" s="56">
        <f>round(YEARFRAC(EOMONTH(questions!$C$3, 0),A318,1),2)</f>
        <v>53.58</v>
      </c>
      <c r="C318" s="57">
        <f>IF(B318&lt;questions!$C$6,if(MONTH(A318)=1,C317*(1+questions!$C$12),C317),0)</f>
        <v>21565.91268</v>
      </c>
      <c r="D318" s="58">
        <f>IF(MONTH(A318)=12,C318*questions!$C$11,0)</f>
        <v>0</v>
      </c>
      <c r="E318" s="59">
        <f t="shared" si="2"/>
        <v>8000</v>
      </c>
      <c r="F318" s="59">
        <f t="shared" si="3"/>
        <v>0</v>
      </c>
      <c r="G318" s="60">
        <f t="array" ref="G318">if(YEAR(A318)=2025,XLOOKUP(B318,Lookup!$A$3:$A$7,Lookup!$D$3:$D$7,,1)*SUM(E318:F318), XLOOKUP(B318,Lookup!$A$14:$A$18,Lookup!$D$14:$D$18,,1)*SUM(E318:F318))</f>
        <v>2960</v>
      </c>
      <c r="H318" s="60">
        <f t="array" ref="H318">if(YEAR(A318)=2025,XLOOKUP(B318,Lookup!$F$3:$F$10,Lookup!$G$3:$G$10,,1)*G318, XLOOKUP(B318,Lookup!$F$14:$F$21,Lookup!$G$14:$G$21,,1)*G318)</f>
        <v>1200.28</v>
      </c>
      <c r="I318" s="60">
        <f t="array" ref="I318">if(B318&lt;55, if(YEAR(A318)=2025,XLOOKUP(B318,Lookup!$F$3:$F$10,Lookup!$H$3:$H$10,,1)*G318, XLOOKUP(B318,Lookup!$F$14:$F$21,Lookup!$H$14:$H$21,,1)*G318),0)</f>
        <v>919.968</v>
      </c>
      <c r="J318" s="60">
        <f t="array" ref="J318">if(YEAR(A318)=2025,XLOOKUP(B318,Lookup!$F$3:$F$10,Lookup!$I$3:$I$10,,1)*G318, XLOOKUP(B318,Lookup!$F$14:$F$21,Lookup!$I$14:$I$21,,1)*G318)</f>
        <v>839.752</v>
      </c>
      <c r="K318" s="61">
        <f t="array" ref="K318">if(B318&gt;54, if(YEAR(A318)=2025,XLOOKUP(B318,Lookup!$F$3:$F$10,Lookup!$H$3:$H$10,,1)*G318, XLOOKUP(B318,Lookup!$F$14:$F$21,Lookup!$H$14:$H$21,,1)*G318),0)</f>
        <v>0</v>
      </c>
      <c r="L318" s="62">
        <f>IF(and(A318&lt;questions!$C$19,questions!$C$18="yes"),questions!$C$20,0)</f>
        <v>0</v>
      </c>
      <c r="M318" s="63">
        <f>(Y317+H318)*Lookup!A$26/12</f>
        <v>1209.332504</v>
      </c>
      <c r="N318" s="63">
        <f>if(B318&lt;55, (Z317+I318)*Lookup!B$26/12, (AB317+K318)*Lookup!B$26/12)</f>
        <v>1755.251229</v>
      </c>
      <c r="O318" s="63">
        <f>(AA317+J318)*Lookup!C$26/12</f>
        <v>639.1162192</v>
      </c>
      <c r="P318" s="63">
        <f t="shared" si="8"/>
        <v>7218.486273</v>
      </c>
      <c r="Q318" s="63">
        <f t="shared" si="4"/>
        <v>10485.50898</v>
      </c>
      <c r="R318" s="63">
        <f t="shared" si="5"/>
        <v>3792.709715</v>
      </c>
      <c r="S318" s="64">
        <f t="shared" si="9"/>
        <v>16.66666667</v>
      </c>
      <c r="T318" s="64">
        <f t="shared" si="10"/>
        <v>33.33333333</v>
      </c>
      <c r="U318" s="64">
        <f t="shared" si="11"/>
        <v>0</v>
      </c>
      <c r="V318" s="64">
        <f t="shared" ref="V318:X318" si="326">IF(year($A318)=year($A317), V317+S318, S318)</f>
        <v>100</v>
      </c>
      <c r="W318" s="64">
        <f t="shared" si="326"/>
        <v>200</v>
      </c>
      <c r="X318" s="64">
        <f t="shared" si="326"/>
        <v>0</v>
      </c>
      <c r="Y318" s="65">
        <f>IFS(
  B318&lt;55,
    MAX(
      Y317 + IF(MONTH(A318)=12, P318+V318, 0) + H318 - L318
      + MAX(0,
          IF(AA317 &gt;= VLOOKUP(YEAR(A318), Lookup!$Q:$R, 2),
            Z317 + IF(MONTH(A318)=12, Q318+W318, 0) + I318
              + AA317 + IF(MONTH(A318)=12, R318+X318, 0)
              - VLOOKUP(YEAR(A318), Lookup!$Q:$R, 2) + J318,
            Z317 + IF(MONTH(A318)=12, Q318+W318, 0) + I318
          ) - VLOOKUP(YEAR(A318), Lookup!$K:$M, 3)
        ),
    0),
  B318=55,
    IF(Z317&gt;=AD318,
      MAX(Y317 + IF(MONTH(A318)=12, P318+V318, 0) + H318 - L318, 0),
      MAX(MAX(0, Y317-(AD318-Z317)) + IF(MONTH(A318)=12, P318+V318, 0) + H318 - L318, 0)
    ),
  B318&gt;55,
    IF(AB317&gt;=$AH$7,
      MAX(Y317 + IF(MONTH(A318)=12, P318+V318, 0) + H318 - L318 + K318 + Z317, 0),
      MAX(Y317 + IF(MONTH(A318)=12, P318+V318, 0) + H318 - L318, 0)
    )
)</f>
        <v>580479.6018</v>
      </c>
      <c r="Z318" s="65">
        <f>IFS(
  B318&lt;55,
    MIN(
      IF(AA317 &gt;= VLOOKUP(YEAR(A318), Lookup!$Q:$R, 2),
        Z317 + IF(MONTH(A318)=12, Q318+W318, 0) + I318
          + AA317 + IF(MONTH(A318)=12, R318+X318, 0) - VLOOKUP(YEAR(A318), Lookup!$Q:$R, 2) + J318,
        Z317 + IF(MONTH(A318)=12, Q318+W318, 0) + I318
      ),
      VLOOKUP(YEAR(A318), Lookup!$K:$M, 3)
    ),
  B318=55,
    IF(Z317 &gt;= AD318, Z317 - AD318, 0),
  B318&gt;55, 0
)</f>
        <v>526575.3688</v>
      </c>
      <c r="AA318" s="65">
        <f>IFS(
  B318&lt;65,
    IF(AA317+J318 &lt; VLOOKUP(YEAR(A318), Lookup!$Q:$R, 2),
      AA317 + IF(MONTH(A318)=12, R317+X317, 0) + J318,
      MIN(
        AA317 + IF(MONTH(A318)=12, R317+X317, 0) + J318 ,
        VLOOKUP(YEAR(A318), Lookup!$Q:$R, 2)
      )
    ),
  B318&gt;=65,
    IF(AA317+J318 &lt; VLOOKUP(questions!$C$5, Lookup!$Q:$R, 2),
      AA317 + IF(MONTH(A318)=12, R317+X317, 0) + J318 ,
      MIN(
        AA317 + IF(MONTH(A318)=12, R317+X317, 0) + J318,
        VLOOKUP(questions!$C$5, Lookup!$Q:$R, 2)
      )
    )
)</f>
        <v>191734.8658</v>
      </c>
      <c r="AB318" s="65">
        <f t="shared" si="13"/>
        <v>0</v>
      </c>
      <c r="AC318" s="66">
        <f t="array" ref="AC318">IFS(B318&lt;66, XLOOKUP(year(A318),Lookup!$K$13:$K1000,Lookup!$L$13:$L1000,"missing",,1),B318&gt;65,XLOOKUP(questions!$C$5,Lookup!$K$13:$K1000,Lookup!$L$13:$L1000,"missing",,1))</f>
        <v>269646.2527</v>
      </c>
      <c r="AD318" s="66">
        <f t="array" ref="AD318">IFS(B318&lt;66, XLOOKUP(year(A318),Lookup!$K$13:$K1000,Lookup!$M$13:$M1000,"missing",,1),B318&gt;65, XLOOKUP(questions!$C$5,Lookup!$K$13:$K1000,Lookup!$M$13:$M1000,"missing",,1))</f>
        <v>539292.5054</v>
      </c>
      <c r="AE318" s="66">
        <f t="array" ref="AE318">IFS(B318&lt;66, XLOOKUP(year(A318),Lookup!$K$13:$K1000,Lookup!$N$13:$N1000,"missing",,1),B318&gt;65,XLOOKUP(questions!$C$5,Lookup!$K$13:$K1000,Lookup!$N$13:$N1000,"missing",,1))</f>
        <v>1078585.011</v>
      </c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</row>
    <row r="319">
      <c r="A319" s="55">
        <f t="shared" si="7"/>
        <v>55731</v>
      </c>
      <c r="B319" s="56">
        <f>round(YEARFRAC(EOMONTH(questions!$C$3, 0),A319,1),2)</f>
        <v>53.67</v>
      </c>
      <c r="C319" s="57">
        <f>IF(B319&lt;questions!$C$6,if(MONTH(A319)=1,C318*(1+questions!$C$12),C318),0)</f>
        <v>21565.91268</v>
      </c>
      <c r="D319" s="58">
        <f>IF(MONTH(A319)=12,C319*questions!$C$11,0)</f>
        <v>0</v>
      </c>
      <c r="E319" s="59">
        <f t="shared" si="2"/>
        <v>8000</v>
      </c>
      <c r="F319" s="59">
        <f t="shared" si="3"/>
        <v>0</v>
      </c>
      <c r="G319" s="60">
        <f t="array" ref="G319">if(YEAR(A319)=2025,XLOOKUP(B319,Lookup!$A$3:$A$7,Lookup!$D$3:$D$7,,1)*SUM(E319:F319), XLOOKUP(B319,Lookup!$A$14:$A$18,Lookup!$D$14:$D$18,,1)*SUM(E319:F319))</f>
        <v>2960</v>
      </c>
      <c r="H319" s="60">
        <f t="array" ref="H319">if(YEAR(A319)=2025,XLOOKUP(B319,Lookup!$F$3:$F$10,Lookup!$G$3:$G$10,,1)*G319, XLOOKUP(B319,Lookup!$F$14:$F$21,Lookup!$G$14:$G$21,,1)*G319)</f>
        <v>1200.28</v>
      </c>
      <c r="I319" s="60">
        <f t="array" ref="I319">if(B319&lt;55, if(YEAR(A319)=2025,XLOOKUP(B319,Lookup!$F$3:$F$10,Lookup!$H$3:$H$10,,1)*G319, XLOOKUP(B319,Lookup!$F$14:$F$21,Lookup!$H$14:$H$21,,1)*G319),0)</f>
        <v>919.968</v>
      </c>
      <c r="J319" s="60">
        <f t="array" ref="J319">if(YEAR(A319)=2025,XLOOKUP(B319,Lookup!$F$3:$F$10,Lookup!$I$3:$I$10,,1)*G319, XLOOKUP(B319,Lookup!$F$14:$F$21,Lookup!$I$14:$I$21,,1)*G319)</f>
        <v>839.752</v>
      </c>
      <c r="K319" s="61">
        <f t="array" ref="K319">if(B319&gt;54, if(YEAR(A319)=2025,XLOOKUP(B319,Lookup!$F$3:$F$10,Lookup!$H$3:$H$10,,1)*G319, XLOOKUP(B319,Lookup!$F$14:$F$21,Lookup!$H$14:$H$21,,1)*G319),0)</f>
        <v>0</v>
      </c>
      <c r="L319" s="62">
        <f>IF(and(A319&lt;questions!$C$19,questions!$C$18="yes"),questions!$C$20,0)</f>
        <v>0</v>
      </c>
      <c r="M319" s="63">
        <f>(Y318+H319)*Lookup!A$26/12</f>
        <v>1211.833087</v>
      </c>
      <c r="N319" s="63">
        <f>if(B319&lt;55, (Z318+I319)*Lookup!B$26/12, (AB318+K319)*Lookup!B$26/12)</f>
        <v>1758.317789</v>
      </c>
      <c r="O319" s="63">
        <f>(AA318+J319)*Lookup!C$26/12</f>
        <v>641.9153925</v>
      </c>
      <c r="P319" s="63">
        <f t="shared" si="8"/>
        <v>8430.31936</v>
      </c>
      <c r="Q319" s="63">
        <f t="shared" si="4"/>
        <v>12243.82676</v>
      </c>
      <c r="R319" s="63">
        <f t="shared" si="5"/>
        <v>4434.625108</v>
      </c>
      <c r="S319" s="64">
        <f t="shared" si="9"/>
        <v>16.66666667</v>
      </c>
      <c r="T319" s="64">
        <f t="shared" si="10"/>
        <v>33.33333333</v>
      </c>
      <c r="U319" s="64">
        <f t="shared" si="11"/>
        <v>0</v>
      </c>
      <c r="V319" s="64">
        <f t="shared" ref="V319:X319" si="327">IF(year($A319)=year($A318), V318+S319, S319)</f>
        <v>116.6666667</v>
      </c>
      <c r="W319" s="64">
        <f t="shared" si="327"/>
        <v>233.3333333</v>
      </c>
      <c r="X319" s="64">
        <f t="shared" si="327"/>
        <v>0</v>
      </c>
      <c r="Y319" s="65">
        <f>IFS(
  B319&lt;55,
    MAX(
      Y318 + IF(MONTH(A319)=12, P319+V319, 0) + H319 - L319
      + MAX(0,
          IF(AA318 &gt;= VLOOKUP(YEAR(A319), Lookup!$Q:$R, 2),
            Z318 + IF(MONTH(A319)=12, Q319+W319, 0) + I319
              + AA318 + IF(MONTH(A319)=12, R319+X319, 0)
              - VLOOKUP(YEAR(A319), Lookup!$Q:$R, 2) + J319,
            Z318 + IF(MONTH(A319)=12, Q319+W319, 0) + I319
          ) - VLOOKUP(YEAR(A319), Lookup!$K:$M, 3)
        ),
    0),
  B319=55,
    IF(Z318&gt;=AD319,
      MAX(Y318 + IF(MONTH(A319)=12, P319+V319, 0) + H319 - L319, 0),
      MAX(MAX(0, Y318-(AD319-Z318)) + IF(MONTH(A319)=12, P319+V319, 0) + H319 - L319, 0)
    ),
  B319&gt;55,
    IF(AB318&gt;=$AH$7,
      MAX(Y318 + IF(MONTH(A319)=12, P319+V319, 0) + H319 - L319 + K319 + Z318, 0),
      MAX(Y318 + IF(MONTH(A319)=12, P319+V319, 0) + H319 - L319, 0)
    )
)</f>
        <v>581679.8818</v>
      </c>
      <c r="Z319" s="65">
        <f>IFS(
  B319&lt;55,
    MIN(
      IF(AA318 &gt;= VLOOKUP(YEAR(A319), Lookup!$Q:$R, 2),
        Z318 + IF(MONTH(A319)=12, Q319+W319, 0) + I319
          + AA318 + IF(MONTH(A319)=12, R319+X319, 0) - VLOOKUP(YEAR(A319), Lookup!$Q:$R, 2) + J319,
        Z318 + IF(MONTH(A319)=12, Q319+W319, 0) + I319
      ),
      VLOOKUP(YEAR(A319), Lookup!$K:$M, 3)
    ),
  B319=55,
    IF(Z318 &gt;= AD319, Z318 - AD319, 0),
  B319&gt;55, 0
)</f>
        <v>527495.3368</v>
      </c>
      <c r="AA319" s="65">
        <f>IFS(
  B319&lt;65,
    IF(AA318+J319 &lt; VLOOKUP(YEAR(A319), Lookup!$Q:$R, 2),
      AA318 + IF(MONTH(A319)=12, R318+X318, 0) + J319,
      MIN(
        AA318 + IF(MONTH(A319)=12, R318+X318, 0) + J319 ,
        VLOOKUP(YEAR(A319), Lookup!$Q:$R, 2)
      )
    ),
  B319&gt;=65,
    IF(AA318+J319 &lt; VLOOKUP(questions!$C$5, Lookup!$Q:$R, 2),
      AA318 + IF(MONTH(A319)=12, R318+X318, 0) + J319 ,
      MIN(
        AA318 + IF(MONTH(A319)=12, R318+X318, 0) + J319,
        VLOOKUP(questions!$C$5, Lookup!$Q:$R, 2)
      )
    )
)</f>
        <v>192574.6178</v>
      </c>
      <c r="AB319" s="65">
        <f t="shared" si="13"/>
        <v>0</v>
      </c>
      <c r="AC319" s="66">
        <f t="array" ref="AC319">IFS(B319&lt;66, XLOOKUP(year(A319),Lookup!$K$13:$K1000,Lookup!$L$13:$L1000,"missing",,1),B319&gt;65,XLOOKUP(questions!$C$5,Lookup!$K$13:$K1000,Lookup!$L$13:$L1000,"missing",,1))</f>
        <v>269646.2527</v>
      </c>
      <c r="AD319" s="66">
        <f t="array" ref="AD319">IFS(B319&lt;66, XLOOKUP(year(A319),Lookup!$K$13:$K1000,Lookup!$M$13:$M1000,"missing",,1),B319&gt;65, XLOOKUP(questions!$C$5,Lookup!$K$13:$K1000,Lookup!$M$13:$M1000,"missing",,1))</f>
        <v>539292.5054</v>
      </c>
      <c r="AE319" s="66">
        <f t="array" ref="AE319">IFS(B319&lt;66, XLOOKUP(year(A319),Lookup!$K$13:$K1000,Lookup!$N$13:$N1000,"missing",,1),B319&gt;65,XLOOKUP(questions!$C$5,Lookup!$K$13:$K1000,Lookup!$N$13:$N1000,"missing",,1))</f>
        <v>1078585.011</v>
      </c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</row>
    <row r="320">
      <c r="A320" s="55">
        <f t="shared" si="7"/>
        <v>55762</v>
      </c>
      <c r="B320" s="56">
        <f>round(YEARFRAC(EOMONTH(questions!$C$3, 0),A320,1),2)</f>
        <v>53.75</v>
      </c>
      <c r="C320" s="57">
        <f>IF(B320&lt;questions!$C$6,if(MONTH(A320)=1,C319*(1+questions!$C$12),C319),0)</f>
        <v>21565.91268</v>
      </c>
      <c r="D320" s="58">
        <f>IF(MONTH(A320)=12,C320*questions!$C$11,0)</f>
        <v>0</v>
      </c>
      <c r="E320" s="59">
        <f t="shared" si="2"/>
        <v>8000</v>
      </c>
      <c r="F320" s="59">
        <f t="shared" si="3"/>
        <v>0</v>
      </c>
      <c r="G320" s="60">
        <f t="array" ref="G320">if(YEAR(A320)=2025,XLOOKUP(B320,Lookup!$A$3:$A$7,Lookup!$D$3:$D$7,,1)*SUM(E320:F320), XLOOKUP(B320,Lookup!$A$14:$A$18,Lookup!$D$14:$D$18,,1)*SUM(E320:F320))</f>
        <v>2960</v>
      </c>
      <c r="H320" s="60">
        <f t="array" ref="H320">if(YEAR(A320)=2025,XLOOKUP(B320,Lookup!$F$3:$F$10,Lookup!$G$3:$G$10,,1)*G320, XLOOKUP(B320,Lookup!$F$14:$F$21,Lookup!$G$14:$G$21,,1)*G320)</f>
        <v>1200.28</v>
      </c>
      <c r="I320" s="60">
        <f t="array" ref="I320">if(B320&lt;55, if(YEAR(A320)=2025,XLOOKUP(B320,Lookup!$F$3:$F$10,Lookup!$H$3:$H$10,,1)*G320, XLOOKUP(B320,Lookup!$F$14:$F$21,Lookup!$H$14:$H$21,,1)*G320),0)</f>
        <v>919.968</v>
      </c>
      <c r="J320" s="60">
        <f t="array" ref="J320">if(YEAR(A320)=2025,XLOOKUP(B320,Lookup!$F$3:$F$10,Lookup!$I$3:$I$10,,1)*G320, XLOOKUP(B320,Lookup!$F$14:$F$21,Lookup!$I$14:$I$21,,1)*G320)</f>
        <v>839.752</v>
      </c>
      <c r="K320" s="61">
        <f t="array" ref="K320">if(B320&gt;54, if(YEAR(A320)=2025,XLOOKUP(B320,Lookup!$F$3:$F$10,Lookup!$H$3:$H$10,,1)*G320, XLOOKUP(B320,Lookup!$F$14:$F$21,Lookup!$H$14:$H$21,,1)*G320),0)</f>
        <v>0</v>
      </c>
      <c r="L320" s="62">
        <f>IF(and(A320&lt;questions!$C$19,questions!$C$18="yes"),questions!$C$20,0)</f>
        <v>0</v>
      </c>
      <c r="M320" s="63">
        <f>(Y319+H320)*Lookup!A$26/12</f>
        <v>1214.33367</v>
      </c>
      <c r="N320" s="63">
        <f>if(B320&lt;55, (Z319+I320)*Lookup!B$26/12, (AB319+K320)*Lookup!B$26/12)</f>
        <v>1761.384349</v>
      </c>
      <c r="O320" s="63">
        <f>(AA319+J320)*Lookup!C$26/12</f>
        <v>644.7145659</v>
      </c>
      <c r="P320" s="63">
        <f t="shared" si="8"/>
        <v>9644.653031</v>
      </c>
      <c r="Q320" s="63">
        <f t="shared" si="4"/>
        <v>14005.21111</v>
      </c>
      <c r="R320" s="63">
        <f t="shared" si="5"/>
        <v>5079.339674</v>
      </c>
      <c r="S320" s="64">
        <f t="shared" si="9"/>
        <v>16.66666667</v>
      </c>
      <c r="T320" s="64">
        <f t="shared" si="10"/>
        <v>33.33333333</v>
      </c>
      <c r="U320" s="64">
        <f t="shared" si="11"/>
        <v>0</v>
      </c>
      <c r="V320" s="64">
        <f t="shared" ref="V320:X320" si="328">IF(year($A320)=year($A319), V319+S320, S320)</f>
        <v>133.3333333</v>
      </c>
      <c r="W320" s="64">
        <f t="shared" si="328"/>
        <v>266.6666667</v>
      </c>
      <c r="X320" s="64">
        <f t="shared" si="328"/>
        <v>0</v>
      </c>
      <c r="Y320" s="65">
        <f>IFS(
  B320&lt;55,
    MAX(
      Y319 + IF(MONTH(A320)=12, P320+V320, 0) + H320 - L320
      + MAX(0,
          IF(AA319 &gt;= VLOOKUP(YEAR(A320), Lookup!$Q:$R, 2),
            Z319 + IF(MONTH(A320)=12, Q320+W320, 0) + I320
              + AA319 + IF(MONTH(A320)=12, R320+X320, 0)
              - VLOOKUP(YEAR(A320), Lookup!$Q:$R, 2) + J320,
            Z319 + IF(MONTH(A320)=12, Q320+W320, 0) + I320
          ) - VLOOKUP(YEAR(A320), Lookup!$K:$M, 3)
        ),
    0),
  B320=55,
    IF(Z319&gt;=AD320,
      MAX(Y319 + IF(MONTH(A320)=12, P320+V320, 0) + H320 - L320, 0),
      MAX(MAX(0, Y319-(AD320-Z319)) + IF(MONTH(A320)=12, P320+V320, 0) + H320 - L320, 0)
    ),
  B320&gt;55,
    IF(AB319&gt;=$AH$7,
      MAX(Y319 + IF(MONTH(A320)=12, P320+V320, 0) + H320 - L320 + K320 + Z319, 0),
      MAX(Y319 + IF(MONTH(A320)=12, P320+V320, 0) + H320 - L320, 0)
    )
)</f>
        <v>582880.1618</v>
      </c>
      <c r="Z320" s="65">
        <f>IFS(
  B320&lt;55,
    MIN(
      IF(AA319 &gt;= VLOOKUP(YEAR(A320), Lookup!$Q:$R, 2),
        Z319 + IF(MONTH(A320)=12, Q320+W320, 0) + I320
          + AA319 + IF(MONTH(A320)=12, R320+X320, 0) - VLOOKUP(YEAR(A320), Lookup!$Q:$R, 2) + J320,
        Z319 + IF(MONTH(A320)=12, Q320+W320, 0) + I320
      ),
      VLOOKUP(YEAR(A320), Lookup!$K:$M, 3)
    ),
  B320=55,
    IF(Z319 &gt;= AD320, Z319 - AD320, 0),
  B320&gt;55, 0
)</f>
        <v>528415.3048</v>
      </c>
      <c r="AA320" s="65">
        <f>IFS(
  B320&lt;65,
    IF(AA319+J320 &lt; VLOOKUP(YEAR(A320), Lookup!$Q:$R, 2),
      AA319 + IF(MONTH(A320)=12, R319+X319, 0) + J320,
      MIN(
        AA319 + IF(MONTH(A320)=12, R319+X319, 0) + J320 ,
        VLOOKUP(YEAR(A320), Lookup!$Q:$R, 2)
      )
    ),
  B320&gt;=65,
    IF(AA319+J320 &lt; VLOOKUP(questions!$C$5, Lookup!$Q:$R, 2),
      AA319 + IF(MONTH(A320)=12, R319+X319, 0) + J320 ,
      MIN(
        AA319 + IF(MONTH(A320)=12, R319+X319, 0) + J320,
        VLOOKUP(questions!$C$5, Lookup!$Q:$R, 2)
      )
    )
)</f>
        <v>193230.7261</v>
      </c>
      <c r="AB320" s="65">
        <f t="shared" si="13"/>
        <v>0</v>
      </c>
      <c r="AC320" s="66">
        <f t="array" ref="AC320">IFS(B320&lt;66, XLOOKUP(year(A320),Lookup!$K$13:$K1000,Lookup!$L$13:$L1000,"missing",,1),B320&gt;65,XLOOKUP(questions!$C$5,Lookup!$K$13:$K1000,Lookup!$L$13:$L1000,"missing",,1))</f>
        <v>269646.2527</v>
      </c>
      <c r="AD320" s="66">
        <f t="array" ref="AD320">IFS(B320&lt;66, XLOOKUP(year(A320),Lookup!$K$13:$K1000,Lookup!$M$13:$M1000,"missing",,1),B320&gt;65, XLOOKUP(questions!$C$5,Lookup!$K$13:$K1000,Lookup!$M$13:$M1000,"missing",,1))</f>
        <v>539292.5054</v>
      </c>
      <c r="AE320" s="66">
        <f t="array" ref="AE320">IFS(B320&lt;66, XLOOKUP(year(A320),Lookup!$K$13:$K1000,Lookup!$N$13:$N1000,"missing",,1),B320&gt;65,XLOOKUP(questions!$C$5,Lookup!$K$13:$K1000,Lookup!$N$13:$N1000,"missing",,1))</f>
        <v>1078585.011</v>
      </c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</row>
    <row r="321">
      <c r="A321" s="55">
        <f t="shared" si="7"/>
        <v>55792</v>
      </c>
      <c r="B321" s="56">
        <f>round(YEARFRAC(EOMONTH(questions!$C$3, 0),A321,1),2)</f>
        <v>53.83</v>
      </c>
      <c r="C321" s="57">
        <f>IF(B321&lt;questions!$C$6,if(MONTH(A321)=1,C320*(1+questions!$C$12),C320),0)</f>
        <v>21565.91268</v>
      </c>
      <c r="D321" s="58">
        <f>IF(MONTH(A321)=12,C321*questions!$C$11,0)</f>
        <v>0</v>
      </c>
      <c r="E321" s="59">
        <f t="shared" si="2"/>
        <v>8000</v>
      </c>
      <c r="F321" s="59">
        <f t="shared" si="3"/>
        <v>0</v>
      </c>
      <c r="G321" s="60">
        <f t="array" ref="G321">if(YEAR(A321)=2025,XLOOKUP(B321,Lookup!$A$3:$A$7,Lookup!$D$3:$D$7,,1)*SUM(E321:F321), XLOOKUP(B321,Lookup!$A$14:$A$18,Lookup!$D$14:$D$18,,1)*SUM(E321:F321))</f>
        <v>2960</v>
      </c>
      <c r="H321" s="60">
        <f t="array" ref="H321">if(YEAR(A321)=2025,XLOOKUP(B321,Lookup!$F$3:$F$10,Lookup!$G$3:$G$10,,1)*G321, XLOOKUP(B321,Lookup!$F$14:$F$21,Lookup!$G$14:$G$21,,1)*G321)</f>
        <v>1200.28</v>
      </c>
      <c r="I321" s="60">
        <f t="array" ref="I321">if(B321&lt;55, if(YEAR(A321)=2025,XLOOKUP(B321,Lookup!$F$3:$F$10,Lookup!$H$3:$H$10,,1)*G321, XLOOKUP(B321,Lookup!$F$14:$F$21,Lookup!$H$14:$H$21,,1)*G321),0)</f>
        <v>919.968</v>
      </c>
      <c r="J321" s="60">
        <f t="array" ref="J321">if(YEAR(A321)=2025,XLOOKUP(B321,Lookup!$F$3:$F$10,Lookup!$I$3:$I$10,,1)*G321, XLOOKUP(B321,Lookup!$F$14:$F$21,Lookup!$I$14:$I$21,,1)*G321)</f>
        <v>839.752</v>
      </c>
      <c r="K321" s="61">
        <f t="array" ref="K321">if(B321&gt;54, if(YEAR(A321)=2025,XLOOKUP(B321,Lookup!$F$3:$F$10,Lookup!$H$3:$H$10,,1)*G321, XLOOKUP(B321,Lookup!$F$14:$F$21,Lookup!$H$14:$H$21,,1)*G321),0)</f>
        <v>0</v>
      </c>
      <c r="L321" s="62">
        <f>IF(and(A321&lt;questions!$C$19,questions!$C$18="yes"),questions!$C$20,0)</f>
        <v>0</v>
      </c>
      <c r="M321" s="63">
        <f>(Y320+H321)*Lookup!A$26/12</f>
        <v>1216.834254</v>
      </c>
      <c r="N321" s="63">
        <f>if(B321&lt;55, (Z320+I321)*Lookup!B$26/12, (AB320+K321)*Lookup!B$26/12)</f>
        <v>1764.450909</v>
      </c>
      <c r="O321" s="63">
        <f>(AA320+J321)*Lookup!C$26/12</f>
        <v>646.9015938</v>
      </c>
      <c r="P321" s="63">
        <f t="shared" si="8"/>
        <v>10861.48728</v>
      </c>
      <c r="Q321" s="63">
        <f t="shared" si="4"/>
        <v>15769.66202</v>
      </c>
      <c r="R321" s="63">
        <f t="shared" si="5"/>
        <v>5726.241267</v>
      </c>
      <c r="S321" s="64">
        <f t="shared" si="9"/>
        <v>16.66666667</v>
      </c>
      <c r="T321" s="64">
        <f t="shared" si="10"/>
        <v>33.33333333</v>
      </c>
      <c r="U321" s="64">
        <f t="shared" si="11"/>
        <v>0</v>
      </c>
      <c r="V321" s="64">
        <f t="shared" ref="V321:X321" si="329">IF(year($A321)=year($A320), V320+S321, S321)</f>
        <v>150</v>
      </c>
      <c r="W321" s="64">
        <f t="shared" si="329"/>
        <v>300</v>
      </c>
      <c r="X321" s="64">
        <f t="shared" si="329"/>
        <v>0</v>
      </c>
      <c r="Y321" s="65">
        <f>IFS(
  B321&lt;55,
    MAX(
      Y320 + IF(MONTH(A321)=12, P321+V321, 0) + H321 - L321
      + MAX(0,
          IF(AA320 &gt;= VLOOKUP(YEAR(A321), Lookup!$Q:$R, 2),
            Z320 + IF(MONTH(A321)=12, Q321+W321, 0) + I321
              + AA320 + IF(MONTH(A321)=12, R321+X321, 0)
              - VLOOKUP(YEAR(A321), Lookup!$Q:$R, 2) + J321,
            Z320 + IF(MONTH(A321)=12, Q321+W321, 0) + I321
          ) - VLOOKUP(YEAR(A321), Lookup!$K:$M, 3)
        ),
    0),
  B321=55,
    IF(Z320&gt;=AD321,
      MAX(Y320 + IF(MONTH(A321)=12, P321+V321, 0) + H321 - L321, 0),
      MAX(MAX(0, Y320-(AD321-Z320)) + IF(MONTH(A321)=12, P321+V321, 0) + H321 - L321, 0)
    ),
  B321&gt;55,
    IF(AB320&gt;=$AH$7,
      MAX(Y320 + IF(MONTH(A321)=12, P321+V321, 0) + H321 - L321 + K321 + Z320, 0),
      MAX(Y320 + IF(MONTH(A321)=12, P321+V321, 0) + H321 - L321, 0)
    )
)</f>
        <v>584080.4418</v>
      </c>
      <c r="Z321" s="65">
        <f>IFS(
  B321&lt;55,
    MIN(
      IF(AA320 &gt;= VLOOKUP(YEAR(A321), Lookup!$Q:$R, 2),
        Z320 + IF(MONTH(A321)=12, Q321+W321, 0) + I321
          + AA320 + IF(MONTH(A321)=12, R321+X321, 0) - VLOOKUP(YEAR(A321), Lookup!$Q:$R, 2) + J321,
        Z320 + IF(MONTH(A321)=12, Q321+W321, 0) + I321
      ),
      VLOOKUP(YEAR(A321), Lookup!$K:$M, 3)
    ),
  B321=55,
    IF(Z320 &gt;= AD321, Z320 - AD321, 0),
  B321&gt;55, 0
)</f>
        <v>530175.0248</v>
      </c>
      <c r="AA321" s="65">
        <f>IFS(
  B321&lt;65,
    IF(AA320+J321 &lt; VLOOKUP(YEAR(A321), Lookup!$Q:$R, 2),
      AA320 + IF(MONTH(A321)=12, R320+X320, 0) + J321,
      MIN(
        AA320 + IF(MONTH(A321)=12, R320+X320, 0) + J321 ,
        VLOOKUP(YEAR(A321), Lookup!$Q:$R, 2)
      )
    ),
  B321&gt;=65,
    IF(AA320+J321 &lt; VLOOKUP(questions!$C$5, Lookup!$Q:$R, 2),
      AA320 + IF(MONTH(A321)=12, R320+X320, 0) + J321 ,
      MIN(
        AA320 + IF(MONTH(A321)=12, R320+X320, 0) + J321,
        VLOOKUP(questions!$C$5, Lookup!$Q:$R, 2)
      )
    )
)</f>
        <v>193230.7261</v>
      </c>
      <c r="AB321" s="65">
        <f t="shared" si="13"/>
        <v>0</v>
      </c>
      <c r="AC321" s="66">
        <f t="array" ref="AC321">IFS(B321&lt;66, XLOOKUP(year(A321),Lookup!$K$13:$K1000,Lookup!$L$13:$L1000,"missing",,1),B321&gt;65,XLOOKUP(questions!$C$5,Lookup!$K$13:$K1000,Lookup!$L$13:$L1000,"missing",,1))</f>
        <v>269646.2527</v>
      </c>
      <c r="AD321" s="66">
        <f t="array" ref="AD321">IFS(B321&lt;66, XLOOKUP(year(A321),Lookup!$K$13:$K1000,Lookup!$M$13:$M1000,"missing",,1),B321&gt;65, XLOOKUP(questions!$C$5,Lookup!$K$13:$K1000,Lookup!$M$13:$M1000,"missing",,1))</f>
        <v>539292.5054</v>
      </c>
      <c r="AE321" s="66">
        <f t="array" ref="AE321">IFS(B321&lt;66, XLOOKUP(year(A321),Lookup!$K$13:$K1000,Lookup!$N$13:$N1000,"missing",,1),B321&gt;65,XLOOKUP(questions!$C$5,Lookup!$K$13:$K1000,Lookup!$N$13:$N1000,"missing",,1))</f>
        <v>1078585.011</v>
      </c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</row>
    <row r="322">
      <c r="A322" s="55">
        <f t="shared" si="7"/>
        <v>55823</v>
      </c>
      <c r="B322" s="56">
        <f>round(YEARFRAC(EOMONTH(questions!$C$3, 0),A322,1),2)</f>
        <v>53.92</v>
      </c>
      <c r="C322" s="57">
        <f>IF(B322&lt;questions!$C$6,if(MONTH(A322)=1,C321*(1+questions!$C$12),C321),0)</f>
        <v>21565.91268</v>
      </c>
      <c r="D322" s="58">
        <f>IF(MONTH(A322)=12,C322*questions!$C$11,0)</f>
        <v>0</v>
      </c>
      <c r="E322" s="59">
        <f t="shared" si="2"/>
        <v>8000</v>
      </c>
      <c r="F322" s="59">
        <f t="shared" si="3"/>
        <v>0</v>
      </c>
      <c r="G322" s="60">
        <f t="array" ref="G322">if(YEAR(A322)=2025,XLOOKUP(B322,Lookup!$A$3:$A$7,Lookup!$D$3:$D$7,,1)*SUM(E322:F322), XLOOKUP(B322,Lookup!$A$14:$A$18,Lookup!$D$14:$D$18,,1)*SUM(E322:F322))</f>
        <v>2960</v>
      </c>
      <c r="H322" s="60">
        <f t="array" ref="H322">if(YEAR(A322)=2025,XLOOKUP(B322,Lookup!$F$3:$F$10,Lookup!$G$3:$G$10,,1)*G322, XLOOKUP(B322,Lookup!$F$14:$F$21,Lookup!$G$14:$G$21,,1)*G322)</f>
        <v>1200.28</v>
      </c>
      <c r="I322" s="60">
        <f t="array" ref="I322">if(B322&lt;55, if(YEAR(A322)=2025,XLOOKUP(B322,Lookup!$F$3:$F$10,Lookup!$H$3:$H$10,,1)*G322, XLOOKUP(B322,Lookup!$F$14:$F$21,Lookup!$H$14:$H$21,,1)*G322),0)</f>
        <v>919.968</v>
      </c>
      <c r="J322" s="60">
        <f t="array" ref="J322">if(YEAR(A322)=2025,XLOOKUP(B322,Lookup!$F$3:$F$10,Lookup!$I$3:$I$10,,1)*G322, XLOOKUP(B322,Lookup!$F$14:$F$21,Lookup!$I$14:$I$21,,1)*G322)</f>
        <v>839.752</v>
      </c>
      <c r="K322" s="61">
        <f t="array" ref="K322">if(B322&gt;54, if(YEAR(A322)=2025,XLOOKUP(B322,Lookup!$F$3:$F$10,Lookup!$H$3:$H$10,,1)*G322, XLOOKUP(B322,Lookup!$F$14:$F$21,Lookup!$H$14:$H$21,,1)*G322),0)</f>
        <v>0</v>
      </c>
      <c r="L322" s="62">
        <f>IF(and(A322&lt;questions!$C$19,questions!$C$18="yes"),questions!$C$20,0)</f>
        <v>0</v>
      </c>
      <c r="M322" s="63">
        <f>(Y321+H322)*Lookup!A$26/12</f>
        <v>1219.334837</v>
      </c>
      <c r="N322" s="63">
        <f>if(B322&lt;55, (Z321+I322)*Lookup!B$26/12, (AB321+K322)*Lookup!B$26/12)</f>
        <v>1770.316643</v>
      </c>
      <c r="O322" s="63">
        <f>(AA321+J322)*Lookup!C$26/12</f>
        <v>646.9015938</v>
      </c>
      <c r="P322" s="63">
        <f t="shared" si="8"/>
        <v>12080.82212</v>
      </c>
      <c r="Q322" s="63">
        <f t="shared" si="4"/>
        <v>17539.97867</v>
      </c>
      <c r="R322" s="63">
        <f t="shared" si="5"/>
        <v>6373.142861</v>
      </c>
      <c r="S322" s="64">
        <f t="shared" si="9"/>
        <v>16.66666667</v>
      </c>
      <c r="T322" s="64">
        <f t="shared" si="10"/>
        <v>33.33333333</v>
      </c>
      <c r="U322" s="64">
        <f t="shared" si="11"/>
        <v>0</v>
      </c>
      <c r="V322" s="64">
        <f t="shared" ref="V322:X322" si="330">IF(year($A322)=year($A321), V321+S322, S322)</f>
        <v>166.6666667</v>
      </c>
      <c r="W322" s="64">
        <f t="shared" si="330"/>
        <v>333.3333333</v>
      </c>
      <c r="X322" s="64">
        <f t="shared" si="330"/>
        <v>0</v>
      </c>
      <c r="Y322" s="65">
        <f>IFS(
  B322&lt;55,
    MAX(
      Y321 + IF(MONTH(A322)=12, P322+V322, 0) + H322 - L322
      + MAX(0,
          IF(AA321 &gt;= VLOOKUP(YEAR(A322), Lookup!$Q:$R, 2),
            Z321 + IF(MONTH(A322)=12, Q322+W322, 0) + I322
              + AA321 + IF(MONTH(A322)=12, R322+X322, 0)
              - VLOOKUP(YEAR(A322), Lookup!$Q:$R, 2) + J322,
            Z321 + IF(MONTH(A322)=12, Q322+W322, 0) + I322
          ) - VLOOKUP(YEAR(A322), Lookup!$K:$M, 3)
        ),
    0),
  B322=55,
    IF(Z321&gt;=AD322,
      MAX(Y321 + IF(MONTH(A322)=12, P322+V322, 0) + H322 - L322, 0),
      MAX(MAX(0, Y321-(AD322-Z321)) + IF(MONTH(A322)=12, P322+V322, 0) + H322 - L322, 0)
    ),
  B322&gt;55,
    IF(AB321&gt;=$AH$7,
      MAX(Y321 + IF(MONTH(A322)=12, P322+V322, 0) + H322 - L322 + K322 + Z321, 0),
      MAX(Y321 + IF(MONTH(A322)=12, P322+V322, 0) + H322 - L322, 0)
    )
)</f>
        <v>585280.7218</v>
      </c>
      <c r="Z322" s="65">
        <f>IFS(
  B322&lt;55,
    MIN(
      IF(AA321 &gt;= VLOOKUP(YEAR(A322), Lookup!$Q:$R, 2),
        Z321 + IF(MONTH(A322)=12, Q322+W322, 0) + I322
          + AA321 + IF(MONTH(A322)=12, R322+X322, 0) - VLOOKUP(YEAR(A322), Lookup!$Q:$R, 2) + J322,
        Z321 + IF(MONTH(A322)=12, Q322+W322, 0) + I322
      ),
      VLOOKUP(YEAR(A322), Lookup!$K:$M, 3)
    ),
  B322=55,
    IF(Z321 &gt;= AD322, Z321 - AD322, 0),
  B322&gt;55, 0
)</f>
        <v>531934.7448</v>
      </c>
      <c r="AA322" s="65">
        <f>IFS(
  B322&lt;65,
    IF(AA321+J322 &lt; VLOOKUP(YEAR(A322), Lookup!$Q:$R, 2),
      AA321 + IF(MONTH(A322)=12, R321+X321, 0) + J322,
      MIN(
        AA321 + IF(MONTH(A322)=12, R321+X321, 0) + J322 ,
        VLOOKUP(YEAR(A322), Lookup!$Q:$R, 2)
      )
    ),
  B322&gt;=65,
    IF(AA321+J322 &lt; VLOOKUP(questions!$C$5, Lookup!$Q:$R, 2),
      AA321 + IF(MONTH(A322)=12, R321+X321, 0) + J322 ,
      MIN(
        AA321 + IF(MONTH(A322)=12, R321+X321, 0) + J322,
        VLOOKUP(questions!$C$5, Lookup!$Q:$R, 2)
      )
    )
)</f>
        <v>193230.7261</v>
      </c>
      <c r="AB322" s="65">
        <f t="shared" si="13"/>
        <v>0</v>
      </c>
      <c r="AC322" s="66">
        <f t="array" ref="AC322">IFS(B322&lt;66, XLOOKUP(year(A322),Lookup!$K$13:$K1000,Lookup!$L$13:$L1000,"missing",,1),B322&gt;65,XLOOKUP(questions!$C$5,Lookup!$K$13:$K1000,Lookup!$L$13:$L1000,"missing",,1))</f>
        <v>269646.2527</v>
      </c>
      <c r="AD322" s="66">
        <f t="array" ref="AD322">IFS(B322&lt;66, XLOOKUP(year(A322),Lookup!$K$13:$K1000,Lookup!$M$13:$M1000,"missing",,1),B322&gt;65, XLOOKUP(questions!$C$5,Lookup!$K$13:$K1000,Lookup!$M$13:$M1000,"missing",,1))</f>
        <v>539292.5054</v>
      </c>
      <c r="AE322" s="66">
        <f t="array" ref="AE322">IFS(B322&lt;66, XLOOKUP(year(A322),Lookup!$K$13:$K1000,Lookup!$N$13:$N1000,"missing",,1),B322&gt;65,XLOOKUP(questions!$C$5,Lookup!$K$13:$K1000,Lookup!$N$13:$N1000,"missing",,1))</f>
        <v>1078585.011</v>
      </c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</row>
    <row r="323">
      <c r="A323" s="55">
        <f t="shared" si="7"/>
        <v>55853</v>
      </c>
      <c r="B323" s="56">
        <f>round(YEARFRAC(EOMONTH(questions!$C$3, 0),A323,1),2)</f>
        <v>54</v>
      </c>
      <c r="C323" s="57">
        <f>IF(B323&lt;questions!$C$6,if(MONTH(A323)=1,C322*(1+questions!$C$12),C322),0)</f>
        <v>21565.91268</v>
      </c>
      <c r="D323" s="58">
        <f>IF(MONTH(A323)=12,C323*questions!$C$11,0)</f>
        <v>0</v>
      </c>
      <c r="E323" s="59">
        <f t="shared" si="2"/>
        <v>8000</v>
      </c>
      <c r="F323" s="59">
        <f t="shared" si="3"/>
        <v>0</v>
      </c>
      <c r="G323" s="60">
        <f t="array" ref="G323">if(YEAR(A323)=2025,XLOOKUP(B323,Lookup!$A$3:$A$7,Lookup!$D$3:$D$7,,1)*SUM(E323:F323), XLOOKUP(B323,Lookup!$A$14:$A$18,Lookup!$D$14:$D$18,,1)*SUM(E323:F323))</f>
        <v>2960</v>
      </c>
      <c r="H323" s="60">
        <f t="array" ref="H323">if(YEAR(A323)=2025,XLOOKUP(B323,Lookup!$F$3:$F$10,Lookup!$G$3:$G$10,,1)*G323, XLOOKUP(B323,Lookup!$F$14:$F$21,Lookup!$G$14:$G$21,,1)*G323)</f>
        <v>1200.28</v>
      </c>
      <c r="I323" s="60">
        <f t="array" ref="I323">if(B323&lt;55, if(YEAR(A323)=2025,XLOOKUP(B323,Lookup!$F$3:$F$10,Lookup!$H$3:$H$10,,1)*G323, XLOOKUP(B323,Lookup!$F$14:$F$21,Lookup!$H$14:$H$21,,1)*G323),0)</f>
        <v>919.968</v>
      </c>
      <c r="J323" s="60">
        <f t="array" ref="J323">if(YEAR(A323)=2025,XLOOKUP(B323,Lookup!$F$3:$F$10,Lookup!$I$3:$I$10,,1)*G323, XLOOKUP(B323,Lookup!$F$14:$F$21,Lookup!$I$14:$I$21,,1)*G323)</f>
        <v>839.752</v>
      </c>
      <c r="K323" s="61">
        <f t="array" ref="K323">if(B323&gt;54, if(YEAR(A323)=2025,XLOOKUP(B323,Lookup!$F$3:$F$10,Lookup!$H$3:$H$10,,1)*G323, XLOOKUP(B323,Lookup!$F$14:$F$21,Lookup!$H$14:$H$21,,1)*G323),0)</f>
        <v>0</v>
      </c>
      <c r="L323" s="62">
        <f>IF(and(A323&lt;questions!$C$19,questions!$C$18="yes"),questions!$C$20,0)</f>
        <v>0</v>
      </c>
      <c r="M323" s="63">
        <f>(Y322+H323)*Lookup!A$26/12</f>
        <v>1221.83542</v>
      </c>
      <c r="N323" s="63">
        <f>if(B323&lt;55, (Z322+I323)*Lookup!B$26/12, (AB322+K323)*Lookup!B$26/12)</f>
        <v>1776.182376</v>
      </c>
      <c r="O323" s="63">
        <f>(AA322+J323)*Lookup!C$26/12</f>
        <v>646.9015938</v>
      </c>
      <c r="P323" s="63">
        <f t="shared" si="8"/>
        <v>13302.65754</v>
      </c>
      <c r="Q323" s="63">
        <f t="shared" si="4"/>
        <v>19316.16104</v>
      </c>
      <c r="R323" s="63">
        <f t="shared" si="5"/>
        <v>7020.044455</v>
      </c>
      <c r="S323" s="64">
        <f t="shared" si="9"/>
        <v>16.66666667</v>
      </c>
      <c r="T323" s="64">
        <f t="shared" si="10"/>
        <v>33.33333333</v>
      </c>
      <c r="U323" s="64">
        <f t="shared" si="11"/>
        <v>0</v>
      </c>
      <c r="V323" s="64">
        <f t="shared" ref="V323:X323" si="331">IF(year($A323)=year($A322), V322+S323, S323)</f>
        <v>183.3333333</v>
      </c>
      <c r="W323" s="64">
        <f t="shared" si="331"/>
        <v>366.6666667</v>
      </c>
      <c r="X323" s="64">
        <f t="shared" si="331"/>
        <v>0</v>
      </c>
      <c r="Y323" s="65">
        <f>IFS(
  B323&lt;55,
    MAX(
      Y322 + IF(MONTH(A323)=12, P323+V323, 0) + H323 - L323
      + MAX(0,
          IF(AA322 &gt;= VLOOKUP(YEAR(A323), Lookup!$Q:$R, 2),
            Z322 + IF(MONTH(A323)=12, Q323+W323, 0) + I323
              + AA322 + IF(MONTH(A323)=12, R323+X323, 0)
              - VLOOKUP(YEAR(A323), Lookup!$Q:$R, 2) + J323,
            Z322 + IF(MONTH(A323)=12, Q323+W323, 0) + I323
          ) - VLOOKUP(YEAR(A323), Lookup!$K:$M, 3)
        ),
    0),
  B323=55,
    IF(Z322&gt;=AD323,
      MAX(Y322 + IF(MONTH(A323)=12, P323+V323, 0) + H323 - L323, 0),
      MAX(MAX(0, Y322-(AD323-Z322)) + IF(MONTH(A323)=12, P323+V323, 0) + H323 - L323, 0)
    ),
  B323&gt;55,
    IF(AB322&gt;=$AH$7,
      MAX(Y322 + IF(MONTH(A323)=12, P323+V323, 0) + H323 - L323 + K323 + Z322, 0),
      MAX(Y322 + IF(MONTH(A323)=12, P323+V323, 0) + H323 - L323, 0)
    )
)</f>
        <v>586481.0018</v>
      </c>
      <c r="Z323" s="65">
        <f>IFS(
  B323&lt;55,
    MIN(
      IF(AA322 &gt;= VLOOKUP(YEAR(A323), Lookup!$Q:$R, 2),
        Z322 + IF(MONTH(A323)=12, Q323+W323, 0) + I323
          + AA322 + IF(MONTH(A323)=12, R323+X323, 0) - VLOOKUP(YEAR(A323), Lookup!$Q:$R, 2) + J323,
        Z322 + IF(MONTH(A323)=12, Q323+W323, 0) + I323
      ),
      VLOOKUP(YEAR(A323), Lookup!$K:$M, 3)
    ),
  B323=55,
    IF(Z322 &gt;= AD323, Z322 - AD323, 0),
  B323&gt;55, 0
)</f>
        <v>533694.4648</v>
      </c>
      <c r="AA323" s="65">
        <f>IFS(
  B323&lt;65,
    IF(AA322+J323 &lt; VLOOKUP(YEAR(A323), Lookup!$Q:$R, 2),
      AA322 + IF(MONTH(A323)=12, R322+X322, 0) + J323,
      MIN(
        AA322 + IF(MONTH(A323)=12, R322+X322, 0) + J323 ,
        VLOOKUP(YEAR(A323), Lookup!$Q:$R, 2)
      )
    ),
  B323&gt;=65,
    IF(AA322+J323 &lt; VLOOKUP(questions!$C$5, Lookup!$Q:$R, 2),
      AA322 + IF(MONTH(A323)=12, R322+X322, 0) + J323 ,
      MIN(
        AA322 + IF(MONTH(A323)=12, R322+X322, 0) + J323,
        VLOOKUP(questions!$C$5, Lookup!$Q:$R, 2)
      )
    )
)</f>
        <v>193230.7261</v>
      </c>
      <c r="AB323" s="65">
        <f t="shared" si="13"/>
        <v>0</v>
      </c>
      <c r="AC323" s="66">
        <f t="array" ref="AC323">IFS(B323&lt;66, XLOOKUP(year(A323),Lookup!$K$13:$K1000,Lookup!$L$13:$L1000,"missing",,1),B323&gt;65,XLOOKUP(questions!$C$5,Lookup!$K$13:$K1000,Lookup!$L$13:$L1000,"missing",,1))</f>
        <v>269646.2527</v>
      </c>
      <c r="AD323" s="66">
        <f t="array" ref="AD323">IFS(B323&lt;66, XLOOKUP(year(A323),Lookup!$K$13:$K1000,Lookup!$M$13:$M1000,"missing",,1),B323&gt;65, XLOOKUP(questions!$C$5,Lookup!$K$13:$K1000,Lookup!$M$13:$M1000,"missing",,1))</f>
        <v>539292.5054</v>
      </c>
      <c r="AE323" s="66">
        <f t="array" ref="AE323">IFS(B323&lt;66, XLOOKUP(year(A323),Lookup!$K$13:$K1000,Lookup!$N$13:$N1000,"missing",,1),B323&gt;65,XLOOKUP(questions!$C$5,Lookup!$K$13:$K1000,Lookup!$N$13:$N1000,"missing",,1))</f>
        <v>1078585.011</v>
      </c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</row>
    <row r="324">
      <c r="A324" s="55">
        <f t="shared" si="7"/>
        <v>55884</v>
      </c>
      <c r="B324" s="56">
        <f>round(YEARFRAC(EOMONTH(questions!$C$3, 0),A324,1),2)</f>
        <v>54.08</v>
      </c>
      <c r="C324" s="57">
        <f>IF(B324&lt;questions!$C$6,if(MONTH(A324)=1,C323*(1+questions!$C$12),C323),0)</f>
        <v>21565.91268</v>
      </c>
      <c r="D324" s="57">
        <f>IF(MONTH(A324)=12,C324*questions!$C$11,0)</f>
        <v>21565.91268</v>
      </c>
      <c r="E324" s="59">
        <f t="shared" si="2"/>
        <v>8000</v>
      </c>
      <c r="F324" s="59">
        <f t="shared" si="3"/>
        <v>6000</v>
      </c>
      <c r="G324" s="60">
        <f t="array" ref="G324">if(YEAR(A324)=2025,XLOOKUP(B324,Lookup!$A$3:$A$7,Lookup!$D$3:$D$7,,1)*SUM(E324:F324), XLOOKUP(B324,Lookup!$A$14:$A$18,Lookup!$D$14:$D$18,,1)*SUM(E324:F324))</f>
        <v>5180</v>
      </c>
      <c r="H324" s="60">
        <f t="array" ref="H324">if(YEAR(A324)=2025,XLOOKUP(B324,Lookup!$F$3:$F$10,Lookup!$G$3:$G$10,,1)*G324, XLOOKUP(B324,Lookup!$F$14:$F$21,Lookup!$G$14:$G$21,,1)*G324)</f>
        <v>2100.49</v>
      </c>
      <c r="I324" s="60">
        <f t="array" ref="I324">if(B324&lt;55, if(YEAR(A324)=2025,XLOOKUP(B324,Lookup!$F$3:$F$10,Lookup!$H$3:$H$10,,1)*G324, XLOOKUP(B324,Lookup!$F$14:$F$21,Lookup!$H$14:$H$21,,1)*G324),0)</f>
        <v>1609.944</v>
      </c>
      <c r="J324" s="60">
        <f t="array" ref="J324">if(YEAR(A324)=2025,XLOOKUP(B324,Lookup!$F$3:$F$10,Lookup!$I$3:$I$10,,1)*G324, XLOOKUP(B324,Lookup!$F$14:$F$21,Lookup!$I$14:$I$21,,1)*G324)</f>
        <v>1469.566</v>
      </c>
      <c r="K324" s="60">
        <f t="array" ref="K324">if(B324&gt;54, if(YEAR(A324)=2025,XLOOKUP(B324,Lookup!$F$3:$F$10,Lookup!$H$3:$H$10,,1)*G324, XLOOKUP(B324,Lookup!$F$14:$F$21,Lookup!$H$14:$H$21,,1)*G324),0)</f>
        <v>1609.944</v>
      </c>
      <c r="L324" s="62">
        <f>IF(and(A324&lt;questions!$C$19,questions!$C$18="yes"),questions!$C$20,0)</f>
        <v>0</v>
      </c>
      <c r="M324" s="63">
        <f>(Y323+H324)*Lookup!A$26/12</f>
        <v>1226.211441</v>
      </c>
      <c r="N324" s="63">
        <f>if(B324&lt;55, (Z323+I324)*Lookup!B$26/12, (AB323+K324)*Lookup!B$26/12)</f>
        <v>1784.348029</v>
      </c>
      <c r="O324" s="63">
        <f>(AA323+J324)*Lookup!C$26/12</f>
        <v>649.0009738</v>
      </c>
      <c r="P324" s="63">
        <f t="shared" si="8"/>
        <v>14528.86898</v>
      </c>
      <c r="Q324" s="63">
        <f t="shared" si="4"/>
        <v>21100.50907</v>
      </c>
      <c r="R324" s="63">
        <f t="shared" si="5"/>
        <v>7669.045429</v>
      </c>
      <c r="S324" s="64">
        <f t="shared" si="9"/>
        <v>16.66666667</v>
      </c>
      <c r="T324" s="64">
        <f t="shared" si="10"/>
        <v>33.33333333</v>
      </c>
      <c r="U324" s="64">
        <f t="shared" si="11"/>
        <v>0</v>
      </c>
      <c r="V324" s="64">
        <f t="shared" ref="V324:X324" si="332">IF(year($A324)=year($A323), V323+S324, S324)</f>
        <v>200</v>
      </c>
      <c r="W324" s="64">
        <f t="shared" si="332"/>
        <v>400</v>
      </c>
      <c r="X324" s="64">
        <f t="shared" si="332"/>
        <v>0</v>
      </c>
      <c r="Y324" s="65">
        <f>IFS(
  B324&lt;55,
    MAX(
      Y323 + IF(MONTH(A324)=12, P324+V324, 0) + H324 - L324
      + MAX(0,
          IF(AA323 &gt;= VLOOKUP(YEAR(A324), Lookup!$Q:$R, 2),
            Z323 + IF(MONTH(A324)=12, Q324+W324, 0) + I324
              + AA323 + IF(MONTH(A324)=12, R324+X324, 0)
              - VLOOKUP(YEAR(A324), Lookup!$Q:$R, 2) + J324,
            Z323 + IF(MONTH(A324)=12, Q324+W324, 0) + I324
          ) - VLOOKUP(YEAR(A324), Lookup!$K:$M, 3)
        ),
    0),
  B324=55,
    IF(Z323&gt;=AD324,
      MAX(Y323 + IF(MONTH(A324)=12, P324+V324, 0) + H324 - L324, 0),
      MAX(MAX(0, Y323-(AD324-Z323)) + IF(MONTH(A324)=12, P324+V324, 0) + H324 - L324, 0)
    ),
  B324&gt;55,
    IF(AB323&gt;=$AH$7,
      MAX(Y323 + IF(MONTH(A324)=12, P324+V324, 0) + H324 - L324 + K324 + Z323, 0),
      MAX(Y323 + IF(MONTH(A324)=12, P324+V324, 0) + H324 - L324, 0)
    )
)</f>
        <v>629961.3847</v>
      </c>
      <c r="Z324" s="65">
        <f>IFS(
  B324&lt;55,
    MIN(
      IF(AA323 &gt;= VLOOKUP(YEAR(A324), Lookup!$Q:$R, 2),
        Z323 + IF(MONTH(A324)=12, Q324+W324, 0) + I324
          + AA323 + IF(MONTH(A324)=12, R324+X324, 0) - VLOOKUP(YEAR(A324), Lookup!$Q:$R, 2) + J324,
        Z323 + IF(MONTH(A324)=12, Q324+W324, 0) + I324
      ),
      VLOOKUP(YEAR(A324), Lookup!$K:$M, 3)
    ),
  B324=55,
    IF(Z323 &gt;= AD324, Z323 - AD324, 0),
  B324&gt;55, 0
)</f>
        <v>539292.5054</v>
      </c>
      <c r="AA324" s="65">
        <f>IFS(
  B324&lt;65,
    IF(AA323+J324 &lt; VLOOKUP(YEAR(A324), Lookup!$Q:$R, 2),
      AA323 + IF(MONTH(A324)=12, R323+X323, 0) + J324,
      MIN(
        AA323 + IF(MONTH(A324)=12, R323+X323, 0) + J324 ,
        VLOOKUP(YEAR(A324), Lookup!$Q:$R, 2)
      )
    ),
  B324&gt;=65,
    IF(AA323+J324 &lt; VLOOKUP(questions!$C$5, Lookup!$Q:$R, 2),
      AA323 + IF(MONTH(A324)=12, R323+X323, 0) + J324 ,
      MIN(
        AA323 + IF(MONTH(A324)=12, R323+X323, 0) + J324,
        VLOOKUP(questions!$C$5, Lookup!$Q:$R, 2)
      )
    )
)</f>
        <v>193230.7261</v>
      </c>
      <c r="AB324" s="65">
        <f t="shared" si="13"/>
        <v>0</v>
      </c>
      <c r="AC324" s="66">
        <f t="array" ref="AC324">IFS(B324&lt;66, XLOOKUP(year(A324),Lookup!$K$13:$K1000,Lookup!$L$13:$L1000,"missing",,1),B324&gt;65,XLOOKUP(questions!$C$5,Lookup!$K$13:$K1000,Lookup!$L$13:$L1000,"missing",,1))</f>
        <v>269646.2527</v>
      </c>
      <c r="AD324" s="66">
        <f t="array" ref="AD324">IFS(B324&lt;66, XLOOKUP(year(A324),Lookup!$K$13:$K1000,Lookup!$M$13:$M1000,"missing",,1),B324&gt;65, XLOOKUP(questions!$C$5,Lookup!$K$13:$K1000,Lookup!$M$13:$M1000,"missing",,1))</f>
        <v>539292.5054</v>
      </c>
      <c r="AE324" s="66">
        <f t="array" ref="AE324">IFS(B324&lt;66, XLOOKUP(year(A324),Lookup!$K$13:$K1000,Lookup!$N$13:$N1000,"missing",,1),B324&gt;65,XLOOKUP(questions!$C$5,Lookup!$K$13:$K1000,Lookup!$N$13:$N1000,"missing",,1))</f>
        <v>1078585.011</v>
      </c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</row>
    <row r="325">
      <c r="A325" s="55">
        <f t="shared" si="7"/>
        <v>55915</v>
      </c>
      <c r="B325" s="56">
        <f>round(YEARFRAC(EOMONTH(questions!$C$3, 0),A325,1),2)</f>
        <v>54.17</v>
      </c>
      <c r="C325" s="57">
        <f>IF(B325&lt;questions!$C$6,if(MONTH(A325)=1,C324*(1+questions!$C$12),C324),0)</f>
        <v>22212.89006</v>
      </c>
      <c r="D325" s="58">
        <f>IF(MONTH(A325)=12,C325*questions!$C$11,0)</f>
        <v>0</v>
      </c>
      <c r="E325" s="59">
        <f t="shared" si="2"/>
        <v>8000</v>
      </c>
      <c r="F325" s="59">
        <f t="shared" si="3"/>
        <v>0</v>
      </c>
      <c r="G325" s="60">
        <f t="array" ref="G325">if(YEAR(A325)=2025,XLOOKUP(B325,Lookup!$A$3:$A$7,Lookup!$D$3:$D$7,,1)*SUM(E325:F325), XLOOKUP(B325,Lookup!$A$14:$A$18,Lookup!$D$14:$D$18,,1)*SUM(E325:F325))</f>
        <v>2960</v>
      </c>
      <c r="H325" s="60">
        <f t="array" ref="H325">if(YEAR(A325)=2025,XLOOKUP(B325,Lookup!$F$3:$F$10,Lookup!$G$3:$G$10,,1)*G325, XLOOKUP(B325,Lookup!$F$14:$F$21,Lookup!$G$14:$G$21,,1)*G325)</f>
        <v>1200.28</v>
      </c>
      <c r="I325" s="60">
        <f t="array" ref="I325">if(B325&lt;55, if(YEAR(A325)=2025,XLOOKUP(B325,Lookup!$F$3:$F$10,Lookup!$H$3:$H$10,,1)*G325, XLOOKUP(B325,Lookup!$F$14:$F$21,Lookup!$H$14:$H$21,,1)*G325),0)</f>
        <v>919.968</v>
      </c>
      <c r="J325" s="60">
        <f t="array" ref="J325">if(YEAR(A325)=2025,XLOOKUP(B325,Lookup!$F$3:$F$10,Lookup!$I$3:$I$10,,1)*G325, XLOOKUP(B325,Lookup!$F$14:$F$21,Lookup!$I$14:$I$21,,1)*G325)</f>
        <v>839.752</v>
      </c>
      <c r="K325" s="60">
        <f t="array" ref="K325">if(B325&gt;54, if(YEAR(A325)=2025,XLOOKUP(B325,Lookup!$F$3:$F$10,Lookup!$H$3:$H$10,,1)*G325, XLOOKUP(B325,Lookup!$F$14:$F$21,Lookup!$H$14:$H$21,,1)*G325),0)</f>
        <v>919.968</v>
      </c>
      <c r="L325" s="62">
        <f>IF(and(A325&lt;questions!$C$19,questions!$C$18="yes"),questions!$C$20,0)</f>
        <v>0</v>
      </c>
      <c r="M325" s="63">
        <f>(Y324+H325)*Lookup!A$26/12</f>
        <v>1314.920135</v>
      </c>
      <c r="N325" s="63">
        <f>if(B325&lt;55, (Z324+I325)*Lookup!B$26/12, (AB324+K325)*Lookup!B$26/12)</f>
        <v>1800.708245</v>
      </c>
      <c r="O325" s="63">
        <f>(AA324+J325)*Lookup!C$26/12</f>
        <v>646.9015938</v>
      </c>
      <c r="P325" s="63">
        <f t="shared" si="8"/>
        <v>1314.920135</v>
      </c>
      <c r="Q325" s="63">
        <f t="shared" si="4"/>
        <v>1800.708245</v>
      </c>
      <c r="R325" s="63">
        <f t="shared" si="5"/>
        <v>646.9015938</v>
      </c>
      <c r="S325" s="64">
        <f t="shared" si="9"/>
        <v>16.66666667</v>
      </c>
      <c r="T325" s="64">
        <f t="shared" si="10"/>
        <v>33.33333333</v>
      </c>
      <c r="U325" s="64">
        <f t="shared" si="11"/>
        <v>0</v>
      </c>
      <c r="V325" s="64">
        <f t="shared" ref="V325:X325" si="333">IF(year($A325)=year($A324), V324+S325, S325)</f>
        <v>16.66666667</v>
      </c>
      <c r="W325" s="64">
        <f t="shared" si="333"/>
        <v>33.33333333</v>
      </c>
      <c r="X325" s="64">
        <f t="shared" si="333"/>
        <v>0</v>
      </c>
      <c r="Y325" s="65">
        <f>IFS(
  B325&lt;55,
    MAX(
      Y324 + IF(MONTH(A325)=12, P325+V325, 0) + H325 - L325
      + MAX(0,
          IF(AA324 &gt;= VLOOKUP(YEAR(A325), Lookup!$Q:$R, 2),
            Z324 + IF(MONTH(A325)=12, Q325+W325, 0) + I325
              + AA324 + IF(MONTH(A325)=12, R325+X325, 0)
              - VLOOKUP(YEAR(A325), Lookup!$Q:$R, 2) + J325,
            Z324 + IF(MONTH(A325)=12, Q325+W325, 0) + I325
          ) - VLOOKUP(YEAR(A325), Lookup!$K:$M, 3)
        ),
    0),
  B325=55,
    IF(Z324&gt;=AD325,
      MAX(Y324 + IF(MONTH(A325)=12, P325+V325, 0) + H325 - L325, 0),
      MAX(MAX(0, Y324-(AD325-Z324)) + IF(MONTH(A325)=12, P325+V325, 0) + H325 - L325, 0)
    ),
  B325&gt;55,
    IF(AB324&gt;=$AH$7,
      MAX(Y324 + IF(MONTH(A325)=12, P325+V325, 0) + H325 - L325 + K325 + Z324, 0),
      MAX(Y324 + IF(MONTH(A325)=12, P325+V325, 0) + H325 - L325, 0)
    )
)</f>
        <v>631161.6647</v>
      </c>
      <c r="Z325" s="65">
        <f>IFS(
  B325&lt;55,
    MIN(
      IF(AA324 &gt;= VLOOKUP(YEAR(A325), Lookup!$Q:$R, 2),
        Z324 + IF(MONTH(A325)=12, Q325+W325, 0) + I325
          + AA324 + IF(MONTH(A325)=12, R325+X325, 0) - VLOOKUP(YEAR(A325), Lookup!$Q:$R, 2) + J325,
        Z324 + IF(MONTH(A325)=12, Q325+W325, 0) + I325
      ),
      VLOOKUP(YEAR(A325), Lookup!$K:$M, 3)
    ),
  B325=55,
    IF(Z324 &gt;= AD325, Z324 - AD325, 0),
  B325&gt;55, 0
)</f>
        <v>540212.4734</v>
      </c>
      <c r="AA325" s="65">
        <f>IFS(
  B325&lt;65,
    IF(AA324+J325 &lt; VLOOKUP(YEAR(A325), Lookup!$Q:$R, 2),
      AA324 + IF(MONTH(A325)=12, R324+X324, 0) + J325,
      MIN(
        AA324 + IF(MONTH(A325)=12, R324+X324, 0) + J325 ,
        VLOOKUP(YEAR(A325), Lookup!$Q:$R, 2)
      )
    ),
  B325&gt;=65,
    IF(AA324+J325 &lt; VLOOKUP(questions!$C$5, Lookup!$Q:$R, 2),
      AA324 + IF(MONTH(A325)=12, R324+X324, 0) + J325 ,
      MIN(
        AA324 + IF(MONTH(A325)=12, R324+X324, 0) + J325,
        VLOOKUP(questions!$C$5, Lookup!$Q:$R, 2)
      )
    )
)</f>
        <v>194070.4781</v>
      </c>
      <c r="AB325" s="65">
        <f t="shared" si="13"/>
        <v>0</v>
      </c>
      <c r="AC325" s="66">
        <f t="array" ref="AC325">IFS(B325&lt;66, XLOOKUP(year(A325),Lookup!$K$13:$K1000,Lookup!$L$13:$L1000,"missing",,1),B325&gt;65,XLOOKUP(questions!$C$5,Lookup!$K$13:$K1000,Lookup!$L$13:$L1000,"missing",,1))</f>
        <v>279083.8715</v>
      </c>
      <c r="AD325" s="66">
        <f t="array" ref="AD325">IFS(B325&lt;66, XLOOKUP(year(A325),Lookup!$K$13:$K1000,Lookup!$M$13:$M1000,"missing",,1),B325&gt;65, XLOOKUP(questions!$C$5,Lookup!$K$13:$K1000,Lookup!$M$13:$M1000,"missing",,1))</f>
        <v>558167.7431</v>
      </c>
      <c r="AE325" s="66">
        <f t="array" ref="AE325">IFS(B325&lt;66, XLOOKUP(year(A325),Lookup!$K$13:$K1000,Lookup!$N$13:$N1000,"missing",,1),B325&gt;65,XLOOKUP(questions!$C$5,Lookup!$K$13:$K1000,Lookup!$N$13:$N1000,"missing",,1))</f>
        <v>1116335.486</v>
      </c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</row>
    <row r="326">
      <c r="A326" s="55">
        <f t="shared" si="7"/>
        <v>55943</v>
      </c>
      <c r="B326" s="56">
        <f>round(YEARFRAC(EOMONTH(questions!$C$3, 0),A326,1),2)</f>
        <v>54.25</v>
      </c>
      <c r="C326" s="57">
        <f>IF(B326&lt;questions!$C$6,if(MONTH(A326)=1,C325*(1+questions!$C$12),C325),0)</f>
        <v>22212.89006</v>
      </c>
      <c r="D326" s="58">
        <f>IF(MONTH(A326)=12,C326*questions!$C$11,0)</f>
        <v>0</v>
      </c>
      <c r="E326" s="59">
        <f t="shared" si="2"/>
        <v>8000</v>
      </c>
      <c r="F326" s="59">
        <f t="shared" si="3"/>
        <v>0</v>
      </c>
      <c r="G326" s="60">
        <f t="array" ref="G326">if(YEAR(A326)=2025,XLOOKUP(B326,Lookup!$A$3:$A$7,Lookup!$D$3:$D$7,,1)*SUM(E326:F326), XLOOKUP(B326,Lookup!$A$14:$A$18,Lookup!$D$14:$D$18,,1)*SUM(E326:F326))</f>
        <v>2960</v>
      </c>
      <c r="H326" s="60">
        <f t="array" ref="H326">if(YEAR(A326)=2025,XLOOKUP(B326,Lookup!$F$3:$F$10,Lookup!$G$3:$G$10,,1)*G326, XLOOKUP(B326,Lookup!$F$14:$F$21,Lookup!$G$14:$G$21,,1)*G326)</f>
        <v>1200.28</v>
      </c>
      <c r="I326" s="60">
        <f t="array" ref="I326">if(B326&lt;55, if(YEAR(A326)=2025,XLOOKUP(B326,Lookup!$F$3:$F$10,Lookup!$H$3:$H$10,,1)*G326, XLOOKUP(B326,Lookup!$F$14:$F$21,Lookup!$H$14:$H$21,,1)*G326),0)</f>
        <v>919.968</v>
      </c>
      <c r="J326" s="60">
        <f t="array" ref="J326">if(YEAR(A326)=2025,XLOOKUP(B326,Lookup!$F$3:$F$10,Lookup!$I$3:$I$10,,1)*G326, XLOOKUP(B326,Lookup!$F$14:$F$21,Lookup!$I$14:$I$21,,1)*G326)</f>
        <v>839.752</v>
      </c>
      <c r="K326" s="60">
        <f t="array" ref="K326">if(B326&gt;54, if(YEAR(A326)=2025,XLOOKUP(B326,Lookup!$F$3:$F$10,Lookup!$H$3:$H$10,,1)*G326, XLOOKUP(B326,Lookup!$F$14:$F$21,Lookup!$H$14:$H$21,,1)*G326),0)</f>
        <v>919.968</v>
      </c>
      <c r="L326" s="62">
        <f>IF(and(A326&lt;questions!$C$19,questions!$C$18="yes"),questions!$C$20,0)</f>
        <v>0</v>
      </c>
      <c r="M326" s="63">
        <f>(Y325+H326)*Lookup!A$26/12</f>
        <v>1317.420718</v>
      </c>
      <c r="N326" s="63">
        <f>if(B326&lt;55, (Z325+I326)*Lookup!B$26/12, (AB325+K326)*Lookup!B$26/12)</f>
        <v>1803.774805</v>
      </c>
      <c r="O326" s="63">
        <f>(AA325+J326)*Lookup!C$26/12</f>
        <v>649.7007671</v>
      </c>
      <c r="P326" s="63">
        <f t="shared" si="8"/>
        <v>2632.340853</v>
      </c>
      <c r="Q326" s="63">
        <f t="shared" si="4"/>
        <v>3604.483049</v>
      </c>
      <c r="R326" s="63">
        <f t="shared" si="5"/>
        <v>1296.602361</v>
      </c>
      <c r="S326" s="64">
        <f t="shared" si="9"/>
        <v>16.66666667</v>
      </c>
      <c r="T326" s="64">
        <f t="shared" si="10"/>
        <v>33.33333333</v>
      </c>
      <c r="U326" s="64">
        <f t="shared" si="11"/>
        <v>0</v>
      </c>
      <c r="V326" s="64">
        <f t="shared" ref="V326:X326" si="334">IF(year($A326)=year($A325), V325+S326, S326)</f>
        <v>33.33333333</v>
      </c>
      <c r="W326" s="64">
        <f t="shared" si="334"/>
        <v>66.66666667</v>
      </c>
      <c r="X326" s="64">
        <f t="shared" si="334"/>
        <v>0</v>
      </c>
      <c r="Y326" s="65">
        <f>IFS(
  B326&lt;55,
    MAX(
      Y325 + IF(MONTH(A326)=12, P326+V326, 0) + H326 - L326
      + MAX(0,
          IF(AA325 &gt;= VLOOKUP(YEAR(A326), Lookup!$Q:$R, 2),
            Z325 + IF(MONTH(A326)=12, Q326+W326, 0) + I326
              + AA325 + IF(MONTH(A326)=12, R326+X326, 0)
              - VLOOKUP(YEAR(A326), Lookup!$Q:$R, 2) + J326,
            Z325 + IF(MONTH(A326)=12, Q326+W326, 0) + I326
          ) - VLOOKUP(YEAR(A326), Lookup!$K:$M, 3)
        ),
    0),
  B326=55,
    IF(Z325&gt;=AD326,
      MAX(Y325 + IF(MONTH(A326)=12, P326+V326, 0) + H326 - L326, 0),
      MAX(MAX(0, Y325-(AD326-Z325)) + IF(MONTH(A326)=12, P326+V326, 0) + H326 - L326, 0)
    ),
  B326&gt;55,
    IF(AB325&gt;=$AH$7,
      MAX(Y325 + IF(MONTH(A326)=12, P326+V326, 0) + H326 - L326 + K326 + Z325, 0),
      MAX(Y325 + IF(MONTH(A326)=12, P326+V326, 0) + H326 - L326, 0)
    )
)</f>
        <v>632361.9447</v>
      </c>
      <c r="Z326" s="65">
        <f>IFS(
  B326&lt;55,
    MIN(
      IF(AA325 &gt;= VLOOKUP(YEAR(A326), Lookup!$Q:$R, 2),
        Z325 + IF(MONTH(A326)=12, Q326+W326, 0) + I326
          + AA325 + IF(MONTH(A326)=12, R326+X326, 0) - VLOOKUP(YEAR(A326), Lookup!$Q:$R, 2) + J326,
        Z325 + IF(MONTH(A326)=12, Q326+W326, 0) + I326
      ),
      VLOOKUP(YEAR(A326), Lookup!$K:$M, 3)
    ),
  B326=55,
    IF(Z325 &gt;= AD326, Z325 - AD326, 0),
  B326&gt;55, 0
)</f>
        <v>541132.4414</v>
      </c>
      <c r="AA326" s="65">
        <f>IFS(
  B326&lt;65,
    IF(AA325+J326 &lt; VLOOKUP(YEAR(A326), Lookup!$Q:$R, 2),
      AA325 + IF(MONTH(A326)=12, R325+X325, 0) + J326,
      MIN(
        AA325 + IF(MONTH(A326)=12, R325+X325, 0) + J326 ,
        VLOOKUP(YEAR(A326), Lookup!$Q:$R, 2)
      )
    ),
  B326&gt;=65,
    IF(AA325+J326 &lt; VLOOKUP(questions!$C$5, Lookup!$Q:$R, 2),
      AA325 + IF(MONTH(A326)=12, R325+X325, 0) + J326 ,
      MIN(
        AA325 + IF(MONTH(A326)=12, R325+X325, 0) + J326,
        VLOOKUP(questions!$C$5, Lookup!$Q:$R, 2)
      )
    )
)</f>
        <v>194910.2301</v>
      </c>
      <c r="AB326" s="65">
        <f t="shared" si="13"/>
        <v>0</v>
      </c>
      <c r="AC326" s="66">
        <f t="array" ref="AC326">IFS(B326&lt;66, XLOOKUP(year(A326),Lookup!$K$13:$K1000,Lookup!$L$13:$L1000,"missing",,1),B326&gt;65,XLOOKUP(questions!$C$5,Lookup!$K$13:$K1000,Lookup!$L$13:$L1000,"missing",,1))</f>
        <v>279083.8715</v>
      </c>
      <c r="AD326" s="66">
        <f t="array" ref="AD326">IFS(B326&lt;66, XLOOKUP(year(A326),Lookup!$K$13:$K1000,Lookup!$M$13:$M1000,"missing",,1),B326&gt;65, XLOOKUP(questions!$C$5,Lookup!$K$13:$K1000,Lookup!$M$13:$M1000,"missing",,1))</f>
        <v>558167.7431</v>
      </c>
      <c r="AE326" s="66">
        <f t="array" ref="AE326">IFS(B326&lt;66, XLOOKUP(year(A326),Lookup!$K$13:$K1000,Lookup!$N$13:$N1000,"missing",,1),B326&gt;65,XLOOKUP(questions!$C$5,Lookup!$K$13:$K1000,Lookup!$N$13:$N1000,"missing",,1))</f>
        <v>1116335.486</v>
      </c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</row>
    <row r="327">
      <c r="A327" s="55">
        <f t="shared" si="7"/>
        <v>55974</v>
      </c>
      <c r="B327" s="56">
        <f>round(YEARFRAC(EOMONTH(questions!$C$3, 0),A327,1),2)</f>
        <v>54.33</v>
      </c>
      <c r="C327" s="57">
        <f>IF(B327&lt;questions!$C$6,if(MONTH(A327)=1,C326*(1+questions!$C$12),C326),0)</f>
        <v>22212.89006</v>
      </c>
      <c r="D327" s="58">
        <f>IF(MONTH(A327)=12,C327*questions!$C$11,0)</f>
        <v>0</v>
      </c>
      <c r="E327" s="59">
        <f t="shared" si="2"/>
        <v>8000</v>
      </c>
      <c r="F327" s="59">
        <f t="shared" si="3"/>
        <v>0</v>
      </c>
      <c r="G327" s="60">
        <f t="array" ref="G327">if(YEAR(A327)=2025,XLOOKUP(B327,Lookup!$A$3:$A$7,Lookup!$D$3:$D$7,,1)*SUM(E327:F327), XLOOKUP(B327,Lookup!$A$14:$A$18,Lookup!$D$14:$D$18,,1)*SUM(E327:F327))</f>
        <v>2960</v>
      </c>
      <c r="H327" s="60">
        <f t="array" ref="H327">if(YEAR(A327)=2025,XLOOKUP(B327,Lookup!$F$3:$F$10,Lookup!$G$3:$G$10,,1)*G327, XLOOKUP(B327,Lookup!$F$14:$F$21,Lookup!$G$14:$G$21,,1)*G327)</f>
        <v>1200.28</v>
      </c>
      <c r="I327" s="60">
        <f t="array" ref="I327">if(B327&lt;55, if(YEAR(A327)=2025,XLOOKUP(B327,Lookup!$F$3:$F$10,Lookup!$H$3:$H$10,,1)*G327, XLOOKUP(B327,Lookup!$F$14:$F$21,Lookup!$H$14:$H$21,,1)*G327),0)</f>
        <v>919.968</v>
      </c>
      <c r="J327" s="60">
        <f t="array" ref="J327">if(YEAR(A327)=2025,XLOOKUP(B327,Lookup!$F$3:$F$10,Lookup!$I$3:$I$10,,1)*G327, XLOOKUP(B327,Lookup!$F$14:$F$21,Lookup!$I$14:$I$21,,1)*G327)</f>
        <v>839.752</v>
      </c>
      <c r="K327" s="60">
        <f t="array" ref="K327">if(B327&gt;54, if(YEAR(A327)=2025,XLOOKUP(B327,Lookup!$F$3:$F$10,Lookup!$H$3:$H$10,,1)*G327, XLOOKUP(B327,Lookup!$F$14:$F$21,Lookup!$H$14:$H$21,,1)*G327),0)</f>
        <v>919.968</v>
      </c>
      <c r="L327" s="62">
        <f>IF(and(A327&lt;questions!$C$19,questions!$C$18="yes"),questions!$C$20,0)</f>
        <v>0</v>
      </c>
      <c r="M327" s="63">
        <f>(Y326+H327)*Lookup!A$26/12</f>
        <v>1319.921301</v>
      </c>
      <c r="N327" s="63">
        <f>if(B327&lt;55, (Z326+I327)*Lookup!B$26/12, (AB326+K327)*Lookup!B$26/12)</f>
        <v>1806.841365</v>
      </c>
      <c r="O327" s="63">
        <f>(AA326+J327)*Lookup!C$26/12</f>
        <v>652.4999405</v>
      </c>
      <c r="P327" s="63">
        <f t="shared" si="8"/>
        <v>3952.262154</v>
      </c>
      <c r="Q327" s="63">
        <f t="shared" si="4"/>
        <v>5411.324414</v>
      </c>
      <c r="R327" s="63">
        <f t="shared" si="5"/>
        <v>1949.102301</v>
      </c>
      <c r="S327" s="64">
        <f t="shared" si="9"/>
        <v>16.66666667</v>
      </c>
      <c r="T327" s="64">
        <f t="shared" si="10"/>
        <v>33.33333333</v>
      </c>
      <c r="U327" s="64">
        <f t="shared" si="11"/>
        <v>0</v>
      </c>
      <c r="V327" s="64">
        <f t="shared" ref="V327:X327" si="335">IF(year($A327)=year($A326), V326+S327, S327)</f>
        <v>50</v>
      </c>
      <c r="W327" s="64">
        <f t="shared" si="335"/>
        <v>100</v>
      </c>
      <c r="X327" s="64">
        <f t="shared" si="335"/>
        <v>0</v>
      </c>
      <c r="Y327" s="65">
        <f>IFS(
  B327&lt;55,
    MAX(
      Y326 + IF(MONTH(A327)=12, P327+V327, 0) + H327 - L327
      + MAX(0,
          IF(AA326 &gt;= VLOOKUP(YEAR(A327), Lookup!$Q:$R, 2),
            Z326 + IF(MONTH(A327)=12, Q327+W327, 0) + I327
              + AA326 + IF(MONTH(A327)=12, R327+X327, 0)
              - VLOOKUP(YEAR(A327), Lookup!$Q:$R, 2) + J327,
            Z326 + IF(MONTH(A327)=12, Q327+W327, 0) + I327
          ) - VLOOKUP(YEAR(A327), Lookup!$K:$M, 3)
        ),
    0),
  B327=55,
    IF(Z326&gt;=AD327,
      MAX(Y326 + IF(MONTH(A327)=12, P327+V327, 0) + H327 - L327, 0),
      MAX(MAX(0, Y326-(AD327-Z326)) + IF(MONTH(A327)=12, P327+V327, 0) + H327 - L327, 0)
    ),
  B327&gt;55,
    IF(AB326&gt;=$AH$7,
      MAX(Y326 + IF(MONTH(A327)=12, P327+V327, 0) + H327 - L327 + K327 + Z326, 0),
      MAX(Y326 + IF(MONTH(A327)=12, P327+V327, 0) + H327 - L327, 0)
    )
)</f>
        <v>633562.2247</v>
      </c>
      <c r="Z327" s="65">
        <f>IFS(
  B327&lt;55,
    MIN(
      IF(AA326 &gt;= VLOOKUP(YEAR(A327), Lookup!$Q:$R, 2),
        Z326 + IF(MONTH(A327)=12, Q327+W327, 0) + I327
          + AA326 + IF(MONTH(A327)=12, R327+X327, 0) - VLOOKUP(YEAR(A327), Lookup!$Q:$R, 2) + J327,
        Z326 + IF(MONTH(A327)=12, Q327+W327, 0) + I327
      ),
      VLOOKUP(YEAR(A327), Lookup!$K:$M, 3)
    ),
  B327=55,
    IF(Z326 &gt;= AD327, Z326 - AD327, 0),
  B327&gt;55, 0
)</f>
        <v>542052.4094</v>
      </c>
      <c r="AA327" s="65">
        <f>IFS(
  B327&lt;65,
    IF(AA326+J327 &lt; VLOOKUP(YEAR(A327), Lookup!$Q:$R, 2),
      AA326 + IF(MONTH(A327)=12, R326+X326, 0) + J327,
      MIN(
        AA326 + IF(MONTH(A327)=12, R326+X326, 0) + J327 ,
        VLOOKUP(YEAR(A327), Lookup!$Q:$R, 2)
      )
    ),
  B327&gt;=65,
    IF(AA326+J327 &lt; VLOOKUP(questions!$C$5, Lookup!$Q:$R, 2),
      AA326 + IF(MONTH(A327)=12, R326+X326, 0) + J327 ,
      MIN(
        AA326 + IF(MONTH(A327)=12, R326+X326, 0) + J327,
        VLOOKUP(questions!$C$5, Lookup!$Q:$R, 2)
      )
    )
)</f>
        <v>195749.9821</v>
      </c>
      <c r="AB327" s="65">
        <f t="shared" si="13"/>
        <v>0</v>
      </c>
      <c r="AC327" s="66">
        <f t="array" ref="AC327">IFS(B327&lt;66, XLOOKUP(year(A327),Lookup!$K$13:$K1000,Lookup!$L$13:$L1000,"missing",,1),B327&gt;65,XLOOKUP(questions!$C$5,Lookup!$K$13:$K1000,Lookup!$L$13:$L1000,"missing",,1))</f>
        <v>279083.8715</v>
      </c>
      <c r="AD327" s="66">
        <f t="array" ref="AD327">IFS(B327&lt;66, XLOOKUP(year(A327),Lookup!$K$13:$K1000,Lookup!$M$13:$M1000,"missing",,1),B327&gt;65, XLOOKUP(questions!$C$5,Lookup!$K$13:$K1000,Lookup!$M$13:$M1000,"missing",,1))</f>
        <v>558167.7431</v>
      </c>
      <c r="AE327" s="66">
        <f t="array" ref="AE327">IFS(B327&lt;66, XLOOKUP(year(A327),Lookup!$K$13:$K1000,Lookup!$N$13:$N1000,"missing",,1),B327&gt;65,XLOOKUP(questions!$C$5,Lookup!$K$13:$K1000,Lookup!$N$13:$N1000,"missing",,1))</f>
        <v>1116335.486</v>
      </c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</row>
    <row r="328">
      <c r="A328" s="55">
        <f t="shared" si="7"/>
        <v>56004</v>
      </c>
      <c r="B328" s="56">
        <f>round(YEARFRAC(EOMONTH(questions!$C$3, 0),A328,1),2)</f>
        <v>54.41</v>
      </c>
      <c r="C328" s="57">
        <f>IF(B328&lt;questions!$C$6,if(MONTH(A328)=1,C327*(1+questions!$C$12),C327),0)</f>
        <v>22212.89006</v>
      </c>
      <c r="D328" s="58">
        <f>IF(MONTH(A328)=12,C328*questions!$C$11,0)</f>
        <v>0</v>
      </c>
      <c r="E328" s="59">
        <f t="shared" si="2"/>
        <v>8000</v>
      </c>
      <c r="F328" s="59">
        <f t="shared" si="3"/>
        <v>0</v>
      </c>
      <c r="G328" s="60">
        <f t="array" ref="G328">if(YEAR(A328)=2025,XLOOKUP(B328,Lookup!$A$3:$A$7,Lookup!$D$3:$D$7,,1)*SUM(E328:F328), XLOOKUP(B328,Lookup!$A$14:$A$18,Lookup!$D$14:$D$18,,1)*SUM(E328:F328))</f>
        <v>2960</v>
      </c>
      <c r="H328" s="60">
        <f t="array" ref="H328">if(YEAR(A328)=2025,XLOOKUP(B328,Lookup!$F$3:$F$10,Lookup!$G$3:$G$10,,1)*G328, XLOOKUP(B328,Lookup!$F$14:$F$21,Lookup!$G$14:$G$21,,1)*G328)</f>
        <v>1200.28</v>
      </c>
      <c r="I328" s="60">
        <f t="array" ref="I328">if(B328&lt;55, if(YEAR(A328)=2025,XLOOKUP(B328,Lookup!$F$3:$F$10,Lookup!$H$3:$H$10,,1)*G328, XLOOKUP(B328,Lookup!$F$14:$F$21,Lookup!$H$14:$H$21,,1)*G328),0)</f>
        <v>919.968</v>
      </c>
      <c r="J328" s="60">
        <f t="array" ref="J328">if(YEAR(A328)=2025,XLOOKUP(B328,Lookup!$F$3:$F$10,Lookup!$I$3:$I$10,,1)*G328, XLOOKUP(B328,Lookup!$F$14:$F$21,Lookup!$I$14:$I$21,,1)*G328)</f>
        <v>839.752</v>
      </c>
      <c r="K328" s="60">
        <f t="array" ref="K328">if(B328&gt;54, if(YEAR(A328)=2025,XLOOKUP(B328,Lookup!$F$3:$F$10,Lookup!$H$3:$H$10,,1)*G328, XLOOKUP(B328,Lookup!$F$14:$F$21,Lookup!$H$14:$H$21,,1)*G328),0)</f>
        <v>919.968</v>
      </c>
      <c r="L328" s="62">
        <f>IF(and(A328&lt;questions!$C$19,questions!$C$18="yes"),questions!$C$20,0)</f>
        <v>0</v>
      </c>
      <c r="M328" s="63">
        <f>(Y327+H328)*Lookup!A$26/12</f>
        <v>1322.421885</v>
      </c>
      <c r="N328" s="63">
        <f>if(B328&lt;55, (Z327+I328)*Lookup!B$26/12, (AB327+K328)*Lookup!B$26/12)</f>
        <v>1809.907925</v>
      </c>
      <c r="O328" s="63">
        <f>(AA327+J328)*Lookup!C$26/12</f>
        <v>655.2991138</v>
      </c>
      <c r="P328" s="63">
        <f t="shared" si="8"/>
        <v>5274.684039</v>
      </c>
      <c r="Q328" s="63">
        <f t="shared" si="4"/>
        <v>7221.232339</v>
      </c>
      <c r="R328" s="63">
        <f t="shared" si="5"/>
        <v>2604.401415</v>
      </c>
      <c r="S328" s="64">
        <f t="shared" si="9"/>
        <v>16.66666667</v>
      </c>
      <c r="T328" s="64">
        <f t="shared" si="10"/>
        <v>33.33333333</v>
      </c>
      <c r="U328" s="64">
        <f t="shared" si="11"/>
        <v>0</v>
      </c>
      <c r="V328" s="64">
        <f t="shared" ref="V328:X328" si="336">IF(year($A328)=year($A327), V327+S328, S328)</f>
        <v>66.66666667</v>
      </c>
      <c r="W328" s="64">
        <f t="shared" si="336"/>
        <v>133.3333333</v>
      </c>
      <c r="X328" s="64">
        <f t="shared" si="336"/>
        <v>0</v>
      </c>
      <c r="Y328" s="65">
        <f>IFS(
  B328&lt;55,
    MAX(
      Y327 + IF(MONTH(A328)=12, P328+V328, 0) + H328 - L328
      + MAX(0,
          IF(AA327 &gt;= VLOOKUP(YEAR(A328), Lookup!$Q:$R, 2),
            Z327 + IF(MONTH(A328)=12, Q328+W328, 0) + I328
              + AA327 + IF(MONTH(A328)=12, R328+X328, 0)
              - VLOOKUP(YEAR(A328), Lookup!$Q:$R, 2) + J328,
            Z327 + IF(MONTH(A328)=12, Q328+W328, 0) + I328
          ) - VLOOKUP(YEAR(A328), Lookup!$K:$M, 3)
        ),
    0),
  B328=55,
    IF(Z327&gt;=AD328,
      MAX(Y327 + IF(MONTH(A328)=12, P328+V328, 0) + H328 - L328, 0),
      MAX(MAX(0, Y327-(AD328-Z327)) + IF(MONTH(A328)=12, P328+V328, 0) + H328 - L328, 0)
    ),
  B328&gt;55,
    IF(AB327&gt;=$AH$7,
      MAX(Y327 + IF(MONTH(A328)=12, P328+V328, 0) + H328 - L328 + K328 + Z327, 0),
      MAX(Y327 + IF(MONTH(A328)=12, P328+V328, 0) + H328 - L328, 0)
    )
)</f>
        <v>634762.5047</v>
      </c>
      <c r="Z328" s="65">
        <f>IFS(
  B328&lt;55,
    MIN(
      IF(AA327 &gt;= VLOOKUP(YEAR(A328), Lookup!$Q:$R, 2),
        Z327 + IF(MONTH(A328)=12, Q328+W328, 0) + I328
          + AA327 + IF(MONTH(A328)=12, R328+X328, 0) - VLOOKUP(YEAR(A328), Lookup!$Q:$R, 2) + J328,
        Z327 + IF(MONTH(A328)=12, Q328+W328, 0) + I328
      ),
      VLOOKUP(YEAR(A328), Lookup!$K:$M, 3)
    ),
  B328=55,
    IF(Z327 &gt;= AD328, Z327 - AD328, 0),
  B328&gt;55, 0
)</f>
        <v>542972.3774</v>
      </c>
      <c r="AA328" s="65">
        <f>IFS(
  B328&lt;65,
    IF(AA327+J328 &lt; VLOOKUP(YEAR(A328), Lookup!$Q:$R, 2),
      AA327 + IF(MONTH(A328)=12, R327+X327, 0) + J328,
      MIN(
        AA327 + IF(MONTH(A328)=12, R327+X327, 0) + J328 ,
        VLOOKUP(YEAR(A328), Lookup!$Q:$R, 2)
      )
    ),
  B328&gt;=65,
    IF(AA327+J328 &lt; VLOOKUP(questions!$C$5, Lookup!$Q:$R, 2),
      AA327 + IF(MONTH(A328)=12, R327+X327, 0) + J328 ,
      MIN(
        AA327 + IF(MONTH(A328)=12, R327+X327, 0) + J328,
        VLOOKUP(questions!$C$5, Lookup!$Q:$R, 2)
      )
    )
)</f>
        <v>196589.7341</v>
      </c>
      <c r="AB328" s="65">
        <f t="shared" si="13"/>
        <v>0</v>
      </c>
      <c r="AC328" s="66">
        <f t="array" ref="AC328">IFS(B328&lt;66, XLOOKUP(year(A328),Lookup!$K$13:$K1000,Lookup!$L$13:$L1000,"missing",,1),B328&gt;65,XLOOKUP(questions!$C$5,Lookup!$K$13:$K1000,Lookup!$L$13:$L1000,"missing",,1))</f>
        <v>279083.8715</v>
      </c>
      <c r="AD328" s="66">
        <f t="array" ref="AD328">IFS(B328&lt;66, XLOOKUP(year(A328),Lookup!$K$13:$K1000,Lookup!$M$13:$M1000,"missing",,1),B328&gt;65, XLOOKUP(questions!$C$5,Lookup!$K$13:$K1000,Lookup!$M$13:$M1000,"missing",,1))</f>
        <v>558167.7431</v>
      </c>
      <c r="AE328" s="66">
        <f t="array" ref="AE328">IFS(B328&lt;66, XLOOKUP(year(A328),Lookup!$K$13:$K1000,Lookup!$N$13:$N1000,"missing",,1),B328&gt;65,XLOOKUP(questions!$C$5,Lookup!$K$13:$K1000,Lookup!$N$13:$N1000,"missing",,1))</f>
        <v>1116335.486</v>
      </c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</row>
    <row r="329">
      <c r="A329" s="55">
        <f t="shared" si="7"/>
        <v>56035</v>
      </c>
      <c r="B329" s="56">
        <f>round(YEARFRAC(EOMONTH(questions!$C$3, 0),A329,1),2)</f>
        <v>54.5</v>
      </c>
      <c r="C329" s="57">
        <f>IF(B329&lt;questions!$C$6,if(MONTH(A329)=1,C328*(1+questions!$C$12),C328),0)</f>
        <v>22212.89006</v>
      </c>
      <c r="D329" s="58">
        <f>IF(MONTH(A329)=12,C329*questions!$C$11,0)</f>
        <v>0</v>
      </c>
      <c r="E329" s="59">
        <f t="shared" si="2"/>
        <v>8000</v>
      </c>
      <c r="F329" s="59">
        <f t="shared" si="3"/>
        <v>0</v>
      </c>
      <c r="G329" s="60">
        <f t="array" ref="G329">if(YEAR(A329)=2025,XLOOKUP(B329,Lookup!$A$3:$A$7,Lookup!$D$3:$D$7,,1)*SUM(E329:F329), XLOOKUP(B329,Lookup!$A$14:$A$18,Lookup!$D$14:$D$18,,1)*SUM(E329:F329))</f>
        <v>2960</v>
      </c>
      <c r="H329" s="60">
        <f t="array" ref="H329">if(YEAR(A329)=2025,XLOOKUP(B329,Lookup!$F$3:$F$10,Lookup!$G$3:$G$10,,1)*G329, XLOOKUP(B329,Lookup!$F$14:$F$21,Lookup!$G$14:$G$21,,1)*G329)</f>
        <v>1200.28</v>
      </c>
      <c r="I329" s="60">
        <f t="array" ref="I329">if(B329&lt;55, if(YEAR(A329)=2025,XLOOKUP(B329,Lookup!$F$3:$F$10,Lookup!$H$3:$H$10,,1)*G329, XLOOKUP(B329,Lookup!$F$14:$F$21,Lookup!$H$14:$H$21,,1)*G329),0)</f>
        <v>919.968</v>
      </c>
      <c r="J329" s="60">
        <f t="array" ref="J329">if(YEAR(A329)=2025,XLOOKUP(B329,Lookup!$F$3:$F$10,Lookup!$I$3:$I$10,,1)*G329, XLOOKUP(B329,Lookup!$F$14:$F$21,Lookup!$I$14:$I$21,,1)*G329)</f>
        <v>839.752</v>
      </c>
      <c r="K329" s="60">
        <f t="array" ref="K329">if(B329&gt;54, if(YEAR(A329)=2025,XLOOKUP(B329,Lookup!$F$3:$F$10,Lookup!$H$3:$H$10,,1)*G329, XLOOKUP(B329,Lookup!$F$14:$F$21,Lookup!$H$14:$H$21,,1)*G329),0)</f>
        <v>919.968</v>
      </c>
      <c r="L329" s="62">
        <f>IF(and(A329&lt;questions!$C$19,questions!$C$18="yes"),questions!$C$20,0)</f>
        <v>0</v>
      </c>
      <c r="M329" s="63">
        <f>(Y328+H329)*Lookup!A$26/12</f>
        <v>1324.922468</v>
      </c>
      <c r="N329" s="63">
        <f>if(B329&lt;55, (Z328+I329)*Lookup!B$26/12, (AB328+K329)*Lookup!B$26/12)</f>
        <v>1812.974485</v>
      </c>
      <c r="O329" s="63">
        <f>(AA328+J329)*Lookup!C$26/12</f>
        <v>658.0982871</v>
      </c>
      <c r="P329" s="63">
        <f t="shared" si="8"/>
        <v>6599.606507</v>
      </c>
      <c r="Q329" s="63">
        <f t="shared" si="4"/>
        <v>9034.206823</v>
      </c>
      <c r="R329" s="63">
        <f t="shared" si="5"/>
        <v>3262.499702</v>
      </c>
      <c r="S329" s="64">
        <f t="shared" si="9"/>
        <v>16.66666667</v>
      </c>
      <c r="T329" s="64">
        <f t="shared" si="10"/>
        <v>33.33333333</v>
      </c>
      <c r="U329" s="64">
        <f t="shared" si="11"/>
        <v>0</v>
      </c>
      <c r="V329" s="64">
        <f t="shared" ref="V329:X329" si="337">IF(year($A329)=year($A328), V328+S329, S329)</f>
        <v>83.33333333</v>
      </c>
      <c r="W329" s="64">
        <f t="shared" si="337"/>
        <v>166.6666667</v>
      </c>
      <c r="X329" s="64">
        <f t="shared" si="337"/>
        <v>0</v>
      </c>
      <c r="Y329" s="65">
        <f>IFS(
  B329&lt;55,
    MAX(
      Y328 + IF(MONTH(A329)=12, P329+V329, 0) + H329 - L329
      + MAX(0,
          IF(AA328 &gt;= VLOOKUP(YEAR(A329), Lookup!$Q:$R, 2),
            Z328 + IF(MONTH(A329)=12, Q329+W329, 0) + I329
              + AA328 + IF(MONTH(A329)=12, R329+X329, 0)
              - VLOOKUP(YEAR(A329), Lookup!$Q:$R, 2) + J329,
            Z328 + IF(MONTH(A329)=12, Q329+W329, 0) + I329
          ) - VLOOKUP(YEAR(A329), Lookup!$K:$M, 3)
        ),
    0),
  B329=55,
    IF(Z328&gt;=AD329,
      MAX(Y328 + IF(MONTH(A329)=12, P329+V329, 0) + H329 - L329, 0),
      MAX(MAX(0, Y328-(AD329-Z328)) + IF(MONTH(A329)=12, P329+V329, 0) + H329 - L329, 0)
    ),
  B329&gt;55,
    IF(AB328&gt;=$AH$7,
      MAX(Y328 + IF(MONTH(A329)=12, P329+V329, 0) + H329 - L329 + K329 + Z328, 0),
      MAX(Y328 + IF(MONTH(A329)=12, P329+V329, 0) + H329 - L329, 0)
    )
)</f>
        <v>635962.7847</v>
      </c>
      <c r="Z329" s="65">
        <f>IFS(
  B329&lt;55,
    MIN(
      IF(AA328 &gt;= VLOOKUP(YEAR(A329), Lookup!$Q:$R, 2),
        Z328 + IF(MONTH(A329)=12, Q329+W329, 0) + I329
          + AA328 + IF(MONTH(A329)=12, R329+X329, 0) - VLOOKUP(YEAR(A329), Lookup!$Q:$R, 2) + J329,
        Z328 + IF(MONTH(A329)=12, Q329+W329, 0) + I329
      ),
      VLOOKUP(YEAR(A329), Lookup!$K:$M, 3)
    ),
  B329=55,
    IF(Z328 &gt;= AD329, Z328 - AD329, 0),
  B329&gt;55, 0
)</f>
        <v>543892.3454</v>
      </c>
      <c r="AA329" s="65">
        <f>IFS(
  B329&lt;65,
    IF(AA328+J329 &lt; VLOOKUP(YEAR(A329), Lookup!$Q:$R, 2),
      AA328 + IF(MONTH(A329)=12, R328+X328, 0) + J329,
      MIN(
        AA328 + IF(MONTH(A329)=12, R328+X328, 0) + J329 ,
        VLOOKUP(YEAR(A329), Lookup!$Q:$R, 2)
      )
    ),
  B329&gt;=65,
    IF(AA328+J329 &lt; VLOOKUP(questions!$C$5, Lookup!$Q:$R, 2),
      AA328 + IF(MONTH(A329)=12, R328+X328, 0) + J329 ,
      MIN(
        AA328 + IF(MONTH(A329)=12, R328+X328, 0) + J329,
        VLOOKUP(questions!$C$5, Lookup!$Q:$R, 2)
      )
    )
)</f>
        <v>197429.4861</v>
      </c>
      <c r="AB329" s="65">
        <f t="shared" si="13"/>
        <v>0</v>
      </c>
      <c r="AC329" s="66">
        <f t="array" ref="AC329">IFS(B329&lt;66, XLOOKUP(year(A329),Lookup!$K$13:$K1000,Lookup!$L$13:$L1000,"missing",,1),B329&gt;65,XLOOKUP(questions!$C$5,Lookup!$K$13:$K1000,Lookup!$L$13:$L1000,"missing",,1))</f>
        <v>279083.8715</v>
      </c>
      <c r="AD329" s="66">
        <f t="array" ref="AD329">IFS(B329&lt;66, XLOOKUP(year(A329),Lookup!$K$13:$K1000,Lookup!$M$13:$M1000,"missing",,1),B329&gt;65, XLOOKUP(questions!$C$5,Lookup!$K$13:$K1000,Lookup!$M$13:$M1000,"missing",,1))</f>
        <v>558167.7431</v>
      </c>
      <c r="AE329" s="66">
        <f t="array" ref="AE329">IFS(B329&lt;66, XLOOKUP(year(A329),Lookup!$K$13:$K1000,Lookup!$N$13:$N1000,"missing",,1),B329&gt;65,XLOOKUP(questions!$C$5,Lookup!$K$13:$K1000,Lookup!$N$13:$N1000,"missing",,1))</f>
        <v>1116335.486</v>
      </c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</row>
    <row r="330">
      <c r="A330" s="55">
        <f t="shared" si="7"/>
        <v>56065</v>
      </c>
      <c r="B330" s="56">
        <f>round(YEARFRAC(EOMONTH(questions!$C$3, 0),A330,1),2)</f>
        <v>54.58</v>
      </c>
      <c r="C330" s="57">
        <f>IF(B330&lt;questions!$C$6,if(MONTH(A330)=1,C329*(1+questions!$C$12),C329),0)</f>
        <v>22212.89006</v>
      </c>
      <c r="D330" s="58">
        <f>IF(MONTH(A330)=12,C330*questions!$C$11,0)</f>
        <v>0</v>
      </c>
      <c r="E330" s="59">
        <f t="shared" si="2"/>
        <v>8000</v>
      </c>
      <c r="F330" s="59">
        <f t="shared" si="3"/>
        <v>0</v>
      </c>
      <c r="G330" s="60">
        <f t="array" ref="G330">if(YEAR(A330)=2025,XLOOKUP(B330,Lookup!$A$3:$A$7,Lookup!$D$3:$D$7,,1)*SUM(E330:F330), XLOOKUP(B330,Lookup!$A$14:$A$18,Lookup!$D$14:$D$18,,1)*SUM(E330:F330))</f>
        <v>2960</v>
      </c>
      <c r="H330" s="60">
        <f t="array" ref="H330">if(YEAR(A330)=2025,XLOOKUP(B330,Lookup!$F$3:$F$10,Lookup!$G$3:$G$10,,1)*G330, XLOOKUP(B330,Lookup!$F$14:$F$21,Lookup!$G$14:$G$21,,1)*G330)</f>
        <v>1200.28</v>
      </c>
      <c r="I330" s="60">
        <f t="array" ref="I330">if(B330&lt;55, if(YEAR(A330)=2025,XLOOKUP(B330,Lookup!$F$3:$F$10,Lookup!$H$3:$H$10,,1)*G330, XLOOKUP(B330,Lookup!$F$14:$F$21,Lookup!$H$14:$H$21,,1)*G330),0)</f>
        <v>919.968</v>
      </c>
      <c r="J330" s="60">
        <f t="array" ref="J330">if(YEAR(A330)=2025,XLOOKUP(B330,Lookup!$F$3:$F$10,Lookup!$I$3:$I$10,,1)*G330, XLOOKUP(B330,Lookup!$F$14:$F$21,Lookup!$I$14:$I$21,,1)*G330)</f>
        <v>839.752</v>
      </c>
      <c r="K330" s="60">
        <f t="array" ref="K330">if(B330&gt;54, if(YEAR(A330)=2025,XLOOKUP(B330,Lookup!$F$3:$F$10,Lookup!$H$3:$H$10,,1)*G330, XLOOKUP(B330,Lookup!$F$14:$F$21,Lookup!$H$14:$H$21,,1)*G330),0)</f>
        <v>919.968</v>
      </c>
      <c r="L330" s="62">
        <f>IF(and(A330&lt;questions!$C$19,questions!$C$18="yes"),questions!$C$20,0)</f>
        <v>0</v>
      </c>
      <c r="M330" s="63">
        <f>(Y329+H330)*Lookup!A$26/12</f>
        <v>1327.423051</v>
      </c>
      <c r="N330" s="63">
        <f>if(B330&lt;55, (Z329+I330)*Lookup!B$26/12, (AB329+K330)*Lookup!B$26/12)</f>
        <v>1816.041045</v>
      </c>
      <c r="O330" s="63">
        <f>(AA329+J330)*Lookup!C$26/12</f>
        <v>660.8974605</v>
      </c>
      <c r="P330" s="63">
        <f t="shared" si="8"/>
        <v>7927.029559</v>
      </c>
      <c r="Q330" s="63">
        <f t="shared" si="4"/>
        <v>10850.24787</v>
      </c>
      <c r="R330" s="63">
        <f t="shared" si="5"/>
        <v>3923.397163</v>
      </c>
      <c r="S330" s="64">
        <f t="shared" si="9"/>
        <v>16.66666667</v>
      </c>
      <c r="T330" s="64">
        <f t="shared" si="10"/>
        <v>33.33333333</v>
      </c>
      <c r="U330" s="64">
        <f t="shared" si="11"/>
        <v>0</v>
      </c>
      <c r="V330" s="64">
        <f t="shared" ref="V330:X330" si="338">IF(year($A330)=year($A329), V329+S330, S330)</f>
        <v>100</v>
      </c>
      <c r="W330" s="64">
        <f t="shared" si="338"/>
        <v>200</v>
      </c>
      <c r="X330" s="64">
        <f t="shared" si="338"/>
        <v>0</v>
      </c>
      <c r="Y330" s="65">
        <f>IFS(
  B330&lt;55,
    MAX(
      Y329 + IF(MONTH(A330)=12, P330+V330, 0) + H330 - L330
      + MAX(0,
          IF(AA329 &gt;= VLOOKUP(YEAR(A330), Lookup!$Q:$R, 2),
            Z329 + IF(MONTH(A330)=12, Q330+W330, 0) + I330
              + AA329 + IF(MONTH(A330)=12, R330+X330, 0)
              - VLOOKUP(YEAR(A330), Lookup!$Q:$R, 2) + J330,
            Z329 + IF(MONTH(A330)=12, Q330+W330, 0) + I330
          ) - VLOOKUP(YEAR(A330), Lookup!$K:$M, 3)
        ),
    0),
  B330=55,
    IF(Z329&gt;=AD330,
      MAX(Y329 + IF(MONTH(A330)=12, P330+V330, 0) + H330 - L330, 0),
      MAX(MAX(0, Y329-(AD330-Z329)) + IF(MONTH(A330)=12, P330+V330, 0) + H330 - L330, 0)
    ),
  B330&gt;55,
    IF(AB329&gt;=$AH$7,
      MAX(Y329 + IF(MONTH(A330)=12, P330+V330, 0) + H330 - L330 + K330 + Z329, 0),
      MAX(Y329 + IF(MONTH(A330)=12, P330+V330, 0) + H330 - L330, 0)
    )
)</f>
        <v>637163.0647</v>
      </c>
      <c r="Z330" s="65">
        <f>IFS(
  B330&lt;55,
    MIN(
      IF(AA329 &gt;= VLOOKUP(YEAR(A330), Lookup!$Q:$R, 2),
        Z329 + IF(MONTH(A330)=12, Q330+W330, 0) + I330
          + AA329 + IF(MONTH(A330)=12, R330+X330, 0) - VLOOKUP(YEAR(A330), Lookup!$Q:$R, 2) + J330,
        Z329 + IF(MONTH(A330)=12, Q330+W330, 0) + I330
      ),
      VLOOKUP(YEAR(A330), Lookup!$K:$M, 3)
    ),
  B330=55,
    IF(Z329 &gt;= AD330, Z329 - AD330, 0),
  B330&gt;55, 0
)</f>
        <v>544812.3134</v>
      </c>
      <c r="AA330" s="65">
        <f>IFS(
  B330&lt;65,
    IF(AA329+J330 &lt; VLOOKUP(YEAR(A330), Lookup!$Q:$R, 2),
      AA329 + IF(MONTH(A330)=12, R329+X329, 0) + J330,
      MIN(
        AA329 + IF(MONTH(A330)=12, R329+X329, 0) + J330 ,
        VLOOKUP(YEAR(A330), Lookup!$Q:$R, 2)
      )
    ),
  B330&gt;=65,
    IF(AA329+J330 &lt; VLOOKUP(questions!$C$5, Lookup!$Q:$R, 2),
      AA329 + IF(MONTH(A330)=12, R329+X329, 0) + J330 ,
      MIN(
        AA329 + IF(MONTH(A330)=12, R329+X329, 0) + J330,
        VLOOKUP(questions!$C$5, Lookup!$Q:$R, 2)
      )
    )
)</f>
        <v>198269.2381</v>
      </c>
      <c r="AB330" s="65">
        <f t="shared" si="13"/>
        <v>0</v>
      </c>
      <c r="AC330" s="66">
        <f t="array" ref="AC330">IFS(B330&lt;66, XLOOKUP(year(A330),Lookup!$K$13:$K1000,Lookup!$L$13:$L1000,"missing",,1),B330&gt;65,XLOOKUP(questions!$C$5,Lookup!$K$13:$K1000,Lookup!$L$13:$L1000,"missing",,1))</f>
        <v>279083.8715</v>
      </c>
      <c r="AD330" s="66">
        <f t="array" ref="AD330">IFS(B330&lt;66, XLOOKUP(year(A330),Lookup!$K$13:$K1000,Lookup!$M$13:$M1000,"missing",,1),B330&gt;65, XLOOKUP(questions!$C$5,Lookup!$K$13:$K1000,Lookup!$M$13:$M1000,"missing",,1))</f>
        <v>558167.7431</v>
      </c>
      <c r="AE330" s="66">
        <f t="array" ref="AE330">IFS(B330&lt;66, XLOOKUP(year(A330),Lookup!$K$13:$K1000,Lookup!$N$13:$N1000,"missing",,1),B330&gt;65,XLOOKUP(questions!$C$5,Lookup!$K$13:$K1000,Lookup!$N$13:$N1000,"missing",,1))</f>
        <v>1116335.486</v>
      </c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</row>
    <row r="331">
      <c r="A331" s="55">
        <f t="shared" si="7"/>
        <v>56096</v>
      </c>
      <c r="B331" s="56">
        <f>round(YEARFRAC(EOMONTH(questions!$C$3, 0),A331,1),2)</f>
        <v>54.67</v>
      </c>
      <c r="C331" s="57">
        <f>IF(B331&lt;questions!$C$6,if(MONTH(A331)=1,C330*(1+questions!$C$12),C330),0)</f>
        <v>22212.89006</v>
      </c>
      <c r="D331" s="58">
        <f>IF(MONTH(A331)=12,C331*questions!$C$11,0)</f>
        <v>0</v>
      </c>
      <c r="E331" s="59">
        <f t="shared" si="2"/>
        <v>8000</v>
      </c>
      <c r="F331" s="59">
        <f t="shared" si="3"/>
        <v>0</v>
      </c>
      <c r="G331" s="60">
        <f t="array" ref="G331">if(YEAR(A331)=2025,XLOOKUP(B331,Lookup!$A$3:$A$7,Lookup!$D$3:$D$7,,1)*SUM(E331:F331), XLOOKUP(B331,Lookup!$A$14:$A$18,Lookup!$D$14:$D$18,,1)*SUM(E331:F331))</f>
        <v>2960</v>
      </c>
      <c r="H331" s="60">
        <f t="array" ref="H331">if(YEAR(A331)=2025,XLOOKUP(B331,Lookup!$F$3:$F$10,Lookup!$G$3:$G$10,,1)*G331, XLOOKUP(B331,Lookup!$F$14:$F$21,Lookup!$G$14:$G$21,,1)*G331)</f>
        <v>1200.28</v>
      </c>
      <c r="I331" s="60">
        <f t="array" ref="I331">if(B331&lt;55, if(YEAR(A331)=2025,XLOOKUP(B331,Lookup!$F$3:$F$10,Lookup!$H$3:$H$10,,1)*G331, XLOOKUP(B331,Lookup!$F$14:$F$21,Lookup!$H$14:$H$21,,1)*G331),0)</f>
        <v>919.968</v>
      </c>
      <c r="J331" s="60">
        <f t="array" ref="J331">if(YEAR(A331)=2025,XLOOKUP(B331,Lookup!$F$3:$F$10,Lookup!$I$3:$I$10,,1)*G331, XLOOKUP(B331,Lookup!$F$14:$F$21,Lookup!$I$14:$I$21,,1)*G331)</f>
        <v>839.752</v>
      </c>
      <c r="K331" s="60">
        <f t="array" ref="K331">if(B331&gt;54, if(YEAR(A331)=2025,XLOOKUP(B331,Lookup!$F$3:$F$10,Lookup!$H$3:$H$10,,1)*G331, XLOOKUP(B331,Lookup!$F$14:$F$21,Lookup!$H$14:$H$21,,1)*G331),0)</f>
        <v>919.968</v>
      </c>
      <c r="L331" s="62">
        <f>IF(and(A331&lt;questions!$C$19,questions!$C$18="yes"),questions!$C$20,0)</f>
        <v>0</v>
      </c>
      <c r="M331" s="63">
        <f>(Y330+H331)*Lookup!A$26/12</f>
        <v>1329.923635</v>
      </c>
      <c r="N331" s="63">
        <f>if(B331&lt;55, (Z330+I331)*Lookup!B$26/12, (AB330+K331)*Lookup!B$26/12)</f>
        <v>1819.107605</v>
      </c>
      <c r="O331" s="63">
        <f>(AA330+J331)*Lookup!C$26/12</f>
        <v>663.6966338</v>
      </c>
      <c r="P331" s="63">
        <f t="shared" si="8"/>
        <v>9256.953193</v>
      </c>
      <c r="Q331" s="63">
        <f t="shared" si="4"/>
        <v>12669.35547</v>
      </c>
      <c r="R331" s="63">
        <f t="shared" si="5"/>
        <v>4587.093797</v>
      </c>
      <c r="S331" s="64">
        <f t="shared" si="9"/>
        <v>16.66666667</v>
      </c>
      <c r="T331" s="64">
        <f t="shared" si="10"/>
        <v>33.33333333</v>
      </c>
      <c r="U331" s="64">
        <f t="shared" si="11"/>
        <v>0</v>
      </c>
      <c r="V331" s="64">
        <f t="shared" ref="V331:X331" si="339">IF(year($A331)=year($A330), V330+S331, S331)</f>
        <v>116.6666667</v>
      </c>
      <c r="W331" s="64">
        <f t="shared" si="339"/>
        <v>233.3333333</v>
      </c>
      <c r="X331" s="64">
        <f t="shared" si="339"/>
        <v>0</v>
      </c>
      <c r="Y331" s="65">
        <f>IFS(
  B331&lt;55,
    MAX(
      Y330 + IF(MONTH(A331)=12, P331+V331, 0) + H331 - L331
      + MAX(0,
          IF(AA330 &gt;= VLOOKUP(YEAR(A331), Lookup!$Q:$R, 2),
            Z330 + IF(MONTH(A331)=12, Q331+W331, 0) + I331
              + AA330 + IF(MONTH(A331)=12, R331+X331, 0)
              - VLOOKUP(YEAR(A331), Lookup!$Q:$R, 2) + J331,
            Z330 + IF(MONTH(A331)=12, Q331+W331, 0) + I331
          ) - VLOOKUP(YEAR(A331), Lookup!$K:$M, 3)
        ),
    0),
  B331=55,
    IF(Z330&gt;=AD331,
      MAX(Y330 + IF(MONTH(A331)=12, P331+V331, 0) + H331 - L331, 0),
      MAX(MAX(0, Y330-(AD331-Z330)) + IF(MONTH(A331)=12, P331+V331, 0) + H331 - L331, 0)
    ),
  B331&gt;55,
    IF(AB330&gt;=$AH$7,
      MAX(Y330 + IF(MONTH(A331)=12, P331+V331, 0) + H331 - L331 + K331 + Z330, 0),
      MAX(Y330 + IF(MONTH(A331)=12, P331+V331, 0) + H331 - L331, 0)
    )
)</f>
        <v>638363.3447</v>
      </c>
      <c r="Z331" s="65">
        <f>IFS(
  B331&lt;55,
    MIN(
      IF(AA330 &gt;= VLOOKUP(YEAR(A331), Lookup!$Q:$R, 2),
        Z330 + IF(MONTH(A331)=12, Q331+W331, 0) + I331
          + AA330 + IF(MONTH(A331)=12, R331+X331, 0) - VLOOKUP(YEAR(A331), Lookup!$Q:$R, 2) + J331,
        Z330 + IF(MONTH(A331)=12, Q331+W331, 0) + I331
      ),
      VLOOKUP(YEAR(A331), Lookup!$K:$M, 3)
    ),
  B331=55,
    IF(Z330 &gt;= AD331, Z330 - AD331, 0),
  B331&gt;55, 0
)</f>
        <v>545732.2814</v>
      </c>
      <c r="AA331" s="65">
        <f>IFS(
  B331&lt;65,
    IF(AA330+J331 &lt; VLOOKUP(YEAR(A331), Lookup!$Q:$R, 2),
      AA330 + IF(MONTH(A331)=12, R330+X330, 0) + J331,
      MIN(
        AA330 + IF(MONTH(A331)=12, R330+X330, 0) + J331 ,
        VLOOKUP(YEAR(A331), Lookup!$Q:$R, 2)
      )
    ),
  B331&gt;=65,
    IF(AA330+J331 &lt; VLOOKUP(questions!$C$5, Lookup!$Q:$R, 2),
      AA330 + IF(MONTH(A331)=12, R330+X330, 0) + J331 ,
      MIN(
        AA330 + IF(MONTH(A331)=12, R330+X330, 0) + J331,
        VLOOKUP(questions!$C$5, Lookup!$Q:$R, 2)
      )
    )
)</f>
        <v>199108.9901</v>
      </c>
      <c r="AB331" s="65">
        <f t="shared" si="13"/>
        <v>0</v>
      </c>
      <c r="AC331" s="66">
        <f t="array" ref="AC331">IFS(B331&lt;66, XLOOKUP(year(A331),Lookup!$K$13:$K1000,Lookup!$L$13:$L1000,"missing",,1),B331&gt;65,XLOOKUP(questions!$C$5,Lookup!$K$13:$K1000,Lookup!$L$13:$L1000,"missing",,1))</f>
        <v>279083.8715</v>
      </c>
      <c r="AD331" s="66">
        <f t="array" ref="AD331">IFS(B331&lt;66, XLOOKUP(year(A331),Lookup!$K$13:$K1000,Lookup!$M$13:$M1000,"missing",,1),B331&gt;65, XLOOKUP(questions!$C$5,Lookup!$K$13:$K1000,Lookup!$M$13:$M1000,"missing",,1))</f>
        <v>558167.7431</v>
      </c>
      <c r="AE331" s="66">
        <f t="array" ref="AE331">IFS(B331&lt;66, XLOOKUP(year(A331),Lookup!$K$13:$K1000,Lookup!$N$13:$N1000,"missing",,1),B331&gt;65,XLOOKUP(questions!$C$5,Lookup!$K$13:$K1000,Lookup!$N$13:$N1000,"missing",,1))</f>
        <v>1116335.486</v>
      </c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</row>
    <row r="332">
      <c r="A332" s="55">
        <f t="shared" si="7"/>
        <v>56127</v>
      </c>
      <c r="B332" s="56">
        <f>round(YEARFRAC(EOMONTH(questions!$C$3, 0),A332,1),2)</f>
        <v>54.75</v>
      </c>
      <c r="C332" s="57">
        <f>IF(B332&lt;questions!$C$6,if(MONTH(A332)=1,C331*(1+questions!$C$12),C331),0)</f>
        <v>22212.89006</v>
      </c>
      <c r="D332" s="58">
        <f>IF(MONTH(A332)=12,C332*questions!$C$11,0)</f>
        <v>0</v>
      </c>
      <c r="E332" s="59">
        <f t="shared" si="2"/>
        <v>8000</v>
      </c>
      <c r="F332" s="59">
        <f t="shared" si="3"/>
        <v>0</v>
      </c>
      <c r="G332" s="60">
        <f t="array" ref="G332">if(YEAR(A332)=2025,XLOOKUP(B332,Lookup!$A$3:$A$7,Lookup!$D$3:$D$7,,1)*SUM(E332:F332), XLOOKUP(B332,Lookup!$A$14:$A$18,Lookup!$D$14:$D$18,,1)*SUM(E332:F332))</f>
        <v>2960</v>
      </c>
      <c r="H332" s="60">
        <f t="array" ref="H332">if(YEAR(A332)=2025,XLOOKUP(B332,Lookup!$F$3:$F$10,Lookup!$G$3:$G$10,,1)*G332, XLOOKUP(B332,Lookup!$F$14:$F$21,Lookup!$G$14:$G$21,,1)*G332)</f>
        <v>1200.28</v>
      </c>
      <c r="I332" s="60">
        <f t="array" ref="I332">if(B332&lt;55, if(YEAR(A332)=2025,XLOOKUP(B332,Lookup!$F$3:$F$10,Lookup!$H$3:$H$10,,1)*G332, XLOOKUP(B332,Lookup!$F$14:$F$21,Lookup!$H$14:$H$21,,1)*G332),0)</f>
        <v>919.968</v>
      </c>
      <c r="J332" s="60">
        <f t="array" ref="J332">if(YEAR(A332)=2025,XLOOKUP(B332,Lookup!$F$3:$F$10,Lookup!$I$3:$I$10,,1)*G332, XLOOKUP(B332,Lookup!$F$14:$F$21,Lookup!$I$14:$I$21,,1)*G332)</f>
        <v>839.752</v>
      </c>
      <c r="K332" s="60">
        <f t="array" ref="K332">if(B332&gt;54, if(YEAR(A332)=2025,XLOOKUP(B332,Lookup!$F$3:$F$10,Lookup!$H$3:$H$10,,1)*G332, XLOOKUP(B332,Lookup!$F$14:$F$21,Lookup!$H$14:$H$21,,1)*G332),0)</f>
        <v>919.968</v>
      </c>
      <c r="L332" s="62">
        <f>IF(and(A332&lt;questions!$C$19,questions!$C$18="yes"),questions!$C$20,0)</f>
        <v>0</v>
      </c>
      <c r="M332" s="63">
        <f>(Y331+H332)*Lookup!A$26/12</f>
        <v>1332.424218</v>
      </c>
      <c r="N332" s="63">
        <f>if(B332&lt;55, (Z331+I332)*Lookup!B$26/12, (AB331+K332)*Lookup!B$26/12)</f>
        <v>1822.174165</v>
      </c>
      <c r="O332" s="63">
        <f>(AA331+J332)*Lookup!C$26/12</f>
        <v>666.4958071</v>
      </c>
      <c r="P332" s="63">
        <f t="shared" si="8"/>
        <v>10589.37741</v>
      </c>
      <c r="Q332" s="63">
        <f t="shared" si="4"/>
        <v>14491.52964</v>
      </c>
      <c r="R332" s="63">
        <f t="shared" si="5"/>
        <v>5253.589604</v>
      </c>
      <c r="S332" s="64">
        <f t="shared" si="9"/>
        <v>16.66666667</v>
      </c>
      <c r="T332" s="64">
        <f t="shared" si="10"/>
        <v>33.33333333</v>
      </c>
      <c r="U332" s="64">
        <f t="shared" si="11"/>
        <v>0</v>
      </c>
      <c r="V332" s="64">
        <f t="shared" ref="V332:X332" si="340">IF(year($A332)=year($A331), V331+S332, S332)</f>
        <v>133.3333333</v>
      </c>
      <c r="W332" s="64">
        <f t="shared" si="340"/>
        <v>266.6666667</v>
      </c>
      <c r="X332" s="64">
        <f t="shared" si="340"/>
        <v>0</v>
      </c>
      <c r="Y332" s="65">
        <f>IFS(
  B332&lt;55,
    MAX(
      Y331 + IF(MONTH(A332)=12, P332+V332, 0) + H332 - L332
      + MAX(0,
          IF(AA331 &gt;= VLOOKUP(YEAR(A332), Lookup!$Q:$R, 2),
            Z331 + IF(MONTH(A332)=12, Q332+W332, 0) + I332
              + AA331 + IF(MONTH(A332)=12, R332+X332, 0)
              - VLOOKUP(YEAR(A332), Lookup!$Q:$R, 2) + J332,
            Z331 + IF(MONTH(A332)=12, Q332+W332, 0) + I332
          ) - VLOOKUP(YEAR(A332), Lookup!$K:$M, 3)
        ),
    0),
  B332=55,
    IF(Z331&gt;=AD332,
      MAX(Y331 + IF(MONTH(A332)=12, P332+V332, 0) + H332 - L332, 0),
      MAX(MAX(0, Y331-(AD332-Z331)) + IF(MONTH(A332)=12, P332+V332, 0) + H332 - L332, 0)
    ),
  B332&gt;55,
    IF(AB331&gt;=$AH$7,
      MAX(Y331 + IF(MONTH(A332)=12, P332+V332, 0) + H332 - L332 + K332 + Z331, 0),
      MAX(Y331 + IF(MONTH(A332)=12, P332+V332, 0) + H332 - L332, 0)
    )
)</f>
        <v>639563.6247</v>
      </c>
      <c r="Z332" s="65">
        <f>IFS(
  B332&lt;55,
    MIN(
      IF(AA331 &gt;= VLOOKUP(YEAR(A332), Lookup!$Q:$R, 2),
        Z331 + IF(MONTH(A332)=12, Q332+W332, 0) + I332
          + AA331 + IF(MONTH(A332)=12, R332+X332, 0) - VLOOKUP(YEAR(A332), Lookup!$Q:$R, 2) + J332,
        Z331 + IF(MONTH(A332)=12, Q332+W332, 0) + I332
      ),
      VLOOKUP(YEAR(A332), Lookup!$K:$M, 3)
    ),
  B332=55,
    IF(Z331 &gt;= AD332, Z331 - AD332, 0),
  B332&gt;55, 0
)</f>
        <v>546652.2494</v>
      </c>
      <c r="AA332" s="65">
        <f>IFS(
  B332&lt;65,
    IF(AA331+J332 &lt; VLOOKUP(YEAR(A332), Lookup!$Q:$R, 2),
      AA331 + IF(MONTH(A332)=12, R331+X331, 0) + J332,
      MIN(
        AA331 + IF(MONTH(A332)=12, R331+X331, 0) + J332 ,
        VLOOKUP(YEAR(A332), Lookup!$Q:$R, 2)
      )
    ),
  B332&gt;=65,
    IF(AA331+J332 &lt; VLOOKUP(questions!$C$5, Lookup!$Q:$R, 2),
      AA331 + IF(MONTH(A332)=12, R331+X331, 0) + J332 ,
      MIN(
        AA331 + IF(MONTH(A332)=12, R331+X331, 0) + J332,
        VLOOKUP(questions!$C$5, Lookup!$Q:$R, 2)
      )
    )
)</f>
        <v>199948.7421</v>
      </c>
      <c r="AB332" s="65">
        <f t="shared" si="13"/>
        <v>0</v>
      </c>
      <c r="AC332" s="66">
        <f t="array" ref="AC332">IFS(B332&lt;66, XLOOKUP(year(A332),Lookup!$K$13:$K1000,Lookup!$L$13:$L1000,"missing",,1),B332&gt;65,XLOOKUP(questions!$C$5,Lookup!$K$13:$K1000,Lookup!$L$13:$L1000,"missing",,1))</f>
        <v>279083.8715</v>
      </c>
      <c r="AD332" s="66">
        <f t="array" ref="AD332">IFS(B332&lt;66, XLOOKUP(year(A332),Lookup!$K$13:$K1000,Lookup!$M$13:$M1000,"missing",,1),B332&gt;65, XLOOKUP(questions!$C$5,Lookup!$K$13:$K1000,Lookup!$M$13:$M1000,"missing",,1))</f>
        <v>558167.7431</v>
      </c>
      <c r="AE332" s="66">
        <f t="array" ref="AE332">IFS(B332&lt;66, XLOOKUP(year(A332),Lookup!$K$13:$K1000,Lookup!$N$13:$N1000,"missing",,1),B332&gt;65,XLOOKUP(questions!$C$5,Lookup!$K$13:$K1000,Lookup!$N$13:$N1000,"missing",,1))</f>
        <v>1116335.486</v>
      </c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</row>
    <row r="333">
      <c r="A333" s="55">
        <f t="shared" si="7"/>
        <v>56157</v>
      </c>
      <c r="B333" s="56">
        <f>round(YEARFRAC(EOMONTH(questions!$C$3, 0),A333,1),2)</f>
        <v>54.83</v>
      </c>
      <c r="C333" s="57">
        <f>IF(B333&lt;questions!$C$6,if(MONTH(A333)=1,C332*(1+questions!$C$12),C332),0)</f>
        <v>22212.89006</v>
      </c>
      <c r="D333" s="58">
        <f>IF(MONTH(A333)=12,C333*questions!$C$11,0)</f>
        <v>0</v>
      </c>
      <c r="E333" s="59">
        <f t="shared" si="2"/>
        <v>8000</v>
      </c>
      <c r="F333" s="59">
        <f t="shared" si="3"/>
        <v>0</v>
      </c>
      <c r="G333" s="60">
        <f t="array" ref="G333">if(YEAR(A333)=2025,XLOOKUP(B333,Lookup!$A$3:$A$7,Lookup!$D$3:$D$7,,1)*SUM(E333:F333), XLOOKUP(B333,Lookup!$A$14:$A$18,Lookup!$D$14:$D$18,,1)*SUM(E333:F333))</f>
        <v>2960</v>
      </c>
      <c r="H333" s="60">
        <f t="array" ref="H333">if(YEAR(A333)=2025,XLOOKUP(B333,Lookup!$F$3:$F$10,Lookup!$G$3:$G$10,,1)*G333, XLOOKUP(B333,Lookup!$F$14:$F$21,Lookup!$G$14:$G$21,,1)*G333)</f>
        <v>1200.28</v>
      </c>
      <c r="I333" s="60">
        <f t="array" ref="I333">if(B333&lt;55, if(YEAR(A333)=2025,XLOOKUP(B333,Lookup!$F$3:$F$10,Lookup!$H$3:$H$10,,1)*G333, XLOOKUP(B333,Lookup!$F$14:$F$21,Lookup!$H$14:$H$21,,1)*G333),0)</f>
        <v>919.968</v>
      </c>
      <c r="J333" s="60">
        <f t="array" ref="J333">if(YEAR(A333)=2025,XLOOKUP(B333,Lookup!$F$3:$F$10,Lookup!$I$3:$I$10,,1)*G333, XLOOKUP(B333,Lookup!$F$14:$F$21,Lookup!$I$14:$I$21,,1)*G333)</f>
        <v>839.752</v>
      </c>
      <c r="K333" s="60">
        <f t="array" ref="K333">if(B333&gt;54, if(YEAR(A333)=2025,XLOOKUP(B333,Lookup!$F$3:$F$10,Lookup!$H$3:$H$10,,1)*G333, XLOOKUP(B333,Lookup!$F$14:$F$21,Lookup!$H$14:$H$21,,1)*G333),0)</f>
        <v>919.968</v>
      </c>
      <c r="L333" s="62">
        <f>IF(and(A333&lt;questions!$C$19,questions!$C$18="yes"),questions!$C$20,0)</f>
        <v>0</v>
      </c>
      <c r="M333" s="63">
        <f>(Y332+H333)*Lookup!A$26/12</f>
        <v>1334.924801</v>
      </c>
      <c r="N333" s="63">
        <f>if(B333&lt;55, (Z332+I333)*Lookup!B$26/12, (AB332+K333)*Lookup!B$26/12)</f>
        <v>1825.240725</v>
      </c>
      <c r="O333" s="63">
        <f>(AA332+J333)*Lookup!C$26/12</f>
        <v>669.2949805</v>
      </c>
      <c r="P333" s="63">
        <f t="shared" si="8"/>
        <v>11924.30221</v>
      </c>
      <c r="Q333" s="63">
        <f t="shared" si="4"/>
        <v>16316.77036</v>
      </c>
      <c r="R333" s="63">
        <f t="shared" si="5"/>
        <v>5922.884584</v>
      </c>
      <c r="S333" s="64">
        <f t="shared" si="9"/>
        <v>16.66666667</v>
      </c>
      <c r="T333" s="64">
        <f t="shared" si="10"/>
        <v>33.33333333</v>
      </c>
      <c r="U333" s="64">
        <f t="shared" si="11"/>
        <v>0</v>
      </c>
      <c r="V333" s="64">
        <f t="shared" ref="V333:X333" si="341">IF(year($A333)=year($A332), V332+S333, S333)</f>
        <v>150</v>
      </c>
      <c r="W333" s="64">
        <f t="shared" si="341"/>
        <v>300</v>
      </c>
      <c r="X333" s="64">
        <f t="shared" si="341"/>
        <v>0</v>
      </c>
      <c r="Y333" s="65">
        <f>IFS(
  B333&lt;55,
    MAX(
      Y332 + IF(MONTH(A333)=12, P333+V333, 0) + H333 - L333
      + MAX(0,
          IF(AA332 &gt;= VLOOKUP(YEAR(A333), Lookup!$Q:$R, 2),
            Z332 + IF(MONTH(A333)=12, Q333+W333, 0) + I333
              + AA332 + IF(MONTH(A333)=12, R333+X333, 0)
              - VLOOKUP(YEAR(A333), Lookup!$Q:$R, 2) + J333,
            Z332 + IF(MONTH(A333)=12, Q333+W333, 0) + I333
          ) - VLOOKUP(YEAR(A333), Lookup!$K:$M, 3)
        ),
    0),
  B333=55,
    IF(Z332&gt;=AD333,
      MAX(Y332 + IF(MONTH(A333)=12, P333+V333, 0) + H333 - L333, 0),
      MAX(MAX(0, Y332-(AD333-Z332)) + IF(MONTH(A333)=12, P333+V333, 0) + H333 - L333, 0)
    ),
  B333&gt;55,
    IF(AB332&gt;=$AH$7,
      MAX(Y332 + IF(MONTH(A333)=12, P333+V333, 0) + H333 - L333 + K333 + Z332, 0),
      MAX(Y332 + IF(MONTH(A333)=12, P333+V333, 0) + H333 - L333, 0)
    )
)</f>
        <v>640763.9047</v>
      </c>
      <c r="Z333" s="65">
        <f>IFS(
  B333&lt;55,
    MIN(
      IF(AA332 &gt;= VLOOKUP(YEAR(A333), Lookup!$Q:$R, 2),
        Z332 + IF(MONTH(A333)=12, Q333+W333, 0) + I333
          + AA332 + IF(MONTH(A333)=12, R333+X333, 0) - VLOOKUP(YEAR(A333), Lookup!$Q:$R, 2) + J333,
        Z332 + IF(MONTH(A333)=12, Q333+W333, 0) + I333
      ),
      VLOOKUP(YEAR(A333), Lookup!$K:$M, 3)
    ),
  B333=55,
    IF(Z332 &gt;= AD333, Z332 - AD333, 0),
  B333&gt;55, 0
)</f>
        <v>547572.2174</v>
      </c>
      <c r="AA333" s="65">
        <f>IFS(
  B333&lt;65,
    IF(AA332+J333 &lt; VLOOKUP(YEAR(A333), Lookup!$Q:$R, 2),
      AA332 + IF(MONTH(A333)=12, R332+X332, 0) + J333,
      MIN(
        AA332 + IF(MONTH(A333)=12, R332+X332, 0) + J333 ,
        VLOOKUP(YEAR(A333), Lookup!$Q:$R, 2)
      )
    ),
  B333&gt;=65,
    IF(AA332+J333 &lt; VLOOKUP(questions!$C$5, Lookup!$Q:$R, 2),
      AA332 + IF(MONTH(A333)=12, R332+X332, 0) + J333 ,
      MIN(
        AA332 + IF(MONTH(A333)=12, R332+X332, 0) + J333,
        VLOOKUP(questions!$C$5, Lookup!$Q:$R, 2)
      )
    )
)</f>
        <v>199993.8016</v>
      </c>
      <c r="AB333" s="65">
        <f t="shared" si="13"/>
        <v>0</v>
      </c>
      <c r="AC333" s="66">
        <f t="array" ref="AC333">IFS(B333&lt;66, XLOOKUP(year(A333),Lookup!$K$13:$K1000,Lookup!$L$13:$L1000,"missing",,1),B333&gt;65,XLOOKUP(questions!$C$5,Lookup!$K$13:$K1000,Lookup!$L$13:$L1000,"missing",,1))</f>
        <v>279083.8715</v>
      </c>
      <c r="AD333" s="66">
        <f t="array" ref="AD333">IFS(B333&lt;66, XLOOKUP(year(A333),Lookup!$K$13:$K1000,Lookup!$M$13:$M1000,"missing",,1),B333&gt;65, XLOOKUP(questions!$C$5,Lookup!$K$13:$K1000,Lookup!$M$13:$M1000,"missing",,1))</f>
        <v>558167.7431</v>
      </c>
      <c r="AE333" s="66">
        <f t="array" ref="AE333">IFS(B333&lt;66, XLOOKUP(year(A333),Lookup!$K$13:$K1000,Lookup!$N$13:$N1000,"missing",,1),B333&gt;65,XLOOKUP(questions!$C$5,Lookup!$K$13:$K1000,Lookup!$N$13:$N1000,"missing",,1))</f>
        <v>1116335.486</v>
      </c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</row>
    <row r="334">
      <c r="A334" s="55">
        <f t="shared" si="7"/>
        <v>56188</v>
      </c>
      <c r="B334" s="56">
        <f>round(YEARFRAC(EOMONTH(questions!$C$3, 0),A334,1),2)</f>
        <v>54.92</v>
      </c>
      <c r="C334" s="57">
        <f>IF(B334&lt;questions!$C$6,if(MONTH(A334)=1,C333*(1+questions!$C$12),C333),0)</f>
        <v>22212.89006</v>
      </c>
      <c r="D334" s="58">
        <f>IF(MONTH(A334)=12,C334*questions!$C$11,0)</f>
        <v>0</v>
      </c>
      <c r="E334" s="59">
        <f t="shared" si="2"/>
        <v>8000</v>
      </c>
      <c r="F334" s="59">
        <f t="shared" si="3"/>
        <v>0</v>
      </c>
      <c r="G334" s="60">
        <f t="array" ref="G334">if(YEAR(A334)=2025,XLOOKUP(B334,Lookup!$A$3:$A$7,Lookup!$D$3:$D$7,,1)*SUM(E334:F334), XLOOKUP(B334,Lookup!$A$14:$A$18,Lookup!$D$14:$D$18,,1)*SUM(E334:F334))</f>
        <v>2960</v>
      </c>
      <c r="H334" s="60">
        <f t="array" ref="H334">if(YEAR(A334)=2025,XLOOKUP(B334,Lookup!$F$3:$F$10,Lookup!$G$3:$G$10,,1)*G334, XLOOKUP(B334,Lookup!$F$14:$F$21,Lookup!$G$14:$G$21,,1)*G334)</f>
        <v>1200.28</v>
      </c>
      <c r="I334" s="60">
        <f t="array" ref="I334">if(B334&lt;55, if(YEAR(A334)=2025,XLOOKUP(B334,Lookup!$F$3:$F$10,Lookup!$H$3:$H$10,,1)*G334, XLOOKUP(B334,Lookup!$F$14:$F$21,Lookup!$H$14:$H$21,,1)*G334),0)</f>
        <v>919.968</v>
      </c>
      <c r="J334" s="60">
        <f t="array" ref="J334">if(YEAR(A334)=2025,XLOOKUP(B334,Lookup!$F$3:$F$10,Lookup!$I$3:$I$10,,1)*G334, XLOOKUP(B334,Lookup!$F$14:$F$21,Lookup!$I$14:$I$21,,1)*G334)</f>
        <v>839.752</v>
      </c>
      <c r="K334" s="60">
        <f t="array" ref="K334">if(B334&gt;54, if(YEAR(A334)=2025,XLOOKUP(B334,Lookup!$F$3:$F$10,Lookup!$H$3:$H$10,,1)*G334, XLOOKUP(B334,Lookup!$F$14:$F$21,Lookup!$H$14:$H$21,,1)*G334),0)</f>
        <v>919.968</v>
      </c>
      <c r="L334" s="62">
        <f>IF(and(A334&lt;questions!$C$19,questions!$C$18="yes"),questions!$C$20,0)</f>
        <v>0</v>
      </c>
      <c r="M334" s="63">
        <f>(Y333+H334)*Lookup!A$26/12</f>
        <v>1337.425385</v>
      </c>
      <c r="N334" s="63">
        <f>if(B334&lt;55, (Z333+I334)*Lookup!B$26/12, (AB333+K334)*Lookup!B$26/12)</f>
        <v>1828.307285</v>
      </c>
      <c r="O334" s="63">
        <f>(AA333+J334)*Lookup!C$26/12</f>
        <v>669.4451785</v>
      </c>
      <c r="P334" s="63">
        <f t="shared" si="8"/>
        <v>13261.7276</v>
      </c>
      <c r="Q334" s="63">
        <f t="shared" si="4"/>
        <v>18145.07765</v>
      </c>
      <c r="R334" s="63">
        <f t="shared" si="5"/>
        <v>6592.329763</v>
      </c>
      <c r="S334" s="64">
        <f t="shared" si="9"/>
        <v>16.66666667</v>
      </c>
      <c r="T334" s="64">
        <f t="shared" si="10"/>
        <v>33.33333333</v>
      </c>
      <c r="U334" s="64">
        <f t="shared" si="11"/>
        <v>0</v>
      </c>
      <c r="V334" s="64">
        <f t="shared" ref="V334:X334" si="342">IF(year($A334)=year($A333), V333+S334, S334)</f>
        <v>166.6666667</v>
      </c>
      <c r="W334" s="64">
        <f t="shared" si="342"/>
        <v>333.3333333</v>
      </c>
      <c r="X334" s="64">
        <f t="shared" si="342"/>
        <v>0</v>
      </c>
      <c r="Y334" s="65">
        <f>IFS(
  B334&lt;55,
    MAX(
      Y333 + IF(MONTH(A334)=12, P334+V334, 0) + H334 - L334
      + MAX(0,
          IF(AA333 &gt;= VLOOKUP(YEAR(A334), Lookup!$Q:$R, 2),
            Z333 + IF(MONTH(A334)=12, Q334+W334, 0) + I334
              + AA333 + IF(MONTH(A334)=12, R334+X334, 0)
              - VLOOKUP(YEAR(A334), Lookup!$Q:$R, 2) + J334,
            Z333 + IF(MONTH(A334)=12, Q334+W334, 0) + I334
          ) - VLOOKUP(YEAR(A334), Lookup!$K:$M, 3)
        ),
    0),
  B334=55,
    IF(Z333&gt;=AD334,
      MAX(Y333 + IF(MONTH(A334)=12, P334+V334, 0) + H334 - L334, 0),
      MAX(MAX(0, Y333-(AD334-Z333)) + IF(MONTH(A334)=12, P334+V334, 0) + H334 - L334, 0)
    ),
  B334&gt;55,
    IF(AB333&gt;=$AH$7,
      MAX(Y333 + IF(MONTH(A334)=12, P334+V334, 0) + H334 - L334 + K334 + Z333, 0),
      MAX(Y333 + IF(MONTH(A334)=12, P334+V334, 0) + H334 - L334, 0)
    )
)</f>
        <v>641964.1847</v>
      </c>
      <c r="Z334" s="65">
        <f>IFS(
  B334&lt;55,
    MIN(
      IF(AA333 &gt;= VLOOKUP(YEAR(A334), Lookup!$Q:$R, 2),
        Z333 + IF(MONTH(A334)=12, Q334+W334, 0) + I334
          + AA333 + IF(MONTH(A334)=12, R334+X334, 0) - VLOOKUP(YEAR(A334), Lookup!$Q:$R, 2) + J334,
        Z333 + IF(MONTH(A334)=12, Q334+W334, 0) + I334
      ),
      VLOOKUP(YEAR(A334), Lookup!$K:$M, 3)
    ),
  B334=55,
    IF(Z333 &gt;= AD334, Z333 - AD334, 0),
  B334&gt;55, 0
)</f>
        <v>549331.9374</v>
      </c>
      <c r="AA334" s="65">
        <f>IFS(
  B334&lt;65,
    IF(AA333+J334 &lt; VLOOKUP(YEAR(A334), Lookup!$Q:$R, 2),
      AA333 + IF(MONTH(A334)=12, R333+X333, 0) + J334,
      MIN(
        AA333 + IF(MONTH(A334)=12, R333+X333, 0) + J334 ,
        VLOOKUP(YEAR(A334), Lookup!$Q:$R, 2)
      )
    ),
  B334&gt;=65,
    IF(AA333+J334 &lt; VLOOKUP(questions!$C$5, Lookup!$Q:$R, 2),
      AA333 + IF(MONTH(A334)=12, R333+X333, 0) + J334 ,
      MIN(
        AA333 + IF(MONTH(A334)=12, R333+X333, 0) + J334,
        VLOOKUP(questions!$C$5, Lookup!$Q:$R, 2)
      )
    )
)</f>
        <v>199993.8016</v>
      </c>
      <c r="AB334" s="65">
        <f t="shared" si="13"/>
        <v>0</v>
      </c>
      <c r="AC334" s="66">
        <f t="array" ref="AC334">IFS(B334&lt;66, XLOOKUP(year(A334),Lookup!$K$13:$K1000,Lookup!$L$13:$L1000,"missing",,1),B334&gt;65,XLOOKUP(questions!$C$5,Lookup!$K$13:$K1000,Lookup!$L$13:$L1000,"missing",,1))</f>
        <v>279083.8715</v>
      </c>
      <c r="AD334" s="66">
        <f t="array" ref="AD334">IFS(B334&lt;66, XLOOKUP(year(A334),Lookup!$K$13:$K1000,Lookup!$M$13:$M1000,"missing",,1),B334&gt;65, XLOOKUP(questions!$C$5,Lookup!$K$13:$K1000,Lookup!$M$13:$M1000,"missing",,1))</f>
        <v>558167.7431</v>
      </c>
      <c r="AE334" s="66">
        <f t="array" ref="AE334">IFS(B334&lt;66, XLOOKUP(year(A334),Lookup!$K$13:$K1000,Lookup!$N$13:$N1000,"missing",,1),B334&gt;65,XLOOKUP(questions!$C$5,Lookup!$K$13:$K1000,Lookup!$N$13:$N1000,"missing",,1))</f>
        <v>1116335.486</v>
      </c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</row>
    <row r="335">
      <c r="A335" s="55">
        <f t="shared" si="7"/>
        <v>56218</v>
      </c>
      <c r="B335" s="56">
        <f>round(YEARFRAC(EOMONTH(questions!$C$3, 0),A335,1),2)</f>
        <v>55</v>
      </c>
      <c r="C335" s="57">
        <f>IF(B335&lt;questions!$C$6,if(MONTH(A335)=1,C334*(1+questions!$C$12),C334),0)</f>
        <v>22212.89006</v>
      </c>
      <c r="D335" s="58">
        <f>IF(MONTH(A335)=12,C335*questions!$C$11,0)</f>
        <v>0</v>
      </c>
      <c r="E335" s="59">
        <f t="shared" si="2"/>
        <v>8000</v>
      </c>
      <c r="F335" s="59">
        <f t="shared" si="3"/>
        <v>0</v>
      </c>
      <c r="G335" s="60">
        <f t="array" ref="G335">if(YEAR(A335)=2025,XLOOKUP(B335,Lookup!$A$3:$A$7,Lookup!$D$3:$D$7,,1)*SUM(E335:F335), XLOOKUP(B335,Lookup!$A$14:$A$18,Lookup!$D$14:$D$18,,1)*SUM(E335:F335))</f>
        <v>2960</v>
      </c>
      <c r="H335" s="60">
        <f t="array" ref="H335">if(YEAR(A335)=2025,XLOOKUP(B335,Lookup!$F$3:$F$10,Lookup!$G$3:$G$10,,1)*G335, XLOOKUP(B335,Lookup!$F$14:$F$21,Lookup!$G$14:$G$21,,1)*G335)</f>
        <v>1200.28</v>
      </c>
      <c r="I335" s="61">
        <f t="array" ref="I335">if(B335&lt;55, if(YEAR(A335)=2025,XLOOKUP(B335,Lookup!$F$3:$F$10,Lookup!$H$3:$H$10,,1)*G335, XLOOKUP(B335,Lookup!$F$14:$F$21,Lookup!$H$14:$H$21,,1)*G335),0)</f>
        <v>0</v>
      </c>
      <c r="J335" s="60">
        <f t="array" ref="J335">if(YEAR(A335)=2025,XLOOKUP(B335,Lookup!$F$3:$F$10,Lookup!$I$3:$I$10,,1)*G335, XLOOKUP(B335,Lookup!$F$14:$F$21,Lookup!$I$14:$I$21,,1)*G335)</f>
        <v>839.752</v>
      </c>
      <c r="K335" s="60">
        <f t="array" ref="K335">if(B335&gt;54, if(YEAR(A335)=2025,XLOOKUP(B335,Lookup!$F$3:$F$10,Lookup!$H$3:$H$10,,1)*G335, XLOOKUP(B335,Lookup!$F$14:$F$21,Lookup!$H$14:$H$21,,1)*G335),0)</f>
        <v>919.968</v>
      </c>
      <c r="L335" s="62">
        <f>IF(and(A335&lt;questions!$C$19,questions!$C$18="yes"),questions!$C$20,0)</f>
        <v>0</v>
      </c>
      <c r="M335" s="63">
        <f>(Y334+H335)*Lookup!A$26/12</f>
        <v>1339.925968</v>
      </c>
      <c r="N335" s="63">
        <f>if(B335&lt;55, (Z334+I335)*Lookup!B$26/12, (AB334+K335)*Lookup!B$26/12)</f>
        <v>3.06656</v>
      </c>
      <c r="O335" s="63">
        <f>(AA334+J335)*Lookup!C$26/12</f>
        <v>669.4451785</v>
      </c>
      <c r="P335" s="63">
        <f t="shared" si="8"/>
        <v>14601.65357</v>
      </c>
      <c r="Q335" s="63">
        <f t="shared" si="4"/>
        <v>18148.14421</v>
      </c>
      <c r="R335" s="63">
        <f t="shared" si="5"/>
        <v>7261.774941</v>
      </c>
      <c r="S335" s="64">
        <f t="shared" si="9"/>
        <v>33.33333333</v>
      </c>
      <c r="T335" s="64">
        <f t="shared" si="10"/>
        <v>33.33333333</v>
      </c>
      <c r="U335" s="64">
        <f t="shared" si="11"/>
        <v>25</v>
      </c>
      <c r="V335" s="64">
        <f t="shared" ref="V335:X335" si="343">IF(year($A335)=year($A334), V334+S335, S335)</f>
        <v>200</v>
      </c>
      <c r="W335" s="64">
        <f t="shared" si="343"/>
        <v>366.6666667</v>
      </c>
      <c r="X335" s="64">
        <f t="shared" si="343"/>
        <v>25</v>
      </c>
      <c r="Y335" s="65">
        <f>IFS(
  B335&lt;55,
    MAX(
      Y334 + IF(MONTH(A335)=12, P335+V335, 0) + H335 - L335
      + MAX(0,
          IF(AA334 &gt;= VLOOKUP(YEAR(A335), Lookup!$Q:$R, 2),
            Z334 + IF(MONTH(A335)=12, Q335+W335, 0) + I335
              + AA334 + IF(MONTH(A335)=12, R335+X335, 0)
              - VLOOKUP(YEAR(A335), Lookup!$Q:$R, 2) + J335,
            Z334 + IF(MONTH(A335)=12, Q335+W335, 0) + I335
          ) - VLOOKUP(YEAR(A335), Lookup!$K:$M, 3)
        ),
    0),
  B335=55,
    IF(Z334&gt;=AD335,
      MAX(Y334 + IF(MONTH(A335)=12, P335+V335, 0) + H335 - L335, 0),
      MAX(MAX(0, Y334-(AD335-Z334)) + IF(MONTH(A335)=12, P335+V335, 0) + H335 - L335, 0)
    ),
  B335&gt;55,
    IF(AB334&gt;=$AH$7,
      MAX(Y334 + IF(MONTH(A335)=12, P335+V335, 0) + H335 - L335 + K335 + Z334, 0),
      MAX(Y334 + IF(MONTH(A335)=12, P335+V335, 0) + H335 - L335, 0)
    )
)</f>
        <v>634328.659</v>
      </c>
      <c r="Z335" s="65">
        <f>IFS(
  B335&lt;55,
    MIN(
      IF(AA334 &gt;= VLOOKUP(YEAR(A335), Lookup!$Q:$R, 2),
        Z334 + IF(MONTH(A335)=12, Q335+W335, 0) + I335
          + AA334 + IF(MONTH(A335)=12, R335+X335, 0) - VLOOKUP(YEAR(A335), Lookup!$Q:$R, 2) + J335,
        Z334 + IF(MONTH(A335)=12, Q335+W335, 0) + I335
      ),
      VLOOKUP(YEAR(A335), Lookup!$K:$M, 3)
    ),
  B335=55,
    IF(Z334 &gt;= AD335, Z334 - AD335, 0),
  B335&gt;55, 0
)</f>
        <v>0</v>
      </c>
      <c r="AA335" s="65">
        <f>IFS(
  B335&lt;65,
    IF(AA334+J335 &lt; VLOOKUP(YEAR(A335), Lookup!$Q:$R, 2),
      AA334 + IF(MONTH(A335)=12, R334+X334, 0) + J335,
      MIN(
        AA334 + IF(MONTH(A335)=12, R334+X334, 0) + J335 ,
        VLOOKUP(YEAR(A335), Lookup!$Q:$R, 2)
      )
    ),
  B335&gt;=65,
    IF(AA334+J335 &lt; VLOOKUP(questions!$C$5, Lookup!$Q:$R, 2),
      AA334 + IF(MONTH(A335)=12, R334+X334, 0) + J335 ,
      MIN(
        AA334 + IF(MONTH(A335)=12, R334+X334, 0) + J335,
        VLOOKUP(questions!$C$5, Lookup!$Q:$R, 2)
      )
    )
)</f>
        <v>199993.8016</v>
      </c>
      <c r="AB335" s="65">
        <f t="shared" si="13"/>
        <v>558167.7431</v>
      </c>
      <c r="AC335" s="66">
        <f t="array" ref="AC335">IFS(B335&lt;66, XLOOKUP(year(A335),Lookup!$K$13:$K1000,Lookup!$L$13:$L1000,"missing",,1),B335&gt;65,XLOOKUP(questions!$C$5,Lookup!$K$13:$K1000,Lookup!$L$13:$L1000,"missing",,1))</f>
        <v>279083.8715</v>
      </c>
      <c r="AD335" s="66">
        <f t="array" ref="AD335">IFS(B335&lt;66, XLOOKUP(year(A335),Lookup!$K$13:$K1000,Lookup!$M$13:$M1000,"missing",,1),B335&gt;65, XLOOKUP(questions!$C$5,Lookup!$K$13:$K1000,Lookup!$M$13:$M1000,"missing",,1))</f>
        <v>558167.7431</v>
      </c>
      <c r="AE335" s="66">
        <f t="array" ref="AE335">IFS(B335&lt;66, XLOOKUP(year(A335),Lookup!$K$13:$K1000,Lookup!$N$13:$N1000,"missing",,1),B335&gt;65,XLOOKUP(questions!$C$5,Lookup!$K$13:$K1000,Lookup!$N$13:$N1000,"missing",,1))</f>
        <v>1116335.486</v>
      </c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</row>
    <row r="336">
      <c r="A336" s="55">
        <f t="shared" si="7"/>
        <v>56249</v>
      </c>
      <c r="B336" s="56">
        <f>round(YEARFRAC(EOMONTH(questions!$C$3, 0),A336,1),2)</f>
        <v>55.08</v>
      </c>
      <c r="C336" s="57">
        <f>IF(B336&lt;questions!$C$6,if(MONTH(A336)=1,C335*(1+questions!$C$12),C335),0)</f>
        <v>22212.89006</v>
      </c>
      <c r="D336" s="57">
        <f>IF(MONTH(A336)=12,C336*questions!$C$11,0)</f>
        <v>22212.89006</v>
      </c>
      <c r="E336" s="59">
        <f t="shared" si="2"/>
        <v>8000</v>
      </c>
      <c r="F336" s="59">
        <f t="shared" si="3"/>
        <v>6000</v>
      </c>
      <c r="G336" s="60">
        <f t="array" ref="G336">if(YEAR(A336)=2025,XLOOKUP(B336,Lookup!$A$3:$A$7,Lookup!$D$3:$D$7,,1)*SUM(E336:F336), XLOOKUP(B336,Lookup!$A$14:$A$18,Lookup!$D$14:$D$18,,1)*SUM(E336:F336))</f>
        <v>4760</v>
      </c>
      <c r="H336" s="60">
        <f t="array" ref="H336">if(YEAR(A336)=2025,XLOOKUP(B336,Lookup!$F$3:$F$10,Lookup!$G$3:$G$10,,1)*G336, XLOOKUP(B336,Lookup!$F$14:$F$21,Lookup!$G$14:$G$21,,1)*G336)</f>
        <v>1680.28</v>
      </c>
      <c r="I336" s="61">
        <f t="array" ref="I336">if(B336&lt;55, if(YEAR(A336)=2025,XLOOKUP(B336,Lookup!$F$3:$F$10,Lookup!$H$3:$H$10,,1)*G336, XLOOKUP(B336,Lookup!$F$14:$F$21,Lookup!$H$14:$H$21,,1)*G336),0)</f>
        <v>0</v>
      </c>
      <c r="J336" s="60">
        <f t="array" ref="J336">if(YEAR(A336)=2025,XLOOKUP(B336,Lookup!$F$3:$F$10,Lookup!$I$3:$I$10,,1)*G336, XLOOKUP(B336,Lookup!$F$14:$F$21,Lookup!$I$14:$I$21,,1)*G336)</f>
        <v>1469.888</v>
      </c>
      <c r="K336" s="60">
        <f t="array" ref="K336">if(B336&gt;54, if(YEAR(A336)=2025,XLOOKUP(B336,Lookup!$F$3:$F$10,Lookup!$H$3:$H$10,,1)*G336, XLOOKUP(B336,Lookup!$F$14:$F$21,Lookup!$H$14:$H$21,,1)*G336),0)</f>
        <v>1609.832</v>
      </c>
      <c r="L336" s="62">
        <f>IF(and(A336&lt;questions!$C$19,questions!$C$18="yes"),questions!$C$20,0)</f>
        <v>0</v>
      </c>
      <c r="M336" s="63">
        <f>(Y335+H336)*Lookup!A$26/12</f>
        <v>1325.018623</v>
      </c>
      <c r="N336" s="63">
        <f>if(B336&lt;55, (Z335+I336)*Lookup!B$26/12, (AB335+K336)*Lookup!B$26/12)</f>
        <v>1865.92525</v>
      </c>
      <c r="O336" s="63">
        <f>(AA335+J336)*Lookup!C$26/12</f>
        <v>671.5456318</v>
      </c>
      <c r="P336" s="63">
        <f t="shared" si="8"/>
        <v>15926.67219</v>
      </c>
      <c r="Q336" s="63">
        <f t="shared" si="4"/>
        <v>20014.06946</v>
      </c>
      <c r="R336" s="63">
        <f t="shared" si="5"/>
        <v>7933.320573</v>
      </c>
      <c r="S336" s="64">
        <f t="shared" si="9"/>
        <v>33.33333333</v>
      </c>
      <c r="T336" s="64">
        <f t="shared" si="10"/>
        <v>41.66666667</v>
      </c>
      <c r="U336" s="64">
        <f t="shared" si="11"/>
        <v>0</v>
      </c>
      <c r="V336" s="64">
        <f t="shared" ref="V336:X336" si="344">IF(year($A336)=year($A335), V335+S336, S336)</f>
        <v>233.3333333</v>
      </c>
      <c r="W336" s="64">
        <f t="shared" si="344"/>
        <v>408.3333333</v>
      </c>
      <c r="X336" s="64">
        <f t="shared" si="344"/>
        <v>25</v>
      </c>
      <c r="Y336" s="65">
        <f>IFS(
  B336&lt;55,
    MAX(
      Y335 + IF(MONTH(A336)=12, P336+V336, 0) + H336 - L336
      + MAX(0,
          IF(AA335 &gt;= VLOOKUP(YEAR(A336), Lookup!$Q:$R, 2),
            Z335 + IF(MONTH(A336)=12, Q336+W336, 0) + I336
              + AA335 + IF(MONTH(A336)=12, R336+X336, 0)
              - VLOOKUP(YEAR(A336), Lookup!$Q:$R, 2) + J336,
            Z335 + IF(MONTH(A336)=12, Q336+W336, 0) + I336
          ) - VLOOKUP(YEAR(A336), Lookup!$K:$M, 3)
        ),
    0),
  B336=55,
    IF(Z335&gt;=AD336,
      MAX(Y335 + IF(MONTH(A336)=12, P336+V336, 0) + H336 - L336, 0),
      MAX(MAX(0, Y335-(AD336-Z335)) + IF(MONTH(A336)=12, P336+V336, 0) + H336 - L336, 0)
    ),
  B336&gt;55,
    IF(AB335&gt;=$AH$7,
      MAX(Y335 + IF(MONTH(A336)=12, P336+V336, 0) + H336 - L336 + K336 + Z335, 0),
      MAX(Y335 + IF(MONTH(A336)=12, P336+V336, 0) + H336 - L336, 0)
    )
)</f>
        <v>653778.7765</v>
      </c>
      <c r="Z336" s="65">
        <f>IFS(
  B336&lt;55,
    MIN(
      IF(AA335 &gt;= VLOOKUP(YEAR(A336), Lookup!$Q:$R, 2),
        Z335 + IF(MONTH(A336)=12, Q336+W336, 0) + I336
          + AA335 + IF(MONTH(A336)=12, R336+X336, 0) - VLOOKUP(YEAR(A336), Lookup!$Q:$R, 2) + J336,
        Z335 + IF(MONTH(A336)=12, Q336+W336, 0) + I336
      ),
      VLOOKUP(YEAR(A336), Lookup!$K:$M, 3)
    ),
  B336=55,
    IF(Z335 &gt;= AD336, Z335 - AD336, 0),
  B336&gt;55, 0
)</f>
        <v>0</v>
      </c>
      <c r="AA336" s="65">
        <f>IFS(
  B336&lt;65,
    IF(AA335+J336 &lt; VLOOKUP(YEAR(A336), Lookup!$Q:$R, 2),
      AA335 + IF(MONTH(A336)=12, R335+X335, 0) + J336,
      MIN(
        AA335 + IF(MONTH(A336)=12, R335+X335, 0) + J336 ,
        VLOOKUP(YEAR(A336), Lookup!$Q:$R, 2)
      )
    ),
  B336&gt;=65,
    IF(AA335+J336 &lt; VLOOKUP(questions!$C$5, Lookup!$Q:$R, 2),
      AA335 + IF(MONTH(A336)=12, R335+X335, 0) + J336 ,
      MIN(
        AA335 + IF(MONTH(A336)=12, R335+X335, 0) + J336,
        VLOOKUP(questions!$C$5, Lookup!$Q:$R, 2)
      )
    )
)</f>
        <v>199993.8016</v>
      </c>
      <c r="AB336" s="65">
        <f t="shared" si="13"/>
        <v>580199.9779</v>
      </c>
      <c r="AC336" s="66">
        <f t="array" ref="AC336">IFS(B336&lt;66, XLOOKUP(year(A336),Lookup!$K$13:$K1000,Lookup!$L$13:$L1000,"missing",,1),B336&gt;65,XLOOKUP(questions!$C$5,Lookup!$K$13:$K1000,Lookup!$L$13:$L1000,"missing",,1))</f>
        <v>279083.8715</v>
      </c>
      <c r="AD336" s="66">
        <f t="array" ref="AD336">IFS(B336&lt;66, XLOOKUP(year(A336),Lookup!$K$13:$K1000,Lookup!$M$13:$M1000,"missing",,1),B336&gt;65, XLOOKUP(questions!$C$5,Lookup!$K$13:$K1000,Lookup!$M$13:$M1000,"missing",,1))</f>
        <v>558167.7431</v>
      </c>
      <c r="AE336" s="66">
        <f t="array" ref="AE336">IFS(B336&lt;66, XLOOKUP(year(A336),Lookup!$K$13:$K1000,Lookup!$N$13:$N1000,"missing",,1),B336&gt;65,XLOOKUP(questions!$C$5,Lookup!$K$13:$K1000,Lookup!$N$13:$N1000,"missing",,1))</f>
        <v>1116335.486</v>
      </c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</row>
    <row r="337">
      <c r="A337" s="55">
        <f t="shared" si="7"/>
        <v>56280</v>
      </c>
      <c r="B337" s="56">
        <f>round(YEARFRAC(EOMONTH(questions!$C$3, 0),A337,1),2)</f>
        <v>55.17</v>
      </c>
      <c r="C337" s="57">
        <f>IF(B337&lt;questions!$C$6,if(MONTH(A337)=1,C336*(1+questions!$C$12),C336),0)</f>
        <v>22879.27676</v>
      </c>
      <c r="D337" s="58">
        <f>IF(MONTH(A337)=12,C337*questions!$C$11,0)</f>
        <v>0</v>
      </c>
      <c r="E337" s="59">
        <f t="shared" si="2"/>
        <v>8000</v>
      </c>
      <c r="F337" s="59">
        <f t="shared" si="3"/>
        <v>0</v>
      </c>
      <c r="G337" s="60">
        <f t="array" ref="G337">if(YEAR(A337)=2025,XLOOKUP(B337,Lookup!$A$3:$A$7,Lookup!$D$3:$D$7,,1)*SUM(E337:F337), XLOOKUP(B337,Lookup!$A$14:$A$18,Lookup!$D$14:$D$18,,1)*SUM(E337:F337))</f>
        <v>2720</v>
      </c>
      <c r="H337" s="60">
        <f t="array" ref="H337">if(YEAR(A337)=2025,XLOOKUP(B337,Lookup!$F$3:$F$10,Lookup!$G$3:$G$10,,1)*G337, XLOOKUP(B337,Lookup!$F$14:$F$21,Lookup!$G$14:$G$21,,1)*G337)</f>
        <v>960.16</v>
      </c>
      <c r="I337" s="61">
        <f t="array" ref="I337">if(B337&lt;55, if(YEAR(A337)=2025,XLOOKUP(B337,Lookup!$F$3:$F$10,Lookup!$H$3:$H$10,,1)*G337, XLOOKUP(B337,Lookup!$F$14:$F$21,Lookup!$H$14:$H$21,,1)*G337),0)</f>
        <v>0</v>
      </c>
      <c r="J337" s="60">
        <f t="array" ref="J337">if(YEAR(A337)=2025,XLOOKUP(B337,Lookup!$F$3:$F$10,Lookup!$I$3:$I$10,,1)*G337, XLOOKUP(B337,Lookup!$F$14:$F$21,Lookup!$I$14:$I$21,,1)*G337)</f>
        <v>839.936</v>
      </c>
      <c r="K337" s="60">
        <f t="array" ref="K337">if(B337&gt;54, if(YEAR(A337)=2025,XLOOKUP(B337,Lookup!$F$3:$F$10,Lookup!$H$3:$H$10,,1)*G337, XLOOKUP(B337,Lookup!$F$14:$F$21,Lookup!$H$14:$H$21,,1)*G337),0)</f>
        <v>919.904</v>
      </c>
      <c r="L337" s="62">
        <f>IF(and(A337&lt;questions!$C$19,questions!$C$18="yes"),questions!$C$20,0)</f>
        <v>0</v>
      </c>
      <c r="M337" s="63">
        <f>(Y336+H337)*Lookup!A$26/12</f>
        <v>1364.039451</v>
      </c>
      <c r="N337" s="63">
        <f>if(B337&lt;55, (Z336+I337)*Lookup!B$26/12, (AB336+K337)*Lookup!B$26/12)</f>
        <v>1937.066273</v>
      </c>
      <c r="O337" s="63">
        <f>(AA336+J337)*Lookup!C$26/12</f>
        <v>669.4457918</v>
      </c>
      <c r="P337" s="63">
        <f t="shared" si="8"/>
        <v>1364.039451</v>
      </c>
      <c r="Q337" s="63">
        <f t="shared" si="4"/>
        <v>1937.066273</v>
      </c>
      <c r="R337" s="63">
        <f t="shared" si="5"/>
        <v>669.4457918</v>
      </c>
      <c r="S337" s="64">
        <f t="shared" si="9"/>
        <v>33.33333333</v>
      </c>
      <c r="T337" s="64">
        <f t="shared" si="10"/>
        <v>41.66666667</v>
      </c>
      <c r="U337" s="64">
        <f t="shared" si="11"/>
        <v>0</v>
      </c>
      <c r="V337" s="64">
        <f t="shared" ref="V337:X337" si="345">IF(year($A337)=year($A336), V336+S337, S337)</f>
        <v>33.33333333</v>
      </c>
      <c r="W337" s="64">
        <f t="shared" si="345"/>
        <v>41.66666667</v>
      </c>
      <c r="X337" s="64">
        <f t="shared" si="345"/>
        <v>0</v>
      </c>
      <c r="Y337" s="65">
        <f>IFS(
  B337&lt;55,
    MAX(
      Y336 + IF(MONTH(A337)=12, P337+V337, 0) + H337 - L337
      + MAX(0,
          IF(AA336 &gt;= VLOOKUP(YEAR(A337), Lookup!$Q:$R, 2),
            Z336 + IF(MONTH(A337)=12, Q337+W337, 0) + I337
              + AA336 + IF(MONTH(A337)=12, R337+X337, 0)
              - VLOOKUP(YEAR(A337), Lookup!$Q:$R, 2) + J337,
            Z336 + IF(MONTH(A337)=12, Q337+W337, 0) + I337
          ) - VLOOKUP(YEAR(A337), Lookup!$K:$M, 3)
        ),
    0),
  B337=55,
    IF(Z336&gt;=AD337,
      MAX(Y336 + IF(MONTH(A337)=12, P337+V337, 0) + H337 - L337, 0),
      MAX(MAX(0, Y336-(AD337-Z336)) + IF(MONTH(A337)=12, P337+V337, 0) + H337 - L337, 0)
    ),
  B337&gt;55,
    IF(AB336&gt;=$AH$7,
      MAX(Y336 + IF(MONTH(A337)=12, P337+V337, 0) + H337 - L337 + K337 + Z336, 0),
      MAX(Y336 + IF(MONTH(A337)=12, P337+V337, 0) + H337 - L337, 0)
    )
)</f>
        <v>655658.8405</v>
      </c>
      <c r="Z337" s="65">
        <f>IFS(
  B337&lt;55,
    MIN(
      IF(AA336 &gt;= VLOOKUP(YEAR(A337), Lookup!$Q:$R, 2),
        Z336 + IF(MONTH(A337)=12, Q337+W337, 0) + I337
          + AA336 + IF(MONTH(A337)=12, R337+X337, 0) - VLOOKUP(YEAR(A337), Lookup!$Q:$R, 2) + J337,
        Z336 + IF(MONTH(A337)=12, Q337+W337, 0) + I337
      ),
      VLOOKUP(YEAR(A337), Lookup!$K:$M, 3)
    ),
  B337=55,
    IF(Z336 &gt;= AD337, Z336 - AD337, 0),
  B337&gt;55, 0
)</f>
        <v>0</v>
      </c>
      <c r="AA337" s="65">
        <f>IFS(
  B337&lt;65,
    IF(AA336+J337 &lt; VLOOKUP(YEAR(A337), Lookup!$Q:$R, 2),
      AA336 + IF(MONTH(A337)=12, R336+X336, 0) + J337,
      MIN(
        AA336 + IF(MONTH(A337)=12, R336+X336, 0) + J337 ,
        VLOOKUP(YEAR(A337), Lookup!$Q:$R, 2)
      )
    ),
  B337&gt;=65,
    IF(AA336+J337 &lt; VLOOKUP(questions!$C$5, Lookup!$Q:$R, 2),
      AA336 + IF(MONTH(A337)=12, R336+X336, 0) + J337 ,
      MIN(
        AA336 + IF(MONTH(A337)=12, R336+X336, 0) + J337,
        VLOOKUP(questions!$C$5, Lookup!$Q:$R, 2)
      )
    )
)</f>
        <v>200833.7376</v>
      </c>
      <c r="AB337" s="65">
        <f t="shared" si="13"/>
        <v>581119.8819</v>
      </c>
      <c r="AC337" s="66">
        <f t="array" ref="AC337">IFS(B337&lt;66, XLOOKUP(year(A337),Lookup!$K$13:$K1000,Lookup!$L$13:$L1000,"missing",,1),B337&gt;65,XLOOKUP(questions!$C$5,Lookup!$K$13:$K1000,Lookup!$L$13:$L1000,"missing",,1))</f>
        <v>288851.8071</v>
      </c>
      <c r="AD337" s="66">
        <f t="array" ref="AD337">IFS(B337&lt;66, XLOOKUP(year(A337),Lookup!$K$13:$K1000,Lookup!$M$13:$M1000,"missing",,1),B337&gt;65, XLOOKUP(questions!$C$5,Lookup!$K$13:$K1000,Lookup!$M$13:$M1000,"missing",,1))</f>
        <v>577703.6141</v>
      </c>
      <c r="AE337" s="66">
        <f t="array" ref="AE337">IFS(B337&lt;66, XLOOKUP(year(A337),Lookup!$K$13:$K1000,Lookup!$N$13:$N1000,"missing",,1),B337&gt;65,XLOOKUP(questions!$C$5,Lookup!$K$13:$K1000,Lookup!$N$13:$N1000,"missing",,1))</f>
        <v>1155407.228</v>
      </c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</row>
    <row r="338">
      <c r="A338" s="55">
        <f t="shared" si="7"/>
        <v>56308</v>
      </c>
      <c r="B338" s="56">
        <f>round(YEARFRAC(EOMONTH(questions!$C$3, 0),A338,1),2)</f>
        <v>55.25</v>
      </c>
      <c r="C338" s="57">
        <f>IF(B338&lt;questions!$C$6,if(MONTH(A338)=1,C337*(1+questions!$C$12),C337),0)</f>
        <v>22879.27676</v>
      </c>
      <c r="D338" s="58">
        <f>IF(MONTH(A338)=12,C338*questions!$C$11,0)</f>
        <v>0</v>
      </c>
      <c r="E338" s="59">
        <f t="shared" si="2"/>
        <v>8000</v>
      </c>
      <c r="F338" s="59">
        <f t="shared" si="3"/>
        <v>0</v>
      </c>
      <c r="G338" s="60">
        <f t="array" ref="G338">if(YEAR(A338)=2025,XLOOKUP(B338,Lookup!$A$3:$A$7,Lookup!$D$3:$D$7,,1)*SUM(E338:F338), XLOOKUP(B338,Lookup!$A$14:$A$18,Lookup!$D$14:$D$18,,1)*SUM(E338:F338))</f>
        <v>2720</v>
      </c>
      <c r="H338" s="60">
        <f t="array" ref="H338">if(YEAR(A338)=2025,XLOOKUP(B338,Lookup!$F$3:$F$10,Lookup!$G$3:$G$10,,1)*G338, XLOOKUP(B338,Lookup!$F$14:$F$21,Lookup!$G$14:$G$21,,1)*G338)</f>
        <v>960.16</v>
      </c>
      <c r="I338" s="61">
        <f t="array" ref="I338">if(B338&lt;55, if(YEAR(A338)=2025,XLOOKUP(B338,Lookup!$F$3:$F$10,Lookup!$H$3:$H$10,,1)*G338, XLOOKUP(B338,Lookup!$F$14:$F$21,Lookup!$H$14:$H$21,,1)*G338),0)</f>
        <v>0</v>
      </c>
      <c r="J338" s="60">
        <f t="array" ref="J338">if(YEAR(A338)=2025,XLOOKUP(B338,Lookup!$F$3:$F$10,Lookup!$I$3:$I$10,,1)*G338, XLOOKUP(B338,Lookup!$F$14:$F$21,Lookup!$I$14:$I$21,,1)*G338)</f>
        <v>839.936</v>
      </c>
      <c r="K338" s="60">
        <f t="array" ref="K338">if(B338&gt;54, if(YEAR(A338)=2025,XLOOKUP(B338,Lookup!$F$3:$F$10,Lookup!$H$3:$H$10,,1)*G338, XLOOKUP(B338,Lookup!$F$14:$F$21,Lookup!$H$14:$H$21,,1)*G338),0)</f>
        <v>919.904</v>
      </c>
      <c r="L338" s="62">
        <f>IF(and(A338&lt;questions!$C$19,questions!$C$18="yes"),questions!$C$20,0)</f>
        <v>0</v>
      </c>
      <c r="M338" s="63">
        <f>(Y337+H338)*Lookup!A$26/12</f>
        <v>1367.956251</v>
      </c>
      <c r="N338" s="63">
        <f>if(B338&lt;55, (Z337+I338)*Lookup!B$26/12, (AB337+K338)*Lookup!B$26/12)</f>
        <v>1940.13262</v>
      </c>
      <c r="O338" s="63">
        <f>(AA337+J338)*Lookup!C$26/12</f>
        <v>672.2455785</v>
      </c>
      <c r="P338" s="63">
        <f t="shared" si="8"/>
        <v>2731.995702</v>
      </c>
      <c r="Q338" s="63">
        <f t="shared" si="4"/>
        <v>3877.198893</v>
      </c>
      <c r="R338" s="63">
        <f t="shared" si="5"/>
        <v>1341.69137</v>
      </c>
      <c r="S338" s="64">
        <f t="shared" si="9"/>
        <v>33.33333333</v>
      </c>
      <c r="T338" s="64">
        <f t="shared" si="10"/>
        <v>41.66666667</v>
      </c>
      <c r="U338" s="64">
        <f t="shared" si="11"/>
        <v>0</v>
      </c>
      <c r="V338" s="64">
        <f t="shared" ref="V338:X338" si="346">IF(year($A338)=year($A337), V337+S338, S338)</f>
        <v>66.66666667</v>
      </c>
      <c r="W338" s="64">
        <f t="shared" si="346"/>
        <v>83.33333333</v>
      </c>
      <c r="X338" s="64">
        <f t="shared" si="346"/>
        <v>0</v>
      </c>
      <c r="Y338" s="65">
        <f>IFS(
  B338&lt;55,
    MAX(
      Y337 + IF(MONTH(A338)=12, P338+V338, 0) + H338 - L338
      + MAX(0,
          IF(AA337 &gt;= VLOOKUP(YEAR(A338), Lookup!$Q:$R, 2),
            Z337 + IF(MONTH(A338)=12, Q338+W338, 0) + I338
              + AA337 + IF(MONTH(A338)=12, R338+X338, 0)
              - VLOOKUP(YEAR(A338), Lookup!$Q:$R, 2) + J338,
            Z337 + IF(MONTH(A338)=12, Q338+W338, 0) + I338
          ) - VLOOKUP(YEAR(A338), Lookup!$K:$M, 3)
        ),
    0),
  B338=55,
    IF(Z337&gt;=AD338,
      MAX(Y337 + IF(MONTH(A338)=12, P338+V338, 0) + H338 - L338, 0),
      MAX(MAX(0, Y337-(AD338-Z337)) + IF(MONTH(A338)=12, P338+V338, 0) + H338 - L338, 0)
    ),
  B338&gt;55,
    IF(AB337&gt;=$AH$7,
      MAX(Y337 + IF(MONTH(A338)=12, P338+V338, 0) + H338 - L338 + K338 + Z337, 0),
      MAX(Y337 + IF(MONTH(A338)=12, P338+V338, 0) + H338 - L338, 0)
    )
)</f>
        <v>657538.9045</v>
      </c>
      <c r="Z338" s="65">
        <f>IFS(
  B338&lt;55,
    MIN(
      IF(AA337 &gt;= VLOOKUP(YEAR(A338), Lookup!$Q:$R, 2),
        Z337 + IF(MONTH(A338)=12, Q338+W338, 0) + I338
          + AA337 + IF(MONTH(A338)=12, R338+X338, 0) - VLOOKUP(YEAR(A338), Lookup!$Q:$R, 2) + J338,
        Z337 + IF(MONTH(A338)=12, Q338+W338, 0) + I338
      ),
      VLOOKUP(YEAR(A338), Lookup!$K:$M, 3)
    ),
  B338=55,
    IF(Z337 &gt;= AD338, Z337 - AD338, 0),
  B338&gt;55, 0
)</f>
        <v>0</v>
      </c>
      <c r="AA338" s="65">
        <f>IFS(
  B338&lt;65,
    IF(AA337+J338 &lt; VLOOKUP(YEAR(A338), Lookup!$Q:$R, 2),
      AA337 + IF(MONTH(A338)=12, R337+X337, 0) + J338,
      MIN(
        AA337 + IF(MONTH(A338)=12, R337+X337, 0) + J338 ,
        VLOOKUP(YEAR(A338), Lookup!$Q:$R, 2)
      )
    ),
  B338&gt;=65,
    IF(AA337+J338 &lt; VLOOKUP(questions!$C$5, Lookup!$Q:$R, 2),
      AA337 + IF(MONTH(A338)=12, R337+X337, 0) + J338 ,
      MIN(
        AA337 + IF(MONTH(A338)=12, R337+X337, 0) + J338,
        VLOOKUP(questions!$C$5, Lookup!$Q:$R, 2)
      )
    )
)</f>
        <v>201673.6736</v>
      </c>
      <c r="AB338" s="65">
        <f t="shared" si="13"/>
        <v>582039.7859</v>
      </c>
      <c r="AC338" s="66">
        <f t="array" ref="AC338">IFS(B338&lt;66, XLOOKUP(year(A338),Lookup!$K$13:$K1000,Lookup!$L$13:$L1000,"missing",,1),B338&gt;65,XLOOKUP(questions!$C$5,Lookup!$K$13:$K1000,Lookup!$L$13:$L1000,"missing",,1))</f>
        <v>288851.8071</v>
      </c>
      <c r="AD338" s="66">
        <f t="array" ref="AD338">IFS(B338&lt;66, XLOOKUP(year(A338),Lookup!$K$13:$K1000,Lookup!$M$13:$M1000,"missing",,1),B338&gt;65, XLOOKUP(questions!$C$5,Lookup!$K$13:$K1000,Lookup!$M$13:$M1000,"missing",,1))</f>
        <v>577703.6141</v>
      </c>
      <c r="AE338" s="66">
        <f t="array" ref="AE338">IFS(B338&lt;66, XLOOKUP(year(A338),Lookup!$K$13:$K1000,Lookup!$N$13:$N1000,"missing",,1),B338&gt;65,XLOOKUP(questions!$C$5,Lookup!$K$13:$K1000,Lookup!$N$13:$N1000,"missing",,1))</f>
        <v>1155407.228</v>
      </c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</row>
    <row r="339">
      <c r="A339" s="55">
        <f t="shared" si="7"/>
        <v>56339</v>
      </c>
      <c r="B339" s="56">
        <f>round(YEARFRAC(EOMONTH(questions!$C$3, 0),A339,1),2)</f>
        <v>55.33</v>
      </c>
      <c r="C339" s="57">
        <f>IF(B339&lt;questions!$C$6,if(MONTH(A339)=1,C338*(1+questions!$C$12),C338),0)</f>
        <v>22879.27676</v>
      </c>
      <c r="D339" s="58">
        <f>IF(MONTH(A339)=12,C339*questions!$C$11,0)</f>
        <v>0</v>
      </c>
      <c r="E339" s="59">
        <f t="shared" si="2"/>
        <v>8000</v>
      </c>
      <c r="F339" s="59">
        <f t="shared" si="3"/>
        <v>0</v>
      </c>
      <c r="G339" s="60">
        <f t="array" ref="G339">if(YEAR(A339)=2025,XLOOKUP(B339,Lookup!$A$3:$A$7,Lookup!$D$3:$D$7,,1)*SUM(E339:F339), XLOOKUP(B339,Lookup!$A$14:$A$18,Lookup!$D$14:$D$18,,1)*SUM(E339:F339))</f>
        <v>2720</v>
      </c>
      <c r="H339" s="60">
        <f t="array" ref="H339">if(YEAR(A339)=2025,XLOOKUP(B339,Lookup!$F$3:$F$10,Lookup!$G$3:$G$10,,1)*G339, XLOOKUP(B339,Lookup!$F$14:$F$21,Lookup!$G$14:$G$21,,1)*G339)</f>
        <v>960.16</v>
      </c>
      <c r="I339" s="61">
        <f t="array" ref="I339">if(B339&lt;55, if(YEAR(A339)=2025,XLOOKUP(B339,Lookup!$F$3:$F$10,Lookup!$H$3:$H$10,,1)*G339, XLOOKUP(B339,Lookup!$F$14:$F$21,Lookup!$H$14:$H$21,,1)*G339),0)</f>
        <v>0</v>
      </c>
      <c r="J339" s="60">
        <f t="array" ref="J339">if(YEAR(A339)=2025,XLOOKUP(B339,Lookup!$F$3:$F$10,Lookup!$I$3:$I$10,,1)*G339, XLOOKUP(B339,Lookup!$F$14:$F$21,Lookup!$I$14:$I$21,,1)*G339)</f>
        <v>839.936</v>
      </c>
      <c r="K339" s="60">
        <f t="array" ref="K339">if(B339&gt;54, if(YEAR(A339)=2025,XLOOKUP(B339,Lookup!$F$3:$F$10,Lookup!$H$3:$H$10,,1)*G339, XLOOKUP(B339,Lookup!$F$14:$F$21,Lookup!$H$14:$H$21,,1)*G339),0)</f>
        <v>919.904</v>
      </c>
      <c r="L339" s="62">
        <f>IF(and(A339&lt;questions!$C$19,questions!$C$18="yes"),questions!$C$20,0)</f>
        <v>0</v>
      </c>
      <c r="M339" s="63">
        <f>(Y338+H339)*Lookup!A$26/12</f>
        <v>1371.873051</v>
      </c>
      <c r="N339" s="63">
        <f>if(B339&lt;55, (Z338+I339)*Lookup!B$26/12, (AB338+K339)*Lookup!B$26/12)</f>
        <v>1943.198966</v>
      </c>
      <c r="O339" s="63">
        <f>(AA338+J339)*Lookup!C$26/12</f>
        <v>675.0453652</v>
      </c>
      <c r="P339" s="63">
        <f t="shared" si="8"/>
        <v>4103.868753</v>
      </c>
      <c r="Q339" s="63">
        <f t="shared" si="4"/>
        <v>5820.397859</v>
      </c>
      <c r="R339" s="63">
        <f t="shared" si="5"/>
        <v>2016.736736</v>
      </c>
      <c r="S339" s="64">
        <f t="shared" si="9"/>
        <v>33.33333333</v>
      </c>
      <c r="T339" s="64">
        <f t="shared" si="10"/>
        <v>41.66666667</v>
      </c>
      <c r="U339" s="64">
        <f t="shared" si="11"/>
        <v>0</v>
      </c>
      <c r="V339" s="64">
        <f t="shared" ref="V339:X339" si="347">IF(year($A339)=year($A338), V338+S339, S339)</f>
        <v>100</v>
      </c>
      <c r="W339" s="64">
        <f t="shared" si="347"/>
        <v>125</v>
      </c>
      <c r="X339" s="64">
        <f t="shared" si="347"/>
        <v>0</v>
      </c>
      <c r="Y339" s="65">
        <f>IFS(
  B339&lt;55,
    MAX(
      Y338 + IF(MONTH(A339)=12, P339+V339, 0) + H339 - L339
      + MAX(0,
          IF(AA338 &gt;= VLOOKUP(YEAR(A339), Lookup!$Q:$R, 2),
            Z338 + IF(MONTH(A339)=12, Q339+W339, 0) + I339
              + AA338 + IF(MONTH(A339)=12, R339+X339, 0)
              - VLOOKUP(YEAR(A339), Lookup!$Q:$R, 2) + J339,
            Z338 + IF(MONTH(A339)=12, Q339+W339, 0) + I339
          ) - VLOOKUP(YEAR(A339), Lookup!$K:$M, 3)
        ),
    0),
  B339=55,
    IF(Z338&gt;=AD339,
      MAX(Y338 + IF(MONTH(A339)=12, P339+V339, 0) + H339 - L339, 0),
      MAX(MAX(0, Y338-(AD339-Z338)) + IF(MONTH(A339)=12, P339+V339, 0) + H339 - L339, 0)
    ),
  B339&gt;55,
    IF(AB338&gt;=$AH$7,
      MAX(Y338 + IF(MONTH(A339)=12, P339+V339, 0) + H339 - L339 + K339 + Z338, 0),
      MAX(Y338 + IF(MONTH(A339)=12, P339+V339, 0) + H339 - L339, 0)
    )
)</f>
        <v>659418.9685</v>
      </c>
      <c r="Z339" s="65">
        <f>IFS(
  B339&lt;55,
    MIN(
      IF(AA338 &gt;= VLOOKUP(YEAR(A339), Lookup!$Q:$R, 2),
        Z338 + IF(MONTH(A339)=12, Q339+W339, 0) + I339
          + AA338 + IF(MONTH(A339)=12, R339+X339, 0) - VLOOKUP(YEAR(A339), Lookup!$Q:$R, 2) + J339,
        Z338 + IF(MONTH(A339)=12, Q339+W339, 0) + I339
      ),
      VLOOKUP(YEAR(A339), Lookup!$K:$M, 3)
    ),
  B339=55,
    IF(Z338 &gt;= AD339, Z338 - AD339, 0),
  B339&gt;55, 0
)</f>
        <v>0</v>
      </c>
      <c r="AA339" s="65">
        <f>IFS(
  B339&lt;65,
    IF(AA338+J339 &lt; VLOOKUP(YEAR(A339), Lookup!$Q:$R, 2),
      AA338 + IF(MONTH(A339)=12, R338+X338, 0) + J339,
      MIN(
        AA338 + IF(MONTH(A339)=12, R338+X338, 0) + J339 ,
        VLOOKUP(YEAR(A339), Lookup!$Q:$R, 2)
      )
    ),
  B339&gt;=65,
    IF(AA338+J339 &lt; VLOOKUP(questions!$C$5, Lookup!$Q:$R, 2),
      AA338 + IF(MONTH(A339)=12, R338+X338, 0) + J339 ,
      MIN(
        AA338 + IF(MONTH(A339)=12, R338+X338, 0) + J339,
        VLOOKUP(questions!$C$5, Lookup!$Q:$R, 2)
      )
    )
)</f>
        <v>202513.6096</v>
      </c>
      <c r="AB339" s="65">
        <f t="shared" si="13"/>
        <v>582959.6899</v>
      </c>
      <c r="AC339" s="66">
        <f t="array" ref="AC339">IFS(B339&lt;66, XLOOKUP(year(A339),Lookup!$K$13:$K1000,Lookup!$L$13:$L1000,"missing",,1),B339&gt;65,XLOOKUP(questions!$C$5,Lookup!$K$13:$K1000,Lookup!$L$13:$L1000,"missing",,1))</f>
        <v>288851.8071</v>
      </c>
      <c r="AD339" s="66">
        <f t="array" ref="AD339">IFS(B339&lt;66, XLOOKUP(year(A339),Lookup!$K$13:$K1000,Lookup!$M$13:$M1000,"missing",,1),B339&gt;65, XLOOKUP(questions!$C$5,Lookup!$K$13:$K1000,Lookup!$M$13:$M1000,"missing",,1))</f>
        <v>577703.6141</v>
      </c>
      <c r="AE339" s="66">
        <f t="array" ref="AE339">IFS(B339&lt;66, XLOOKUP(year(A339),Lookup!$K$13:$K1000,Lookup!$N$13:$N1000,"missing",,1),B339&gt;65,XLOOKUP(questions!$C$5,Lookup!$K$13:$K1000,Lookup!$N$13:$N1000,"missing",,1))</f>
        <v>1155407.228</v>
      </c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</row>
    <row r="340">
      <c r="A340" s="55">
        <f t="shared" si="7"/>
        <v>56369</v>
      </c>
      <c r="B340" s="56">
        <f>round(YEARFRAC(EOMONTH(questions!$C$3, 0),A340,1),2)</f>
        <v>55.41</v>
      </c>
      <c r="C340" s="57">
        <f>IF(B340&lt;questions!$C$6,if(MONTH(A340)=1,C339*(1+questions!$C$12),C339),0)</f>
        <v>22879.27676</v>
      </c>
      <c r="D340" s="58">
        <f>IF(MONTH(A340)=12,C340*questions!$C$11,0)</f>
        <v>0</v>
      </c>
      <c r="E340" s="59">
        <f t="shared" si="2"/>
        <v>8000</v>
      </c>
      <c r="F340" s="59">
        <f t="shared" si="3"/>
        <v>0</v>
      </c>
      <c r="G340" s="60">
        <f t="array" ref="G340">if(YEAR(A340)=2025,XLOOKUP(B340,Lookup!$A$3:$A$7,Lookup!$D$3:$D$7,,1)*SUM(E340:F340), XLOOKUP(B340,Lookup!$A$14:$A$18,Lookup!$D$14:$D$18,,1)*SUM(E340:F340))</f>
        <v>2720</v>
      </c>
      <c r="H340" s="60">
        <f t="array" ref="H340">if(YEAR(A340)=2025,XLOOKUP(B340,Lookup!$F$3:$F$10,Lookup!$G$3:$G$10,,1)*G340, XLOOKUP(B340,Lookup!$F$14:$F$21,Lookup!$G$14:$G$21,,1)*G340)</f>
        <v>960.16</v>
      </c>
      <c r="I340" s="61">
        <f t="array" ref="I340">if(B340&lt;55, if(YEAR(A340)=2025,XLOOKUP(B340,Lookup!$F$3:$F$10,Lookup!$H$3:$H$10,,1)*G340, XLOOKUP(B340,Lookup!$F$14:$F$21,Lookup!$H$14:$H$21,,1)*G340),0)</f>
        <v>0</v>
      </c>
      <c r="J340" s="60">
        <f t="array" ref="J340">if(YEAR(A340)=2025,XLOOKUP(B340,Lookup!$F$3:$F$10,Lookup!$I$3:$I$10,,1)*G340, XLOOKUP(B340,Lookup!$F$14:$F$21,Lookup!$I$14:$I$21,,1)*G340)</f>
        <v>839.936</v>
      </c>
      <c r="K340" s="60">
        <f t="array" ref="K340">if(B340&gt;54, if(YEAR(A340)=2025,XLOOKUP(B340,Lookup!$F$3:$F$10,Lookup!$H$3:$H$10,,1)*G340, XLOOKUP(B340,Lookup!$F$14:$F$21,Lookup!$H$14:$H$21,,1)*G340),0)</f>
        <v>919.904</v>
      </c>
      <c r="L340" s="62">
        <f>IF(and(A340&lt;questions!$C$19,questions!$C$18="yes"),questions!$C$20,0)</f>
        <v>0</v>
      </c>
      <c r="M340" s="63">
        <f>(Y339+H340)*Lookup!A$26/12</f>
        <v>1375.789851</v>
      </c>
      <c r="N340" s="63">
        <f>if(B340&lt;55, (Z339+I340)*Lookup!B$26/12, (AB339+K340)*Lookup!B$26/12)</f>
        <v>1946.265313</v>
      </c>
      <c r="O340" s="63">
        <f>(AA339+J340)*Lookup!C$26/12</f>
        <v>677.8451518</v>
      </c>
      <c r="P340" s="63">
        <f t="shared" si="8"/>
        <v>5479.658604</v>
      </c>
      <c r="Q340" s="63">
        <f t="shared" si="4"/>
        <v>7766.663172</v>
      </c>
      <c r="R340" s="63">
        <f t="shared" si="5"/>
        <v>2694.581887</v>
      </c>
      <c r="S340" s="64">
        <f t="shared" si="9"/>
        <v>33.33333333</v>
      </c>
      <c r="T340" s="64">
        <f t="shared" si="10"/>
        <v>41.66666667</v>
      </c>
      <c r="U340" s="64">
        <f t="shared" si="11"/>
        <v>0</v>
      </c>
      <c r="V340" s="64">
        <f t="shared" ref="V340:X340" si="348">IF(year($A340)=year($A339), V339+S340, S340)</f>
        <v>133.3333333</v>
      </c>
      <c r="W340" s="64">
        <f t="shared" si="348"/>
        <v>166.6666667</v>
      </c>
      <c r="X340" s="64">
        <f t="shared" si="348"/>
        <v>0</v>
      </c>
      <c r="Y340" s="65">
        <f>IFS(
  B340&lt;55,
    MAX(
      Y339 + IF(MONTH(A340)=12, P340+V340, 0) + H340 - L340
      + MAX(0,
          IF(AA339 &gt;= VLOOKUP(YEAR(A340), Lookup!$Q:$R, 2),
            Z339 + IF(MONTH(A340)=12, Q340+W340, 0) + I340
              + AA339 + IF(MONTH(A340)=12, R340+X340, 0)
              - VLOOKUP(YEAR(A340), Lookup!$Q:$R, 2) + J340,
            Z339 + IF(MONTH(A340)=12, Q340+W340, 0) + I340
          ) - VLOOKUP(YEAR(A340), Lookup!$K:$M, 3)
        ),
    0),
  B340=55,
    IF(Z339&gt;=AD340,
      MAX(Y339 + IF(MONTH(A340)=12, P340+V340, 0) + H340 - L340, 0),
      MAX(MAX(0, Y339-(AD340-Z339)) + IF(MONTH(A340)=12, P340+V340, 0) + H340 - L340, 0)
    ),
  B340&gt;55,
    IF(AB339&gt;=$AH$7,
      MAX(Y339 + IF(MONTH(A340)=12, P340+V340, 0) + H340 - L340 + K340 + Z339, 0),
      MAX(Y339 + IF(MONTH(A340)=12, P340+V340, 0) + H340 - L340, 0)
    )
)</f>
        <v>661299.0325</v>
      </c>
      <c r="Z340" s="65">
        <f>IFS(
  B340&lt;55,
    MIN(
      IF(AA339 &gt;= VLOOKUP(YEAR(A340), Lookup!$Q:$R, 2),
        Z339 + IF(MONTH(A340)=12, Q340+W340, 0) + I340
          + AA339 + IF(MONTH(A340)=12, R340+X340, 0) - VLOOKUP(YEAR(A340), Lookup!$Q:$R, 2) + J340,
        Z339 + IF(MONTH(A340)=12, Q340+W340, 0) + I340
      ),
      VLOOKUP(YEAR(A340), Lookup!$K:$M, 3)
    ),
  B340=55,
    IF(Z339 &gt;= AD340, Z339 - AD340, 0),
  B340&gt;55, 0
)</f>
        <v>0</v>
      </c>
      <c r="AA340" s="65">
        <f>IFS(
  B340&lt;65,
    IF(AA339+J340 &lt; VLOOKUP(YEAR(A340), Lookup!$Q:$R, 2),
      AA339 + IF(MONTH(A340)=12, R339+X339, 0) + J340,
      MIN(
        AA339 + IF(MONTH(A340)=12, R339+X339, 0) + J340 ,
        VLOOKUP(YEAR(A340), Lookup!$Q:$R, 2)
      )
    ),
  B340&gt;=65,
    IF(AA339+J340 &lt; VLOOKUP(questions!$C$5, Lookup!$Q:$R, 2),
      AA339 + IF(MONTH(A340)=12, R339+X339, 0) + J340 ,
      MIN(
        AA339 + IF(MONTH(A340)=12, R339+X339, 0) + J340,
        VLOOKUP(questions!$C$5, Lookup!$Q:$R, 2)
      )
    )
)</f>
        <v>203353.5456</v>
      </c>
      <c r="AB340" s="65">
        <f t="shared" si="13"/>
        <v>583879.5939</v>
      </c>
      <c r="AC340" s="66">
        <f t="array" ref="AC340">IFS(B340&lt;66, XLOOKUP(year(A340),Lookup!$K$13:$K1000,Lookup!$L$13:$L1000,"missing",,1),B340&gt;65,XLOOKUP(questions!$C$5,Lookup!$K$13:$K1000,Lookup!$L$13:$L1000,"missing",,1))</f>
        <v>288851.8071</v>
      </c>
      <c r="AD340" s="66">
        <f t="array" ref="AD340">IFS(B340&lt;66, XLOOKUP(year(A340),Lookup!$K$13:$K1000,Lookup!$M$13:$M1000,"missing",,1),B340&gt;65, XLOOKUP(questions!$C$5,Lookup!$K$13:$K1000,Lookup!$M$13:$M1000,"missing",,1))</f>
        <v>577703.6141</v>
      </c>
      <c r="AE340" s="66">
        <f t="array" ref="AE340">IFS(B340&lt;66, XLOOKUP(year(A340),Lookup!$K$13:$K1000,Lookup!$N$13:$N1000,"missing",,1),B340&gt;65,XLOOKUP(questions!$C$5,Lookup!$K$13:$K1000,Lookup!$N$13:$N1000,"missing",,1))</f>
        <v>1155407.228</v>
      </c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</row>
    <row r="341">
      <c r="A341" s="55">
        <f t="shared" si="7"/>
        <v>56400</v>
      </c>
      <c r="B341" s="56">
        <f>round(YEARFRAC(EOMONTH(questions!$C$3, 0),A341,1),2)</f>
        <v>55.5</v>
      </c>
      <c r="C341" s="57">
        <f>IF(B341&lt;questions!$C$6,if(MONTH(A341)=1,C340*(1+questions!$C$12),C340),0)</f>
        <v>22879.27676</v>
      </c>
      <c r="D341" s="58">
        <f>IF(MONTH(A341)=12,C341*questions!$C$11,0)</f>
        <v>0</v>
      </c>
      <c r="E341" s="59">
        <f t="shared" si="2"/>
        <v>8000</v>
      </c>
      <c r="F341" s="59">
        <f t="shared" si="3"/>
        <v>0</v>
      </c>
      <c r="G341" s="60">
        <f t="array" ref="G341">if(YEAR(A341)=2025,XLOOKUP(B341,Lookup!$A$3:$A$7,Lookup!$D$3:$D$7,,1)*SUM(E341:F341), XLOOKUP(B341,Lookup!$A$14:$A$18,Lookup!$D$14:$D$18,,1)*SUM(E341:F341))</f>
        <v>2720</v>
      </c>
      <c r="H341" s="60">
        <f t="array" ref="H341">if(YEAR(A341)=2025,XLOOKUP(B341,Lookup!$F$3:$F$10,Lookup!$G$3:$G$10,,1)*G341, XLOOKUP(B341,Lookup!$F$14:$F$21,Lookup!$G$14:$G$21,,1)*G341)</f>
        <v>960.16</v>
      </c>
      <c r="I341" s="61">
        <f t="array" ref="I341">if(B341&lt;55, if(YEAR(A341)=2025,XLOOKUP(B341,Lookup!$F$3:$F$10,Lookup!$H$3:$H$10,,1)*G341, XLOOKUP(B341,Lookup!$F$14:$F$21,Lookup!$H$14:$H$21,,1)*G341),0)</f>
        <v>0</v>
      </c>
      <c r="J341" s="60">
        <f t="array" ref="J341">if(YEAR(A341)=2025,XLOOKUP(B341,Lookup!$F$3:$F$10,Lookup!$I$3:$I$10,,1)*G341, XLOOKUP(B341,Lookup!$F$14:$F$21,Lookup!$I$14:$I$21,,1)*G341)</f>
        <v>839.936</v>
      </c>
      <c r="K341" s="60">
        <f t="array" ref="K341">if(B341&gt;54, if(YEAR(A341)=2025,XLOOKUP(B341,Lookup!$F$3:$F$10,Lookup!$H$3:$H$10,,1)*G341, XLOOKUP(B341,Lookup!$F$14:$F$21,Lookup!$H$14:$H$21,,1)*G341),0)</f>
        <v>919.904</v>
      </c>
      <c r="L341" s="62">
        <f>IF(and(A341&lt;questions!$C$19,questions!$C$18="yes"),questions!$C$20,0)</f>
        <v>0</v>
      </c>
      <c r="M341" s="63">
        <f>(Y340+H341)*Lookup!A$26/12</f>
        <v>1379.706651</v>
      </c>
      <c r="N341" s="63">
        <f>if(B341&lt;55, (Z340+I341)*Lookup!B$26/12, (AB340+K341)*Lookup!B$26/12)</f>
        <v>1949.33166</v>
      </c>
      <c r="O341" s="63">
        <f>(AA340+J341)*Lookup!C$26/12</f>
        <v>680.6449385</v>
      </c>
      <c r="P341" s="63">
        <f t="shared" si="8"/>
        <v>6859.365255</v>
      </c>
      <c r="Q341" s="63">
        <f t="shared" si="4"/>
        <v>9715.994831</v>
      </c>
      <c r="R341" s="63">
        <f t="shared" si="5"/>
        <v>3375.226826</v>
      </c>
      <c r="S341" s="64">
        <f t="shared" si="9"/>
        <v>33.33333333</v>
      </c>
      <c r="T341" s="64">
        <f t="shared" si="10"/>
        <v>41.66666667</v>
      </c>
      <c r="U341" s="64">
        <f t="shared" si="11"/>
        <v>0</v>
      </c>
      <c r="V341" s="64">
        <f t="shared" ref="V341:X341" si="349">IF(year($A341)=year($A340), V340+S341, S341)</f>
        <v>166.6666667</v>
      </c>
      <c r="W341" s="64">
        <f t="shared" si="349"/>
        <v>208.3333333</v>
      </c>
      <c r="X341" s="64">
        <f t="shared" si="349"/>
        <v>0</v>
      </c>
      <c r="Y341" s="65">
        <f>IFS(
  B341&lt;55,
    MAX(
      Y340 + IF(MONTH(A341)=12, P341+V341, 0) + H341 - L341
      + MAX(0,
          IF(AA340 &gt;= VLOOKUP(YEAR(A341), Lookup!$Q:$R, 2),
            Z340 + IF(MONTH(A341)=12, Q341+W341, 0) + I341
              + AA340 + IF(MONTH(A341)=12, R341+X341, 0)
              - VLOOKUP(YEAR(A341), Lookup!$Q:$R, 2) + J341,
            Z340 + IF(MONTH(A341)=12, Q341+W341, 0) + I341
          ) - VLOOKUP(YEAR(A341), Lookup!$K:$M, 3)
        ),
    0),
  B341=55,
    IF(Z340&gt;=AD341,
      MAX(Y340 + IF(MONTH(A341)=12, P341+V341, 0) + H341 - L341, 0),
      MAX(MAX(0, Y340-(AD341-Z340)) + IF(MONTH(A341)=12, P341+V341, 0) + H341 - L341, 0)
    ),
  B341&gt;55,
    IF(AB340&gt;=$AH$7,
      MAX(Y340 + IF(MONTH(A341)=12, P341+V341, 0) + H341 - L341 + K341 + Z340, 0),
      MAX(Y340 + IF(MONTH(A341)=12, P341+V341, 0) + H341 - L341, 0)
    )
)</f>
        <v>663179.0965</v>
      </c>
      <c r="Z341" s="65">
        <f>IFS(
  B341&lt;55,
    MIN(
      IF(AA340 &gt;= VLOOKUP(YEAR(A341), Lookup!$Q:$R, 2),
        Z340 + IF(MONTH(A341)=12, Q341+W341, 0) + I341
          + AA340 + IF(MONTH(A341)=12, R341+X341, 0) - VLOOKUP(YEAR(A341), Lookup!$Q:$R, 2) + J341,
        Z340 + IF(MONTH(A341)=12, Q341+W341, 0) + I341
      ),
      VLOOKUP(YEAR(A341), Lookup!$K:$M, 3)
    ),
  B341=55,
    IF(Z340 &gt;= AD341, Z340 - AD341, 0),
  B341&gt;55, 0
)</f>
        <v>0</v>
      </c>
      <c r="AA341" s="65">
        <f>IFS(
  B341&lt;65,
    IF(AA340+J341 &lt; VLOOKUP(YEAR(A341), Lookup!$Q:$R, 2),
      AA340 + IF(MONTH(A341)=12, R340+X340, 0) + J341,
      MIN(
        AA340 + IF(MONTH(A341)=12, R340+X340, 0) + J341 ,
        VLOOKUP(YEAR(A341), Lookup!$Q:$R, 2)
      )
    ),
  B341&gt;=65,
    IF(AA340+J341 &lt; VLOOKUP(questions!$C$5, Lookup!$Q:$R, 2),
      AA340 + IF(MONTH(A341)=12, R340+X340, 0) + J341 ,
      MIN(
        AA340 + IF(MONTH(A341)=12, R340+X340, 0) + J341,
        VLOOKUP(questions!$C$5, Lookup!$Q:$R, 2)
      )
    )
)</f>
        <v>204193.4816</v>
      </c>
      <c r="AB341" s="65">
        <f t="shared" si="13"/>
        <v>584799.4979</v>
      </c>
      <c r="AC341" s="66">
        <f t="array" ref="AC341">IFS(B341&lt;66, XLOOKUP(year(A341),Lookup!$K$13:$K1000,Lookup!$L$13:$L1000,"missing",,1),B341&gt;65,XLOOKUP(questions!$C$5,Lookup!$K$13:$K1000,Lookup!$L$13:$L1000,"missing",,1))</f>
        <v>288851.8071</v>
      </c>
      <c r="AD341" s="66">
        <f t="array" ref="AD341">IFS(B341&lt;66, XLOOKUP(year(A341),Lookup!$K$13:$K1000,Lookup!$M$13:$M1000,"missing",,1),B341&gt;65, XLOOKUP(questions!$C$5,Lookup!$K$13:$K1000,Lookup!$M$13:$M1000,"missing",,1))</f>
        <v>577703.6141</v>
      </c>
      <c r="AE341" s="66">
        <f t="array" ref="AE341">IFS(B341&lt;66, XLOOKUP(year(A341),Lookup!$K$13:$K1000,Lookup!$N$13:$N1000,"missing",,1),B341&gt;65,XLOOKUP(questions!$C$5,Lookup!$K$13:$K1000,Lookup!$N$13:$N1000,"missing",,1))</f>
        <v>1155407.228</v>
      </c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</row>
    <row r="342">
      <c r="A342" s="55">
        <f t="shared" si="7"/>
        <v>56430</v>
      </c>
      <c r="B342" s="56">
        <f>round(YEARFRAC(EOMONTH(questions!$C$3, 0),A342,1),2)</f>
        <v>55.58</v>
      </c>
      <c r="C342" s="57">
        <f>IF(B342&lt;questions!$C$6,if(MONTH(A342)=1,C341*(1+questions!$C$12),C341),0)</f>
        <v>22879.27676</v>
      </c>
      <c r="D342" s="58">
        <f>IF(MONTH(A342)=12,C342*questions!$C$11,0)</f>
        <v>0</v>
      </c>
      <c r="E342" s="59">
        <f t="shared" si="2"/>
        <v>8000</v>
      </c>
      <c r="F342" s="59">
        <f t="shared" si="3"/>
        <v>0</v>
      </c>
      <c r="G342" s="60">
        <f t="array" ref="G342">if(YEAR(A342)=2025,XLOOKUP(B342,Lookup!$A$3:$A$7,Lookup!$D$3:$D$7,,1)*SUM(E342:F342), XLOOKUP(B342,Lookup!$A$14:$A$18,Lookup!$D$14:$D$18,,1)*SUM(E342:F342))</f>
        <v>2720</v>
      </c>
      <c r="H342" s="60">
        <f t="array" ref="H342">if(YEAR(A342)=2025,XLOOKUP(B342,Lookup!$F$3:$F$10,Lookup!$G$3:$G$10,,1)*G342, XLOOKUP(B342,Lookup!$F$14:$F$21,Lookup!$G$14:$G$21,,1)*G342)</f>
        <v>960.16</v>
      </c>
      <c r="I342" s="61">
        <f t="array" ref="I342">if(B342&lt;55, if(YEAR(A342)=2025,XLOOKUP(B342,Lookup!$F$3:$F$10,Lookup!$H$3:$H$10,,1)*G342, XLOOKUP(B342,Lookup!$F$14:$F$21,Lookup!$H$14:$H$21,,1)*G342),0)</f>
        <v>0</v>
      </c>
      <c r="J342" s="60">
        <f t="array" ref="J342">if(YEAR(A342)=2025,XLOOKUP(B342,Lookup!$F$3:$F$10,Lookup!$I$3:$I$10,,1)*G342, XLOOKUP(B342,Lookup!$F$14:$F$21,Lookup!$I$14:$I$21,,1)*G342)</f>
        <v>839.936</v>
      </c>
      <c r="K342" s="60">
        <f t="array" ref="K342">if(B342&gt;54, if(YEAR(A342)=2025,XLOOKUP(B342,Lookup!$F$3:$F$10,Lookup!$H$3:$H$10,,1)*G342, XLOOKUP(B342,Lookup!$F$14:$F$21,Lookup!$H$14:$H$21,,1)*G342),0)</f>
        <v>919.904</v>
      </c>
      <c r="L342" s="62">
        <f>IF(and(A342&lt;questions!$C$19,questions!$C$18="yes"),questions!$C$20,0)</f>
        <v>0</v>
      </c>
      <c r="M342" s="63">
        <f>(Y341+H342)*Lookup!A$26/12</f>
        <v>1383.623451</v>
      </c>
      <c r="N342" s="63">
        <f>if(B342&lt;55, (Z341+I342)*Lookup!B$26/12, (AB341+K342)*Lookup!B$26/12)</f>
        <v>1952.398006</v>
      </c>
      <c r="O342" s="63">
        <f>(AA341+J342)*Lookup!C$26/12</f>
        <v>683.4447252</v>
      </c>
      <c r="P342" s="63">
        <f t="shared" si="8"/>
        <v>8242.988707</v>
      </c>
      <c r="Q342" s="63">
        <f t="shared" si="4"/>
        <v>11668.39284</v>
      </c>
      <c r="R342" s="63">
        <f t="shared" si="5"/>
        <v>4058.671551</v>
      </c>
      <c r="S342" s="64">
        <f t="shared" si="9"/>
        <v>33.33333333</v>
      </c>
      <c r="T342" s="64">
        <f t="shared" si="10"/>
        <v>41.66666667</v>
      </c>
      <c r="U342" s="64">
        <f t="shared" si="11"/>
        <v>0</v>
      </c>
      <c r="V342" s="64">
        <f t="shared" ref="V342:X342" si="350">IF(year($A342)=year($A341), V341+S342, S342)</f>
        <v>200</v>
      </c>
      <c r="W342" s="64">
        <f t="shared" si="350"/>
        <v>250</v>
      </c>
      <c r="X342" s="64">
        <f t="shared" si="350"/>
        <v>0</v>
      </c>
      <c r="Y342" s="65">
        <f>IFS(
  B342&lt;55,
    MAX(
      Y341 + IF(MONTH(A342)=12, P342+V342, 0) + H342 - L342
      + MAX(0,
          IF(AA341 &gt;= VLOOKUP(YEAR(A342), Lookup!$Q:$R, 2),
            Z341 + IF(MONTH(A342)=12, Q342+W342, 0) + I342
              + AA341 + IF(MONTH(A342)=12, R342+X342, 0)
              - VLOOKUP(YEAR(A342), Lookup!$Q:$R, 2) + J342,
            Z341 + IF(MONTH(A342)=12, Q342+W342, 0) + I342
          ) - VLOOKUP(YEAR(A342), Lookup!$K:$M, 3)
        ),
    0),
  B342=55,
    IF(Z341&gt;=AD342,
      MAX(Y341 + IF(MONTH(A342)=12, P342+V342, 0) + H342 - L342, 0),
      MAX(MAX(0, Y341-(AD342-Z341)) + IF(MONTH(A342)=12, P342+V342, 0) + H342 - L342, 0)
    ),
  B342&gt;55,
    IF(AB341&gt;=$AH$7,
      MAX(Y341 + IF(MONTH(A342)=12, P342+V342, 0) + H342 - L342 + K342 + Z341, 0),
      MAX(Y341 + IF(MONTH(A342)=12, P342+V342, 0) + H342 - L342, 0)
    )
)</f>
        <v>665059.1605</v>
      </c>
      <c r="Z342" s="65">
        <f>IFS(
  B342&lt;55,
    MIN(
      IF(AA341 &gt;= VLOOKUP(YEAR(A342), Lookup!$Q:$R, 2),
        Z341 + IF(MONTH(A342)=12, Q342+W342, 0) + I342
          + AA341 + IF(MONTH(A342)=12, R342+X342, 0) - VLOOKUP(YEAR(A342), Lookup!$Q:$R, 2) + J342,
        Z341 + IF(MONTH(A342)=12, Q342+W342, 0) + I342
      ),
      VLOOKUP(YEAR(A342), Lookup!$K:$M, 3)
    ),
  B342=55,
    IF(Z341 &gt;= AD342, Z341 - AD342, 0),
  B342&gt;55, 0
)</f>
        <v>0</v>
      </c>
      <c r="AA342" s="65">
        <f>IFS(
  B342&lt;65,
    IF(AA341+J342 &lt; VLOOKUP(YEAR(A342), Lookup!$Q:$R, 2),
      AA341 + IF(MONTH(A342)=12, R341+X341, 0) + J342,
      MIN(
        AA341 + IF(MONTH(A342)=12, R341+X341, 0) + J342 ,
        VLOOKUP(YEAR(A342), Lookup!$Q:$R, 2)
      )
    ),
  B342&gt;=65,
    IF(AA341+J342 &lt; VLOOKUP(questions!$C$5, Lookup!$Q:$R, 2),
      AA341 + IF(MONTH(A342)=12, R341+X341, 0) + J342 ,
      MIN(
        AA341 + IF(MONTH(A342)=12, R341+X341, 0) + J342,
        VLOOKUP(questions!$C$5, Lookup!$Q:$R, 2)
      )
    )
)</f>
        <v>205033.4176</v>
      </c>
      <c r="AB342" s="65">
        <f t="shared" si="13"/>
        <v>585719.4019</v>
      </c>
      <c r="AC342" s="66">
        <f t="array" ref="AC342">IFS(B342&lt;66, XLOOKUP(year(A342),Lookup!$K$13:$K1000,Lookup!$L$13:$L1000,"missing",,1),B342&gt;65,XLOOKUP(questions!$C$5,Lookup!$K$13:$K1000,Lookup!$L$13:$L1000,"missing",,1))</f>
        <v>288851.8071</v>
      </c>
      <c r="AD342" s="66">
        <f t="array" ref="AD342">IFS(B342&lt;66, XLOOKUP(year(A342),Lookup!$K$13:$K1000,Lookup!$M$13:$M1000,"missing",,1),B342&gt;65, XLOOKUP(questions!$C$5,Lookup!$K$13:$K1000,Lookup!$M$13:$M1000,"missing",,1))</f>
        <v>577703.6141</v>
      </c>
      <c r="AE342" s="66">
        <f t="array" ref="AE342">IFS(B342&lt;66, XLOOKUP(year(A342),Lookup!$K$13:$K1000,Lookup!$N$13:$N1000,"missing",,1),B342&gt;65,XLOOKUP(questions!$C$5,Lookup!$K$13:$K1000,Lookup!$N$13:$N1000,"missing",,1))</f>
        <v>1155407.228</v>
      </c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</row>
    <row r="343">
      <c r="A343" s="55">
        <f t="shared" si="7"/>
        <v>56461</v>
      </c>
      <c r="B343" s="56">
        <f>round(YEARFRAC(EOMONTH(questions!$C$3, 0),A343,1),2)</f>
        <v>55.67</v>
      </c>
      <c r="C343" s="57">
        <f>IF(B343&lt;questions!$C$6,if(MONTH(A343)=1,C342*(1+questions!$C$12),C342),0)</f>
        <v>22879.27676</v>
      </c>
      <c r="D343" s="58">
        <f>IF(MONTH(A343)=12,C343*questions!$C$11,0)</f>
        <v>0</v>
      </c>
      <c r="E343" s="59">
        <f t="shared" si="2"/>
        <v>8000</v>
      </c>
      <c r="F343" s="59">
        <f t="shared" si="3"/>
        <v>0</v>
      </c>
      <c r="G343" s="60">
        <f t="array" ref="G343">if(YEAR(A343)=2025,XLOOKUP(B343,Lookup!$A$3:$A$7,Lookup!$D$3:$D$7,,1)*SUM(E343:F343), XLOOKUP(B343,Lookup!$A$14:$A$18,Lookup!$D$14:$D$18,,1)*SUM(E343:F343))</f>
        <v>2720</v>
      </c>
      <c r="H343" s="60">
        <f t="array" ref="H343">if(YEAR(A343)=2025,XLOOKUP(B343,Lookup!$F$3:$F$10,Lookup!$G$3:$G$10,,1)*G343, XLOOKUP(B343,Lookup!$F$14:$F$21,Lookup!$G$14:$G$21,,1)*G343)</f>
        <v>960.16</v>
      </c>
      <c r="I343" s="61">
        <f t="array" ref="I343">if(B343&lt;55, if(YEAR(A343)=2025,XLOOKUP(B343,Lookup!$F$3:$F$10,Lookup!$H$3:$H$10,,1)*G343, XLOOKUP(B343,Lookup!$F$14:$F$21,Lookup!$H$14:$H$21,,1)*G343),0)</f>
        <v>0</v>
      </c>
      <c r="J343" s="60">
        <f t="array" ref="J343">if(YEAR(A343)=2025,XLOOKUP(B343,Lookup!$F$3:$F$10,Lookup!$I$3:$I$10,,1)*G343, XLOOKUP(B343,Lookup!$F$14:$F$21,Lookup!$I$14:$I$21,,1)*G343)</f>
        <v>839.936</v>
      </c>
      <c r="K343" s="60">
        <f t="array" ref="K343">if(B343&gt;54, if(YEAR(A343)=2025,XLOOKUP(B343,Lookup!$F$3:$F$10,Lookup!$H$3:$H$10,,1)*G343, XLOOKUP(B343,Lookup!$F$14:$F$21,Lookup!$H$14:$H$21,,1)*G343),0)</f>
        <v>919.904</v>
      </c>
      <c r="L343" s="62">
        <f>IF(and(A343&lt;questions!$C$19,questions!$C$18="yes"),questions!$C$20,0)</f>
        <v>0</v>
      </c>
      <c r="M343" s="63">
        <f>(Y342+H343)*Lookup!A$26/12</f>
        <v>1387.540251</v>
      </c>
      <c r="N343" s="63">
        <f>if(B343&lt;55, (Z342+I343)*Lookup!B$26/12, (AB342+K343)*Lookup!B$26/12)</f>
        <v>1955.464353</v>
      </c>
      <c r="O343" s="63">
        <f>(AA342+J343)*Lookup!C$26/12</f>
        <v>686.2445118</v>
      </c>
      <c r="P343" s="63">
        <f t="shared" si="8"/>
        <v>9630.528958</v>
      </c>
      <c r="Q343" s="63">
        <f t="shared" si="4"/>
        <v>13623.85719</v>
      </c>
      <c r="R343" s="63">
        <f t="shared" si="5"/>
        <v>4744.916063</v>
      </c>
      <c r="S343" s="64">
        <f t="shared" si="9"/>
        <v>33.33333333</v>
      </c>
      <c r="T343" s="64">
        <f t="shared" si="10"/>
        <v>41.66666667</v>
      </c>
      <c r="U343" s="64">
        <f t="shared" si="11"/>
        <v>0</v>
      </c>
      <c r="V343" s="64">
        <f t="shared" ref="V343:X343" si="351">IF(year($A343)=year($A342), V342+S343, S343)</f>
        <v>233.3333333</v>
      </c>
      <c r="W343" s="64">
        <f t="shared" si="351"/>
        <v>291.6666667</v>
      </c>
      <c r="X343" s="64">
        <f t="shared" si="351"/>
        <v>0</v>
      </c>
      <c r="Y343" s="65">
        <f>IFS(
  B343&lt;55,
    MAX(
      Y342 + IF(MONTH(A343)=12, P343+V343, 0) + H343 - L343
      + MAX(0,
          IF(AA342 &gt;= VLOOKUP(YEAR(A343), Lookup!$Q:$R, 2),
            Z342 + IF(MONTH(A343)=12, Q343+W343, 0) + I343
              + AA342 + IF(MONTH(A343)=12, R343+X343, 0)
              - VLOOKUP(YEAR(A343), Lookup!$Q:$R, 2) + J343,
            Z342 + IF(MONTH(A343)=12, Q343+W343, 0) + I343
          ) - VLOOKUP(YEAR(A343), Lookup!$K:$M, 3)
        ),
    0),
  B343=55,
    IF(Z342&gt;=AD343,
      MAX(Y342 + IF(MONTH(A343)=12, P343+V343, 0) + H343 - L343, 0),
      MAX(MAX(0, Y342-(AD343-Z342)) + IF(MONTH(A343)=12, P343+V343, 0) + H343 - L343, 0)
    ),
  B343&gt;55,
    IF(AB342&gt;=$AH$7,
      MAX(Y342 + IF(MONTH(A343)=12, P343+V343, 0) + H343 - L343 + K343 + Z342, 0),
      MAX(Y342 + IF(MONTH(A343)=12, P343+V343, 0) + H343 - L343, 0)
    )
)</f>
        <v>666939.2245</v>
      </c>
      <c r="Z343" s="65">
        <f>IFS(
  B343&lt;55,
    MIN(
      IF(AA342 &gt;= VLOOKUP(YEAR(A343), Lookup!$Q:$R, 2),
        Z342 + IF(MONTH(A343)=12, Q343+W343, 0) + I343
          + AA342 + IF(MONTH(A343)=12, R343+X343, 0) - VLOOKUP(YEAR(A343), Lookup!$Q:$R, 2) + J343,
        Z342 + IF(MONTH(A343)=12, Q343+W343, 0) + I343
      ),
      VLOOKUP(YEAR(A343), Lookup!$K:$M, 3)
    ),
  B343=55,
    IF(Z342 &gt;= AD343, Z342 - AD343, 0),
  B343&gt;55, 0
)</f>
        <v>0</v>
      </c>
      <c r="AA343" s="65">
        <f>IFS(
  B343&lt;65,
    IF(AA342+J343 &lt; VLOOKUP(YEAR(A343), Lookup!$Q:$R, 2),
      AA342 + IF(MONTH(A343)=12, R342+X342, 0) + J343,
      MIN(
        AA342 + IF(MONTH(A343)=12, R342+X342, 0) + J343 ,
        VLOOKUP(YEAR(A343), Lookup!$Q:$R, 2)
      )
    ),
  B343&gt;=65,
    IF(AA342+J343 &lt; VLOOKUP(questions!$C$5, Lookup!$Q:$R, 2),
      AA342 + IF(MONTH(A343)=12, R342+X342, 0) + J343 ,
      MIN(
        AA342 + IF(MONTH(A343)=12, R342+X342, 0) + J343,
        VLOOKUP(questions!$C$5, Lookup!$Q:$R, 2)
      )
    )
)</f>
        <v>205873.3536</v>
      </c>
      <c r="AB343" s="65">
        <f t="shared" si="13"/>
        <v>586639.3059</v>
      </c>
      <c r="AC343" s="66">
        <f t="array" ref="AC343">IFS(B343&lt;66, XLOOKUP(year(A343),Lookup!$K$13:$K1000,Lookup!$L$13:$L1000,"missing",,1),B343&gt;65,XLOOKUP(questions!$C$5,Lookup!$K$13:$K1000,Lookup!$L$13:$L1000,"missing",,1))</f>
        <v>288851.8071</v>
      </c>
      <c r="AD343" s="66">
        <f t="array" ref="AD343">IFS(B343&lt;66, XLOOKUP(year(A343),Lookup!$K$13:$K1000,Lookup!$M$13:$M1000,"missing",,1),B343&gt;65, XLOOKUP(questions!$C$5,Lookup!$K$13:$K1000,Lookup!$M$13:$M1000,"missing",,1))</f>
        <v>577703.6141</v>
      </c>
      <c r="AE343" s="66">
        <f t="array" ref="AE343">IFS(B343&lt;66, XLOOKUP(year(A343),Lookup!$K$13:$K1000,Lookup!$N$13:$N1000,"missing",,1),B343&gt;65,XLOOKUP(questions!$C$5,Lookup!$K$13:$K1000,Lookup!$N$13:$N1000,"missing",,1))</f>
        <v>1155407.228</v>
      </c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</row>
    <row r="344">
      <c r="A344" s="55">
        <f t="shared" si="7"/>
        <v>56492</v>
      </c>
      <c r="B344" s="56">
        <f>round(YEARFRAC(EOMONTH(questions!$C$3, 0),A344,1),2)</f>
        <v>55.75</v>
      </c>
      <c r="C344" s="57">
        <f>IF(B344&lt;questions!$C$6,if(MONTH(A344)=1,C343*(1+questions!$C$12),C343),0)</f>
        <v>22879.27676</v>
      </c>
      <c r="D344" s="58">
        <f>IF(MONTH(A344)=12,C344*questions!$C$11,0)</f>
        <v>0</v>
      </c>
      <c r="E344" s="59">
        <f t="shared" si="2"/>
        <v>8000</v>
      </c>
      <c r="F344" s="59">
        <f t="shared" si="3"/>
        <v>0</v>
      </c>
      <c r="G344" s="60">
        <f t="array" ref="G344">if(YEAR(A344)=2025,XLOOKUP(B344,Lookup!$A$3:$A$7,Lookup!$D$3:$D$7,,1)*SUM(E344:F344), XLOOKUP(B344,Lookup!$A$14:$A$18,Lookup!$D$14:$D$18,,1)*SUM(E344:F344))</f>
        <v>2720</v>
      </c>
      <c r="H344" s="60">
        <f t="array" ref="H344">if(YEAR(A344)=2025,XLOOKUP(B344,Lookup!$F$3:$F$10,Lookup!$G$3:$G$10,,1)*G344, XLOOKUP(B344,Lookup!$F$14:$F$21,Lookup!$G$14:$G$21,,1)*G344)</f>
        <v>960.16</v>
      </c>
      <c r="I344" s="61">
        <f t="array" ref="I344">if(B344&lt;55, if(YEAR(A344)=2025,XLOOKUP(B344,Lookup!$F$3:$F$10,Lookup!$H$3:$H$10,,1)*G344, XLOOKUP(B344,Lookup!$F$14:$F$21,Lookup!$H$14:$H$21,,1)*G344),0)</f>
        <v>0</v>
      </c>
      <c r="J344" s="60">
        <f t="array" ref="J344">if(YEAR(A344)=2025,XLOOKUP(B344,Lookup!$F$3:$F$10,Lookup!$I$3:$I$10,,1)*G344, XLOOKUP(B344,Lookup!$F$14:$F$21,Lookup!$I$14:$I$21,,1)*G344)</f>
        <v>839.936</v>
      </c>
      <c r="K344" s="60">
        <f t="array" ref="K344">if(B344&gt;54, if(YEAR(A344)=2025,XLOOKUP(B344,Lookup!$F$3:$F$10,Lookup!$H$3:$H$10,,1)*G344, XLOOKUP(B344,Lookup!$F$14:$F$21,Lookup!$H$14:$H$21,,1)*G344),0)</f>
        <v>919.904</v>
      </c>
      <c r="L344" s="62">
        <f>IF(and(A344&lt;questions!$C$19,questions!$C$18="yes"),questions!$C$20,0)</f>
        <v>0</v>
      </c>
      <c r="M344" s="63">
        <f>(Y343+H344)*Lookup!A$26/12</f>
        <v>1391.457051</v>
      </c>
      <c r="N344" s="63">
        <f>if(B344&lt;55, (Z343+I344)*Lookup!B$26/12, (AB343+K344)*Lookup!B$26/12)</f>
        <v>1958.5307</v>
      </c>
      <c r="O344" s="63">
        <f>(AA343+J344)*Lookup!C$26/12</f>
        <v>689.0442985</v>
      </c>
      <c r="P344" s="63">
        <f t="shared" si="8"/>
        <v>11021.98601</v>
      </c>
      <c r="Q344" s="63">
        <f t="shared" si="4"/>
        <v>15582.38789</v>
      </c>
      <c r="R344" s="63">
        <f t="shared" si="5"/>
        <v>5433.960361</v>
      </c>
      <c r="S344" s="64">
        <f t="shared" si="9"/>
        <v>33.33333333</v>
      </c>
      <c r="T344" s="64">
        <f t="shared" si="10"/>
        <v>41.66666667</v>
      </c>
      <c r="U344" s="64">
        <f t="shared" si="11"/>
        <v>0</v>
      </c>
      <c r="V344" s="64">
        <f t="shared" ref="V344:X344" si="352">IF(year($A344)=year($A343), V343+S344, S344)</f>
        <v>266.6666667</v>
      </c>
      <c r="W344" s="64">
        <f t="shared" si="352"/>
        <v>333.3333333</v>
      </c>
      <c r="X344" s="64">
        <f t="shared" si="352"/>
        <v>0</v>
      </c>
      <c r="Y344" s="65">
        <f>IFS(
  B344&lt;55,
    MAX(
      Y343 + IF(MONTH(A344)=12, P344+V344, 0) + H344 - L344
      + MAX(0,
          IF(AA343 &gt;= VLOOKUP(YEAR(A344), Lookup!$Q:$R, 2),
            Z343 + IF(MONTH(A344)=12, Q344+W344, 0) + I344
              + AA343 + IF(MONTH(A344)=12, R344+X344, 0)
              - VLOOKUP(YEAR(A344), Lookup!$Q:$R, 2) + J344,
            Z343 + IF(MONTH(A344)=12, Q344+W344, 0) + I344
          ) - VLOOKUP(YEAR(A344), Lookup!$K:$M, 3)
        ),
    0),
  B344=55,
    IF(Z343&gt;=AD344,
      MAX(Y343 + IF(MONTH(A344)=12, P344+V344, 0) + H344 - L344, 0),
      MAX(MAX(0, Y343-(AD344-Z343)) + IF(MONTH(A344)=12, P344+V344, 0) + H344 - L344, 0)
    ),
  B344&gt;55,
    IF(AB343&gt;=$AH$7,
      MAX(Y343 + IF(MONTH(A344)=12, P344+V344, 0) + H344 - L344 + K344 + Z343, 0),
      MAX(Y343 + IF(MONTH(A344)=12, P344+V344, 0) + H344 - L344, 0)
    )
)</f>
        <v>668819.2885</v>
      </c>
      <c r="Z344" s="65">
        <f>IFS(
  B344&lt;55,
    MIN(
      IF(AA343 &gt;= VLOOKUP(YEAR(A344), Lookup!$Q:$R, 2),
        Z343 + IF(MONTH(A344)=12, Q344+W344, 0) + I344
          + AA343 + IF(MONTH(A344)=12, R344+X344, 0) - VLOOKUP(YEAR(A344), Lookup!$Q:$R, 2) + J344,
        Z343 + IF(MONTH(A344)=12, Q344+W344, 0) + I344
      ),
      VLOOKUP(YEAR(A344), Lookup!$K:$M, 3)
    ),
  B344=55,
    IF(Z343 &gt;= AD344, Z343 - AD344, 0),
  B344&gt;55, 0
)</f>
        <v>0</v>
      </c>
      <c r="AA344" s="65">
        <f>IFS(
  B344&lt;65,
    IF(AA343+J344 &lt; VLOOKUP(YEAR(A344), Lookup!$Q:$R, 2),
      AA343 + IF(MONTH(A344)=12, R343+X343, 0) + J344,
      MIN(
        AA343 + IF(MONTH(A344)=12, R343+X343, 0) + J344 ,
        VLOOKUP(YEAR(A344), Lookup!$Q:$R, 2)
      )
    ),
  B344&gt;=65,
    IF(AA343+J344 &lt; VLOOKUP(questions!$C$5, Lookup!$Q:$R, 2),
      AA343 + IF(MONTH(A344)=12, R343+X343, 0) + J344 ,
      MIN(
        AA343 + IF(MONTH(A344)=12, R343+X343, 0) + J344,
        VLOOKUP(questions!$C$5, Lookup!$Q:$R, 2)
      )
    )
)</f>
        <v>206713.2896</v>
      </c>
      <c r="AB344" s="65">
        <f t="shared" si="13"/>
        <v>587559.2099</v>
      </c>
      <c r="AC344" s="66">
        <f t="array" ref="AC344">IFS(B344&lt;66, XLOOKUP(year(A344),Lookup!$K$13:$K1000,Lookup!$L$13:$L1000,"missing",,1),B344&gt;65,XLOOKUP(questions!$C$5,Lookup!$K$13:$K1000,Lookup!$L$13:$L1000,"missing",,1))</f>
        <v>288851.8071</v>
      </c>
      <c r="AD344" s="66">
        <f t="array" ref="AD344">IFS(B344&lt;66, XLOOKUP(year(A344),Lookup!$K$13:$K1000,Lookup!$M$13:$M1000,"missing",,1),B344&gt;65, XLOOKUP(questions!$C$5,Lookup!$K$13:$K1000,Lookup!$M$13:$M1000,"missing",,1))</f>
        <v>577703.6141</v>
      </c>
      <c r="AE344" s="66">
        <f t="array" ref="AE344">IFS(B344&lt;66, XLOOKUP(year(A344),Lookup!$K$13:$K1000,Lookup!$N$13:$N1000,"missing",,1),B344&gt;65,XLOOKUP(questions!$C$5,Lookup!$K$13:$K1000,Lookup!$N$13:$N1000,"missing",,1))</f>
        <v>1155407.228</v>
      </c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</row>
    <row r="345">
      <c r="A345" s="55">
        <f t="shared" si="7"/>
        <v>56522</v>
      </c>
      <c r="B345" s="56">
        <f>round(YEARFRAC(EOMONTH(questions!$C$3, 0),A345,1),2)</f>
        <v>55.83</v>
      </c>
      <c r="C345" s="57">
        <f>IF(B345&lt;questions!$C$6,if(MONTH(A345)=1,C344*(1+questions!$C$12),C344),0)</f>
        <v>22879.27676</v>
      </c>
      <c r="D345" s="58">
        <f>IF(MONTH(A345)=12,C345*questions!$C$11,0)</f>
        <v>0</v>
      </c>
      <c r="E345" s="59">
        <f t="shared" si="2"/>
        <v>8000</v>
      </c>
      <c r="F345" s="59">
        <f t="shared" si="3"/>
        <v>0</v>
      </c>
      <c r="G345" s="60">
        <f t="array" ref="G345">if(YEAR(A345)=2025,XLOOKUP(B345,Lookup!$A$3:$A$7,Lookup!$D$3:$D$7,,1)*SUM(E345:F345), XLOOKUP(B345,Lookup!$A$14:$A$18,Lookup!$D$14:$D$18,,1)*SUM(E345:F345))</f>
        <v>2720</v>
      </c>
      <c r="H345" s="60">
        <f t="array" ref="H345">if(YEAR(A345)=2025,XLOOKUP(B345,Lookup!$F$3:$F$10,Lookup!$G$3:$G$10,,1)*G345, XLOOKUP(B345,Lookup!$F$14:$F$21,Lookup!$G$14:$G$21,,1)*G345)</f>
        <v>960.16</v>
      </c>
      <c r="I345" s="61">
        <f t="array" ref="I345">if(B345&lt;55, if(YEAR(A345)=2025,XLOOKUP(B345,Lookup!$F$3:$F$10,Lookup!$H$3:$H$10,,1)*G345, XLOOKUP(B345,Lookup!$F$14:$F$21,Lookup!$H$14:$H$21,,1)*G345),0)</f>
        <v>0</v>
      </c>
      <c r="J345" s="60">
        <f t="array" ref="J345">if(YEAR(A345)=2025,XLOOKUP(B345,Lookup!$F$3:$F$10,Lookup!$I$3:$I$10,,1)*G345, XLOOKUP(B345,Lookup!$F$14:$F$21,Lookup!$I$14:$I$21,,1)*G345)</f>
        <v>839.936</v>
      </c>
      <c r="K345" s="60">
        <f t="array" ref="K345">if(B345&gt;54, if(YEAR(A345)=2025,XLOOKUP(B345,Lookup!$F$3:$F$10,Lookup!$H$3:$H$10,,1)*G345, XLOOKUP(B345,Lookup!$F$14:$F$21,Lookup!$H$14:$H$21,,1)*G345),0)</f>
        <v>919.904</v>
      </c>
      <c r="L345" s="62">
        <f>IF(and(A345&lt;questions!$C$19,questions!$C$18="yes"),questions!$C$20,0)</f>
        <v>0</v>
      </c>
      <c r="M345" s="63">
        <f>(Y344+H345)*Lookup!A$26/12</f>
        <v>1395.373851</v>
      </c>
      <c r="N345" s="63">
        <f>if(B345&lt;55, (Z344+I345)*Lookup!B$26/12, (AB344+K345)*Lookup!B$26/12)</f>
        <v>1961.597046</v>
      </c>
      <c r="O345" s="63">
        <f>(AA344+J345)*Lookup!C$26/12</f>
        <v>691.8440852</v>
      </c>
      <c r="P345" s="63">
        <f t="shared" si="8"/>
        <v>12417.35986</v>
      </c>
      <c r="Q345" s="63">
        <f t="shared" si="4"/>
        <v>17543.98494</v>
      </c>
      <c r="R345" s="63">
        <f t="shared" si="5"/>
        <v>6125.804447</v>
      </c>
      <c r="S345" s="64">
        <f t="shared" si="9"/>
        <v>33.33333333</v>
      </c>
      <c r="T345" s="64">
        <f t="shared" si="10"/>
        <v>41.66666667</v>
      </c>
      <c r="U345" s="64">
        <f t="shared" si="11"/>
        <v>0</v>
      </c>
      <c r="V345" s="64">
        <f t="shared" ref="V345:X345" si="353">IF(year($A345)=year($A344), V344+S345, S345)</f>
        <v>300</v>
      </c>
      <c r="W345" s="64">
        <f t="shared" si="353"/>
        <v>375</v>
      </c>
      <c r="X345" s="64">
        <f t="shared" si="353"/>
        <v>0</v>
      </c>
      <c r="Y345" s="65">
        <f>IFS(
  B345&lt;55,
    MAX(
      Y344 + IF(MONTH(A345)=12, P345+V345, 0) + H345 - L345
      + MAX(0,
          IF(AA344 &gt;= VLOOKUP(YEAR(A345), Lookup!$Q:$R, 2),
            Z344 + IF(MONTH(A345)=12, Q345+W345, 0) + I345
              + AA344 + IF(MONTH(A345)=12, R345+X345, 0)
              - VLOOKUP(YEAR(A345), Lookup!$Q:$R, 2) + J345,
            Z344 + IF(MONTH(A345)=12, Q345+W345, 0) + I345
          ) - VLOOKUP(YEAR(A345), Lookup!$K:$M, 3)
        ),
    0),
  B345=55,
    IF(Z344&gt;=AD345,
      MAX(Y344 + IF(MONTH(A345)=12, P345+V345, 0) + H345 - L345, 0),
      MAX(MAX(0, Y344-(AD345-Z344)) + IF(MONTH(A345)=12, P345+V345, 0) + H345 - L345, 0)
    ),
  B345&gt;55,
    IF(AB344&gt;=$AH$7,
      MAX(Y344 + IF(MONTH(A345)=12, P345+V345, 0) + H345 - L345 + K345 + Z344, 0),
      MAX(Y344 + IF(MONTH(A345)=12, P345+V345, 0) + H345 - L345, 0)
    )
)</f>
        <v>670699.3525</v>
      </c>
      <c r="Z345" s="65">
        <f>IFS(
  B345&lt;55,
    MIN(
      IF(AA344 &gt;= VLOOKUP(YEAR(A345), Lookup!$Q:$R, 2),
        Z344 + IF(MONTH(A345)=12, Q345+W345, 0) + I345
          + AA344 + IF(MONTH(A345)=12, R345+X345, 0) - VLOOKUP(YEAR(A345), Lookup!$Q:$R, 2) + J345,
        Z344 + IF(MONTH(A345)=12, Q345+W345, 0) + I345
      ),
      VLOOKUP(YEAR(A345), Lookup!$K:$M, 3)
    ),
  B345=55,
    IF(Z344 &gt;= AD345, Z344 - AD345, 0),
  B345&gt;55, 0
)</f>
        <v>0</v>
      </c>
      <c r="AA345" s="65">
        <f>IFS(
  B345&lt;65,
    IF(AA344+J345 &lt; VLOOKUP(YEAR(A345), Lookup!$Q:$R, 2),
      AA344 + IF(MONTH(A345)=12, R344+X344, 0) + J345,
      MIN(
        AA344 + IF(MONTH(A345)=12, R344+X344, 0) + J345 ,
        VLOOKUP(YEAR(A345), Lookup!$Q:$R, 2)
      )
    ),
  B345&gt;=65,
    IF(AA344+J345 &lt; VLOOKUP(questions!$C$5, Lookup!$Q:$R, 2),
      AA344 + IF(MONTH(A345)=12, R344+X344, 0) + J345 ,
      MIN(
        AA344 + IF(MONTH(A345)=12, R344+X344, 0) + J345,
        VLOOKUP(questions!$C$5, Lookup!$Q:$R, 2)
      )
    )
)</f>
        <v>206993.5846</v>
      </c>
      <c r="AB345" s="65">
        <f t="shared" si="13"/>
        <v>588479.1139</v>
      </c>
      <c r="AC345" s="66">
        <f t="array" ref="AC345">IFS(B345&lt;66, XLOOKUP(year(A345),Lookup!$K$13:$K1000,Lookup!$L$13:$L1000,"missing",,1),B345&gt;65,XLOOKUP(questions!$C$5,Lookup!$K$13:$K1000,Lookup!$L$13:$L1000,"missing",,1))</f>
        <v>288851.8071</v>
      </c>
      <c r="AD345" s="66">
        <f t="array" ref="AD345">IFS(B345&lt;66, XLOOKUP(year(A345),Lookup!$K$13:$K1000,Lookup!$M$13:$M1000,"missing",,1),B345&gt;65, XLOOKUP(questions!$C$5,Lookup!$K$13:$K1000,Lookup!$M$13:$M1000,"missing",,1))</f>
        <v>577703.6141</v>
      </c>
      <c r="AE345" s="66">
        <f t="array" ref="AE345">IFS(B345&lt;66, XLOOKUP(year(A345),Lookup!$K$13:$K1000,Lookup!$N$13:$N1000,"missing",,1),B345&gt;65,XLOOKUP(questions!$C$5,Lookup!$K$13:$K1000,Lookup!$N$13:$N1000,"missing",,1))</f>
        <v>1155407.228</v>
      </c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</row>
    <row r="346">
      <c r="A346" s="55">
        <f t="shared" si="7"/>
        <v>56553</v>
      </c>
      <c r="B346" s="56">
        <f>round(YEARFRAC(EOMONTH(questions!$C$3, 0),A346,1),2)</f>
        <v>55.92</v>
      </c>
      <c r="C346" s="57">
        <f>IF(B346&lt;questions!$C$6,if(MONTH(A346)=1,C345*(1+questions!$C$12),C345),0)</f>
        <v>22879.27676</v>
      </c>
      <c r="D346" s="58">
        <f>IF(MONTH(A346)=12,C346*questions!$C$11,0)</f>
        <v>0</v>
      </c>
      <c r="E346" s="59">
        <f t="shared" si="2"/>
        <v>8000</v>
      </c>
      <c r="F346" s="59">
        <f t="shared" si="3"/>
        <v>0</v>
      </c>
      <c r="G346" s="60">
        <f t="array" ref="G346">if(YEAR(A346)=2025,XLOOKUP(B346,Lookup!$A$3:$A$7,Lookup!$D$3:$D$7,,1)*SUM(E346:F346), XLOOKUP(B346,Lookup!$A$14:$A$18,Lookup!$D$14:$D$18,,1)*SUM(E346:F346))</f>
        <v>2720</v>
      </c>
      <c r="H346" s="60">
        <f t="array" ref="H346">if(YEAR(A346)=2025,XLOOKUP(B346,Lookup!$F$3:$F$10,Lookup!$G$3:$G$10,,1)*G346, XLOOKUP(B346,Lookup!$F$14:$F$21,Lookup!$G$14:$G$21,,1)*G346)</f>
        <v>960.16</v>
      </c>
      <c r="I346" s="61">
        <f t="array" ref="I346">if(B346&lt;55, if(YEAR(A346)=2025,XLOOKUP(B346,Lookup!$F$3:$F$10,Lookup!$H$3:$H$10,,1)*G346, XLOOKUP(B346,Lookup!$F$14:$F$21,Lookup!$H$14:$H$21,,1)*G346),0)</f>
        <v>0</v>
      </c>
      <c r="J346" s="60">
        <f t="array" ref="J346">if(YEAR(A346)=2025,XLOOKUP(B346,Lookup!$F$3:$F$10,Lookup!$I$3:$I$10,,1)*G346, XLOOKUP(B346,Lookup!$F$14:$F$21,Lookup!$I$14:$I$21,,1)*G346)</f>
        <v>839.936</v>
      </c>
      <c r="K346" s="60">
        <f t="array" ref="K346">if(B346&gt;54, if(YEAR(A346)=2025,XLOOKUP(B346,Lookup!$F$3:$F$10,Lookup!$H$3:$H$10,,1)*G346, XLOOKUP(B346,Lookup!$F$14:$F$21,Lookup!$H$14:$H$21,,1)*G346),0)</f>
        <v>919.904</v>
      </c>
      <c r="L346" s="62">
        <f>IF(and(A346&lt;questions!$C$19,questions!$C$18="yes"),questions!$C$20,0)</f>
        <v>0</v>
      </c>
      <c r="M346" s="63">
        <f>(Y345+H346)*Lookup!A$26/12</f>
        <v>1399.290651</v>
      </c>
      <c r="N346" s="63">
        <f>if(B346&lt;55, (Z345+I346)*Lookup!B$26/12, (AB345+K346)*Lookup!B$26/12)</f>
        <v>1964.663393</v>
      </c>
      <c r="O346" s="63">
        <f>(AA345+J346)*Lookup!C$26/12</f>
        <v>692.778402</v>
      </c>
      <c r="P346" s="63">
        <f t="shared" si="8"/>
        <v>13816.65051</v>
      </c>
      <c r="Q346" s="63">
        <f t="shared" si="4"/>
        <v>19508.64833</v>
      </c>
      <c r="R346" s="63">
        <f t="shared" si="5"/>
        <v>6818.582849</v>
      </c>
      <c r="S346" s="64">
        <f t="shared" si="9"/>
        <v>33.33333333</v>
      </c>
      <c r="T346" s="64">
        <f t="shared" si="10"/>
        <v>41.66666667</v>
      </c>
      <c r="U346" s="64">
        <f t="shared" si="11"/>
        <v>0</v>
      </c>
      <c r="V346" s="64">
        <f t="shared" ref="V346:X346" si="354">IF(year($A346)=year($A345), V345+S346, S346)</f>
        <v>333.3333333</v>
      </c>
      <c r="W346" s="64">
        <f t="shared" si="354"/>
        <v>416.6666667</v>
      </c>
      <c r="X346" s="64">
        <f t="shared" si="354"/>
        <v>0</v>
      </c>
      <c r="Y346" s="65">
        <f>IFS(
  B346&lt;55,
    MAX(
      Y345 + IF(MONTH(A346)=12, P346+V346, 0) + H346 - L346
      + MAX(0,
          IF(AA345 &gt;= VLOOKUP(YEAR(A346), Lookup!$Q:$R, 2),
            Z345 + IF(MONTH(A346)=12, Q346+W346, 0) + I346
              + AA345 + IF(MONTH(A346)=12, R346+X346, 0)
              - VLOOKUP(YEAR(A346), Lookup!$Q:$R, 2) + J346,
            Z345 + IF(MONTH(A346)=12, Q346+W346, 0) + I346
          ) - VLOOKUP(YEAR(A346), Lookup!$K:$M, 3)
        ),
    0),
  B346=55,
    IF(Z345&gt;=AD346,
      MAX(Y345 + IF(MONTH(A346)=12, P346+V346, 0) + H346 - L346, 0),
      MAX(MAX(0, Y345-(AD346-Z345)) + IF(MONTH(A346)=12, P346+V346, 0) + H346 - L346, 0)
    ),
  B346&gt;55,
    IF(AB345&gt;=$AH$7,
      MAX(Y345 + IF(MONTH(A346)=12, P346+V346, 0) + H346 - L346 + K346 + Z345, 0),
      MAX(Y345 + IF(MONTH(A346)=12, P346+V346, 0) + H346 - L346, 0)
    )
)</f>
        <v>672579.4165</v>
      </c>
      <c r="Z346" s="65">
        <f>IFS(
  B346&lt;55,
    MIN(
      IF(AA345 &gt;= VLOOKUP(YEAR(A346), Lookup!$Q:$R, 2),
        Z345 + IF(MONTH(A346)=12, Q346+W346, 0) + I346
          + AA345 + IF(MONTH(A346)=12, R346+X346, 0) - VLOOKUP(YEAR(A346), Lookup!$Q:$R, 2) + J346,
        Z345 + IF(MONTH(A346)=12, Q346+W346, 0) + I346
      ),
      VLOOKUP(YEAR(A346), Lookup!$K:$M, 3)
    ),
  B346=55,
    IF(Z345 &gt;= AD346, Z345 - AD346, 0),
  B346&gt;55, 0
)</f>
        <v>0</v>
      </c>
      <c r="AA346" s="65">
        <f>IFS(
  B346&lt;65,
    IF(AA345+J346 &lt; VLOOKUP(YEAR(A346), Lookup!$Q:$R, 2),
      AA345 + IF(MONTH(A346)=12, R345+X345, 0) + J346,
      MIN(
        AA345 + IF(MONTH(A346)=12, R345+X345, 0) + J346 ,
        VLOOKUP(YEAR(A346), Lookup!$Q:$R, 2)
      )
    ),
  B346&gt;=65,
    IF(AA345+J346 &lt; VLOOKUP(questions!$C$5, Lookup!$Q:$R, 2),
      AA345 + IF(MONTH(A346)=12, R345+X345, 0) + J346 ,
      MIN(
        AA345 + IF(MONTH(A346)=12, R345+X345, 0) + J346,
        VLOOKUP(questions!$C$5, Lookup!$Q:$R, 2)
      )
    )
)</f>
        <v>206993.5846</v>
      </c>
      <c r="AB346" s="65">
        <f t="shared" si="13"/>
        <v>589399.0179</v>
      </c>
      <c r="AC346" s="66">
        <f t="array" ref="AC346">IFS(B346&lt;66, XLOOKUP(year(A346),Lookup!$K$13:$K1000,Lookup!$L$13:$L1000,"missing",,1),B346&gt;65,XLOOKUP(questions!$C$5,Lookup!$K$13:$K1000,Lookup!$L$13:$L1000,"missing",,1))</f>
        <v>288851.8071</v>
      </c>
      <c r="AD346" s="66">
        <f t="array" ref="AD346">IFS(B346&lt;66, XLOOKUP(year(A346),Lookup!$K$13:$K1000,Lookup!$M$13:$M1000,"missing",,1),B346&gt;65, XLOOKUP(questions!$C$5,Lookup!$K$13:$K1000,Lookup!$M$13:$M1000,"missing",,1))</f>
        <v>577703.6141</v>
      </c>
      <c r="AE346" s="66">
        <f t="array" ref="AE346">IFS(B346&lt;66, XLOOKUP(year(A346),Lookup!$K$13:$K1000,Lookup!$N$13:$N1000,"missing",,1),B346&gt;65,XLOOKUP(questions!$C$5,Lookup!$K$13:$K1000,Lookup!$N$13:$N1000,"missing",,1))</f>
        <v>1155407.228</v>
      </c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</row>
    <row r="347">
      <c r="A347" s="55">
        <f t="shared" si="7"/>
        <v>56583</v>
      </c>
      <c r="B347" s="56">
        <f>round(YEARFRAC(EOMONTH(questions!$C$3, 0),A347,1),2)</f>
        <v>56</v>
      </c>
      <c r="C347" s="57">
        <f>IF(B347&lt;questions!$C$6,if(MONTH(A347)=1,C346*(1+questions!$C$12),C346),0)</f>
        <v>22879.27676</v>
      </c>
      <c r="D347" s="58">
        <f>IF(MONTH(A347)=12,C347*questions!$C$11,0)</f>
        <v>0</v>
      </c>
      <c r="E347" s="59">
        <f t="shared" si="2"/>
        <v>8000</v>
      </c>
      <c r="F347" s="59">
        <f t="shared" si="3"/>
        <v>0</v>
      </c>
      <c r="G347" s="60">
        <f t="array" ref="G347">if(YEAR(A347)=2025,XLOOKUP(B347,Lookup!$A$3:$A$7,Lookup!$D$3:$D$7,,1)*SUM(E347:F347), XLOOKUP(B347,Lookup!$A$14:$A$18,Lookup!$D$14:$D$18,,1)*SUM(E347:F347))</f>
        <v>2720</v>
      </c>
      <c r="H347" s="60">
        <f t="array" ref="H347">if(YEAR(A347)=2025,XLOOKUP(B347,Lookup!$F$3:$F$10,Lookup!$G$3:$G$10,,1)*G347, XLOOKUP(B347,Lookup!$F$14:$F$21,Lookup!$G$14:$G$21,,1)*G347)</f>
        <v>960.16</v>
      </c>
      <c r="I347" s="61">
        <f t="array" ref="I347">if(B347&lt;55, if(YEAR(A347)=2025,XLOOKUP(B347,Lookup!$F$3:$F$10,Lookup!$H$3:$H$10,,1)*G347, XLOOKUP(B347,Lookup!$F$14:$F$21,Lookup!$H$14:$H$21,,1)*G347),0)</f>
        <v>0</v>
      </c>
      <c r="J347" s="60">
        <f t="array" ref="J347">if(YEAR(A347)=2025,XLOOKUP(B347,Lookup!$F$3:$F$10,Lookup!$I$3:$I$10,,1)*G347, XLOOKUP(B347,Lookup!$F$14:$F$21,Lookup!$I$14:$I$21,,1)*G347)</f>
        <v>839.936</v>
      </c>
      <c r="K347" s="60">
        <f t="array" ref="K347">if(B347&gt;54, if(YEAR(A347)=2025,XLOOKUP(B347,Lookup!$F$3:$F$10,Lookup!$H$3:$H$10,,1)*G347, XLOOKUP(B347,Lookup!$F$14:$F$21,Lookup!$H$14:$H$21,,1)*G347),0)</f>
        <v>919.904</v>
      </c>
      <c r="L347" s="62">
        <f>IF(and(A347&lt;questions!$C$19,questions!$C$18="yes"),questions!$C$20,0)</f>
        <v>0</v>
      </c>
      <c r="M347" s="63">
        <f>(Y346+H347)*Lookup!A$26/12</f>
        <v>1403.207451</v>
      </c>
      <c r="N347" s="63">
        <f>if(B347&lt;55, (Z346+I347)*Lookup!B$26/12, (AB346+K347)*Lookup!B$26/12)</f>
        <v>1967.72974</v>
      </c>
      <c r="O347" s="63">
        <f>(AA346+J347)*Lookup!C$26/12</f>
        <v>692.778402</v>
      </c>
      <c r="P347" s="63">
        <f t="shared" si="8"/>
        <v>15219.85796</v>
      </c>
      <c r="Q347" s="63">
        <f t="shared" si="4"/>
        <v>21476.37807</v>
      </c>
      <c r="R347" s="63">
        <f t="shared" si="5"/>
        <v>7511.361251</v>
      </c>
      <c r="S347" s="64">
        <f t="shared" si="9"/>
        <v>33.33333333</v>
      </c>
      <c r="T347" s="64">
        <f t="shared" si="10"/>
        <v>41.66666667</v>
      </c>
      <c r="U347" s="64">
        <f t="shared" si="11"/>
        <v>0</v>
      </c>
      <c r="V347" s="64">
        <f t="shared" ref="V347:X347" si="355">IF(year($A347)=year($A346), V346+S347, S347)</f>
        <v>366.6666667</v>
      </c>
      <c r="W347" s="64">
        <f t="shared" si="355"/>
        <v>458.3333333</v>
      </c>
      <c r="X347" s="64">
        <f t="shared" si="355"/>
        <v>0</v>
      </c>
      <c r="Y347" s="65">
        <f>IFS(
  B347&lt;55,
    MAX(
      Y346 + IF(MONTH(A347)=12, P347+V347, 0) + H347 - L347
      + MAX(0,
          IF(AA346 &gt;= VLOOKUP(YEAR(A347), Lookup!$Q:$R, 2),
            Z346 + IF(MONTH(A347)=12, Q347+W347, 0) + I347
              + AA346 + IF(MONTH(A347)=12, R347+X347, 0)
              - VLOOKUP(YEAR(A347), Lookup!$Q:$R, 2) + J347,
            Z346 + IF(MONTH(A347)=12, Q347+W347, 0) + I347
          ) - VLOOKUP(YEAR(A347), Lookup!$K:$M, 3)
        ),
    0),
  B347=55,
    IF(Z346&gt;=AD347,
      MAX(Y346 + IF(MONTH(A347)=12, P347+V347, 0) + H347 - L347, 0),
      MAX(MAX(0, Y346-(AD347-Z346)) + IF(MONTH(A347)=12, P347+V347, 0) + H347 - L347, 0)
    ),
  B347&gt;55,
    IF(AB346&gt;=$AH$7,
      MAX(Y346 + IF(MONTH(A347)=12, P347+V347, 0) + H347 - L347 + K347 + Z346, 0),
      MAX(Y346 + IF(MONTH(A347)=12, P347+V347, 0) + H347 - L347, 0)
    )
)</f>
        <v>674459.4805</v>
      </c>
      <c r="Z347" s="65">
        <f>IFS(
  B347&lt;55,
    MIN(
      IF(AA346 &gt;= VLOOKUP(YEAR(A347), Lookup!$Q:$R, 2),
        Z346 + IF(MONTH(A347)=12, Q347+W347, 0) + I347
          + AA346 + IF(MONTH(A347)=12, R347+X347, 0) - VLOOKUP(YEAR(A347), Lookup!$Q:$R, 2) + J347,
        Z346 + IF(MONTH(A347)=12, Q347+W347, 0) + I347
      ),
      VLOOKUP(YEAR(A347), Lookup!$K:$M, 3)
    ),
  B347=55,
    IF(Z346 &gt;= AD347, Z346 - AD347, 0),
  B347&gt;55, 0
)</f>
        <v>0</v>
      </c>
      <c r="AA347" s="65">
        <f>IFS(
  B347&lt;65,
    IF(AA346+J347 &lt; VLOOKUP(YEAR(A347), Lookup!$Q:$R, 2),
      AA346 + IF(MONTH(A347)=12, R346+X346, 0) + J347,
      MIN(
        AA346 + IF(MONTH(A347)=12, R346+X346, 0) + J347 ,
        VLOOKUP(YEAR(A347), Lookup!$Q:$R, 2)
      )
    ),
  B347&gt;=65,
    IF(AA346+J347 &lt; VLOOKUP(questions!$C$5, Lookup!$Q:$R, 2),
      AA346 + IF(MONTH(A347)=12, R346+X346, 0) + J347 ,
      MIN(
        AA346 + IF(MONTH(A347)=12, R346+X346, 0) + J347,
        VLOOKUP(questions!$C$5, Lookup!$Q:$R, 2)
      )
    )
)</f>
        <v>206993.5846</v>
      </c>
      <c r="AB347" s="65">
        <f t="shared" si="13"/>
        <v>590318.9219</v>
      </c>
      <c r="AC347" s="66">
        <f t="array" ref="AC347">IFS(B347&lt;66, XLOOKUP(year(A347),Lookup!$K$13:$K1000,Lookup!$L$13:$L1000,"missing",,1),B347&gt;65,XLOOKUP(questions!$C$5,Lookup!$K$13:$K1000,Lookup!$L$13:$L1000,"missing",,1))</f>
        <v>288851.8071</v>
      </c>
      <c r="AD347" s="66">
        <f t="array" ref="AD347">IFS(B347&lt;66, XLOOKUP(year(A347),Lookup!$K$13:$K1000,Lookup!$M$13:$M1000,"missing",,1),B347&gt;65, XLOOKUP(questions!$C$5,Lookup!$K$13:$K1000,Lookup!$M$13:$M1000,"missing",,1))</f>
        <v>577703.6141</v>
      </c>
      <c r="AE347" s="66">
        <f t="array" ref="AE347">IFS(B347&lt;66, XLOOKUP(year(A347),Lookup!$K$13:$K1000,Lookup!$N$13:$N1000,"missing",,1),B347&gt;65,XLOOKUP(questions!$C$5,Lookup!$K$13:$K1000,Lookup!$N$13:$N1000,"missing",,1))</f>
        <v>1155407.228</v>
      </c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</row>
    <row r="348">
      <c r="A348" s="55">
        <f t="shared" si="7"/>
        <v>56614</v>
      </c>
      <c r="B348" s="56">
        <f>round(YEARFRAC(EOMONTH(questions!$C$3, 0),A348,1),2)</f>
        <v>56.08</v>
      </c>
      <c r="C348" s="57">
        <f>IF(B348&lt;questions!$C$6,if(MONTH(A348)=1,C347*(1+questions!$C$12),C347),0)</f>
        <v>22879.27676</v>
      </c>
      <c r="D348" s="57">
        <f>IF(MONTH(A348)=12,C348*questions!$C$11,0)</f>
        <v>22879.27676</v>
      </c>
      <c r="E348" s="59">
        <f t="shared" si="2"/>
        <v>8000</v>
      </c>
      <c r="F348" s="59">
        <f t="shared" si="3"/>
        <v>6000</v>
      </c>
      <c r="G348" s="60">
        <f t="array" ref="G348">if(YEAR(A348)=2025,XLOOKUP(B348,Lookup!$A$3:$A$7,Lookup!$D$3:$D$7,,1)*SUM(E348:F348), XLOOKUP(B348,Lookup!$A$14:$A$18,Lookup!$D$14:$D$18,,1)*SUM(E348:F348))</f>
        <v>4760</v>
      </c>
      <c r="H348" s="60">
        <f t="array" ref="H348">if(YEAR(A348)=2025,XLOOKUP(B348,Lookup!$F$3:$F$10,Lookup!$G$3:$G$10,,1)*G348, XLOOKUP(B348,Lookup!$F$14:$F$21,Lookup!$G$14:$G$21,,1)*G348)</f>
        <v>1680.28</v>
      </c>
      <c r="I348" s="61">
        <f t="array" ref="I348">if(B348&lt;55, if(YEAR(A348)=2025,XLOOKUP(B348,Lookup!$F$3:$F$10,Lookup!$H$3:$H$10,,1)*G348, XLOOKUP(B348,Lookup!$F$14:$F$21,Lookup!$H$14:$H$21,,1)*G348),0)</f>
        <v>0</v>
      </c>
      <c r="J348" s="60">
        <f t="array" ref="J348">if(YEAR(A348)=2025,XLOOKUP(B348,Lookup!$F$3:$F$10,Lookup!$I$3:$I$10,,1)*G348, XLOOKUP(B348,Lookup!$F$14:$F$21,Lookup!$I$14:$I$21,,1)*G348)</f>
        <v>1469.888</v>
      </c>
      <c r="K348" s="60">
        <f t="array" ref="K348">if(B348&gt;54, if(YEAR(A348)=2025,XLOOKUP(B348,Lookup!$F$3:$F$10,Lookup!$H$3:$H$10,,1)*G348, XLOOKUP(B348,Lookup!$F$14:$F$21,Lookup!$H$14:$H$21,,1)*G348),0)</f>
        <v>1609.832</v>
      </c>
      <c r="L348" s="62">
        <f>IF(and(A348&lt;questions!$C$19,questions!$C$18="yes"),questions!$C$20,0)</f>
        <v>0</v>
      </c>
      <c r="M348" s="63">
        <f>(Y347+H348)*Lookup!A$26/12</f>
        <v>1408.624501</v>
      </c>
      <c r="N348" s="63">
        <f>if(B348&lt;55, (Z347+I348)*Lookup!B$26/12, (AB347+K348)*Lookup!B$26/12)</f>
        <v>1973.095846</v>
      </c>
      <c r="O348" s="63">
        <f>(AA347+J348)*Lookup!C$26/12</f>
        <v>694.878242</v>
      </c>
      <c r="P348" s="63">
        <f t="shared" si="8"/>
        <v>16628.48246</v>
      </c>
      <c r="Q348" s="63">
        <f t="shared" si="4"/>
        <v>23449.47392</v>
      </c>
      <c r="R348" s="63">
        <f t="shared" si="5"/>
        <v>8206.239493</v>
      </c>
      <c r="S348" s="64">
        <f t="shared" si="9"/>
        <v>33.33333333</v>
      </c>
      <c r="T348" s="64">
        <f t="shared" si="10"/>
        <v>41.66666667</v>
      </c>
      <c r="U348" s="64">
        <f t="shared" si="11"/>
        <v>0</v>
      </c>
      <c r="V348" s="64">
        <f t="shared" ref="V348:X348" si="356">IF(year($A348)=year($A347), V347+S348, S348)</f>
        <v>400</v>
      </c>
      <c r="W348" s="64">
        <f t="shared" si="356"/>
        <v>500</v>
      </c>
      <c r="X348" s="64">
        <f t="shared" si="356"/>
        <v>0</v>
      </c>
      <c r="Y348" s="65">
        <f>IFS(
  B348&lt;55,
    MAX(
      Y347 + IF(MONTH(A348)=12, P348+V348, 0) + H348 - L348
      + MAX(0,
          IF(AA347 &gt;= VLOOKUP(YEAR(A348), Lookup!$Q:$R, 2),
            Z347 + IF(MONTH(A348)=12, Q348+W348, 0) + I348
              + AA347 + IF(MONTH(A348)=12, R348+X348, 0)
              - VLOOKUP(YEAR(A348), Lookup!$Q:$R, 2) + J348,
            Z347 + IF(MONTH(A348)=12, Q348+W348, 0) + I348
          ) - VLOOKUP(YEAR(A348), Lookup!$K:$M, 3)
        ),
    0),
  B348=55,
    IF(Z347&gt;=AD348,
      MAX(Y347 + IF(MONTH(A348)=12, P348+V348, 0) + H348 - L348, 0),
      MAX(MAX(0, Y347-(AD348-Z347)) + IF(MONTH(A348)=12, P348+V348, 0) + H348 - L348, 0)
    ),
  B348&gt;55,
    IF(AB347&gt;=$AH$7,
      MAX(Y347 + IF(MONTH(A348)=12, P348+V348, 0) + H348 - L348 + K348 + Z347, 0),
      MAX(Y347 + IF(MONTH(A348)=12, P348+V348, 0) + H348 - L348, 0)
    )
)</f>
        <v>694778.075</v>
      </c>
      <c r="Z348" s="65">
        <f>IFS(
  B348&lt;55,
    MIN(
      IF(AA347 &gt;= VLOOKUP(YEAR(A348), Lookup!$Q:$R, 2),
        Z347 + IF(MONTH(A348)=12, Q348+W348, 0) + I348
          + AA347 + IF(MONTH(A348)=12, R348+X348, 0) - VLOOKUP(YEAR(A348), Lookup!$Q:$R, 2) + J348,
        Z347 + IF(MONTH(A348)=12, Q348+W348, 0) + I348
      ),
      VLOOKUP(YEAR(A348), Lookup!$K:$M, 3)
    ),
  B348=55,
    IF(Z347 &gt;= AD348, Z347 - AD348, 0),
  B348&gt;55, 0
)</f>
        <v>0</v>
      </c>
      <c r="AA348" s="65">
        <f>IFS(
  B348&lt;65,
    IF(AA347+J348 &lt; VLOOKUP(YEAR(A348), Lookup!$Q:$R, 2),
      AA347 + IF(MONTH(A348)=12, R347+X347, 0) + J348,
      MIN(
        AA347 + IF(MONTH(A348)=12, R347+X347, 0) + J348 ,
        VLOOKUP(YEAR(A348), Lookup!$Q:$R, 2)
      )
    ),
  B348&gt;=65,
    IF(AA347+J348 &lt; VLOOKUP(questions!$C$5, Lookup!$Q:$R, 2),
      AA347 + IF(MONTH(A348)=12, R347+X347, 0) + J348 ,
      MIN(
        AA347 + IF(MONTH(A348)=12, R347+X347, 0) + J348,
        VLOOKUP(questions!$C$5, Lookup!$Q:$R, 2)
      )
    )
)</f>
        <v>206993.5846</v>
      </c>
      <c r="AB348" s="65">
        <f t="shared" si="13"/>
        <v>615878.2278</v>
      </c>
      <c r="AC348" s="66">
        <f t="array" ref="AC348">IFS(B348&lt;66, XLOOKUP(year(A348),Lookup!$K$13:$K1000,Lookup!$L$13:$L1000,"missing",,1),B348&gt;65,XLOOKUP(questions!$C$5,Lookup!$K$13:$K1000,Lookup!$L$13:$L1000,"missing",,1))</f>
        <v>288851.8071</v>
      </c>
      <c r="AD348" s="66">
        <f t="array" ref="AD348">IFS(B348&lt;66, XLOOKUP(year(A348),Lookup!$K$13:$K1000,Lookup!$M$13:$M1000,"missing",,1),B348&gt;65, XLOOKUP(questions!$C$5,Lookup!$K$13:$K1000,Lookup!$M$13:$M1000,"missing",,1))</f>
        <v>577703.6141</v>
      </c>
      <c r="AE348" s="66">
        <f t="array" ref="AE348">IFS(B348&lt;66, XLOOKUP(year(A348),Lookup!$K$13:$K1000,Lookup!$N$13:$N1000,"missing",,1),B348&gt;65,XLOOKUP(questions!$C$5,Lookup!$K$13:$K1000,Lookup!$N$13:$N1000,"missing",,1))</f>
        <v>1155407.228</v>
      </c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</row>
    <row r="349">
      <c r="A349" s="55">
        <f t="shared" si="7"/>
        <v>56645</v>
      </c>
      <c r="B349" s="56">
        <f>round(YEARFRAC(EOMONTH(questions!$C$3, 0),A349,1),2)</f>
        <v>56.17</v>
      </c>
      <c r="C349" s="57">
        <f>IF(B349&lt;questions!$C$6,if(MONTH(A349)=1,C348*(1+questions!$C$12),C348),0)</f>
        <v>23565.65506</v>
      </c>
      <c r="D349" s="58">
        <f>IF(MONTH(A349)=12,C349*questions!$C$11,0)</f>
        <v>0</v>
      </c>
      <c r="E349" s="59">
        <f t="shared" si="2"/>
        <v>8000</v>
      </c>
      <c r="F349" s="59">
        <f t="shared" si="3"/>
        <v>0</v>
      </c>
      <c r="G349" s="60">
        <f t="array" ref="G349">if(YEAR(A349)=2025,XLOOKUP(B349,Lookup!$A$3:$A$7,Lookup!$D$3:$D$7,,1)*SUM(E349:F349), XLOOKUP(B349,Lookup!$A$14:$A$18,Lookup!$D$14:$D$18,,1)*SUM(E349:F349))</f>
        <v>2720</v>
      </c>
      <c r="H349" s="60">
        <f t="array" ref="H349">if(YEAR(A349)=2025,XLOOKUP(B349,Lookup!$F$3:$F$10,Lookup!$G$3:$G$10,,1)*G349, XLOOKUP(B349,Lookup!$F$14:$F$21,Lookup!$G$14:$G$21,,1)*G349)</f>
        <v>960.16</v>
      </c>
      <c r="I349" s="61">
        <f t="array" ref="I349">if(B349&lt;55, if(YEAR(A349)=2025,XLOOKUP(B349,Lookup!$F$3:$F$10,Lookup!$H$3:$H$10,,1)*G349, XLOOKUP(B349,Lookup!$F$14:$F$21,Lookup!$H$14:$H$21,,1)*G349),0)</f>
        <v>0</v>
      </c>
      <c r="J349" s="60">
        <f t="array" ref="J349">if(YEAR(A349)=2025,XLOOKUP(B349,Lookup!$F$3:$F$10,Lookup!$I$3:$I$10,,1)*G349, XLOOKUP(B349,Lookup!$F$14:$F$21,Lookup!$I$14:$I$21,,1)*G349)</f>
        <v>839.936</v>
      </c>
      <c r="K349" s="60">
        <f t="array" ref="K349">if(B349&gt;54, if(YEAR(A349)=2025,XLOOKUP(B349,Lookup!$F$3:$F$10,Lookup!$H$3:$H$10,,1)*G349, XLOOKUP(B349,Lookup!$F$14:$F$21,Lookup!$H$14:$H$21,,1)*G349),0)</f>
        <v>919.904</v>
      </c>
      <c r="L349" s="62">
        <f>IF(and(A349&lt;questions!$C$19,questions!$C$18="yes"),questions!$C$20,0)</f>
        <v>0</v>
      </c>
      <c r="M349" s="63">
        <f>(Y348+H349)*Lookup!A$26/12</f>
        <v>1449.454656</v>
      </c>
      <c r="N349" s="63">
        <f>if(B349&lt;55, (Z348+I349)*Lookup!B$26/12, (AB348+K349)*Lookup!B$26/12)</f>
        <v>2055.993773</v>
      </c>
      <c r="O349" s="63">
        <f>(AA348+J349)*Lookup!C$26/12</f>
        <v>692.778402</v>
      </c>
      <c r="P349" s="63">
        <f t="shared" si="8"/>
        <v>1449.454656</v>
      </c>
      <c r="Q349" s="63">
        <f t="shared" si="4"/>
        <v>2055.993773</v>
      </c>
      <c r="R349" s="63">
        <f t="shared" si="5"/>
        <v>692.778402</v>
      </c>
      <c r="S349" s="64">
        <f t="shared" si="9"/>
        <v>33.33333333</v>
      </c>
      <c r="T349" s="64">
        <f t="shared" si="10"/>
        <v>41.66666667</v>
      </c>
      <c r="U349" s="64">
        <f t="shared" si="11"/>
        <v>0</v>
      </c>
      <c r="V349" s="64">
        <f t="shared" ref="V349:X349" si="357">IF(year($A349)=year($A348), V348+S349, S349)</f>
        <v>33.33333333</v>
      </c>
      <c r="W349" s="64">
        <f t="shared" si="357"/>
        <v>41.66666667</v>
      </c>
      <c r="X349" s="64">
        <f t="shared" si="357"/>
        <v>0</v>
      </c>
      <c r="Y349" s="65">
        <f>IFS(
  B349&lt;55,
    MAX(
      Y348 + IF(MONTH(A349)=12, P349+V349, 0) + H349 - L349
      + MAX(0,
          IF(AA348 &gt;= VLOOKUP(YEAR(A349), Lookup!$Q:$R, 2),
            Z348 + IF(MONTH(A349)=12, Q349+W349, 0) + I349
              + AA348 + IF(MONTH(A349)=12, R349+X349, 0)
              - VLOOKUP(YEAR(A349), Lookup!$Q:$R, 2) + J349,
            Z348 + IF(MONTH(A349)=12, Q349+W349, 0) + I349
          ) - VLOOKUP(YEAR(A349), Lookup!$K:$M, 3)
        ),
    0),
  B349=55,
    IF(Z348&gt;=AD349,
      MAX(Y348 + IF(MONTH(A349)=12, P349+V349, 0) + H349 - L349, 0),
      MAX(MAX(0, Y348-(AD349-Z348)) + IF(MONTH(A349)=12, P349+V349, 0) + H349 - L349, 0)
    ),
  B349&gt;55,
    IF(AB348&gt;=$AH$7,
      MAX(Y348 + IF(MONTH(A349)=12, P349+V349, 0) + H349 - L349 + K349 + Z348, 0),
      MAX(Y348 + IF(MONTH(A349)=12, P349+V349, 0) + H349 - L349, 0)
    )
)</f>
        <v>696658.139</v>
      </c>
      <c r="Z349" s="65">
        <f>IFS(
  B349&lt;55,
    MIN(
      IF(AA348 &gt;= VLOOKUP(YEAR(A349), Lookup!$Q:$R, 2),
        Z348 + IF(MONTH(A349)=12, Q349+W349, 0) + I349
          + AA348 + IF(MONTH(A349)=12, R349+X349, 0) - VLOOKUP(YEAR(A349), Lookup!$Q:$R, 2) + J349,
        Z348 + IF(MONTH(A349)=12, Q349+W349, 0) + I349
      ),
      VLOOKUP(YEAR(A349), Lookup!$K:$M, 3)
    ),
  B349=55,
    IF(Z348 &gt;= AD349, Z348 - AD349, 0),
  B349&gt;55, 0
)</f>
        <v>0</v>
      </c>
      <c r="AA349" s="65">
        <f>IFS(
  B349&lt;65,
    IF(AA348+J349 &lt; VLOOKUP(YEAR(A349), Lookup!$Q:$R, 2),
      AA348 + IF(MONTH(A349)=12, R348+X348, 0) + J349,
      MIN(
        AA348 + IF(MONTH(A349)=12, R348+X348, 0) + J349 ,
        VLOOKUP(YEAR(A349), Lookup!$Q:$R, 2)
      )
    ),
  B349&gt;=65,
    IF(AA348+J349 &lt; VLOOKUP(questions!$C$5, Lookup!$Q:$R, 2),
      AA348 + IF(MONTH(A349)=12, R348+X348, 0) + J349 ,
      MIN(
        AA348 + IF(MONTH(A349)=12, R348+X348, 0) + J349,
        VLOOKUP(questions!$C$5, Lookup!$Q:$R, 2)
      )
    )
)</f>
        <v>207833.5206</v>
      </c>
      <c r="AB349" s="65">
        <f t="shared" si="13"/>
        <v>616798.1318</v>
      </c>
      <c r="AC349" s="66">
        <f t="array" ref="AC349">IFS(B349&lt;66, XLOOKUP(year(A349),Lookup!$K$13:$K1000,Lookup!$L$13:$L1000,"missing",,1),B349&gt;65,XLOOKUP(questions!$C$5,Lookup!$K$13:$K1000,Lookup!$L$13:$L1000,"missing",,1))</f>
        <v>298961.6203</v>
      </c>
      <c r="AD349" s="66">
        <f t="array" ref="AD349">IFS(B349&lt;66, XLOOKUP(year(A349),Lookup!$K$13:$K1000,Lookup!$M$13:$M1000,"missing",,1),B349&gt;65, XLOOKUP(questions!$C$5,Lookup!$K$13:$K1000,Lookup!$M$13:$M1000,"missing",,1))</f>
        <v>597923.2406</v>
      </c>
      <c r="AE349" s="66">
        <f t="array" ref="AE349">IFS(B349&lt;66, XLOOKUP(year(A349),Lookup!$K$13:$K1000,Lookup!$N$13:$N1000,"missing",,1),B349&gt;65,XLOOKUP(questions!$C$5,Lookup!$K$13:$K1000,Lookup!$N$13:$N1000,"missing",,1))</f>
        <v>1195846.481</v>
      </c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</row>
    <row r="350">
      <c r="A350" s="55">
        <f t="shared" si="7"/>
        <v>56673</v>
      </c>
      <c r="B350" s="56">
        <f>round(YEARFRAC(EOMONTH(questions!$C$3, 0),A350,1),2)</f>
        <v>56.25</v>
      </c>
      <c r="C350" s="57">
        <f>IF(B350&lt;questions!$C$6,if(MONTH(A350)=1,C349*(1+questions!$C$12),C349),0)</f>
        <v>23565.65506</v>
      </c>
      <c r="D350" s="58">
        <f>IF(MONTH(A350)=12,C350*questions!$C$11,0)</f>
        <v>0</v>
      </c>
      <c r="E350" s="59">
        <f t="shared" si="2"/>
        <v>8000</v>
      </c>
      <c r="F350" s="59">
        <f t="shared" si="3"/>
        <v>0</v>
      </c>
      <c r="G350" s="60">
        <f t="array" ref="G350">if(YEAR(A350)=2025,XLOOKUP(B350,Lookup!$A$3:$A$7,Lookup!$D$3:$D$7,,1)*SUM(E350:F350), XLOOKUP(B350,Lookup!$A$14:$A$18,Lookup!$D$14:$D$18,,1)*SUM(E350:F350))</f>
        <v>2720</v>
      </c>
      <c r="H350" s="60">
        <f t="array" ref="H350">if(YEAR(A350)=2025,XLOOKUP(B350,Lookup!$F$3:$F$10,Lookup!$G$3:$G$10,,1)*G350, XLOOKUP(B350,Lookup!$F$14:$F$21,Lookup!$G$14:$G$21,,1)*G350)</f>
        <v>960.16</v>
      </c>
      <c r="I350" s="61">
        <f t="array" ref="I350">if(B350&lt;55, if(YEAR(A350)=2025,XLOOKUP(B350,Lookup!$F$3:$F$10,Lookup!$H$3:$H$10,,1)*G350, XLOOKUP(B350,Lookup!$F$14:$F$21,Lookup!$H$14:$H$21,,1)*G350),0)</f>
        <v>0</v>
      </c>
      <c r="J350" s="60">
        <f t="array" ref="J350">if(YEAR(A350)=2025,XLOOKUP(B350,Lookup!$F$3:$F$10,Lookup!$I$3:$I$10,,1)*G350, XLOOKUP(B350,Lookup!$F$14:$F$21,Lookup!$I$14:$I$21,,1)*G350)</f>
        <v>839.936</v>
      </c>
      <c r="K350" s="60">
        <f t="array" ref="K350">if(B350&gt;54, if(YEAR(A350)=2025,XLOOKUP(B350,Lookup!$F$3:$F$10,Lookup!$H$3:$H$10,,1)*G350, XLOOKUP(B350,Lookup!$F$14:$F$21,Lookup!$H$14:$H$21,,1)*G350),0)</f>
        <v>919.904</v>
      </c>
      <c r="L350" s="62">
        <f>IF(and(A350&lt;questions!$C$19,questions!$C$18="yes"),questions!$C$20,0)</f>
        <v>0</v>
      </c>
      <c r="M350" s="63">
        <f>(Y349+H350)*Lookup!A$26/12</f>
        <v>1453.371456</v>
      </c>
      <c r="N350" s="63">
        <f>if(B350&lt;55, (Z349+I350)*Lookup!B$26/12, (AB349+K350)*Lookup!B$26/12)</f>
        <v>2059.060119</v>
      </c>
      <c r="O350" s="63">
        <f>(AA349+J350)*Lookup!C$26/12</f>
        <v>695.5781887</v>
      </c>
      <c r="P350" s="63">
        <f t="shared" si="8"/>
        <v>2902.826112</v>
      </c>
      <c r="Q350" s="63">
        <f t="shared" si="4"/>
        <v>4115.053892</v>
      </c>
      <c r="R350" s="63">
        <f t="shared" si="5"/>
        <v>1388.356591</v>
      </c>
      <c r="S350" s="64">
        <f t="shared" si="9"/>
        <v>33.33333333</v>
      </c>
      <c r="T350" s="64">
        <f t="shared" si="10"/>
        <v>41.66666667</v>
      </c>
      <c r="U350" s="64">
        <f t="shared" si="11"/>
        <v>0</v>
      </c>
      <c r="V350" s="64">
        <f t="shared" ref="V350:X350" si="358">IF(year($A350)=year($A349), V349+S350, S350)</f>
        <v>66.66666667</v>
      </c>
      <c r="W350" s="64">
        <f t="shared" si="358"/>
        <v>83.33333333</v>
      </c>
      <c r="X350" s="64">
        <f t="shared" si="358"/>
        <v>0</v>
      </c>
      <c r="Y350" s="65">
        <f>IFS(
  B350&lt;55,
    MAX(
      Y349 + IF(MONTH(A350)=12, P350+V350, 0) + H350 - L350
      + MAX(0,
          IF(AA349 &gt;= VLOOKUP(YEAR(A350), Lookup!$Q:$R, 2),
            Z349 + IF(MONTH(A350)=12, Q350+W350, 0) + I350
              + AA349 + IF(MONTH(A350)=12, R350+X350, 0)
              - VLOOKUP(YEAR(A350), Lookup!$Q:$R, 2) + J350,
            Z349 + IF(MONTH(A350)=12, Q350+W350, 0) + I350
          ) - VLOOKUP(YEAR(A350), Lookup!$K:$M, 3)
        ),
    0),
  B350=55,
    IF(Z349&gt;=AD350,
      MAX(Y349 + IF(MONTH(A350)=12, P350+V350, 0) + H350 - L350, 0),
      MAX(MAX(0, Y349-(AD350-Z349)) + IF(MONTH(A350)=12, P350+V350, 0) + H350 - L350, 0)
    ),
  B350&gt;55,
    IF(AB349&gt;=$AH$7,
      MAX(Y349 + IF(MONTH(A350)=12, P350+V350, 0) + H350 - L350 + K350 + Z349, 0),
      MAX(Y349 + IF(MONTH(A350)=12, P350+V350, 0) + H350 - L350, 0)
    )
)</f>
        <v>698538.203</v>
      </c>
      <c r="Z350" s="65">
        <f>IFS(
  B350&lt;55,
    MIN(
      IF(AA349 &gt;= VLOOKUP(YEAR(A350), Lookup!$Q:$R, 2),
        Z349 + IF(MONTH(A350)=12, Q350+W350, 0) + I350
          + AA349 + IF(MONTH(A350)=12, R350+X350, 0) - VLOOKUP(YEAR(A350), Lookup!$Q:$R, 2) + J350,
        Z349 + IF(MONTH(A350)=12, Q350+W350, 0) + I350
      ),
      VLOOKUP(YEAR(A350), Lookup!$K:$M, 3)
    ),
  B350=55,
    IF(Z349 &gt;= AD350, Z349 - AD350, 0),
  B350&gt;55, 0
)</f>
        <v>0</v>
      </c>
      <c r="AA350" s="65">
        <f>IFS(
  B350&lt;65,
    IF(AA349+J350 &lt; VLOOKUP(YEAR(A350), Lookup!$Q:$R, 2),
      AA349 + IF(MONTH(A350)=12, R349+X349, 0) + J350,
      MIN(
        AA349 + IF(MONTH(A350)=12, R349+X349, 0) + J350 ,
        VLOOKUP(YEAR(A350), Lookup!$Q:$R, 2)
      )
    ),
  B350&gt;=65,
    IF(AA349+J350 &lt; VLOOKUP(questions!$C$5, Lookup!$Q:$R, 2),
      AA349 + IF(MONTH(A350)=12, R349+X349, 0) + J350 ,
      MIN(
        AA349 + IF(MONTH(A350)=12, R349+X349, 0) + J350,
        VLOOKUP(questions!$C$5, Lookup!$Q:$R, 2)
      )
    )
)</f>
        <v>208673.4566</v>
      </c>
      <c r="AB350" s="65">
        <f t="shared" si="13"/>
        <v>617718.0358</v>
      </c>
      <c r="AC350" s="66">
        <f t="array" ref="AC350">IFS(B350&lt;66, XLOOKUP(year(A350),Lookup!$K$13:$K1000,Lookup!$L$13:$L1000,"missing",,1),B350&gt;65,XLOOKUP(questions!$C$5,Lookup!$K$13:$K1000,Lookup!$L$13:$L1000,"missing",,1))</f>
        <v>298961.6203</v>
      </c>
      <c r="AD350" s="66">
        <f t="array" ref="AD350">IFS(B350&lt;66, XLOOKUP(year(A350),Lookup!$K$13:$K1000,Lookup!$M$13:$M1000,"missing",,1),B350&gt;65, XLOOKUP(questions!$C$5,Lookup!$K$13:$K1000,Lookup!$M$13:$M1000,"missing",,1))</f>
        <v>597923.2406</v>
      </c>
      <c r="AE350" s="66">
        <f t="array" ref="AE350">IFS(B350&lt;66, XLOOKUP(year(A350),Lookup!$K$13:$K1000,Lookup!$N$13:$N1000,"missing",,1),B350&gt;65,XLOOKUP(questions!$C$5,Lookup!$K$13:$K1000,Lookup!$N$13:$N1000,"missing",,1))</f>
        <v>1195846.481</v>
      </c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</row>
    <row r="351">
      <c r="A351" s="55">
        <f t="shared" si="7"/>
        <v>56704</v>
      </c>
      <c r="B351" s="56">
        <f>round(YEARFRAC(EOMONTH(questions!$C$3, 0),A351,1),2)</f>
        <v>56.33</v>
      </c>
      <c r="C351" s="57">
        <f>IF(B351&lt;questions!$C$6,if(MONTH(A351)=1,C350*(1+questions!$C$12),C350),0)</f>
        <v>23565.65506</v>
      </c>
      <c r="D351" s="58">
        <f>IF(MONTH(A351)=12,C351*questions!$C$11,0)</f>
        <v>0</v>
      </c>
      <c r="E351" s="59">
        <f t="shared" si="2"/>
        <v>8000</v>
      </c>
      <c r="F351" s="59">
        <f t="shared" si="3"/>
        <v>0</v>
      </c>
      <c r="G351" s="60">
        <f t="array" ref="G351">if(YEAR(A351)=2025,XLOOKUP(B351,Lookup!$A$3:$A$7,Lookup!$D$3:$D$7,,1)*SUM(E351:F351), XLOOKUP(B351,Lookup!$A$14:$A$18,Lookup!$D$14:$D$18,,1)*SUM(E351:F351))</f>
        <v>2720</v>
      </c>
      <c r="H351" s="60">
        <f t="array" ref="H351">if(YEAR(A351)=2025,XLOOKUP(B351,Lookup!$F$3:$F$10,Lookup!$G$3:$G$10,,1)*G351, XLOOKUP(B351,Lookup!$F$14:$F$21,Lookup!$G$14:$G$21,,1)*G351)</f>
        <v>960.16</v>
      </c>
      <c r="I351" s="61">
        <f t="array" ref="I351">if(B351&lt;55, if(YEAR(A351)=2025,XLOOKUP(B351,Lookup!$F$3:$F$10,Lookup!$H$3:$H$10,,1)*G351, XLOOKUP(B351,Lookup!$F$14:$F$21,Lookup!$H$14:$H$21,,1)*G351),0)</f>
        <v>0</v>
      </c>
      <c r="J351" s="60">
        <f t="array" ref="J351">if(YEAR(A351)=2025,XLOOKUP(B351,Lookup!$F$3:$F$10,Lookup!$I$3:$I$10,,1)*G351, XLOOKUP(B351,Lookup!$F$14:$F$21,Lookup!$I$14:$I$21,,1)*G351)</f>
        <v>839.936</v>
      </c>
      <c r="K351" s="60">
        <f t="array" ref="K351">if(B351&gt;54, if(YEAR(A351)=2025,XLOOKUP(B351,Lookup!$F$3:$F$10,Lookup!$H$3:$H$10,,1)*G351, XLOOKUP(B351,Lookup!$F$14:$F$21,Lookup!$H$14:$H$21,,1)*G351),0)</f>
        <v>919.904</v>
      </c>
      <c r="L351" s="62">
        <f>IF(and(A351&lt;questions!$C$19,questions!$C$18="yes"),questions!$C$20,0)</f>
        <v>0</v>
      </c>
      <c r="M351" s="63">
        <f>(Y350+H351)*Lookup!A$26/12</f>
        <v>1457.288256</v>
      </c>
      <c r="N351" s="63">
        <f>if(B351&lt;55, (Z350+I351)*Lookup!B$26/12, (AB350+K351)*Lookup!B$26/12)</f>
        <v>2062.126466</v>
      </c>
      <c r="O351" s="63">
        <f>(AA350+J351)*Lookup!C$26/12</f>
        <v>698.3779754</v>
      </c>
      <c r="P351" s="63">
        <f t="shared" si="8"/>
        <v>4360.114369</v>
      </c>
      <c r="Q351" s="63">
        <f t="shared" si="4"/>
        <v>6177.180358</v>
      </c>
      <c r="R351" s="63">
        <f t="shared" si="5"/>
        <v>2086.734566</v>
      </c>
      <c r="S351" s="64">
        <f t="shared" si="9"/>
        <v>33.33333333</v>
      </c>
      <c r="T351" s="64">
        <f t="shared" si="10"/>
        <v>41.66666667</v>
      </c>
      <c r="U351" s="64">
        <f t="shared" si="11"/>
        <v>0</v>
      </c>
      <c r="V351" s="64">
        <f t="shared" ref="V351:X351" si="359">IF(year($A351)=year($A350), V350+S351, S351)</f>
        <v>100</v>
      </c>
      <c r="W351" s="64">
        <f t="shared" si="359"/>
        <v>125</v>
      </c>
      <c r="X351" s="64">
        <f t="shared" si="359"/>
        <v>0</v>
      </c>
      <c r="Y351" s="65">
        <f>IFS(
  B351&lt;55,
    MAX(
      Y350 + IF(MONTH(A351)=12, P351+V351, 0) + H351 - L351
      + MAX(0,
          IF(AA350 &gt;= VLOOKUP(YEAR(A351), Lookup!$Q:$R, 2),
            Z350 + IF(MONTH(A351)=12, Q351+W351, 0) + I351
              + AA350 + IF(MONTH(A351)=12, R351+X351, 0)
              - VLOOKUP(YEAR(A351), Lookup!$Q:$R, 2) + J351,
            Z350 + IF(MONTH(A351)=12, Q351+W351, 0) + I351
          ) - VLOOKUP(YEAR(A351), Lookup!$K:$M, 3)
        ),
    0),
  B351=55,
    IF(Z350&gt;=AD351,
      MAX(Y350 + IF(MONTH(A351)=12, P351+V351, 0) + H351 - L351, 0),
      MAX(MAX(0, Y350-(AD351-Z350)) + IF(MONTH(A351)=12, P351+V351, 0) + H351 - L351, 0)
    ),
  B351&gt;55,
    IF(AB350&gt;=$AH$7,
      MAX(Y350 + IF(MONTH(A351)=12, P351+V351, 0) + H351 - L351 + K351 + Z350, 0),
      MAX(Y350 + IF(MONTH(A351)=12, P351+V351, 0) + H351 - L351, 0)
    )
)</f>
        <v>700418.267</v>
      </c>
      <c r="Z351" s="65">
        <f>IFS(
  B351&lt;55,
    MIN(
      IF(AA350 &gt;= VLOOKUP(YEAR(A351), Lookup!$Q:$R, 2),
        Z350 + IF(MONTH(A351)=12, Q351+W351, 0) + I351
          + AA350 + IF(MONTH(A351)=12, R351+X351, 0) - VLOOKUP(YEAR(A351), Lookup!$Q:$R, 2) + J351,
        Z350 + IF(MONTH(A351)=12, Q351+W351, 0) + I351
      ),
      VLOOKUP(YEAR(A351), Lookup!$K:$M, 3)
    ),
  B351=55,
    IF(Z350 &gt;= AD351, Z350 - AD351, 0),
  B351&gt;55, 0
)</f>
        <v>0</v>
      </c>
      <c r="AA351" s="65">
        <f>IFS(
  B351&lt;65,
    IF(AA350+J351 &lt; VLOOKUP(YEAR(A351), Lookup!$Q:$R, 2),
      AA350 + IF(MONTH(A351)=12, R350+X350, 0) + J351,
      MIN(
        AA350 + IF(MONTH(A351)=12, R350+X350, 0) + J351 ,
        VLOOKUP(YEAR(A351), Lookup!$Q:$R, 2)
      )
    ),
  B351&gt;=65,
    IF(AA350+J351 &lt; VLOOKUP(questions!$C$5, Lookup!$Q:$R, 2),
      AA350 + IF(MONTH(A351)=12, R350+X350, 0) + J351 ,
      MIN(
        AA350 + IF(MONTH(A351)=12, R350+X350, 0) + J351,
        VLOOKUP(questions!$C$5, Lookup!$Q:$R, 2)
      )
    )
)</f>
        <v>209513.3926</v>
      </c>
      <c r="AB351" s="65">
        <f t="shared" si="13"/>
        <v>618637.9398</v>
      </c>
      <c r="AC351" s="66">
        <f t="array" ref="AC351">IFS(B351&lt;66, XLOOKUP(year(A351),Lookup!$K$13:$K1000,Lookup!$L$13:$L1000,"missing",,1),B351&gt;65,XLOOKUP(questions!$C$5,Lookup!$K$13:$K1000,Lookup!$L$13:$L1000,"missing",,1))</f>
        <v>298961.6203</v>
      </c>
      <c r="AD351" s="66">
        <f t="array" ref="AD351">IFS(B351&lt;66, XLOOKUP(year(A351),Lookup!$K$13:$K1000,Lookup!$M$13:$M1000,"missing",,1),B351&gt;65, XLOOKUP(questions!$C$5,Lookup!$K$13:$K1000,Lookup!$M$13:$M1000,"missing",,1))</f>
        <v>597923.2406</v>
      </c>
      <c r="AE351" s="66">
        <f t="array" ref="AE351">IFS(B351&lt;66, XLOOKUP(year(A351),Lookup!$K$13:$K1000,Lookup!$N$13:$N1000,"missing",,1),B351&gt;65,XLOOKUP(questions!$C$5,Lookup!$K$13:$K1000,Lookup!$N$13:$N1000,"missing",,1))</f>
        <v>1195846.481</v>
      </c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</row>
    <row r="352">
      <c r="A352" s="55">
        <f t="shared" si="7"/>
        <v>56734</v>
      </c>
      <c r="B352" s="56">
        <f>round(YEARFRAC(EOMONTH(questions!$C$3, 0),A352,1),2)</f>
        <v>56.41</v>
      </c>
      <c r="C352" s="57">
        <f>IF(B352&lt;questions!$C$6,if(MONTH(A352)=1,C351*(1+questions!$C$12),C351),0)</f>
        <v>23565.65506</v>
      </c>
      <c r="D352" s="58">
        <f>IF(MONTH(A352)=12,C352*questions!$C$11,0)</f>
        <v>0</v>
      </c>
      <c r="E352" s="59">
        <f t="shared" si="2"/>
        <v>8000</v>
      </c>
      <c r="F352" s="59">
        <f t="shared" si="3"/>
        <v>0</v>
      </c>
      <c r="G352" s="60">
        <f t="array" ref="G352">if(YEAR(A352)=2025,XLOOKUP(B352,Lookup!$A$3:$A$7,Lookup!$D$3:$D$7,,1)*SUM(E352:F352), XLOOKUP(B352,Lookup!$A$14:$A$18,Lookup!$D$14:$D$18,,1)*SUM(E352:F352))</f>
        <v>2720</v>
      </c>
      <c r="H352" s="60">
        <f t="array" ref="H352">if(YEAR(A352)=2025,XLOOKUP(B352,Lookup!$F$3:$F$10,Lookup!$G$3:$G$10,,1)*G352, XLOOKUP(B352,Lookup!$F$14:$F$21,Lookup!$G$14:$G$21,,1)*G352)</f>
        <v>960.16</v>
      </c>
      <c r="I352" s="61">
        <f t="array" ref="I352">if(B352&lt;55, if(YEAR(A352)=2025,XLOOKUP(B352,Lookup!$F$3:$F$10,Lookup!$H$3:$H$10,,1)*G352, XLOOKUP(B352,Lookup!$F$14:$F$21,Lookup!$H$14:$H$21,,1)*G352),0)</f>
        <v>0</v>
      </c>
      <c r="J352" s="60">
        <f t="array" ref="J352">if(YEAR(A352)=2025,XLOOKUP(B352,Lookup!$F$3:$F$10,Lookup!$I$3:$I$10,,1)*G352, XLOOKUP(B352,Lookup!$F$14:$F$21,Lookup!$I$14:$I$21,,1)*G352)</f>
        <v>839.936</v>
      </c>
      <c r="K352" s="60">
        <f t="array" ref="K352">if(B352&gt;54, if(YEAR(A352)=2025,XLOOKUP(B352,Lookup!$F$3:$F$10,Lookup!$H$3:$H$10,,1)*G352, XLOOKUP(B352,Lookup!$F$14:$F$21,Lookup!$H$14:$H$21,,1)*G352),0)</f>
        <v>919.904</v>
      </c>
      <c r="L352" s="62">
        <f>IF(and(A352&lt;questions!$C$19,questions!$C$18="yes"),questions!$C$20,0)</f>
        <v>0</v>
      </c>
      <c r="M352" s="63">
        <f>(Y351+H352)*Lookup!A$26/12</f>
        <v>1461.205056</v>
      </c>
      <c r="N352" s="63">
        <f>if(B352&lt;55, (Z351+I352)*Lookup!B$26/12, (AB351+K352)*Lookup!B$26/12)</f>
        <v>2065.192813</v>
      </c>
      <c r="O352" s="63">
        <f>(AA351+J352)*Lookup!C$26/12</f>
        <v>701.177762</v>
      </c>
      <c r="P352" s="63">
        <f t="shared" si="8"/>
        <v>5821.319425</v>
      </c>
      <c r="Q352" s="63">
        <f t="shared" si="4"/>
        <v>8242.373171</v>
      </c>
      <c r="R352" s="63">
        <f t="shared" si="5"/>
        <v>2787.912328</v>
      </c>
      <c r="S352" s="64">
        <f t="shared" si="9"/>
        <v>33.33333333</v>
      </c>
      <c r="T352" s="64">
        <f t="shared" si="10"/>
        <v>41.66666667</v>
      </c>
      <c r="U352" s="64">
        <f t="shared" si="11"/>
        <v>0</v>
      </c>
      <c r="V352" s="64">
        <f t="shared" ref="V352:X352" si="360">IF(year($A352)=year($A351), V351+S352, S352)</f>
        <v>133.3333333</v>
      </c>
      <c r="W352" s="64">
        <f t="shared" si="360"/>
        <v>166.6666667</v>
      </c>
      <c r="X352" s="64">
        <f t="shared" si="360"/>
        <v>0</v>
      </c>
      <c r="Y352" s="65">
        <f>IFS(
  B352&lt;55,
    MAX(
      Y351 + IF(MONTH(A352)=12, P352+V352, 0) + H352 - L352
      + MAX(0,
          IF(AA351 &gt;= VLOOKUP(YEAR(A352), Lookup!$Q:$R, 2),
            Z351 + IF(MONTH(A352)=12, Q352+W352, 0) + I352
              + AA351 + IF(MONTH(A352)=12, R352+X352, 0)
              - VLOOKUP(YEAR(A352), Lookup!$Q:$R, 2) + J352,
            Z351 + IF(MONTH(A352)=12, Q352+W352, 0) + I352
          ) - VLOOKUP(YEAR(A352), Lookup!$K:$M, 3)
        ),
    0),
  B352=55,
    IF(Z351&gt;=AD352,
      MAX(Y351 + IF(MONTH(A352)=12, P352+V352, 0) + H352 - L352, 0),
      MAX(MAX(0, Y351-(AD352-Z351)) + IF(MONTH(A352)=12, P352+V352, 0) + H352 - L352, 0)
    ),
  B352&gt;55,
    IF(AB351&gt;=$AH$7,
      MAX(Y351 + IF(MONTH(A352)=12, P352+V352, 0) + H352 - L352 + K352 + Z351, 0),
      MAX(Y351 + IF(MONTH(A352)=12, P352+V352, 0) + H352 - L352, 0)
    )
)</f>
        <v>702298.331</v>
      </c>
      <c r="Z352" s="65">
        <f>IFS(
  B352&lt;55,
    MIN(
      IF(AA351 &gt;= VLOOKUP(YEAR(A352), Lookup!$Q:$R, 2),
        Z351 + IF(MONTH(A352)=12, Q352+W352, 0) + I352
          + AA351 + IF(MONTH(A352)=12, R352+X352, 0) - VLOOKUP(YEAR(A352), Lookup!$Q:$R, 2) + J352,
        Z351 + IF(MONTH(A352)=12, Q352+W352, 0) + I352
      ),
      VLOOKUP(YEAR(A352), Lookup!$K:$M, 3)
    ),
  B352=55,
    IF(Z351 &gt;= AD352, Z351 - AD352, 0),
  B352&gt;55, 0
)</f>
        <v>0</v>
      </c>
      <c r="AA352" s="65">
        <f>IFS(
  B352&lt;65,
    IF(AA351+J352 &lt; VLOOKUP(YEAR(A352), Lookup!$Q:$R, 2),
      AA351 + IF(MONTH(A352)=12, R351+X351, 0) + J352,
      MIN(
        AA351 + IF(MONTH(A352)=12, R351+X351, 0) + J352 ,
        VLOOKUP(YEAR(A352), Lookup!$Q:$R, 2)
      )
    ),
  B352&gt;=65,
    IF(AA351+J352 &lt; VLOOKUP(questions!$C$5, Lookup!$Q:$R, 2),
      AA351 + IF(MONTH(A352)=12, R351+X351, 0) + J352 ,
      MIN(
        AA351 + IF(MONTH(A352)=12, R351+X351, 0) + J352,
        VLOOKUP(questions!$C$5, Lookup!$Q:$R, 2)
      )
    )
)</f>
        <v>210353.3286</v>
      </c>
      <c r="AB352" s="65">
        <f t="shared" si="13"/>
        <v>619557.8438</v>
      </c>
      <c r="AC352" s="66">
        <f t="array" ref="AC352">IFS(B352&lt;66, XLOOKUP(year(A352),Lookup!$K$13:$K1000,Lookup!$L$13:$L1000,"missing",,1),B352&gt;65,XLOOKUP(questions!$C$5,Lookup!$K$13:$K1000,Lookup!$L$13:$L1000,"missing",,1))</f>
        <v>298961.6203</v>
      </c>
      <c r="AD352" s="66">
        <f t="array" ref="AD352">IFS(B352&lt;66, XLOOKUP(year(A352),Lookup!$K$13:$K1000,Lookup!$M$13:$M1000,"missing",,1),B352&gt;65, XLOOKUP(questions!$C$5,Lookup!$K$13:$K1000,Lookup!$M$13:$M1000,"missing",,1))</f>
        <v>597923.2406</v>
      </c>
      <c r="AE352" s="66">
        <f t="array" ref="AE352">IFS(B352&lt;66, XLOOKUP(year(A352),Lookup!$K$13:$K1000,Lookup!$N$13:$N1000,"missing",,1),B352&gt;65,XLOOKUP(questions!$C$5,Lookup!$K$13:$K1000,Lookup!$N$13:$N1000,"missing",,1))</f>
        <v>1195846.481</v>
      </c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</row>
    <row r="353">
      <c r="A353" s="55">
        <f t="shared" si="7"/>
        <v>56765</v>
      </c>
      <c r="B353" s="56">
        <f>round(YEARFRAC(EOMONTH(questions!$C$3, 0),A353,1),2)</f>
        <v>56.5</v>
      </c>
      <c r="C353" s="57">
        <f>IF(B353&lt;questions!$C$6,if(MONTH(A353)=1,C352*(1+questions!$C$12),C352),0)</f>
        <v>23565.65506</v>
      </c>
      <c r="D353" s="58">
        <f>IF(MONTH(A353)=12,C353*questions!$C$11,0)</f>
        <v>0</v>
      </c>
      <c r="E353" s="59">
        <f t="shared" si="2"/>
        <v>8000</v>
      </c>
      <c r="F353" s="59">
        <f t="shared" si="3"/>
        <v>0</v>
      </c>
      <c r="G353" s="60">
        <f t="array" ref="G353">if(YEAR(A353)=2025,XLOOKUP(B353,Lookup!$A$3:$A$7,Lookup!$D$3:$D$7,,1)*SUM(E353:F353), XLOOKUP(B353,Lookup!$A$14:$A$18,Lookup!$D$14:$D$18,,1)*SUM(E353:F353))</f>
        <v>2720</v>
      </c>
      <c r="H353" s="60">
        <f t="array" ref="H353">if(YEAR(A353)=2025,XLOOKUP(B353,Lookup!$F$3:$F$10,Lookup!$G$3:$G$10,,1)*G353, XLOOKUP(B353,Lookup!$F$14:$F$21,Lookup!$G$14:$G$21,,1)*G353)</f>
        <v>960.16</v>
      </c>
      <c r="I353" s="61">
        <f t="array" ref="I353">if(B353&lt;55, if(YEAR(A353)=2025,XLOOKUP(B353,Lookup!$F$3:$F$10,Lookup!$H$3:$H$10,,1)*G353, XLOOKUP(B353,Lookup!$F$14:$F$21,Lookup!$H$14:$H$21,,1)*G353),0)</f>
        <v>0</v>
      </c>
      <c r="J353" s="60">
        <f t="array" ref="J353">if(YEAR(A353)=2025,XLOOKUP(B353,Lookup!$F$3:$F$10,Lookup!$I$3:$I$10,,1)*G353, XLOOKUP(B353,Lookup!$F$14:$F$21,Lookup!$I$14:$I$21,,1)*G353)</f>
        <v>839.936</v>
      </c>
      <c r="K353" s="60">
        <f t="array" ref="K353">if(B353&gt;54, if(YEAR(A353)=2025,XLOOKUP(B353,Lookup!$F$3:$F$10,Lookup!$H$3:$H$10,,1)*G353, XLOOKUP(B353,Lookup!$F$14:$F$21,Lookup!$H$14:$H$21,,1)*G353),0)</f>
        <v>919.904</v>
      </c>
      <c r="L353" s="62">
        <f>IF(and(A353&lt;questions!$C$19,questions!$C$18="yes"),questions!$C$20,0)</f>
        <v>0</v>
      </c>
      <c r="M353" s="63">
        <f>(Y352+H353)*Lookup!A$26/12</f>
        <v>1465.121856</v>
      </c>
      <c r="N353" s="63">
        <f>if(B353&lt;55, (Z352+I353)*Lookup!B$26/12, (AB352+K353)*Lookup!B$26/12)</f>
        <v>2068.259159</v>
      </c>
      <c r="O353" s="63">
        <f>(AA352+J353)*Lookup!C$26/12</f>
        <v>703.9775487</v>
      </c>
      <c r="P353" s="63">
        <f t="shared" si="8"/>
        <v>7286.441281</v>
      </c>
      <c r="Q353" s="63">
        <f t="shared" si="4"/>
        <v>10310.63233</v>
      </c>
      <c r="R353" s="63">
        <f t="shared" si="5"/>
        <v>3491.889877</v>
      </c>
      <c r="S353" s="64">
        <f t="shared" si="9"/>
        <v>33.33333333</v>
      </c>
      <c r="T353" s="64">
        <f t="shared" si="10"/>
        <v>41.66666667</v>
      </c>
      <c r="U353" s="64">
        <f t="shared" si="11"/>
        <v>0</v>
      </c>
      <c r="V353" s="64">
        <f t="shared" ref="V353:X353" si="361">IF(year($A353)=year($A352), V352+S353, S353)</f>
        <v>166.6666667</v>
      </c>
      <c r="W353" s="64">
        <f t="shared" si="361"/>
        <v>208.3333333</v>
      </c>
      <c r="X353" s="64">
        <f t="shared" si="361"/>
        <v>0</v>
      </c>
      <c r="Y353" s="65">
        <f>IFS(
  B353&lt;55,
    MAX(
      Y352 + IF(MONTH(A353)=12, P353+V353, 0) + H353 - L353
      + MAX(0,
          IF(AA352 &gt;= VLOOKUP(YEAR(A353), Lookup!$Q:$R, 2),
            Z352 + IF(MONTH(A353)=12, Q353+W353, 0) + I353
              + AA352 + IF(MONTH(A353)=12, R353+X353, 0)
              - VLOOKUP(YEAR(A353), Lookup!$Q:$R, 2) + J353,
            Z352 + IF(MONTH(A353)=12, Q353+W353, 0) + I353
          ) - VLOOKUP(YEAR(A353), Lookup!$K:$M, 3)
        ),
    0),
  B353=55,
    IF(Z352&gt;=AD353,
      MAX(Y352 + IF(MONTH(A353)=12, P353+V353, 0) + H353 - L353, 0),
      MAX(MAX(0, Y352-(AD353-Z352)) + IF(MONTH(A353)=12, P353+V353, 0) + H353 - L353, 0)
    ),
  B353&gt;55,
    IF(AB352&gt;=$AH$7,
      MAX(Y352 + IF(MONTH(A353)=12, P353+V353, 0) + H353 - L353 + K353 + Z352, 0),
      MAX(Y352 + IF(MONTH(A353)=12, P353+V353, 0) + H353 - L353, 0)
    )
)</f>
        <v>704178.395</v>
      </c>
      <c r="Z353" s="65">
        <f>IFS(
  B353&lt;55,
    MIN(
      IF(AA352 &gt;= VLOOKUP(YEAR(A353), Lookup!$Q:$R, 2),
        Z352 + IF(MONTH(A353)=12, Q353+W353, 0) + I353
          + AA352 + IF(MONTH(A353)=12, R353+X353, 0) - VLOOKUP(YEAR(A353), Lookup!$Q:$R, 2) + J353,
        Z352 + IF(MONTH(A353)=12, Q353+W353, 0) + I353
      ),
      VLOOKUP(YEAR(A353), Lookup!$K:$M, 3)
    ),
  B353=55,
    IF(Z352 &gt;= AD353, Z352 - AD353, 0),
  B353&gt;55, 0
)</f>
        <v>0</v>
      </c>
      <c r="AA353" s="65">
        <f>IFS(
  B353&lt;65,
    IF(AA352+J353 &lt; VLOOKUP(YEAR(A353), Lookup!$Q:$R, 2),
      AA352 + IF(MONTH(A353)=12, R352+X352, 0) + J353,
      MIN(
        AA352 + IF(MONTH(A353)=12, R352+X352, 0) + J353 ,
        VLOOKUP(YEAR(A353), Lookup!$Q:$R, 2)
      )
    ),
  B353&gt;=65,
    IF(AA352+J353 &lt; VLOOKUP(questions!$C$5, Lookup!$Q:$R, 2),
      AA352 + IF(MONTH(A353)=12, R352+X352, 0) + J353 ,
      MIN(
        AA352 + IF(MONTH(A353)=12, R352+X352, 0) + J353,
        VLOOKUP(questions!$C$5, Lookup!$Q:$R, 2)
      )
    )
)</f>
        <v>211193.2646</v>
      </c>
      <c r="AB353" s="65">
        <f t="shared" si="13"/>
        <v>620477.7478</v>
      </c>
      <c r="AC353" s="66">
        <f t="array" ref="AC353">IFS(B353&lt;66, XLOOKUP(year(A353),Lookup!$K$13:$K1000,Lookup!$L$13:$L1000,"missing",,1),B353&gt;65,XLOOKUP(questions!$C$5,Lookup!$K$13:$K1000,Lookup!$L$13:$L1000,"missing",,1))</f>
        <v>298961.6203</v>
      </c>
      <c r="AD353" s="66">
        <f t="array" ref="AD353">IFS(B353&lt;66, XLOOKUP(year(A353),Lookup!$K$13:$K1000,Lookup!$M$13:$M1000,"missing",,1),B353&gt;65, XLOOKUP(questions!$C$5,Lookup!$K$13:$K1000,Lookup!$M$13:$M1000,"missing",,1))</f>
        <v>597923.2406</v>
      </c>
      <c r="AE353" s="66">
        <f t="array" ref="AE353">IFS(B353&lt;66, XLOOKUP(year(A353),Lookup!$K$13:$K1000,Lookup!$N$13:$N1000,"missing",,1),B353&gt;65,XLOOKUP(questions!$C$5,Lookup!$K$13:$K1000,Lookup!$N$13:$N1000,"missing",,1))</f>
        <v>1195846.481</v>
      </c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</row>
    <row r="354">
      <c r="A354" s="55">
        <f t="shared" si="7"/>
        <v>56795</v>
      </c>
      <c r="B354" s="56">
        <f>round(YEARFRAC(EOMONTH(questions!$C$3, 0),A354,1),2)</f>
        <v>56.58</v>
      </c>
      <c r="C354" s="57">
        <f>IF(B354&lt;questions!$C$6,if(MONTH(A354)=1,C353*(1+questions!$C$12),C353),0)</f>
        <v>23565.65506</v>
      </c>
      <c r="D354" s="58">
        <f>IF(MONTH(A354)=12,C354*questions!$C$11,0)</f>
        <v>0</v>
      </c>
      <c r="E354" s="59">
        <f t="shared" si="2"/>
        <v>8000</v>
      </c>
      <c r="F354" s="59">
        <f t="shared" si="3"/>
        <v>0</v>
      </c>
      <c r="G354" s="60">
        <f t="array" ref="G354">if(YEAR(A354)=2025,XLOOKUP(B354,Lookup!$A$3:$A$7,Lookup!$D$3:$D$7,,1)*SUM(E354:F354), XLOOKUP(B354,Lookup!$A$14:$A$18,Lookup!$D$14:$D$18,,1)*SUM(E354:F354))</f>
        <v>2720</v>
      </c>
      <c r="H354" s="60">
        <f t="array" ref="H354">if(YEAR(A354)=2025,XLOOKUP(B354,Lookup!$F$3:$F$10,Lookup!$G$3:$G$10,,1)*G354, XLOOKUP(B354,Lookup!$F$14:$F$21,Lookup!$G$14:$G$21,,1)*G354)</f>
        <v>960.16</v>
      </c>
      <c r="I354" s="61">
        <f t="array" ref="I354">if(B354&lt;55, if(YEAR(A354)=2025,XLOOKUP(B354,Lookup!$F$3:$F$10,Lookup!$H$3:$H$10,,1)*G354, XLOOKUP(B354,Lookup!$F$14:$F$21,Lookup!$H$14:$H$21,,1)*G354),0)</f>
        <v>0</v>
      </c>
      <c r="J354" s="60">
        <f t="array" ref="J354">if(YEAR(A354)=2025,XLOOKUP(B354,Lookup!$F$3:$F$10,Lookup!$I$3:$I$10,,1)*G354, XLOOKUP(B354,Lookup!$F$14:$F$21,Lookup!$I$14:$I$21,,1)*G354)</f>
        <v>839.936</v>
      </c>
      <c r="K354" s="60">
        <f t="array" ref="K354">if(B354&gt;54, if(YEAR(A354)=2025,XLOOKUP(B354,Lookup!$F$3:$F$10,Lookup!$H$3:$H$10,,1)*G354, XLOOKUP(B354,Lookup!$F$14:$F$21,Lookup!$H$14:$H$21,,1)*G354),0)</f>
        <v>919.904</v>
      </c>
      <c r="L354" s="62">
        <f>IF(and(A354&lt;questions!$C$19,questions!$C$18="yes"),questions!$C$20,0)</f>
        <v>0</v>
      </c>
      <c r="M354" s="63">
        <f>(Y353+H354)*Lookup!A$26/12</f>
        <v>1469.038656</v>
      </c>
      <c r="N354" s="63">
        <f>if(B354&lt;55, (Z353+I354)*Lookup!B$26/12, (AB353+K354)*Lookup!B$26/12)</f>
        <v>2071.325506</v>
      </c>
      <c r="O354" s="63">
        <f>(AA353+J354)*Lookup!C$26/12</f>
        <v>706.7773354</v>
      </c>
      <c r="P354" s="63">
        <f t="shared" si="8"/>
        <v>8755.479937</v>
      </c>
      <c r="Q354" s="63">
        <f t="shared" si="4"/>
        <v>12381.95784</v>
      </c>
      <c r="R354" s="63">
        <f t="shared" si="5"/>
        <v>4198.667212</v>
      </c>
      <c r="S354" s="64">
        <f t="shared" si="9"/>
        <v>33.33333333</v>
      </c>
      <c r="T354" s="64">
        <f t="shared" si="10"/>
        <v>41.66666667</v>
      </c>
      <c r="U354" s="64">
        <f t="shared" si="11"/>
        <v>0</v>
      </c>
      <c r="V354" s="64">
        <f t="shared" ref="V354:X354" si="362">IF(year($A354)=year($A353), V353+S354, S354)</f>
        <v>200</v>
      </c>
      <c r="W354" s="64">
        <f t="shared" si="362"/>
        <v>250</v>
      </c>
      <c r="X354" s="64">
        <f t="shared" si="362"/>
        <v>0</v>
      </c>
      <c r="Y354" s="65">
        <f>IFS(
  B354&lt;55,
    MAX(
      Y353 + IF(MONTH(A354)=12, P354+V354, 0) + H354 - L354
      + MAX(0,
          IF(AA353 &gt;= VLOOKUP(YEAR(A354), Lookup!$Q:$R, 2),
            Z353 + IF(MONTH(A354)=12, Q354+W354, 0) + I354
              + AA353 + IF(MONTH(A354)=12, R354+X354, 0)
              - VLOOKUP(YEAR(A354), Lookup!$Q:$R, 2) + J354,
            Z353 + IF(MONTH(A354)=12, Q354+W354, 0) + I354
          ) - VLOOKUP(YEAR(A354), Lookup!$K:$M, 3)
        ),
    0),
  B354=55,
    IF(Z353&gt;=AD354,
      MAX(Y353 + IF(MONTH(A354)=12, P354+V354, 0) + H354 - L354, 0),
      MAX(MAX(0, Y353-(AD354-Z353)) + IF(MONTH(A354)=12, P354+V354, 0) + H354 - L354, 0)
    ),
  B354&gt;55,
    IF(AB353&gt;=$AH$7,
      MAX(Y353 + IF(MONTH(A354)=12, P354+V354, 0) + H354 - L354 + K354 + Z353, 0),
      MAX(Y353 + IF(MONTH(A354)=12, P354+V354, 0) + H354 - L354, 0)
    )
)</f>
        <v>706058.459</v>
      </c>
      <c r="Z354" s="65">
        <f>IFS(
  B354&lt;55,
    MIN(
      IF(AA353 &gt;= VLOOKUP(YEAR(A354), Lookup!$Q:$R, 2),
        Z353 + IF(MONTH(A354)=12, Q354+W354, 0) + I354
          + AA353 + IF(MONTH(A354)=12, R354+X354, 0) - VLOOKUP(YEAR(A354), Lookup!$Q:$R, 2) + J354,
        Z353 + IF(MONTH(A354)=12, Q354+W354, 0) + I354
      ),
      VLOOKUP(YEAR(A354), Lookup!$K:$M, 3)
    ),
  B354=55,
    IF(Z353 &gt;= AD354, Z353 - AD354, 0),
  B354&gt;55, 0
)</f>
        <v>0</v>
      </c>
      <c r="AA354" s="65">
        <f>IFS(
  B354&lt;65,
    IF(AA353+J354 &lt; VLOOKUP(YEAR(A354), Lookup!$Q:$R, 2),
      AA353 + IF(MONTH(A354)=12, R353+X353, 0) + J354,
      MIN(
        AA353 + IF(MONTH(A354)=12, R353+X353, 0) + J354 ,
        VLOOKUP(YEAR(A354), Lookup!$Q:$R, 2)
      )
    ),
  B354&gt;=65,
    IF(AA353+J354 &lt; VLOOKUP(questions!$C$5, Lookup!$Q:$R, 2),
      AA353 + IF(MONTH(A354)=12, R353+X353, 0) + J354 ,
      MIN(
        AA353 + IF(MONTH(A354)=12, R353+X353, 0) + J354,
        VLOOKUP(questions!$C$5, Lookup!$Q:$R, 2)
      )
    )
)</f>
        <v>212033.2006</v>
      </c>
      <c r="AB354" s="65">
        <f t="shared" si="13"/>
        <v>621397.6518</v>
      </c>
      <c r="AC354" s="66">
        <f t="array" ref="AC354">IFS(B354&lt;66, XLOOKUP(year(A354),Lookup!$K$13:$K1000,Lookup!$L$13:$L1000,"missing",,1),B354&gt;65,XLOOKUP(questions!$C$5,Lookup!$K$13:$K1000,Lookup!$L$13:$L1000,"missing",,1))</f>
        <v>298961.6203</v>
      </c>
      <c r="AD354" s="66">
        <f t="array" ref="AD354">IFS(B354&lt;66, XLOOKUP(year(A354),Lookup!$K$13:$K1000,Lookup!$M$13:$M1000,"missing",,1),B354&gt;65, XLOOKUP(questions!$C$5,Lookup!$K$13:$K1000,Lookup!$M$13:$M1000,"missing",,1))</f>
        <v>597923.2406</v>
      </c>
      <c r="AE354" s="66">
        <f t="array" ref="AE354">IFS(B354&lt;66, XLOOKUP(year(A354),Lookup!$K$13:$K1000,Lookup!$N$13:$N1000,"missing",,1),B354&gt;65,XLOOKUP(questions!$C$5,Lookup!$K$13:$K1000,Lookup!$N$13:$N1000,"missing",,1))</f>
        <v>1195846.481</v>
      </c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</row>
    <row r="355">
      <c r="A355" s="55">
        <f t="shared" si="7"/>
        <v>56826</v>
      </c>
      <c r="B355" s="56">
        <f>round(YEARFRAC(EOMONTH(questions!$C$3, 0),A355,1),2)</f>
        <v>56.67</v>
      </c>
      <c r="C355" s="57">
        <f>IF(B355&lt;questions!$C$6,if(MONTH(A355)=1,C354*(1+questions!$C$12),C354),0)</f>
        <v>23565.65506</v>
      </c>
      <c r="D355" s="58">
        <f>IF(MONTH(A355)=12,C355*questions!$C$11,0)</f>
        <v>0</v>
      </c>
      <c r="E355" s="59">
        <f t="shared" si="2"/>
        <v>8000</v>
      </c>
      <c r="F355" s="59">
        <f t="shared" si="3"/>
        <v>0</v>
      </c>
      <c r="G355" s="60">
        <f t="array" ref="G355">if(YEAR(A355)=2025,XLOOKUP(B355,Lookup!$A$3:$A$7,Lookup!$D$3:$D$7,,1)*SUM(E355:F355), XLOOKUP(B355,Lookup!$A$14:$A$18,Lookup!$D$14:$D$18,,1)*SUM(E355:F355))</f>
        <v>2720</v>
      </c>
      <c r="H355" s="60">
        <f t="array" ref="H355">if(YEAR(A355)=2025,XLOOKUP(B355,Lookup!$F$3:$F$10,Lookup!$G$3:$G$10,,1)*G355, XLOOKUP(B355,Lookup!$F$14:$F$21,Lookup!$G$14:$G$21,,1)*G355)</f>
        <v>960.16</v>
      </c>
      <c r="I355" s="61">
        <f t="array" ref="I355">if(B355&lt;55, if(YEAR(A355)=2025,XLOOKUP(B355,Lookup!$F$3:$F$10,Lookup!$H$3:$H$10,,1)*G355, XLOOKUP(B355,Lookup!$F$14:$F$21,Lookup!$H$14:$H$21,,1)*G355),0)</f>
        <v>0</v>
      </c>
      <c r="J355" s="60">
        <f t="array" ref="J355">if(YEAR(A355)=2025,XLOOKUP(B355,Lookup!$F$3:$F$10,Lookup!$I$3:$I$10,,1)*G355, XLOOKUP(B355,Lookup!$F$14:$F$21,Lookup!$I$14:$I$21,,1)*G355)</f>
        <v>839.936</v>
      </c>
      <c r="K355" s="60">
        <f t="array" ref="K355">if(B355&gt;54, if(YEAR(A355)=2025,XLOOKUP(B355,Lookup!$F$3:$F$10,Lookup!$H$3:$H$10,,1)*G355, XLOOKUP(B355,Lookup!$F$14:$F$21,Lookup!$H$14:$H$21,,1)*G355),0)</f>
        <v>919.904</v>
      </c>
      <c r="L355" s="62">
        <f>IF(and(A355&lt;questions!$C$19,questions!$C$18="yes"),questions!$C$20,0)</f>
        <v>0</v>
      </c>
      <c r="M355" s="63">
        <f>(Y354+H355)*Lookup!A$26/12</f>
        <v>1472.955456</v>
      </c>
      <c r="N355" s="63">
        <f>if(B355&lt;55, (Z354+I355)*Lookup!B$26/12, (AB354+K355)*Lookup!B$26/12)</f>
        <v>2074.391853</v>
      </c>
      <c r="O355" s="63">
        <f>(AA354+J355)*Lookup!C$26/12</f>
        <v>709.577122</v>
      </c>
      <c r="P355" s="63">
        <f t="shared" si="8"/>
        <v>10228.43539</v>
      </c>
      <c r="Q355" s="63">
        <f t="shared" si="4"/>
        <v>14456.34969</v>
      </c>
      <c r="R355" s="63">
        <f t="shared" si="5"/>
        <v>4908.244334</v>
      </c>
      <c r="S355" s="64">
        <f t="shared" si="9"/>
        <v>33.33333333</v>
      </c>
      <c r="T355" s="64">
        <f t="shared" si="10"/>
        <v>41.66666667</v>
      </c>
      <c r="U355" s="64">
        <f t="shared" si="11"/>
        <v>0</v>
      </c>
      <c r="V355" s="64">
        <f t="shared" ref="V355:X355" si="363">IF(year($A355)=year($A354), V354+S355, S355)</f>
        <v>233.3333333</v>
      </c>
      <c r="W355" s="64">
        <f t="shared" si="363"/>
        <v>291.6666667</v>
      </c>
      <c r="X355" s="64">
        <f t="shared" si="363"/>
        <v>0</v>
      </c>
      <c r="Y355" s="65">
        <f>IFS(
  B355&lt;55,
    MAX(
      Y354 + IF(MONTH(A355)=12, P355+V355, 0) + H355 - L355
      + MAX(0,
          IF(AA354 &gt;= VLOOKUP(YEAR(A355), Lookup!$Q:$R, 2),
            Z354 + IF(MONTH(A355)=12, Q355+W355, 0) + I355
              + AA354 + IF(MONTH(A355)=12, R355+X355, 0)
              - VLOOKUP(YEAR(A355), Lookup!$Q:$R, 2) + J355,
            Z354 + IF(MONTH(A355)=12, Q355+W355, 0) + I355
          ) - VLOOKUP(YEAR(A355), Lookup!$K:$M, 3)
        ),
    0),
  B355=55,
    IF(Z354&gt;=AD355,
      MAX(Y354 + IF(MONTH(A355)=12, P355+V355, 0) + H355 - L355, 0),
      MAX(MAX(0, Y354-(AD355-Z354)) + IF(MONTH(A355)=12, P355+V355, 0) + H355 - L355, 0)
    ),
  B355&gt;55,
    IF(AB354&gt;=$AH$7,
      MAX(Y354 + IF(MONTH(A355)=12, P355+V355, 0) + H355 - L355 + K355 + Z354, 0),
      MAX(Y354 + IF(MONTH(A355)=12, P355+V355, 0) + H355 - L355, 0)
    )
)</f>
        <v>707938.523</v>
      </c>
      <c r="Z355" s="65">
        <f>IFS(
  B355&lt;55,
    MIN(
      IF(AA354 &gt;= VLOOKUP(YEAR(A355), Lookup!$Q:$R, 2),
        Z354 + IF(MONTH(A355)=12, Q355+W355, 0) + I355
          + AA354 + IF(MONTH(A355)=12, R355+X355, 0) - VLOOKUP(YEAR(A355), Lookup!$Q:$R, 2) + J355,
        Z354 + IF(MONTH(A355)=12, Q355+W355, 0) + I355
      ),
      VLOOKUP(YEAR(A355), Lookup!$K:$M, 3)
    ),
  B355=55,
    IF(Z354 &gt;= AD355, Z354 - AD355, 0),
  B355&gt;55, 0
)</f>
        <v>0</v>
      </c>
      <c r="AA355" s="65">
        <f>IFS(
  B355&lt;65,
    IF(AA354+J355 &lt; VLOOKUP(YEAR(A355), Lookup!$Q:$R, 2),
      AA354 + IF(MONTH(A355)=12, R354+X354, 0) + J355,
      MIN(
        AA354 + IF(MONTH(A355)=12, R354+X354, 0) + J355 ,
        VLOOKUP(YEAR(A355), Lookup!$Q:$R, 2)
      )
    ),
  B355&gt;=65,
    IF(AA354+J355 &lt; VLOOKUP(questions!$C$5, Lookup!$Q:$R, 2),
      AA354 + IF(MONTH(A355)=12, R354+X354, 0) + J355 ,
      MIN(
        AA354 + IF(MONTH(A355)=12, R354+X354, 0) + J355,
        VLOOKUP(questions!$C$5, Lookup!$Q:$R, 2)
      )
    )
)</f>
        <v>212873.1366</v>
      </c>
      <c r="AB355" s="65">
        <f t="shared" si="13"/>
        <v>622317.5558</v>
      </c>
      <c r="AC355" s="66">
        <f t="array" ref="AC355">IFS(B355&lt;66, XLOOKUP(year(A355),Lookup!$K$13:$K1000,Lookup!$L$13:$L1000,"missing",,1),B355&gt;65,XLOOKUP(questions!$C$5,Lookup!$K$13:$K1000,Lookup!$L$13:$L1000,"missing",,1))</f>
        <v>298961.6203</v>
      </c>
      <c r="AD355" s="66">
        <f t="array" ref="AD355">IFS(B355&lt;66, XLOOKUP(year(A355),Lookup!$K$13:$K1000,Lookup!$M$13:$M1000,"missing",,1),B355&gt;65, XLOOKUP(questions!$C$5,Lookup!$K$13:$K1000,Lookup!$M$13:$M1000,"missing",,1))</f>
        <v>597923.2406</v>
      </c>
      <c r="AE355" s="66">
        <f t="array" ref="AE355">IFS(B355&lt;66, XLOOKUP(year(A355),Lookup!$K$13:$K1000,Lookup!$N$13:$N1000,"missing",,1),B355&gt;65,XLOOKUP(questions!$C$5,Lookup!$K$13:$K1000,Lookup!$N$13:$N1000,"missing",,1))</f>
        <v>1195846.481</v>
      </c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</row>
    <row r="356">
      <c r="A356" s="55">
        <f t="shared" si="7"/>
        <v>56857</v>
      </c>
      <c r="B356" s="56">
        <f>round(YEARFRAC(EOMONTH(questions!$C$3, 0),A356,1),2)</f>
        <v>56.75</v>
      </c>
      <c r="C356" s="57">
        <f>IF(B356&lt;questions!$C$6,if(MONTH(A356)=1,C355*(1+questions!$C$12),C355),0)</f>
        <v>23565.65506</v>
      </c>
      <c r="D356" s="58">
        <f>IF(MONTH(A356)=12,C356*questions!$C$11,0)</f>
        <v>0</v>
      </c>
      <c r="E356" s="59">
        <f t="shared" si="2"/>
        <v>8000</v>
      </c>
      <c r="F356" s="59">
        <f t="shared" si="3"/>
        <v>0</v>
      </c>
      <c r="G356" s="60">
        <f t="array" ref="G356">if(YEAR(A356)=2025,XLOOKUP(B356,Lookup!$A$3:$A$7,Lookup!$D$3:$D$7,,1)*SUM(E356:F356), XLOOKUP(B356,Lookup!$A$14:$A$18,Lookup!$D$14:$D$18,,1)*SUM(E356:F356))</f>
        <v>2720</v>
      </c>
      <c r="H356" s="60">
        <f t="array" ref="H356">if(YEAR(A356)=2025,XLOOKUP(B356,Lookup!$F$3:$F$10,Lookup!$G$3:$G$10,,1)*G356, XLOOKUP(B356,Lookup!$F$14:$F$21,Lookup!$G$14:$G$21,,1)*G356)</f>
        <v>960.16</v>
      </c>
      <c r="I356" s="61">
        <f t="array" ref="I356">if(B356&lt;55, if(YEAR(A356)=2025,XLOOKUP(B356,Lookup!$F$3:$F$10,Lookup!$H$3:$H$10,,1)*G356, XLOOKUP(B356,Lookup!$F$14:$F$21,Lookup!$H$14:$H$21,,1)*G356),0)</f>
        <v>0</v>
      </c>
      <c r="J356" s="60">
        <f t="array" ref="J356">if(YEAR(A356)=2025,XLOOKUP(B356,Lookup!$F$3:$F$10,Lookup!$I$3:$I$10,,1)*G356, XLOOKUP(B356,Lookup!$F$14:$F$21,Lookup!$I$14:$I$21,,1)*G356)</f>
        <v>839.936</v>
      </c>
      <c r="K356" s="60">
        <f t="array" ref="K356">if(B356&gt;54, if(YEAR(A356)=2025,XLOOKUP(B356,Lookup!$F$3:$F$10,Lookup!$H$3:$H$10,,1)*G356, XLOOKUP(B356,Lookup!$F$14:$F$21,Lookup!$H$14:$H$21,,1)*G356),0)</f>
        <v>919.904</v>
      </c>
      <c r="L356" s="62">
        <f>IF(and(A356&lt;questions!$C$19,questions!$C$18="yes"),questions!$C$20,0)</f>
        <v>0</v>
      </c>
      <c r="M356" s="63">
        <f>(Y355+H356)*Lookup!A$26/12</f>
        <v>1476.872256</v>
      </c>
      <c r="N356" s="63">
        <f>if(B356&lt;55, (Z355+I356)*Lookup!B$26/12, (AB355+K356)*Lookup!B$26/12)</f>
        <v>2077.458199</v>
      </c>
      <c r="O356" s="63">
        <f>(AA355+J356)*Lookup!C$26/12</f>
        <v>712.3769087</v>
      </c>
      <c r="P356" s="63">
        <f t="shared" si="8"/>
        <v>11705.30765</v>
      </c>
      <c r="Q356" s="63">
        <f t="shared" si="4"/>
        <v>16533.80789</v>
      </c>
      <c r="R356" s="63">
        <f t="shared" si="5"/>
        <v>5620.621243</v>
      </c>
      <c r="S356" s="64">
        <f t="shared" si="9"/>
        <v>33.33333333</v>
      </c>
      <c r="T356" s="64">
        <f t="shared" si="10"/>
        <v>41.66666667</v>
      </c>
      <c r="U356" s="64">
        <f t="shared" si="11"/>
        <v>0</v>
      </c>
      <c r="V356" s="64">
        <f t="shared" ref="V356:X356" si="364">IF(year($A356)=year($A355), V355+S356, S356)</f>
        <v>266.6666667</v>
      </c>
      <c r="W356" s="64">
        <f t="shared" si="364"/>
        <v>333.3333333</v>
      </c>
      <c r="X356" s="64">
        <f t="shared" si="364"/>
        <v>0</v>
      </c>
      <c r="Y356" s="65">
        <f>IFS(
  B356&lt;55,
    MAX(
      Y355 + IF(MONTH(A356)=12, P356+V356, 0) + H356 - L356
      + MAX(0,
          IF(AA355 &gt;= VLOOKUP(YEAR(A356), Lookup!$Q:$R, 2),
            Z355 + IF(MONTH(A356)=12, Q356+W356, 0) + I356
              + AA355 + IF(MONTH(A356)=12, R356+X356, 0)
              - VLOOKUP(YEAR(A356), Lookup!$Q:$R, 2) + J356,
            Z355 + IF(MONTH(A356)=12, Q356+W356, 0) + I356
          ) - VLOOKUP(YEAR(A356), Lookup!$K:$M, 3)
        ),
    0),
  B356=55,
    IF(Z355&gt;=AD356,
      MAX(Y355 + IF(MONTH(A356)=12, P356+V356, 0) + H356 - L356, 0),
      MAX(MAX(0, Y355-(AD356-Z355)) + IF(MONTH(A356)=12, P356+V356, 0) + H356 - L356, 0)
    ),
  B356&gt;55,
    IF(AB355&gt;=$AH$7,
      MAX(Y355 + IF(MONTH(A356)=12, P356+V356, 0) + H356 - L356 + K356 + Z355, 0),
      MAX(Y355 + IF(MONTH(A356)=12, P356+V356, 0) + H356 - L356, 0)
    )
)</f>
        <v>709818.587</v>
      </c>
      <c r="Z356" s="65">
        <f>IFS(
  B356&lt;55,
    MIN(
      IF(AA355 &gt;= VLOOKUP(YEAR(A356), Lookup!$Q:$R, 2),
        Z355 + IF(MONTH(A356)=12, Q356+W356, 0) + I356
          + AA355 + IF(MONTH(A356)=12, R356+X356, 0) - VLOOKUP(YEAR(A356), Lookup!$Q:$R, 2) + J356,
        Z355 + IF(MONTH(A356)=12, Q356+W356, 0) + I356
      ),
      VLOOKUP(YEAR(A356), Lookup!$K:$M, 3)
    ),
  B356=55,
    IF(Z355 &gt;= AD356, Z355 - AD356, 0),
  B356&gt;55, 0
)</f>
        <v>0</v>
      </c>
      <c r="AA356" s="65">
        <f>IFS(
  B356&lt;65,
    IF(AA355+J356 &lt; VLOOKUP(YEAR(A356), Lookup!$Q:$R, 2),
      AA355 + IF(MONTH(A356)=12, R355+X355, 0) + J356,
      MIN(
        AA355 + IF(MONTH(A356)=12, R355+X355, 0) + J356 ,
        VLOOKUP(YEAR(A356), Lookup!$Q:$R, 2)
      )
    ),
  B356&gt;=65,
    IF(AA355+J356 &lt; VLOOKUP(questions!$C$5, Lookup!$Q:$R, 2),
      AA355 + IF(MONTH(A356)=12, R355+X355, 0) + J356 ,
      MIN(
        AA355 + IF(MONTH(A356)=12, R355+X355, 0) + J356,
        VLOOKUP(questions!$C$5, Lookup!$Q:$R, 2)
      )
    )
)</f>
        <v>213713.0726</v>
      </c>
      <c r="AB356" s="65">
        <f t="shared" si="13"/>
        <v>623237.4598</v>
      </c>
      <c r="AC356" s="66">
        <f t="array" ref="AC356">IFS(B356&lt;66, XLOOKUP(year(A356),Lookup!$K$13:$K1000,Lookup!$L$13:$L1000,"missing",,1),B356&gt;65,XLOOKUP(questions!$C$5,Lookup!$K$13:$K1000,Lookup!$L$13:$L1000,"missing",,1))</f>
        <v>298961.6203</v>
      </c>
      <c r="AD356" s="66">
        <f t="array" ref="AD356">IFS(B356&lt;66, XLOOKUP(year(A356),Lookup!$K$13:$K1000,Lookup!$M$13:$M1000,"missing",,1),B356&gt;65, XLOOKUP(questions!$C$5,Lookup!$K$13:$K1000,Lookup!$M$13:$M1000,"missing",,1))</f>
        <v>597923.2406</v>
      </c>
      <c r="AE356" s="66">
        <f t="array" ref="AE356">IFS(B356&lt;66, XLOOKUP(year(A356),Lookup!$K$13:$K1000,Lookup!$N$13:$N1000,"missing",,1),B356&gt;65,XLOOKUP(questions!$C$5,Lookup!$K$13:$K1000,Lookup!$N$13:$N1000,"missing",,1))</f>
        <v>1195846.481</v>
      </c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</row>
    <row r="357">
      <c r="A357" s="55">
        <f t="shared" si="7"/>
        <v>56887</v>
      </c>
      <c r="B357" s="56">
        <f>round(YEARFRAC(EOMONTH(questions!$C$3, 0),A357,1),2)</f>
        <v>56.83</v>
      </c>
      <c r="C357" s="57">
        <f>IF(B357&lt;questions!$C$6,if(MONTH(A357)=1,C356*(1+questions!$C$12),C356),0)</f>
        <v>23565.65506</v>
      </c>
      <c r="D357" s="58">
        <f>IF(MONTH(A357)=12,C357*questions!$C$11,0)</f>
        <v>0</v>
      </c>
      <c r="E357" s="59">
        <f t="shared" si="2"/>
        <v>8000</v>
      </c>
      <c r="F357" s="59">
        <f t="shared" si="3"/>
        <v>0</v>
      </c>
      <c r="G357" s="60">
        <f t="array" ref="G357">if(YEAR(A357)=2025,XLOOKUP(B357,Lookup!$A$3:$A$7,Lookup!$D$3:$D$7,,1)*SUM(E357:F357), XLOOKUP(B357,Lookup!$A$14:$A$18,Lookup!$D$14:$D$18,,1)*SUM(E357:F357))</f>
        <v>2720</v>
      </c>
      <c r="H357" s="60">
        <f t="array" ref="H357">if(YEAR(A357)=2025,XLOOKUP(B357,Lookup!$F$3:$F$10,Lookup!$G$3:$G$10,,1)*G357, XLOOKUP(B357,Lookup!$F$14:$F$21,Lookup!$G$14:$G$21,,1)*G357)</f>
        <v>960.16</v>
      </c>
      <c r="I357" s="61">
        <f t="array" ref="I357">if(B357&lt;55, if(YEAR(A357)=2025,XLOOKUP(B357,Lookup!$F$3:$F$10,Lookup!$H$3:$H$10,,1)*G357, XLOOKUP(B357,Lookup!$F$14:$F$21,Lookup!$H$14:$H$21,,1)*G357),0)</f>
        <v>0</v>
      </c>
      <c r="J357" s="60">
        <f t="array" ref="J357">if(YEAR(A357)=2025,XLOOKUP(B357,Lookup!$F$3:$F$10,Lookup!$I$3:$I$10,,1)*G357, XLOOKUP(B357,Lookup!$F$14:$F$21,Lookup!$I$14:$I$21,,1)*G357)</f>
        <v>839.936</v>
      </c>
      <c r="K357" s="60">
        <f t="array" ref="K357">if(B357&gt;54, if(YEAR(A357)=2025,XLOOKUP(B357,Lookup!$F$3:$F$10,Lookup!$H$3:$H$10,,1)*G357, XLOOKUP(B357,Lookup!$F$14:$F$21,Lookup!$H$14:$H$21,,1)*G357),0)</f>
        <v>919.904</v>
      </c>
      <c r="L357" s="62">
        <f>IF(and(A357&lt;questions!$C$19,questions!$C$18="yes"),questions!$C$20,0)</f>
        <v>0</v>
      </c>
      <c r="M357" s="63">
        <f>(Y356+H357)*Lookup!A$26/12</f>
        <v>1480.789056</v>
      </c>
      <c r="N357" s="63">
        <f>if(B357&lt;55, (Z356+I357)*Lookup!B$26/12, (AB356+K357)*Lookup!B$26/12)</f>
        <v>2080.524546</v>
      </c>
      <c r="O357" s="63">
        <f>(AA356+J357)*Lookup!C$26/12</f>
        <v>715.1766954</v>
      </c>
      <c r="P357" s="63">
        <f t="shared" si="8"/>
        <v>13186.09671</v>
      </c>
      <c r="Q357" s="63">
        <f t="shared" si="4"/>
        <v>18614.33243</v>
      </c>
      <c r="R357" s="63">
        <f t="shared" si="5"/>
        <v>6335.797938</v>
      </c>
      <c r="S357" s="64">
        <f t="shared" si="9"/>
        <v>33.33333333</v>
      </c>
      <c r="T357" s="64">
        <f t="shared" si="10"/>
        <v>41.66666667</v>
      </c>
      <c r="U357" s="64">
        <f t="shared" si="11"/>
        <v>0</v>
      </c>
      <c r="V357" s="64">
        <f t="shared" ref="V357:X357" si="365">IF(year($A357)=year($A356), V356+S357, S357)</f>
        <v>300</v>
      </c>
      <c r="W357" s="64">
        <f t="shared" si="365"/>
        <v>375</v>
      </c>
      <c r="X357" s="64">
        <f t="shared" si="365"/>
        <v>0</v>
      </c>
      <c r="Y357" s="65">
        <f>IFS(
  B357&lt;55,
    MAX(
      Y356 + IF(MONTH(A357)=12, P357+V357, 0) + H357 - L357
      + MAX(0,
          IF(AA356 &gt;= VLOOKUP(YEAR(A357), Lookup!$Q:$R, 2),
            Z356 + IF(MONTH(A357)=12, Q357+W357, 0) + I357
              + AA356 + IF(MONTH(A357)=12, R357+X357, 0)
              - VLOOKUP(YEAR(A357), Lookup!$Q:$R, 2) + J357,
            Z356 + IF(MONTH(A357)=12, Q357+W357, 0) + I357
          ) - VLOOKUP(YEAR(A357), Lookup!$K:$M, 3)
        ),
    0),
  B357=55,
    IF(Z356&gt;=AD357,
      MAX(Y356 + IF(MONTH(A357)=12, P357+V357, 0) + H357 - L357, 0),
      MAX(MAX(0, Y356-(AD357-Z356)) + IF(MONTH(A357)=12, P357+V357, 0) + H357 - L357, 0)
    ),
  B357&gt;55,
    IF(AB356&gt;=$AH$7,
      MAX(Y356 + IF(MONTH(A357)=12, P357+V357, 0) + H357 - L357 + K357 + Z356, 0),
      MAX(Y356 + IF(MONTH(A357)=12, P357+V357, 0) + H357 - L357, 0)
    )
)</f>
        <v>711698.651</v>
      </c>
      <c r="Z357" s="65">
        <f>IFS(
  B357&lt;55,
    MIN(
      IF(AA356 &gt;= VLOOKUP(YEAR(A357), Lookup!$Q:$R, 2),
        Z356 + IF(MONTH(A357)=12, Q357+W357, 0) + I357
          + AA356 + IF(MONTH(A357)=12, R357+X357, 0) - VLOOKUP(YEAR(A357), Lookup!$Q:$R, 2) + J357,
        Z356 + IF(MONTH(A357)=12, Q357+W357, 0) + I357
      ),
      VLOOKUP(YEAR(A357), Lookup!$K:$M, 3)
    ),
  B357=55,
    IF(Z356 &gt;= AD357, Z356 - AD357, 0),
  B357&gt;55, 0
)</f>
        <v>0</v>
      </c>
      <c r="AA357" s="65">
        <f>IFS(
  B357&lt;65,
    IF(AA356+J357 &lt; VLOOKUP(YEAR(A357), Lookup!$Q:$R, 2),
      AA356 + IF(MONTH(A357)=12, R356+X356, 0) + J357,
      MIN(
        AA356 + IF(MONTH(A357)=12, R356+X356, 0) + J357 ,
        VLOOKUP(YEAR(A357), Lookup!$Q:$R, 2)
      )
    ),
  B357&gt;=65,
    IF(AA356+J357 &lt; VLOOKUP(questions!$C$5, Lookup!$Q:$R, 2),
      AA356 + IF(MONTH(A357)=12, R356+X356, 0) + J357 ,
      MIN(
        AA356 + IF(MONTH(A357)=12, R356+X356, 0) + J357,
        VLOOKUP(questions!$C$5, Lookup!$Q:$R, 2)
      )
    )
)</f>
        <v>214238.3601</v>
      </c>
      <c r="AB357" s="65">
        <f t="shared" si="13"/>
        <v>624157.3638</v>
      </c>
      <c r="AC357" s="66">
        <f t="array" ref="AC357">IFS(B357&lt;66, XLOOKUP(year(A357),Lookup!$K$13:$K1000,Lookup!$L$13:$L1000,"missing",,1),B357&gt;65,XLOOKUP(questions!$C$5,Lookup!$K$13:$K1000,Lookup!$L$13:$L1000,"missing",,1))</f>
        <v>298961.6203</v>
      </c>
      <c r="AD357" s="66">
        <f t="array" ref="AD357">IFS(B357&lt;66, XLOOKUP(year(A357),Lookup!$K$13:$K1000,Lookup!$M$13:$M1000,"missing",,1),B357&gt;65, XLOOKUP(questions!$C$5,Lookup!$K$13:$K1000,Lookup!$M$13:$M1000,"missing",,1))</f>
        <v>597923.2406</v>
      </c>
      <c r="AE357" s="66">
        <f t="array" ref="AE357">IFS(B357&lt;66, XLOOKUP(year(A357),Lookup!$K$13:$K1000,Lookup!$N$13:$N1000,"missing",,1),B357&gt;65,XLOOKUP(questions!$C$5,Lookup!$K$13:$K1000,Lookup!$N$13:$N1000,"missing",,1))</f>
        <v>1195846.481</v>
      </c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</row>
    <row r="358">
      <c r="A358" s="55">
        <f t="shared" si="7"/>
        <v>56918</v>
      </c>
      <c r="B358" s="56">
        <f>round(YEARFRAC(EOMONTH(questions!$C$3, 0),A358,1),2)</f>
        <v>56.92</v>
      </c>
      <c r="C358" s="57">
        <f>IF(B358&lt;questions!$C$6,if(MONTH(A358)=1,C357*(1+questions!$C$12),C357),0)</f>
        <v>23565.65506</v>
      </c>
      <c r="D358" s="58">
        <f>IF(MONTH(A358)=12,C358*questions!$C$11,0)</f>
        <v>0</v>
      </c>
      <c r="E358" s="59">
        <f t="shared" si="2"/>
        <v>8000</v>
      </c>
      <c r="F358" s="59">
        <f t="shared" si="3"/>
        <v>0</v>
      </c>
      <c r="G358" s="60">
        <f t="array" ref="G358">if(YEAR(A358)=2025,XLOOKUP(B358,Lookup!$A$3:$A$7,Lookup!$D$3:$D$7,,1)*SUM(E358:F358), XLOOKUP(B358,Lookup!$A$14:$A$18,Lookup!$D$14:$D$18,,1)*SUM(E358:F358))</f>
        <v>2720</v>
      </c>
      <c r="H358" s="60">
        <f t="array" ref="H358">if(YEAR(A358)=2025,XLOOKUP(B358,Lookup!$F$3:$F$10,Lookup!$G$3:$G$10,,1)*G358, XLOOKUP(B358,Lookup!$F$14:$F$21,Lookup!$G$14:$G$21,,1)*G358)</f>
        <v>960.16</v>
      </c>
      <c r="I358" s="61">
        <f t="array" ref="I358">if(B358&lt;55, if(YEAR(A358)=2025,XLOOKUP(B358,Lookup!$F$3:$F$10,Lookup!$H$3:$H$10,,1)*G358, XLOOKUP(B358,Lookup!$F$14:$F$21,Lookup!$H$14:$H$21,,1)*G358),0)</f>
        <v>0</v>
      </c>
      <c r="J358" s="60">
        <f t="array" ref="J358">if(YEAR(A358)=2025,XLOOKUP(B358,Lookup!$F$3:$F$10,Lookup!$I$3:$I$10,,1)*G358, XLOOKUP(B358,Lookup!$F$14:$F$21,Lookup!$I$14:$I$21,,1)*G358)</f>
        <v>839.936</v>
      </c>
      <c r="K358" s="60">
        <f t="array" ref="K358">if(B358&gt;54, if(YEAR(A358)=2025,XLOOKUP(B358,Lookup!$F$3:$F$10,Lookup!$H$3:$H$10,,1)*G358, XLOOKUP(B358,Lookup!$F$14:$F$21,Lookup!$H$14:$H$21,,1)*G358),0)</f>
        <v>919.904</v>
      </c>
      <c r="L358" s="62">
        <f>IF(and(A358&lt;questions!$C$19,questions!$C$18="yes"),questions!$C$20,0)</f>
        <v>0</v>
      </c>
      <c r="M358" s="63">
        <f>(Y357+H358)*Lookup!A$26/12</f>
        <v>1484.705856</v>
      </c>
      <c r="N358" s="63">
        <f>if(B358&lt;55, (Z357+I358)*Lookup!B$26/12, (AB357+K358)*Lookup!B$26/12)</f>
        <v>2083.590893</v>
      </c>
      <c r="O358" s="63">
        <f>(AA357+J358)*Lookup!C$26/12</f>
        <v>716.9276536</v>
      </c>
      <c r="P358" s="63">
        <f t="shared" si="8"/>
        <v>14670.80256</v>
      </c>
      <c r="Q358" s="63">
        <f t="shared" si="4"/>
        <v>20697.92333</v>
      </c>
      <c r="R358" s="63">
        <f t="shared" si="5"/>
        <v>7052.725592</v>
      </c>
      <c r="S358" s="64">
        <f t="shared" si="9"/>
        <v>33.33333333</v>
      </c>
      <c r="T358" s="64">
        <f t="shared" si="10"/>
        <v>41.66666667</v>
      </c>
      <c r="U358" s="64">
        <f t="shared" si="11"/>
        <v>0</v>
      </c>
      <c r="V358" s="64">
        <f t="shared" ref="V358:X358" si="366">IF(year($A358)=year($A357), V357+S358, S358)</f>
        <v>333.3333333</v>
      </c>
      <c r="W358" s="64">
        <f t="shared" si="366"/>
        <v>416.6666667</v>
      </c>
      <c r="X358" s="64">
        <f t="shared" si="366"/>
        <v>0</v>
      </c>
      <c r="Y358" s="65">
        <f>IFS(
  B358&lt;55,
    MAX(
      Y357 + IF(MONTH(A358)=12, P358+V358, 0) + H358 - L358
      + MAX(0,
          IF(AA357 &gt;= VLOOKUP(YEAR(A358), Lookup!$Q:$R, 2),
            Z357 + IF(MONTH(A358)=12, Q358+W358, 0) + I358
              + AA357 + IF(MONTH(A358)=12, R358+X358, 0)
              - VLOOKUP(YEAR(A358), Lookup!$Q:$R, 2) + J358,
            Z357 + IF(MONTH(A358)=12, Q358+W358, 0) + I358
          ) - VLOOKUP(YEAR(A358), Lookup!$K:$M, 3)
        ),
    0),
  B358=55,
    IF(Z357&gt;=AD358,
      MAX(Y357 + IF(MONTH(A358)=12, P358+V358, 0) + H358 - L358, 0),
      MAX(MAX(0, Y357-(AD358-Z357)) + IF(MONTH(A358)=12, P358+V358, 0) + H358 - L358, 0)
    ),
  B358&gt;55,
    IF(AB357&gt;=$AH$7,
      MAX(Y357 + IF(MONTH(A358)=12, P358+V358, 0) + H358 - L358 + K358 + Z357, 0),
      MAX(Y357 + IF(MONTH(A358)=12, P358+V358, 0) + H358 - L358, 0)
    )
)</f>
        <v>713578.715</v>
      </c>
      <c r="Z358" s="65">
        <f>IFS(
  B358&lt;55,
    MIN(
      IF(AA357 &gt;= VLOOKUP(YEAR(A358), Lookup!$Q:$R, 2),
        Z357 + IF(MONTH(A358)=12, Q358+W358, 0) + I358
          + AA357 + IF(MONTH(A358)=12, R358+X358, 0) - VLOOKUP(YEAR(A358), Lookup!$Q:$R, 2) + J358,
        Z357 + IF(MONTH(A358)=12, Q358+W358, 0) + I358
      ),
      VLOOKUP(YEAR(A358), Lookup!$K:$M, 3)
    ),
  B358=55,
    IF(Z357 &gt;= AD358, Z357 - AD358, 0),
  B358&gt;55, 0
)</f>
        <v>0</v>
      </c>
      <c r="AA358" s="65">
        <f>IFS(
  B358&lt;65,
    IF(AA357+J358 &lt; VLOOKUP(YEAR(A358), Lookup!$Q:$R, 2),
      AA357 + IF(MONTH(A358)=12, R357+X357, 0) + J358,
      MIN(
        AA357 + IF(MONTH(A358)=12, R357+X357, 0) + J358 ,
        VLOOKUP(YEAR(A358), Lookup!$Q:$R, 2)
      )
    ),
  B358&gt;=65,
    IF(AA357+J358 &lt; VLOOKUP(questions!$C$5, Lookup!$Q:$R, 2),
      AA357 + IF(MONTH(A358)=12, R357+X357, 0) + J358 ,
      MIN(
        AA357 + IF(MONTH(A358)=12, R357+X357, 0) + J358,
        VLOOKUP(questions!$C$5, Lookup!$Q:$R, 2)
      )
    )
)</f>
        <v>214238.3601</v>
      </c>
      <c r="AB358" s="65">
        <f t="shared" si="13"/>
        <v>625077.2678</v>
      </c>
      <c r="AC358" s="66">
        <f t="array" ref="AC358">IFS(B358&lt;66, XLOOKUP(year(A358),Lookup!$K$13:$K1000,Lookup!$L$13:$L1000,"missing",,1),B358&gt;65,XLOOKUP(questions!$C$5,Lookup!$K$13:$K1000,Lookup!$L$13:$L1000,"missing",,1))</f>
        <v>298961.6203</v>
      </c>
      <c r="AD358" s="66">
        <f t="array" ref="AD358">IFS(B358&lt;66, XLOOKUP(year(A358),Lookup!$K$13:$K1000,Lookup!$M$13:$M1000,"missing",,1),B358&gt;65, XLOOKUP(questions!$C$5,Lookup!$K$13:$K1000,Lookup!$M$13:$M1000,"missing",,1))</f>
        <v>597923.2406</v>
      </c>
      <c r="AE358" s="66">
        <f t="array" ref="AE358">IFS(B358&lt;66, XLOOKUP(year(A358),Lookup!$K$13:$K1000,Lookup!$N$13:$N1000,"missing",,1),B358&gt;65,XLOOKUP(questions!$C$5,Lookup!$K$13:$K1000,Lookup!$N$13:$N1000,"missing",,1))</f>
        <v>1195846.481</v>
      </c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</row>
    <row r="359">
      <c r="A359" s="55">
        <f t="shared" si="7"/>
        <v>56948</v>
      </c>
      <c r="B359" s="56">
        <f>round(YEARFRAC(EOMONTH(questions!$C$3, 0),A359,1),2)</f>
        <v>57</v>
      </c>
      <c r="C359" s="57">
        <f>IF(B359&lt;questions!$C$6,if(MONTH(A359)=1,C358*(1+questions!$C$12),C358),0)</f>
        <v>23565.65506</v>
      </c>
      <c r="D359" s="58">
        <f>IF(MONTH(A359)=12,C359*questions!$C$11,0)</f>
        <v>0</v>
      </c>
      <c r="E359" s="59">
        <f t="shared" si="2"/>
        <v>8000</v>
      </c>
      <c r="F359" s="59">
        <f t="shared" si="3"/>
        <v>0</v>
      </c>
      <c r="G359" s="60">
        <f t="array" ref="G359">if(YEAR(A359)=2025,XLOOKUP(B359,Lookup!$A$3:$A$7,Lookup!$D$3:$D$7,,1)*SUM(E359:F359), XLOOKUP(B359,Lookup!$A$14:$A$18,Lookup!$D$14:$D$18,,1)*SUM(E359:F359))</f>
        <v>2720</v>
      </c>
      <c r="H359" s="60">
        <f t="array" ref="H359">if(YEAR(A359)=2025,XLOOKUP(B359,Lookup!$F$3:$F$10,Lookup!$G$3:$G$10,,1)*G359, XLOOKUP(B359,Lookup!$F$14:$F$21,Lookup!$G$14:$G$21,,1)*G359)</f>
        <v>960.16</v>
      </c>
      <c r="I359" s="61">
        <f t="array" ref="I359">if(B359&lt;55, if(YEAR(A359)=2025,XLOOKUP(B359,Lookup!$F$3:$F$10,Lookup!$H$3:$H$10,,1)*G359, XLOOKUP(B359,Lookup!$F$14:$F$21,Lookup!$H$14:$H$21,,1)*G359),0)</f>
        <v>0</v>
      </c>
      <c r="J359" s="60">
        <f t="array" ref="J359">if(YEAR(A359)=2025,XLOOKUP(B359,Lookup!$F$3:$F$10,Lookup!$I$3:$I$10,,1)*G359, XLOOKUP(B359,Lookup!$F$14:$F$21,Lookup!$I$14:$I$21,,1)*G359)</f>
        <v>839.936</v>
      </c>
      <c r="K359" s="60">
        <f t="array" ref="K359">if(B359&gt;54, if(YEAR(A359)=2025,XLOOKUP(B359,Lookup!$F$3:$F$10,Lookup!$H$3:$H$10,,1)*G359, XLOOKUP(B359,Lookup!$F$14:$F$21,Lookup!$H$14:$H$21,,1)*G359),0)</f>
        <v>919.904</v>
      </c>
      <c r="L359" s="62">
        <f>IF(and(A359&lt;questions!$C$19,questions!$C$18="yes"),questions!$C$20,0)</f>
        <v>0</v>
      </c>
      <c r="M359" s="63">
        <f>(Y358+H359)*Lookup!A$26/12</f>
        <v>1488.622656</v>
      </c>
      <c r="N359" s="63">
        <f>if(B359&lt;55, (Z358+I359)*Lookup!B$26/12, (AB358+K359)*Lookup!B$26/12)</f>
        <v>2086.657239</v>
      </c>
      <c r="O359" s="63">
        <f>(AA358+J359)*Lookup!C$26/12</f>
        <v>716.9276536</v>
      </c>
      <c r="P359" s="63">
        <f t="shared" si="8"/>
        <v>16159.42522</v>
      </c>
      <c r="Q359" s="63">
        <f t="shared" si="4"/>
        <v>22784.58057</v>
      </c>
      <c r="R359" s="63">
        <f t="shared" si="5"/>
        <v>7769.653245</v>
      </c>
      <c r="S359" s="64">
        <f t="shared" si="9"/>
        <v>33.33333333</v>
      </c>
      <c r="T359" s="64">
        <f t="shared" si="10"/>
        <v>41.66666667</v>
      </c>
      <c r="U359" s="64">
        <f t="shared" si="11"/>
        <v>0</v>
      </c>
      <c r="V359" s="64">
        <f t="shared" ref="V359:X359" si="367">IF(year($A359)=year($A358), V358+S359, S359)</f>
        <v>366.6666667</v>
      </c>
      <c r="W359" s="64">
        <f t="shared" si="367"/>
        <v>458.3333333</v>
      </c>
      <c r="X359" s="64">
        <f t="shared" si="367"/>
        <v>0</v>
      </c>
      <c r="Y359" s="65">
        <f>IFS(
  B359&lt;55,
    MAX(
      Y358 + IF(MONTH(A359)=12, P359+V359, 0) + H359 - L359
      + MAX(0,
          IF(AA358 &gt;= VLOOKUP(YEAR(A359), Lookup!$Q:$R, 2),
            Z358 + IF(MONTH(A359)=12, Q359+W359, 0) + I359
              + AA358 + IF(MONTH(A359)=12, R359+X359, 0)
              - VLOOKUP(YEAR(A359), Lookup!$Q:$R, 2) + J359,
            Z358 + IF(MONTH(A359)=12, Q359+W359, 0) + I359
          ) - VLOOKUP(YEAR(A359), Lookup!$K:$M, 3)
        ),
    0),
  B359=55,
    IF(Z358&gt;=AD359,
      MAX(Y358 + IF(MONTH(A359)=12, P359+V359, 0) + H359 - L359, 0),
      MAX(MAX(0, Y358-(AD359-Z358)) + IF(MONTH(A359)=12, P359+V359, 0) + H359 - L359, 0)
    ),
  B359&gt;55,
    IF(AB358&gt;=$AH$7,
      MAX(Y358 + IF(MONTH(A359)=12, P359+V359, 0) + H359 - L359 + K359 + Z358, 0),
      MAX(Y358 + IF(MONTH(A359)=12, P359+V359, 0) + H359 - L359, 0)
    )
)</f>
        <v>715458.779</v>
      </c>
      <c r="Z359" s="65">
        <f>IFS(
  B359&lt;55,
    MIN(
      IF(AA358 &gt;= VLOOKUP(YEAR(A359), Lookup!$Q:$R, 2),
        Z358 + IF(MONTH(A359)=12, Q359+W359, 0) + I359
          + AA358 + IF(MONTH(A359)=12, R359+X359, 0) - VLOOKUP(YEAR(A359), Lookup!$Q:$R, 2) + J359,
        Z358 + IF(MONTH(A359)=12, Q359+W359, 0) + I359
      ),
      VLOOKUP(YEAR(A359), Lookup!$K:$M, 3)
    ),
  B359=55,
    IF(Z358 &gt;= AD359, Z358 - AD359, 0),
  B359&gt;55, 0
)</f>
        <v>0</v>
      </c>
      <c r="AA359" s="65">
        <f>IFS(
  B359&lt;65,
    IF(AA358+J359 &lt; VLOOKUP(YEAR(A359), Lookup!$Q:$R, 2),
      AA358 + IF(MONTH(A359)=12, R358+X358, 0) + J359,
      MIN(
        AA358 + IF(MONTH(A359)=12, R358+X358, 0) + J359 ,
        VLOOKUP(YEAR(A359), Lookup!$Q:$R, 2)
      )
    ),
  B359&gt;=65,
    IF(AA358+J359 &lt; VLOOKUP(questions!$C$5, Lookup!$Q:$R, 2),
      AA358 + IF(MONTH(A359)=12, R358+X358, 0) + J359 ,
      MIN(
        AA358 + IF(MONTH(A359)=12, R358+X358, 0) + J359,
        VLOOKUP(questions!$C$5, Lookup!$Q:$R, 2)
      )
    )
)</f>
        <v>214238.3601</v>
      </c>
      <c r="AB359" s="65">
        <f t="shared" si="13"/>
        <v>625997.1718</v>
      </c>
      <c r="AC359" s="66">
        <f t="array" ref="AC359">IFS(B359&lt;66, XLOOKUP(year(A359),Lookup!$K$13:$K1000,Lookup!$L$13:$L1000,"missing",,1),B359&gt;65,XLOOKUP(questions!$C$5,Lookup!$K$13:$K1000,Lookup!$L$13:$L1000,"missing",,1))</f>
        <v>298961.6203</v>
      </c>
      <c r="AD359" s="66">
        <f t="array" ref="AD359">IFS(B359&lt;66, XLOOKUP(year(A359),Lookup!$K$13:$K1000,Lookup!$M$13:$M1000,"missing",,1),B359&gt;65, XLOOKUP(questions!$C$5,Lookup!$K$13:$K1000,Lookup!$M$13:$M1000,"missing",,1))</f>
        <v>597923.2406</v>
      </c>
      <c r="AE359" s="66">
        <f t="array" ref="AE359">IFS(B359&lt;66, XLOOKUP(year(A359),Lookup!$K$13:$K1000,Lookup!$N$13:$N1000,"missing",,1),B359&gt;65,XLOOKUP(questions!$C$5,Lookup!$K$13:$K1000,Lookup!$N$13:$N1000,"missing",,1))</f>
        <v>1195846.481</v>
      </c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</row>
    <row r="360">
      <c r="A360" s="55">
        <f t="shared" si="7"/>
        <v>56979</v>
      </c>
      <c r="B360" s="56">
        <f>round(YEARFRAC(EOMONTH(questions!$C$3, 0),A360,1),2)</f>
        <v>57.08</v>
      </c>
      <c r="C360" s="57">
        <f>IF(B360&lt;questions!$C$6,if(MONTH(A360)=1,C359*(1+questions!$C$12),C359),0)</f>
        <v>23565.65506</v>
      </c>
      <c r="D360" s="57">
        <f>IF(MONTH(A360)=12,C360*questions!$C$11,0)</f>
        <v>23565.65506</v>
      </c>
      <c r="E360" s="59">
        <f t="shared" si="2"/>
        <v>8000</v>
      </c>
      <c r="F360" s="59">
        <f t="shared" si="3"/>
        <v>6000</v>
      </c>
      <c r="G360" s="60">
        <f t="array" ref="G360">if(YEAR(A360)=2025,XLOOKUP(B360,Lookup!$A$3:$A$7,Lookup!$D$3:$D$7,,1)*SUM(E360:F360), XLOOKUP(B360,Lookup!$A$14:$A$18,Lookup!$D$14:$D$18,,1)*SUM(E360:F360))</f>
        <v>4760</v>
      </c>
      <c r="H360" s="60">
        <f t="array" ref="H360">if(YEAR(A360)=2025,XLOOKUP(B360,Lookup!$F$3:$F$10,Lookup!$G$3:$G$10,,1)*G360, XLOOKUP(B360,Lookup!$F$14:$F$21,Lookup!$G$14:$G$21,,1)*G360)</f>
        <v>1680.28</v>
      </c>
      <c r="I360" s="61">
        <f t="array" ref="I360">if(B360&lt;55, if(YEAR(A360)=2025,XLOOKUP(B360,Lookup!$F$3:$F$10,Lookup!$H$3:$H$10,,1)*G360, XLOOKUP(B360,Lookup!$F$14:$F$21,Lookup!$H$14:$H$21,,1)*G360),0)</f>
        <v>0</v>
      </c>
      <c r="J360" s="60">
        <f t="array" ref="J360">if(YEAR(A360)=2025,XLOOKUP(B360,Lookup!$F$3:$F$10,Lookup!$I$3:$I$10,,1)*G360, XLOOKUP(B360,Lookup!$F$14:$F$21,Lookup!$I$14:$I$21,,1)*G360)</f>
        <v>1469.888</v>
      </c>
      <c r="K360" s="60">
        <f t="array" ref="K360">if(B360&gt;54, if(YEAR(A360)=2025,XLOOKUP(B360,Lookup!$F$3:$F$10,Lookup!$H$3:$H$10,,1)*G360, XLOOKUP(B360,Lookup!$F$14:$F$21,Lookup!$H$14:$H$21,,1)*G360),0)</f>
        <v>1609.832</v>
      </c>
      <c r="L360" s="62">
        <f>IF(and(A360&lt;questions!$C$19,questions!$C$18="yes"),questions!$C$20,0)</f>
        <v>0</v>
      </c>
      <c r="M360" s="63">
        <f>(Y359+H360)*Lookup!A$26/12</f>
        <v>1494.039706</v>
      </c>
      <c r="N360" s="63">
        <f>if(B360&lt;55, (Z359+I360)*Lookup!B$26/12, (AB359+K360)*Lookup!B$26/12)</f>
        <v>2092.023346</v>
      </c>
      <c r="O360" s="63">
        <f>(AA359+J360)*Lookup!C$26/12</f>
        <v>719.0274936</v>
      </c>
      <c r="P360" s="63">
        <f t="shared" si="8"/>
        <v>17653.46492</v>
      </c>
      <c r="Q360" s="63">
        <f t="shared" si="4"/>
        <v>24876.60391</v>
      </c>
      <c r="R360" s="63">
        <f t="shared" si="5"/>
        <v>8488.680739</v>
      </c>
      <c r="S360" s="64">
        <f t="shared" si="9"/>
        <v>33.33333333</v>
      </c>
      <c r="T360" s="64">
        <f t="shared" si="10"/>
        <v>41.66666667</v>
      </c>
      <c r="U360" s="64">
        <f t="shared" si="11"/>
        <v>0</v>
      </c>
      <c r="V360" s="64">
        <f t="shared" ref="V360:X360" si="368">IF(year($A360)=year($A359), V359+S360, S360)</f>
        <v>400</v>
      </c>
      <c r="W360" s="64">
        <f t="shared" si="368"/>
        <v>500</v>
      </c>
      <c r="X360" s="64">
        <f t="shared" si="368"/>
        <v>0</v>
      </c>
      <c r="Y360" s="65">
        <f>IFS(
  B360&lt;55,
    MAX(
      Y359 + IF(MONTH(A360)=12, P360+V360, 0) + H360 - L360
      + MAX(0,
          IF(AA359 &gt;= VLOOKUP(YEAR(A360), Lookup!$Q:$R, 2),
            Z359 + IF(MONTH(A360)=12, Q360+W360, 0) + I360
              + AA359 + IF(MONTH(A360)=12, R360+X360, 0)
              - VLOOKUP(YEAR(A360), Lookup!$Q:$R, 2) + J360,
            Z359 + IF(MONTH(A360)=12, Q360+W360, 0) + I360
          ) - VLOOKUP(YEAR(A360), Lookup!$K:$M, 3)
        ),
    0),
  B360=55,
    IF(Z359&gt;=AD360,
      MAX(Y359 + IF(MONTH(A360)=12, P360+V360, 0) + H360 - L360, 0),
      MAX(MAX(0, Y359-(AD360-Z359)) + IF(MONTH(A360)=12, P360+V360, 0) + H360 - L360, 0)
    ),
  B360&gt;55,
    IF(AB359&gt;=$AH$7,
      MAX(Y359 + IF(MONTH(A360)=12, P360+V360, 0) + H360 - L360 + K360 + Z359, 0),
      MAX(Y359 + IF(MONTH(A360)=12, P360+V360, 0) + H360 - L360, 0)
    )
)</f>
        <v>736802.3559</v>
      </c>
      <c r="Z360" s="65">
        <f>IFS(
  B360&lt;55,
    MIN(
      IF(AA359 &gt;= VLOOKUP(YEAR(A360), Lookup!$Q:$R, 2),
        Z359 + IF(MONTH(A360)=12, Q360+W360, 0) + I360
          + AA359 + IF(MONTH(A360)=12, R360+X360, 0) - VLOOKUP(YEAR(A360), Lookup!$Q:$R, 2) + J360,
        Z359 + IF(MONTH(A360)=12, Q360+W360, 0) + I360
      ),
      VLOOKUP(YEAR(A360), Lookup!$K:$M, 3)
    ),
  B360=55,
    IF(Z359 &gt;= AD360, Z359 - AD360, 0),
  B360&gt;55, 0
)</f>
        <v>0</v>
      </c>
      <c r="AA360" s="65">
        <f>IFS(
  B360&lt;65,
    IF(AA359+J360 &lt; VLOOKUP(YEAR(A360), Lookup!$Q:$R, 2),
      AA359 + IF(MONTH(A360)=12, R359+X359, 0) + J360,
      MIN(
        AA359 + IF(MONTH(A360)=12, R359+X359, 0) + J360 ,
        VLOOKUP(YEAR(A360), Lookup!$Q:$R, 2)
      )
    ),
  B360&gt;=65,
    IF(AA359+J360 &lt; VLOOKUP(questions!$C$5, Lookup!$Q:$R, 2),
      AA359 + IF(MONTH(A360)=12, R359+X359, 0) + J360 ,
      MIN(
        AA359 + IF(MONTH(A360)=12, R359+X359, 0) + J360,
        VLOOKUP(questions!$C$5, Lookup!$Q:$R, 2)
      )
    )
)</f>
        <v>214238.3601</v>
      </c>
      <c r="AB360" s="65">
        <f t="shared" si="13"/>
        <v>652983.6077</v>
      </c>
      <c r="AC360" s="66">
        <f t="array" ref="AC360">IFS(B360&lt;66, XLOOKUP(year(A360),Lookup!$K$13:$K1000,Lookup!$L$13:$L1000,"missing",,1),B360&gt;65,XLOOKUP(questions!$C$5,Lookup!$K$13:$K1000,Lookup!$L$13:$L1000,"missing",,1))</f>
        <v>298961.6203</v>
      </c>
      <c r="AD360" s="66">
        <f t="array" ref="AD360">IFS(B360&lt;66, XLOOKUP(year(A360),Lookup!$K$13:$K1000,Lookup!$M$13:$M1000,"missing",,1),B360&gt;65, XLOOKUP(questions!$C$5,Lookup!$K$13:$K1000,Lookup!$M$13:$M1000,"missing",,1))</f>
        <v>597923.2406</v>
      </c>
      <c r="AE360" s="66">
        <f t="array" ref="AE360">IFS(B360&lt;66, XLOOKUP(year(A360),Lookup!$K$13:$K1000,Lookup!$N$13:$N1000,"missing",,1),B360&gt;65,XLOOKUP(questions!$C$5,Lookup!$K$13:$K1000,Lookup!$N$13:$N1000,"missing",,1))</f>
        <v>1195846.481</v>
      </c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</row>
    <row r="361">
      <c r="A361" s="55">
        <f t="shared" si="7"/>
        <v>57010</v>
      </c>
      <c r="B361" s="56">
        <f>round(YEARFRAC(EOMONTH(questions!$C$3, 0),A361,1),2)</f>
        <v>57.17</v>
      </c>
      <c r="C361" s="57">
        <f>IF(B361&lt;questions!$C$6,if(MONTH(A361)=1,C360*(1+questions!$C$12),C360),0)</f>
        <v>24272.62471</v>
      </c>
      <c r="D361" s="58">
        <f>IF(MONTH(A361)=12,C361*questions!$C$11,0)</f>
        <v>0</v>
      </c>
      <c r="E361" s="59">
        <f t="shared" si="2"/>
        <v>8000</v>
      </c>
      <c r="F361" s="59">
        <f t="shared" si="3"/>
        <v>0</v>
      </c>
      <c r="G361" s="60">
        <f t="array" ref="G361">if(YEAR(A361)=2025,XLOOKUP(B361,Lookup!$A$3:$A$7,Lookup!$D$3:$D$7,,1)*SUM(E361:F361), XLOOKUP(B361,Lookup!$A$14:$A$18,Lookup!$D$14:$D$18,,1)*SUM(E361:F361))</f>
        <v>2720</v>
      </c>
      <c r="H361" s="60">
        <f t="array" ref="H361">if(YEAR(A361)=2025,XLOOKUP(B361,Lookup!$F$3:$F$10,Lookup!$G$3:$G$10,,1)*G361, XLOOKUP(B361,Lookup!$F$14:$F$21,Lookup!$G$14:$G$21,,1)*G361)</f>
        <v>960.16</v>
      </c>
      <c r="I361" s="61">
        <f t="array" ref="I361">if(B361&lt;55, if(YEAR(A361)=2025,XLOOKUP(B361,Lookup!$F$3:$F$10,Lookup!$H$3:$H$10,,1)*G361, XLOOKUP(B361,Lookup!$F$14:$F$21,Lookup!$H$14:$H$21,,1)*G361),0)</f>
        <v>0</v>
      </c>
      <c r="J361" s="60">
        <f t="array" ref="J361">if(YEAR(A361)=2025,XLOOKUP(B361,Lookup!$F$3:$F$10,Lookup!$I$3:$I$10,,1)*G361, XLOOKUP(B361,Lookup!$F$14:$F$21,Lookup!$I$14:$I$21,,1)*G361)</f>
        <v>839.936</v>
      </c>
      <c r="K361" s="60">
        <f t="array" ref="K361">if(B361&gt;54, if(YEAR(A361)=2025,XLOOKUP(B361,Lookup!$F$3:$F$10,Lookup!$H$3:$H$10,,1)*G361, XLOOKUP(B361,Lookup!$F$14:$F$21,Lookup!$H$14:$H$21,,1)*G361),0)</f>
        <v>919.904</v>
      </c>
      <c r="L361" s="62">
        <f>IF(and(A361&lt;questions!$C$19,questions!$C$18="yes"),questions!$C$20,0)</f>
        <v>0</v>
      </c>
      <c r="M361" s="63">
        <f>(Y360+H361)*Lookup!A$26/12</f>
        <v>1537.005241</v>
      </c>
      <c r="N361" s="63">
        <f>if(B361&lt;55, (Z360+I361)*Lookup!B$26/12, (AB360+K361)*Lookup!B$26/12)</f>
        <v>2179.678372</v>
      </c>
      <c r="O361" s="63">
        <f>(AA360+J361)*Lookup!C$26/12</f>
        <v>716.9276536</v>
      </c>
      <c r="P361" s="63">
        <f t="shared" si="8"/>
        <v>1537.005241</v>
      </c>
      <c r="Q361" s="63">
        <f t="shared" si="4"/>
        <v>2179.678372</v>
      </c>
      <c r="R361" s="63">
        <f t="shared" si="5"/>
        <v>716.9276536</v>
      </c>
      <c r="S361" s="64">
        <f t="shared" si="9"/>
        <v>33.33333333</v>
      </c>
      <c r="T361" s="64">
        <f t="shared" si="10"/>
        <v>41.66666667</v>
      </c>
      <c r="U361" s="64">
        <f t="shared" si="11"/>
        <v>0</v>
      </c>
      <c r="V361" s="64">
        <f t="shared" ref="V361:X361" si="369">IF(year($A361)=year($A360), V360+S361, S361)</f>
        <v>33.33333333</v>
      </c>
      <c r="W361" s="64">
        <f t="shared" si="369"/>
        <v>41.66666667</v>
      </c>
      <c r="X361" s="64">
        <f t="shared" si="369"/>
        <v>0</v>
      </c>
      <c r="Y361" s="65">
        <f>IFS(
  B361&lt;55,
    MAX(
      Y360 + IF(MONTH(A361)=12, P361+V361, 0) + H361 - L361
      + MAX(0,
          IF(AA360 &gt;= VLOOKUP(YEAR(A361), Lookup!$Q:$R, 2),
            Z360 + IF(MONTH(A361)=12, Q361+W361, 0) + I361
              + AA360 + IF(MONTH(A361)=12, R361+X361, 0)
              - VLOOKUP(YEAR(A361), Lookup!$Q:$R, 2) + J361,
            Z360 + IF(MONTH(A361)=12, Q361+W361, 0) + I361
          ) - VLOOKUP(YEAR(A361), Lookup!$K:$M, 3)
        ),
    0),
  B361=55,
    IF(Z360&gt;=AD361,
      MAX(Y360 + IF(MONTH(A361)=12, P361+V361, 0) + H361 - L361, 0),
      MAX(MAX(0, Y360-(AD361-Z360)) + IF(MONTH(A361)=12, P361+V361, 0) + H361 - L361, 0)
    ),
  B361&gt;55,
    IF(AB360&gt;=$AH$7,
      MAX(Y360 + IF(MONTH(A361)=12, P361+V361, 0) + H361 - L361 + K361 + Z360, 0),
      MAX(Y360 + IF(MONTH(A361)=12, P361+V361, 0) + H361 - L361, 0)
    )
)</f>
        <v>738682.4199</v>
      </c>
      <c r="Z361" s="65">
        <f>IFS(
  B361&lt;55,
    MIN(
      IF(AA360 &gt;= VLOOKUP(YEAR(A361), Lookup!$Q:$R, 2),
        Z360 + IF(MONTH(A361)=12, Q361+W361, 0) + I361
          + AA360 + IF(MONTH(A361)=12, R361+X361, 0) - VLOOKUP(YEAR(A361), Lookup!$Q:$R, 2) + J361,
        Z360 + IF(MONTH(A361)=12, Q361+W361, 0) + I361
      ),
      VLOOKUP(YEAR(A361), Lookup!$K:$M, 3)
    ),
  B361=55,
    IF(Z360 &gt;= AD361, Z360 - AD361, 0),
  B361&gt;55, 0
)</f>
        <v>0</v>
      </c>
      <c r="AA361" s="65">
        <f>IFS(
  B361&lt;65,
    IF(AA360+J361 &lt; VLOOKUP(YEAR(A361), Lookup!$Q:$R, 2),
      AA360 + IF(MONTH(A361)=12, R360+X360, 0) + J361,
      MIN(
        AA360 + IF(MONTH(A361)=12, R360+X360, 0) + J361 ,
        VLOOKUP(YEAR(A361), Lookup!$Q:$R, 2)
      )
    ),
  B361&gt;=65,
    IF(AA360+J361 &lt; VLOOKUP(questions!$C$5, Lookup!$Q:$R, 2),
      AA360 + IF(MONTH(A361)=12, R360+X360, 0) + J361 ,
      MIN(
        AA360 + IF(MONTH(A361)=12, R360+X360, 0) + J361,
        VLOOKUP(questions!$C$5, Lookup!$Q:$R, 2)
      )
    )
)</f>
        <v>215078.2961</v>
      </c>
      <c r="AB361" s="65">
        <f t="shared" si="13"/>
        <v>653903.5117</v>
      </c>
      <c r="AC361" s="66">
        <f t="array" ref="AC361">IFS(B361&lt;66, XLOOKUP(year(A361),Lookup!$K$13:$K1000,Lookup!$L$13:$L1000,"missing",,1),B361&gt;65,XLOOKUP(questions!$C$5,Lookup!$K$13:$K1000,Lookup!$L$13:$L1000,"missing",,1))</f>
        <v>309425.277</v>
      </c>
      <c r="AD361" s="66">
        <f t="array" ref="AD361">IFS(B361&lt;66, XLOOKUP(year(A361),Lookup!$K$13:$K1000,Lookup!$M$13:$M1000,"missing",,1),B361&gt;65, XLOOKUP(questions!$C$5,Lookup!$K$13:$K1000,Lookup!$M$13:$M1000,"missing",,1))</f>
        <v>618850.554</v>
      </c>
      <c r="AE361" s="66">
        <f t="array" ref="AE361">IFS(B361&lt;66, XLOOKUP(year(A361),Lookup!$K$13:$K1000,Lookup!$N$13:$N1000,"missing",,1),B361&gt;65,XLOOKUP(questions!$C$5,Lookup!$K$13:$K1000,Lookup!$N$13:$N1000,"missing",,1))</f>
        <v>1237701.108</v>
      </c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</row>
    <row r="362">
      <c r="A362" s="55">
        <f t="shared" si="7"/>
        <v>57039</v>
      </c>
      <c r="B362" s="56">
        <f>round(YEARFRAC(EOMONTH(questions!$C$3, 0),A362,1),2)</f>
        <v>57.25</v>
      </c>
      <c r="C362" s="57">
        <f>IF(B362&lt;questions!$C$6,if(MONTH(A362)=1,C361*(1+questions!$C$12),C361),0)</f>
        <v>24272.62471</v>
      </c>
      <c r="D362" s="58">
        <f>IF(MONTH(A362)=12,C362*questions!$C$11,0)</f>
        <v>0</v>
      </c>
      <c r="E362" s="59">
        <f t="shared" si="2"/>
        <v>8000</v>
      </c>
      <c r="F362" s="59">
        <f t="shared" si="3"/>
        <v>0</v>
      </c>
      <c r="G362" s="60">
        <f t="array" ref="G362">if(YEAR(A362)=2025,XLOOKUP(B362,Lookup!$A$3:$A$7,Lookup!$D$3:$D$7,,1)*SUM(E362:F362), XLOOKUP(B362,Lookup!$A$14:$A$18,Lookup!$D$14:$D$18,,1)*SUM(E362:F362))</f>
        <v>2720</v>
      </c>
      <c r="H362" s="60">
        <f t="array" ref="H362">if(YEAR(A362)=2025,XLOOKUP(B362,Lookup!$F$3:$F$10,Lookup!$G$3:$G$10,,1)*G362, XLOOKUP(B362,Lookup!$F$14:$F$21,Lookup!$G$14:$G$21,,1)*G362)</f>
        <v>960.16</v>
      </c>
      <c r="I362" s="61">
        <f t="array" ref="I362">if(B362&lt;55, if(YEAR(A362)=2025,XLOOKUP(B362,Lookup!$F$3:$F$10,Lookup!$H$3:$H$10,,1)*G362, XLOOKUP(B362,Lookup!$F$14:$F$21,Lookup!$H$14:$H$21,,1)*G362),0)</f>
        <v>0</v>
      </c>
      <c r="J362" s="60">
        <f t="array" ref="J362">if(YEAR(A362)=2025,XLOOKUP(B362,Lookup!$F$3:$F$10,Lookup!$I$3:$I$10,,1)*G362, XLOOKUP(B362,Lookup!$F$14:$F$21,Lookup!$I$14:$I$21,,1)*G362)</f>
        <v>839.936</v>
      </c>
      <c r="K362" s="60">
        <f t="array" ref="K362">if(B362&gt;54, if(YEAR(A362)=2025,XLOOKUP(B362,Lookup!$F$3:$F$10,Lookup!$H$3:$H$10,,1)*G362, XLOOKUP(B362,Lookup!$F$14:$F$21,Lookup!$H$14:$H$21,,1)*G362),0)</f>
        <v>919.904</v>
      </c>
      <c r="L362" s="62">
        <f>IF(and(A362&lt;questions!$C$19,questions!$C$18="yes"),questions!$C$20,0)</f>
        <v>0</v>
      </c>
      <c r="M362" s="63">
        <f>(Y361+H362)*Lookup!A$26/12</f>
        <v>1540.922041</v>
      </c>
      <c r="N362" s="63">
        <f>if(B362&lt;55, (Z361+I362)*Lookup!B$26/12, (AB361+K362)*Lookup!B$26/12)</f>
        <v>2182.744719</v>
      </c>
      <c r="O362" s="63">
        <f>(AA361+J362)*Lookup!C$26/12</f>
        <v>719.7274402</v>
      </c>
      <c r="P362" s="63">
        <f t="shared" si="8"/>
        <v>3077.927283</v>
      </c>
      <c r="Q362" s="63">
        <f t="shared" si="4"/>
        <v>4362.423091</v>
      </c>
      <c r="R362" s="63">
        <f t="shared" si="5"/>
        <v>1436.655094</v>
      </c>
      <c r="S362" s="64">
        <f t="shared" si="9"/>
        <v>33.33333333</v>
      </c>
      <c r="T362" s="64">
        <f t="shared" si="10"/>
        <v>41.66666667</v>
      </c>
      <c r="U362" s="64">
        <f t="shared" si="11"/>
        <v>0</v>
      </c>
      <c r="V362" s="64">
        <f t="shared" ref="V362:X362" si="370">IF(year($A362)=year($A361), V361+S362, S362)</f>
        <v>66.66666667</v>
      </c>
      <c r="W362" s="64">
        <f t="shared" si="370"/>
        <v>83.33333333</v>
      </c>
      <c r="X362" s="64">
        <f t="shared" si="370"/>
        <v>0</v>
      </c>
      <c r="Y362" s="65">
        <f>IFS(
  B362&lt;55,
    MAX(
      Y361 + IF(MONTH(A362)=12, P362+V362, 0) + H362 - L362
      + MAX(0,
          IF(AA361 &gt;= VLOOKUP(YEAR(A362), Lookup!$Q:$R, 2),
            Z361 + IF(MONTH(A362)=12, Q362+W362, 0) + I362
              + AA361 + IF(MONTH(A362)=12, R362+X362, 0)
              - VLOOKUP(YEAR(A362), Lookup!$Q:$R, 2) + J362,
            Z361 + IF(MONTH(A362)=12, Q362+W362, 0) + I362
          ) - VLOOKUP(YEAR(A362), Lookup!$K:$M, 3)
        ),
    0),
  B362=55,
    IF(Z361&gt;=AD362,
      MAX(Y361 + IF(MONTH(A362)=12, P362+V362, 0) + H362 - L362, 0),
      MAX(MAX(0, Y361-(AD362-Z361)) + IF(MONTH(A362)=12, P362+V362, 0) + H362 - L362, 0)
    ),
  B362&gt;55,
    IF(AB361&gt;=$AH$7,
      MAX(Y361 + IF(MONTH(A362)=12, P362+V362, 0) + H362 - L362 + K362 + Z361, 0),
      MAX(Y361 + IF(MONTH(A362)=12, P362+V362, 0) + H362 - L362, 0)
    )
)</f>
        <v>740562.4839</v>
      </c>
      <c r="Z362" s="65">
        <f>IFS(
  B362&lt;55,
    MIN(
      IF(AA361 &gt;= VLOOKUP(YEAR(A362), Lookup!$Q:$R, 2),
        Z361 + IF(MONTH(A362)=12, Q362+W362, 0) + I362
          + AA361 + IF(MONTH(A362)=12, R362+X362, 0) - VLOOKUP(YEAR(A362), Lookup!$Q:$R, 2) + J362,
        Z361 + IF(MONTH(A362)=12, Q362+W362, 0) + I362
      ),
      VLOOKUP(YEAR(A362), Lookup!$K:$M, 3)
    ),
  B362=55,
    IF(Z361 &gt;= AD362, Z361 - AD362, 0),
  B362&gt;55, 0
)</f>
        <v>0</v>
      </c>
      <c r="AA362" s="65">
        <f>IFS(
  B362&lt;65,
    IF(AA361+J362 &lt; VLOOKUP(YEAR(A362), Lookup!$Q:$R, 2),
      AA361 + IF(MONTH(A362)=12, R361+X361, 0) + J362,
      MIN(
        AA361 + IF(MONTH(A362)=12, R361+X361, 0) + J362 ,
        VLOOKUP(YEAR(A362), Lookup!$Q:$R, 2)
      )
    ),
  B362&gt;=65,
    IF(AA361+J362 &lt; VLOOKUP(questions!$C$5, Lookup!$Q:$R, 2),
      AA361 + IF(MONTH(A362)=12, R361+X361, 0) + J362 ,
      MIN(
        AA361 + IF(MONTH(A362)=12, R361+X361, 0) + J362,
        VLOOKUP(questions!$C$5, Lookup!$Q:$R, 2)
      )
    )
)</f>
        <v>215918.2321</v>
      </c>
      <c r="AB362" s="65">
        <f t="shared" si="13"/>
        <v>654823.4157</v>
      </c>
      <c r="AC362" s="66">
        <f t="array" ref="AC362">IFS(B362&lt;66, XLOOKUP(year(A362),Lookup!$K$13:$K1000,Lookup!$L$13:$L1000,"missing",,1),B362&gt;65,XLOOKUP(questions!$C$5,Lookup!$K$13:$K1000,Lookup!$L$13:$L1000,"missing",,1))</f>
        <v>309425.277</v>
      </c>
      <c r="AD362" s="66">
        <f t="array" ref="AD362">IFS(B362&lt;66, XLOOKUP(year(A362),Lookup!$K$13:$K1000,Lookup!$M$13:$M1000,"missing",,1),B362&gt;65, XLOOKUP(questions!$C$5,Lookup!$K$13:$K1000,Lookup!$M$13:$M1000,"missing",,1))</f>
        <v>618850.554</v>
      </c>
      <c r="AE362" s="66">
        <f t="array" ref="AE362">IFS(B362&lt;66, XLOOKUP(year(A362),Lookup!$K$13:$K1000,Lookup!$N$13:$N1000,"missing",,1),B362&gt;65,XLOOKUP(questions!$C$5,Lookup!$K$13:$K1000,Lookup!$N$13:$N1000,"missing",,1))</f>
        <v>1237701.108</v>
      </c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</row>
    <row r="363">
      <c r="A363" s="55">
        <f t="shared" si="7"/>
        <v>57070</v>
      </c>
      <c r="B363" s="56">
        <f>round(YEARFRAC(EOMONTH(questions!$C$3, 0),A363,1),2)</f>
        <v>57.33</v>
      </c>
      <c r="C363" s="57">
        <f>IF(B363&lt;questions!$C$6,if(MONTH(A363)=1,C362*(1+questions!$C$12),C362),0)</f>
        <v>24272.62471</v>
      </c>
      <c r="D363" s="58">
        <f>IF(MONTH(A363)=12,C363*questions!$C$11,0)</f>
        <v>0</v>
      </c>
      <c r="E363" s="59">
        <f t="shared" si="2"/>
        <v>8000</v>
      </c>
      <c r="F363" s="59">
        <f t="shared" si="3"/>
        <v>0</v>
      </c>
      <c r="G363" s="60">
        <f t="array" ref="G363">if(YEAR(A363)=2025,XLOOKUP(B363,Lookup!$A$3:$A$7,Lookup!$D$3:$D$7,,1)*SUM(E363:F363), XLOOKUP(B363,Lookup!$A$14:$A$18,Lookup!$D$14:$D$18,,1)*SUM(E363:F363))</f>
        <v>2720</v>
      </c>
      <c r="H363" s="60">
        <f t="array" ref="H363">if(YEAR(A363)=2025,XLOOKUP(B363,Lookup!$F$3:$F$10,Lookup!$G$3:$G$10,,1)*G363, XLOOKUP(B363,Lookup!$F$14:$F$21,Lookup!$G$14:$G$21,,1)*G363)</f>
        <v>960.16</v>
      </c>
      <c r="I363" s="61">
        <f t="array" ref="I363">if(B363&lt;55, if(YEAR(A363)=2025,XLOOKUP(B363,Lookup!$F$3:$F$10,Lookup!$H$3:$H$10,,1)*G363, XLOOKUP(B363,Lookup!$F$14:$F$21,Lookup!$H$14:$H$21,,1)*G363),0)</f>
        <v>0</v>
      </c>
      <c r="J363" s="60">
        <f t="array" ref="J363">if(YEAR(A363)=2025,XLOOKUP(B363,Lookup!$F$3:$F$10,Lookup!$I$3:$I$10,,1)*G363, XLOOKUP(B363,Lookup!$F$14:$F$21,Lookup!$I$14:$I$21,,1)*G363)</f>
        <v>839.936</v>
      </c>
      <c r="K363" s="60">
        <f t="array" ref="K363">if(B363&gt;54, if(YEAR(A363)=2025,XLOOKUP(B363,Lookup!$F$3:$F$10,Lookup!$H$3:$H$10,,1)*G363, XLOOKUP(B363,Lookup!$F$14:$F$21,Lookup!$H$14:$H$21,,1)*G363),0)</f>
        <v>919.904</v>
      </c>
      <c r="L363" s="62">
        <f>IF(and(A363&lt;questions!$C$19,questions!$C$18="yes"),questions!$C$20,0)</f>
        <v>0</v>
      </c>
      <c r="M363" s="63">
        <f>(Y362+H363)*Lookup!A$26/12</f>
        <v>1544.838841</v>
      </c>
      <c r="N363" s="63">
        <f>if(B363&lt;55, (Z362+I363)*Lookup!B$26/12, (AB362+K363)*Lookup!B$26/12)</f>
        <v>2185.811066</v>
      </c>
      <c r="O363" s="63">
        <f>(AA362+J363)*Lookup!C$26/12</f>
        <v>722.5272269</v>
      </c>
      <c r="P363" s="63">
        <f t="shared" si="8"/>
        <v>4622.766124</v>
      </c>
      <c r="Q363" s="63">
        <f t="shared" si="4"/>
        <v>6548.234157</v>
      </c>
      <c r="R363" s="63">
        <f t="shared" si="5"/>
        <v>2159.182321</v>
      </c>
      <c r="S363" s="64">
        <f t="shared" si="9"/>
        <v>33.33333333</v>
      </c>
      <c r="T363" s="64">
        <f t="shared" si="10"/>
        <v>41.66666667</v>
      </c>
      <c r="U363" s="64">
        <f t="shared" si="11"/>
        <v>0</v>
      </c>
      <c r="V363" s="64">
        <f t="shared" ref="V363:X363" si="371">IF(year($A363)=year($A362), V362+S363, S363)</f>
        <v>100</v>
      </c>
      <c r="W363" s="64">
        <f t="shared" si="371"/>
        <v>125</v>
      </c>
      <c r="X363" s="64">
        <f t="shared" si="371"/>
        <v>0</v>
      </c>
      <c r="Y363" s="65">
        <f>IFS(
  B363&lt;55,
    MAX(
      Y362 + IF(MONTH(A363)=12, P363+V363, 0) + H363 - L363
      + MAX(0,
          IF(AA362 &gt;= VLOOKUP(YEAR(A363), Lookup!$Q:$R, 2),
            Z362 + IF(MONTH(A363)=12, Q363+W363, 0) + I363
              + AA362 + IF(MONTH(A363)=12, R363+X363, 0)
              - VLOOKUP(YEAR(A363), Lookup!$Q:$R, 2) + J363,
            Z362 + IF(MONTH(A363)=12, Q363+W363, 0) + I363
          ) - VLOOKUP(YEAR(A363), Lookup!$K:$M, 3)
        ),
    0),
  B363=55,
    IF(Z362&gt;=AD363,
      MAX(Y362 + IF(MONTH(A363)=12, P363+V363, 0) + H363 - L363, 0),
      MAX(MAX(0, Y362-(AD363-Z362)) + IF(MONTH(A363)=12, P363+V363, 0) + H363 - L363, 0)
    ),
  B363&gt;55,
    IF(AB362&gt;=$AH$7,
      MAX(Y362 + IF(MONTH(A363)=12, P363+V363, 0) + H363 - L363 + K363 + Z362, 0),
      MAX(Y362 + IF(MONTH(A363)=12, P363+V363, 0) + H363 - L363, 0)
    )
)</f>
        <v>742442.5479</v>
      </c>
      <c r="Z363" s="65">
        <f>IFS(
  B363&lt;55,
    MIN(
      IF(AA362 &gt;= VLOOKUP(YEAR(A363), Lookup!$Q:$R, 2),
        Z362 + IF(MONTH(A363)=12, Q363+W363, 0) + I363
          + AA362 + IF(MONTH(A363)=12, R363+X363, 0) - VLOOKUP(YEAR(A363), Lookup!$Q:$R, 2) + J363,
        Z362 + IF(MONTH(A363)=12, Q363+W363, 0) + I363
      ),
      VLOOKUP(YEAR(A363), Lookup!$K:$M, 3)
    ),
  B363=55,
    IF(Z362 &gt;= AD363, Z362 - AD363, 0),
  B363&gt;55, 0
)</f>
        <v>0</v>
      </c>
      <c r="AA363" s="65">
        <f>IFS(
  B363&lt;65,
    IF(AA362+J363 &lt; VLOOKUP(YEAR(A363), Lookup!$Q:$R, 2),
      AA362 + IF(MONTH(A363)=12, R362+X362, 0) + J363,
      MIN(
        AA362 + IF(MONTH(A363)=12, R362+X362, 0) + J363 ,
        VLOOKUP(YEAR(A363), Lookup!$Q:$R, 2)
      )
    ),
  B363&gt;=65,
    IF(AA362+J363 &lt; VLOOKUP(questions!$C$5, Lookup!$Q:$R, 2),
      AA362 + IF(MONTH(A363)=12, R362+X362, 0) + J363 ,
      MIN(
        AA362 + IF(MONTH(A363)=12, R362+X362, 0) + J363,
        VLOOKUP(questions!$C$5, Lookup!$Q:$R, 2)
      )
    )
)</f>
        <v>216758.1681</v>
      </c>
      <c r="AB363" s="65">
        <f t="shared" si="13"/>
        <v>655743.3197</v>
      </c>
      <c r="AC363" s="66">
        <f t="array" ref="AC363">IFS(B363&lt;66, XLOOKUP(year(A363),Lookup!$K$13:$K1000,Lookup!$L$13:$L1000,"missing",,1),B363&gt;65,XLOOKUP(questions!$C$5,Lookup!$K$13:$K1000,Lookup!$L$13:$L1000,"missing",,1))</f>
        <v>309425.277</v>
      </c>
      <c r="AD363" s="66">
        <f t="array" ref="AD363">IFS(B363&lt;66, XLOOKUP(year(A363),Lookup!$K$13:$K1000,Lookup!$M$13:$M1000,"missing",,1),B363&gt;65, XLOOKUP(questions!$C$5,Lookup!$K$13:$K1000,Lookup!$M$13:$M1000,"missing",,1))</f>
        <v>618850.554</v>
      </c>
      <c r="AE363" s="66">
        <f t="array" ref="AE363">IFS(B363&lt;66, XLOOKUP(year(A363),Lookup!$K$13:$K1000,Lookup!$N$13:$N1000,"missing",,1),B363&gt;65,XLOOKUP(questions!$C$5,Lookup!$K$13:$K1000,Lookup!$N$13:$N1000,"missing",,1))</f>
        <v>1237701.108</v>
      </c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</row>
    <row r="364">
      <c r="A364" s="55">
        <f t="shared" si="7"/>
        <v>57100</v>
      </c>
      <c r="B364" s="56">
        <f>round(YEARFRAC(EOMONTH(questions!$C$3, 0),A364,1),2)</f>
        <v>57.42</v>
      </c>
      <c r="C364" s="57">
        <f>IF(B364&lt;questions!$C$6,if(MONTH(A364)=1,C363*(1+questions!$C$12),C363),0)</f>
        <v>24272.62471</v>
      </c>
      <c r="D364" s="58">
        <f>IF(MONTH(A364)=12,C364*questions!$C$11,0)</f>
        <v>0</v>
      </c>
      <c r="E364" s="59">
        <f t="shared" si="2"/>
        <v>8000</v>
      </c>
      <c r="F364" s="59">
        <f t="shared" si="3"/>
        <v>0</v>
      </c>
      <c r="G364" s="60">
        <f t="array" ref="G364">if(YEAR(A364)=2025,XLOOKUP(B364,Lookup!$A$3:$A$7,Lookup!$D$3:$D$7,,1)*SUM(E364:F364), XLOOKUP(B364,Lookup!$A$14:$A$18,Lookup!$D$14:$D$18,,1)*SUM(E364:F364))</f>
        <v>2720</v>
      </c>
      <c r="H364" s="60">
        <f t="array" ref="H364">if(YEAR(A364)=2025,XLOOKUP(B364,Lookup!$F$3:$F$10,Lookup!$G$3:$G$10,,1)*G364, XLOOKUP(B364,Lookup!$F$14:$F$21,Lookup!$G$14:$G$21,,1)*G364)</f>
        <v>960.16</v>
      </c>
      <c r="I364" s="61">
        <f t="array" ref="I364">if(B364&lt;55, if(YEAR(A364)=2025,XLOOKUP(B364,Lookup!$F$3:$F$10,Lookup!$H$3:$H$10,,1)*G364, XLOOKUP(B364,Lookup!$F$14:$F$21,Lookup!$H$14:$H$21,,1)*G364),0)</f>
        <v>0</v>
      </c>
      <c r="J364" s="60">
        <f t="array" ref="J364">if(YEAR(A364)=2025,XLOOKUP(B364,Lookup!$F$3:$F$10,Lookup!$I$3:$I$10,,1)*G364, XLOOKUP(B364,Lookup!$F$14:$F$21,Lookup!$I$14:$I$21,,1)*G364)</f>
        <v>839.936</v>
      </c>
      <c r="K364" s="60">
        <f t="array" ref="K364">if(B364&gt;54, if(YEAR(A364)=2025,XLOOKUP(B364,Lookup!$F$3:$F$10,Lookup!$H$3:$H$10,,1)*G364, XLOOKUP(B364,Lookup!$F$14:$F$21,Lookup!$H$14:$H$21,,1)*G364),0)</f>
        <v>919.904</v>
      </c>
      <c r="L364" s="62">
        <f>IF(and(A364&lt;questions!$C$19,questions!$C$18="yes"),questions!$C$20,0)</f>
        <v>0</v>
      </c>
      <c r="M364" s="63">
        <f>(Y363+H364)*Lookup!A$26/12</f>
        <v>1548.755641</v>
      </c>
      <c r="N364" s="63">
        <f>if(B364&lt;55, (Z363+I364)*Lookup!B$26/12, (AB363+K364)*Lookup!B$26/12)</f>
        <v>2188.877412</v>
      </c>
      <c r="O364" s="63">
        <f>(AA363+J364)*Lookup!C$26/12</f>
        <v>725.3270136</v>
      </c>
      <c r="P364" s="63">
        <f t="shared" si="8"/>
        <v>6171.521766</v>
      </c>
      <c r="Q364" s="63">
        <f t="shared" si="4"/>
        <v>8737.11157</v>
      </c>
      <c r="R364" s="63">
        <f t="shared" si="5"/>
        <v>2884.509334</v>
      </c>
      <c r="S364" s="64">
        <f t="shared" si="9"/>
        <v>33.33333333</v>
      </c>
      <c r="T364" s="64">
        <f t="shared" si="10"/>
        <v>41.66666667</v>
      </c>
      <c r="U364" s="64">
        <f t="shared" si="11"/>
        <v>0</v>
      </c>
      <c r="V364" s="64">
        <f t="shared" ref="V364:X364" si="372">IF(year($A364)=year($A363), V363+S364, S364)</f>
        <v>133.3333333</v>
      </c>
      <c r="W364" s="64">
        <f t="shared" si="372"/>
        <v>166.6666667</v>
      </c>
      <c r="X364" s="64">
        <f t="shared" si="372"/>
        <v>0</v>
      </c>
      <c r="Y364" s="65">
        <f>IFS(
  B364&lt;55,
    MAX(
      Y363 + IF(MONTH(A364)=12, P364+V364, 0) + H364 - L364
      + MAX(0,
          IF(AA363 &gt;= VLOOKUP(YEAR(A364), Lookup!$Q:$R, 2),
            Z363 + IF(MONTH(A364)=12, Q364+W364, 0) + I364
              + AA363 + IF(MONTH(A364)=12, R364+X364, 0)
              - VLOOKUP(YEAR(A364), Lookup!$Q:$R, 2) + J364,
            Z363 + IF(MONTH(A364)=12, Q364+W364, 0) + I364
          ) - VLOOKUP(YEAR(A364), Lookup!$K:$M, 3)
        ),
    0),
  B364=55,
    IF(Z363&gt;=AD364,
      MAX(Y363 + IF(MONTH(A364)=12, P364+V364, 0) + H364 - L364, 0),
      MAX(MAX(0, Y363-(AD364-Z363)) + IF(MONTH(A364)=12, P364+V364, 0) + H364 - L364, 0)
    ),
  B364&gt;55,
    IF(AB363&gt;=$AH$7,
      MAX(Y363 + IF(MONTH(A364)=12, P364+V364, 0) + H364 - L364 + K364 + Z363, 0),
      MAX(Y363 + IF(MONTH(A364)=12, P364+V364, 0) + H364 - L364, 0)
    )
)</f>
        <v>744322.6119</v>
      </c>
      <c r="Z364" s="65">
        <f>IFS(
  B364&lt;55,
    MIN(
      IF(AA363 &gt;= VLOOKUP(YEAR(A364), Lookup!$Q:$R, 2),
        Z363 + IF(MONTH(A364)=12, Q364+W364, 0) + I364
          + AA363 + IF(MONTH(A364)=12, R364+X364, 0) - VLOOKUP(YEAR(A364), Lookup!$Q:$R, 2) + J364,
        Z363 + IF(MONTH(A364)=12, Q364+W364, 0) + I364
      ),
      VLOOKUP(YEAR(A364), Lookup!$K:$M, 3)
    ),
  B364=55,
    IF(Z363 &gt;= AD364, Z363 - AD364, 0),
  B364&gt;55, 0
)</f>
        <v>0</v>
      </c>
      <c r="AA364" s="65">
        <f>IFS(
  B364&lt;65,
    IF(AA363+J364 &lt; VLOOKUP(YEAR(A364), Lookup!$Q:$R, 2),
      AA363 + IF(MONTH(A364)=12, R363+X363, 0) + J364,
      MIN(
        AA363 + IF(MONTH(A364)=12, R363+X363, 0) + J364 ,
        VLOOKUP(YEAR(A364), Lookup!$Q:$R, 2)
      )
    ),
  B364&gt;=65,
    IF(AA363+J364 &lt; VLOOKUP(questions!$C$5, Lookup!$Q:$R, 2),
      AA363 + IF(MONTH(A364)=12, R363+X363, 0) + J364 ,
      MIN(
        AA363 + IF(MONTH(A364)=12, R363+X363, 0) + J364,
        VLOOKUP(questions!$C$5, Lookup!$Q:$R, 2)
      )
    )
)</f>
        <v>217598.1041</v>
      </c>
      <c r="AB364" s="65">
        <f t="shared" si="13"/>
        <v>656663.2237</v>
      </c>
      <c r="AC364" s="66">
        <f t="array" ref="AC364">IFS(B364&lt;66, XLOOKUP(year(A364),Lookup!$K$13:$K1000,Lookup!$L$13:$L1000,"missing",,1),B364&gt;65,XLOOKUP(questions!$C$5,Lookup!$K$13:$K1000,Lookup!$L$13:$L1000,"missing",,1))</f>
        <v>309425.277</v>
      </c>
      <c r="AD364" s="66">
        <f t="array" ref="AD364">IFS(B364&lt;66, XLOOKUP(year(A364),Lookup!$K$13:$K1000,Lookup!$M$13:$M1000,"missing",,1),B364&gt;65, XLOOKUP(questions!$C$5,Lookup!$K$13:$K1000,Lookup!$M$13:$M1000,"missing",,1))</f>
        <v>618850.554</v>
      </c>
      <c r="AE364" s="66">
        <f t="array" ref="AE364">IFS(B364&lt;66, XLOOKUP(year(A364),Lookup!$K$13:$K1000,Lookup!$N$13:$N1000,"missing",,1),B364&gt;65,XLOOKUP(questions!$C$5,Lookup!$K$13:$K1000,Lookup!$N$13:$N1000,"missing",,1))</f>
        <v>1237701.108</v>
      </c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</row>
    <row r="365">
      <c r="A365" s="55">
        <f t="shared" si="7"/>
        <v>57131</v>
      </c>
      <c r="B365" s="56">
        <f>round(YEARFRAC(EOMONTH(questions!$C$3, 0),A365,1),2)</f>
        <v>57.5</v>
      </c>
      <c r="C365" s="57">
        <f>IF(B365&lt;questions!$C$6,if(MONTH(A365)=1,C364*(1+questions!$C$12),C364),0)</f>
        <v>24272.62471</v>
      </c>
      <c r="D365" s="58">
        <f>IF(MONTH(A365)=12,C365*questions!$C$11,0)</f>
        <v>0</v>
      </c>
      <c r="E365" s="59">
        <f t="shared" si="2"/>
        <v>8000</v>
      </c>
      <c r="F365" s="59">
        <f t="shared" si="3"/>
        <v>0</v>
      </c>
      <c r="G365" s="60">
        <f t="array" ref="G365">if(YEAR(A365)=2025,XLOOKUP(B365,Lookup!$A$3:$A$7,Lookup!$D$3:$D$7,,1)*SUM(E365:F365), XLOOKUP(B365,Lookup!$A$14:$A$18,Lookup!$D$14:$D$18,,1)*SUM(E365:F365))</f>
        <v>2720</v>
      </c>
      <c r="H365" s="60">
        <f t="array" ref="H365">if(YEAR(A365)=2025,XLOOKUP(B365,Lookup!$F$3:$F$10,Lookup!$G$3:$G$10,,1)*G365, XLOOKUP(B365,Lookup!$F$14:$F$21,Lookup!$G$14:$G$21,,1)*G365)</f>
        <v>960.16</v>
      </c>
      <c r="I365" s="61">
        <f t="array" ref="I365">if(B365&lt;55, if(YEAR(A365)=2025,XLOOKUP(B365,Lookup!$F$3:$F$10,Lookup!$H$3:$H$10,,1)*G365, XLOOKUP(B365,Lookup!$F$14:$F$21,Lookup!$H$14:$H$21,,1)*G365),0)</f>
        <v>0</v>
      </c>
      <c r="J365" s="60">
        <f t="array" ref="J365">if(YEAR(A365)=2025,XLOOKUP(B365,Lookup!$F$3:$F$10,Lookup!$I$3:$I$10,,1)*G365, XLOOKUP(B365,Lookup!$F$14:$F$21,Lookup!$I$14:$I$21,,1)*G365)</f>
        <v>839.936</v>
      </c>
      <c r="K365" s="60">
        <f t="array" ref="K365">if(B365&gt;54, if(YEAR(A365)=2025,XLOOKUP(B365,Lookup!$F$3:$F$10,Lookup!$H$3:$H$10,,1)*G365, XLOOKUP(B365,Lookup!$F$14:$F$21,Lookup!$H$14:$H$21,,1)*G365),0)</f>
        <v>919.904</v>
      </c>
      <c r="L365" s="62">
        <f>IF(and(A365&lt;questions!$C$19,questions!$C$18="yes"),questions!$C$20,0)</f>
        <v>0</v>
      </c>
      <c r="M365" s="63">
        <f>(Y364+H365)*Lookup!A$26/12</f>
        <v>1552.672441</v>
      </c>
      <c r="N365" s="63">
        <f>if(B365&lt;55, (Z364+I365)*Lookup!B$26/12, (AB364+K365)*Lookup!B$26/12)</f>
        <v>2191.943759</v>
      </c>
      <c r="O365" s="63">
        <f>(AA364+J365)*Lookup!C$26/12</f>
        <v>728.1268002</v>
      </c>
      <c r="P365" s="63">
        <f t="shared" si="8"/>
        <v>7724.194207</v>
      </c>
      <c r="Q365" s="63">
        <f t="shared" si="4"/>
        <v>10929.05533</v>
      </c>
      <c r="R365" s="63">
        <f t="shared" si="5"/>
        <v>3612.636134</v>
      </c>
      <c r="S365" s="64">
        <f t="shared" si="9"/>
        <v>33.33333333</v>
      </c>
      <c r="T365" s="64">
        <f t="shared" si="10"/>
        <v>41.66666667</v>
      </c>
      <c r="U365" s="64">
        <f t="shared" si="11"/>
        <v>0</v>
      </c>
      <c r="V365" s="64">
        <f t="shared" ref="V365:X365" si="373">IF(year($A365)=year($A364), V364+S365, S365)</f>
        <v>166.6666667</v>
      </c>
      <c r="W365" s="64">
        <f t="shared" si="373"/>
        <v>208.3333333</v>
      </c>
      <c r="X365" s="64">
        <f t="shared" si="373"/>
        <v>0</v>
      </c>
      <c r="Y365" s="65">
        <f>IFS(
  B365&lt;55,
    MAX(
      Y364 + IF(MONTH(A365)=12, P365+V365, 0) + H365 - L365
      + MAX(0,
          IF(AA364 &gt;= VLOOKUP(YEAR(A365), Lookup!$Q:$R, 2),
            Z364 + IF(MONTH(A365)=12, Q365+W365, 0) + I365
              + AA364 + IF(MONTH(A365)=12, R365+X365, 0)
              - VLOOKUP(YEAR(A365), Lookup!$Q:$R, 2) + J365,
            Z364 + IF(MONTH(A365)=12, Q365+W365, 0) + I365
          ) - VLOOKUP(YEAR(A365), Lookup!$K:$M, 3)
        ),
    0),
  B365=55,
    IF(Z364&gt;=AD365,
      MAX(Y364 + IF(MONTH(A365)=12, P365+V365, 0) + H365 - L365, 0),
      MAX(MAX(0, Y364-(AD365-Z364)) + IF(MONTH(A365)=12, P365+V365, 0) + H365 - L365, 0)
    ),
  B365&gt;55,
    IF(AB364&gt;=$AH$7,
      MAX(Y364 + IF(MONTH(A365)=12, P365+V365, 0) + H365 - L365 + K365 + Z364, 0),
      MAX(Y364 + IF(MONTH(A365)=12, P365+V365, 0) + H365 - L365, 0)
    )
)</f>
        <v>746202.6759</v>
      </c>
      <c r="Z365" s="65">
        <f>IFS(
  B365&lt;55,
    MIN(
      IF(AA364 &gt;= VLOOKUP(YEAR(A365), Lookup!$Q:$R, 2),
        Z364 + IF(MONTH(A365)=12, Q365+W365, 0) + I365
          + AA364 + IF(MONTH(A365)=12, R365+X365, 0) - VLOOKUP(YEAR(A365), Lookup!$Q:$R, 2) + J365,
        Z364 + IF(MONTH(A365)=12, Q365+W365, 0) + I365
      ),
      VLOOKUP(YEAR(A365), Lookup!$K:$M, 3)
    ),
  B365=55,
    IF(Z364 &gt;= AD365, Z364 - AD365, 0),
  B365&gt;55, 0
)</f>
        <v>0</v>
      </c>
      <c r="AA365" s="65">
        <f>IFS(
  B365&lt;65,
    IF(AA364+J365 &lt; VLOOKUP(YEAR(A365), Lookup!$Q:$R, 2),
      AA364 + IF(MONTH(A365)=12, R364+X364, 0) + J365,
      MIN(
        AA364 + IF(MONTH(A365)=12, R364+X364, 0) + J365 ,
        VLOOKUP(YEAR(A365), Lookup!$Q:$R, 2)
      )
    ),
  B365&gt;=65,
    IF(AA364+J365 &lt; VLOOKUP(questions!$C$5, Lookup!$Q:$R, 2),
      AA364 + IF(MONTH(A365)=12, R364+X364, 0) + J365 ,
      MIN(
        AA364 + IF(MONTH(A365)=12, R364+X364, 0) + J365,
        VLOOKUP(questions!$C$5, Lookup!$Q:$R, 2)
      )
    )
)</f>
        <v>218438.0401</v>
      </c>
      <c r="AB365" s="65">
        <f t="shared" si="13"/>
        <v>657583.1277</v>
      </c>
      <c r="AC365" s="66">
        <f t="array" ref="AC365">IFS(B365&lt;66, XLOOKUP(year(A365),Lookup!$K$13:$K1000,Lookup!$L$13:$L1000,"missing",,1),B365&gt;65,XLOOKUP(questions!$C$5,Lookup!$K$13:$K1000,Lookup!$L$13:$L1000,"missing",,1))</f>
        <v>309425.277</v>
      </c>
      <c r="AD365" s="66">
        <f t="array" ref="AD365">IFS(B365&lt;66, XLOOKUP(year(A365),Lookup!$K$13:$K1000,Lookup!$M$13:$M1000,"missing",,1),B365&gt;65, XLOOKUP(questions!$C$5,Lookup!$K$13:$K1000,Lookup!$M$13:$M1000,"missing",,1))</f>
        <v>618850.554</v>
      </c>
      <c r="AE365" s="66">
        <f t="array" ref="AE365">IFS(B365&lt;66, XLOOKUP(year(A365),Lookup!$K$13:$K1000,Lookup!$N$13:$N1000,"missing",,1),B365&gt;65,XLOOKUP(questions!$C$5,Lookup!$K$13:$K1000,Lookup!$N$13:$N1000,"missing",,1))</f>
        <v>1237701.108</v>
      </c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</row>
    <row r="366">
      <c r="A366" s="55">
        <f t="shared" si="7"/>
        <v>57161</v>
      </c>
      <c r="B366" s="56">
        <f>round(YEARFRAC(EOMONTH(questions!$C$3, 0),A366,1),2)</f>
        <v>57.58</v>
      </c>
      <c r="C366" s="57">
        <f>IF(B366&lt;questions!$C$6,if(MONTH(A366)=1,C365*(1+questions!$C$12),C365),0)</f>
        <v>24272.62471</v>
      </c>
      <c r="D366" s="58">
        <f>IF(MONTH(A366)=12,C366*questions!$C$11,0)</f>
        <v>0</v>
      </c>
      <c r="E366" s="59">
        <f t="shared" si="2"/>
        <v>8000</v>
      </c>
      <c r="F366" s="59">
        <f t="shared" si="3"/>
        <v>0</v>
      </c>
      <c r="G366" s="60">
        <f t="array" ref="G366">if(YEAR(A366)=2025,XLOOKUP(B366,Lookup!$A$3:$A$7,Lookup!$D$3:$D$7,,1)*SUM(E366:F366), XLOOKUP(B366,Lookup!$A$14:$A$18,Lookup!$D$14:$D$18,,1)*SUM(E366:F366))</f>
        <v>2720</v>
      </c>
      <c r="H366" s="60">
        <f t="array" ref="H366">if(YEAR(A366)=2025,XLOOKUP(B366,Lookup!$F$3:$F$10,Lookup!$G$3:$G$10,,1)*G366, XLOOKUP(B366,Lookup!$F$14:$F$21,Lookup!$G$14:$G$21,,1)*G366)</f>
        <v>960.16</v>
      </c>
      <c r="I366" s="61">
        <f t="array" ref="I366">if(B366&lt;55, if(YEAR(A366)=2025,XLOOKUP(B366,Lookup!$F$3:$F$10,Lookup!$H$3:$H$10,,1)*G366, XLOOKUP(B366,Lookup!$F$14:$F$21,Lookup!$H$14:$H$21,,1)*G366),0)</f>
        <v>0</v>
      </c>
      <c r="J366" s="60">
        <f t="array" ref="J366">if(YEAR(A366)=2025,XLOOKUP(B366,Lookup!$F$3:$F$10,Lookup!$I$3:$I$10,,1)*G366, XLOOKUP(B366,Lookup!$F$14:$F$21,Lookup!$I$14:$I$21,,1)*G366)</f>
        <v>839.936</v>
      </c>
      <c r="K366" s="60">
        <f t="array" ref="K366">if(B366&gt;54, if(YEAR(A366)=2025,XLOOKUP(B366,Lookup!$F$3:$F$10,Lookup!$H$3:$H$10,,1)*G366, XLOOKUP(B366,Lookup!$F$14:$F$21,Lookup!$H$14:$H$21,,1)*G366),0)</f>
        <v>919.904</v>
      </c>
      <c r="L366" s="62">
        <f>IF(and(A366&lt;questions!$C$19,questions!$C$18="yes"),questions!$C$20,0)</f>
        <v>0</v>
      </c>
      <c r="M366" s="63">
        <f>(Y365+H366)*Lookup!A$26/12</f>
        <v>1556.589241</v>
      </c>
      <c r="N366" s="63">
        <f>if(B366&lt;55, (Z365+I366)*Lookup!B$26/12, (AB365+K366)*Lookup!B$26/12)</f>
        <v>2195.010106</v>
      </c>
      <c r="O366" s="63">
        <f>(AA365+J366)*Lookup!C$26/12</f>
        <v>730.9265869</v>
      </c>
      <c r="P366" s="63">
        <f t="shared" si="8"/>
        <v>9280.783449</v>
      </c>
      <c r="Q366" s="63">
        <f t="shared" si="4"/>
        <v>13124.06543</v>
      </c>
      <c r="R366" s="63">
        <f t="shared" si="5"/>
        <v>4343.562721</v>
      </c>
      <c r="S366" s="64">
        <f t="shared" si="9"/>
        <v>33.33333333</v>
      </c>
      <c r="T366" s="64">
        <f t="shared" si="10"/>
        <v>41.66666667</v>
      </c>
      <c r="U366" s="64">
        <f t="shared" si="11"/>
        <v>0</v>
      </c>
      <c r="V366" s="64">
        <f t="shared" ref="V366:X366" si="374">IF(year($A366)=year($A365), V365+S366, S366)</f>
        <v>200</v>
      </c>
      <c r="W366" s="64">
        <f t="shared" si="374"/>
        <v>250</v>
      </c>
      <c r="X366" s="64">
        <f t="shared" si="374"/>
        <v>0</v>
      </c>
      <c r="Y366" s="65">
        <f>IFS(
  B366&lt;55,
    MAX(
      Y365 + IF(MONTH(A366)=12, P366+V366, 0) + H366 - L366
      + MAX(0,
          IF(AA365 &gt;= VLOOKUP(YEAR(A366), Lookup!$Q:$R, 2),
            Z365 + IF(MONTH(A366)=12, Q366+W366, 0) + I366
              + AA365 + IF(MONTH(A366)=12, R366+X366, 0)
              - VLOOKUP(YEAR(A366), Lookup!$Q:$R, 2) + J366,
            Z365 + IF(MONTH(A366)=12, Q366+W366, 0) + I366
          ) - VLOOKUP(YEAR(A366), Lookup!$K:$M, 3)
        ),
    0),
  B366=55,
    IF(Z365&gt;=AD366,
      MAX(Y365 + IF(MONTH(A366)=12, P366+V366, 0) + H366 - L366, 0),
      MAX(MAX(0, Y365-(AD366-Z365)) + IF(MONTH(A366)=12, P366+V366, 0) + H366 - L366, 0)
    ),
  B366&gt;55,
    IF(AB365&gt;=$AH$7,
      MAX(Y365 + IF(MONTH(A366)=12, P366+V366, 0) + H366 - L366 + K366 + Z365, 0),
      MAX(Y365 + IF(MONTH(A366)=12, P366+V366, 0) + H366 - L366, 0)
    )
)</f>
        <v>748082.7399</v>
      </c>
      <c r="Z366" s="65">
        <f>IFS(
  B366&lt;55,
    MIN(
      IF(AA365 &gt;= VLOOKUP(YEAR(A366), Lookup!$Q:$R, 2),
        Z365 + IF(MONTH(A366)=12, Q366+W366, 0) + I366
          + AA365 + IF(MONTH(A366)=12, R366+X366, 0) - VLOOKUP(YEAR(A366), Lookup!$Q:$R, 2) + J366,
        Z365 + IF(MONTH(A366)=12, Q366+W366, 0) + I366
      ),
      VLOOKUP(YEAR(A366), Lookup!$K:$M, 3)
    ),
  B366=55,
    IF(Z365 &gt;= AD366, Z365 - AD366, 0),
  B366&gt;55, 0
)</f>
        <v>0</v>
      </c>
      <c r="AA366" s="65">
        <f>IFS(
  B366&lt;65,
    IF(AA365+J366 &lt; VLOOKUP(YEAR(A366), Lookup!$Q:$R, 2),
      AA365 + IF(MONTH(A366)=12, R365+X365, 0) + J366,
      MIN(
        AA365 + IF(MONTH(A366)=12, R365+X365, 0) + J366 ,
        VLOOKUP(YEAR(A366), Lookup!$Q:$R, 2)
      )
    ),
  B366&gt;=65,
    IF(AA365+J366 &lt; VLOOKUP(questions!$C$5, Lookup!$Q:$R, 2),
      AA365 + IF(MONTH(A366)=12, R365+X365, 0) + J366 ,
      MIN(
        AA365 + IF(MONTH(A366)=12, R365+X365, 0) + J366,
        VLOOKUP(questions!$C$5, Lookup!$Q:$R, 2)
      )
    )
)</f>
        <v>219277.9761</v>
      </c>
      <c r="AB366" s="65">
        <f t="shared" si="13"/>
        <v>658503.0317</v>
      </c>
      <c r="AC366" s="66">
        <f t="array" ref="AC366">IFS(B366&lt;66, XLOOKUP(year(A366),Lookup!$K$13:$K1000,Lookup!$L$13:$L1000,"missing",,1),B366&gt;65,XLOOKUP(questions!$C$5,Lookup!$K$13:$K1000,Lookup!$L$13:$L1000,"missing",,1))</f>
        <v>309425.277</v>
      </c>
      <c r="AD366" s="66">
        <f t="array" ref="AD366">IFS(B366&lt;66, XLOOKUP(year(A366),Lookup!$K$13:$K1000,Lookup!$M$13:$M1000,"missing",,1),B366&gt;65, XLOOKUP(questions!$C$5,Lookup!$K$13:$K1000,Lookup!$M$13:$M1000,"missing",,1))</f>
        <v>618850.554</v>
      </c>
      <c r="AE366" s="66">
        <f t="array" ref="AE366">IFS(B366&lt;66, XLOOKUP(year(A366),Lookup!$K$13:$K1000,Lookup!$N$13:$N1000,"missing",,1),B366&gt;65,XLOOKUP(questions!$C$5,Lookup!$K$13:$K1000,Lookup!$N$13:$N1000,"missing",,1))</f>
        <v>1237701.108</v>
      </c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</row>
    <row r="367">
      <c r="A367" s="55">
        <f t="shared" si="7"/>
        <v>57192</v>
      </c>
      <c r="B367" s="56">
        <f>round(YEARFRAC(EOMONTH(questions!$C$3, 0),A367,1),2)</f>
        <v>57.67</v>
      </c>
      <c r="C367" s="57">
        <f>IF(B367&lt;questions!$C$6,if(MONTH(A367)=1,C366*(1+questions!$C$12),C366),0)</f>
        <v>24272.62471</v>
      </c>
      <c r="D367" s="58">
        <f>IF(MONTH(A367)=12,C367*questions!$C$11,0)</f>
        <v>0</v>
      </c>
      <c r="E367" s="59">
        <f t="shared" si="2"/>
        <v>8000</v>
      </c>
      <c r="F367" s="59">
        <f t="shared" si="3"/>
        <v>0</v>
      </c>
      <c r="G367" s="60">
        <f t="array" ref="G367">if(YEAR(A367)=2025,XLOOKUP(B367,Lookup!$A$3:$A$7,Lookup!$D$3:$D$7,,1)*SUM(E367:F367), XLOOKUP(B367,Lookup!$A$14:$A$18,Lookup!$D$14:$D$18,,1)*SUM(E367:F367))</f>
        <v>2720</v>
      </c>
      <c r="H367" s="60">
        <f t="array" ref="H367">if(YEAR(A367)=2025,XLOOKUP(B367,Lookup!$F$3:$F$10,Lookup!$G$3:$G$10,,1)*G367, XLOOKUP(B367,Lookup!$F$14:$F$21,Lookup!$G$14:$G$21,,1)*G367)</f>
        <v>960.16</v>
      </c>
      <c r="I367" s="61">
        <f t="array" ref="I367">if(B367&lt;55, if(YEAR(A367)=2025,XLOOKUP(B367,Lookup!$F$3:$F$10,Lookup!$H$3:$H$10,,1)*G367, XLOOKUP(B367,Lookup!$F$14:$F$21,Lookup!$H$14:$H$21,,1)*G367),0)</f>
        <v>0</v>
      </c>
      <c r="J367" s="60">
        <f t="array" ref="J367">if(YEAR(A367)=2025,XLOOKUP(B367,Lookup!$F$3:$F$10,Lookup!$I$3:$I$10,,1)*G367, XLOOKUP(B367,Lookup!$F$14:$F$21,Lookup!$I$14:$I$21,,1)*G367)</f>
        <v>839.936</v>
      </c>
      <c r="K367" s="60">
        <f t="array" ref="K367">if(B367&gt;54, if(YEAR(A367)=2025,XLOOKUP(B367,Lookup!$F$3:$F$10,Lookup!$H$3:$H$10,,1)*G367, XLOOKUP(B367,Lookup!$F$14:$F$21,Lookup!$H$14:$H$21,,1)*G367),0)</f>
        <v>919.904</v>
      </c>
      <c r="L367" s="62">
        <f>IF(and(A367&lt;questions!$C$19,questions!$C$18="yes"),questions!$C$20,0)</f>
        <v>0</v>
      </c>
      <c r="M367" s="63">
        <f>(Y366+H367)*Lookup!A$26/12</f>
        <v>1560.506041</v>
      </c>
      <c r="N367" s="63">
        <f>if(B367&lt;55, (Z366+I367)*Lookup!B$26/12, (AB366+K367)*Lookup!B$26/12)</f>
        <v>2198.076452</v>
      </c>
      <c r="O367" s="63">
        <f>(AA366+J367)*Lookup!C$26/12</f>
        <v>733.7263736</v>
      </c>
      <c r="P367" s="63">
        <f t="shared" si="8"/>
        <v>10841.28949</v>
      </c>
      <c r="Q367" s="63">
        <f t="shared" si="4"/>
        <v>15322.14189</v>
      </c>
      <c r="R367" s="63">
        <f t="shared" si="5"/>
        <v>5077.289095</v>
      </c>
      <c r="S367" s="64">
        <f t="shared" si="9"/>
        <v>33.33333333</v>
      </c>
      <c r="T367" s="64">
        <f t="shared" si="10"/>
        <v>41.66666667</v>
      </c>
      <c r="U367" s="64">
        <f t="shared" si="11"/>
        <v>0</v>
      </c>
      <c r="V367" s="64">
        <f t="shared" ref="V367:X367" si="375">IF(year($A367)=year($A366), V366+S367, S367)</f>
        <v>233.3333333</v>
      </c>
      <c r="W367" s="64">
        <f t="shared" si="375"/>
        <v>291.6666667</v>
      </c>
      <c r="X367" s="64">
        <f t="shared" si="375"/>
        <v>0</v>
      </c>
      <c r="Y367" s="65">
        <f>IFS(
  B367&lt;55,
    MAX(
      Y366 + IF(MONTH(A367)=12, P367+V367, 0) + H367 - L367
      + MAX(0,
          IF(AA366 &gt;= VLOOKUP(YEAR(A367), Lookup!$Q:$R, 2),
            Z366 + IF(MONTH(A367)=12, Q367+W367, 0) + I367
              + AA366 + IF(MONTH(A367)=12, R367+X367, 0)
              - VLOOKUP(YEAR(A367), Lookup!$Q:$R, 2) + J367,
            Z366 + IF(MONTH(A367)=12, Q367+W367, 0) + I367
          ) - VLOOKUP(YEAR(A367), Lookup!$K:$M, 3)
        ),
    0),
  B367=55,
    IF(Z366&gt;=AD367,
      MAX(Y366 + IF(MONTH(A367)=12, P367+V367, 0) + H367 - L367, 0),
      MAX(MAX(0, Y366-(AD367-Z366)) + IF(MONTH(A367)=12, P367+V367, 0) + H367 - L367, 0)
    ),
  B367&gt;55,
    IF(AB366&gt;=$AH$7,
      MAX(Y366 + IF(MONTH(A367)=12, P367+V367, 0) + H367 - L367 + K367 + Z366, 0),
      MAX(Y366 + IF(MONTH(A367)=12, P367+V367, 0) + H367 - L367, 0)
    )
)</f>
        <v>749962.8039</v>
      </c>
      <c r="Z367" s="65">
        <f>IFS(
  B367&lt;55,
    MIN(
      IF(AA366 &gt;= VLOOKUP(YEAR(A367), Lookup!$Q:$R, 2),
        Z366 + IF(MONTH(A367)=12, Q367+W367, 0) + I367
          + AA366 + IF(MONTH(A367)=12, R367+X367, 0) - VLOOKUP(YEAR(A367), Lookup!$Q:$R, 2) + J367,
        Z366 + IF(MONTH(A367)=12, Q367+W367, 0) + I367
      ),
      VLOOKUP(YEAR(A367), Lookup!$K:$M, 3)
    ),
  B367=55,
    IF(Z366 &gt;= AD367, Z366 - AD367, 0),
  B367&gt;55, 0
)</f>
        <v>0</v>
      </c>
      <c r="AA367" s="65">
        <f>IFS(
  B367&lt;65,
    IF(AA366+J367 &lt; VLOOKUP(YEAR(A367), Lookup!$Q:$R, 2),
      AA366 + IF(MONTH(A367)=12, R366+X366, 0) + J367,
      MIN(
        AA366 + IF(MONTH(A367)=12, R366+X366, 0) + J367 ,
        VLOOKUP(YEAR(A367), Lookup!$Q:$R, 2)
      )
    ),
  B367&gt;=65,
    IF(AA366+J367 &lt; VLOOKUP(questions!$C$5, Lookup!$Q:$R, 2),
      AA366 + IF(MONTH(A367)=12, R366+X366, 0) + J367 ,
      MIN(
        AA366 + IF(MONTH(A367)=12, R366+X366, 0) + J367,
        VLOOKUP(questions!$C$5, Lookup!$Q:$R, 2)
      )
    )
)</f>
        <v>220117.9121</v>
      </c>
      <c r="AB367" s="65">
        <f t="shared" si="13"/>
        <v>659422.9357</v>
      </c>
      <c r="AC367" s="66">
        <f t="array" ref="AC367">IFS(B367&lt;66, XLOOKUP(year(A367),Lookup!$K$13:$K1000,Lookup!$L$13:$L1000,"missing",,1),B367&gt;65,XLOOKUP(questions!$C$5,Lookup!$K$13:$K1000,Lookup!$L$13:$L1000,"missing",,1))</f>
        <v>309425.277</v>
      </c>
      <c r="AD367" s="66">
        <f t="array" ref="AD367">IFS(B367&lt;66, XLOOKUP(year(A367),Lookup!$K$13:$K1000,Lookup!$M$13:$M1000,"missing",,1),B367&gt;65, XLOOKUP(questions!$C$5,Lookup!$K$13:$K1000,Lookup!$M$13:$M1000,"missing",,1))</f>
        <v>618850.554</v>
      </c>
      <c r="AE367" s="66">
        <f t="array" ref="AE367">IFS(B367&lt;66, XLOOKUP(year(A367),Lookup!$K$13:$K1000,Lookup!$N$13:$N1000,"missing",,1),B367&gt;65,XLOOKUP(questions!$C$5,Lookup!$K$13:$K1000,Lookup!$N$13:$N1000,"missing",,1))</f>
        <v>1237701.108</v>
      </c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</row>
    <row r="368">
      <c r="A368" s="55">
        <f t="shared" si="7"/>
        <v>57223</v>
      </c>
      <c r="B368" s="56">
        <f>round(YEARFRAC(EOMONTH(questions!$C$3, 0),A368,1),2)</f>
        <v>57.75</v>
      </c>
      <c r="C368" s="57">
        <f>IF(B368&lt;questions!$C$6,if(MONTH(A368)=1,C367*(1+questions!$C$12),C367),0)</f>
        <v>24272.62471</v>
      </c>
      <c r="D368" s="58">
        <f>IF(MONTH(A368)=12,C368*questions!$C$11,0)</f>
        <v>0</v>
      </c>
      <c r="E368" s="59">
        <f t="shared" si="2"/>
        <v>8000</v>
      </c>
      <c r="F368" s="59">
        <f t="shared" si="3"/>
        <v>0</v>
      </c>
      <c r="G368" s="60">
        <f t="array" ref="G368">if(YEAR(A368)=2025,XLOOKUP(B368,Lookup!$A$3:$A$7,Lookup!$D$3:$D$7,,1)*SUM(E368:F368), XLOOKUP(B368,Lookup!$A$14:$A$18,Lookup!$D$14:$D$18,,1)*SUM(E368:F368))</f>
        <v>2720</v>
      </c>
      <c r="H368" s="60">
        <f t="array" ref="H368">if(YEAR(A368)=2025,XLOOKUP(B368,Lookup!$F$3:$F$10,Lookup!$G$3:$G$10,,1)*G368, XLOOKUP(B368,Lookup!$F$14:$F$21,Lookup!$G$14:$G$21,,1)*G368)</f>
        <v>960.16</v>
      </c>
      <c r="I368" s="61">
        <f t="array" ref="I368">if(B368&lt;55, if(YEAR(A368)=2025,XLOOKUP(B368,Lookup!$F$3:$F$10,Lookup!$H$3:$H$10,,1)*G368, XLOOKUP(B368,Lookup!$F$14:$F$21,Lookup!$H$14:$H$21,,1)*G368),0)</f>
        <v>0</v>
      </c>
      <c r="J368" s="60">
        <f t="array" ref="J368">if(YEAR(A368)=2025,XLOOKUP(B368,Lookup!$F$3:$F$10,Lookup!$I$3:$I$10,,1)*G368, XLOOKUP(B368,Lookup!$F$14:$F$21,Lookup!$I$14:$I$21,,1)*G368)</f>
        <v>839.936</v>
      </c>
      <c r="K368" s="60">
        <f t="array" ref="K368">if(B368&gt;54, if(YEAR(A368)=2025,XLOOKUP(B368,Lookup!$F$3:$F$10,Lookup!$H$3:$H$10,,1)*G368, XLOOKUP(B368,Lookup!$F$14:$F$21,Lookup!$H$14:$H$21,,1)*G368),0)</f>
        <v>919.904</v>
      </c>
      <c r="L368" s="62">
        <f>IF(and(A368&lt;questions!$C$19,questions!$C$18="yes"),questions!$C$20,0)</f>
        <v>0</v>
      </c>
      <c r="M368" s="63">
        <f>(Y367+H368)*Lookup!A$26/12</f>
        <v>1564.422841</v>
      </c>
      <c r="N368" s="63">
        <f>if(B368&lt;55, (Z367+I368)*Lookup!B$26/12, (AB367+K368)*Lookup!B$26/12)</f>
        <v>2201.142799</v>
      </c>
      <c r="O368" s="63">
        <f>(AA367+J368)*Lookup!C$26/12</f>
        <v>736.5261602</v>
      </c>
      <c r="P368" s="63">
        <f t="shared" si="8"/>
        <v>12405.71233</v>
      </c>
      <c r="Q368" s="63">
        <f t="shared" si="4"/>
        <v>17523.28469</v>
      </c>
      <c r="R368" s="63">
        <f t="shared" si="5"/>
        <v>5813.815255</v>
      </c>
      <c r="S368" s="64">
        <f t="shared" si="9"/>
        <v>33.33333333</v>
      </c>
      <c r="T368" s="64">
        <f t="shared" si="10"/>
        <v>41.66666667</v>
      </c>
      <c r="U368" s="64">
        <f t="shared" si="11"/>
        <v>0</v>
      </c>
      <c r="V368" s="64">
        <f t="shared" ref="V368:X368" si="376">IF(year($A368)=year($A367), V367+S368, S368)</f>
        <v>266.6666667</v>
      </c>
      <c r="W368" s="64">
        <f t="shared" si="376"/>
        <v>333.3333333</v>
      </c>
      <c r="X368" s="64">
        <f t="shared" si="376"/>
        <v>0</v>
      </c>
      <c r="Y368" s="65">
        <f>IFS(
  B368&lt;55,
    MAX(
      Y367 + IF(MONTH(A368)=12, P368+V368, 0) + H368 - L368
      + MAX(0,
          IF(AA367 &gt;= VLOOKUP(YEAR(A368), Lookup!$Q:$R, 2),
            Z367 + IF(MONTH(A368)=12, Q368+W368, 0) + I368
              + AA367 + IF(MONTH(A368)=12, R368+X368, 0)
              - VLOOKUP(YEAR(A368), Lookup!$Q:$R, 2) + J368,
            Z367 + IF(MONTH(A368)=12, Q368+W368, 0) + I368
          ) - VLOOKUP(YEAR(A368), Lookup!$K:$M, 3)
        ),
    0),
  B368=55,
    IF(Z367&gt;=AD368,
      MAX(Y367 + IF(MONTH(A368)=12, P368+V368, 0) + H368 - L368, 0),
      MAX(MAX(0, Y367-(AD368-Z367)) + IF(MONTH(A368)=12, P368+V368, 0) + H368 - L368, 0)
    ),
  B368&gt;55,
    IF(AB367&gt;=$AH$7,
      MAX(Y367 + IF(MONTH(A368)=12, P368+V368, 0) + H368 - L368 + K368 + Z367, 0),
      MAX(Y367 + IF(MONTH(A368)=12, P368+V368, 0) + H368 - L368, 0)
    )
)</f>
        <v>751842.8679</v>
      </c>
      <c r="Z368" s="65">
        <f>IFS(
  B368&lt;55,
    MIN(
      IF(AA367 &gt;= VLOOKUP(YEAR(A368), Lookup!$Q:$R, 2),
        Z367 + IF(MONTH(A368)=12, Q368+W368, 0) + I368
          + AA367 + IF(MONTH(A368)=12, R368+X368, 0) - VLOOKUP(YEAR(A368), Lookup!$Q:$R, 2) + J368,
        Z367 + IF(MONTH(A368)=12, Q368+W368, 0) + I368
      ),
      VLOOKUP(YEAR(A368), Lookup!$K:$M, 3)
    ),
  B368=55,
    IF(Z367 &gt;= AD368, Z367 - AD368, 0),
  B368&gt;55, 0
)</f>
        <v>0</v>
      </c>
      <c r="AA368" s="65">
        <f>IFS(
  B368&lt;65,
    IF(AA367+J368 &lt; VLOOKUP(YEAR(A368), Lookup!$Q:$R, 2),
      AA367 + IF(MONTH(A368)=12, R367+X367, 0) + J368,
      MIN(
        AA367 + IF(MONTH(A368)=12, R367+X367, 0) + J368 ,
        VLOOKUP(YEAR(A368), Lookup!$Q:$R, 2)
      )
    ),
  B368&gt;=65,
    IF(AA367+J368 &lt; VLOOKUP(questions!$C$5, Lookup!$Q:$R, 2),
      AA367 + IF(MONTH(A368)=12, R367+X367, 0) + J368 ,
      MIN(
        AA367 + IF(MONTH(A368)=12, R367+X367, 0) + J368,
        VLOOKUP(questions!$C$5, Lookup!$Q:$R, 2)
      )
    )
)</f>
        <v>220957.8481</v>
      </c>
      <c r="AB368" s="65">
        <f t="shared" si="13"/>
        <v>660342.8397</v>
      </c>
      <c r="AC368" s="66">
        <f t="array" ref="AC368">IFS(B368&lt;66, XLOOKUP(year(A368),Lookup!$K$13:$K1000,Lookup!$L$13:$L1000,"missing",,1),B368&gt;65,XLOOKUP(questions!$C$5,Lookup!$K$13:$K1000,Lookup!$L$13:$L1000,"missing",,1))</f>
        <v>309425.277</v>
      </c>
      <c r="AD368" s="66">
        <f t="array" ref="AD368">IFS(B368&lt;66, XLOOKUP(year(A368),Lookup!$K$13:$K1000,Lookup!$M$13:$M1000,"missing",,1),B368&gt;65, XLOOKUP(questions!$C$5,Lookup!$K$13:$K1000,Lookup!$M$13:$M1000,"missing",,1))</f>
        <v>618850.554</v>
      </c>
      <c r="AE368" s="66">
        <f t="array" ref="AE368">IFS(B368&lt;66, XLOOKUP(year(A368),Lookup!$K$13:$K1000,Lookup!$N$13:$N1000,"missing",,1),B368&gt;65,XLOOKUP(questions!$C$5,Lookup!$K$13:$K1000,Lookup!$N$13:$N1000,"missing",,1))</f>
        <v>1237701.108</v>
      </c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</row>
    <row r="369">
      <c r="A369" s="55">
        <f t="shared" si="7"/>
        <v>57253</v>
      </c>
      <c r="B369" s="56">
        <f>round(YEARFRAC(EOMONTH(questions!$C$3, 0),A369,1),2)</f>
        <v>57.83</v>
      </c>
      <c r="C369" s="57">
        <f>IF(B369&lt;questions!$C$6,if(MONTH(A369)=1,C368*(1+questions!$C$12),C368),0)</f>
        <v>24272.62471</v>
      </c>
      <c r="D369" s="58">
        <f>IF(MONTH(A369)=12,C369*questions!$C$11,0)</f>
        <v>0</v>
      </c>
      <c r="E369" s="59">
        <f t="shared" si="2"/>
        <v>8000</v>
      </c>
      <c r="F369" s="59">
        <f t="shared" si="3"/>
        <v>0</v>
      </c>
      <c r="G369" s="60">
        <f t="array" ref="G369">if(YEAR(A369)=2025,XLOOKUP(B369,Lookup!$A$3:$A$7,Lookup!$D$3:$D$7,,1)*SUM(E369:F369), XLOOKUP(B369,Lookup!$A$14:$A$18,Lookup!$D$14:$D$18,,1)*SUM(E369:F369))</f>
        <v>2720</v>
      </c>
      <c r="H369" s="60">
        <f t="array" ref="H369">if(YEAR(A369)=2025,XLOOKUP(B369,Lookup!$F$3:$F$10,Lookup!$G$3:$G$10,,1)*G369, XLOOKUP(B369,Lookup!$F$14:$F$21,Lookup!$G$14:$G$21,,1)*G369)</f>
        <v>960.16</v>
      </c>
      <c r="I369" s="61">
        <f t="array" ref="I369">if(B369&lt;55, if(YEAR(A369)=2025,XLOOKUP(B369,Lookup!$F$3:$F$10,Lookup!$H$3:$H$10,,1)*G369, XLOOKUP(B369,Lookup!$F$14:$F$21,Lookup!$H$14:$H$21,,1)*G369),0)</f>
        <v>0</v>
      </c>
      <c r="J369" s="60">
        <f t="array" ref="J369">if(YEAR(A369)=2025,XLOOKUP(B369,Lookup!$F$3:$F$10,Lookup!$I$3:$I$10,,1)*G369, XLOOKUP(B369,Lookup!$F$14:$F$21,Lookup!$I$14:$I$21,,1)*G369)</f>
        <v>839.936</v>
      </c>
      <c r="K369" s="60">
        <f t="array" ref="K369">if(B369&gt;54, if(YEAR(A369)=2025,XLOOKUP(B369,Lookup!$F$3:$F$10,Lookup!$H$3:$H$10,,1)*G369, XLOOKUP(B369,Lookup!$F$14:$F$21,Lookup!$H$14:$H$21,,1)*G369),0)</f>
        <v>919.904</v>
      </c>
      <c r="L369" s="62">
        <f>IF(and(A369&lt;questions!$C$19,questions!$C$18="yes"),questions!$C$20,0)</f>
        <v>0</v>
      </c>
      <c r="M369" s="63">
        <f>(Y368+H369)*Lookup!A$26/12</f>
        <v>1568.339641</v>
      </c>
      <c r="N369" s="63">
        <f>if(B369&lt;55, (Z368+I369)*Lookup!B$26/12, (AB368+K369)*Lookup!B$26/12)</f>
        <v>2204.209146</v>
      </c>
      <c r="O369" s="63">
        <f>(AA368+J369)*Lookup!C$26/12</f>
        <v>739.3259469</v>
      </c>
      <c r="P369" s="63">
        <f t="shared" si="8"/>
        <v>13974.05197</v>
      </c>
      <c r="Q369" s="63">
        <f t="shared" si="4"/>
        <v>19727.49383</v>
      </c>
      <c r="R369" s="63">
        <f t="shared" si="5"/>
        <v>6553.141202</v>
      </c>
      <c r="S369" s="64">
        <f t="shared" si="9"/>
        <v>33.33333333</v>
      </c>
      <c r="T369" s="64">
        <f t="shared" si="10"/>
        <v>41.66666667</v>
      </c>
      <c r="U369" s="64">
        <f t="shared" si="11"/>
        <v>0</v>
      </c>
      <c r="V369" s="64">
        <f t="shared" ref="V369:X369" si="377">IF(year($A369)=year($A368), V368+S369, S369)</f>
        <v>300</v>
      </c>
      <c r="W369" s="64">
        <f t="shared" si="377"/>
        <v>375</v>
      </c>
      <c r="X369" s="64">
        <f t="shared" si="377"/>
        <v>0</v>
      </c>
      <c r="Y369" s="65">
        <f>IFS(
  B369&lt;55,
    MAX(
      Y368 + IF(MONTH(A369)=12, P369+V369, 0) + H369 - L369
      + MAX(0,
          IF(AA368 &gt;= VLOOKUP(YEAR(A369), Lookup!$Q:$R, 2),
            Z368 + IF(MONTH(A369)=12, Q369+W369, 0) + I369
              + AA368 + IF(MONTH(A369)=12, R369+X369, 0)
              - VLOOKUP(YEAR(A369), Lookup!$Q:$R, 2) + J369,
            Z368 + IF(MONTH(A369)=12, Q369+W369, 0) + I369
          ) - VLOOKUP(YEAR(A369), Lookup!$K:$M, 3)
        ),
    0),
  B369=55,
    IF(Z368&gt;=AD369,
      MAX(Y368 + IF(MONTH(A369)=12, P369+V369, 0) + H369 - L369, 0),
      MAX(MAX(0, Y368-(AD369-Z368)) + IF(MONTH(A369)=12, P369+V369, 0) + H369 - L369, 0)
    ),
  B369&gt;55,
    IF(AB368&gt;=$AH$7,
      MAX(Y368 + IF(MONTH(A369)=12, P369+V369, 0) + H369 - L369 + K369 + Z368, 0),
      MAX(Y368 + IF(MONTH(A369)=12, P369+V369, 0) + H369 - L369, 0)
    )
)</f>
        <v>753722.9319</v>
      </c>
      <c r="Z369" s="65">
        <f>IFS(
  B369&lt;55,
    MIN(
      IF(AA368 &gt;= VLOOKUP(YEAR(A369), Lookup!$Q:$R, 2),
        Z368 + IF(MONTH(A369)=12, Q369+W369, 0) + I369
          + AA368 + IF(MONTH(A369)=12, R369+X369, 0) - VLOOKUP(YEAR(A369), Lookup!$Q:$R, 2) + J369,
        Z368 + IF(MONTH(A369)=12, Q369+W369, 0) + I369
      ),
      VLOOKUP(YEAR(A369), Lookup!$K:$M, 3)
    ),
  B369=55,
    IF(Z368 &gt;= AD369, Z368 - AD369, 0),
  B369&gt;55, 0
)</f>
        <v>0</v>
      </c>
      <c r="AA369" s="65">
        <f>IFS(
  B369&lt;65,
    IF(AA368+J369 &lt; VLOOKUP(YEAR(A369), Lookup!$Q:$R, 2),
      AA368 + IF(MONTH(A369)=12, R368+X368, 0) + J369,
      MIN(
        AA368 + IF(MONTH(A369)=12, R368+X368, 0) + J369 ,
        VLOOKUP(YEAR(A369), Lookup!$Q:$R, 2)
      )
    ),
  B369&gt;=65,
    IF(AA368+J369 &lt; VLOOKUP(questions!$C$5, Lookup!$Q:$R, 2),
      AA368 + IF(MONTH(A369)=12, R368+X368, 0) + J369 ,
      MIN(
        AA368 + IF(MONTH(A369)=12, R368+X368, 0) + J369,
        VLOOKUP(questions!$C$5, Lookup!$Q:$R, 2)
      )
    )
)</f>
        <v>221736.7027</v>
      </c>
      <c r="AB369" s="65">
        <f t="shared" si="13"/>
        <v>661262.7437</v>
      </c>
      <c r="AC369" s="66">
        <f t="array" ref="AC369">IFS(B369&lt;66, XLOOKUP(year(A369),Lookup!$K$13:$K1000,Lookup!$L$13:$L1000,"missing",,1),B369&gt;65,XLOOKUP(questions!$C$5,Lookup!$K$13:$K1000,Lookup!$L$13:$L1000,"missing",,1))</f>
        <v>309425.277</v>
      </c>
      <c r="AD369" s="66">
        <f t="array" ref="AD369">IFS(B369&lt;66, XLOOKUP(year(A369),Lookup!$K$13:$K1000,Lookup!$M$13:$M1000,"missing",,1),B369&gt;65, XLOOKUP(questions!$C$5,Lookup!$K$13:$K1000,Lookup!$M$13:$M1000,"missing",,1))</f>
        <v>618850.554</v>
      </c>
      <c r="AE369" s="66">
        <f t="array" ref="AE369">IFS(B369&lt;66, XLOOKUP(year(A369),Lookup!$K$13:$K1000,Lookup!$N$13:$N1000,"missing",,1),B369&gt;65,XLOOKUP(questions!$C$5,Lookup!$K$13:$K1000,Lookup!$N$13:$N1000,"missing",,1))</f>
        <v>1237701.108</v>
      </c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</row>
    <row r="370">
      <c r="A370" s="55">
        <f t="shared" si="7"/>
        <v>57284</v>
      </c>
      <c r="B370" s="56">
        <f>round(YEARFRAC(EOMONTH(questions!$C$3, 0),A370,1),2)</f>
        <v>57.92</v>
      </c>
      <c r="C370" s="57">
        <f>IF(B370&lt;questions!$C$6,if(MONTH(A370)=1,C369*(1+questions!$C$12),C369),0)</f>
        <v>24272.62471</v>
      </c>
      <c r="D370" s="58">
        <f>IF(MONTH(A370)=12,C370*questions!$C$11,0)</f>
        <v>0</v>
      </c>
      <c r="E370" s="59">
        <f t="shared" si="2"/>
        <v>8000</v>
      </c>
      <c r="F370" s="59">
        <f t="shared" si="3"/>
        <v>0</v>
      </c>
      <c r="G370" s="60">
        <f t="array" ref="G370">if(YEAR(A370)=2025,XLOOKUP(B370,Lookup!$A$3:$A$7,Lookup!$D$3:$D$7,,1)*SUM(E370:F370), XLOOKUP(B370,Lookup!$A$14:$A$18,Lookup!$D$14:$D$18,,1)*SUM(E370:F370))</f>
        <v>2720</v>
      </c>
      <c r="H370" s="60">
        <f t="array" ref="H370">if(YEAR(A370)=2025,XLOOKUP(B370,Lookup!$F$3:$F$10,Lookup!$G$3:$G$10,,1)*G370, XLOOKUP(B370,Lookup!$F$14:$F$21,Lookup!$G$14:$G$21,,1)*G370)</f>
        <v>960.16</v>
      </c>
      <c r="I370" s="61">
        <f t="array" ref="I370">if(B370&lt;55, if(YEAR(A370)=2025,XLOOKUP(B370,Lookup!$F$3:$F$10,Lookup!$H$3:$H$10,,1)*G370, XLOOKUP(B370,Lookup!$F$14:$F$21,Lookup!$H$14:$H$21,,1)*G370),0)</f>
        <v>0</v>
      </c>
      <c r="J370" s="60">
        <f t="array" ref="J370">if(YEAR(A370)=2025,XLOOKUP(B370,Lookup!$F$3:$F$10,Lookup!$I$3:$I$10,,1)*G370, XLOOKUP(B370,Lookup!$F$14:$F$21,Lookup!$I$14:$I$21,,1)*G370)</f>
        <v>839.936</v>
      </c>
      <c r="K370" s="60">
        <f t="array" ref="K370">if(B370&gt;54, if(YEAR(A370)=2025,XLOOKUP(B370,Lookup!$F$3:$F$10,Lookup!$H$3:$H$10,,1)*G370, XLOOKUP(B370,Lookup!$F$14:$F$21,Lookup!$H$14:$H$21,,1)*G370),0)</f>
        <v>919.904</v>
      </c>
      <c r="L370" s="62">
        <f>IF(and(A370&lt;questions!$C$19,questions!$C$18="yes"),questions!$C$20,0)</f>
        <v>0</v>
      </c>
      <c r="M370" s="63">
        <f>(Y369+H370)*Lookup!A$26/12</f>
        <v>1572.256441</v>
      </c>
      <c r="N370" s="63">
        <f>if(B370&lt;55, (Z369+I370)*Lookup!B$26/12, (AB369+K370)*Lookup!B$26/12)</f>
        <v>2207.275492</v>
      </c>
      <c r="O370" s="63">
        <f>(AA369+J370)*Lookup!C$26/12</f>
        <v>741.9221289</v>
      </c>
      <c r="P370" s="63">
        <f t="shared" si="8"/>
        <v>15546.30841</v>
      </c>
      <c r="Q370" s="63">
        <f t="shared" si="4"/>
        <v>21934.76932</v>
      </c>
      <c r="R370" s="63">
        <f t="shared" si="5"/>
        <v>7295.063331</v>
      </c>
      <c r="S370" s="64">
        <f t="shared" si="9"/>
        <v>33.33333333</v>
      </c>
      <c r="T370" s="64">
        <f t="shared" si="10"/>
        <v>41.66666667</v>
      </c>
      <c r="U370" s="64">
        <f t="shared" si="11"/>
        <v>0</v>
      </c>
      <c r="V370" s="64">
        <f t="shared" ref="V370:X370" si="378">IF(year($A370)=year($A369), V369+S370, S370)</f>
        <v>333.3333333</v>
      </c>
      <c r="W370" s="64">
        <f t="shared" si="378"/>
        <v>416.6666667</v>
      </c>
      <c r="X370" s="64">
        <f t="shared" si="378"/>
        <v>0</v>
      </c>
      <c r="Y370" s="65">
        <f>IFS(
  B370&lt;55,
    MAX(
      Y369 + IF(MONTH(A370)=12, P370+V370, 0) + H370 - L370
      + MAX(0,
          IF(AA369 &gt;= VLOOKUP(YEAR(A370), Lookup!$Q:$R, 2),
            Z369 + IF(MONTH(A370)=12, Q370+W370, 0) + I370
              + AA369 + IF(MONTH(A370)=12, R370+X370, 0)
              - VLOOKUP(YEAR(A370), Lookup!$Q:$R, 2) + J370,
            Z369 + IF(MONTH(A370)=12, Q370+W370, 0) + I370
          ) - VLOOKUP(YEAR(A370), Lookup!$K:$M, 3)
        ),
    0),
  B370=55,
    IF(Z369&gt;=AD370,
      MAX(Y369 + IF(MONTH(A370)=12, P370+V370, 0) + H370 - L370, 0),
      MAX(MAX(0, Y369-(AD370-Z369)) + IF(MONTH(A370)=12, P370+V370, 0) + H370 - L370, 0)
    ),
  B370&gt;55,
    IF(AB369&gt;=$AH$7,
      MAX(Y369 + IF(MONTH(A370)=12, P370+V370, 0) + H370 - L370 + K370 + Z369, 0),
      MAX(Y369 + IF(MONTH(A370)=12, P370+V370, 0) + H370 - L370, 0)
    )
)</f>
        <v>755602.9959</v>
      </c>
      <c r="Z370" s="65">
        <f>IFS(
  B370&lt;55,
    MIN(
      IF(AA369 &gt;= VLOOKUP(YEAR(A370), Lookup!$Q:$R, 2),
        Z369 + IF(MONTH(A370)=12, Q370+W370, 0) + I370
          + AA369 + IF(MONTH(A370)=12, R370+X370, 0) - VLOOKUP(YEAR(A370), Lookup!$Q:$R, 2) + J370,
        Z369 + IF(MONTH(A370)=12, Q370+W370, 0) + I370
      ),
      VLOOKUP(YEAR(A370), Lookup!$K:$M, 3)
    ),
  B370=55,
    IF(Z369 &gt;= AD370, Z369 - AD370, 0),
  B370&gt;55, 0
)</f>
        <v>0</v>
      </c>
      <c r="AA370" s="65">
        <f>IFS(
  B370&lt;65,
    IF(AA369+J370 &lt; VLOOKUP(YEAR(A370), Lookup!$Q:$R, 2),
      AA369 + IF(MONTH(A370)=12, R369+X369, 0) + J370,
      MIN(
        AA369 + IF(MONTH(A370)=12, R369+X369, 0) + J370 ,
        VLOOKUP(YEAR(A370), Lookup!$Q:$R, 2)
      )
    ),
  B370&gt;=65,
    IF(AA369+J370 &lt; VLOOKUP(questions!$C$5, Lookup!$Q:$R, 2),
      AA369 + IF(MONTH(A370)=12, R369+X369, 0) + J370 ,
      MIN(
        AA369 + IF(MONTH(A370)=12, R369+X369, 0) + J370,
        VLOOKUP(questions!$C$5, Lookup!$Q:$R, 2)
      )
    )
)</f>
        <v>221736.7027</v>
      </c>
      <c r="AB370" s="65">
        <f t="shared" si="13"/>
        <v>662182.6477</v>
      </c>
      <c r="AC370" s="66">
        <f t="array" ref="AC370">IFS(B370&lt;66, XLOOKUP(year(A370),Lookup!$K$13:$K1000,Lookup!$L$13:$L1000,"missing",,1),B370&gt;65,XLOOKUP(questions!$C$5,Lookup!$K$13:$K1000,Lookup!$L$13:$L1000,"missing",,1))</f>
        <v>309425.277</v>
      </c>
      <c r="AD370" s="66">
        <f t="array" ref="AD370">IFS(B370&lt;66, XLOOKUP(year(A370),Lookup!$K$13:$K1000,Lookup!$M$13:$M1000,"missing",,1),B370&gt;65, XLOOKUP(questions!$C$5,Lookup!$K$13:$K1000,Lookup!$M$13:$M1000,"missing",,1))</f>
        <v>618850.554</v>
      </c>
      <c r="AE370" s="66">
        <f t="array" ref="AE370">IFS(B370&lt;66, XLOOKUP(year(A370),Lookup!$K$13:$K1000,Lookup!$N$13:$N1000,"missing",,1),B370&gt;65,XLOOKUP(questions!$C$5,Lookup!$K$13:$K1000,Lookup!$N$13:$N1000,"missing",,1))</f>
        <v>1237701.108</v>
      </c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</row>
    <row r="371">
      <c r="A371" s="55">
        <f t="shared" si="7"/>
        <v>57314</v>
      </c>
      <c r="B371" s="56">
        <f>round(YEARFRAC(EOMONTH(questions!$C$3, 0),A371,1),2)</f>
        <v>58</v>
      </c>
      <c r="C371" s="57">
        <f>IF(B371&lt;questions!$C$6,if(MONTH(A371)=1,C370*(1+questions!$C$12),C370),0)</f>
        <v>24272.62471</v>
      </c>
      <c r="D371" s="58">
        <f>IF(MONTH(A371)=12,C371*questions!$C$11,0)</f>
        <v>0</v>
      </c>
      <c r="E371" s="59">
        <f t="shared" si="2"/>
        <v>8000</v>
      </c>
      <c r="F371" s="59">
        <f t="shared" si="3"/>
        <v>0</v>
      </c>
      <c r="G371" s="60">
        <f t="array" ref="G371">if(YEAR(A371)=2025,XLOOKUP(B371,Lookup!$A$3:$A$7,Lookup!$D$3:$D$7,,1)*SUM(E371:F371), XLOOKUP(B371,Lookup!$A$14:$A$18,Lookup!$D$14:$D$18,,1)*SUM(E371:F371))</f>
        <v>2720</v>
      </c>
      <c r="H371" s="60">
        <f t="array" ref="H371">if(YEAR(A371)=2025,XLOOKUP(B371,Lookup!$F$3:$F$10,Lookup!$G$3:$G$10,,1)*G371, XLOOKUP(B371,Lookup!$F$14:$F$21,Lookup!$G$14:$G$21,,1)*G371)</f>
        <v>960.16</v>
      </c>
      <c r="I371" s="61">
        <f t="array" ref="I371">if(B371&lt;55, if(YEAR(A371)=2025,XLOOKUP(B371,Lookup!$F$3:$F$10,Lookup!$H$3:$H$10,,1)*G371, XLOOKUP(B371,Lookup!$F$14:$F$21,Lookup!$H$14:$H$21,,1)*G371),0)</f>
        <v>0</v>
      </c>
      <c r="J371" s="60">
        <f t="array" ref="J371">if(YEAR(A371)=2025,XLOOKUP(B371,Lookup!$F$3:$F$10,Lookup!$I$3:$I$10,,1)*G371, XLOOKUP(B371,Lookup!$F$14:$F$21,Lookup!$I$14:$I$21,,1)*G371)</f>
        <v>839.936</v>
      </c>
      <c r="K371" s="60">
        <f t="array" ref="K371">if(B371&gt;54, if(YEAR(A371)=2025,XLOOKUP(B371,Lookup!$F$3:$F$10,Lookup!$H$3:$H$10,,1)*G371, XLOOKUP(B371,Lookup!$F$14:$F$21,Lookup!$H$14:$H$21,,1)*G371),0)</f>
        <v>919.904</v>
      </c>
      <c r="L371" s="62">
        <f>IF(and(A371&lt;questions!$C$19,questions!$C$18="yes"),questions!$C$20,0)</f>
        <v>0</v>
      </c>
      <c r="M371" s="63">
        <f>(Y370+H371)*Lookup!A$26/12</f>
        <v>1576.173241</v>
      </c>
      <c r="N371" s="63">
        <f>if(B371&lt;55, (Z370+I371)*Lookup!B$26/12, (AB370+K371)*Lookup!B$26/12)</f>
        <v>2210.341839</v>
      </c>
      <c r="O371" s="63">
        <f>(AA370+J371)*Lookup!C$26/12</f>
        <v>741.9221289</v>
      </c>
      <c r="P371" s="63">
        <f t="shared" si="8"/>
        <v>17122.48166</v>
      </c>
      <c r="Q371" s="63">
        <f t="shared" si="4"/>
        <v>24145.11116</v>
      </c>
      <c r="R371" s="63">
        <f t="shared" si="5"/>
        <v>8036.98546</v>
      </c>
      <c r="S371" s="64">
        <f t="shared" si="9"/>
        <v>33.33333333</v>
      </c>
      <c r="T371" s="64">
        <f t="shared" si="10"/>
        <v>41.66666667</v>
      </c>
      <c r="U371" s="64">
        <f t="shared" si="11"/>
        <v>0</v>
      </c>
      <c r="V371" s="64">
        <f t="shared" ref="V371:X371" si="379">IF(year($A371)=year($A370), V370+S371, S371)</f>
        <v>366.6666667</v>
      </c>
      <c r="W371" s="64">
        <f t="shared" si="379"/>
        <v>458.3333333</v>
      </c>
      <c r="X371" s="64">
        <f t="shared" si="379"/>
        <v>0</v>
      </c>
      <c r="Y371" s="65">
        <f>IFS(
  B371&lt;55,
    MAX(
      Y370 + IF(MONTH(A371)=12, P371+V371, 0) + H371 - L371
      + MAX(0,
          IF(AA370 &gt;= VLOOKUP(YEAR(A371), Lookup!$Q:$R, 2),
            Z370 + IF(MONTH(A371)=12, Q371+W371, 0) + I371
              + AA370 + IF(MONTH(A371)=12, R371+X371, 0)
              - VLOOKUP(YEAR(A371), Lookup!$Q:$R, 2) + J371,
            Z370 + IF(MONTH(A371)=12, Q371+W371, 0) + I371
          ) - VLOOKUP(YEAR(A371), Lookup!$K:$M, 3)
        ),
    0),
  B371=55,
    IF(Z370&gt;=AD371,
      MAX(Y370 + IF(MONTH(A371)=12, P371+V371, 0) + H371 - L371, 0),
      MAX(MAX(0, Y370-(AD371-Z370)) + IF(MONTH(A371)=12, P371+V371, 0) + H371 - L371, 0)
    ),
  B371&gt;55,
    IF(AB370&gt;=$AH$7,
      MAX(Y370 + IF(MONTH(A371)=12, P371+V371, 0) + H371 - L371 + K371 + Z370, 0),
      MAX(Y370 + IF(MONTH(A371)=12, P371+V371, 0) + H371 - L371, 0)
    )
)</f>
        <v>757483.0599</v>
      </c>
      <c r="Z371" s="65">
        <f>IFS(
  B371&lt;55,
    MIN(
      IF(AA370 &gt;= VLOOKUP(YEAR(A371), Lookup!$Q:$R, 2),
        Z370 + IF(MONTH(A371)=12, Q371+W371, 0) + I371
          + AA370 + IF(MONTH(A371)=12, R371+X371, 0) - VLOOKUP(YEAR(A371), Lookup!$Q:$R, 2) + J371,
        Z370 + IF(MONTH(A371)=12, Q371+W371, 0) + I371
      ),
      VLOOKUP(YEAR(A371), Lookup!$K:$M, 3)
    ),
  B371=55,
    IF(Z370 &gt;= AD371, Z370 - AD371, 0),
  B371&gt;55, 0
)</f>
        <v>0</v>
      </c>
      <c r="AA371" s="65">
        <f>IFS(
  B371&lt;65,
    IF(AA370+J371 &lt; VLOOKUP(YEAR(A371), Lookup!$Q:$R, 2),
      AA370 + IF(MONTH(A371)=12, R370+X370, 0) + J371,
      MIN(
        AA370 + IF(MONTH(A371)=12, R370+X370, 0) + J371 ,
        VLOOKUP(YEAR(A371), Lookup!$Q:$R, 2)
      )
    ),
  B371&gt;=65,
    IF(AA370+J371 &lt; VLOOKUP(questions!$C$5, Lookup!$Q:$R, 2),
      AA370 + IF(MONTH(A371)=12, R370+X370, 0) + J371 ,
      MIN(
        AA370 + IF(MONTH(A371)=12, R370+X370, 0) + J371,
        VLOOKUP(questions!$C$5, Lookup!$Q:$R, 2)
      )
    )
)</f>
        <v>221736.7027</v>
      </c>
      <c r="AB371" s="65">
        <f t="shared" si="13"/>
        <v>663102.5517</v>
      </c>
      <c r="AC371" s="66">
        <f t="array" ref="AC371">IFS(B371&lt;66, XLOOKUP(year(A371),Lookup!$K$13:$K1000,Lookup!$L$13:$L1000,"missing",,1),B371&gt;65,XLOOKUP(questions!$C$5,Lookup!$K$13:$K1000,Lookup!$L$13:$L1000,"missing",,1))</f>
        <v>309425.277</v>
      </c>
      <c r="AD371" s="66">
        <f t="array" ref="AD371">IFS(B371&lt;66, XLOOKUP(year(A371),Lookup!$K$13:$K1000,Lookup!$M$13:$M1000,"missing",,1),B371&gt;65, XLOOKUP(questions!$C$5,Lookup!$K$13:$K1000,Lookup!$M$13:$M1000,"missing",,1))</f>
        <v>618850.554</v>
      </c>
      <c r="AE371" s="66">
        <f t="array" ref="AE371">IFS(B371&lt;66, XLOOKUP(year(A371),Lookup!$K$13:$K1000,Lookup!$N$13:$N1000,"missing",,1),B371&gt;65,XLOOKUP(questions!$C$5,Lookup!$K$13:$K1000,Lookup!$N$13:$N1000,"missing",,1))</f>
        <v>1237701.108</v>
      </c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</row>
    <row r="372">
      <c r="A372" s="55">
        <f t="shared" si="7"/>
        <v>57345</v>
      </c>
      <c r="B372" s="56">
        <f>round(YEARFRAC(EOMONTH(questions!$C$3, 0),A372,1),2)</f>
        <v>58.08</v>
      </c>
      <c r="C372" s="57">
        <f>IF(B372&lt;questions!$C$6,if(MONTH(A372)=1,C371*(1+questions!$C$12),C371),0)</f>
        <v>24272.62471</v>
      </c>
      <c r="D372" s="57">
        <f>IF(MONTH(A372)=12,C372*questions!$C$11,0)</f>
        <v>24272.62471</v>
      </c>
      <c r="E372" s="59">
        <f t="shared" si="2"/>
        <v>8000</v>
      </c>
      <c r="F372" s="59">
        <f t="shared" si="3"/>
        <v>6000</v>
      </c>
      <c r="G372" s="60">
        <f t="array" ref="G372">if(YEAR(A372)=2025,XLOOKUP(B372,Lookup!$A$3:$A$7,Lookup!$D$3:$D$7,,1)*SUM(E372:F372), XLOOKUP(B372,Lookup!$A$14:$A$18,Lookup!$D$14:$D$18,,1)*SUM(E372:F372))</f>
        <v>4760</v>
      </c>
      <c r="H372" s="60">
        <f t="array" ref="H372">if(YEAR(A372)=2025,XLOOKUP(B372,Lookup!$F$3:$F$10,Lookup!$G$3:$G$10,,1)*G372, XLOOKUP(B372,Lookup!$F$14:$F$21,Lookup!$G$14:$G$21,,1)*G372)</f>
        <v>1680.28</v>
      </c>
      <c r="I372" s="61">
        <f t="array" ref="I372">if(B372&lt;55, if(YEAR(A372)=2025,XLOOKUP(B372,Lookup!$F$3:$F$10,Lookup!$H$3:$H$10,,1)*G372, XLOOKUP(B372,Lookup!$F$14:$F$21,Lookup!$H$14:$H$21,,1)*G372),0)</f>
        <v>0</v>
      </c>
      <c r="J372" s="60">
        <f t="array" ref="J372">if(YEAR(A372)=2025,XLOOKUP(B372,Lookup!$F$3:$F$10,Lookup!$I$3:$I$10,,1)*G372, XLOOKUP(B372,Lookup!$F$14:$F$21,Lookup!$I$14:$I$21,,1)*G372)</f>
        <v>1469.888</v>
      </c>
      <c r="K372" s="60">
        <f t="array" ref="K372">if(B372&gt;54, if(YEAR(A372)=2025,XLOOKUP(B372,Lookup!$F$3:$F$10,Lookup!$H$3:$H$10,,1)*G372, XLOOKUP(B372,Lookup!$F$14:$F$21,Lookup!$H$14:$H$21,,1)*G372),0)</f>
        <v>1609.832</v>
      </c>
      <c r="L372" s="62">
        <f>IF(and(A372&lt;questions!$C$19,questions!$C$18="yes"),questions!$C$20,0)</f>
        <v>0</v>
      </c>
      <c r="M372" s="63">
        <f>(Y371+H372)*Lookup!A$26/12</f>
        <v>1581.590291</v>
      </c>
      <c r="N372" s="63">
        <f>if(B372&lt;55, (Z371+I372)*Lookup!B$26/12, (AB371+K372)*Lookup!B$26/12)</f>
        <v>2215.707946</v>
      </c>
      <c r="O372" s="63">
        <f>(AA371+J372)*Lookup!C$26/12</f>
        <v>744.0219689</v>
      </c>
      <c r="P372" s="63">
        <f t="shared" si="8"/>
        <v>18704.07195</v>
      </c>
      <c r="Q372" s="63">
        <f t="shared" si="4"/>
        <v>26360.81911</v>
      </c>
      <c r="R372" s="63">
        <f t="shared" si="5"/>
        <v>8781.007429</v>
      </c>
      <c r="S372" s="64">
        <f t="shared" si="9"/>
        <v>33.33333333</v>
      </c>
      <c r="T372" s="64">
        <f t="shared" si="10"/>
        <v>41.66666667</v>
      </c>
      <c r="U372" s="64">
        <f t="shared" si="11"/>
        <v>0</v>
      </c>
      <c r="V372" s="64">
        <f t="shared" ref="V372:X372" si="380">IF(year($A372)=year($A371), V371+S372, S372)</f>
        <v>400</v>
      </c>
      <c r="W372" s="64">
        <f t="shared" si="380"/>
        <v>500</v>
      </c>
      <c r="X372" s="64">
        <f t="shared" si="380"/>
        <v>0</v>
      </c>
      <c r="Y372" s="65">
        <f>IFS(
  B372&lt;55,
    MAX(
      Y371 + IF(MONTH(A372)=12, P372+V372, 0) + H372 - L372
      + MAX(0,
          IF(AA371 &gt;= VLOOKUP(YEAR(A372), Lookup!$Q:$R, 2),
            Z371 + IF(MONTH(A372)=12, Q372+W372, 0) + I372
              + AA371 + IF(MONTH(A372)=12, R372+X372, 0)
              - VLOOKUP(YEAR(A372), Lookup!$Q:$R, 2) + J372,
            Z371 + IF(MONTH(A372)=12, Q372+W372, 0) + I372
          ) - VLOOKUP(YEAR(A372), Lookup!$K:$M, 3)
        ),
    0),
  B372=55,
    IF(Z371&gt;=AD372,
      MAX(Y371 + IF(MONTH(A372)=12, P372+V372, 0) + H372 - L372, 0),
      MAX(MAX(0, Y371-(AD372-Z371)) + IF(MONTH(A372)=12, P372+V372, 0) + H372 - L372, 0)
    ),
  B372&gt;55,
    IF(AB371&gt;=$AH$7,
      MAX(Y371 + IF(MONTH(A372)=12, P372+V372, 0) + H372 - L372 + K372 + Z371, 0),
      MAX(Y371 + IF(MONTH(A372)=12, P372+V372, 0) + H372 - L372, 0)
    )
)</f>
        <v>779877.2439</v>
      </c>
      <c r="Z372" s="65">
        <f>IFS(
  B372&lt;55,
    MIN(
      IF(AA371 &gt;= VLOOKUP(YEAR(A372), Lookup!$Q:$R, 2),
        Z371 + IF(MONTH(A372)=12, Q372+W372, 0) + I372
          + AA371 + IF(MONTH(A372)=12, R372+X372, 0) - VLOOKUP(YEAR(A372), Lookup!$Q:$R, 2) + J372,
        Z371 + IF(MONTH(A372)=12, Q372+W372, 0) + I372
      ),
      VLOOKUP(YEAR(A372), Lookup!$K:$M, 3)
    ),
  B372=55,
    IF(Z371 &gt;= AD372, Z371 - AD372, 0),
  B372&gt;55, 0
)</f>
        <v>0</v>
      </c>
      <c r="AA372" s="65">
        <f>IFS(
  B372&lt;65,
    IF(AA371+J372 &lt; VLOOKUP(YEAR(A372), Lookup!$Q:$R, 2),
      AA371 + IF(MONTH(A372)=12, R371+X371, 0) + J372,
      MIN(
        AA371 + IF(MONTH(A372)=12, R371+X371, 0) + J372 ,
        VLOOKUP(YEAR(A372), Lookup!$Q:$R, 2)
      )
    ),
  B372&gt;=65,
    IF(AA371+J372 &lt; VLOOKUP(questions!$C$5, Lookup!$Q:$R, 2),
      AA371 + IF(MONTH(A372)=12, R371+X371, 0) + J372 ,
      MIN(
        AA371 + IF(MONTH(A372)=12, R371+X371, 0) + J372,
        VLOOKUP(questions!$C$5, Lookup!$Q:$R, 2)
      )
    )
)</f>
        <v>221736.7027</v>
      </c>
      <c r="AB372" s="65">
        <f t="shared" si="13"/>
        <v>691573.2028</v>
      </c>
      <c r="AC372" s="66">
        <f t="array" ref="AC372">IFS(B372&lt;66, XLOOKUP(year(A372),Lookup!$K$13:$K1000,Lookup!$L$13:$L1000,"missing",,1),B372&gt;65,XLOOKUP(questions!$C$5,Lookup!$K$13:$K1000,Lookup!$L$13:$L1000,"missing",,1))</f>
        <v>309425.277</v>
      </c>
      <c r="AD372" s="66">
        <f t="array" ref="AD372">IFS(B372&lt;66, XLOOKUP(year(A372),Lookup!$K$13:$K1000,Lookup!$M$13:$M1000,"missing",,1),B372&gt;65, XLOOKUP(questions!$C$5,Lookup!$K$13:$K1000,Lookup!$M$13:$M1000,"missing",,1))</f>
        <v>618850.554</v>
      </c>
      <c r="AE372" s="66">
        <f t="array" ref="AE372">IFS(B372&lt;66, XLOOKUP(year(A372),Lookup!$K$13:$K1000,Lookup!$N$13:$N1000,"missing",,1),B372&gt;65,XLOOKUP(questions!$C$5,Lookup!$K$13:$K1000,Lookup!$N$13:$N1000,"missing",,1))</f>
        <v>1237701.108</v>
      </c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</row>
    <row r="373">
      <c r="A373" s="55">
        <f t="shared" si="7"/>
        <v>57376</v>
      </c>
      <c r="B373" s="56">
        <f>round(YEARFRAC(EOMONTH(questions!$C$3, 0),A373,1),2)</f>
        <v>58.17</v>
      </c>
      <c r="C373" s="57">
        <f>IF(B373&lt;questions!$C$6,if(MONTH(A373)=1,C372*(1+questions!$C$12),C372),0)</f>
        <v>25000.80345</v>
      </c>
      <c r="D373" s="58">
        <f>IF(MONTH(A373)=12,C373*questions!$C$11,0)</f>
        <v>0</v>
      </c>
      <c r="E373" s="59">
        <f t="shared" si="2"/>
        <v>8000</v>
      </c>
      <c r="F373" s="59">
        <f t="shared" si="3"/>
        <v>0</v>
      </c>
      <c r="G373" s="60">
        <f t="array" ref="G373">if(YEAR(A373)=2025,XLOOKUP(B373,Lookup!$A$3:$A$7,Lookup!$D$3:$D$7,,1)*SUM(E373:F373), XLOOKUP(B373,Lookup!$A$14:$A$18,Lookup!$D$14:$D$18,,1)*SUM(E373:F373))</f>
        <v>2720</v>
      </c>
      <c r="H373" s="60">
        <f t="array" ref="H373">if(YEAR(A373)=2025,XLOOKUP(B373,Lookup!$F$3:$F$10,Lookup!$G$3:$G$10,,1)*G373, XLOOKUP(B373,Lookup!$F$14:$F$21,Lookup!$G$14:$G$21,,1)*G373)</f>
        <v>960.16</v>
      </c>
      <c r="I373" s="61">
        <f t="array" ref="I373">if(B373&lt;55, if(YEAR(A373)=2025,XLOOKUP(B373,Lookup!$F$3:$F$10,Lookup!$H$3:$H$10,,1)*G373, XLOOKUP(B373,Lookup!$F$14:$F$21,Lookup!$H$14:$H$21,,1)*G373),0)</f>
        <v>0</v>
      </c>
      <c r="J373" s="60">
        <f t="array" ref="J373">if(YEAR(A373)=2025,XLOOKUP(B373,Lookup!$F$3:$F$10,Lookup!$I$3:$I$10,,1)*G373, XLOOKUP(B373,Lookup!$F$14:$F$21,Lookup!$I$14:$I$21,,1)*G373)</f>
        <v>839.936</v>
      </c>
      <c r="K373" s="60">
        <f t="array" ref="K373">if(B373&gt;54, if(YEAR(A373)=2025,XLOOKUP(B373,Lookup!$F$3:$F$10,Lookup!$H$3:$H$10,,1)*G373, XLOOKUP(B373,Lookup!$F$14:$F$21,Lookup!$H$14:$H$21,,1)*G373),0)</f>
        <v>919.904</v>
      </c>
      <c r="L373" s="62">
        <f>IF(and(A373&lt;questions!$C$19,questions!$C$18="yes"),questions!$C$20,0)</f>
        <v>0</v>
      </c>
      <c r="M373" s="63">
        <f>(Y372+H373)*Lookup!A$26/12</f>
        <v>1626.744591</v>
      </c>
      <c r="N373" s="63">
        <f>if(B373&lt;55, (Z372+I373)*Lookup!B$26/12, (AB372+K373)*Lookup!B$26/12)</f>
        <v>2308.310356</v>
      </c>
      <c r="O373" s="63">
        <f>(AA372+J373)*Lookup!C$26/12</f>
        <v>741.9221289</v>
      </c>
      <c r="P373" s="63">
        <f t="shared" si="8"/>
        <v>1626.744591</v>
      </c>
      <c r="Q373" s="63">
        <f t="shared" si="4"/>
        <v>2308.310356</v>
      </c>
      <c r="R373" s="63">
        <f t="shared" si="5"/>
        <v>741.9221289</v>
      </c>
      <c r="S373" s="64">
        <f t="shared" si="9"/>
        <v>33.33333333</v>
      </c>
      <c r="T373" s="64">
        <f t="shared" si="10"/>
        <v>41.66666667</v>
      </c>
      <c r="U373" s="64">
        <f t="shared" si="11"/>
        <v>0</v>
      </c>
      <c r="V373" s="64">
        <f t="shared" ref="V373:X373" si="381">IF(year($A373)=year($A372), V372+S373, S373)</f>
        <v>33.33333333</v>
      </c>
      <c r="W373" s="64">
        <f t="shared" si="381"/>
        <v>41.66666667</v>
      </c>
      <c r="X373" s="64">
        <f t="shared" si="381"/>
        <v>0</v>
      </c>
      <c r="Y373" s="65">
        <f>IFS(
  B373&lt;55,
    MAX(
      Y372 + IF(MONTH(A373)=12, P373+V373, 0) + H373 - L373
      + MAX(0,
          IF(AA372 &gt;= VLOOKUP(YEAR(A373), Lookup!$Q:$R, 2),
            Z372 + IF(MONTH(A373)=12, Q373+W373, 0) + I373
              + AA372 + IF(MONTH(A373)=12, R373+X373, 0)
              - VLOOKUP(YEAR(A373), Lookup!$Q:$R, 2) + J373,
            Z372 + IF(MONTH(A373)=12, Q373+W373, 0) + I373
          ) - VLOOKUP(YEAR(A373), Lookup!$K:$M, 3)
        ),
    0),
  B373=55,
    IF(Z372&gt;=AD373,
      MAX(Y372 + IF(MONTH(A373)=12, P373+V373, 0) + H373 - L373, 0),
      MAX(MAX(0, Y372-(AD373-Z372)) + IF(MONTH(A373)=12, P373+V373, 0) + H373 - L373, 0)
    ),
  B373&gt;55,
    IF(AB372&gt;=$AH$7,
      MAX(Y372 + IF(MONTH(A373)=12, P373+V373, 0) + H373 - L373 + K373 + Z372, 0),
      MAX(Y372 + IF(MONTH(A373)=12, P373+V373, 0) + H373 - L373, 0)
    )
)</f>
        <v>781757.3079</v>
      </c>
      <c r="Z373" s="65">
        <f>IFS(
  B373&lt;55,
    MIN(
      IF(AA372 &gt;= VLOOKUP(YEAR(A373), Lookup!$Q:$R, 2),
        Z372 + IF(MONTH(A373)=12, Q373+W373, 0) + I373
          + AA372 + IF(MONTH(A373)=12, R373+X373, 0) - VLOOKUP(YEAR(A373), Lookup!$Q:$R, 2) + J373,
        Z372 + IF(MONTH(A373)=12, Q373+W373, 0) + I373
      ),
      VLOOKUP(YEAR(A373), Lookup!$K:$M, 3)
    ),
  B373=55,
    IF(Z372 &gt;= AD373, Z372 - AD373, 0),
  B373&gt;55, 0
)</f>
        <v>0</v>
      </c>
      <c r="AA373" s="65">
        <f>IFS(
  B373&lt;65,
    IF(AA372+J373 &lt; VLOOKUP(YEAR(A373), Lookup!$Q:$R, 2),
      AA372 + IF(MONTH(A373)=12, R372+X372, 0) + J373,
      MIN(
        AA372 + IF(MONTH(A373)=12, R372+X372, 0) + J373 ,
        VLOOKUP(YEAR(A373), Lookup!$Q:$R, 2)
      )
    ),
  B373&gt;=65,
    IF(AA372+J373 &lt; VLOOKUP(questions!$C$5, Lookup!$Q:$R, 2),
      AA372 + IF(MONTH(A373)=12, R372+X372, 0) + J373 ,
      MIN(
        AA372 + IF(MONTH(A373)=12, R372+X372, 0) + J373,
        VLOOKUP(questions!$C$5, Lookup!$Q:$R, 2)
      )
    )
)</f>
        <v>222576.6387</v>
      </c>
      <c r="AB373" s="65">
        <f t="shared" si="13"/>
        <v>692493.1068</v>
      </c>
      <c r="AC373" s="66">
        <f t="array" ref="AC373">IFS(B373&lt;66, XLOOKUP(year(A373),Lookup!$K$13:$K1000,Lookup!$L$13:$L1000,"missing",,1),B373&gt;65,XLOOKUP(questions!$C$5,Lookup!$K$13:$K1000,Lookup!$L$13:$L1000,"missing",,1))</f>
        <v>320255.1617</v>
      </c>
      <c r="AD373" s="66">
        <f t="array" ref="AD373">IFS(B373&lt;66, XLOOKUP(year(A373),Lookup!$K$13:$K1000,Lookup!$M$13:$M1000,"missing",,1),B373&gt;65, XLOOKUP(questions!$C$5,Lookup!$K$13:$K1000,Lookup!$M$13:$M1000,"missing",,1))</f>
        <v>640510.3234</v>
      </c>
      <c r="AE373" s="66">
        <f t="array" ref="AE373">IFS(B373&lt;66, XLOOKUP(year(A373),Lookup!$K$13:$K1000,Lookup!$N$13:$N1000,"missing",,1),B373&gt;65,XLOOKUP(questions!$C$5,Lookup!$K$13:$K1000,Lookup!$N$13:$N1000,"missing",,1))</f>
        <v>1281020.647</v>
      </c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  <c r="AQ373" s="37"/>
    </row>
    <row r="374">
      <c r="A374" s="55">
        <f t="shared" si="7"/>
        <v>57404</v>
      </c>
      <c r="B374" s="56">
        <f>round(YEARFRAC(EOMONTH(questions!$C$3, 0),A374,1),2)</f>
        <v>58.25</v>
      </c>
      <c r="C374" s="57">
        <f>IF(B374&lt;questions!$C$6,if(MONTH(A374)=1,C373*(1+questions!$C$12),C373),0)</f>
        <v>25000.80345</v>
      </c>
      <c r="D374" s="58">
        <f>IF(MONTH(A374)=12,C374*questions!$C$11,0)</f>
        <v>0</v>
      </c>
      <c r="E374" s="59">
        <f t="shared" si="2"/>
        <v>8000</v>
      </c>
      <c r="F374" s="59">
        <f t="shared" si="3"/>
        <v>0</v>
      </c>
      <c r="G374" s="60">
        <f t="array" ref="G374">if(YEAR(A374)=2025,XLOOKUP(B374,Lookup!$A$3:$A$7,Lookup!$D$3:$D$7,,1)*SUM(E374:F374), XLOOKUP(B374,Lookup!$A$14:$A$18,Lookup!$D$14:$D$18,,1)*SUM(E374:F374))</f>
        <v>2720</v>
      </c>
      <c r="H374" s="60">
        <f t="array" ref="H374">if(YEAR(A374)=2025,XLOOKUP(B374,Lookup!$F$3:$F$10,Lookup!$G$3:$G$10,,1)*G374, XLOOKUP(B374,Lookup!$F$14:$F$21,Lookup!$G$14:$G$21,,1)*G374)</f>
        <v>960.16</v>
      </c>
      <c r="I374" s="61">
        <f t="array" ref="I374">if(B374&lt;55, if(YEAR(A374)=2025,XLOOKUP(B374,Lookup!$F$3:$F$10,Lookup!$H$3:$H$10,,1)*G374, XLOOKUP(B374,Lookup!$F$14:$F$21,Lookup!$H$14:$H$21,,1)*G374),0)</f>
        <v>0</v>
      </c>
      <c r="J374" s="60">
        <f t="array" ref="J374">if(YEAR(A374)=2025,XLOOKUP(B374,Lookup!$F$3:$F$10,Lookup!$I$3:$I$10,,1)*G374, XLOOKUP(B374,Lookup!$F$14:$F$21,Lookup!$I$14:$I$21,,1)*G374)</f>
        <v>839.936</v>
      </c>
      <c r="K374" s="60">
        <f t="array" ref="K374">if(B374&gt;54, if(YEAR(A374)=2025,XLOOKUP(B374,Lookup!$F$3:$F$10,Lookup!$H$3:$H$10,,1)*G374, XLOOKUP(B374,Lookup!$F$14:$F$21,Lookup!$H$14:$H$21,,1)*G374),0)</f>
        <v>919.904</v>
      </c>
      <c r="L374" s="62">
        <f>IF(and(A374&lt;questions!$C$19,questions!$C$18="yes"),questions!$C$20,0)</f>
        <v>0</v>
      </c>
      <c r="M374" s="63">
        <f>(Y373+H374)*Lookup!A$26/12</f>
        <v>1630.661391</v>
      </c>
      <c r="N374" s="63">
        <f>if(B374&lt;55, (Z373+I374)*Lookup!B$26/12, (AB373+K374)*Lookup!B$26/12)</f>
        <v>2311.376703</v>
      </c>
      <c r="O374" s="63">
        <f>(AA373+J374)*Lookup!C$26/12</f>
        <v>744.7219156</v>
      </c>
      <c r="P374" s="63">
        <f t="shared" si="8"/>
        <v>3257.405983</v>
      </c>
      <c r="Q374" s="63">
        <f t="shared" si="4"/>
        <v>4619.687059</v>
      </c>
      <c r="R374" s="63">
        <f t="shared" si="5"/>
        <v>1486.644044</v>
      </c>
      <c r="S374" s="64">
        <f t="shared" si="9"/>
        <v>33.33333333</v>
      </c>
      <c r="T374" s="64">
        <f t="shared" si="10"/>
        <v>41.66666667</v>
      </c>
      <c r="U374" s="64">
        <f t="shared" si="11"/>
        <v>0</v>
      </c>
      <c r="V374" s="64">
        <f t="shared" ref="V374:X374" si="382">IF(year($A374)=year($A373), V373+S374, S374)</f>
        <v>66.66666667</v>
      </c>
      <c r="W374" s="64">
        <f t="shared" si="382"/>
        <v>83.33333333</v>
      </c>
      <c r="X374" s="64">
        <f t="shared" si="382"/>
        <v>0</v>
      </c>
      <c r="Y374" s="65">
        <f>IFS(
  B374&lt;55,
    MAX(
      Y373 + IF(MONTH(A374)=12, P374+V374, 0) + H374 - L374
      + MAX(0,
          IF(AA373 &gt;= VLOOKUP(YEAR(A374), Lookup!$Q:$R, 2),
            Z373 + IF(MONTH(A374)=12, Q374+W374, 0) + I374
              + AA373 + IF(MONTH(A374)=12, R374+X374, 0)
              - VLOOKUP(YEAR(A374), Lookup!$Q:$R, 2) + J374,
            Z373 + IF(MONTH(A374)=12, Q374+W374, 0) + I374
          ) - VLOOKUP(YEAR(A374), Lookup!$K:$M, 3)
        ),
    0),
  B374=55,
    IF(Z373&gt;=AD374,
      MAX(Y373 + IF(MONTH(A374)=12, P374+V374, 0) + H374 - L374, 0),
      MAX(MAX(0, Y373-(AD374-Z373)) + IF(MONTH(A374)=12, P374+V374, 0) + H374 - L374, 0)
    ),
  B374&gt;55,
    IF(AB373&gt;=$AH$7,
      MAX(Y373 + IF(MONTH(A374)=12, P374+V374, 0) + H374 - L374 + K374 + Z373, 0),
      MAX(Y373 + IF(MONTH(A374)=12, P374+V374, 0) + H374 - L374, 0)
    )
)</f>
        <v>783637.3719</v>
      </c>
      <c r="Z374" s="65">
        <f>IFS(
  B374&lt;55,
    MIN(
      IF(AA373 &gt;= VLOOKUP(YEAR(A374), Lookup!$Q:$R, 2),
        Z373 + IF(MONTH(A374)=12, Q374+W374, 0) + I374
          + AA373 + IF(MONTH(A374)=12, R374+X374, 0) - VLOOKUP(YEAR(A374), Lookup!$Q:$R, 2) + J374,
        Z373 + IF(MONTH(A374)=12, Q374+W374, 0) + I374
      ),
      VLOOKUP(YEAR(A374), Lookup!$K:$M, 3)
    ),
  B374=55,
    IF(Z373 &gt;= AD374, Z373 - AD374, 0),
  B374&gt;55, 0
)</f>
        <v>0</v>
      </c>
      <c r="AA374" s="65">
        <f>IFS(
  B374&lt;65,
    IF(AA373+J374 &lt; VLOOKUP(YEAR(A374), Lookup!$Q:$R, 2),
      AA373 + IF(MONTH(A374)=12, R373+X373, 0) + J374,
      MIN(
        AA373 + IF(MONTH(A374)=12, R373+X373, 0) + J374 ,
        VLOOKUP(YEAR(A374), Lookup!$Q:$R, 2)
      )
    ),
  B374&gt;=65,
    IF(AA373+J374 &lt; VLOOKUP(questions!$C$5, Lookup!$Q:$R, 2),
      AA373 + IF(MONTH(A374)=12, R373+X373, 0) + J374 ,
      MIN(
        AA373 + IF(MONTH(A374)=12, R373+X373, 0) + J374,
        VLOOKUP(questions!$C$5, Lookup!$Q:$R, 2)
      )
    )
)</f>
        <v>223416.5747</v>
      </c>
      <c r="AB374" s="65">
        <f t="shared" si="13"/>
        <v>693413.0108</v>
      </c>
      <c r="AC374" s="66">
        <f t="array" ref="AC374">IFS(B374&lt;66, XLOOKUP(year(A374),Lookup!$K$13:$K1000,Lookup!$L$13:$L1000,"missing",,1),B374&gt;65,XLOOKUP(questions!$C$5,Lookup!$K$13:$K1000,Lookup!$L$13:$L1000,"missing",,1))</f>
        <v>320255.1617</v>
      </c>
      <c r="AD374" s="66">
        <f t="array" ref="AD374">IFS(B374&lt;66, XLOOKUP(year(A374),Lookup!$K$13:$K1000,Lookup!$M$13:$M1000,"missing",,1),B374&gt;65, XLOOKUP(questions!$C$5,Lookup!$K$13:$K1000,Lookup!$M$13:$M1000,"missing",,1))</f>
        <v>640510.3234</v>
      </c>
      <c r="AE374" s="66">
        <f t="array" ref="AE374">IFS(B374&lt;66, XLOOKUP(year(A374),Lookup!$K$13:$K1000,Lookup!$N$13:$N1000,"missing",,1),B374&gt;65,XLOOKUP(questions!$C$5,Lookup!$K$13:$K1000,Lookup!$N$13:$N1000,"missing",,1))</f>
        <v>1281020.647</v>
      </c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</row>
    <row r="375">
      <c r="A375" s="55">
        <f t="shared" si="7"/>
        <v>57435</v>
      </c>
      <c r="B375" s="56">
        <f>round(YEARFRAC(EOMONTH(questions!$C$3, 0),A375,1),2)</f>
        <v>58.33</v>
      </c>
      <c r="C375" s="57">
        <f>IF(B375&lt;questions!$C$6,if(MONTH(A375)=1,C374*(1+questions!$C$12),C374),0)</f>
        <v>25000.80345</v>
      </c>
      <c r="D375" s="58">
        <f>IF(MONTH(A375)=12,C375*questions!$C$11,0)</f>
        <v>0</v>
      </c>
      <c r="E375" s="59">
        <f t="shared" si="2"/>
        <v>8000</v>
      </c>
      <c r="F375" s="59">
        <f t="shared" si="3"/>
        <v>0</v>
      </c>
      <c r="G375" s="60">
        <f t="array" ref="G375">if(YEAR(A375)=2025,XLOOKUP(B375,Lookup!$A$3:$A$7,Lookup!$D$3:$D$7,,1)*SUM(E375:F375), XLOOKUP(B375,Lookup!$A$14:$A$18,Lookup!$D$14:$D$18,,1)*SUM(E375:F375))</f>
        <v>2720</v>
      </c>
      <c r="H375" s="60">
        <f t="array" ref="H375">if(YEAR(A375)=2025,XLOOKUP(B375,Lookup!$F$3:$F$10,Lookup!$G$3:$G$10,,1)*G375, XLOOKUP(B375,Lookup!$F$14:$F$21,Lookup!$G$14:$G$21,,1)*G375)</f>
        <v>960.16</v>
      </c>
      <c r="I375" s="61">
        <f t="array" ref="I375">if(B375&lt;55, if(YEAR(A375)=2025,XLOOKUP(B375,Lookup!$F$3:$F$10,Lookup!$H$3:$H$10,,1)*G375, XLOOKUP(B375,Lookup!$F$14:$F$21,Lookup!$H$14:$H$21,,1)*G375),0)</f>
        <v>0</v>
      </c>
      <c r="J375" s="60">
        <f t="array" ref="J375">if(YEAR(A375)=2025,XLOOKUP(B375,Lookup!$F$3:$F$10,Lookup!$I$3:$I$10,,1)*G375, XLOOKUP(B375,Lookup!$F$14:$F$21,Lookup!$I$14:$I$21,,1)*G375)</f>
        <v>839.936</v>
      </c>
      <c r="K375" s="60">
        <f t="array" ref="K375">if(B375&gt;54, if(YEAR(A375)=2025,XLOOKUP(B375,Lookup!$F$3:$F$10,Lookup!$H$3:$H$10,,1)*G375, XLOOKUP(B375,Lookup!$F$14:$F$21,Lookup!$H$14:$H$21,,1)*G375),0)</f>
        <v>919.904</v>
      </c>
      <c r="L375" s="62">
        <f>IF(and(A375&lt;questions!$C$19,questions!$C$18="yes"),questions!$C$20,0)</f>
        <v>0</v>
      </c>
      <c r="M375" s="63">
        <f>(Y374+H375)*Lookup!A$26/12</f>
        <v>1634.578191</v>
      </c>
      <c r="N375" s="63">
        <f>if(B375&lt;55, (Z374+I375)*Lookup!B$26/12, (AB374+K375)*Lookup!B$26/12)</f>
        <v>2314.443049</v>
      </c>
      <c r="O375" s="63">
        <f>(AA374+J375)*Lookup!C$26/12</f>
        <v>747.5217022</v>
      </c>
      <c r="P375" s="63">
        <f t="shared" si="8"/>
        <v>4891.984174</v>
      </c>
      <c r="Q375" s="63">
        <f t="shared" si="4"/>
        <v>6934.130108</v>
      </c>
      <c r="R375" s="63">
        <f t="shared" si="5"/>
        <v>2234.165747</v>
      </c>
      <c r="S375" s="64">
        <f t="shared" si="9"/>
        <v>33.33333333</v>
      </c>
      <c r="T375" s="64">
        <f t="shared" si="10"/>
        <v>41.66666667</v>
      </c>
      <c r="U375" s="64">
        <f t="shared" si="11"/>
        <v>0</v>
      </c>
      <c r="V375" s="64">
        <f t="shared" ref="V375:X375" si="383">IF(year($A375)=year($A374), V374+S375, S375)</f>
        <v>100</v>
      </c>
      <c r="W375" s="64">
        <f t="shared" si="383"/>
        <v>125</v>
      </c>
      <c r="X375" s="64">
        <f t="shared" si="383"/>
        <v>0</v>
      </c>
      <c r="Y375" s="65">
        <f>IFS(
  B375&lt;55,
    MAX(
      Y374 + IF(MONTH(A375)=12, P375+V375, 0) + H375 - L375
      + MAX(0,
          IF(AA374 &gt;= VLOOKUP(YEAR(A375), Lookup!$Q:$R, 2),
            Z374 + IF(MONTH(A375)=12, Q375+W375, 0) + I375
              + AA374 + IF(MONTH(A375)=12, R375+X375, 0)
              - VLOOKUP(YEAR(A375), Lookup!$Q:$R, 2) + J375,
            Z374 + IF(MONTH(A375)=12, Q375+W375, 0) + I375
          ) - VLOOKUP(YEAR(A375), Lookup!$K:$M, 3)
        ),
    0),
  B375=55,
    IF(Z374&gt;=AD375,
      MAX(Y374 + IF(MONTH(A375)=12, P375+V375, 0) + H375 - L375, 0),
      MAX(MAX(0, Y374-(AD375-Z374)) + IF(MONTH(A375)=12, P375+V375, 0) + H375 - L375, 0)
    ),
  B375&gt;55,
    IF(AB374&gt;=$AH$7,
      MAX(Y374 + IF(MONTH(A375)=12, P375+V375, 0) + H375 - L375 + K375 + Z374, 0),
      MAX(Y374 + IF(MONTH(A375)=12, P375+V375, 0) + H375 - L375, 0)
    )
)</f>
        <v>785517.4359</v>
      </c>
      <c r="Z375" s="65">
        <f>IFS(
  B375&lt;55,
    MIN(
      IF(AA374 &gt;= VLOOKUP(YEAR(A375), Lookup!$Q:$R, 2),
        Z374 + IF(MONTH(A375)=12, Q375+W375, 0) + I375
          + AA374 + IF(MONTH(A375)=12, R375+X375, 0) - VLOOKUP(YEAR(A375), Lookup!$Q:$R, 2) + J375,
        Z374 + IF(MONTH(A375)=12, Q375+W375, 0) + I375
      ),
      VLOOKUP(YEAR(A375), Lookup!$K:$M, 3)
    ),
  B375=55,
    IF(Z374 &gt;= AD375, Z374 - AD375, 0),
  B375&gt;55, 0
)</f>
        <v>0</v>
      </c>
      <c r="AA375" s="65">
        <f>IFS(
  B375&lt;65,
    IF(AA374+J375 &lt; VLOOKUP(YEAR(A375), Lookup!$Q:$R, 2),
      AA374 + IF(MONTH(A375)=12, R374+X374, 0) + J375,
      MIN(
        AA374 + IF(MONTH(A375)=12, R374+X374, 0) + J375 ,
        VLOOKUP(YEAR(A375), Lookup!$Q:$R, 2)
      )
    ),
  B375&gt;=65,
    IF(AA374+J375 &lt; VLOOKUP(questions!$C$5, Lookup!$Q:$R, 2),
      AA374 + IF(MONTH(A375)=12, R374+X374, 0) + J375 ,
      MIN(
        AA374 + IF(MONTH(A375)=12, R374+X374, 0) + J375,
        VLOOKUP(questions!$C$5, Lookup!$Q:$R, 2)
      )
    )
)</f>
        <v>224256.5107</v>
      </c>
      <c r="AB375" s="65">
        <f t="shared" si="13"/>
        <v>694332.9148</v>
      </c>
      <c r="AC375" s="66">
        <f t="array" ref="AC375">IFS(B375&lt;66, XLOOKUP(year(A375),Lookup!$K$13:$K1000,Lookup!$L$13:$L1000,"missing",,1),B375&gt;65,XLOOKUP(questions!$C$5,Lookup!$K$13:$K1000,Lookup!$L$13:$L1000,"missing",,1))</f>
        <v>320255.1617</v>
      </c>
      <c r="AD375" s="66">
        <f t="array" ref="AD375">IFS(B375&lt;66, XLOOKUP(year(A375),Lookup!$K$13:$K1000,Lookup!$M$13:$M1000,"missing",,1),B375&gt;65, XLOOKUP(questions!$C$5,Lookup!$K$13:$K1000,Lookup!$M$13:$M1000,"missing",,1))</f>
        <v>640510.3234</v>
      </c>
      <c r="AE375" s="66">
        <f t="array" ref="AE375">IFS(B375&lt;66, XLOOKUP(year(A375),Lookup!$K$13:$K1000,Lookup!$N$13:$N1000,"missing",,1),B375&gt;65,XLOOKUP(questions!$C$5,Lookup!$K$13:$K1000,Lookup!$N$13:$N1000,"missing",,1))</f>
        <v>1281020.647</v>
      </c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  <c r="AQ375" s="37"/>
    </row>
    <row r="376">
      <c r="A376" s="55">
        <f t="shared" si="7"/>
        <v>57465</v>
      </c>
      <c r="B376" s="56">
        <f>round(YEARFRAC(EOMONTH(questions!$C$3, 0),A376,1),2)</f>
        <v>58.41</v>
      </c>
      <c r="C376" s="57">
        <f>IF(B376&lt;questions!$C$6,if(MONTH(A376)=1,C375*(1+questions!$C$12),C375),0)</f>
        <v>25000.80345</v>
      </c>
      <c r="D376" s="58">
        <f>IF(MONTH(A376)=12,C376*questions!$C$11,0)</f>
        <v>0</v>
      </c>
      <c r="E376" s="59">
        <f t="shared" si="2"/>
        <v>8000</v>
      </c>
      <c r="F376" s="59">
        <f t="shared" si="3"/>
        <v>0</v>
      </c>
      <c r="G376" s="60">
        <f t="array" ref="G376">if(YEAR(A376)=2025,XLOOKUP(B376,Lookup!$A$3:$A$7,Lookup!$D$3:$D$7,,1)*SUM(E376:F376), XLOOKUP(B376,Lookup!$A$14:$A$18,Lookup!$D$14:$D$18,,1)*SUM(E376:F376))</f>
        <v>2720</v>
      </c>
      <c r="H376" s="60">
        <f t="array" ref="H376">if(YEAR(A376)=2025,XLOOKUP(B376,Lookup!$F$3:$F$10,Lookup!$G$3:$G$10,,1)*G376, XLOOKUP(B376,Lookup!$F$14:$F$21,Lookup!$G$14:$G$21,,1)*G376)</f>
        <v>960.16</v>
      </c>
      <c r="I376" s="61">
        <f t="array" ref="I376">if(B376&lt;55, if(YEAR(A376)=2025,XLOOKUP(B376,Lookup!$F$3:$F$10,Lookup!$H$3:$H$10,,1)*G376, XLOOKUP(B376,Lookup!$F$14:$F$21,Lookup!$H$14:$H$21,,1)*G376),0)</f>
        <v>0</v>
      </c>
      <c r="J376" s="60">
        <f t="array" ref="J376">if(YEAR(A376)=2025,XLOOKUP(B376,Lookup!$F$3:$F$10,Lookup!$I$3:$I$10,,1)*G376, XLOOKUP(B376,Lookup!$F$14:$F$21,Lookup!$I$14:$I$21,,1)*G376)</f>
        <v>839.936</v>
      </c>
      <c r="K376" s="60">
        <f t="array" ref="K376">if(B376&gt;54, if(YEAR(A376)=2025,XLOOKUP(B376,Lookup!$F$3:$F$10,Lookup!$H$3:$H$10,,1)*G376, XLOOKUP(B376,Lookup!$F$14:$F$21,Lookup!$H$14:$H$21,,1)*G376),0)</f>
        <v>919.904</v>
      </c>
      <c r="L376" s="62">
        <f>IF(and(A376&lt;questions!$C$19,questions!$C$18="yes"),questions!$C$20,0)</f>
        <v>0</v>
      </c>
      <c r="M376" s="63">
        <f>(Y375+H376)*Lookup!A$26/12</f>
        <v>1638.494991</v>
      </c>
      <c r="N376" s="63">
        <f>if(B376&lt;55, (Z375+I376)*Lookup!B$26/12, (AB375+K376)*Lookup!B$26/12)</f>
        <v>2317.509396</v>
      </c>
      <c r="O376" s="63">
        <f>(AA375+J376)*Lookup!C$26/12</f>
        <v>750.3214889</v>
      </c>
      <c r="P376" s="63">
        <f t="shared" si="8"/>
        <v>6530.479165</v>
      </c>
      <c r="Q376" s="63">
        <f t="shared" si="4"/>
        <v>9251.639504</v>
      </c>
      <c r="R376" s="63">
        <f t="shared" si="5"/>
        <v>2984.487236</v>
      </c>
      <c r="S376" s="64">
        <f t="shared" si="9"/>
        <v>33.33333333</v>
      </c>
      <c r="T376" s="64">
        <f t="shared" si="10"/>
        <v>41.66666667</v>
      </c>
      <c r="U376" s="64">
        <f t="shared" si="11"/>
        <v>0</v>
      </c>
      <c r="V376" s="64">
        <f t="shared" ref="V376:X376" si="384">IF(year($A376)=year($A375), V375+S376, S376)</f>
        <v>133.3333333</v>
      </c>
      <c r="W376" s="64">
        <f t="shared" si="384"/>
        <v>166.6666667</v>
      </c>
      <c r="X376" s="64">
        <f t="shared" si="384"/>
        <v>0</v>
      </c>
      <c r="Y376" s="65">
        <f>IFS(
  B376&lt;55,
    MAX(
      Y375 + IF(MONTH(A376)=12, P376+V376, 0) + H376 - L376
      + MAX(0,
          IF(AA375 &gt;= VLOOKUP(YEAR(A376), Lookup!$Q:$R, 2),
            Z375 + IF(MONTH(A376)=12, Q376+W376, 0) + I376
              + AA375 + IF(MONTH(A376)=12, R376+X376, 0)
              - VLOOKUP(YEAR(A376), Lookup!$Q:$R, 2) + J376,
            Z375 + IF(MONTH(A376)=12, Q376+W376, 0) + I376
          ) - VLOOKUP(YEAR(A376), Lookup!$K:$M, 3)
        ),
    0),
  B376=55,
    IF(Z375&gt;=AD376,
      MAX(Y375 + IF(MONTH(A376)=12, P376+V376, 0) + H376 - L376, 0),
      MAX(MAX(0, Y375-(AD376-Z375)) + IF(MONTH(A376)=12, P376+V376, 0) + H376 - L376, 0)
    ),
  B376&gt;55,
    IF(AB375&gt;=$AH$7,
      MAX(Y375 + IF(MONTH(A376)=12, P376+V376, 0) + H376 - L376 + K376 + Z375, 0),
      MAX(Y375 + IF(MONTH(A376)=12, P376+V376, 0) + H376 - L376, 0)
    )
)</f>
        <v>787397.4999</v>
      </c>
      <c r="Z376" s="65">
        <f>IFS(
  B376&lt;55,
    MIN(
      IF(AA375 &gt;= VLOOKUP(YEAR(A376), Lookup!$Q:$R, 2),
        Z375 + IF(MONTH(A376)=12, Q376+W376, 0) + I376
          + AA375 + IF(MONTH(A376)=12, R376+X376, 0) - VLOOKUP(YEAR(A376), Lookup!$Q:$R, 2) + J376,
        Z375 + IF(MONTH(A376)=12, Q376+W376, 0) + I376
      ),
      VLOOKUP(YEAR(A376), Lookup!$K:$M, 3)
    ),
  B376=55,
    IF(Z375 &gt;= AD376, Z375 - AD376, 0),
  B376&gt;55, 0
)</f>
        <v>0</v>
      </c>
      <c r="AA376" s="65">
        <f>IFS(
  B376&lt;65,
    IF(AA375+J376 &lt; VLOOKUP(YEAR(A376), Lookup!$Q:$R, 2),
      AA375 + IF(MONTH(A376)=12, R375+X375, 0) + J376,
      MIN(
        AA375 + IF(MONTH(A376)=12, R375+X375, 0) + J376 ,
        VLOOKUP(YEAR(A376), Lookup!$Q:$R, 2)
      )
    ),
  B376&gt;=65,
    IF(AA375+J376 &lt; VLOOKUP(questions!$C$5, Lookup!$Q:$R, 2),
      AA375 + IF(MONTH(A376)=12, R375+X375, 0) + J376 ,
      MIN(
        AA375 + IF(MONTH(A376)=12, R375+X375, 0) + J376,
        VLOOKUP(questions!$C$5, Lookup!$Q:$R, 2)
      )
    )
)</f>
        <v>225096.4467</v>
      </c>
      <c r="AB376" s="65">
        <f t="shared" si="13"/>
        <v>695252.8188</v>
      </c>
      <c r="AC376" s="66">
        <f t="array" ref="AC376">IFS(B376&lt;66, XLOOKUP(year(A376),Lookup!$K$13:$K1000,Lookup!$L$13:$L1000,"missing",,1),B376&gt;65,XLOOKUP(questions!$C$5,Lookup!$K$13:$K1000,Lookup!$L$13:$L1000,"missing",,1))</f>
        <v>320255.1617</v>
      </c>
      <c r="AD376" s="66">
        <f t="array" ref="AD376">IFS(B376&lt;66, XLOOKUP(year(A376),Lookup!$K$13:$K1000,Lookup!$M$13:$M1000,"missing",,1),B376&gt;65, XLOOKUP(questions!$C$5,Lookup!$K$13:$K1000,Lookup!$M$13:$M1000,"missing",,1))</f>
        <v>640510.3234</v>
      </c>
      <c r="AE376" s="66">
        <f t="array" ref="AE376">IFS(B376&lt;66, XLOOKUP(year(A376),Lookup!$K$13:$K1000,Lookup!$N$13:$N1000,"missing",,1),B376&gt;65,XLOOKUP(questions!$C$5,Lookup!$K$13:$K1000,Lookup!$N$13:$N1000,"missing",,1))</f>
        <v>1281020.647</v>
      </c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</row>
    <row r="377">
      <c r="A377" s="55">
        <f t="shared" si="7"/>
        <v>57496</v>
      </c>
      <c r="B377" s="56">
        <f>round(YEARFRAC(EOMONTH(questions!$C$3, 0),A377,1),2)</f>
        <v>58.5</v>
      </c>
      <c r="C377" s="57">
        <f>IF(B377&lt;questions!$C$6,if(MONTH(A377)=1,C376*(1+questions!$C$12),C376),0)</f>
        <v>25000.80345</v>
      </c>
      <c r="D377" s="58">
        <f>IF(MONTH(A377)=12,C377*questions!$C$11,0)</f>
        <v>0</v>
      </c>
      <c r="E377" s="59">
        <f t="shared" si="2"/>
        <v>8000</v>
      </c>
      <c r="F377" s="59">
        <f t="shared" si="3"/>
        <v>0</v>
      </c>
      <c r="G377" s="60">
        <f t="array" ref="G377">if(YEAR(A377)=2025,XLOOKUP(B377,Lookup!$A$3:$A$7,Lookup!$D$3:$D$7,,1)*SUM(E377:F377), XLOOKUP(B377,Lookup!$A$14:$A$18,Lookup!$D$14:$D$18,,1)*SUM(E377:F377))</f>
        <v>2720</v>
      </c>
      <c r="H377" s="60">
        <f t="array" ref="H377">if(YEAR(A377)=2025,XLOOKUP(B377,Lookup!$F$3:$F$10,Lookup!$G$3:$G$10,,1)*G377, XLOOKUP(B377,Lookup!$F$14:$F$21,Lookup!$G$14:$G$21,,1)*G377)</f>
        <v>960.16</v>
      </c>
      <c r="I377" s="61">
        <f t="array" ref="I377">if(B377&lt;55, if(YEAR(A377)=2025,XLOOKUP(B377,Lookup!$F$3:$F$10,Lookup!$H$3:$H$10,,1)*G377, XLOOKUP(B377,Lookup!$F$14:$F$21,Lookup!$H$14:$H$21,,1)*G377),0)</f>
        <v>0</v>
      </c>
      <c r="J377" s="60">
        <f t="array" ref="J377">if(YEAR(A377)=2025,XLOOKUP(B377,Lookup!$F$3:$F$10,Lookup!$I$3:$I$10,,1)*G377, XLOOKUP(B377,Lookup!$F$14:$F$21,Lookup!$I$14:$I$21,,1)*G377)</f>
        <v>839.936</v>
      </c>
      <c r="K377" s="60">
        <f t="array" ref="K377">if(B377&gt;54, if(YEAR(A377)=2025,XLOOKUP(B377,Lookup!$F$3:$F$10,Lookup!$H$3:$H$10,,1)*G377, XLOOKUP(B377,Lookup!$F$14:$F$21,Lookup!$H$14:$H$21,,1)*G377),0)</f>
        <v>919.904</v>
      </c>
      <c r="L377" s="62">
        <f>IF(and(A377&lt;questions!$C$19,questions!$C$18="yes"),questions!$C$20,0)</f>
        <v>0</v>
      </c>
      <c r="M377" s="63">
        <f>(Y376+H377)*Lookup!A$26/12</f>
        <v>1642.411791</v>
      </c>
      <c r="N377" s="63">
        <f>if(B377&lt;55, (Z376+I377)*Lookup!B$26/12, (AB376+K377)*Lookup!B$26/12)</f>
        <v>2320.575743</v>
      </c>
      <c r="O377" s="63">
        <f>(AA376+J377)*Lookup!C$26/12</f>
        <v>753.1212756</v>
      </c>
      <c r="P377" s="63">
        <f t="shared" si="8"/>
        <v>8172.890957</v>
      </c>
      <c r="Q377" s="63">
        <f t="shared" si="4"/>
        <v>11572.21525</v>
      </c>
      <c r="R377" s="63">
        <f t="shared" si="5"/>
        <v>3737.608511</v>
      </c>
      <c r="S377" s="64">
        <f t="shared" si="9"/>
        <v>33.33333333</v>
      </c>
      <c r="T377" s="64">
        <f t="shared" si="10"/>
        <v>41.66666667</v>
      </c>
      <c r="U377" s="64">
        <f t="shared" si="11"/>
        <v>0</v>
      </c>
      <c r="V377" s="64">
        <f t="shared" ref="V377:X377" si="385">IF(year($A377)=year($A376), V376+S377, S377)</f>
        <v>166.6666667</v>
      </c>
      <c r="W377" s="64">
        <f t="shared" si="385"/>
        <v>208.3333333</v>
      </c>
      <c r="X377" s="64">
        <f t="shared" si="385"/>
        <v>0</v>
      </c>
      <c r="Y377" s="65">
        <f>IFS(
  B377&lt;55,
    MAX(
      Y376 + IF(MONTH(A377)=12, P377+V377, 0) + H377 - L377
      + MAX(0,
          IF(AA376 &gt;= VLOOKUP(YEAR(A377), Lookup!$Q:$R, 2),
            Z376 + IF(MONTH(A377)=12, Q377+W377, 0) + I377
              + AA376 + IF(MONTH(A377)=12, R377+X377, 0)
              - VLOOKUP(YEAR(A377), Lookup!$Q:$R, 2) + J377,
            Z376 + IF(MONTH(A377)=12, Q377+W377, 0) + I377
          ) - VLOOKUP(YEAR(A377), Lookup!$K:$M, 3)
        ),
    0),
  B377=55,
    IF(Z376&gt;=AD377,
      MAX(Y376 + IF(MONTH(A377)=12, P377+V377, 0) + H377 - L377, 0),
      MAX(MAX(0, Y376-(AD377-Z376)) + IF(MONTH(A377)=12, P377+V377, 0) + H377 - L377, 0)
    ),
  B377&gt;55,
    IF(AB376&gt;=$AH$7,
      MAX(Y376 + IF(MONTH(A377)=12, P377+V377, 0) + H377 - L377 + K377 + Z376, 0),
      MAX(Y376 + IF(MONTH(A377)=12, P377+V377, 0) + H377 - L377, 0)
    )
)</f>
        <v>789277.5639</v>
      </c>
      <c r="Z377" s="65">
        <f>IFS(
  B377&lt;55,
    MIN(
      IF(AA376 &gt;= VLOOKUP(YEAR(A377), Lookup!$Q:$R, 2),
        Z376 + IF(MONTH(A377)=12, Q377+W377, 0) + I377
          + AA376 + IF(MONTH(A377)=12, R377+X377, 0) - VLOOKUP(YEAR(A377), Lookup!$Q:$R, 2) + J377,
        Z376 + IF(MONTH(A377)=12, Q377+W377, 0) + I377
      ),
      VLOOKUP(YEAR(A377), Lookup!$K:$M, 3)
    ),
  B377=55,
    IF(Z376 &gt;= AD377, Z376 - AD377, 0),
  B377&gt;55, 0
)</f>
        <v>0</v>
      </c>
      <c r="AA377" s="65">
        <f>IFS(
  B377&lt;65,
    IF(AA376+J377 &lt; VLOOKUP(YEAR(A377), Lookup!$Q:$R, 2),
      AA376 + IF(MONTH(A377)=12, R376+X376, 0) + J377,
      MIN(
        AA376 + IF(MONTH(A377)=12, R376+X376, 0) + J377 ,
        VLOOKUP(YEAR(A377), Lookup!$Q:$R, 2)
      )
    ),
  B377&gt;=65,
    IF(AA376+J377 &lt; VLOOKUP(questions!$C$5, Lookup!$Q:$R, 2),
      AA376 + IF(MONTH(A377)=12, R376+X376, 0) + J377 ,
      MIN(
        AA376 + IF(MONTH(A377)=12, R376+X376, 0) + J377,
        VLOOKUP(questions!$C$5, Lookup!$Q:$R, 2)
      )
    )
)</f>
        <v>225936.3827</v>
      </c>
      <c r="AB377" s="65">
        <f t="shared" si="13"/>
        <v>696172.7228</v>
      </c>
      <c r="AC377" s="66">
        <f t="array" ref="AC377">IFS(B377&lt;66, XLOOKUP(year(A377),Lookup!$K$13:$K1000,Lookup!$L$13:$L1000,"missing",,1),B377&gt;65,XLOOKUP(questions!$C$5,Lookup!$K$13:$K1000,Lookup!$L$13:$L1000,"missing",,1))</f>
        <v>320255.1617</v>
      </c>
      <c r="AD377" s="66">
        <f t="array" ref="AD377">IFS(B377&lt;66, XLOOKUP(year(A377),Lookup!$K$13:$K1000,Lookup!$M$13:$M1000,"missing",,1),B377&gt;65, XLOOKUP(questions!$C$5,Lookup!$K$13:$K1000,Lookup!$M$13:$M1000,"missing",,1))</f>
        <v>640510.3234</v>
      </c>
      <c r="AE377" s="66">
        <f t="array" ref="AE377">IFS(B377&lt;66, XLOOKUP(year(A377),Lookup!$K$13:$K1000,Lookup!$N$13:$N1000,"missing",,1),B377&gt;65,XLOOKUP(questions!$C$5,Lookup!$K$13:$K1000,Lookup!$N$13:$N1000,"missing",,1))</f>
        <v>1281020.647</v>
      </c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</row>
    <row r="378">
      <c r="A378" s="55">
        <f t="shared" si="7"/>
        <v>57526</v>
      </c>
      <c r="B378" s="56">
        <f>round(YEARFRAC(EOMONTH(questions!$C$3, 0),A378,1),2)</f>
        <v>58.58</v>
      </c>
      <c r="C378" s="57">
        <f>IF(B378&lt;questions!$C$6,if(MONTH(A378)=1,C377*(1+questions!$C$12),C377),0)</f>
        <v>25000.80345</v>
      </c>
      <c r="D378" s="58">
        <f>IF(MONTH(A378)=12,C378*questions!$C$11,0)</f>
        <v>0</v>
      </c>
      <c r="E378" s="59">
        <f t="shared" si="2"/>
        <v>8000</v>
      </c>
      <c r="F378" s="59">
        <f t="shared" si="3"/>
        <v>0</v>
      </c>
      <c r="G378" s="60">
        <f t="array" ref="G378">if(YEAR(A378)=2025,XLOOKUP(B378,Lookup!$A$3:$A$7,Lookup!$D$3:$D$7,,1)*SUM(E378:F378), XLOOKUP(B378,Lookup!$A$14:$A$18,Lookup!$D$14:$D$18,,1)*SUM(E378:F378))</f>
        <v>2720</v>
      </c>
      <c r="H378" s="60">
        <f t="array" ref="H378">if(YEAR(A378)=2025,XLOOKUP(B378,Lookup!$F$3:$F$10,Lookup!$G$3:$G$10,,1)*G378, XLOOKUP(B378,Lookup!$F$14:$F$21,Lookup!$G$14:$G$21,,1)*G378)</f>
        <v>960.16</v>
      </c>
      <c r="I378" s="61">
        <f t="array" ref="I378">if(B378&lt;55, if(YEAR(A378)=2025,XLOOKUP(B378,Lookup!$F$3:$F$10,Lookup!$H$3:$H$10,,1)*G378, XLOOKUP(B378,Lookup!$F$14:$F$21,Lookup!$H$14:$H$21,,1)*G378),0)</f>
        <v>0</v>
      </c>
      <c r="J378" s="60">
        <f t="array" ref="J378">if(YEAR(A378)=2025,XLOOKUP(B378,Lookup!$F$3:$F$10,Lookup!$I$3:$I$10,,1)*G378, XLOOKUP(B378,Lookup!$F$14:$F$21,Lookup!$I$14:$I$21,,1)*G378)</f>
        <v>839.936</v>
      </c>
      <c r="K378" s="60">
        <f t="array" ref="K378">if(B378&gt;54, if(YEAR(A378)=2025,XLOOKUP(B378,Lookup!$F$3:$F$10,Lookup!$H$3:$H$10,,1)*G378, XLOOKUP(B378,Lookup!$F$14:$F$21,Lookup!$H$14:$H$21,,1)*G378),0)</f>
        <v>919.904</v>
      </c>
      <c r="L378" s="62">
        <f>IF(and(A378&lt;questions!$C$19,questions!$C$18="yes"),questions!$C$20,0)</f>
        <v>0</v>
      </c>
      <c r="M378" s="63">
        <f>(Y377+H378)*Lookup!A$26/12</f>
        <v>1646.328591</v>
      </c>
      <c r="N378" s="63">
        <f>if(B378&lt;55, (Z377+I378)*Lookup!B$26/12, (AB377+K378)*Lookup!B$26/12)</f>
        <v>2323.642089</v>
      </c>
      <c r="O378" s="63">
        <f>(AA377+J378)*Lookup!C$26/12</f>
        <v>755.9210622</v>
      </c>
      <c r="P378" s="63">
        <f t="shared" si="8"/>
        <v>9819.219548</v>
      </c>
      <c r="Q378" s="63">
        <f t="shared" si="4"/>
        <v>13895.85734</v>
      </c>
      <c r="R378" s="63">
        <f t="shared" si="5"/>
        <v>4493.529573</v>
      </c>
      <c r="S378" s="64">
        <f t="shared" si="9"/>
        <v>33.33333333</v>
      </c>
      <c r="T378" s="64">
        <f t="shared" si="10"/>
        <v>41.66666667</v>
      </c>
      <c r="U378" s="64">
        <f t="shared" si="11"/>
        <v>0</v>
      </c>
      <c r="V378" s="64">
        <f t="shared" ref="V378:X378" si="386">IF(year($A378)=year($A377), V377+S378, S378)</f>
        <v>200</v>
      </c>
      <c r="W378" s="64">
        <f t="shared" si="386"/>
        <v>250</v>
      </c>
      <c r="X378" s="64">
        <f t="shared" si="386"/>
        <v>0</v>
      </c>
      <c r="Y378" s="65">
        <f>IFS(
  B378&lt;55,
    MAX(
      Y377 + IF(MONTH(A378)=12, P378+V378, 0) + H378 - L378
      + MAX(0,
          IF(AA377 &gt;= VLOOKUP(YEAR(A378), Lookup!$Q:$R, 2),
            Z377 + IF(MONTH(A378)=12, Q378+W378, 0) + I378
              + AA377 + IF(MONTH(A378)=12, R378+X378, 0)
              - VLOOKUP(YEAR(A378), Lookup!$Q:$R, 2) + J378,
            Z377 + IF(MONTH(A378)=12, Q378+W378, 0) + I378
          ) - VLOOKUP(YEAR(A378), Lookup!$K:$M, 3)
        ),
    0),
  B378=55,
    IF(Z377&gt;=AD378,
      MAX(Y377 + IF(MONTH(A378)=12, P378+V378, 0) + H378 - L378, 0),
      MAX(MAX(0, Y377-(AD378-Z377)) + IF(MONTH(A378)=12, P378+V378, 0) + H378 - L378, 0)
    ),
  B378&gt;55,
    IF(AB377&gt;=$AH$7,
      MAX(Y377 + IF(MONTH(A378)=12, P378+V378, 0) + H378 - L378 + K378 + Z377, 0),
      MAX(Y377 + IF(MONTH(A378)=12, P378+V378, 0) + H378 - L378, 0)
    )
)</f>
        <v>791157.6279</v>
      </c>
      <c r="Z378" s="65">
        <f>IFS(
  B378&lt;55,
    MIN(
      IF(AA377 &gt;= VLOOKUP(YEAR(A378), Lookup!$Q:$R, 2),
        Z377 + IF(MONTH(A378)=12, Q378+W378, 0) + I378
          + AA377 + IF(MONTH(A378)=12, R378+X378, 0) - VLOOKUP(YEAR(A378), Lookup!$Q:$R, 2) + J378,
        Z377 + IF(MONTH(A378)=12, Q378+W378, 0) + I378
      ),
      VLOOKUP(YEAR(A378), Lookup!$K:$M, 3)
    ),
  B378=55,
    IF(Z377 &gt;= AD378, Z377 - AD378, 0),
  B378&gt;55, 0
)</f>
        <v>0</v>
      </c>
      <c r="AA378" s="65">
        <f>IFS(
  B378&lt;65,
    IF(AA377+J378 &lt; VLOOKUP(YEAR(A378), Lookup!$Q:$R, 2),
      AA377 + IF(MONTH(A378)=12, R377+X377, 0) + J378,
      MIN(
        AA377 + IF(MONTH(A378)=12, R377+X377, 0) + J378 ,
        VLOOKUP(YEAR(A378), Lookup!$Q:$R, 2)
      )
    ),
  B378&gt;=65,
    IF(AA377+J378 &lt; VLOOKUP(questions!$C$5, Lookup!$Q:$R, 2),
      AA377 + IF(MONTH(A378)=12, R377+X377, 0) + J378 ,
      MIN(
        AA377 + IF(MONTH(A378)=12, R377+X377, 0) + J378,
        VLOOKUP(questions!$C$5, Lookup!$Q:$R, 2)
      )
    )
)</f>
        <v>226776.3187</v>
      </c>
      <c r="AB378" s="65">
        <f t="shared" si="13"/>
        <v>697092.6268</v>
      </c>
      <c r="AC378" s="66">
        <f t="array" ref="AC378">IFS(B378&lt;66, XLOOKUP(year(A378),Lookup!$K$13:$K1000,Lookup!$L$13:$L1000,"missing",,1),B378&gt;65,XLOOKUP(questions!$C$5,Lookup!$K$13:$K1000,Lookup!$L$13:$L1000,"missing",,1))</f>
        <v>320255.1617</v>
      </c>
      <c r="AD378" s="66">
        <f t="array" ref="AD378">IFS(B378&lt;66, XLOOKUP(year(A378),Lookup!$K$13:$K1000,Lookup!$M$13:$M1000,"missing",,1),B378&gt;65, XLOOKUP(questions!$C$5,Lookup!$K$13:$K1000,Lookup!$M$13:$M1000,"missing",,1))</f>
        <v>640510.3234</v>
      </c>
      <c r="AE378" s="66">
        <f t="array" ref="AE378">IFS(B378&lt;66, XLOOKUP(year(A378),Lookup!$K$13:$K1000,Lookup!$N$13:$N1000,"missing",,1),B378&gt;65,XLOOKUP(questions!$C$5,Lookup!$K$13:$K1000,Lookup!$N$13:$N1000,"missing",,1))</f>
        <v>1281020.647</v>
      </c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</row>
    <row r="379">
      <c r="A379" s="55">
        <f t="shared" si="7"/>
        <v>57557</v>
      </c>
      <c r="B379" s="56">
        <f>round(YEARFRAC(EOMONTH(questions!$C$3, 0),A379,1),2)</f>
        <v>58.67</v>
      </c>
      <c r="C379" s="57">
        <f>IF(B379&lt;questions!$C$6,if(MONTH(A379)=1,C378*(1+questions!$C$12),C378),0)</f>
        <v>25000.80345</v>
      </c>
      <c r="D379" s="58">
        <f>IF(MONTH(A379)=12,C379*questions!$C$11,0)</f>
        <v>0</v>
      </c>
      <c r="E379" s="59">
        <f t="shared" si="2"/>
        <v>8000</v>
      </c>
      <c r="F379" s="59">
        <f t="shared" si="3"/>
        <v>0</v>
      </c>
      <c r="G379" s="60">
        <f t="array" ref="G379">if(YEAR(A379)=2025,XLOOKUP(B379,Lookup!$A$3:$A$7,Lookup!$D$3:$D$7,,1)*SUM(E379:F379), XLOOKUP(B379,Lookup!$A$14:$A$18,Lookup!$D$14:$D$18,,1)*SUM(E379:F379))</f>
        <v>2720</v>
      </c>
      <c r="H379" s="60">
        <f t="array" ref="H379">if(YEAR(A379)=2025,XLOOKUP(B379,Lookup!$F$3:$F$10,Lookup!$G$3:$G$10,,1)*G379, XLOOKUP(B379,Lookup!$F$14:$F$21,Lookup!$G$14:$G$21,,1)*G379)</f>
        <v>960.16</v>
      </c>
      <c r="I379" s="61">
        <f t="array" ref="I379">if(B379&lt;55, if(YEAR(A379)=2025,XLOOKUP(B379,Lookup!$F$3:$F$10,Lookup!$H$3:$H$10,,1)*G379, XLOOKUP(B379,Lookup!$F$14:$F$21,Lookup!$H$14:$H$21,,1)*G379),0)</f>
        <v>0</v>
      </c>
      <c r="J379" s="60">
        <f t="array" ref="J379">if(YEAR(A379)=2025,XLOOKUP(B379,Lookup!$F$3:$F$10,Lookup!$I$3:$I$10,,1)*G379, XLOOKUP(B379,Lookup!$F$14:$F$21,Lookup!$I$14:$I$21,,1)*G379)</f>
        <v>839.936</v>
      </c>
      <c r="K379" s="60">
        <f t="array" ref="K379">if(B379&gt;54, if(YEAR(A379)=2025,XLOOKUP(B379,Lookup!$F$3:$F$10,Lookup!$H$3:$H$10,,1)*G379, XLOOKUP(B379,Lookup!$F$14:$F$21,Lookup!$H$14:$H$21,,1)*G379),0)</f>
        <v>919.904</v>
      </c>
      <c r="L379" s="62">
        <f>IF(and(A379&lt;questions!$C$19,questions!$C$18="yes"),questions!$C$20,0)</f>
        <v>0</v>
      </c>
      <c r="M379" s="63">
        <f>(Y378+H379)*Lookup!A$26/12</f>
        <v>1650.245391</v>
      </c>
      <c r="N379" s="63">
        <f>if(B379&lt;55, (Z378+I379)*Lookup!B$26/12, (AB378+K379)*Lookup!B$26/12)</f>
        <v>2326.708436</v>
      </c>
      <c r="O379" s="63">
        <f>(AA378+J379)*Lookup!C$26/12</f>
        <v>758.7208489</v>
      </c>
      <c r="P379" s="63">
        <f t="shared" si="8"/>
        <v>11469.46494</v>
      </c>
      <c r="Q379" s="63">
        <f t="shared" si="4"/>
        <v>16222.56577</v>
      </c>
      <c r="R379" s="63">
        <f t="shared" si="5"/>
        <v>5252.250422</v>
      </c>
      <c r="S379" s="64">
        <f t="shared" si="9"/>
        <v>33.33333333</v>
      </c>
      <c r="T379" s="64">
        <f t="shared" si="10"/>
        <v>41.66666667</v>
      </c>
      <c r="U379" s="64">
        <f t="shared" si="11"/>
        <v>0</v>
      </c>
      <c r="V379" s="64">
        <f t="shared" ref="V379:X379" si="387">IF(year($A379)=year($A378), V378+S379, S379)</f>
        <v>233.3333333</v>
      </c>
      <c r="W379" s="64">
        <f t="shared" si="387"/>
        <v>291.6666667</v>
      </c>
      <c r="X379" s="64">
        <f t="shared" si="387"/>
        <v>0</v>
      </c>
      <c r="Y379" s="65">
        <f>IFS(
  B379&lt;55,
    MAX(
      Y378 + IF(MONTH(A379)=12, P379+V379, 0) + H379 - L379
      + MAX(0,
          IF(AA378 &gt;= VLOOKUP(YEAR(A379), Lookup!$Q:$R, 2),
            Z378 + IF(MONTH(A379)=12, Q379+W379, 0) + I379
              + AA378 + IF(MONTH(A379)=12, R379+X379, 0)
              - VLOOKUP(YEAR(A379), Lookup!$Q:$R, 2) + J379,
            Z378 + IF(MONTH(A379)=12, Q379+W379, 0) + I379
          ) - VLOOKUP(YEAR(A379), Lookup!$K:$M, 3)
        ),
    0),
  B379=55,
    IF(Z378&gt;=AD379,
      MAX(Y378 + IF(MONTH(A379)=12, P379+V379, 0) + H379 - L379, 0),
      MAX(MAX(0, Y378-(AD379-Z378)) + IF(MONTH(A379)=12, P379+V379, 0) + H379 - L379, 0)
    ),
  B379&gt;55,
    IF(AB378&gt;=$AH$7,
      MAX(Y378 + IF(MONTH(A379)=12, P379+V379, 0) + H379 - L379 + K379 + Z378, 0),
      MAX(Y378 + IF(MONTH(A379)=12, P379+V379, 0) + H379 - L379, 0)
    )
)</f>
        <v>793037.6919</v>
      </c>
      <c r="Z379" s="65">
        <f>IFS(
  B379&lt;55,
    MIN(
      IF(AA378 &gt;= VLOOKUP(YEAR(A379), Lookup!$Q:$R, 2),
        Z378 + IF(MONTH(A379)=12, Q379+W379, 0) + I379
          + AA378 + IF(MONTH(A379)=12, R379+X379, 0) - VLOOKUP(YEAR(A379), Lookup!$Q:$R, 2) + J379,
        Z378 + IF(MONTH(A379)=12, Q379+W379, 0) + I379
      ),
      VLOOKUP(YEAR(A379), Lookup!$K:$M, 3)
    ),
  B379=55,
    IF(Z378 &gt;= AD379, Z378 - AD379, 0),
  B379&gt;55, 0
)</f>
        <v>0</v>
      </c>
      <c r="AA379" s="65">
        <f>IFS(
  B379&lt;65,
    IF(AA378+J379 &lt; VLOOKUP(YEAR(A379), Lookup!$Q:$R, 2),
      AA378 + IF(MONTH(A379)=12, R378+X378, 0) + J379,
      MIN(
        AA378 + IF(MONTH(A379)=12, R378+X378, 0) + J379 ,
        VLOOKUP(YEAR(A379), Lookup!$Q:$R, 2)
      )
    ),
  B379&gt;=65,
    IF(AA378+J379 &lt; VLOOKUP(questions!$C$5, Lookup!$Q:$R, 2),
      AA378 + IF(MONTH(A379)=12, R378+X378, 0) + J379 ,
      MIN(
        AA378 + IF(MONTH(A379)=12, R378+X378, 0) + J379,
        VLOOKUP(questions!$C$5, Lookup!$Q:$R, 2)
      )
    )
)</f>
        <v>227616.2547</v>
      </c>
      <c r="AB379" s="65">
        <f t="shared" si="13"/>
        <v>698012.5308</v>
      </c>
      <c r="AC379" s="66">
        <f t="array" ref="AC379">IFS(B379&lt;66, XLOOKUP(year(A379),Lookup!$K$13:$K1000,Lookup!$L$13:$L1000,"missing",,1),B379&gt;65,XLOOKUP(questions!$C$5,Lookup!$K$13:$K1000,Lookup!$L$13:$L1000,"missing",,1))</f>
        <v>320255.1617</v>
      </c>
      <c r="AD379" s="66">
        <f t="array" ref="AD379">IFS(B379&lt;66, XLOOKUP(year(A379),Lookup!$K$13:$K1000,Lookup!$M$13:$M1000,"missing",,1),B379&gt;65, XLOOKUP(questions!$C$5,Lookup!$K$13:$K1000,Lookup!$M$13:$M1000,"missing",,1))</f>
        <v>640510.3234</v>
      </c>
      <c r="AE379" s="66">
        <f t="array" ref="AE379">IFS(B379&lt;66, XLOOKUP(year(A379),Lookup!$K$13:$K1000,Lookup!$N$13:$N1000,"missing",,1),B379&gt;65,XLOOKUP(questions!$C$5,Lookup!$K$13:$K1000,Lookup!$N$13:$N1000,"missing",,1))</f>
        <v>1281020.647</v>
      </c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</row>
    <row r="380">
      <c r="A380" s="55">
        <f t="shared" si="7"/>
        <v>57588</v>
      </c>
      <c r="B380" s="56">
        <f>round(YEARFRAC(EOMONTH(questions!$C$3, 0),A380,1),2)</f>
        <v>58.75</v>
      </c>
      <c r="C380" s="57">
        <f>IF(B380&lt;questions!$C$6,if(MONTH(A380)=1,C379*(1+questions!$C$12),C379),0)</f>
        <v>25000.80345</v>
      </c>
      <c r="D380" s="58">
        <f>IF(MONTH(A380)=12,C380*questions!$C$11,0)</f>
        <v>0</v>
      </c>
      <c r="E380" s="59">
        <f t="shared" si="2"/>
        <v>8000</v>
      </c>
      <c r="F380" s="59">
        <f t="shared" si="3"/>
        <v>0</v>
      </c>
      <c r="G380" s="60">
        <f t="array" ref="G380">if(YEAR(A380)=2025,XLOOKUP(B380,Lookup!$A$3:$A$7,Lookup!$D$3:$D$7,,1)*SUM(E380:F380), XLOOKUP(B380,Lookup!$A$14:$A$18,Lookup!$D$14:$D$18,,1)*SUM(E380:F380))</f>
        <v>2720</v>
      </c>
      <c r="H380" s="60">
        <f t="array" ref="H380">if(YEAR(A380)=2025,XLOOKUP(B380,Lookup!$F$3:$F$10,Lookup!$G$3:$G$10,,1)*G380, XLOOKUP(B380,Lookup!$F$14:$F$21,Lookup!$G$14:$G$21,,1)*G380)</f>
        <v>960.16</v>
      </c>
      <c r="I380" s="61">
        <f t="array" ref="I380">if(B380&lt;55, if(YEAR(A380)=2025,XLOOKUP(B380,Lookup!$F$3:$F$10,Lookup!$H$3:$H$10,,1)*G380, XLOOKUP(B380,Lookup!$F$14:$F$21,Lookup!$H$14:$H$21,,1)*G380),0)</f>
        <v>0</v>
      </c>
      <c r="J380" s="60">
        <f t="array" ref="J380">if(YEAR(A380)=2025,XLOOKUP(B380,Lookup!$F$3:$F$10,Lookup!$I$3:$I$10,,1)*G380, XLOOKUP(B380,Lookup!$F$14:$F$21,Lookup!$I$14:$I$21,,1)*G380)</f>
        <v>839.936</v>
      </c>
      <c r="K380" s="60">
        <f t="array" ref="K380">if(B380&gt;54, if(YEAR(A380)=2025,XLOOKUP(B380,Lookup!$F$3:$F$10,Lookup!$H$3:$H$10,,1)*G380, XLOOKUP(B380,Lookup!$F$14:$F$21,Lookup!$H$14:$H$21,,1)*G380),0)</f>
        <v>919.904</v>
      </c>
      <c r="L380" s="62">
        <f>IF(and(A380&lt;questions!$C$19,questions!$C$18="yes"),questions!$C$20,0)</f>
        <v>0</v>
      </c>
      <c r="M380" s="63">
        <f>(Y379+H380)*Lookup!A$26/12</f>
        <v>1654.162191</v>
      </c>
      <c r="N380" s="63">
        <f>if(B380&lt;55, (Z379+I380)*Lookup!B$26/12, (AB379+K380)*Lookup!B$26/12)</f>
        <v>2329.774783</v>
      </c>
      <c r="O380" s="63">
        <f>(AA379+J380)*Lookup!C$26/12</f>
        <v>761.5206356</v>
      </c>
      <c r="P380" s="63">
        <f t="shared" si="8"/>
        <v>13123.62713</v>
      </c>
      <c r="Q380" s="63">
        <f t="shared" si="4"/>
        <v>18552.34056</v>
      </c>
      <c r="R380" s="63">
        <f t="shared" si="5"/>
        <v>6013.771058</v>
      </c>
      <c r="S380" s="64">
        <f t="shared" si="9"/>
        <v>33.33333333</v>
      </c>
      <c r="T380" s="64">
        <f t="shared" si="10"/>
        <v>41.66666667</v>
      </c>
      <c r="U380" s="64">
        <f t="shared" si="11"/>
        <v>0</v>
      </c>
      <c r="V380" s="64">
        <f t="shared" ref="V380:X380" si="388">IF(year($A380)=year($A379), V379+S380, S380)</f>
        <v>266.6666667</v>
      </c>
      <c r="W380" s="64">
        <f t="shared" si="388"/>
        <v>333.3333333</v>
      </c>
      <c r="X380" s="64">
        <f t="shared" si="388"/>
        <v>0</v>
      </c>
      <c r="Y380" s="65">
        <f>IFS(
  B380&lt;55,
    MAX(
      Y379 + IF(MONTH(A380)=12, P380+V380, 0) + H380 - L380
      + MAX(0,
          IF(AA379 &gt;= VLOOKUP(YEAR(A380), Lookup!$Q:$R, 2),
            Z379 + IF(MONTH(A380)=12, Q380+W380, 0) + I380
              + AA379 + IF(MONTH(A380)=12, R380+X380, 0)
              - VLOOKUP(YEAR(A380), Lookup!$Q:$R, 2) + J380,
            Z379 + IF(MONTH(A380)=12, Q380+W380, 0) + I380
          ) - VLOOKUP(YEAR(A380), Lookup!$K:$M, 3)
        ),
    0),
  B380=55,
    IF(Z379&gt;=AD380,
      MAX(Y379 + IF(MONTH(A380)=12, P380+V380, 0) + H380 - L380, 0),
      MAX(MAX(0, Y379-(AD380-Z379)) + IF(MONTH(A380)=12, P380+V380, 0) + H380 - L380, 0)
    ),
  B380&gt;55,
    IF(AB379&gt;=$AH$7,
      MAX(Y379 + IF(MONTH(A380)=12, P380+V380, 0) + H380 - L380 + K380 + Z379, 0),
      MAX(Y379 + IF(MONTH(A380)=12, P380+V380, 0) + H380 - L380, 0)
    )
)</f>
        <v>794917.7559</v>
      </c>
      <c r="Z380" s="65">
        <f>IFS(
  B380&lt;55,
    MIN(
      IF(AA379 &gt;= VLOOKUP(YEAR(A380), Lookup!$Q:$R, 2),
        Z379 + IF(MONTH(A380)=12, Q380+W380, 0) + I380
          + AA379 + IF(MONTH(A380)=12, R380+X380, 0) - VLOOKUP(YEAR(A380), Lookup!$Q:$R, 2) + J380,
        Z379 + IF(MONTH(A380)=12, Q380+W380, 0) + I380
      ),
      VLOOKUP(YEAR(A380), Lookup!$K:$M, 3)
    ),
  B380=55,
    IF(Z379 &gt;= AD380, Z379 - AD380, 0),
  B380&gt;55, 0
)</f>
        <v>0</v>
      </c>
      <c r="AA380" s="65">
        <f>IFS(
  B380&lt;65,
    IF(AA379+J380 &lt; VLOOKUP(YEAR(A380), Lookup!$Q:$R, 2),
      AA379 + IF(MONTH(A380)=12, R379+X379, 0) + J380,
      MIN(
        AA379 + IF(MONTH(A380)=12, R379+X379, 0) + J380 ,
        VLOOKUP(YEAR(A380), Lookup!$Q:$R, 2)
      )
    ),
  B380&gt;=65,
    IF(AA379+J380 &lt; VLOOKUP(questions!$C$5, Lookup!$Q:$R, 2),
      AA379 + IF(MONTH(A380)=12, R379+X379, 0) + J380 ,
      MIN(
        AA379 + IF(MONTH(A380)=12, R379+X379, 0) + J380,
        VLOOKUP(questions!$C$5, Lookup!$Q:$R, 2)
      )
    )
)</f>
        <v>228456.1907</v>
      </c>
      <c r="AB380" s="65">
        <f t="shared" si="13"/>
        <v>698932.4348</v>
      </c>
      <c r="AC380" s="66">
        <f t="array" ref="AC380">IFS(B380&lt;66, XLOOKUP(year(A380),Lookup!$K$13:$K1000,Lookup!$L$13:$L1000,"missing",,1),B380&gt;65,XLOOKUP(questions!$C$5,Lookup!$K$13:$K1000,Lookup!$L$13:$L1000,"missing",,1))</f>
        <v>320255.1617</v>
      </c>
      <c r="AD380" s="66">
        <f t="array" ref="AD380">IFS(B380&lt;66, XLOOKUP(year(A380),Lookup!$K$13:$K1000,Lookup!$M$13:$M1000,"missing",,1),B380&gt;65, XLOOKUP(questions!$C$5,Lookup!$K$13:$K1000,Lookup!$M$13:$M1000,"missing",,1))</f>
        <v>640510.3234</v>
      </c>
      <c r="AE380" s="66">
        <f t="array" ref="AE380">IFS(B380&lt;66, XLOOKUP(year(A380),Lookup!$K$13:$K1000,Lookup!$N$13:$N1000,"missing",,1),B380&gt;65,XLOOKUP(questions!$C$5,Lookup!$K$13:$K1000,Lookup!$N$13:$N1000,"missing",,1))</f>
        <v>1281020.647</v>
      </c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</row>
    <row r="381">
      <c r="A381" s="55">
        <f t="shared" si="7"/>
        <v>57618</v>
      </c>
      <c r="B381" s="56">
        <f>round(YEARFRAC(EOMONTH(questions!$C$3, 0),A381,1),2)</f>
        <v>58.83</v>
      </c>
      <c r="C381" s="57">
        <f>IF(B381&lt;questions!$C$6,if(MONTH(A381)=1,C380*(1+questions!$C$12),C380),0)</f>
        <v>25000.80345</v>
      </c>
      <c r="D381" s="58">
        <f>IF(MONTH(A381)=12,C381*questions!$C$11,0)</f>
        <v>0</v>
      </c>
      <c r="E381" s="59">
        <f t="shared" si="2"/>
        <v>8000</v>
      </c>
      <c r="F381" s="59">
        <f t="shared" si="3"/>
        <v>0</v>
      </c>
      <c r="G381" s="60">
        <f t="array" ref="G381">if(YEAR(A381)=2025,XLOOKUP(B381,Lookup!$A$3:$A$7,Lookup!$D$3:$D$7,,1)*SUM(E381:F381), XLOOKUP(B381,Lookup!$A$14:$A$18,Lookup!$D$14:$D$18,,1)*SUM(E381:F381))</f>
        <v>2720</v>
      </c>
      <c r="H381" s="60">
        <f t="array" ref="H381">if(YEAR(A381)=2025,XLOOKUP(B381,Lookup!$F$3:$F$10,Lookup!$G$3:$G$10,,1)*G381, XLOOKUP(B381,Lookup!$F$14:$F$21,Lookup!$G$14:$G$21,,1)*G381)</f>
        <v>960.16</v>
      </c>
      <c r="I381" s="61">
        <f t="array" ref="I381">if(B381&lt;55, if(YEAR(A381)=2025,XLOOKUP(B381,Lookup!$F$3:$F$10,Lookup!$H$3:$H$10,,1)*G381, XLOOKUP(B381,Lookup!$F$14:$F$21,Lookup!$H$14:$H$21,,1)*G381),0)</f>
        <v>0</v>
      </c>
      <c r="J381" s="60">
        <f t="array" ref="J381">if(YEAR(A381)=2025,XLOOKUP(B381,Lookup!$F$3:$F$10,Lookup!$I$3:$I$10,,1)*G381, XLOOKUP(B381,Lookup!$F$14:$F$21,Lookup!$I$14:$I$21,,1)*G381)</f>
        <v>839.936</v>
      </c>
      <c r="K381" s="60">
        <f t="array" ref="K381">if(B381&gt;54, if(YEAR(A381)=2025,XLOOKUP(B381,Lookup!$F$3:$F$10,Lookup!$H$3:$H$10,,1)*G381, XLOOKUP(B381,Lookup!$F$14:$F$21,Lookup!$H$14:$H$21,,1)*G381),0)</f>
        <v>919.904</v>
      </c>
      <c r="L381" s="62">
        <f>IF(and(A381&lt;questions!$C$19,questions!$C$18="yes"),questions!$C$20,0)</f>
        <v>0</v>
      </c>
      <c r="M381" s="63">
        <f>(Y380+H381)*Lookup!A$26/12</f>
        <v>1658.078991</v>
      </c>
      <c r="N381" s="63">
        <f>if(B381&lt;55, (Z380+I381)*Lookup!B$26/12, (AB380+K381)*Lookup!B$26/12)</f>
        <v>2332.841129</v>
      </c>
      <c r="O381" s="63">
        <f>(AA380+J381)*Lookup!C$26/12</f>
        <v>764.3204222</v>
      </c>
      <c r="P381" s="63">
        <f t="shared" si="8"/>
        <v>14781.70612</v>
      </c>
      <c r="Q381" s="63">
        <f t="shared" si="4"/>
        <v>20885.18168</v>
      </c>
      <c r="R381" s="63">
        <f t="shared" si="5"/>
        <v>6778.09148</v>
      </c>
      <c r="S381" s="64">
        <f t="shared" si="9"/>
        <v>33.33333333</v>
      </c>
      <c r="T381" s="64">
        <f t="shared" si="10"/>
        <v>41.66666667</v>
      </c>
      <c r="U381" s="64">
        <f t="shared" si="11"/>
        <v>0</v>
      </c>
      <c r="V381" s="64">
        <f t="shared" ref="V381:X381" si="389">IF(year($A381)=year($A380), V380+S381, S381)</f>
        <v>300</v>
      </c>
      <c r="W381" s="64">
        <f t="shared" si="389"/>
        <v>375</v>
      </c>
      <c r="X381" s="64">
        <f t="shared" si="389"/>
        <v>0</v>
      </c>
      <c r="Y381" s="65">
        <f>IFS(
  B381&lt;55,
    MAX(
      Y380 + IF(MONTH(A381)=12, P381+V381, 0) + H381 - L381
      + MAX(0,
          IF(AA380 &gt;= VLOOKUP(YEAR(A381), Lookup!$Q:$R, 2),
            Z380 + IF(MONTH(A381)=12, Q381+W381, 0) + I381
              + AA380 + IF(MONTH(A381)=12, R381+X381, 0)
              - VLOOKUP(YEAR(A381), Lookup!$Q:$R, 2) + J381,
            Z380 + IF(MONTH(A381)=12, Q381+W381, 0) + I381
          ) - VLOOKUP(YEAR(A381), Lookup!$K:$M, 3)
        ),
    0),
  B381=55,
    IF(Z380&gt;=AD381,
      MAX(Y380 + IF(MONTH(A381)=12, P381+V381, 0) + H381 - L381, 0),
      MAX(MAX(0, Y380-(AD381-Z380)) + IF(MONTH(A381)=12, P381+V381, 0) + H381 - L381, 0)
    ),
  B381&gt;55,
    IF(AB380&gt;=$AH$7,
      MAX(Y380 + IF(MONTH(A381)=12, P381+V381, 0) + H381 - L381 + K381 + Z380, 0),
      MAX(Y380 + IF(MONTH(A381)=12, P381+V381, 0) + H381 - L381, 0)
    )
)</f>
        <v>796797.8199</v>
      </c>
      <c r="Z381" s="65">
        <f>IFS(
  B381&lt;55,
    MIN(
      IF(AA380 &gt;= VLOOKUP(YEAR(A381), Lookup!$Q:$R, 2),
        Z380 + IF(MONTH(A381)=12, Q381+W381, 0) + I381
          + AA380 + IF(MONTH(A381)=12, R381+X381, 0) - VLOOKUP(YEAR(A381), Lookup!$Q:$R, 2) + J381,
        Z380 + IF(MONTH(A381)=12, Q381+W381, 0) + I381
      ),
      VLOOKUP(YEAR(A381), Lookup!$K:$M, 3)
    ),
  B381=55,
    IF(Z380 &gt;= AD381, Z380 - AD381, 0),
  B381&gt;55, 0
)</f>
        <v>0</v>
      </c>
      <c r="AA381" s="65">
        <f>IFS(
  B381&lt;65,
    IF(AA380+J381 &lt; VLOOKUP(YEAR(A381), Lookup!$Q:$R, 2),
      AA380 + IF(MONTH(A381)=12, R380+X380, 0) + J381,
      MIN(
        AA380 + IF(MONTH(A381)=12, R380+X380, 0) + J381 ,
        VLOOKUP(YEAR(A381), Lookup!$Q:$R, 2)
      )
    ),
  B381&gt;=65,
    IF(AA380+J381 &lt; VLOOKUP(questions!$C$5, Lookup!$Q:$R, 2),
      AA380 + IF(MONTH(A381)=12, R380+X380, 0) + J381 ,
      MIN(
        AA380 + IF(MONTH(A381)=12, R380+X380, 0) + J381,
        VLOOKUP(questions!$C$5, Lookup!$Q:$R, 2)
      )
    )
)</f>
        <v>229296.1267</v>
      </c>
      <c r="AB381" s="65">
        <f t="shared" si="13"/>
        <v>699852.3388</v>
      </c>
      <c r="AC381" s="66">
        <f t="array" ref="AC381">IFS(B381&lt;66, XLOOKUP(year(A381),Lookup!$K$13:$K1000,Lookup!$L$13:$L1000,"missing",,1),B381&gt;65,XLOOKUP(questions!$C$5,Lookup!$K$13:$K1000,Lookup!$L$13:$L1000,"missing",,1))</f>
        <v>320255.1617</v>
      </c>
      <c r="AD381" s="66">
        <f t="array" ref="AD381">IFS(B381&lt;66, XLOOKUP(year(A381),Lookup!$K$13:$K1000,Lookup!$M$13:$M1000,"missing",,1),B381&gt;65, XLOOKUP(questions!$C$5,Lookup!$K$13:$K1000,Lookup!$M$13:$M1000,"missing",,1))</f>
        <v>640510.3234</v>
      </c>
      <c r="AE381" s="66">
        <f t="array" ref="AE381">IFS(B381&lt;66, XLOOKUP(year(A381),Lookup!$K$13:$K1000,Lookup!$N$13:$N1000,"missing",,1),B381&gt;65,XLOOKUP(questions!$C$5,Lookup!$K$13:$K1000,Lookup!$N$13:$N1000,"missing",,1))</f>
        <v>1281020.647</v>
      </c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</row>
    <row r="382">
      <c r="A382" s="55">
        <f t="shared" si="7"/>
        <v>57649</v>
      </c>
      <c r="B382" s="56">
        <f>round(YEARFRAC(EOMONTH(questions!$C$3, 0),A382,1),2)</f>
        <v>58.92</v>
      </c>
      <c r="C382" s="57">
        <f>IF(B382&lt;questions!$C$6,if(MONTH(A382)=1,C381*(1+questions!$C$12),C381),0)</f>
        <v>25000.80345</v>
      </c>
      <c r="D382" s="58">
        <f>IF(MONTH(A382)=12,C382*questions!$C$11,0)</f>
        <v>0</v>
      </c>
      <c r="E382" s="59">
        <f t="shared" si="2"/>
        <v>8000</v>
      </c>
      <c r="F382" s="59">
        <f t="shared" si="3"/>
        <v>0</v>
      </c>
      <c r="G382" s="60">
        <f t="array" ref="G382">if(YEAR(A382)=2025,XLOOKUP(B382,Lookup!$A$3:$A$7,Lookup!$D$3:$D$7,,1)*SUM(E382:F382), XLOOKUP(B382,Lookup!$A$14:$A$18,Lookup!$D$14:$D$18,,1)*SUM(E382:F382))</f>
        <v>2720</v>
      </c>
      <c r="H382" s="60">
        <f t="array" ref="H382">if(YEAR(A382)=2025,XLOOKUP(B382,Lookup!$F$3:$F$10,Lookup!$G$3:$G$10,,1)*G382, XLOOKUP(B382,Lookup!$F$14:$F$21,Lookup!$G$14:$G$21,,1)*G382)</f>
        <v>960.16</v>
      </c>
      <c r="I382" s="61">
        <f t="array" ref="I382">if(B382&lt;55, if(YEAR(A382)=2025,XLOOKUP(B382,Lookup!$F$3:$F$10,Lookup!$H$3:$H$10,,1)*G382, XLOOKUP(B382,Lookup!$F$14:$F$21,Lookup!$H$14:$H$21,,1)*G382),0)</f>
        <v>0</v>
      </c>
      <c r="J382" s="60">
        <f t="array" ref="J382">if(YEAR(A382)=2025,XLOOKUP(B382,Lookup!$F$3:$F$10,Lookup!$I$3:$I$10,,1)*G382, XLOOKUP(B382,Lookup!$F$14:$F$21,Lookup!$I$14:$I$21,,1)*G382)</f>
        <v>839.936</v>
      </c>
      <c r="K382" s="60">
        <f t="array" ref="K382">if(B382&gt;54, if(YEAR(A382)=2025,XLOOKUP(B382,Lookup!$F$3:$F$10,Lookup!$H$3:$H$10,,1)*G382, XLOOKUP(B382,Lookup!$F$14:$F$21,Lookup!$H$14:$H$21,,1)*G382),0)</f>
        <v>919.904</v>
      </c>
      <c r="L382" s="62">
        <f>IF(and(A382&lt;questions!$C$19,questions!$C$18="yes"),questions!$C$20,0)</f>
        <v>0</v>
      </c>
      <c r="M382" s="63">
        <f>(Y381+H382)*Lookup!A$26/12</f>
        <v>1661.995791</v>
      </c>
      <c r="N382" s="63">
        <f>if(B382&lt;55, (Z381+I382)*Lookup!B$26/12, (AB381+K382)*Lookup!B$26/12)</f>
        <v>2335.907476</v>
      </c>
      <c r="O382" s="63">
        <f>(AA381+J382)*Lookup!C$26/12</f>
        <v>767.1202089</v>
      </c>
      <c r="P382" s="63">
        <f t="shared" si="8"/>
        <v>16443.70191</v>
      </c>
      <c r="Q382" s="63">
        <f t="shared" si="4"/>
        <v>23221.08916</v>
      </c>
      <c r="R382" s="63">
        <f t="shared" si="5"/>
        <v>7545.211689</v>
      </c>
      <c r="S382" s="64">
        <f t="shared" si="9"/>
        <v>33.33333333</v>
      </c>
      <c r="T382" s="64">
        <f t="shared" si="10"/>
        <v>41.66666667</v>
      </c>
      <c r="U382" s="64">
        <f t="shared" si="11"/>
        <v>0</v>
      </c>
      <c r="V382" s="64">
        <f t="shared" ref="V382:X382" si="390">IF(year($A382)=year($A381), V381+S382, S382)</f>
        <v>333.3333333</v>
      </c>
      <c r="W382" s="64">
        <f t="shared" si="390"/>
        <v>416.6666667</v>
      </c>
      <c r="X382" s="64">
        <f t="shared" si="390"/>
        <v>0</v>
      </c>
      <c r="Y382" s="65">
        <f>IFS(
  B382&lt;55,
    MAX(
      Y381 + IF(MONTH(A382)=12, P382+V382, 0) + H382 - L382
      + MAX(0,
          IF(AA381 &gt;= VLOOKUP(YEAR(A382), Lookup!$Q:$R, 2),
            Z381 + IF(MONTH(A382)=12, Q382+W382, 0) + I382
              + AA381 + IF(MONTH(A382)=12, R382+X382, 0)
              - VLOOKUP(YEAR(A382), Lookup!$Q:$R, 2) + J382,
            Z381 + IF(MONTH(A382)=12, Q382+W382, 0) + I382
          ) - VLOOKUP(YEAR(A382), Lookup!$K:$M, 3)
        ),
    0),
  B382=55,
    IF(Z381&gt;=AD382,
      MAX(Y381 + IF(MONTH(A382)=12, P382+V382, 0) + H382 - L382, 0),
      MAX(MAX(0, Y381-(AD382-Z381)) + IF(MONTH(A382)=12, P382+V382, 0) + H382 - L382, 0)
    ),
  B382&gt;55,
    IF(AB381&gt;=$AH$7,
      MAX(Y381 + IF(MONTH(A382)=12, P382+V382, 0) + H382 - L382 + K382 + Z381, 0),
      MAX(Y381 + IF(MONTH(A382)=12, P382+V382, 0) + H382 - L382, 0)
    )
)</f>
        <v>798677.8839</v>
      </c>
      <c r="Z382" s="65">
        <f>IFS(
  B382&lt;55,
    MIN(
      IF(AA381 &gt;= VLOOKUP(YEAR(A382), Lookup!$Q:$R, 2),
        Z381 + IF(MONTH(A382)=12, Q382+W382, 0) + I382
          + AA381 + IF(MONTH(A382)=12, R382+X382, 0) - VLOOKUP(YEAR(A382), Lookup!$Q:$R, 2) + J382,
        Z381 + IF(MONTH(A382)=12, Q382+W382, 0) + I382
      ),
      VLOOKUP(YEAR(A382), Lookup!$K:$M, 3)
    ),
  B382=55,
    IF(Z381 &gt;= AD382, Z381 - AD382, 0),
  B382&gt;55, 0
)</f>
        <v>0</v>
      </c>
      <c r="AA382" s="65">
        <f>IFS(
  B382&lt;65,
    IF(AA381+J382 &lt; VLOOKUP(YEAR(A382), Lookup!$Q:$R, 2),
      AA381 + IF(MONTH(A382)=12, R381+X381, 0) + J382,
      MIN(
        AA381 + IF(MONTH(A382)=12, R381+X381, 0) + J382 ,
        VLOOKUP(YEAR(A382), Lookup!$Q:$R, 2)
      )
    ),
  B382&gt;=65,
    IF(AA381+J382 &lt; VLOOKUP(questions!$C$5, Lookup!$Q:$R, 2),
      AA381 + IF(MONTH(A382)=12, R381+X381, 0) + J382 ,
      MIN(
        AA381 + IF(MONTH(A382)=12, R381+X381, 0) + J382,
        VLOOKUP(questions!$C$5, Lookup!$Q:$R, 2)
      )
    )
)</f>
        <v>229497.4873</v>
      </c>
      <c r="AB382" s="65">
        <f t="shared" si="13"/>
        <v>700772.2428</v>
      </c>
      <c r="AC382" s="66">
        <f t="array" ref="AC382">IFS(B382&lt;66, XLOOKUP(year(A382),Lookup!$K$13:$K1000,Lookup!$L$13:$L1000,"missing",,1),B382&gt;65,XLOOKUP(questions!$C$5,Lookup!$K$13:$K1000,Lookup!$L$13:$L1000,"missing",,1))</f>
        <v>320255.1617</v>
      </c>
      <c r="AD382" s="66">
        <f t="array" ref="AD382">IFS(B382&lt;66, XLOOKUP(year(A382),Lookup!$K$13:$K1000,Lookup!$M$13:$M1000,"missing",,1),B382&gt;65, XLOOKUP(questions!$C$5,Lookup!$K$13:$K1000,Lookup!$M$13:$M1000,"missing",,1))</f>
        <v>640510.3234</v>
      </c>
      <c r="AE382" s="66">
        <f t="array" ref="AE382">IFS(B382&lt;66, XLOOKUP(year(A382),Lookup!$K$13:$K1000,Lookup!$N$13:$N1000,"missing",,1),B382&gt;65,XLOOKUP(questions!$C$5,Lookup!$K$13:$K1000,Lookup!$N$13:$N1000,"missing",,1))</f>
        <v>1281020.647</v>
      </c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</row>
    <row r="383">
      <c r="A383" s="55">
        <f t="shared" si="7"/>
        <v>57679</v>
      </c>
      <c r="B383" s="56">
        <f>round(YEARFRAC(EOMONTH(questions!$C$3, 0),A383,1),2)</f>
        <v>59</v>
      </c>
      <c r="C383" s="57">
        <f>IF(B383&lt;questions!$C$6,if(MONTH(A383)=1,C382*(1+questions!$C$12),C382),0)</f>
        <v>25000.80345</v>
      </c>
      <c r="D383" s="58">
        <f>IF(MONTH(A383)=12,C383*questions!$C$11,0)</f>
        <v>0</v>
      </c>
      <c r="E383" s="59">
        <f t="shared" si="2"/>
        <v>8000</v>
      </c>
      <c r="F383" s="59">
        <f t="shared" si="3"/>
        <v>0</v>
      </c>
      <c r="G383" s="60">
        <f t="array" ref="G383">if(YEAR(A383)=2025,XLOOKUP(B383,Lookup!$A$3:$A$7,Lookup!$D$3:$D$7,,1)*SUM(E383:F383), XLOOKUP(B383,Lookup!$A$14:$A$18,Lookup!$D$14:$D$18,,1)*SUM(E383:F383))</f>
        <v>2720</v>
      </c>
      <c r="H383" s="60">
        <f t="array" ref="H383">if(YEAR(A383)=2025,XLOOKUP(B383,Lookup!$F$3:$F$10,Lookup!$G$3:$G$10,,1)*G383, XLOOKUP(B383,Lookup!$F$14:$F$21,Lookup!$G$14:$G$21,,1)*G383)</f>
        <v>960.16</v>
      </c>
      <c r="I383" s="61">
        <f t="array" ref="I383">if(B383&lt;55, if(YEAR(A383)=2025,XLOOKUP(B383,Lookup!$F$3:$F$10,Lookup!$H$3:$H$10,,1)*G383, XLOOKUP(B383,Lookup!$F$14:$F$21,Lookup!$H$14:$H$21,,1)*G383),0)</f>
        <v>0</v>
      </c>
      <c r="J383" s="60">
        <f t="array" ref="J383">if(YEAR(A383)=2025,XLOOKUP(B383,Lookup!$F$3:$F$10,Lookup!$I$3:$I$10,,1)*G383, XLOOKUP(B383,Lookup!$F$14:$F$21,Lookup!$I$14:$I$21,,1)*G383)</f>
        <v>839.936</v>
      </c>
      <c r="K383" s="60">
        <f t="array" ref="K383">if(B383&gt;54, if(YEAR(A383)=2025,XLOOKUP(B383,Lookup!$F$3:$F$10,Lookup!$H$3:$H$10,,1)*G383, XLOOKUP(B383,Lookup!$F$14:$F$21,Lookup!$H$14:$H$21,,1)*G383),0)</f>
        <v>919.904</v>
      </c>
      <c r="L383" s="62">
        <f>IF(and(A383&lt;questions!$C$19,questions!$C$18="yes"),questions!$C$20,0)</f>
        <v>0</v>
      </c>
      <c r="M383" s="63">
        <f>(Y382+H383)*Lookup!A$26/12</f>
        <v>1665.912591</v>
      </c>
      <c r="N383" s="63">
        <f>if(B383&lt;55, (Z382+I383)*Lookup!B$26/12, (AB382+K383)*Lookup!B$26/12)</f>
        <v>2338.973823</v>
      </c>
      <c r="O383" s="63">
        <f>(AA382+J383)*Lookup!C$26/12</f>
        <v>767.7914109</v>
      </c>
      <c r="P383" s="63">
        <f t="shared" si="8"/>
        <v>18109.61451</v>
      </c>
      <c r="Q383" s="63">
        <f t="shared" si="4"/>
        <v>25560.06298</v>
      </c>
      <c r="R383" s="63">
        <f t="shared" si="5"/>
        <v>8313.0031</v>
      </c>
      <c r="S383" s="64">
        <f t="shared" si="9"/>
        <v>33.33333333</v>
      </c>
      <c r="T383" s="64">
        <f t="shared" si="10"/>
        <v>41.66666667</v>
      </c>
      <c r="U383" s="64">
        <f t="shared" si="11"/>
        <v>0</v>
      </c>
      <c r="V383" s="64">
        <f t="shared" ref="V383:X383" si="391">IF(year($A383)=year($A382), V382+S383, S383)</f>
        <v>366.6666667</v>
      </c>
      <c r="W383" s="64">
        <f t="shared" si="391"/>
        <v>458.3333333</v>
      </c>
      <c r="X383" s="64">
        <f t="shared" si="391"/>
        <v>0</v>
      </c>
      <c r="Y383" s="65">
        <f>IFS(
  B383&lt;55,
    MAX(
      Y382 + IF(MONTH(A383)=12, P383+V383, 0) + H383 - L383
      + MAX(0,
          IF(AA382 &gt;= VLOOKUP(YEAR(A383), Lookup!$Q:$R, 2),
            Z382 + IF(MONTH(A383)=12, Q383+W383, 0) + I383
              + AA382 + IF(MONTH(A383)=12, R383+X383, 0)
              - VLOOKUP(YEAR(A383), Lookup!$Q:$R, 2) + J383,
            Z382 + IF(MONTH(A383)=12, Q383+W383, 0) + I383
          ) - VLOOKUP(YEAR(A383), Lookup!$K:$M, 3)
        ),
    0),
  B383=55,
    IF(Z382&gt;=AD383,
      MAX(Y382 + IF(MONTH(A383)=12, P383+V383, 0) + H383 - L383, 0),
      MAX(MAX(0, Y382-(AD383-Z382)) + IF(MONTH(A383)=12, P383+V383, 0) + H383 - L383, 0)
    ),
  B383&gt;55,
    IF(AB382&gt;=$AH$7,
      MAX(Y382 + IF(MONTH(A383)=12, P383+V383, 0) + H383 - L383 + K383 + Z382, 0),
      MAX(Y382 + IF(MONTH(A383)=12, P383+V383, 0) + H383 - L383, 0)
    )
)</f>
        <v>800557.9479</v>
      </c>
      <c r="Z383" s="65">
        <f>IFS(
  B383&lt;55,
    MIN(
      IF(AA382 &gt;= VLOOKUP(YEAR(A383), Lookup!$Q:$R, 2),
        Z382 + IF(MONTH(A383)=12, Q383+W383, 0) + I383
          + AA382 + IF(MONTH(A383)=12, R383+X383, 0) - VLOOKUP(YEAR(A383), Lookup!$Q:$R, 2) + J383,
        Z382 + IF(MONTH(A383)=12, Q383+W383, 0) + I383
      ),
      VLOOKUP(YEAR(A383), Lookup!$K:$M, 3)
    ),
  B383=55,
    IF(Z382 &gt;= AD383, Z382 - AD383, 0),
  B383&gt;55, 0
)</f>
        <v>0</v>
      </c>
      <c r="AA383" s="65">
        <f>IFS(
  B383&lt;65,
    IF(AA382+J383 &lt; VLOOKUP(YEAR(A383), Lookup!$Q:$R, 2),
      AA382 + IF(MONTH(A383)=12, R382+X382, 0) + J383,
      MIN(
        AA382 + IF(MONTH(A383)=12, R382+X382, 0) + J383 ,
        VLOOKUP(YEAR(A383), Lookup!$Q:$R, 2)
      )
    ),
  B383&gt;=65,
    IF(AA382+J383 &lt; VLOOKUP(questions!$C$5, Lookup!$Q:$R, 2),
      AA382 + IF(MONTH(A383)=12, R382+X382, 0) + J383 ,
      MIN(
        AA382 + IF(MONTH(A383)=12, R382+X382, 0) + J383,
        VLOOKUP(questions!$C$5, Lookup!$Q:$R, 2)
      )
    )
)</f>
        <v>229497.4873</v>
      </c>
      <c r="AB383" s="65">
        <f t="shared" si="13"/>
        <v>701692.1468</v>
      </c>
      <c r="AC383" s="66">
        <f t="array" ref="AC383">IFS(B383&lt;66, XLOOKUP(year(A383),Lookup!$K$13:$K1000,Lookup!$L$13:$L1000,"missing",,1),B383&gt;65,XLOOKUP(questions!$C$5,Lookup!$K$13:$K1000,Lookup!$L$13:$L1000,"missing",,1))</f>
        <v>320255.1617</v>
      </c>
      <c r="AD383" s="66">
        <f t="array" ref="AD383">IFS(B383&lt;66, XLOOKUP(year(A383),Lookup!$K$13:$K1000,Lookup!$M$13:$M1000,"missing",,1),B383&gt;65, XLOOKUP(questions!$C$5,Lookup!$K$13:$K1000,Lookup!$M$13:$M1000,"missing",,1))</f>
        <v>640510.3234</v>
      </c>
      <c r="AE383" s="66">
        <f t="array" ref="AE383">IFS(B383&lt;66, XLOOKUP(year(A383),Lookup!$K$13:$K1000,Lookup!$N$13:$N1000,"missing",,1),B383&gt;65,XLOOKUP(questions!$C$5,Lookup!$K$13:$K1000,Lookup!$N$13:$N1000,"missing",,1))</f>
        <v>1281020.647</v>
      </c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</row>
    <row r="384">
      <c r="A384" s="55">
        <f t="shared" si="7"/>
        <v>57710</v>
      </c>
      <c r="B384" s="56">
        <f>round(YEARFRAC(EOMONTH(questions!$C$3, 0),A384,1),2)</f>
        <v>59.08</v>
      </c>
      <c r="C384" s="57">
        <f>IF(B384&lt;questions!$C$6,if(MONTH(A384)=1,C383*(1+questions!$C$12),C383),0)</f>
        <v>25000.80345</v>
      </c>
      <c r="D384" s="57">
        <f>IF(MONTH(A384)=12,C384*questions!$C$11,0)</f>
        <v>25000.80345</v>
      </c>
      <c r="E384" s="59">
        <f t="shared" si="2"/>
        <v>8000</v>
      </c>
      <c r="F384" s="59">
        <f t="shared" si="3"/>
        <v>6000</v>
      </c>
      <c r="G384" s="60">
        <f t="array" ref="G384">if(YEAR(A384)=2025,XLOOKUP(B384,Lookup!$A$3:$A$7,Lookup!$D$3:$D$7,,1)*SUM(E384:F384), XLOOKUP(B384,Lookup!$A$14:$A$18,Lookup!$D$14:$D$18,,1)*SUM(E384:F384))</f>
        <v>4760</v>
      </c>
      <c r="H384" s="60">
        <f t="array" ref="H384">if(YEAR(A384)=2025,XLOOKUP(B384,Lookup!$F$3:$F$10,Lookup!$G$3:$G$10,,1)*G384, XLOOKUP(B384,Lookup!$F$14:$F$21,Lookup!$G$14:$G$21,,1)*G384)</f>
        <v>1680.28</v>
      </c>
      <c r="I384" s="61">
        <f t="array" ref="I384">if(B384&lt;55, if(YEAR(A384)=2025,XLOOKUP(B384,Lookup!$F$3:$F$10,Lookup!$H$3:$H$10,,1)*G384, XLOOKUP(B384,Lookup!$F$14:$F$21,Lookup!$H$14:$H$21,,1)*G384),0)</f>
        <v>0</v>
      </c>
      <c r="J384" s="60">
        <f t="array" ref="J384">if(YEAR(A384)=2025,XLOOKUP(B384,Lookup!$F$3:$F$10,Lookup!$I$3:$I$10,,1)*G384, XLOOKUP(B384,Lookup!$F$14:$F$21,Lookup!$I$14:$I$21,,1)*G384)</f>
        <v>1469.888</v>
      </c>
      <c r="K384" s="60">
        <f t="array" ref="K384">if(B384&gt;54, if(YEAR(A384)=2025,XLOOKUP(B384,Lookup!$F$3:$F$10,Lookup!$H$3:$H$10,,1)*G384, XLOOKUP(B384,Lookup!$F$14:$F$21,Lookup!$H$14:$H$21,,1)*G384),0)</f>
        <v>1609.832</v>
      </c>
      <c r="L384" s="62">
        <f>IF(and(A384&lt;questions!$C$19,questions!$C$18="yes"),questions!$C$20,0)</f>
        <v>0</v>
      </c>
      <c r="M384" s="63">
        <f>(Y383+H384)*Lookup!A$26/12</f>
        <v>1671.329641</v>
      </c>
      <c r="N384" s="63">
        <f>if(B384&lt;55, (Z383+I384)*Lookup!B$26/12, (AB383+K384)*Lookup!B$26/12)</f>
        <v>2344.339929</v>
      </c>
      <c r="O384" s="63">
        <f>(AA383+J384)*Lookup!C$26/12</f>
        <v>769.8912509</v>
      </c>
      <c r="P384" s="63">
        <f t="shared" si="8"/>
        <v>19780.94415</v>
      </c>
      <c r="Q384" s="63">
        <f t="shared" si="4"/>
        <v>27904.40291</v>
      </c>
      <c r="R384" s="63">
        <f t="shared" si="5"/>
        <v>9082.894351</v>
      </c>
      <c r="S384" s="64">
        <f t="shared" si="9"/>
        <v>33.33333333</v>
      </c>
      <c r="T384" s="64">
        <f t="shared" si="10"/>
        <v>41.66666667</v>
      </c>
      <c r="U384" s="64">
        <f t="shared" si="11"/>
        <v>0</v>
      </c>
      <c r="V384" s="64">
        <f t="shared" ref="V384:X384" si="392">IF(year($A384)=year($A383), V383+S384, S384)</f>
        <v>400</v>
      </c>
      <c r="W384" s="64">
        <f t="shared" si="392"/>
        <v>500</v>
      </c>
      <c r="X384" s="64">
        <f t="shared" si="392"/>
        <v>0</v>
      </c>
      <c r="Y384" s="65">
        <f>IFS(
  B384&lt;55,
    MAX(
      Y383 + IF(MONTH(A384)=12, P384+V384, 0) + H384 - L384
      + MAX(0,
          IF(AA383 &gt;= VLOOKUP(YEAR(A384), Lookup!$Q:$R, 2),
            Z383 + IF(MONTH(A384)=12, Q384+W384, 0) + I384
              + AA383 + IF(MONTH(A384)=12, R384+X384, 0)
              - VLOOKUP(YEAR(A384), Lookup!$Q:$R, 2) + J384,
            Z383 + IF(MONTH(A384)=12, Q384+W384, 0) + I384
          ) - VLOOKUP(YEAR(A384), Lookup!$K:$M, 3)
        ),
    0),
  B384=55,
    IF(Z383&gt;=AD384,
      MAX(Y383 + IF(MONTH(A384)=12, P384+V384, 0) + H384 - L384, 0),
      MAX(MAX(0, Y383-(AD384-Z383)) + IF(MONTH(A384)=12, P384+V384, 0) + H384 - L384, 0)
    ),
  B384&gt;55,
    IF(AB383&gt;=$AH$7,
      MAX(Y383 + IF(MONTH(A384)=12, P384+V384, 0) + H384 - L384 + K384 + Z383, 0),
      MAX(Y383 + IF(MONTH(A384)=12, P384+V384, 0) + H384 - L384, 0)
    )
)</f>
        <v>824029.004</v>
      </c>
      <c r="Z384" s="65">
        <f>IFS(
  B384&lt;55,
    MIN(
      IF(AA383 &gt;= VLOOKUP(YEAR(A384), Lookup!$Q:$R, 2),
        Z383 + IF(MONTH(A384)=12, Q384+W384, 0) + I384
          + AA383 + IF(MONTH(A384)=12, R384+X384, 0) - VLOOKUP(YEAR(A384), Lookup!$Q:$R, 2) + J384,
        Z383 + IF(MONTH(A384)=12, Q384+W384, 0) + I384
      ),
      VLOOKUP(YEAR(A384), Lookup!$K:$M, 3)
    ),
  B384=55,
    IF(Z383 &gt;= AD384, Z383 - AD384, 0),
  B384&gt;55, 0
)</f>
        <v>0</v>
      </c>
      <c r="AA384" s="65">
        <f>IFS(
  B384&lt;65,
    IF(AA383+J384 &lt; VLOOKUP(YEAR(A384), Lookup!$Q:$R, 2),
      AA383 + IF(MONTH(A384)=12, R383+X383, 0) + J384,
      MIN(
        AA383 + IF(MONTH(A384)=12, R383+X383, 0) + J384 ,
        VLOOKUP(YEAR(A384), Lookup!$Q:$R, 2)
      )
    ),
  B384&gt;=65,
    IF(AA383+J384 &lt; VLOOKUP(questions!$C$5, Lookup!$Q:$R, 2),
      AA383 + IF(MONTH(A384)=12, R383+X383, 0) + J384 ,
      MIN(
        AA383 + IF(MONTH(A384)=12, R383+X383, 0) + J384,
        VLOOKUP(questions!$C$5, Lookup!$Q:$R, 2)
      )
    )
)</f>
        <v>229497.4873</v>
      </c>
      <c r="AB384" s="65">
        <f t="shared" si="13"/>
        <v>731706.3817</v>
      </c>
      <c r="AC384" s="66">
        <f t="array" ref="AC384">IFS(B384&lt;66, XLOOKUP(year(A384),Lookup!$K$13:$K1000,Lookup!$L$13:$L1000,"missing",,1),B384&gt;65,XLOOKUP(questions!$C$5,Lookup!$K$13:$K1000,Lookup!$L$13:$L1000,"missing",,1))</f>
        <v>320255.1617</v>
      </c>
      <c r="AD384" s="66">
        <f t="array" ref="AD384">IFS(B384&lt;66, XLOOKUP(year(A384),Lookup!$K$13:$K1000,Lookup!$M$13:$M1000,"missing",,1),B384&gt;65, XLOOKUP(questions!$C$5,Lookup!$K$13:$K1000,Lookup!$M$13:$M1000,"missing",,1))</f>
        <v>640510.3234</v>
      </c>
      <c r="AE384" s="66">
        <f t="array" ref="AE384">IFS(B384&lt;66, XLOOKUP(year(A384),Lookup!$K$13:$K1000,Lookup!$N$13:$N1000,"missing",,1),B384&gt;65,XLOOKUP(questions!$C$5,Lookup!$K$13:$K1000,Lookup!$N$13:$N1000,"missing",,1))</f>
        <v>1281020.647</v>
      </c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</row>
    <row r="385">
      <c r="A385" s="55">
        <f t="shared" si="7"/>
        <v>57741</v>
      </c>
      <c r="B385" s="56">
        <f>round(YEARFRAC(EOMONTH(questions!$C$3, 0),A385,1),2)</f>
        <v>59.17</v>
      </c>
      <c r="C385" s="57">
        <f>IF(B385&lt;questions!$C$6,if(MONTH(A385)=1,C384*(1+questions!$C$12),C384),0)</f>
        <v>25750.82756</v>
      </c>
      <c r="D385" s="58">
        <f>IF(MONTH(A385)=12,C385*questions!$C$11,0)</f>
        <v>0</v>
      </c>
      <c r="E385" s="59">
        <f t="shared" si="2"/>
        <v>8000</v>
      </c>
      <c r="F385" s="59">
        <f t="shared" si="3"/>
        <v>0</v>
      </c>
      <c r="G385" s="60">
        <f t="array" ref="G385">if(YEAR(A385)=2025,XLOOKUP(B385,Lookup!$A$3:$A$7,Lookup!$D$3:$D$7,,1)*SUM(E385:F385), XLOOKUP(B385,Lookup!$A$14:$A$18,Lookup!$D$14:$D$18,,1)*SUM(E385:F385))</f>
        <v>2720</v>
      </c>
      <c r="H385" s="60">
        <f t="array" ref="H385">if(YEAR(A385)=2025,XLOOKUP(B385,Lookup!$F$3:$F$10,Lookup!$G$3:$G$10,,1)*G385, XLOOKUP(B385,Lookup!$F$14:$F$21,Lookup!$G$14:$G$21,,1)*G385)</f>
        <v>960.16</v>
      </c>
      <c r="I385" s="61">
        <f t="array" ref="I385">if(B385&lt;55, if(YEAR(A385)=2025,XLOOKUP(B385,Lookup!$F$3:$F$10,Lookup!$H$3:$H$10,,1)*G385, XLOOKUP(B385,Lookup!$F$14:$F$21,Lookup!$H$14:$H$21,,1)*G385),0)</f>
        <v>0</v>
      </c>
      <c r="J385" s="60">
        <f t="array" ref="J385">if(YEAR(A385)=2025,XLOOKUP(B385,Lookup!$F$3:$F$10,Lookup!$I$3:$I$10,,1)*G385, XLOOKUP(B385,Lookup!$F$14:$F$21,Lookup!$I$14:$I$21,,1)*G385)</f>
        <v>839.936</v>
      </c>
      <c r="K385" s="60">
        <f t="array" ref="K385">if(B385&gt;54, if(YEAR(A385)=2025,XLOOKUP(B385,Lookup!$F$3:$F$10,Lookup!$H$3:$H$10,,1)*G385, XLOOKUP(B385,Lookup!$F$14:$F$21,Lookup!$H$14:$H$21,,1)*G385),0)</f>
        <v>919.904</v>
      </c>
      <c r="L385" s="62">
        <f>IF(and(A385&lt;questions!$C$19,questions!$C$18="yes"),questions!$C$20,0)</f>
        <v>0</v>
      </c>
      <c r="M385" s="63">
        <f>(Y384+H385)*Lookup!A$26/12</f>
        <v>1718.727425</v>
      </c>
      <c r="N385" s="63">
        <f>if(B385&lt;55, (Z384+I385)*Lookup!B$26/12, (AB384+K385)*Lookup!B$26/12)</f>
        <v>2442.087619</v>
      </c>
      <c r="O385" s="63">
        <f>(AA384+J385)*Lookup!C$26/12</f>
        <v>767.7914109</v>
      </c>
      <c r="P385" s="63">
        <f t="shared" si="8"/>
        <v>1718.727425</v>
      </c>
      <c r="Q385" s="63">
        <f t="shared" si="4"/>
        <v>2442.087619</v>
      </c>
      <c r="R385" s="63">
        <f t="shared" si="5"/>
        <v>767.7914109</v>
      </c>
      <c r="S385" s="64">
        <f t="shared" si="9"/>
        <v>33.33333333</v>
      </c>
      <c r="T385" s="64">
        <f t="shared" si="10"/>
        <v>41.66666667</v>
      </c>
      <c r="U385" s="64">
        <f t="shared" si="11"/>
        <v>0</v>
      </c>
      <c r="V385" s="64">
        <f t="shared" ref="V385:X385" si="393">IF(year($A385)=year($A384), V384+S385, S385)</f>
        <v>33.33333333</v>
      </c>
      <c r="W385" s="64">
        <f t="shared" si="393"/>
        <v>41.66666667</v>
      </c>
      <c r="X385" s="64">
        <f t="shared" si="393"/>
        <v>0</v>
      </c>
      <c r="Y385" s="65">
        <f>IFS(
  B385&lt;55,
    MAX(
      Y384 + IF(MONTH(A385)=12, P385+V385, 0) + H385 - L385
      + MAX(0,
          IF(AA384 &gt;= VLOOKUP(YEAR(A385), Lookup!$Q:$R, 2),
            Z384 + IF(MONTH(A385)=12, Q385+W385, 0) + I385
              + AA384 + IF(MONTH(A385)=12, R385+X385, 0)
              - VLOOKUP(YEAR(A385), Lookup!$Q:$R, 2) + J385,
            Z384 + IF(MONTH(A385)=12, Q385+W385, 0) + I385
          ) - VLOOKUP(YEAR(A385), Lookup!$K:$M, 3)
        ),
    0),
  B385=55,
    IF(Z384&gt;=AD385,
      MAX(Y384 + IF(MONTH(A385)=12, P385+V385, 0) + H385 - L385, 0),
      MAX(MAX(0, Y384-(AD385-Z384)) + IF(MONTH(A385)=12, P385+V385, 0) + H385 - L385, 0)
    ),
  B385&gt;55,
    IF(AB384&gt;=$AH$7,
      MAX(Y384 + IF(MONTH(A385)=12, P385+V385, 0) + H385 - L385 + K385 + Z384, 0),
      MAX(Y384 + IF(MONTH(A385)=12, P385+V385, 0) + H385 - L385, 0)
    )
)</f>
        <v>825909.068</v>
      </c>
      <c r="Z385" s="65">
        <f>IFS(
  B385&lt;55,
    MIN(
      IF(AA384 &gt;= VLOOKUP(YEAR(A385), Lookup!$Q:$R, 2),
        Z384 + IF(MONTH(A385)=12, Q385+W385, 0) + I385
          + AA384 + IF(MONTH(A385)=12, R385+X385, 0) - VLOOKUP(YEAR(A385), Lookup!$Q:$R, 2) + J385,
        Z384 + IF(MONTH(A385)=12, Q385+W385, 0) + I385
      ),
      VLOOKUP(YEAR(A385), Lookup!$K:$M, 3)
    ),
  B385=55,
    IF(Z384 &gt;= AD385, Z384 - AD385, 0),
  B385&gt;55, 0
)</f>
        <v>0</v>
      </c>
      <c r="AA385" s="65">
        <f>IFS(
  B385&lt;65,
    IF(AA384+J385 &lt; VLOOKUP(YEAR(A385), Lookup!$Q:$R, 2),
      AA384 + IF(MONTH(A385)=12, R384+X384, 0) + J385,
      MIN(
        AA384 + IF(MONTH(A385)=12, R384+X384, 0) + J385 ,
        VLOOKUP(YEAR(A385), Lookup!$Q:$R, 2)
      )
    ),
  B385&gt;=65,
    IF(AA384+J385 &lt; VLOOKUP(questions!$C$5, Lookup!$Q:$R, 2),
      AA384 + IF(MONTH(A385)=12, R384+X384, 0) + J385 ,
      MIN(
        AA384 + IF(MONTH(A385)=12, R384+X384, 0) + J385,
        VLOOKUP(questions!$C$5, Lookup!$Q:$R, 2)
      )
    )
)</f>
        <v>230337.4233</v>
      </c>
      <c r="AB385" s="65">
        <f t="shared" si="13"/>
        <v>732626.2857</v>
      </c>
      <c r="AC385" s="66">
        <f t="array" ref="AC385">IFS(B385&lt;66, XLOOKUP(year(A385),Lookup!$K$13:$K1000,Lookup!$L$13:$L1000,"missing",,1),B385&gt;65,XLOOKUP(questions!$C$5,Lookup!$K$13:$K1000,Lookup!$L$13:$L1000,"missing",,1))</f>
        <v>331464.0924</v>
      </c>
      <c r="AD385" s="66">
        <f t="array" ref="AD385">IFS(B385&lt;66, XLOOKUP(year(A385),Lookup!$K$13:$K1000,Lookup!$M$13:$M1000,"missing",,1),B385&gt;65, XLOOKUP(questions!$C$5,Lookup!$K$13:$K1000,Lookup!$M$13:$M1000,"missing",,1))</f>
        <v>662928.1847</v>
      </c>
      <c r="AE385" s="66">
        <f t="array" ref="AE385">IFS(B385&lt;66, XLOOKUP(year(A385),Lookup!$K$13:$K1000,Lookup!$N$13:$N1000,"missing",,1),B385&gt;65,XLOOKUP(questions!$C$5,Lookup!$K$13:$K1000,Lookup!$N$13:$N1000,"missing",,1))</f>
        <v>1325856.369</v>
      </c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</row>
    <row r="386">
      <c r="A386" s="55">
        <f t="shared" si="7"/>
        <v>57769</v>
      </c>
      <c r="B386" s="56">
        <f>round(YEARFRAC(EOMONTH(questions!$C$3, 0),A386,1),2)</f>
        <v>59.25</v>
      </c>
      <c r="C386" s="57">
        <f>IF(B386&lt;questions!$C$6,if(MONTH(A386)=1,C385*(1+questions!$C$12),C385),0)</f>
        <v>25750.82756</v>
      </c>
      <c r="D386" s="58">
        <f>IF(MONTH(A386)=12,C386*questions!$C$11,0)</f>
        <v>0</v>
      </c>
      <c r="E386" s="59">
        <f t="shared" si="2"/>
        <v>8000</v>
      </c>
      <c r="F386" s="59">
        <f t="shared" si="3"/>
        <v>0</v>
      </c>
      <c r="G386" s="60">
        <f t="array" ref="G386">if(YEAR(A386)=2025,XLOOKUP(B386,Lookup!$A$3:$A$7,Lookup!$D$3:$D$7,,1)*SUM(E386:F386), XLOOKUP(B386,Lookup!$A$14:$A$18,Lookup!$D$14:$D$18,,1)*SUM(E386:F386))</f>
        <v>2720</v>
      </c>
      <c r="H386" s="60">
        <f t="array" ref="H386">if(YEAR(A386)=2025,XLOOKUP(B386,Lookup!$F$3:$F$10,Lookup!$G$3:$G$10,,1)*G386, XLOOKUP(B386,Lookup!$F$14:$F$21,Lookup!$G$14:$G$21,,1)*G386)</f>
        <v>960.16</v>
      </c>
      <c r="I386" s="61">
        <f t="array" ref="I386">if(B386&lt;55, if(YEAR(A386)=2025,XLOOKUP(B386,Lookup!$F$3:$F$10,Lookup!$H$3:$H$10,,1)*G386, XLOOKUP(B386,Lookup!$F$14:$F$21,Lookup!$H$14:$H$21,,1)*G386),0)</f>
        <v>0</v>
      </c>
      <c r="J386" s="60">
        <f t="array" ref="J386">if(YEAR(A386)=2025,XLOOKUP(B386,Lookup!$F$3:$F$10,Lookup!$I$3:$I$10,,1)*G386, XLOOKUP(B386,Lookup!$F$14:$F$21,Lookup!$I$14:$I$21,,1)*G386)</f>
        <v>839.936</v>
      </c>
      <c r="K386" s="60">
        <f t="array" ref="K386">if(B386&gt;54, if(YEAR(A386)=2025,XLOOKUP(B386,Lookup!$F$3:$F$10,Lookup!$H$3:$H$10,,1)*G386, XLOOKUP(B386,Lookup!$F$14:$F$21,Lookup!$H$14:$H$21,,1)*G386),0)</f>
        <v>919.904</v>
      </c>
      <c r="L386" s="62">
        <f>IF(and(A386&lt;questions!$C$19,questions!$C$18="yes"),questions!$C$20,0)</f>
        <v>0</v>
      </c>
      <c r="M386" s="63">
        <f>(Y385+H386)*Lookup!A$26/12</f>
        <v>1722.644225</v>
      </c>
      <c r="N386" s="63">
        <f>if(B386&lt;55, (Z385+I386)*Lookup!B$26/12, (AB385+K386)*Lookup!B$26/12)</f>
        <v>2445.153966</v>
      </c>
      <c r="O386" s="63">
        <f>(AA385+J386)*Lookup!C$26/12</f>
        <v>770.5911976</v>
      </c>
      <c r="P386" s="63">
        <f t="shared" si="8"/>
        <v>3441.37165</v>
      </c>
      <c r="Q386" s="63">
        <f t="shared" si="4"/>
        <v>4887.241585</v>
      </c>
      <c r="R386" s="63">
        <f t="shared" si="5"/>
        <v>1538.382608</v>
      </c>
      <c r="S386" s="64">
        <f t="shared" si="9"/>
        <v>33.33333333</v>
      </c>
      <c r="T386" s="64">
        <f t="shared" si="10"/>
        <v>41.66666667</v>
      </c>
      <c r="U386" s="64">
        <f t="shared" si="11"/>
        <v>0</v>
      </c>
      <c r="V386" s="64">
        <f t="shared" ref="V386:X386" si="394">IF(year($A386)=year($A385), V385+S386, S386)</f>
        <v>66.66666667</v>
      </c>
      <c r="W386" s="64">
        <f t="shared" si="394"/>
        <v>83.33333333</v>
      </c>
      <c r="X386" s="64">
        <f t="shared" si="394"/>
        <v>0</v>
      </c>
      <c r="Y386" s="65">
        <f>IFS(
  B386&lt;55,
    MAX(
      Y385 + IF(MONTH(A386)=12, P386+V386, 0) + H386 - L386
      + MAX(0,
          IF(AA385 &gt;= VLOOKUP(YEAR(A386), Lookup!$Q:$R, 2),
            Z385 + IF(MONTH(A386)=12, Q386+W386, 0) + I386
              + AA385 + IF(MONTH(A386)=12, R386+X386, 0)
              - VLOOKUP(YEAR(A386), Lookup!$Q:$R, 2) + J386,
            Z385 + IF(MONTH(A386)=12, Q386+W386, 0) + I386
          ) - VLOOKUP(YEAR(A386), Lookup!$K:$M, 3)
        ),
    0),
  B386=55,
    IF(Z385&gt;=AD386,
      MAX(Y385 + IF(MONTH(A386)=12, P386+V386, 0) + H386 - L386, 0),
      MAX(MAX(0, Y385-(AD386-Z385)) + IF(MONTH(A386)=12, P386+V386, 0) + H386 - L386, 0)
    ),
  B386&gt;55,
    IF(AB385&gt;=$AH$7,
      MAX(Y385 + IF(MONTH(A386)=12, P386+V386, 0) + H386 - L386 + K386 + Z385, 0),
      MAX(Y385 + IF(MONTH(A386)=12, P386+V386, 0) + H386 - L386, 0)
    )
)</f>
        <v>827789.132</v>
      </c>
      <c r="Z386" s="65">
        <f>IFS(
  B386&lt;55,
    MIN(
      IF(AA385 &gt;= VLOOKUP(YEAR(A386), Lookup!$Q:$R, 2),
        Z385 + IF(MONTH(A386)=12, Q386+W386, 0) + I386
          + AA385 + IF(MONTH(A386)=12, R386+X386, 0) - VLOOKUP(YEAR(A386), Lookup!$Q:$R, 2) + J386,
        Z385 + IF(MONTH(A386)=12, Q386+W386, 0) + I386
      ),
      VLOOKUP(YEAR(A386), Lookup!$K:$M, 3)
    ),
  B386=55,
    IF(Z385 &gt;= AD386, Z385 - AD386, 0),
  B386&gt;55, 0
)</f>
        <v>0</v>
      </c>
      <c r="AA386" s="65">
        <f>IFS(
  B386&lt;65,
    IF(AA385+J386 &lt; VLOOKUP(YEAR(A386), Lookup!$Q:$R, 2),
      AA385 + IF(MONTH(A386)=12, R385+X385, 0) + J386,
      MIN(
        AA385 + IF(MONTH(A386)=12, R385+X385, 0) + J386 ,
        VLOOKUP(YEAR(A386), Lookup!$Q:$R, 2)
      )
    ),
  B386&gt;=65,
    IF(AA385+J386 &lt; VLOOKUP(questions!$C$5, Lookup!$Q:$R, 2),
      AA385 + IF(MONTH(A386)=12, R385+X385, 0) + J386 ,
      MIN(
        AA385 + IF(MONTH(A386)=12, R385+X385, 0) + J386,
        VLOOKUP(questions!$C$5, Lookup!$Q:$R, 2)
      )
    )
)</f>
        <v>231177.3593</v>
      </c>
      <c r="AB386" s="65">
        <f t="shared" si="13"/>
        <v>733546.1897</v>
      </c>
      <c r="AC386" s="66">
        <f t="array" ref="AC386">IFS(B386&lt;66, XLOOKUP(year(A386),Lookup!$K$13:$K1000,Lookup!$L$13:$L1000,"missing",,1),B386&gt;65,XLOOKUP(questions!$C$5,Lookup!$K$13:$K1000,Lookup!$L$13:$L1000,"missing",,1))</f>
        <v>331464.0924</v>
      </c>
      <c r="AD386" s="66">
        <f t="array" ref="AD386">IFS(B386&lt;66, XLOOKUP(year(A386),Lookup!$K$13:$K1000,Lookup!$M$13:$M1000,"missing",,1),B386&gt;65, XLOOKUP(questions!$C$5,Lookup!$K$13:$K1000,Lookup!$M$13:$M1000,"missing",,1))</f>
        <v>662928.1847</v>
      </c>
      <c r="AE386" s="66">
        <f t="array" ref="AE386">IFS(B386&lt;66, XLOOKUP(year(A386),Lookup!$K$13:$K1000,Lookup!$N$13:$N1000,"missing",,1),B386&gt;65,XLOOKUP(questions!$C$5,Lookup!$K$13:$K1000,Lookup!$N$13:$N1000,"missing",,1))</f>
        <v>1325856.369</v>
      </c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</row>
    <row r="387">
      <c r="A387" s="55">
        <f t="shared" si="7"/>
        <v>57800</v>
      </c>
      <c r="B387" s="56">
        <f>round(YEARFRAC(EOMONTH(questions!$C$3, 0),A387,1),2)</f>
        <v>59.33</v>
      </c>
      <c r="C387" s="57">
        <f>IF(B387&lt;questions!$C$6,if(MONTH(A387)=1,C386*(1+questions!$C$12),C386),0)</f>
        <v>25750.82756</v>
      </c>
      <c r="D387" s="58">
        <f>IF(MONTH(A387)=12,C387*questions!$C$11,0)</f>
        <v>0</v>
      </c>
      <c r="E387" s="59">
        <f t="shared" si="2"/>
        <v>8000</v>
      </c>
      <c r="F387" s="59">
        <f t="shared" si="3"/>
        <v>0</v>
      </c>
      <c r="G387" s="60">
        <f t="array" ref="G387">if(YEAR(A387)=2025,XLOOKUP(B387,Lookup!$A$3:$A$7,Lookup!$D$3:$D$7,,1)*SUM(E387:F387), XLOOKUP(B387,Lookup!$A$14:$A$18,Lookup!$D$14:$D$18,,1)*SUM(E387:F387))</f>
        <v>2720</v>
      </c>
      <c r="H387" s="60">
        <f t="array" ref="H387">if(YEAR(A387)=2025,XLOOKUP(B387,Lookup!$F$3:$F$10,Lookup!$G$3:$G$10,,1)*G387, XLOOKUP(B387,Lookup!$F$14:$F$21,Lookup!$G$14:$G$21,,1)*G387)</f>
        <v>960.16</v>
      </c>
      <c r="I387" s="61">
        <f t="array" ref="I387">if(B387&lt;55, if(YEAR(A387)=2025,XLOOKUP(B387,Lookup!$F$3:$F$10,Lookup!$H$3:$H$10,,1)*G387, XLOOKUP(B387,Lookup!$F$14:$F$21,Lookup!$H$14:$H$21,,1)*G387),0)</f>
        <v>0</v>
      </c>
      <c r="J387" s="60">
        <f t="array" ref="J387">if(YEAR(A387)=2025,XLOOKUP(B387,Lookup!$F$3:$F$10,Lookup!$I$3:$I$10,,1)*G387, XLOOKUP(B387,Lookup!$F$14:$F$21,Lookup!$I$14:$I$21,,1)*G387)</f>
        <v>839.936</v>
      </c>
      <c r="K387" s="60">
        <f t="array" ref="K387">if(B387&gt;54, if(YEAR(A387)=2025,XLOOKUP(B387,Lookup!$F$3:$F$10,Lookup!$H$3:$H$10,,1)*G387, XLOOKUP(B387,Lookup!$F$14:$F$21,Lookup!$H$14:$H$21,,1)*G387),0)</f>
        <v>919.904</v>
      </c>
      <c r="L387" s="62">
        <f>IF(and(A387&lt;questions!$C$19,questions!$C$18="yes"),questions!$C$20,0)</f>
        <v>0</v>
      </c>
      <c r="M387" s="63">
        <f>(Y386+H387)*Lookup!A$26/12</f>
        <v>1726.561025</v>
      </c>
      <c r="N387" s="63">
        <f>if(B387&lt;55, (Z386+I387)*Lookup!B$26/12, (AB386+K387)*Lookup!B$26/12)</f>
        <v>2448.220312</v>
      </c>
      <c r="O387" s="63">
        <f>(AA386+J387)*Lookup!C$26/12</f>
        <v>773.3909842</v>
      </c>
      <c r="P387" s="63">
        <f t="shared" si="8"/>
        <v>5167.932675</v>
      </c>
      <c r="Q387" s="63">
        <f t="shared" si="4"/>
        <v>7335.461897</v>
      </c>
      <c r="R387" s="63">
        <f t="shared" si="5"/>
        <v>2311.773593</v>
      </c>
      <c r="S387" s="64">
        <f t="shared" si="9"/>
        <v>33.33333333</v>
      </c>
      <c r="T387" s="64">
        <f t="shared" si="10"/>
        <v>41.66666667</v>
      </c>
      <c r="U387" s="64">
        <f t="shared" si="11"/>
        <v>0</v>
      </c>
      <c r="V387" s="64">
        <f t="shared" ref="V387:X387" si="395">IF(year($A387)=year($A386), V386+S387, S387)</f>
        <v>100</v>
      </c>
      <c r="W387" s="64">
        <f t="shared" si="395"/>
        <v>125</v>
      </c>
      <c r="X387" s="64">
        <f t="shared" si="395"/>
        <v>0</v>
      </c>
      <c r="Y387" s="65">
        <f>IFS(
  B387&lt;55,
    MAX(
      Y386 + IF(MONTH(A387)=12, P387+V387, 0) + H387 - L387
      + MAX(0,
          IF(AA386 &gt;= VLOOKUP(YEAR(A387), Lookup!$Q:$R, 2),
            Z386 + IF(MONTH(A387)=12, Q387+W387, 0) + I387
              + AA386 + IF(MONTH(A387)=12, R387+X387, 0)
              - VLOOKUP(YEAR(A387), Lookup!$Q:$R, 2) + J387,
            Z386 + IF(MONTH(A387)=12, Q387+W387, 0) + I387
          ) - VLOOKUP(YEAR(A387), Lookup!$K:$M, 3)
        ),
    0),
  B387=55,
    IF(Z386&gt;=AD387,
      MAX(Y386 + IF(MONTH(A387)=12, P387+V387, 0) + H387 - L387, 0),
      MAX(MAX(0, Y386-(AD387-Z386)) + IF(MONTH(A387)=12, P387+V387, 0) + H387 - L387, 0)
    ),
  B387&gt;55,
    IF(AB386&gt;=$AH$7,
      MAX(Y386 + IF(MONTH(A387)=12, P387+V387, 0) + H387 - L387 + K387 + Z386, 0),
      MAX(Y386 + IF(MONTH(A387)=12, P387+V387, 0) + H387 - L387, 0)
    )
)</f>
        <v>829669.196</v>
      </c>
      <c r="Z387" s="65">
        <f>IFS(
  B387&lt;55,
    MIN(
      IF(AA386 &gt;= VLOOKUP(YEAR(A387), Lookup!$Q:$R, 2),
        Z386 + IF(MONTH(A387)=12, Q387+W387, 0) + I387
          + AA386 + IF(MONTH(A387)=12, R387+X387, 0) - VLOOKUP(YEAR(A387), Lookup!$Q:$R, 2) + J387,
        Z386 + IF(MONTH(A387)=12, Q387+W387, 0) + I387
      ),
      VLOOKUP(YEAR(A387), Lookup!$K:$M, 3)
    ),
  B387=55,
    IF(Z386 &gt;= AD387, Z386 - AD387, 0),
  B387&gt;55, 0
)</f>
        <v>0</v>
      </c>
      <c r="AA387" s="65">
        <f>IFS(
  B387&lt;65,
    IF(AA386+J387 &lt; VLOOKUP(YEAR(A387), Lookup!$Q:$R, 2),
      AA386 + IF(MONTH(A387)=12, R386+X386, 0) + J387,
      MIN(
        AA386 + IF(MONTH(A387)=12, R386+X386, 0) + J387 ,
        VLOOKUP(YEAR(A387), Lookup!$Q:$R, 2)
      )
    ),
  B387&gt;=65,
    IF(AA386+J387 &lt; VLOOKUP(questions!$C$5, Lookup!$Q:$R, 2),
      AA386 + IF(MONTH(A387)=12, R386+X386, 0) + J387 ,
      MIN(
        AA386 + IF(MONTH(A387)=12, R386+X386, 0) + J387,
        VLOOKUP(questions!$C$5, Lookup!$Q:$R, 2)
      )
    )
)</f>
        <v>232017.2953</v>
      </c>
      <c r="AB387" s="65">
        <f t="shared" si="13"/>
        <v>734466.0937</v>
      </c>
      <c r="AC387" s="66">
        <f t="array" ref="AC387">IFS(B387&lt;66, XLOOKUP(year(A387),Lookup!$K$13:$K1000,Lookup!$L$13:$L1000,"missing",,1),B387&gt;65,XLOOKUP(questions!$C$5,Lookup!$K$13:$K1000,Lookup!$L$13:$L1000,"missing",,1))</f>
        <v>331464.0924</v>
      </c>
      <c r="AD387" s="66">
        <f t="array" ref="AD387">IFS(B387&lt;66, XLOOKUP(year(A387),Lookup!$K$13:$K1000,Lookup!$M$13:$M1000,"missing",,1),B387&gt;65, XLOOKUP(questions!$C$5,Lookup!$K$13:$K1000,Lookup!$M$13:$M1000,"missing",,1))</f>
        <v>662928.1847</v>
      </c>
      <c r="AE387" s="66">
        <f t="array" ref="AE387">IFS(B387&lt;66, XLOOKUP(year(A387),Lookup!$K$13:$K1000,Lookup!$N$13:$N1000,"missing",,1),B387&gt;65,XLOOKUP(questions!$C$5,Lookup!$K$13:$K1000,Lookup!$N$13:$N1000,"missing",,1))</f>
        <v>1325856.369</v>
      </c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</row>
    <row r="388">
      <c r="A388" s="55">
        <f t="shared" si="7"/>
        <v>57830</v>
      </c>
      <c r="B388" s="56">
        <f>round(YEARFRAC(EOMONTH(questions!$C$3, 0),A388,1),2)</f>
        <v>59.41</v>
      </c>
      <c r="C388" s="57">
        <f>IF(B388&lt;questions!$C$6,if(MONTH(A388)=1,C387*(1+questions!$C$12),C387),0)</f>
        <v>25750.82756</v>
      </c>
      <c r="D388" s="58">
        <f>IF(MONTH(A388)=12,C388*questions!$C$11,0)</f>
        <v>0</v>
      </c>
      <c r="E388" s="59">
        <f t="shared" si="2"/>
        <v>8000</v>
      </c>
      <c r="F388" s="59">
        <f t="shared" si="3"/>
        <v>0</v>
      </c>
      <c r="G388" s="60">
        <f t="array" ref="G388">if(YEAR(A388)=2025,XLOOKUP(B388,Lookup!$A$3:$A$7,Lookup!$D$3:$D$7,,1)*SUM(E388:F388), XLOOKUP(B388,Lookup!$A$14:$A$18,Lookup!$D$14:$D$18,,1)*SUM(E388:F388))</f>
        <v>2720</v>
      </c>
      <c r="H388" s="60">
        <f t="array" ref="H388">if(YEAR(A388)=2025,XLOOKUP(B388,Lookup!$F$3:$F$10,Lookup!$G$3:$G$10,,1)*G388, XLOOKUP(B388,Lookup!$F$14:$F$21,Lookup!$G$14:$G$21,,1)*G388)</f>
        <v>960.16</v>
      </c>
      <c r="I388" s="61">
        <f t="array" ref="I388">if(B388&lt;55, if(YEAR(A388)=2025,XLOOKUP(B388,Lookup!$F$3:$F$10,Lookup!$H$3:$H$10,,1)*G388, XLOOKUP(B388,Lookup!$F$14:$F$21,Lookup!$H$14:$H$21,,1)*G388),0)</f>
        <v>0</v>
      </c>
      <c r="J388" s="60">
        <f t="array" ref="J388">if(YEAR(A388)=2025,XLOOKUP(B388,Lookup!$F$3:$F$10,Lookup!$I$3:$I$10,,1)*G388, XLOOKUP(B388,Lookup!$F$14:$F$21,Lookup!$I$14:$I$21,,1)*G388)</f>
        <v>839.936</v>
      </c>
      <c r="K388" s="60">
        <f t="array" ref="K388">if(B388&gt;54, if(YEAR(A388)=2025,XLOOKUP(B388,Lookup!$F$3:$F$10,Lookup!$H$3:$H$10,,1)*G388, XLOOKUP(B388,Lookup!$F$14:$F$21,Lookup!$H$14:$H$21,,1)*G388),0)</f>
        <v>919.904</v>
      </c>
      <c r="L388" s="62">
        <f>IF(and(A388&lt;questions!$C$19,questions!$C$18="yes"),questions!$C$20,0)</f>
        <v>0</v>
      </c>
      <c r="M388" s="63">
        <f>(Y387+H388)*Lookup!A$26/12</f>
        <v>1730.477825</v>
      </c>
      <c r="N388" s="63">
        <f>if(B388&lt;55, (Z387+I388)*Lookup!B$26/12, (AB387+K388)*Lookup!B$26/12)</f>
        <v>2451.286659</v>
      </c>
      <c r="O388" s="63">
        <f>(AA387+J388)*Lookup!C$26/12</f>
        <v>776.1907709</v>
      </c>
      <c r="P388" s="63">
        <f t="shared" si="8"/>
        <v>6898.4105</v>
      </c>
      <c r="Q388" s="63">
        <f t="shared" si="4"/>
        <v>9786.748557</v>
      </c>
      <c r="R388" s="63">
        <f t="shared" si="5"/>
        <v>3087.964364</v>
      </c>
      <c r="S388" s="64">
        <f t="shared" si="9"/>
        <v>33.33333333</v>
      </c>
      <c r="T388" s="64">
        <f t="shared" si="10"/>
        <v>41.66666667</v>
      </c>
      <c r="U388" s="64">
        <f t="shared" si="11"/>
        <v>0</v>
      </c>
      <c r="V388" s="64">
        <f t="shared" ref="V388:X388" si="396">IF(year($A388)=year($A387), V387+S388, S388)</f>
        <v>133.3333333</v>
      </c>
      <c r="W388" s="64">
        <f t="shared" si="396"/>
        <v>166.6666667</v>
      </c>
      <c r="X388" s="64">
        <f t="shared" si="396"/>
        <v>0</v>
      </c>
      <c r="Y388" s="65">
        <f>IFS(
  B388&lt;55,
    MAX(
      Y387 + IF(MONTH(A388)=12, P388+V388, 0) + H388 - L388
      + MAX(0,
          IF(AA387 &gt;= VLOOKUP(YEAR(A388), Lookup!$Q:$R, 2),
            Z387 + IF(MONTH(A388)=12, Q388+W388, 0) + I388
              + AA387 + IF(MONTH(A388)=12, R388+X388, 0)
              - VLOOKUP(YEAR(A388), Lookup!$Q:$R, 2) + J388,
            Z387 + IF(MONTH(A388)=12, Q388+W388, 0) + I388
          ) - VLOOKUP(YEAR(A388), Lookup!$K:$M, 3)
        ),
    0),
  B388=55,
    IF(Z387&gt;=AD388,
      MAX(Y387 + IF(MONTH(A388)=12, P388+V388, 0) + H388 - L388, 0),
      MAX(MAX(0, Y387-(AD388-Z387)) + IF(MONTH(A388)=12, P388+V388, 0) + H388 - L388, 0)
    ),
  B388&gt;55,
    IF(AB387&gt;=$AH$7,
      MAX(Y387 + IF(MONTH(A388)=12, P388+V388, 0) + H388 - L388 + K388 + Z387, 0),
      MAX(Y387 + IF(MONTH(A388)=12, P388+V388, 0) + H388 - L388, 0)
    )
)</f>
        <v>831549.26</v>
      </c>
      <c r="Z388" s="65">
        <f>IFS(
  B388&lt;55,
    MIN(
      IF(AA387 &gt;= VLOOKUP(YEAR(A388), Lookup!$Q:$R, 2),
        Z387 + IF(MONTH(A388)=12, Q388+W388, 0) + I388
          + AA387 + IF(MONTH(A388)=12, R388+X388, 0) - VLOOKUP(YEAR(A388), Lookup!$Q:$R, 2) + J388,
        Z387 + IF(MONTH(A388)=12, Q388+W388, 0) + I388
      ),
      VLOOKUP(YEAR(A388), Lookup!$K:$M, 3)
    ),
  B388=55,
    IF(Z387 &gt;= AD388, Z387 - AD388, 0),
  B388&gt;55, 0
)</f>
        <v>0</v>
      </c>
      <c r="AA388" s="65">
        <f>IFS(
  B388&lt;65,
    IF(AA387+J388 &lt; VLOOKUP(YEAR(A388), Lookup!$Q:$R, 2),
      AA387 + IF(MONTH(A388)=12, R387+X387, 0) + J388,
      MIN(
        AA387 + IF(MONTH(A388)=12, R387+X387, 0) + J388 ,
        VLOOKUP(YEAR(A388), Lookup!$Q:$R, 2)
      )
    ),
  B388&gt;=65,
    IF(AA387+J388 &lt; VLOOKUP(questions!$C$5, Lookup!$Q:$R, 2),
      AA387 + IF(MONTH(A388)=12, R387+X387, 0) + J388 ,
      MIN(
        AA387 + IF(MONTH(A388)=12, R387+X387, 0) + J388,
        VLOOKUP(questions!$C$5, Lookup!$Q:$R, 2)
      )
    )
)</f>
        <v>232857.2313</v>
      </c>
      <c r="AB388" s="65">
        <f t="shared" si="13"/>
        <v>735385.9977</v>
      </c>
      <c r="AC388" s="66">
        <f t="array" ref="AC388">IFS(B388&lt;66, XLOOKUP(year(A388),Lookup!$K$13:$K1000,Lookup!$L$13:$L1000,"missing",,1),B388&gt;65,XLOOKUP(questions!$C$5,Lookup!$K$13:$K1000,Lookup!$L$13:$L1000,"missing",,1))</f>
        <v>331464.0924</v>
      </c>
      <c r="AD388" s="66">
        <f t="array" ref="AD388">IFS(B388&lt;66, XLOOKUP(year(A388),Lookup!$K$13:$K1000,Lookup!$M$13:$M1000,"missing",,1),B388&gt;65, XLOOKUP(questions!$C$5,Lookup!$K$13:$K1000,Lookup!$M$13:$M1000,"missing",,1))</f>
        <v>662928.1847</v>
      </c>
      <c r="AE388" s="66">
        <f t="array" ref="AE388">IFS(B388&lt;66, XLOOKUP(year(A388),Lookup!$K$13:$K1000,Lookup!$N$13:$N1000,"missing",,1),B388&gt;65,XLOOKUP(questions!$C$5,Lookup!$K$13:$K1000,Lookup!$N$13:$N1000,"missing",,1))</f>
        <v>1325856.369</v>
      </c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</row>
    <row r="389">
      <c r="A389" s="55">
        <f t="shared" si="7"/>
        <v>57861</v>
      </c>
      <c r="B389" s="56">
        <f>round(YEARFRAC(EOMONTH(questions!$C$3, 0),A389,1),2)</f>
        <v>59.5</v>
      </c>
      <c r="C389" s="57">
        <f>IF(B389&lt;questions!$C$6,if(MONTH(A389)=1,C388*(1+questions!$C$12),C388),0)</f>
        <v>25750.82756</v>
      </c>
      <c r="D389" s="58">
        <f>IF(MONTH(A389)=12,C389*questions!$C$11,0)</f>
        <v>0</v>
      </c>
      <c r="E389" s="59">
        <f t="shared" si="2"/>
        <v>8000</v>
      </c>
      <c r="F389" s="59">
        <f t="shared" si="3"/>
        <v>0</v>
      </c>
      <c r="G389" s="60">
        <f t="array" ref="G389">if(YEAR(A389)=2025,XLOOKUP(B389,Lookup!$A$3:$A$7,Lookup!$D$3:$D$7,,1)*SUM(E389:F389), XLOOKUP(B389,Lookup!$A$14:$A$18,Lookup!$D$14:$D$18,,1)*SUM(E389:F389))</f>
        <v>2720</v>
      </c>
      <c r="H389" s="60">
        <f t="array" ref="H389">if(YEAR(A389)=2025,XLOOKUP(B389,Lookup!$F$3:$F$10,Lookup!$G$3:$G$10,,1)*G389, XLOOKUP(B389,Lookup!$F$14:$F$21,Lookup!$G$14:$G$21,,1)*G389)</f>
        <v>960.16</v>
      </c>
      <c r="I389" s="61">
        <f t="array" ref="I389">if(B389&lt;55, if(YEAR(A389)=2025,XLOOKUP(B389,Lookup!$F$3:$F$10,Lookup!$H$3:$H$10,,1)*G389, XLOOKUP(B389,Lookup!$F$14:$F$21,Lookup!$H$14:$H$21,,1)*G389),0)</f>
        <v>0</v>
      </c>
      <c r="J389" s="60">
        <f t="array" ref="J389">if(YEAR(A389)=2025,XLOOKUP(B389,Lookup!$F$3:$F$10,Lookup!$I$3:$I$10,,1)*G389, XLOOKUP(B389,Lookup!$F$14:$F$21,Lookup!$I$14:$I$21,,1)*G389)</f>
        <v>839.936</v>
      </c>
      <c r="K389" s="60">
        <f t="array" ref="K389">if(B389&gt;54, if(YEAR(A389)=2025,XLOOKUP(B389,Lookup!$F$3:$F$10,Lookup!$H$3:$H$10,,1)*G389, XLOOKUP(B389,Lookup!$F$14:$F$21,Lookup!$H$14:$H$21,,1)*G389),0)</f>
        <v>919.904</v>
      </c>
      <c r="L389" s="62">
        <f>IF(and(A389&lt;questions!$C$19,questions!$C$18="yes"),questions!$C$20,0)</f>
        <v>0</v>
      </c>
      <c r="M389" s="63">
        <f>(Y388+H389)*Lookup!A$26/12</f>
        <v>1734.394625</v>
      </c>
      <c r="N389" s="63">
        <f>if(B389&lt;55, (Z388+I389)*Lookup!B$26/12, (AB388+K389)*Lookup!B$26/12)</f>
        <v>2454.353006</v>
      </c>
      <c r="O389" s="63">
        <f>(AA388+J389)*Lookup!C$26/12</f>
        <v>778.9905576</v>
      </c>
      <c r="P389" s="63">
        <f t="shared" si="8"/>
        <v>8632.805125</v>
      </c>
      <c r="Q389" s="63">
        <f t="shared" si="4"/>
        <v>12241.10156</v>
      </c>
      <c r="R389" s="63">
        <f t="shared" si="5"/>
        <v>3866.954921</v>
      </c>
      <c r="S389" s="64">
        <f t="shared" si="9"/>
        <v>33.33333333</v>
      </c>
      <c r="T389" s="64">
        <f t="shared" si="10"/>
        <v>41.66666667</v>
      </c>
      <c r="U389" s="64">
        <f t="shared" si="11"/>
        <v>0</v>
      </c>
      <c r="V389" s="64">
        <f t="shared" ref="V389:X389" si="397">IF(year($A389)=year($A388), V388+S389, S389)</f>
        <v>166.6666667</v>
      </c>
      <c r="W389" s="64">
        <f t="shared" si="397"/>
        <v>208.3333333</v>
      </c>
      <c r="X389" s="64">
        <f t="shared" si="397"/>
        <v>0</v>
      </c>
      <c r="Y389" s="65">
        <f>IFS(
  B389&lt;55,
    MAX(
      Y388 + IF(MONTH(A389)=12, P389+V389, 0) + H389 - L389
      + MAX(0,
          IF(AA388 &gt;= VLOOKUP(YEAR(A389), Lookup!$Q:$R, 2),
            Z388 + IF(MONTH(A389)=12, Q389+W389, 0) + I389
              + AA388 + IF(MONTH(A389)=12, R389+X389, 0)
              - VLOOKUP(YEAR(A389), Lookup!$Q:$R, 2) + J389,
            Z388 + IF(MONTH(A389)=12, Q389+W389, 0) + I389
          ) - VLOOKUP(YEAR(A389), Lookup!$K:$M, 3)
        ),
    0),
  B389=55,
    IF(Z388&gt;=AD389,
      MAX(Y388 + IF(MONTH(A389)=12, P389+V389, 0) + H389 - L389, 0),
      MAX(MAX(0, Y388-(AD389-Z388)) + IF(MONTH(A389)=12, P389+V389, 0) + H389 - L389, 0)
    ),
  B389&gt;55,
    IF(AB388&gt;=$AH$7,
      MAX(Y388 + IF(MONTH(A389)=12, P389+V389, 0) + H389 - L389 + K389 + Z388, 0),
      MAX(Y388 + IF(MONTH(A389)=12, P389+V389, 0) + H389 - L389, 0)
    )
)</f>
        <v>833429.324</v>
      </c>
      <c r="Z389" s="65">
        <f>IFS(
  B389&lt;55,
    MIN(
      IF(AA388 &gt;= VLOOKUP(YEAR(A389), Lookup!$Q:$R, 2),
        Z388 + IF(MONTH(A389)=12, Q389+W389, 0) + I389
          + AA388 + IF(MONTH(A389)=12, R389+X389, 0) - VLOOKUP(YEAR(A389), Lookup!$Q:$R, 2) + J389,
        Z388 + IF(MONTH(A389)=12, Q389+W389, 0) + I389
      ),
      VLOOKUP(YEAR(A389), Lookup!$K:$M, 3)
    ),
  B389=55,
    IF(Z388 &gt;= AD389, Z388 - AD389, 0),
  B389&gt;55, 0
)</f>
        <v>0</v>
      </c>
      <c r="AA389" s="65">
        <f>IFS(
  B389&lt;65,
    IF(AA388+J389 &lt; VLOOKUP(YEAR(A389), Lookup!$Q:$R, 2),
      AA388 + IF(MONTH(A389)=12, R388+X388, 0) + J389,
      MIN(
        AA388 + IF(MONTH(A389)=12, R388+X388, 0) + J389 ,
        VLOOKUP(YEAR(A389), Lookup!$Q:$R, 2)
      )
    ),
  B389&gt;=65,
    IF(AA388+J389 &lt; VLOOKUP(questions!$C$5, Lookup!$Q:$R, 2),
      AA388 + IF(MONTH(A389)=12, R388+X388, 0) + J389 ,
      MIN(
        AA388 + IF(MONTH(A389)=12, R388+X388, 0) + J389,
        VLOOKUP(questions!$C$5, Lookup!$Q:$R, 2)
      )
    )
)</f>
        <v>233697.1673</v>
      </c>
      <c r="AB389" s="65">
        <f t="shared" si="13"/>
        <v>736305.9017</v>
      </c>
      <c r="AC389" s="66">
        <f t="array" ref="AC389">IFS(B389&lt;66, XLOOKUP(year(A389),Lookup!$K$13:$K1000,Lookup!$L$13:$L1000,"missing",,1),B389&gt;65,XLOOKUP(questions!$C$5,Lookup!$K$13:$K1000,Lookup!$L$13:$L1000,"missing",,1))</f>
        <v>331464.0924</v>
      </c>
      <c r="AD389" s="66">
        <f t="array" ref="AD389">IFS(B389&lt;66, XLOOKUP(year(A389),Lookup!$K$13:$K1000,Lookup!$M$13:$M1000,"missing",,1),B389&gt;65, XLOOKUP(questions!$C$5,Lookup!$K$13:$K1000,Lookup!$M$13:$M1000,"missing",,1))</f>
        <v>662928.1847</v>
      </c>
      <c r="AE389" s="66">
        <f t="array" ref="AE389">IFS(B389&lt;66, XLOOKUP(year(A389),Lookup!$K$13:$K1000,Lookup!$N$13:$N1000,"missing",,1),B389&gt;65,XLOOKUP(questions!$C$5,Lookup!$K$13:$K1000,Lookup!$N$13:$N1000,"missing",,1))</f>
        <v>1325856.369</v>
      </c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</row>
    <row r="390">
      <c r="A390" s="55">
        <f t="shared" si="7"/>
        <v>57891</v>
      </c>
      <c r="B390" s="56">
        <f>round(YEARFRAC(EOMONTH(questions!$C$3, 0),A390,1),2)</f>
        <v>59.58</v>
      </c>
      <c r="C390" s="57">
        <f>IF(B390&lt;questions!$C$6,if(MONTH(A390)=1,C389*(1+questions!$C$12),C389),0)</f>
        <v>25750.82756</v>
      </c>
      <c r="D390" s="58">
        <f>IF(MONTH(A390)=12,C390*questions!$C$11,0)</f>
        <v>0</v>
      </c>
      <c r="E390" s="59">
        <f t="shared" si="2"/>
        <v>8000</v>
      </c>
      <c r="F390" s="59">
        <f t="shared" si="3"/>
        <v>0</v>
      </c>
      <c r="G390" s="60">
        <f t="array" ref="G390">if(YEAR(A390)=2025,XLOOKUP(B390,Lookup!$A$3:$A$7,Lookup!$D$3:$D$7,,1)*SUM(E390:F390), XLOOKUP(B390,Lookup!$A$14:$A$18,Lookup!$D$14:$D$18,,1)*SUM(E390:F390))</f>
        <v>2720</v>
      </c>
      <c r="H390" s="60">
        <f t="array" ref="H390">if(YEAR(A390)=2025,XLOOKUP(B390,Lookup!$F$3:$F$10,Lookup!$G$3:$G$10,,1)*G390, XLOOKUP(B390,Lookup!$F$14:$F$21,Lookup!$G$14:$G$21,,1)*G390)</f>
        <v>960.16</v>
      </c>
      <c r="I390" s="61">
        <f t="array" ref="I390">if(B390&lt;55, if(YEAR(A390)=2025,XLOOKUP(B390,Lookup!$F$3:$F$10,Lookup!$H$3:$H$10,,1)*G390, XLOOKUP(B390,Lookup!$F$14:$F$21,Lookup!$H$14:$H$21,,1)*G390),0)</f>
        <v>0</v>
      </c>
      <c r="J390" s="60">
        <f t="array" ref="J390">if(YEAR(A390)=2025,XLOOKUP(B390,Lookup!$F$3:$F$10,Lookup!$I$3:$I$10,,1)*G390, XLOOKUP(B390,Lookup!$F$14:$F$21,Lookup!$I$14:$I$21,,1)*G390)</f>
        <v>839.936</v>
      </c>
      <c r="K390" s="60">
        <f t="array" ref="K390">if(B390&gt;54, if(YEAR(A390)=2025,XLOOKUP(B390,Lookup!$F$3:$F$10,Lookup!$H$3:$H$10,,1)*G390, XLOOKUP(B390,Lookup!$F$14:$F$21,Lookup!$H$14:$H$21,,1)*G390),0)</f>
        <v>919.904</v>
      </c>
      <c r="L390" s="62">
        <f>IF(and(A390&lt;questions!$C$19,questions!$C$18="yes"),questions!$C$20,0)</f>
        <v>0</v>
      </c>
      <c r="M390" s="63">
        <f>(Y389+H390)*Lookup!A$26/12</f>
        <v>1738.311425</v>
      </c>
      <c r="N390" s="63">
        <f>if(B390&lt;55, (Z389+I390)*Lookup!B$26/12, (AB389+K390)*Lookup!B$26/12)</f>
        <v>2457.419352</v>
      </c>
      <c r="O390" s="63">
        <f>(AA389+J390)*Lookup!C$26/12</f>
        <v>781.7903442</v>
      </c>
      <c r="P390" s="63">
        <f t="shared" si="8"/>
        <v>10371.11655</v>
      </c>
      <c r="Q390" s="63">
        <f t="shared" si="4"/>
        <v>14698.52091</v>
      </c>
      <c r="R390" s="63">
        <f t="shared" si="5"/>
        <v>4648.745265</v>
      </c>
      <c r="S390" s="64">
        <f t="shared" si="9"/>
        <v>33.33333333</v>
      </c>
      <c r="T390" s="64">
        <f t="shared" si="10"/>
        <v>41.66666667</v>
      </c>
      <c r="U390" s="64">
        <f t="shared" si="11"/>
        <v>0</v>
      </c>
      <c r="V390" s="64">
        <f t="shared" ref="V390:X390" si="398">IF(year($A390)=year($A389), V389+S390, S390)</f>
        <v>200</v>
      </c>
      <c r="W390" s="64">
        <f t="shared" si="398"/>
        <v>250</v>
      </c>
      <c r="X390" s="64">
        <f t="shared" si="398"/>
        <v>0</v>
      </c>
      <c r="Y390" s="65">
        <f>IFS(
  B390&lt;55,
    MAX(
      Y389 + IF(MONTH(A390)=12, P390+V390, 0) + H390 - L390
      + MAX(0,
          IF(AA389 &gt;= VLOOKUP(YEAR(A390), Lookup!$Q:$R, 2),
            Z389 + IF(MONTH(A390)=12, Q390+W390, 0) + I390
              + AA389 + IF(MONTH(A390)=12, R390+X390, 0)
              - VLOOKUP(YEAR(A390), Lookup!$Q:$R, 2) + J390,
            Z389 + IF(MONTH(A390)=12, Q390+W390, 0) + I390
          ) - VLOOKUP(YEAR(A390), Lookup!$K:$M, 3)
        ),
    0),
  B390=55,
    IF(Z389&gt;=AD390,
      MAX(Y389 + IF(MONTH(A390)=12, P390+V390, 0) + H390 - L390, 0),
      MAX(MAX(0, Y389-(AD390-Z389)) + IF(MONTH(A390)=12, P390+V390, 0) + H390 - L390, 0)
    ),
  B390&gt;55,
    IF(AB389&gt;=$AH$7,
      MAX(Y389 + IF(MONTH(A390)=12, P390+V390, 0) + H390 - L390 + K390 + Z389, 0),
      MAX(Y389 + IF(MONTH(A390)=12, P390+V390, 0) + H390 - L390, 0)
    )
)</f>
        <v>835309.388</v>
      </c>
      <c r="Z390" s="65">
        <f>IFS(
  B390&lt;55,
    MIN(
      IF(AA389 &gt;= VLOOKUP(YEAR(A390), Lookup!$Q:$R, 2),
        Z389 + IF(MONTH(A390)=12, Q390+W390, 0) + I390
          + AA389 + IF(MONTH(A390)=12, R390+X390, 0) - VLOOKUP(YEAR(A390), Lookup!$Q:$R, 2) + J390,
        Z389 + IF(MONTH(A390)=12, Q390+W390, 0) + I390
      ),
      VLOOKUP(YEAR(A390), Lookup!$K:$M, 3)
    ),
  B390=55,
    IF(Z389 &gt;= AD390, Z389 - AD390, 0),
  B390&gt;55, 0
)</f>
        <v>0</v>
      </c>
      <c r="AA390" s="65">
        <f>IFS(
  B390&lt;65,
    IF(AA389+J390 &lt; VLOOKUP(YEAR(A390), Lookup!$Q:$R, 2),
      AA389 + IF(MONTH(A390)=12, R389+X389, 0) + J390,
      MIN(
        AA389 + IF(MONTH(A390)=12, R389+X389, 0) + J390 ,
        VLOOKUP(YEAR(A390), Lookup!$Q:$R, 2)
      )
    ),
  B390&gt;=65,
    IF(AA389+J390 &lt; VLOOKUP(questions!$C$5, Lookup!$Q:$R, 2),
      AA389 + IF(MONTH(A390)=12, R389+X389, 0) + J390 ,
      MIN(
        AA389 + IF(MONTH(A390)=12, R389+X389, 0) + J390,
        VLOOKUP(questions!$C$5, Lookup!$Q:$R, 2)
      )
    )
)</f>
        <v>234537.1033</v>
      </c>
      <c r="AB390" s="65">
        <f t="shared" si="13"/>
        <v>737225.8057</v>
      </c>
      <c r="AC390" s="66">
        <f t="array" ref="AC390">IFS(B390&lt;66, XLOOKUP(year(A390),Lookup!$K$13:$K1000,Lookup!$L$13:$L1000,"missing",,1),B390&gt;65,XLOOKUP(questions!$C$5,Lookup!$K$13:$K1000,Lookup!$L$13:$L1000,"missing",,1))</f>
        <v>331464.0924</v>
      </c>
      <c r="AD390" s="66">
        <f t="array" ref="AD390">IFS(B390&lt;66, XLOOKUP(year(A390),Lookup!$K$13:$K1000,Lookup!$M$13:$M1000,"missing",,1),B390&gt;65, XLOOKUP(questions!$C$5,Lookup!$K$13:$K1000,Lookup!$M$13:$M1000,"missing",,1))</f>
        <v>662928.1847</v>
      </c>
      <c r="AE390" s="66">
        <f t="array" ref="AE390">IFS(B390&lt;66, XLOOKUP(year(A390),Lookup!$K$13:$K1000,Lookup!$N$13:$N1000,"missing",,1),B390&gt;65,XLOOKUP(questions!$C$5,Lookup!$K$13:$K1000,Lookup!$N$13:$N1000,"missing",,1))</f>
        <v>1325856.369</v>
      </c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</row>
    <row r="391">
      <c r="A391" s="55">
        <f t="shared" si="7"/>
        <v>57922</v>
      </c>
      <c r="B391" s="56">
        <f>round(YEARFRAC(EOMONTH(questions!$C$3, 0),A391,1),2)</f>
        <v>59.67</v>
      </c>
      <c r="C391" s="57">
        <f>IF(B391&lt;questions!$C$6,if(MONTH(A391)=1,C390*(1+questions!$C$12),C390),0)</f>
        <v>25750.82756</v>
      </c>
      <c r="D391" s="58">
        <f>IF(MONTH(A391)=12,C391*questions!$C$11,0)</f>
        <v>0</v>
      </c>
      <c r="E391" s="59">
        <f t="shared" si="2"/>
        <v>8000</v>
      </c>
      <c r="F391" s="59">
        <f t="shared" si="3"/>
        <v>0</v>
      </c>
      <c r="G391" s="60">
        <f t="array" ref="G391">if(YEAR(A391)=2025,XLOOKUP(B391,Lookup!$A$3:$A$7,Lookup!$D$3:$D$7,,1)*SUM(E391:F391), XLOOKUP(B391,Lookup!$A$14:$A$18,Lookup!$D$14:$D$18,,1)*SUM(E391:F391))</f>
        <v>2720</v>
      </c>
      <c r="H391" s="60">
        <f t="array" ref="H391">if(YEAR(A391)=2025,XLOOKUP(B391,Lookup!$F$3:$F$10,Lookup!$G$3:$G$10,,1)*G391, XLOOKUP(B391,Lookup!$F$14:$F$21,Lookup!$G$14:$G$21,,1)*G391)</f>
        <v>960.16</v>
      </c>
      <c r="I391" s="61">
        <f t="array" ref="I391">if(B391&lt;55, if(YEAR(A391)=2025,XLOOKUP(B391,Lookup!$F$3:$F$10,Lookup!$H$3:$H$10,,1)*G391, XLOOKUP(B391,Lookup!$F$14:$F$21,Lookup!$H$14:$H$21,,1)*G391),0)</f>
        <v>0</v>
      </c>
      <c r="J391" s="60">
        <f t="array" ref="J391">if(YEAR(A391)=2025,XLOOKUP(B391,Lookup!$F$3:$F$10,Lookup!$I$3:$I$10,,1)*G391, XLOOKUP(B391,Lookup!$F$14:$F$21,Lookup!$I$14:$I$21,,1)*G391)</f>
        <v>839.936</v>
      </c>
      <c r="K391" s="60">
        <f t="array" ref="K391">if(B391&gt;54, if(YEAR(A391)=2025,XLOOKUP(B391,Lookup!$F$3:$F$10,Lookup!$H$3:$H$10,,1)*G391, XLOOKUP(B391,Lookup!$F$14:$F$21,Lookup!$H$14:$H$21,,1)*G391),0)</f>
        <v>919.904</v>
      </c>
      <c r="L391" s="62">
        <f>IF(and(A391&lt;questions!$C$19,questions!$C$18="yes"),questions!$C$20,0)</f>
        <v>0</v>
      </c>
      <c r="M391" s="63">
        <f>(Y390+H391)*Lookup!A$26/12</f>
        <v>1742.228225</v>
      </c>
      <c r="N391" s="63">
        <f>if(B391&lt;55, (Z390+I391)*Lookup!B$26/12, (AB390+K391)*Lookup!B$26/12)</f>
        <v>2460.485699</v>
      </c>
      <c r="O391" s="63">
        <f>(AA390+J391)*Lookup!C$26/12</f>
        <v>784.5901309</v>
      </c>
      <c r="P391" s="63">
        <f t="shared" si="8"/>
        <v>12113.34478</v>
      </c>
      <c r="Q391" s="63">
        <f t="shared" si="4"/>
        <v>17159.00661</v>
      </c>
      <c r="R391" s="63">
        <f t="shared" si="5"/>
        <v>5433.335396</v>
      </c>
      <c r="S391" s="64">
        <f t="shared" si="9"/>
        <v>33.33333333</v>
      </c>
      <c r="T391" s="64">
        <f t="shared" si="10"/>
        <v>41.66666667</v>
      </c>
      <c r="U391" s="64">
        <f t="shared" si="11"/>
        <v>0</v>
      </c>
      <c r="V391" s="64">
        <f t="shared" ref="V391:X391" si="399">IF(year($A391)=year($A390), V390+S391, S391)</f>
        <v>233.3333333</v>
      </c>
      <c r="W391" s="64">
        <f t="shared" si="399"/>
        <v>291.6666667</v>
      </c>
      <c r="X391" s="64">
        <f t="shared" si="399"/>
        <v>0</v>
      </c>
      <c r="Y391" s="65">
        <f>IFS(
  B391&lt;55,
    MAX(
      Y390 + IF(MONTH(A391)=12, P391+V391, 0) + H391 - L391
      + MAX(0,
          IF(AA390 &gt;= VLOOKUP(YEAR(A391), Lookup!$Q:$R, 2),
            Z390 + IF(MONTH(A391)=12, Q391+W391, 0) + I391
              + AA390 + IF(MONTH(A391)=12, R391+X391, 0)
              - VLOOKUP(YEAR(A391), Lookup!$Q:$R, 2) + J391,
            Z390 + IF(MONTH(A391)=12, Q391+W391, 0) + I391
          ) - VLOOKUP(YEAR(A391), Lookup!$K:$M, 3)
        ),
    0),
  B391=55,
    IF(Z390&gt;=AD391,
      MAX(Y390 + IF(MONTH(A391)=12, P391+V391, 0) + H391 - L391, 0),
      MAX(MAX(0, Y390-(AD391-Z390)) + IF(MONTH(A391)=12, P391+V391, 0) + H391 - L391, 0)
    ),
  B391&gt;55,
    IF(AB390&gt;=$AH$7,
      MAX(Y390 + IF(MONTH(A391)=12, P391+V391, 0) + H391 - L391 + K391 + Z390, 0),
      MAX(Y390 + IF(MONTH(A391)=12, P391+V391, 0) + H391 - L391, 0)
    )
)</f>
        <v>837189.452</v>
      </c>
      <c r="Z391" s="65">
        <f>IFS(
  B391&lt;55,
    MIN(
      IF(AA390 &gt;= VLOOKUP(YEAR(A391), Lookup!$Q:$R, 2),
        Z390 + IF(MONTH(A391)=12, Q391+W391, 0) + I391
          + AA390 + IF(MONTH(A391)=12, R391+X391, 0) - VLOOKUP(YEAR(A391), Lookup!$Q:$R, 2) + J391,
        Z390 + IF(MONTH(A391)=12, Q391+W391, 0) + I391
      ),
      VLOOKUP(YEAR(A391), Lookup!$K:$M, 3)
    ),
  B391=55,
    IF(Z390 &gt;= AD391, Z390 - AD391, 0),
  B391&gt;55, 0
)</f>
        <v>0</v>
      </c>
      <c r="AA391" s="65">
        <f>IFS(
  B391&lt;65,
    IF(AA390+J391 &lt; VLOOKUP(YEAR(A391), Lookup!$Q:$R, 2),
      AA390 + IF(MONTH(A391)=12, R390+X390, 0) + J391,
      MIN(
        AA390 + IF(MONTH(A391)=12, R390+X390, 0) + J391 ,
        VLOOKUP(YEAR(A391), Lookup!$Q:$R, 2)
      )
    ),
  B391&gt;=65,
    IF(AA390+J391 &lt; VLOOKUP(questions!$C$5, Lookup!$Q:$R, 2),
      AA390 + IF(MONTH(A391)=12, R390+X390, 0) + J391 ,
      MIN(
        AA390 + IF(MONTH(A391)=12, R390+X390, 0) + J391,
        VLOOKUP(questions!$C$5, Lookup!$Q:$R, 2)
      )
    )
)</f>
        <v>235377.0393</v>
      </c>
      <c r="AB391" s="65">
        <f t="shared" si="13"/>
        <v>738145.7097</v>
      </c>
      <c r="AC391" s="66">
        <f t="array" ref="AC391">IFS(B391&lt;66, XLOOKUP(year(A391),Lookup!$K$13:$K1000,Lookup!$L$13:$L1000,"missing",,1),B391&gt;65,XLOOKUP(questions!$C$5,Lookup!$K$13:$K1000,Lookup!$L$13:$L1000,"missing",,1))</f>
        <v>331464.0924</v>
      </c>
      <c r="AD391" s="66">
        <f t="array" ref="AD391">IFS(B391&lt;66, XLOOKUP(year(A391),Lookup!$K$13:$K1000,Lookup!$M$13:$M1000,"missing",,1),B391&gt;65, XLOOKUP(questions!$C$5,Lookup!$K$13:$K1000,Lookup!$M$13:$M1000,"missing",,1))</f>
        <v>662928.1847</v>
      </c>
      <c r="AE391" s="66">
        <f t="array" ref="AE391">IFS(B391&lt;66, XLOOKUP(year(A391),Lookup!$K$13:$K1000,Lookup!$N$13:$N1000,"missing",,1),B391&gt;65,XLOOKUP(questions!$C$5,Lookup!$K$13:$K1000,Lookup!$N$13:$N1000,"missing",,1))</f>
        <v>1325856.369</v>
      </c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</row>
    <row r="392">
      <c r="A392" s="55">
        <f t="shared" si="7"/>
        <v>57953</v>
      </c>
      <c r="B392" s="56">
        <f>round(YEARFRAC(EOMONTH(questions!$C$3, 0),A392,1),2)</f>
        <v>59.75</v>
      </c>
      <c r="C392" s="57">
        <f>IF(B392&lt;questions!$C$6,if(MONTH(A392)=1,C391*(1+questions!$C$12),C391),0)</f>
        <v>25750.82756</v>
      </c>
      <c r="D392" s="58">
        <f>IF(MONTH(A392)=12,C392*questions!$C$11,0)</f>
        <v>0</v>
      </c>
      <c r="E392" s="59">
        <f t="shared" si="2"/>
        <v>8000</v>
      </c>
      <c r="F392" s="59">
        <f t="shared" si="3"/>
        <v>0</v>
      </c>
      <c r="G392" s="60">
        <f t="array" ref="G392">if(YEAR(A392)=2025,XLOOKUP(B392,Lookup!$A$3:$A$7,Lookup!$D$3:$D$7,,1)*SUM(E392:F392), XLOOKUP(B392,Lookup!$A$14:$A$18,Lookup!$D$14:$D$18,,1)*SUM(E392:F392))</f>
        <v>2720</v>
      </c>
      <c r="H392" s="60">
        <f t="array" ref="H392">if(YEAR(A392)=2025,XLOOKUP(B392,Lookup!$F$3:$F$10,Lookup!$G$3:$G$10,,1)*G392, XLOOKUP(B392,Lookup!$F$14:$F$21,Lookup!$G$14:$G$21,,1)*G392)</f>
        <v>960.16</v>
      </c>
      <c r="I392" s="61">
        <f t="array" ref="I392">if(B392&lt;55, if(YEAR(A392)=2025,XLOOKUP(B392,Lookup!$F$3:$F$10,Lookup!$H$3:$H$10,,1)*G392, XLOOKUP(B392,Lookup!$F$14:$F$21,Lookup!$H$14:$H$21,,1)*G392),0)</f>
        <v>0</v>
      </c>
      <c r="J392" s="60">
        <f t="array" ref="J392">if(YEAR(A392)=2025,XLOOKUP(B392,Lookup!$F$3:$F$10,Lookup!$I$3:$I$10,,1)*G392, XLOOKUP(B392,Lookup!$F$14:$F$21,Lookup!$I$14:$I$21,,1)*G392)</f>
        <v>839.936</v>
      </c>
      <c r="K392" s="60">
        <f t="array" ref="K392">if(B392&gt;54, if(YEAR(A392)=2025,XLOOKUP(B392,Lookup!$F$3:$F$10,Lookup!$H$3:$H$10,,1)*G392, XLOOKUP(B392,Lookup!$F$14:$F$21,Lookup!$H$14:$H$21,,1)*G392),0)</f>
        <v>919.904</v>
      </c>
      <c r="L392" s="62">
        <f>IF(and(A392&lt;questions!$C$19,questions!$C$18="yes"),questions!$C$20,0)</f>
        <v>0</v>
      </c>
      <c r="M392" s="63">
        <f>(Y391+H392)*Lookup!A$26/12</f>
        <v>1746.145025</v>
      </c>
      <c r="N392" s="63">
        <f>if(B392&lt;55, (Z391+I392)*Lookup!B$26/12, (AB391+K392)*Lookup!B$26/12)</f>
        <v>2463.552046</v>
      </c>
      <c r="O392" s="63">
        <f>(AA391+J392)*Lookup!C$26/12</f>
        <v>787.3899176</v>
      </c>
      <c r="P392" s="63">
        <f t="shared" si="8"/>
        <v>13859.4898</v>
      </c>
      <c r="Q392" s="63">
        <f t="shared" si="4"/>
        <v>19622.55866</v>
      </c>
      <c r="R392" s="63">
        <f t="shared" si="5"/>
        <v>6220.725314</v>
      </c>
      <c r="S392" s="64">
        <f t="shared" si="9"/>
        <v>33.33333333</v>
      </c>
      <c r="T392" s="64">
        <f t="shared" si="10"/>
        <v>41.66666667</v>
      </c>
      <c r="U392" s="64">
        <f t="shared" si="11"/>
        <v>0</v>
      </c>
      <c r="V392" s="64">
        <f t="shared" ref="V392:X392" si="400">IF(year($A392)=year($A391), V391+S392, S392)</f>
        <v>266.6666667</v>
      </c>
      <c r="W392" s="64">
        <f t="shared" si="400"/>
        <v>333.3333333</v>
      </c>
      <c r="X392" s="64">
        <f t="shared" si="400"/>
        <v>0</v>
      </c>
      <c r="Y392" s="65">
        <f>IFS(
  B392&lt;55,
    MAX(
      Y391 + IF(MONTH(A392)=12, P392+V392, 0) + H392 - L392
      + MAX(0,
          IF(AA391 &gt;= VLOOKUP(YEAR(A392), Lookup!$Q:$R, 2),
            Z391 + IF(MONTH(A392)=12, Q392+W392, 0) + I392
              + AA391 + IF(MONTH(A392)=12, R392+X392, 0)
              - VLOOKUP(YEAR(A392), Lookup!$Q:$R, 2) + J392,
            Z391 + IF(MONTH(A392)=12, Q392+W392, 0) + I392
          ) - VLOOKUP(YEAR(A392), Lookup!$K:$M, 3)
        ),
    0),
  B392=55,
    IF(Z391&gt;=AD392,
      MAX(Y391 + IF(MONTH(A392)=12, P392+V392, 0) + H392 - L392, 0),
      MAX(MAX(0, Y391-(AD392-Z391)) + IF(MONTH(A392)=12, P392+V392, 0) + H392 - L392, 0)
    ),
  B392&gt;55,
    IF(AB391&gt;=$AH$7,
      MAX(Y391 + IF(MONTH(A392)=12, P392+V392, 0) + H392 - L392 + K392 + Z391, 0),
      MAX(Y391 + IF(MONTH(A392)=12, P392+V392, 0) + H392 - L392, 0)
    )
)</f>
        <v>839069.516</v>
      </c>
      <c r="Z392" s="65">
        <f>IFS(
  B392&lt;55,
    MIN(
      IF(AA391 &gt;= VLOOKUP(YEAR(A392), Lookup!$Q:$R, 2),
        Z391 + IF(MONTH(A392)=12, Q392+W392, 0) + I392
          + AA391 + IF(MONTH(A392)=12, R392+X392, 0) - VLOOKUP(YEAR(A392), Lookup!$Q:$R, 2) + J392,
        Z391 + IF(MONTH(A392)=12, Q392+W392, 0) + I392
      ),
      VLOOKUP(YEAR(A392), Lookup!$K:$M, 3)
    ),
  B392=55,
    IF(Z391 &gt;= AD392, Z391 - AD392, 0),
  B392&gt;55, 0
)</f>
        <v>0</v>
      </c>
      <c r="AA392" s="65">
        <f>IFS(
  B392&lt;65,
    IF(AA391+J392 &lt; VLOOKUP(YEAR(A392), Lookup!$Q:$R, 2),
      AA391 + IF(MONTH(A392)=12, R391+X391, 0) + J392,
      MIN(
        AA391 + IF(MONTH(A392)=12, R391+X391, 0) + J392 ,
        VLOOKUP(YEAR(A392), Lookup!$Q:$R, 2)
      )
    ),
  B392&gt;=65,
    IF(AA391+J392 &lt; VLOOKUP(questions!$C$5, Lookup!$Q:$R, 2),
      AA391 + IF(MONTH(A392)=12, R391+X391, 0) + J392 ,
      MIN(
        AA391 + IF(MONTH(A392)=12, R391+X391, 0) + J392,
        VLOOKUP(questions!$C$5, Lookup!$Q:$R, 2)
      )
    )
)</f>
        <v>236216.9753</v>
      </c>
      <c r="AB392" s="65">
        <f t="shared" si="13"/>
        <v>739065.6137</v>
      </c>
      <c r="AC392" s="66">
        <f t="array" ref="AC392">IFS(B392&lt;66, XLOOKUP(year(A392),Lookup!$K$13:$K1000,Lookup!$L$13:$L1000,"missing",,1),B392&gt;65,XLOOKUP(questions!$C$5,Lookup!$K$13:$K1000,Lookup!$L$13:$L1000,"missing",,1))</f>
        <v>331464.0924</v>
      </c>
      <c r="AD392" s="66">
        <f t="array" ref="AD392">IFS(B392&lt;66, XLOOKUP(year(A392),Lookup!$K$13:$K1000,Lookup!$M$13:$M1000,"missing",,1),B392&gt;65, XLOOKUP(questions!$C$5,Lookup!$K$13:$K1000,Lookup!$M$13:$M1000,"missing",,1))</f>
        <v>662928.1847</v>
      </c>
      <c r="AE392" s="66">
        <f t="array" ref="AE392">IFS(B392&lt;66, XLOOKUP(year(A392),Lookup!$K$13:$K1000,Lookup!$N$13:$N1000,"missing",,1),B392&gt;65,XLOOKUP(questions!$C$5,Lookup!$K$13:$K1000,Lookup!$N$13:$N1000,"missing",,1))</f>
        <v>1325856.369</v>
      </c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</row>
    <row r="393">
      <c r="A393" s="55">
        <f t="shared" si="7"/>
        <v>57983</v>
      </c>
      <c r="B393" s="56">
        <f>round(YEARFRAC(EOMONTH(questions!$C$3, 0),A393,1),2)</f>
        <v>59.83</v>
      </c>
      <c r="C393" s="57">
        <f>IF(B393&lt;questions!$C$6,if(MONTH(A393)=1,C392*(1+questions!$C$12),C392),0)</f>
        <v>25750.82756</v>
      </c>
      <c r="D393" s="58">
        <f>IF(MONTH(A393)=12,C393*questions!$C$11,0)</f>
        <v>0</v>
      </c>
      <c r="E393" s="59">
        <f t="shared" si="2"/>
        <v>8000</v>
      </c>
      <c r="F393" s="59">
        <f t="shared" si="3"/>
        <v>0</v>
      </c>
      <c r="G393" s="60">
        <f t="array" ref="G393">if(YEAR(A393)=2025,XLOOKUP(B393,Lookup!$A$3:$A$7,Lookup!$D$3:$D$7,,1)*SUM(E393:F393), XLOOKUP(B393,Lookup!$A$14:$A$18,Lookup!$D$14:$D$18,,1)*SUM(E393:F393))</f>
        <v>2720</v>
      </c>
      <c r="H393" s="60">
        <f t="array" ref="H393">if(YEAR(A393)=2025,XLOOKUP(B393,Lookup!$F$3:$F$10,Lookup!$G$3:$G$10,,1)*G393, XLOOKUP(B393,Lookup!$F$14:$F$21,Lookup!$G$14:$G$21,,1)*G393)</f>
        <v>960.16</v>
      </c>
      <c r="I393" s="61">
        <f t="array" ref="I393">if(B393&lt;55, if(YEAR(A393)=2025,XLOOKUP(B393,Lookup!$F$3:$F$10,Lookup!$H$3:$H$10,,1)*G393, XLOOKUP(B393,Lookup!$F$14:$F$21,Lookup!$H$14:$H$21,,1)*G393),0)</f>
        <v>0</v>
      </c>
      <c r="J393" s="60">
        <f t="array" ref="J393">if(YEAR(A393)=2025,XLOOKUP(B393,Lookup!$F$3:$F$10,Lookup!$I$3:$I$10,,1)*G393, XLOOKUP(B393,Lookup!$F$14:$F$21,Lookup!$I$14:$I$21,,1)*G393)</f>
        <v>839.936</v>
      </c>
      <c r="K393" s="60">
        <f t="array" ref="K393">if(B393&gt;54, if(YEAR(A393)=2025,XLOOKUP(B393,Lookup!$F$3:$F$10,Lookup!$H$3:$H$10,,1)*G393, XLOOKUP(B393,Lookup!$F$14:$F$21,Lookup!$H$14:$H$21,,1)*G393),0)</f>
        <v>919.904</v>
      </c>
      <c r="L393" s="62">
        <f>IF(and(A393&lt;questions!$C$19,questions!$C$18="yes"),questions!$C$20,0)</f>
        <v>0</v>
      </c>
      <c r="M393" s="63">
        <f>(Y392+H393)*Lookup!A$26/12</f>
        <v>1750.061825</v>
      </c>
      <c r="N393" s="63">
        <f>if(B393&lt;55, (Z392+I393)*Lookup!B$26/12, (AB392+K393)*Lookup!B$26/12)</f>
        <v>2466.618392</v>
      </c>
      <c r="O393" s="63">
        <f>(AA392+J393)*Lookup!C$26/12</f>
        <v>790.1897042</v>
      </c>
      <c r="P393" s="63">
        <f t="shared" si="8"/>
        <v>15609.55163</v>
      </c>
      <c r="Q393" s="63">
        <f t="shared" si="4"/>
        <v>22089.17705</v>
      </c>
      <c r="R393" s="63">
        <f t="shared" si="5"/>
        <v>7010.915018</v>
      </c>
      <c r="S393" s="64">
        <f t="shared" si="9"/>
        <v>33.33333333</v>
      </c>
      <c r="T393" s="64">
        <f t="shared" si="10"/>
        <v>41.66666667</v>
      </c>
      <c r="U393" s="64">
        <f t="shared" si="11"/>
        <v>0</v>
      </c>
      <c r="V393" s="64">
        <f t="shared" ref="V393:X393" si="401">IF(year($A393)=year($A392), V392+S393, S393)</f>
        <v>300</v>
      </c>
      <c r="W393" s="64">
        <f t="shared" si="401"/>
        <v>375</v>
      </c>
      <c r="X393" s="64">
        <f t="shared" si="401"/>
        <v>0</v>
      </c>
      <c r="Y393" s="65">
        <f>IFS(
  B393&lt;55,
    MAX(
      Y392 + IF(MONTH(A393)=12, P393+V393, 0) + H393 - L393
      + MAX(0,
          IF(AA392 &gt;= VLOOKUP(YEAR(A393), Lookup!$Q:$R, 2),
            Z392 + IF(MONTH(A393)=12, Q393+W393, 0) + I393
              + AA392 + IF(MONTH(A393)=12, R393+X393, 0)
              - VLOOKUP(YEAR(A393), Lookup!$Q:$R, 2) + J393,
            Z392 + IF(MONTH(A393)=12, Q393+W393, 0) + I393
          ) - VLOOKUP(YEAR(A393), Lookup!$K:$M, 3)
        ),
    0),
  B393=55,
    IF(Z392&gt;=AD393,
      MAX(Y392 + IF(MONTH(A393)=12, P393+V393, 0) + H393 - L393, 0),
      MAX(MAX(0, Y392-(AD393-Z392)) + IF(MONTH(A393)=12, P393+V393, 0) + H393 - L393, 0)
    ),
  B393&gt;55,
    IF(AB392&gt;=$AH$7,
      MAX(Y392 + IF(MONTH(A393)=12, P393+V393, 0) + H393 - L393 + K393 + Z392, 0),
      MAX(Y392 + IF(MONTH(A393)=12, P393+V393, 0) + H393 - L393, 0)
    )
)</f>
        <v>840949.58</v>
      </c>
      <c r="Z393" s="65">
        <f>IFS(
  B393&lt;55,
    MIN(
      IF(AA392 &gt;= VLOOKUP(YEAR(A393), Lookup!$Q:$R, 2),
        Z392 + IF(MONTH(A393)=12, Q393+W393, 0) + I393
          + AA392 + IF(MONTH(A393)=12, R393+X393, 0) - VLOOKUP(YEAR(A393), Lookup!$Q:$R, 2) + J393,
        Z392 + IF(MONTH(A393)=12, Q393+W393, 0) + I393
      ),
      VLOOKUP(YEAR(A393), Lookup!$K:$M, 3)
    ),
  B393=55,
    IF(Z392 &gt;= AD393, Z392 - AD393, 0),
  B393&gt;55, 0
)</f>
        <v>0</v>
      </c>
      <c r="AA393" s="65">
        <f>IFS(
  B393&lt;65,
    IF(AA392+J393 &lt; VLOOKUP(YEAR(A393), Lookup!$Q:$R, 2),
      AA392 + IF(MONTH(A393)=12, R392+X392, 0) + J393,
      MIN(
        AA392 + IF(MONTH(A393)=12, R392+X392, 0) + J393 ,
        VLOOKUP(YEAR(A393), Lookup!$Q:$R, 2)
      )
    ),
  B393&gt;=65,
    IF(AA392+J393 &lt; VLOOKUP(questions!$C$5, Lookup!$Q:$R, 2),
      AA392 + IF(MONTH(A393)=12, R392+X392, 0) + J393 ,
      MIN(
        AA392 + IF(MONTH(A393)=12, R392+X392, 0) + J393,
        VLOOKUP(questions!$C$5, Lookup!$Q:$R, 2)
      )
    )
)</f>
        <v>237056.9113</v>
      </c>
      <c r="AB393" s="65">
        <f t="shared" si="13"/>
        <v>739985.5177</v>
      </c>
      <c r="AC393" s="66">
        <f t="array" ref="AC393">IFS(B393&lt;66, XLOOKUP(year(A393),Lookup!$K$13:$K1000,Lookup!$L$13:$L1000,"missing",,1),B393&gt;65,XLOOKUP(questions!$C$5,Lookup!$K$13:$K1000,Lookup!$L$13:$L1000,"missing",,1))</f>
        <v>331464.0924</v>
      </c>
      <c r="AD393" s="66">
        <f t="array" ref="AD393">IFS(B393&lt;66, XLOOKUP(year(A393),Lookup!$K$13:$K1000,Lookup!$M$13:$M1000,"missing",,1),B393&gt;65, XLOOKUP(questions!$C$5,Lookup!$K$13:$K1000,Lookup!$M$13:$M1000,"missing",,1))</f>
        <v>662928.1847</v>
      </c>
      <c r="AE393" s="66">
        <f t="array" ref="AE393">IFS(B393&lt;66, XLOOKUP(year(A393),Lookup!$K$13:$K1000,Lookup!$N$13:$N1000,"missing",,1),B393&gt;65,XLOOKUP(questions!$C$5,Lookup!$K$13:$K1000,Lookup!$N$13:$N1000,"missing",,1))</f>
        <v>1325856.369</v>
      </c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</row>
    <row r="394">
      <c r="A394" s="55">
        <f t="shared" si="7"/>
        <v>58014</v>
      </c>
      <c r="B394" s="56">
        <f>round(YEARFRAC(EOMONTH(questions!$C$3, 0),A394,1),2)</f>
        <v>59.92</v>
      </c>
      <c r="C394" s="57">
        <f>IF(B394&lt;questions!$C$6,if(MONTH(A394)=1,C393*(1+questions!$C$12),C393),0)</f>
        <v>25750.82756</v>
      </c>
      <c r="D394" s="58">
        <f>IF(MONTH(A394)=12,C394*questions!$C$11,0)</f>
        <v>0</v>
      </c>
      <c r="E394" s="59">
        <f t="shared" si="2"/>
        <v>8000</v>
      </c>
      <c r="F394" s="59">
        <f t="shared" si="3"/>
        <v>0</v>
      </c>
      <c r="G394" s="60">
        <f t="array" ref="G394">if(YEAR(A394)=2025,XLOOKUP(B394,Lookup!$A$3:$A$7,Lookup!$D$3:$D$7,,1)*SUM(E394:F394), XLOOKUP(B394,Lookup!$A$14:$A$18,Lookup!$D$14:$D$18,,1)*SUM(E394:F394))</f>
        <v>2720</v>
      </c>
      <c r="H394" s="60">
        <f t="array" ref="H394">if(YEAR(A394)=2025,XLOOKUP(B394,Lookup!$F$3:$F$10,Lookup!$G$3:$G$10,,1)*G394, XLOOKUP(B394,Lookup!$F$14:$F$21,Lookup!$G$14:$G$21,,1)*G394)</f>
        <v>960.16</v>
      </c>
      <c r="I394" s="61">
        <f t="array" ref="I394">if(B394&lt;55, if(YEAR(A394)=2025,XLOOKUP(B394,Lookup!$F$3:$F$10,Lookup!$H$3:$H$10,,1)*G394, XLOOKUP(B394,Lookup!$F$14:$F$21,Lookup!$H$14:$H$21,,1)*G394),0)</f>
        <v>0</v>
      </c>
      <c r="J394" s="60">
        <f t="array" ref="J394">if(YEAR(A394)=2025,XLOOKUP(B394,Lookup!$F$3:$F$10,Lookup!$I$3:$I$10,,1)*G394, XLOOKUP(B394,Lookup!$F$14:$F$21,Lookup!$I$14:$I$21,,1)*G394)</f>
        <v>839.936</v>
      </c>
      <c r="K394" s="60">
        <f t="array" ref="K394">if(B394&gt;54, if(YEAR(A394)=2025,XLOOKUP(B394,Lookup!$F$3:$F$10,Lookup!$H$3:$H$10,,1)*G394, XLOOKUP(B394,Lookup!$F$14:$F$21,Lookup!$H$14:$H$21,,1)*G394),0)</f>
        <v>919.904</v>
      </c>
      <c r="L394" s="62">
        <f>IF(and(A394&lt;questions!$C$19,questions!$C$18="yes"),questions!$C$20,0)</f>
        <v>0</v>
      </c>
      <c r="M394" s="63">
        <f>(Y393+H394)*Lookup!A$26/12</f>
        <v>1753.978625</v>
      </c>
      <c r="N394" s="63">
        <f>if(B394&lt;55, (Z393+I394)*Lookup!B$26/12, (AB393+K394)*Lookup!B$26/12)</f>
        <v>2469.684739</v>
      </c>
      <c r="O394" s="63">
        <f>(AA393+J394)*Lookup!C$26/12</f>
        <v>792.9894909</v>
      </c>
      <c r="P394" s="63">
        <f t="shared" si="8"/>
        <v>17363.53025</v>
      </c>
      <c r="Q394" s="63">
        <f t="shared" si="4"/>
        <v>24558.86179</v>
      </c>
      <c r="R394" s="63">
        <f t="shared" si="5"/>
        <v>7803.904509</v>
      </c>
      <c r="S394" s="64">
        <f t="shared" si="9"/>
        <v>33.33333333</v>
      </c>
      <c r="T394" s="64">
        <f t="shared" si="10"/>
        <v>41.66666667</v>
      </c>
      <c r="U394" s="64">
        <f t="shared" si="11"/>
        <v>0</v>
      </c>
      <c r="V394" s="64">
        <f t="shared" ref="V394:X394" si="402">IF(year($A394)=year($A393), V393+S394, S394)</f>
        <v>333.3333333</v>
      </c>
      <c r="W394" s="64">
        <f t="shared" si="402"/>
        <v>416.6666667</v>
      </c>
      <c r="X394" s="64">
        <f t="shared" si="402"/>
        <v>0</v>
      </c>
      <c r="Y394" s="65">
        <f>IFS(
  B394&lt;55,
    MAX(
      Y393 + IF(MONTH(A394)=12, P394+V394, 0) + H394 - L394
      + MAX(0,
          IF(AA393 &gt;= VLOOKUP(YEAR(A394), Lookup!$Q:$R, 2),
            Z393 + IF(MONTH(A394)=12, Q394+W394, 0) + I394
              + AA393 + IF(MONTH(A394)=12, R394+X394, 0)
              - VLOOKUP(YEAR(A394), Lookup!$Q:$R, 2) + J394,
            Z393 + IF(MONTH(A394)=12, Q394+W394, 0) + I394
          ) - VLOOKUP(YEAR(A394), Lookup!$K:$M, 3)
        ),
    0),
  B394=55,
    IF(Z393&gt;=AD394,
      MAX(Y393 + IF(MONTH(A394)=12, P394+V394, 0) + H394 - L394, 0),
      MAX(MAX(0, Y393-(AD394-Z393)) + IF(MONTH(A394)=12, P394+V394, 0) + H394 - L394, 0)
    ),
  B394&gt;55,
    IF(AB393&gt;=$AH$7,
      MAX(Y393 + IF(MONTH(A394)=12, P394+V394, 0) + H394 - L394 + K394 + Z393, 0),
      MAX(Y393 + IF(MONTH(A394)=12, P394+V394, 0) + H394 - L394, 0)
    )
)</f>
        <v>842829.644</v>
      </c>
      <c r="Z394" s="65">
        <f>IFS(
  B394&lt;55,
    MIN(
      IF(AA393 &gt;= VLOOKUP(YEAR(A394), Lookup!$Q:$R, 2),
        Z393 + IF(MONTH(A394)=12, Q394+W394, 0) + I394
          + AA393 + IF(MONTH(A394)=12, R394+X394, 0) - VLOOKUP(YEAR(A394), Lookup!$Q:$R, 2) + J394,
        Z393 + IF(MONTH(A394)=12, Q394+W394, 0) + I394
      ),
      VLOOKUP(YEAR(A394), Lookup!$K:$M, 3)
    ),
  B394=55,
    IF(Z393 &gt;= AD394, Z393 - AD394, 0),
  B394&gt;55, 0
)</f>
        <v>0</v>
      </c>
      <c r="AA394" s="65">
        <f>IFS(
  B394&lt;65,
    IF(AA393+J394 &lt; VLOOKUP(YEAR(A394), Lookup!$Q:$R, 2),
      AA393 + IF(MONTH(A394)=12, R393+X393, 0) + J394,
      MIN(
        AA393 + IF(MONTH(A394)=12, R393+X393, 0) + J394 ,
        VLOOKUP(YEAR(A394), Lookup!$Q:$R, 2)
      )
    ),
  B394&gt;=65,
    IF(AA393+J394 &lt; VLOOKUP(questions!$C$5, Lookup!$Q:$R, 2),
      AA393 + IF(MONTH(A394)=12, R393+X393, 0) + J394 ,
      MIN(
        AA393 + IF(MONTH(A394)=12, R393+X393, 0) + J394,
        VLOOKUP(questions!$C$5, Lookup!$Q:$R, 2)
      )
    )
)</f>
        <v>237529.8993</v>
      </c>
      <c r="AB394" s="65">
        <f t="shared" si="13"/>
        <v>740905.4217</v>
      </c>
      <c r="AC394" s="66">
        <f t="array" ref="AC394">IFS(B394&lt;66, XLOOKUP(year(A394),Lookup!$K$13:$K1000,Lookup!$L$13:$L1000,"missing",,1),B394&gt;65,XLOOKUP(questions!$C$5,Lookup!$K$13:$K1000,Lookup!$L$13:$L1000,"missing",,1))</f>
        <v>331464.0924</v>
      </c>
      <c r="AD394" s="66">
        <f t="array" ref="AD394">IFS(B394&lt;66, XLOOKUP(year(A394),Lookup!$K$13:$K1000,Lookup!$M$13:$M1000,"missing",,1),B394&gt;65, XLOOKUP(questions!$C$5,Lookup!$K$13:$K1000,Lookup!$M$13:$M1000,"missing",,1))</f>
        <v>662928.1847</v>
      </c>
      <c r="AE394" s="66">
        <f t="array" ref="AE394">IFS(B394&lt;66, XLOOKUP(year(A394),Lookup!$K$13:$K1000,Lookup!$N$13:$N1000,"missing",,1),B394&gt;65,XLOOKUP(questions!$C$5,Lookup!$K$13:$K1000,Lookup!$N$13:$N1000,"missing",,1))</f>
        <v>1325856.369</v>
      </c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</row>
    <row r="395">
      <c r="A395" s="55">
        <f t="shared" si="7"/>
        <v>58044</v>
      </c>
      <c r="B395" s="56">
        <f>round(YEARFRAC(EOMONTH(questions!$C$3, 0),A395,1),2)</f>
        <v>60</v>
      </c>
      <c r="C395" s="58">
        <f>IF(B395&lt;questions!$C$6,if(MONTH(A395)=1,C394*(1+questions!$C$12),C394),0)</f>
        <v>0</v>
      </c>
      <c r="D395" s="58">
        <f>IF(MONTH(A395)=12,C395*questions!$C$11,0)</f>
        <v>0</v>
      </c>
      <c r="E395" s="71">
        <f t="shared" si="2"/>
        <v>0</v>
      </c>
      <c r="F395" s="71">
        <f t="shared" si="3"/>
        <v>0</v>
      </c>
      <c r="G395" s="61">
        <f t="array" ref="G395">if(YEAR(A395)=2025,XLOOKUP(B395,Lookup!$A$3:$A$7,Lookup!$D$3:$D$7,,1)*SUM(E395:F395), XLOOKUP(B395,Lookup!$A$14:$A$18,Lookup!$D$14:$D$18,,1)*SUM(E395:F395))</f>
        <v>0</v>
      </c>
      <c r="H395" s="61">
        <f t="array" ref="H395">if(YEAR(A395)=2025,XLOOKUP(B395,Lookup!$F$3:$F$10,Lookup!$G$3:$G$10,,1)*G395, XLOOKUP(B395,Lookup!$F$14:$F$21,Lookup!$G$14:$G$21,,1)*G395)</f>
        <v>0</v>
      </c>
      <c r="I395" s="61">
        <f t="array" ref="I395">if(B395&lt;55, if(YEAR(A395)=2025,XLOOKUP(B395,Lookup!$F$3:$F$10,Lookup!$H$3:$H$10,,1)*G395, XLOOKUP(B395,Lookup!$F$14:$F$21,Lookup!$H$14:$H$21,,1)*G395),0)</f>
        <v>0</v>
      </c>
      <c r="J395" s="61">
        <f t="array" ref="J395">if(YEAR(A395)=2025,XLOOKUP(B395,Lookup!$F$3:$F$10,Lookup!$I$3:$I$10,,1)*G395, XLOOKUP(B395,Lookup!$F$14:$F$21,Lookup!$I$14:$I$21,,1)*G395)</f>
        <v>0</v>
      </c>
      <c r="K395" s="61">
        <f t="array" ref="K395">if(B395&gt;54, if(YEAR(A395)=2025,XLOOKUP(B395,Lookup!$F$3:$F$10,Lookup!$H$3:$H$10,,1)*G395, XLOOKUP(B395,Lookup!$F$14:$F$21,Lookup!$H$14:$H$21,,1)*G395),0)</f>
        <v>0</v>
      </c>
      <c r="L395" s="62">
        <f>IF(and(A395&lt;questions!$C$19,questions!$C$18="yes"),questions!$C$20,0)</f>
        <v>0</v>
      </c>
      <c r="M395" s="63">
        <f>(Y394+H395)*Lookup!A$26/12</f>
        <v>1755.895092</v>
      </c>
      <c r="N395" s="63">
        <f>if(B395&lt;55, (Z394+I395)*Lookup!B$26/12, (AB394+K395)*Lookup!B$26/12)</f>
        <v>2469.684739</v>
      </c>
      <c r="O395" s="63">
        <f>(AA394+J395)*Lookup!C$26/12</f>
        <v>791.7663311</v>
      </c>
      <c r="P395" s="63">
        <f t="shared" si="8"/>
        <v>19119.42534</v>
      </c>
      <c r="Q395" s="63">
        <f t="shared" si="4"/>
        <v>27028.54653</v>
      </c>
      <c r="R395" s="63">
        <f t="shared" si="5"/>
        <v>8595.67084</v>
      </c>
      <c r="S395" s="64">
        <f t="shared" si="9"/>
        <v>33.33333333</v>
      </c>
      <c r="T395" s="64">
        <f t="shared" si="10"/>
        <v>41.66666667</v>
      </c>
      <c r="U395" s="64">
        <f t="shared" si="11"/>
        <v>0</v>
      </c>
      <c r="V395" s="64">
        <f t="shared" ref="V395:X395" si="403">IF(year($A395)=year($A394), V394+S395, S395)</f>
        <v>366.6666667</v>
      </c>
      <c r="W395" s="64">
        <f t="shared" si="403"/>
        <v>458.3333333</v>
      </c>
      <c r="X395" s="64">
        <f t="shared" si="403"/>
        <v>0</v>
      </c>
      <c r="Y395" s="65">
        <f>IFS(
  B395&lt;55,
    MAX(
      Y394 + IF(MONTH(A395)=12, P395+V395, 0) + H395 - L395
      + MAX(0,
          IF(AA394 &gt;= VLOOKUP(YEAR(A395), Lookup!$Q:$R, 2),
            Z394 + IF(MONTH(A395)=12, Q395+W395, 0) + I395
              + AA394 + IF(MONTH(A395)=12, R395+X395, 0)
              - VLOOKUP(YEAR(A395), Lookup!$Q:$R, 2) + J395,
            Z394 + IF(MONTH(A395)=12, Q395+W395, 0) + I395
          ) - VLOOKUP(YEAR(A395), Lookup!$K:$M, 3)
        ),
    0),
  B395=55,
    IF(Z394&gt;=AD395,
      MAX(Y394 + IF(MONTH(A395)=12, P395+V395, 0) + H395 - L395, 0),
      MAX(MAX(0, Y394-(AD395-Z394)) + IF(MONTH(A395)=12, P395+V395, 0) + H395 - L395, 0)
    ),
  B395&gt;55,
    IF(AB394&gt;=$AH$7,
      MAX(Y394 + IF(MONTH(A395)=12, P395+V395, 0) + H395 - L395 + K395 + Z394, 0),
      MAX(Y394 + IF(MONTH(A395)=12, P395+V395, 0) + H395 - L395, 0)
    )
)</f>
        <v>842829.644</v>
      </c>
      <c r="Z395" s="65">
        <f>IFS(
  B395&lt;55,
    MIN(
      IF(AA394 &gt;= VLOOKUP(YEAR(A395), Lookup!$Q:$R, 2),
        Z394 + IF(MONTH(A395)=12, Q395+W395, 0) + I395
          + AA394 + IF(MONTH(A395)=12, R395+X395, 0) - VLOOKUP(YEAR(A395), Lookup!$Q:$R, 2) + J395,
        Z394 + IF(MONTH(A395)=12, Q395+W395, 0) + I395
      ),
      VLOOKUP(YEAR(A395), Lookup!$K:$M, 3)
    ),
  B395=55,
    IF(Z394 &gt;= AD395, Z394 - AD395, 0),
  B395&gt;55, 0
)</f>
        <v>0</v>
      </c>
      <c r="AA395" s="65">
        <f>IFS(
  B395&lt;65,
    IF(AA394+J395 &lt; VLOOKUP(YEAR(A395), Lookup!$Q:$R, 2),
      AA394 + IF(MONTH(A395)=12, R394+X394, 0) + J395,
      MIN(
        AA394 + IF(MONTH(A395)=12, R394+X394, 0) + J395 ,
        VLOOKUP(YEAR(A395), Lookup!$Q:$R, 2)
      )
    ),
  B395&gt;=65,
    IF(AA394+J395 &lt; VLOOKUP(questions!$C$5, Lookup!$Q:$R, 2),
      AA394 + IF(MONTH(A395)=12, R394+X394, 0) + J395 ,
      MIN(
        AA394 + IF(MONTH(A395)=12, R394+X394, 0) + J395,
        VLOOKUP(questions!$C$5, Lookup!$Q:$R, 2)
      )
    )
)</f>
        <v>237529.8993</v>
      </c>
      <c r="AB395" s="65">
        <f t="shared" si="13"/>
        <v>740905.4217</v>
      </c>
      <c r="AC395" s="66">
        <f t="array" ref="AC395">IFS(B395&lt;66, XLOOKUP(year(A395),Lookup!$K$13:$K1000,Lookup!$L$13:$L1000,"missing",,1),B395&gt;65,XLOOKUP(questions!$C$5,Lookup!$K$13:$K1000,Lookup!$L$13:$L1000,"missing",,1))</f>
        <v>331464.0924</v>
      </c>
      <c r="AD395" s="66">
        <f t="array" ref="AD395">IFS(B395&lt;66, XLOOKUP(year(A395),Lookup!$K$13:$K1000,Lookup!$M$13:$M1000,"missing",,1),B395&gt;65, XLOOKUP(questions!$C$5,Lookup!$K$13:$K1000,Lookup!$M$13:$M1000,"missing",,1))</f>
        <v>662928.1847</v>
      </c>
      <c r="AE395" s="66">
        <f t="array" ref="AE395">IFS(B395&lt;66, XLOOKUP(year(A395),Lookup!$K$13:$K1000,Lookup!$N$13:$N1000,"missing",,1),B395&gt;65,XLOOKUP(questions!$C$5,Lookup!$K$13:$K1000,Lookup!$N$13:$N1000,"missing",,1))</f>
        <v>1325856.369</v>
      </c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</row>
    <row r="396">
      <c r="A396" s="55">
        <f t="shared" si="7"/>
        <v>58075</v>
      </c>
      <c r="B396" s="56">
        <f>round(YEARFRAC(EOMONTH(questions!$C$3, 0),A396,1),2)</f>
        <v>60.08</v>
      </c>
      <c r="C396" s="58">
        <f>IF(B396&lt;questions!$C$6,if(MONTH(A396)=1,C395*(1+questions!$C$12),C395),0)</f>
        <v>0</v>
      </c>
      <c r="D396" s="58">
        <f>IF(MONTH(A396)=12,C396*questions!$C$11,0)</f>
        <v>0</v>
      </c>
      <c r="E396" s="71">
        <f t="shared" si="2"/>
        <v>0</v>
      </c>
      <c r="F396" s="71">
        <f t="shared" si="3"/>
        <v>0</v>
      </c>
      <c r="G396" s="61">
        <f t="array" ref="G396">if(YEAR(A396)=2025,XLOOKUP(B396,Lookup!$A$3:$A$7,Lookup!$D$3:$D$7,,1)*SUM(E396:F396), XLOOKUP(B396,Lookup!$A$14:$A$18,Lookup!$D$14:$D$18,,1)*SUM(E396:F396))</f>
        <v>0</v>
      </c>
      <c r="H396" s="61">
        <f t="array" ref="H396">if(YEAR(A396)=2025,XLOOKUP(B396,Lookup!$F$3:$F$10,Lookup!$G$3:$G$10,,1)*G396, XLOOKUP(B396,Lookup!$F$14:$F$21,Lookup!$G$14:$G$21,,1)*G396)</f>
        <v>0</v>
      </c>
      <c r="I396" s="61">
        <f t="array" ref="I396">if(B396&lt;55, if(YEAR(A396)=2025,XLOOKUP(B396,Lookup!$F$3:$F$10,Lookup!$H$3:$H$10,,1)*G396, XLOOKUP(B396,Lookup!$F$14:$F$21,Lookup!$H$14:$H$21,,1)*G396),0)</f>
        <v>0</v>
      </c>
      <c r="J396" s="61">
        <f t="array" ref="J396">if(YEAR(A396)=2025,XLOOKUP(B396,Lookup!$F$3:$F$10,Lookup!$I$3:$I$10,,1)*G396, XLOOKUP(B396,Lookup!$F$14:$F$21,Lookup!$I$14:$I$21,,1)*G396)</f>
        <v>0</v>
      </c>
      <c r="K396" s="61">
        <f t="array" ref="K396">if(B396&gt;54, if(YEAR(A396)=2025,XLOOKUP(B396,Lookup!$F$3:$F$10,Lookup!$H$3:$H$10,,1)*G396, XLOOKUP(B396,Lookup!$F$14:$F$21,Lookup!$H$14:$H$21,,1)*G396),0)</f>
        <v>0</v>
      </c>
      <c r="L396" s="62">
        <f>IF(and(A396&lt;questions!$C$19,questions!$C$18="yes"),questions!$C$20,0)</f>
        <v>0</v>
      </c>
      <c r="M396" s="63">
        <f>(Y395+H396)*Lookup!A$26/12</f>
        <v>1755.895092</v>
      </c>
      <c r="N396" s="63">
        <f>if(B396&lt;55, (Z395+I396)*Lookup!B$26/12, (AB395+K396)*Lookup!B$26/12)</f>
        <v>2469.684739</v>
      </c>
      <c r="O396" s="63">
        <f>(AA395+J396)*Lookup!C$26/12</f>
        <v>791.7663311</v>
      </c>
      <c r="P396" s="63">
        <f t="shared" si="8"/>
        <v>20875.32043</v>
      </c>
      <c r="Q396" s="63">
        <f t="shared" si="4"/>
        <v>29498.23127</v>
      </c>
      <c r="R396" s="63">
        <f t="shared" si="5"/>
        <v>9387.437171</v>
      </c>
      <c r="S396" s="64">
        <f t="shared" si="9"/>
        <v>33.33333333</v>
      </c>
      <c r="T396" s="64">
        <f t="shared" si="10"/>
        <v>41.66666667</v>
      </c>
      <c r="U396" s="64">
        <f t="shared" si="11"/>
        <v>0</v>
      </c>
      <c r="V396" s="64">
        <f t="shared" ref="V396:X396" si="404">IF(year($A396)=year($A395), V395+S396, S396)</f>
        <v>400</v>
      </c>
      <c r="W396" s="64">
        <f t="shared" si="404"/>
        <v>500</v>
      </c>
      <c r="X396" s="64">
        <f t="shared" si="404"/>
        <v>0</v>
      </c>
      <c r="Y396" s="65">
        <f>IFS(
  B396&lt;55,
    MAX(
      Y395 + IF(MONTH(A396)=12, P396+V396, 0) + H396 - L396
      + MAX(0,
          IF(AA395 &gt;= VLOOKUP(YEAR(A396), Lookup!$Q:$R, 2),
            Z395 + IF(MONTH(A396)=12, Q396+W396, 0) + I396
              + AA395 + IF(MONTH(A396)=12, R396+X396, 0)
              - VLOOKUP(YEAR(A396), Lookup!$Q:$R, 2) + J396,
            Z395 + IF(MONTH(A396)=12, Q396+W396, 0) + I396
          ) - VLOOKUP(YEAR(A396), Lookup!$K:$M, 3)
        ),
    0),
  B396=55,
    IF(Z395&gt;=AD396,
      MAX(Y395 + IF(MONTH(A396)=12, P396+V396, 0) + H396 - L396, 0),
      MAX(MAX(0, Y395-(AD396-Z395)) + IF(MONTH(A396)=12, P396+V396, 0) + H396 - L396, 0)
    ),
  B396&gt;55,
    IF(AB395&gt;=$AH$7,
      MAX(Y395 + IF(MONTH(A396)=12, P396+V396, 0) + H396 - L396 + K396 + Z395, 0),
      MAX(Y395 + IF(MONTH(A396)=12, P396+V396, 0) + H396 - L396, 0)
    )
)</f>
        <v>864104.9644</v>
      </c>
      <c r="Z396" s="65">
        <f>IFS(
  B396&lt;55,
    MIN(
      IF(AA395 &gt;= VLOOKUP(YEAR(A396), Lookup!$Q:$R, 2),
        Z395 + IF(MONTH(A396)=12, Q396+W396, 0) + I396
          + AA395 + IF(MONTH(A396)=12, R396+X396, 0) - VLOOKUP(YEAR(A396), Lookup!$Q:$R, 2) + J396,
        Z395 + IF(MONTH(A396)=12, Q396+W396, 0) + I396
      ),
      VLOOKUP(YEAR(A396), Lookup!$K:$M, 3)
    ),
  B396=55,
    IF(Z395 &gt;= AD396, Z395 - AD396, 0),
  B396&gt;55, 0
)</f>
        <v>0</v>
      </c>
      <c r="AA396" s="65">
        <f>IFS(
  B396&lt;65,
    IF(AA395+J396 &lt; VLOOKUP(YEAR(A396), Lookup!$Q:$R, 2),
      AA395 + IF(MONTH(A396)=12, R395+X395, 0) + J396,
      MIN(
        AA395 + IF(MONTH(A396)=12, R395+X395, 0) + J396 ,
        VLOOKUP(YEAR(A396), Lookup!$Q:$R, 2)
      )
    ),
  B396&gt;=65,
    IF(AA395+J396 &lt; VLOOKUP(questions!$C$5, Lookup!$Q:$R, 2),
      AA395 + IF(MONTH(A396)=12, R395+X395, 0) + J396 ,
      MIN(
        AA395 + IF(MONTH(A396)=12, R395+X395, 0) + J396,
        VLOOKUP(questions!$C$5, Lookup!$Q:$R, 2)
      )
    )
)</f>
        <v>237529.8993</v>
      </c>
      <c r="AB396" s="65">
        <f t="shared" si="13"/>
        <v>770903.653</v>
      </c>
      <c r="AC396" s="66">
        <f t="array" ref="AC396">IFS(B396&lt;66, XLOOKUP(year(A396),Lookup!$K$13:$K1000,Lookup!$L$13:$L1000,"missing",,1),B396&gt;65,XLOOKUP(questions!$C$5,Lookup!$K$13:$K1000,Lookup!$L$13:$L1000,"missing",,1))</f>
        <v>331464.0924</v>
      </c>
      <c r="AD396" s="66">
        <f t="array" ref="AD396">IFS(B396&lt;66, XLOOKUP(year(A396),Lookup!$K$13:$K1000,Lookup!$M$13:$M1000,"missing",,1),B396&gt;65, XLOOKUP(questions!$C$5,Lookup!$K$13:$K1000,Lookup!$M$13:$M1000,"missing",,1))</f>
        <v>662928.1847</v>
      </c>
      <c r="AE396" s="66">
        <f t="array" ref="AE396">IFS(B396&lt;66, XLOOKUP(year(A396),Lookup!$K$13:$K1000,Lookup!$N$13:$N1000,"missing",,1),B396&gt;65,XLOOKUP(questions!$C$5,Lookup!$K$13:$K1000,Lookup!$N$13:$N1000,"missing",,1))</f>
        <v>1325856.369</v>
      </c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</row>
    <row r="397">
      <c r="A397" s="55">
        <f t="shared" si="7"/>
        <v>58106</v>
      </c>
      <c r="B397" s="56">
        <f>round(YEARFRAC(EOMONTH(questions!$C$3, 0),A397,1),2)</f>
        <v>60.17</v>
      </c>
      <c r="C397" s="58">
        <f>IF(B397&lt;questions!$C$6,if(MONTH(A397)=1,C396*(1+questions!$C$12),C396),0)</f>
        <v>0</v>
      </c>
      <c r="D397" s="58">
        <f>IF(MONTH(A397)=12,C397*questions!$C$11,0)</f>
        <v>0</v>
      </c>
      <c r="E397" s="71">
        <f t="shared" si="2"/>
        <v>0</v>
      </c>
      <c r="F397" s="71">
        <f t="shared" si="3"/>
        <v>0</v>
      </c>
      <c r="G397" s="61">
        <f t="array" ref="G397">if(YEAR(A397)=2025,XLOOKUP(B397,Lookup!$A$3:$A$7,Lookup!$D$3:$D$7,,1)*SUM(E397:F397), XLOOKUP(B397,Lookup!$A$14:$A$18,Lookup!$D$14:$D$18,,1)*SUM(E397:F397))</f>
        <v>0</v>
      </c>
      <c r="H397" s="61">
        <f t="array" ref="H397">if(YEAR(A397)=2025,XLOOKUP(B397,Lookup!$F$3:$F$10,Lookup!$G$3:$G$10,,1)*G397, XLOOKUP(B397,Lookup!$F$14:$F$21,Lookup!$G$14:$G$21,,1)*G397)</f>
        <v>0</v>
      </c>
      <c r="I397" s="61">
        <f t="array" ref="I397">if(B397&lt;55, if(YEAR(A397)=2025,XLOOKUP(B397,Lookup!$F$3:$F$10,Lookup!$H$3:$H$10,,1)*G397, XLOOKUP(B397,Lookup!$F$14:$F$21,Lookup!$H$14:$H$21,,1)*G397),0)</f>
        <v>0</v>
      </c>
      <c r="J397" s="61">
        <f t="array" ref="J397">if(YEAR(A397)=2025,XLOOKUP(B397,Lookup!$F$3:$F$10,Lookup!$I$3:$I$10,,1)*G397, XLOOKUP(B397,Lookup!$F$14:$F$21,Lookup!$I$14:$I$21,,1)*G397)</f>
        <v>0</v>
      </c>
      <c r="K397" s="61">
        <f t="array" ref="K397">if(B397&gt;54, if(YEAR(A397)=2025,XLOOKUP(B397,Lookup!$F$3:$F$10,Lookup!$H$3:$H$10,,1)*G397, XLOOKUP(B397,Lookup!$F$14:$F$21,Lookup!$H$14:$H$21,,1)*G397),0)</f>
        <v>0</v>
      </c>
      <c r="L397" s="62">
        <f>IF(and(A397&lt;questions!$C$19,questions!$C$18="yes"),questions!$C$20,0)</f>
        <v>0</v>
      </c>
      <c r="M397" s="63">
        <f>(Y396+H397)*Lookup!A$26/12</f>
        <v>1800.218676</v>
      </c>
      <c r="N397" s="63">
        <f>if(B397&lt;55, (Z396+I397)*Lookup!B$26/12, (AB396+K397)*Lookup!B$26/12)</f>
        <v>2569.678843</v>
      </c>
      <c r="O397" s="63">
        <f>(AA396+J397)*Lookup!C$26/12</f>
        <v>791.7663311</v>
      </c>
      <c r="P397" s="63">
        <f t="shared" si="8"/>
        <v>1800.218676</v>
      </c>
      <c r="Q397" s="63">
        <f t="shared" si="4"/>
        <v>2569.678843</v>
      </c>
      <c r="R397" s="63">
        <f t="shared" si="5"/>
        <v>791.7663311</v>
      </c>
      <c r="S397" s="64">
        <f t="shared" si="9"/>
        <v>33.33333333</v>
      </c>
      <c r="T397" s="64">
        <f t="shared" si="10"/>
        <v>41.66666667</v>
      </c>
      <c r="U397" s="64">
        <f t="shared" si="11"/>
        <v>0</v>
      </c>
      <c r="V397" s="64">
        <f t="shared" ref="V397:X397" si="405">IF(year($A397)=year($A396), V396+S397, S397)</f>
        <v>33.33333333</v>
      </c>
      <c r="W397" s="64">
        <f t="shared" si="405"/>
        <v>41.66666667</v>
      </c>
      <c r="X397" s="64">
        <f t="shared" si="405"/>
        <v>0</v>
      </c>
      <c r="Y397" s="65">
        <f>IFS(
  B397&lt;55,
    MAX(
      Y396 + IF(MONTH(A397)=12, P397+V397, 0) + H397 - L397
      + MAX(0,
          IF(AA396 &gt;= VLOOKUP(YEAR(A397), Lookup!$Q:$R, 2),
            Z396 + IF(MONTH(A397)=12, Q397+W397, 0) + I397
              + AA396 + IF(MONTH(A397)=12, R397+X397, 0)
              - VLOOKUP(YEAR(A397), Lookup!$Q:$R, 2) + J397,
            Z396 + IF(MONTH(A397)=12, Q397+W397, 0) + I397
          ) - VLOOKUP(YEAR(A397), Lookup!$K:$M, 3)
        ),
    0),
  B397=55,
    IF(Z396&gt;=AD397,
      MAX(Y396 + IF(MONTH(A397)=12, P397+V397, 0) + H397 - L397, 0),
      MAX(MAX(0, Y396-(AD397-Z396)) + IF(MONTH(A397)=12, P397+V397, 0) + H397 - L397, 0)
    ),
  B397&gt;55,
    IF(AB396&gt;=$AH$7,
      MAX(Y396 + IF(MONTH(A397)=12, P397+V397, 0) + H397 - L397 + K397 + Z396, 0),
      MAX(Y396 + IF(MONTH(A397)=12, P397+V397, 0) + H397 - L397, 0)
    )
)</f>
        <v>864104.9644</v>
      </c>
      <c r="Z397" s="65">
        <f>IFS(
  B397&lt;55,
    MIN(
      IF(AA396 &gt;= VLOOKUP(YEAR(A397), Lookup!$Q:$R, 2),
        Z396 + IF(MONTH(A397)=12, Q397+W397, 0) + I397
          + AA396 + IF(MONTH(A397)=12, R397+X397, 0) - VLOOKUP(YEAR(A397), Lookup!$Q:$R, 2) + J397,
        Z396 + IF(MONTH(A397)=12, Q397+W397, 0) + I397
      ),
      VLOOKUP(YEAR(A397), Lookup!$K:$M, 3)
    ),
  B397=55,
    IF(Z396 &gt;= AD397, Z396 - AD397, 0),
  B397&gt;55, 0
)</f>
        <v>0</v>
      </c>
      <c r="AA397" s="65">
        <f>IFS(
  B397&lt;65,
    IF(AA396+J397 &lt; VLOOKUP(YEAR(A397), Lookup!$Q:$R, 2),
      AA396 + IF(MONTH(A397)=12, R396+X396, 0) + J397,
      MIN(
        AA396 + IF(MONTH(A397)=12, R396+X396, 0) + J397 ,
        VLOOKUP(YEAR(A397), Lookup!$Q:$R, 2)
      )
    ),
  B397&gt;=65,
    IF(AA396+J397 &lt; VLOOKUP(questions!$C$5, Lookup!$Q:$R, 2),
      AA396 + IF(MONTH(A397)=12, R396+X396, 0) + J397 ,
      MIN(
        AA396 + IF(MONTH(A397)=12, R396+X396, 0) + J397,
        VLOOKUP(questions!$C$5, Lookup!$Q:$R, 2)
      )
    )
)</f>
        <v>237529.8993</v>
      </c>
      <c r="AB397" s="65">
        <f t="shared" si="13"/>
        <v>770903.653</v>
      </c>
      <c r="AC397" s="66">
        <f t="array" ref="AC397">IFS(B397&lt;66, XLOOKUP(year(A397),Lookup!$K$13:$K1000,Lookup!$L$13:$L1000,"missing",,1),B397&gt;65,XLOOKUP(questions!$C$5,Lookup!$K$13:$K1000,Lookup!$L$13:$L1000,"missing",,1))</f>
        <v>343065.3356</v>
      </c>
      <c r="AD397" s="66">
        <f t="array" ref="AD397">IFS(B397&lt;66, XLOOKUP(year(A397),Lookup!$K$13:$K1000,Lookup!$M$13:$M1000,"missing",,1),B397&gt;65, XLOOKUP(questions!$C$5,Lookup!$K$13:$K1000,Lookup!$M$13:$M1000,"missing",,1))</f>
        <v>686130.6712</v>
      </c>
      <c r="AE397" s="66">
        <f t="array" ref="AE397">IFS(B397&lt;66, XLOOKUP(year(A397),Lookup!$K$13:$K1000,Lookup!$N$13:$N1000,"missing",,1),B397&gt;65,XLOOKUP(questions!$C$5,Lookup!$K$13:$K1000,Lookup!$N$13:$N1000,"missing",,1))</f>
        <v>1372261.342</v>
      </c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</row>
    <row r="398">
      <c r="A398" s="55">
        <f t="shared" si="7"/>
        <v>58134</v>
      </c>
      <c r="B398" s="56">
        <f>round(YEARFRAC(EOMONTH(questions!$C$3, 0),A398,1),2)</f>
        <v>60.25</v>
      </c>
      <c r="C398" s="58">
        <f>IF(B398&lt;questions!$C$6,if(MONTH(A398)=1,C397*(1+questions!$C$12),C397),0)</f>
        <v>0</v>
      </c>
      <c r="D398" s="58">
        <f>IF(MONTH(A398)=12,C398*questions!$C$11,0)</f>
        <v>0</v>
      </c>
      <c r="E398" s="71">
        <f t="shared" si="2"/>
        <v>0</v>
      </c>
      <c r="F398" s="71">
        <f t="shared" si="3"/>
        <v>0</v>
      </c>
      <c r="G398" s="61">
        <f t="array" ref="G398">if(YEAR(A398)=2025,XLOOKUP(B398,Lookup!$A$3:$A$7,Lookup!$D$3:$D$7,,1)*SUM(E398:F398), XLOOKUP(B398,Lookup!$A$14:$A$18,Lookup!$D$14:$D$18,,1)*SUM(E398:F398))</f>
        <v>0</v>
      </c>
      <c r="H398" s="61">
        <f t="array" ref="H398">if(YEAR(A398)=2025,XLOOKUP(B398,Lookup!$F$3:$F$10,Lookup!$G$3:$G$10,,1)*G398, XLOOKUP(B398,Lookup!$F$14:$F$21,Lookup!$G$14:$G$21,,1)*G398)</f>
        <v>0</v>
      </c>
      <c r="I398" s="61">
        <f t="array" ref="I398">if(B398&lt;55, if(YEAR(A398)=2025,XLOOKUP(B398,Lookup!$F$3:$F$10,Lookup!$H$3:$H$10,,1)*G398, XLOOKUP(B398,Lookup!$F$14:$F$21,Lookup!$H$14:$H$21,,1)*G398),0)</f>
        <v>0</v>
      </c>
      <c r="J398" s="61">
        <f t="array" ref="J398">if(YEAR(A398)=2025,XLOOKUP(B398,Lookup!$F$3:$F$10,Lookup!$I$3:$I$10,,1)*G398, XLOOKUP(B398,Lookup!$F$14:$F$21,Lookup!$I$14:$I$21,,1)*G398)</f>
        <v>0</v>
      </c>
      <c r="K398" s="61">
        <f t="array" ref="K398">if(B398&gt;54, if(YEAR(A398)=2025,XLOOKUP(B398,Lookup!$F$3:$F$10,Lookup!$H$3:$H$10,,1)*G398, XLOOKUP(B398,Lookup!$F$14:$F$21,Lookup!$H$14:$H$21,,1)*G398),0)</f>
        <v>0</v>
      </c>
      <c r="L398" s="62">
        <f>IF(and(A398&lt;questions!$C$19,questions!$C$18="yes"),questions!$C$20,0)</f>
        <v>0</v>
      </c>
      <c r="M398" s="63">
        <f>(Y397+H398)*Lookup!A$26/12</f>
        <v>1800.218676</v>
      </c>
      <c r="N398" s="63">
        <f>if(B398&lt;55, (Z397+I398)*Lookup!B$26/12, (AB397+K398)*Lookup!B$26/12)</f>
        <v>2569.678843</v>
      </c>
      <c r="O398" s="63">
        <f>(AA397+J398)*Lookup!C$26/12</f>
        <v>791.7663311</v>
      </c>
      <c r="P398" s="63">
        <f t="shared" si="8"/>
        <v>3600.437352</v>
      </c>
      <c r="Q398" s="63">
        <f t="shared" si="4"/>
        <v>5139.357687</v>
      </c>
      <c r="R398" s="63">
        <f t="shared" si="5"/>
        <v>1583.532662</v>
      </c>
      <c r="S398" s="64">
        <f t="shared" si="9"/>
        <v>33.33333333</v>
      </c>
      <c r="T398" s="64">
        <f t="shared" si="10"/>
        <v>41.66666667</v>
      </c>
      <c r="U398" s="64">
        <f t="shared" si="11"/>
        <v>0</v>
      </c>
      <c r="V398" s="64">
        <f t="shared" ref="V398:X398" si="406">IF(year($A398)=year($A397), V397+S398, S398)</f>
        <v>66.66666667</v>
      </c>
      <c r="W398" s="64">
        <f t="shared" si="406"/>
        <v>83.33333333</v>
      </c>
      <c r="X398" s="64">
        <f t="shared" si="406"/>
        <v>0</v>
      </c>
      <c r="Y398" s="65">
        <f>IFS(
  B398&lt;55,
    MAX(
      Y397 + IF(MONTH(A398)=12, P398+V398, 0) + H398 - L398
      + MAX(0,
          IF(AA397 &gt;= VLOOKUP(YEAR(A398), Lookup!$Q:$R, 2),
            Z397 + IF(MONTH(A398)=12, Q398+W398, 0) + I398
              + AA397 + IF(MONTH(A398)=12, R398+X398, 0)
              - VLOOKUP(YEAR(A398), Lookup!$Q:$R, 2) + J398,
            Z397 + IF(MONTH(A398)=12, Q398+W398, 0) + I398
          ) - VLOOKUP(YEAR(A398), Lookup!$K:$M, 3)
        ),
    0),
  B398=55,
    IF(Z397&gt;=AD398,
      MAX(Y397 + IF(MONTH(A398)=12, P398+V398, 0) + H398 - L398, 0),
      MAX(MAX(0, Y397-(AD398-Z397)) + IF(MONTH(A398)=12, P398+V398, 0) + H398 - L398, 0)
    ),
  B398&gt;55,
    IF(AB397&gt;=$AH$7,
      MAX(Y397 + IF(MONTH(A398)=12, P398+V398, 0) + H398 - L398 + K398 + Z397, 0),
      MAX(Y397 + IF(MONTH(A398)=12, P398+V398, 0) + H398 - L398, 0)
    )
)</f>
        <v>864104.9644</v>
      </c>
      <c r="Z398" s="65">
        <f>IFS(
  B398&lt;55,
    MIN(
      IF(AA397 &gt;= VLOOKUP(YEAR(A398), Lookup!$Q:$R, 2),
        Z397 + IF(MONTH(A398)=12, Q398+W398, 0) + I398
          + AA397 + IF(MONTH(A398)=12, R398+X398, 0) - VLOOKUP(YEAR(A398), Lookup!$Q:$R, 2) + J398,
        Z397 + IF(MONTH(A398)=12, Q398+W398, 0) + I398
      ),
      VLOOKUP(YEAR(A398), Lookup!$K:$M, 3)
    ),
  B398=55,
    IF(Z397 &gt;= AD398, Z397 - AD398, 0),
  B398&gt;55, 0
)</f>
        <v>0</v>
      </c>
      <c r="AA398" s="65">
        <f>IFS(
  B398&lt;65,
    IF(AA397+J398 &lt; VLOOKUP(YEAR(A398), Lookup!$Q:$R, 2),
      AA397 + IF(MONTH(A398)=12, R397+X397, 0) + J398,
      MIN(
        AA397 + IF(MONTH(A398)=12, R397+X397, 0) + J398 ,
        VLOOKUP(YEAR(A398), Lookup!$Q:$R, 2)
      )
    ),
  B398&gt;=65,
    IF(AA397+J398 &lt; VLOOKUP(questions!$C$5, Lookup!$Q:$R, 2),
      AA397 + IF(MONTH(A398)=12, R397+X397, 0) + J398 ,
      MIN(
        AA397 + IF(MONTH(A398)=12, R397+X397, 0) + J398,
        VLOOKUP(questions!$C$5, Lookup!$Q:$R, 2)
      )
    )
)</f>
        <v>237529.8993</v>
      </c>
      <c r="AB398" s="65">
        <f t="shared" si="13"/>
        <v>770903.653</v>
      </c>
      <c r="AC398" s="66">
        <f t="array" ref="AC398">IFS(B398&lt;66, XLOOKUP(year(A398),Lookup!$K$13:$K1000,Lookup!$L$13:$L1000,"missing",,1),B398&gt;65,XLOOKUP(questions!$C$5,Lookup!$K$13:$K1000,Lookup!$L$13:$L1000,"missing",,1))</f>
        <v>343065.3356</v>
      </c>
      <c r="AD398" s="66">
        <f t="array" ref="AD398">IFS(B398&lt;66, XLOOKUP(year(A398),Lookup!$K$13:$K1000,Lookup!$M$13:$M1000,"missing",,1),B398&gt;65, XLOOKUP(questions!$C$5,Lookup!$K$13:$K1000,Lookup!$M$13:$M1000,"missing",,1))</f>
        <v>686130.6712</v>
      </c>
      <c r="AE398" s="66">
        <f t="array" ref="AE398">IFS(B398&lt;66, XLOOKUP(year(A398),Lookup!$K$13:$K1000,Lookup!$N$13:$N1000,"missing",,1),B398&gt;65,XLOOKUP(questions!$C$5,Lookup!$K$13:$K1000,Lookup!$N$13:$N1000,"missing",,1))</f>
        <v>1372261.342</v>
      </c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</row>
    <row r="399">
      <c r="A399" s="55">
        <f t="shared" si="7"/>
        <v>58165</v>
      </c>
      <c r="B399" s="56">
        <f>round(YEARFRAC(EOMONTH(questions!$C$3, 0),A399,1),2)</f>
        <v>60.33</v>
      </c>
      <c r="C399" s="58">
        <f>IF(B399&lt;questions!$C$6,if(MONTH(A399)=1,C398*(1+questions!$C$12),C398),0)</f>
        <v>0</v>
      </c>
      <c r="D399" s="58">
        <f>IF(MONTH(A399)=12,C399*questions!$C$11,0)</f>
        <v>0</v>
      </c>
      <c r="E399" s="71">
        <f t="shared" si="2"/>
        <v>0</v>
      </c>
      <c r="F399" s="71">
        <f t="shared" si="3"/>
        <v>0</v>
      </c>
      <c r="G399" s="61">
        <f t="array" ref="G399">if(YEAR(A399)=2025,XLOOKUP(B399,Lookup!$A$3:$A$7,Lookup!$D$3:$D$7,,1)*SUM(E399:F399), XLOOKUP(B399,Lookup!$A$14:$A$18,Lookup!$D$14:$D$18,,1)*SUM(E399:F399))</f>
        <v>0</v>
      </c>
      <c r="H399" s="61">
        <f t="array" ref="H399">if(YEAR(A399)=2025,XLOOKUP(B399,Lookup!$F$3:$F$10,Lookup!$G$3:$G$10,,1)*G399, XLOOKUP(B399,Lookup!$F$14:$F$21,Lookup!$G$14:$G$21,,1)*G399)</f>
        <v>0</v>
      </c>
      <c r="I399" s="61">
        <f t="array" ref="I399">if(B399&lt;55, if(YEAR(A399)=2025,XLOOKUP(B399,Lookup!$F$3:$F$10,Lookup!$H$3:$H$10,,1)*G399, XLOOKUP(B399,Lookup!$F$14:$F$21,Lookup!$H$14:$H$21,,1)*G399),0)</f>
        <v>0</v>
      </c>
      <c r="J399" s="61">
        <f t="array" ref="J399">if(YEAR(A399)=2025,XLOOKUP(B399,Lookup!$F$3:$F$10,Lookup!$I$3:$I$10,,1)*G399, XLOOKUP(B399,Lookup!$F$14:$F$21,Lookup!$I$14:$I$21,,1)*G399)</f>
        <v>0</v>
      </c>
      <c r="K399" s="61">
        <f t="array" ref="K399">if(B399&gt;54, if(YEAR(A399)=2025,XLOOKUP(B399,Lookup!$F$3:$F$10,Lookup!$H$3:$H$10,,1)*G399, XLOOKUP(B399,Lookup!$F$14:$F$21,Lookup!$H$14:$H$21,,1)*G399),0)</f>
        <v>0</v>
      </c>
      <c r="L399" s="62">
        <f>IF(and(A399&lt;questions!$C$19,questions!$C$18="yes"),questions!$C$20,0)</f>
        <v>0</v>
      </c>
      <c r="M399" s="63">
        <f>(Y398+H399)*Lookup!A$26/12</f>
        <v>1800.218676</v>
      </c>
      <c r="N399" s="63">
        <f>if(B399&lt;55, (Z398+I399)*Lookup!B$26/12, (AB398+K399)*Lookup!B$26/12)</f>
        <v>2569.678843</v>
      </c>
      <c r="O399" s="63">
        <f>(AA398+J399)*Lookup!C$26/12</f>
        <v>791.7663311</v>
      </c>
      <c r="P399" s="63">
        <f t="shared" si="8"/>
        <v>5400.656028</v>
      </c>
      <c r="Q399" s="63">
        <f t="shared" si="4"/>
        <v>7709.03653</v>
      </c>
      <c r="R399" s="63">
        <f t="shared" si="5"/>
        <v>2375.298993</v>
      </c>
      <c r="S399" s="64">
        <f t="shared" si="9"/>
        <v>33.33333333</v>
      </c>
      <c r="T399" s="64">
        <f t="shared" si="10"/>
        <v>41.66666667</v>
      </c>
      <c r="U399" s="64">
        <f t="shared" si="11"/>
        <v>0</v>
      </c>
      <c r="V399" s="64">
        <f t="shared" ref="V399:X399" si="407">IF(year($A399)=year($A398), V398+S399, S399)</f>
        <v>100</v>
      </c>
      <c r="W399" s="64">
        <f t="shared" si="407"/>
        <v>125</v>
      </c>
      <c r="X399" s="64">
        <f t="shared" si="407"/>
        <v>0</v>
      </c>
      <c r="Y399" s="65">
        <f>IFS(
  B399&lt;55,
    MAX(
      Y398 + IF(MONTH(A399)=12, P399+V399, 0) + H399 - L399
      + MAX(0,
          IF(AA398 &gt;= VLOOKUP(YEAR(A399), Lookup!$Q:$R, 2),
            Z398 + IF(MONTH(A399)=12, Q399+W399, 0) + I399
              + AA398 + IF(MONTH(A399)=12, R399+X399, 0)
              - VLOOKUP(YEAR(A399), Lookup!$Q:$R, 2) + J399,
            Z398 + IF(MONTH(A399)=12, Q399+W399, 0) + I399
          ) - VLOOKUP(YEAR(A399), Lookup!$K:$M, 3)
        ),
    0),
  B399=55,
    IF(Z398&gt;=AD399,
      MAX(Y398 + IF(MONTH(A399)=12, P399+V399, 0) + H399 - L399, 0),
      MAX(MAX(0, Y398-(AD399-Z398)) + IF(MONTH(A399)=12, P399+V399, 0) + H399 - L399, 0)
    ),
  B399&gt;55,
    IF(AB398&gt;=$AH$7,
      MAX(Y398 + IF(MONTH(A399)=12, P399+V399, 0) + H399 - L399 + K399 + Z398, 0),
      MAX(Y398 + IF(MONTH(A399)=12, P399+V399, 0) + H399 - L399, 0)
    )
)</f>
        <v>864104.9644</v>
      </c>
      <c r="Z399" s="65">
        <f>IFS(
  B399&lt;55,
    MIN(
      IF(AA398 &gt;= VLOOKUP(YEAR(A399), Lookup!$Q:$R, 2),
        Z398 + IF(MONTH(A399)=12, Q399+W399, 0) + I399
          + AA398 + IF(MONTH(A399)=12, R399+X399, 0) - VLOOKUP(YEAR(A399), Lookup!$Q:$R, 2) + J399,
        Z398 + IF(MONTH(A399)=12, Q399+W399, 0) + I399
      ),
      VLOOKUP(YEAR(A399), Lookup!$K:$M, 3)
    ),
  B399=55,
    IF(Z398 &gt;= AD399, Z398 - AD399, 0),
  B399&gt;55, 0
)</f>
        <v>0</v>
      </c>
      <c r="AA399" s="65">
        <f>IFS(
  B399&lt;65,
    IF(AA398+J399 &lt; VLOOKUP(YEAR(A399), Lookup!$Q:$R, 2),
      AA398 + IF(MONTH(A399)=12, R398+X398, 0) + J399,
      MIN(
        AA398 + IF(MONTH(A399)=12, R398+X398, 0) + J399 ,
        VLOOKUP(YEAR(A399), Lookup!$Q:$R, 2)
      )
    ),
  B399&gt;=65,
    IF(AA398+J399 &lt; VLOOKUP(questions!$C$5, Lookup!$Q:$R, 2),
      AA398 + IF(MONTH(A399)=12, R398+X398, 0) + J399 ,
      MIN(
        AA398 + IF(MONTH(A399)=12, R398+X398, 0) + J399,
        VLOOKUP(questions!$C$5, Lookup!$Q:$R, 2)
      )
    )
)</f>
        <v>237529.8993</v>
      </c>
      <c r="AB399" s="65">
        <f t="shared" si="13"/>
        <v>770903.653</v>
      </c>
      <c r="AC399" s="66">
        <f t="array" ref="AC399">IFS(B399&lt;66, XLOOKUP(year(A399),Lookup!$K$13:$K1000,Lookup!$L$13:$L1000,"missing",,1),B399&gt;65,XLOOKUP(questions!$C$5,Lookup!$K$13:$K1000,Lookup!$L$13:$L1000,"missing",,1))</f>
        <v>343065.3356</v>
      </c>
      <c r="AD399" s="66">
        <f t="array" ref="AD399">IFS(B399&lt;66, XLOOKUP(year(A399),Lookup!$K$13:$K1000,Lookup!$M$13:$M1000,"missing",,1),B399&gt;65, XLOOKUP(questions!$C$5,Lookup!$K$13:$K1000,Lookup!$M$13:$M1000,"missing",,1))</f>
        <v>686130.6712</v>
      </c>
      <c r="AE399" s="66">
        <f t="array" ref="AE399">IFS(B399&lt;66, XLOOKUP(year(A399),Lookup!$K$13:$K1000,Lookup!$N$13:$N1000,"missing",,1),B399&gt;65,XLOOKUP(questions!$C$5,Lookup!$K$13:$K1000,Lookup!$N$13:$N1000,"missing",,1))</f>
        <v>1372261.342</v>
      </c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</row>
    <row r="400">
      <c r="A400" s="55">
        <f t="shared" si="7"/>
        <v>58195</v>
      </c>
      <c r="B400" s="56">
        <f>round(YEARFRAC(EOMONTH(questions!$C$3, 0),A400,1),2)</f>
        <v>60.41</v>
      </c>
      <c r="C400" s="58">
        <f>IF(B400&lt;questions!$C$6,if(MONTH(A400)=1,C399*(1+questions!$C$12),C399),0)</f>
        <v>0</v>
      </c>
      <c r="D400" s="58">
        <f>IF(MONTH(A400)=12,C400*questions!$C$11,0)</f>
        <v>0</v>
      </c>
      <c r="E400" s="71">
        <f t="shared" si="2"/>
        <v>0</v>
      </c>
      <c r="F400" s="71">
        <f t="shared" si="3"/>
        <v>0</v>
      </c>
      <c r="G400" s="61">
        <f t="array" ref="G400">if(YEAR(A400)=2025,XLOOKUP(B400,Lookup!$A$3:$A$7,Lookup!$D$3:$D$7,,1)*SUM(E400:F400), XLOOKUP(B400,Lookup!$A$14:$A$18,Lookup!$D$14:$D$18,,1)*SUM(E400:F400))</f>
        <v>0</v>
      </c>
      <c r="H400" s="61">
        <f t="array" ref="H400">if(YEAR(A400)=2025,XLOOKUP(B400,Lookup!$F$3:$F$10,Lookup!$G$3:$G$10,,1)*G400, XLOOKUP(B400,Lookup!$F$14:$F$21,Lookup!$G$14:$G$21,,1)*G400)</f>
        <v>0</v>
      </c>
      <c r="I400" s="61">
        <f t="array" ref="I400">if(B400&lt;55, if(YEAR(A400)=2025,XLOOKUP(B400,Lookup!$F$3:$F$10,Lookup!$H$3:$H$10,,1)*G400, XLOOKUP(B400,Lookup!$F$14:$F$21,Lookup!$H$14:$H$21,,1)*G400),0)</f>
        <v>0</v>
      </c>
      <c r="J400" s="61">
        <f t="array" ref="J400">if(YEAR(A400)=2025,XLOOKUP(B400,Lookup!$F$3:$F$10,Lookup!$I$3:$I$10,,1)*G400, XLOOKUP(B400,Lookup!$F$14:$F$21,Lookup!$I$14:$I$21,,1)*G400)</f>
        <v>0</v>
      </c>
      <c r="K400" s="61">
        <f t="array" ref="K400">if(B400&gt;54, if(YEAR(A400)=2025,XLOOKUP(B400,Lookup!$F$3:$F$10,Lookup!$H$3:$H$10,,1)*G400, XLOOKUP(B400,Lookup!$F$14:$F$21,Lookup!$H$14:$H$21,,1)*G400),0)</f>
        <v>0</v>
      </c>
      <c r="L400" s="62">
        <f>IF(and(A400&lt;questions!$C$19,questions!$C$18="yes"),questions!$C$20,0)</f>
        <v>0</v>
      </c>
      <c r="M400" s="63">
        <f>(Y399+H400)*Lookup!A$26/12</f>
        <v>1800.218676</v>
      </c>
      <c r="N400" s="63">
        <f>if(B400&lt;55, (Z399+I400)*Lookup!B$26/12, (AB399+K400)*Lookup!B$26/12)</f>
        <v>2569.678843</v>
      </c>
      <c r="O400" s="63">
        <f>(AA399+J400)*Lookup!C$26/12</f>
        <v>791.7663311</v>
      </c>
      <c r="P400" s="63">
        <f t="shared" si="8"/>
        <v>7200.874704</v>
      </c>
      <c r="Q400" s="63">
        <f t="shared" si="4"/>
        <v>10278.71537</v>
      </c>
      <c r="R400" s="63">
        <f t="shared" si="5"/>
        <v>3167.065324</v>
      </c>
      <c r="S400" s="64">
        <f t="shared" si="9"/>
        <v>33.33333333</v>
      </c>
      <c r="T400" s="64">
        <f t="shared" si="10"/>
        <v>41.66666667</v>
      </c>
      <c r="U400" s="64">
        <f t="shared" si="11"/>
        <v>0</v>
      </c>
      <c r="V400" s="64">
        <f t="shared" ref="V400:X400" si="408">IF(year($A400)=year($A399), V399+S400, S400)</f>
        <v>133.3333333</v>
      </c>
      <c r="W400" s="64">
        <f t="shared" si="408"/>
        <v>166.6666667</v>
      </c>
      <c r="X400" s="64">
        <f t="shared" si="408"/>
        <v>0</v>
      </c>
      <c r="Y400" s="65">
        <f>IFS(
  B400&lt;55,
    MAX(
      Y399 + IF(MONTH(A400)=12, P400+V400, 0) + H400 - L400
      + MAX(0,
          IF(AA399 &gt;= VLOOKUP(YEAR(A400), Lookup!$Q:$R, 2),
            Z399 + IF(MONTH(A400)=12, Q400+W400, 0) + I400
              + AA399 + IF(MONTH(A400)=12, R400+X400, 0)
              - VLOOKUP(YEAR(A400), Lookup!$Q:$R, 2) + J400,
            Z399 + IF(MONTH(A400)=12, Q400+W400, 0) + I400
          ) - VLOOKUP(YEAR(A400), Lookup!$K:$M, 3)
        ),
    0),
  B400=55,
    IF(Z399&gt;=AD400,
      MAX(Y399 + IF(MONTH(A400)=12, P400+V400, 0) + H400 - L400, 0),
      MAX(MAX(0, Y399-(AD400-Z399)) + IF(MONTH(A400)=12, P400+V400, 0) + H400 - L400, 0)
    ),
  B400&gt;55,
    IF(AB399&gt;=$AH$7,
      MAX(Y399 + IF(MONTH(A400)=12, P400+V400, 0) + H400 - L400 + K400 + Z399, 0),
      MAX(Y399 + IF(MONTH(A400)=12, P400+V400, 0) + H400 - L400, 0)
    )
)</f>
        <v>864104.9644</v>
      </c>
      <c r="Z400" s="65">
        <f>IFS(
  B400&lt;55,
    MIN(
      IF(AA399 &gt;= VLOOKUP(YEAR(A400), Lookup!$Q:$R, 2),
        Z399 + IF(MONTH(A400)=12, Q400+W400, 0) + I400
          + AA399 + IF(MONTH(A400)=12, R400+X400, 0) - VLOOKUP(YEAR(A400), Lookup!$Q:$R, 2) + J400,
        Z399 + IF(MONTH(A400)=12, Q400+W400, 0) + I400
      ),
      VLOOKUP(YEAR(A400), Lookup!$K:$M, 3)
    ),
  B400=55,
    IF(Z399 &gt;= AD400, Z399 - AD400, 0),
  B400&gt;55, 0
)</f>
        <v>0</v>
      </c>
      <c r="AA400" s="65">
        <f>IFS(
  B400&lt;65,
    IF(AA399+J400 &lt; VLOOKUP(YEAR(A400), Lookup!$Q:$R, 2),
      AA399 + IF(MONTH(A400)=12, R399+X399, 0) + J400,
      MIN(
        AA399 + IF(MONTH(A400)=12, R399+X399, 0) + J400 ,
        VLOOKUP(YEAR(A400), Lookup!$Q:$R, 2)
      )
    ),
  B400&gt;=65,
    IF(AA399+J400 &lt; VLOOKUP(questions!$C$5, Lookup!$Q:$R, 2),
      AA399 + IF(MONTH(A400)=12, R399+X399, 0) + J400 ,
      MIN(
        AA399 + IF(MONTH(A400)=12, R399+X399, 0) + J400,
        VLOOKUP(questions!$C$5, Lookup!$Q:$R, 2)
      )
    )
)</f>
        <v>237529.8993</v>
      </c>
      <c r="AB400" s="65">
        <f t="shared" si="13"/>
        <v>770903.653</v>
      </c>
      <c r="AC400" s="66">
        <f t="array" ref="AC400">IFS(B400&lt;66, XLOOKUP(year(A400),Lookup!$K$13:$K1000,Lookup!$L$13:$L1000,"missing",,1),B400&gt;65,XLOOKUP(questions!$C$5,Lookup!$K$13:$K1000,Lookup!$L$13:$L1000,"missing",,1))</f>
        <v>343065.3356</v>
      </c>
      <c r="AD400" s="66">
        <f t="array" ref="AD400">IFS(B400&lt;66, XLOOKUP(year(A400),Lookup!$K$13:$K1000,Lookup!$M$13:$M1000,"missing",,1),B400&gt;65, XLOOKUP(questions!$C$5,Lookup!$K$13:$K1000,Lookup!$M$13:$M1000,"missing",,1))</f>
        <v>686130.6712</v>
      </c>
      <c r="AE400" s="66">
        <f t="array" ref="AE400">IFS(B400&lt;66, XLOOKUP(year(A400),Lookup!$K$13:$K1000,Lookup!$N$13:$N1000,"missing",,1),B400&gt;65,XLOOKUP(questions!$C$5,Lookup!$K$13:$K1000,Lookup!$N$13:$N1000,"missing",,1))</f>
        <v>1372261.342</v>
      </c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</row>
    <row r="401">
      <c r="A401" s="55">
        <f t="shared" si="7"/>
        <v>58226</v>
      </c>
      <c r="B401" s="56">
        <f>round(YEARFRAC(EOMONTH(questions!$C$3, 0),A401,1),2)</f>
        <v>60.5</v>
      </c>
      <c r="C401" s="58">
        <f>IF(B401&lt;questions!$C$6,if(MONTH(A401)=1,C400*(1+questions!$C$12),C400),0)</f>
        <v>0</v>
      </c>
      <c r="D401" s="58">
        <f>IF(MONTH(A401)=12,C401*questions!$C$11,0)</f>
        <v>0</v>
      </c>
      <c r="E401" s="71">
        <f t="shared" si="2"/>
        <v>0</v>
      </c>
      <c r="F401" s="71">
        <f t="shared" si="3"/>
        <v>0</v>
      </c>
      <c r="G401" s="61">
        <f t="array" ref="G401">if(YEAR(A401)=2025,XLOOKUP(B401,Lookup!$A$3:$A$7,Lookup!$D$3:$D$7,,1)*SUM(E401:F401), XLOOKUP(B401,Lookup!$A$14:$A$18,Lookup!$D$14:$D$18,,1)*SUM(E401:F401))</f>
        <v>0</v>
      </c>
      <c r="H401" s="61">
        <f t="array" ref="H401">if(YEAR(A401)=2025,XLOOKUP(B401,Lookup!$F$3:$F$10,Lookup!$G$3:$G$10,,1)*G401, XLOOKUP(B401,Lookup!$F$14:$F$21,Lookup!$G$14:$G$21,,1)*G401)</f>
        <v>0</v>
      </c>
      <c r="I401" s="61">
        <f t="array" ref="I401">if(B401&lt;55, if(YEAR(A401)=2025,XLOOKUP(B401,Lookup!$F$3:$F$10,Lookup!$H$3:$H$10,,1)*G401, XLOOKUP(B401,Lookup!$F$14:$F$21,Lookup!$H$14:$H$21,,1)*G401),0)</f>
        <v>0</v>
      </c>
      <c r="J401" s="61">
        <f t="array" ref="J401">if(YEAR(A401)=2025,XLOOKUP(B401,Lookup!$F$3:$F$10,Lookup!$I$3:$I$10,,1)*G401, XLOOKUP(B401,Lookup!$F$14:$F$21,Lookup!$I$14:$I$21,,1)*G401)</f>
        <v>0</v>
      </c>
      <c r="K401" s="61">
        <f t="array" ref="K401">if(B401&gt;54, if(YEAR(A401)=2025,XLOOKUP(B401,Lookup!$F$3:$F$10,Lookup!$H$3:$H$10,,1)*G401, XLOOKUP(B401,Lookup!$F$14:$F$21,Lookup!$H$14:$H$21,,1)*G401),0)</f>
        <v>0</v>
      </c>
      <c r="L401" s="62">
        <f>IF(and(A401&lt;questions!$C$19,questions!$C$18="yes"),questions!$C$20,0)</f>
        <v>0</v>
      </c>
      <c r="M401" s="63">
        <f>(Y400+H401)*Lookup!A$26/12</f>
        <v>1800.218676</v>
      </c>
      <c r="N401" s="63">
        <f>if(B401&lt;55, (Z400+I401)*Lookup!B$26/12, (AB400+K401)*Lookup!B$26/12)</f>
        <v>2569.678843</v>
      </c>
      <c r="O401" s="63">
        <f>(AA400+J401)*Lookup!C$26/12</f>
        <v>791.7663311</v>
      </c>
      <c r="P401" s="63">
        <f t="shared" si="8"/>
        <v>9001.09338</v>
      </c>
      <c r="Q401" s="63">
        <f t="shared" si="4"/>
        <v>12848.39422</v>
      </c>
      <c r="R401" s="63">
        <f t="shared" si="5"/>
        <v>3958.831655</v>
      </c>
      <c r="S401" s="64">
        <f t="shared" si="9"/>
        <v>33.33333333</v>
      </c>
      <c r="T401" s="64">
        <f t="shared" si="10"/>
        <v>41.66666667</v>
      </c>
      <c r="U401" s="64">
        <f t="shared" si="11"/>
        <v>0</v>
      </c>
      <c r="V401" s="64">
        <f t="shared" ref="V401:X401" si="409">IF(year($A401)=year($A400), V400+S401, S401)</f>
        <v>166.6666667</v>
      </c>
      <c r="W401" s="64">
        <f t="shared" si="409"/>
        <v>208.3333333</v>
      </c>
      <c r="X401" s="64">
        <f t="shared" si="409"/>
        <v>0</v>
      </c>
      <c r="Y401" s="65">
        <f>IFS(
  B401&lt;55,
    MAX(
      Y400 + IF(MONTH(A401)=12, P401+V401, 0) + H401 - L401
      + MAX(0,
          IF(AA400 &gt;= VLOOKUP(YEAR(A401), Lookup!$Q:$R, 2),
            Z400 + IF(MONTH(A401)=12, Q401+W401, 0) + I401
              + AA400 + IF(MONTH(A401)=12, R401+X401, 0)
              - VLOOKUP(YEAR(A401), Lookup!$Q:$R, 2) + J401,
            Z400 + IF(MONTH(A401)=12, Q401+W401, 0) + I401
          ) - VLOOKUP(YEAR(A401), Lookup!$K:$M, 3)
        ),
    0),
  B401=55,
    IF(Z400&gt;=AD401,
      MAX(Y400 + IF(MONTH(A401)=12, P401+V401, 0) + H401 - L401, 0),
      MAX(MAX(0, Y400-(AD401-Z400)) + IF(MONTH(A401)=12, P401+V401, 0) + H401 - L401, 0)
    ),
  B401&gt;55,
    IF(AB400&gt;=$AH$7,
      MAX(Y400 + IF(MONTH(A401)=12, P401+V401, 0) + H401 - L401 + K401 + Z400, 0),
      MAX(Y400 + IF(MONTH(A401)=12, P401+V401, 0) + H401 - L401, 0)
    )
)</f>
        <v>864104.9644</v>
      </c>
      <c r="Z401" s="65">
        <f>IFS(
  B401&lt;55,
    MIN(
      IF(AA400 &gt;= VLOOKUP(YEAR(A401), Lookup!$Q:$R, 2),
        Z400 + IF(MONTH(A401)=12, Q401+W401, 0) + I401
          + AA400 + IF(MONTH(A401)=12, R401+X401, 0) - VLOOKUP(YEAR(A401), Lookup!$Q:$R, 2) + J401,
        Z400 + IF(MONTH(A401)=12, Q401+W401, 0) + I401
      ),
      VLOOKUP(YEAR(A401), Lookup!$K:$M, 3)
    ),
  B401=55,
    IF(Z400 &gt;= AD401, Z400 - AD401, 0),
  B401&gt;55, 0
)</f>
        <v>0</v>
      </c>
      <c r="AA401" s="65">
        <f>IFS(
  B401&lt;65,
    IF(AA400+J401 &lt; VLOOKUP(YEAR(A401), Lookup!$Q:$R, 2),
      AA400 + IF(MONTH(A401)=12, R400+X400, 0) + J401,
      MIN(
        AA400 + IF(MONTH(A401)=12, R400+X400, 0) + J401 ,
        VLOOKUP(YEAR(A401), Lookup!$Q:$R, 2)
      )
    ),
  B401&gt;=65,
    IF(AA400+J401 &lt; VLOOKUP(questions!$C$5, Lookup!$Q:$R, 2),
      AA400 + IF(MONTH(A401)=12, R400+X400, 0) + J401 ,
      MIN(
        AA400 + IF(MONTH(A401)=12, R400+X400, 0) + J401,
        VLOOKUP(questions!$C$5, Lookup!$Q:$R, 2)
      )
    )
)</f>
        <v>237529.8993</v>
      </c>
      <c r="AB401" s="65">
        <f t="shared" si="13"/>
        <v>770903.653</v>
      </c>
      <c r="AC401" s="66">
        <f t="array" ref="AC401">IFS(B401&lt;66, XLOOKUP(year(A401),Lookup!$K$13:$K1000,Lookup!$L$13:$L1000,"missing",,1),B401&gt;65,XLOOKUP(questions!$C$5,Lookup!$K$13:$K1000,Lookup!$L$13:$L1000,"missing",,1))</f>
        <v>343065.3356</v>
      </c>
      <c r="AD401" s="66">
        <f t="array" ref="AD401">IFS(B401&lt;66, XLOOKUP(year(A401),Lookup!$K$13:$K1000,Lookup!$M$13:$M1000,"missing",,1),B401&gt;65, XLOOKUP(questions!$C$5,Lookup!$K$13:$K1000,Lookup!$M$13:$M1000,"missing",,1))</f>
        <v>686130.6712</v>
      </c>
      <c r="AE401" s="66">
        <f t="array" ref="AE401">IFS(B401&lt;66, XLOOKUP(year(A401),Lookup!$K$13:$K1000,Lookup!$N$13:$N1000,"missing",,1),B401&gt;65,XLOOKUP(questions!$C$5,Lookup!$K$13:$K1000,Lookup!$N$13:$N1000,"missing",,1))</f>
        <v>1372261.342</v>
      </c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</row>
    <row r="402">
      <c r="A402" s="55">
        <f t="shared" si="7"/>
        <v>58256</v>
      </c>
      <c r="B402" s="56">
        <f>round(YEARFRAC(EOMONTH(questions!$C$3, 0),A402,1),2)</f>
        <v>60.58</v>
      </c>
      <c r="C402" s="58">
        <f>IF(B402&lt;questions!$C$6,if(MONTH(A402)=1,C401*(1+questions!$C$12),C401),0)</f>
        <v>0</v>
      </c>
      <c r="D402" s="58">
        <f>IF(MONTH(A402)=12,C402*questions!$C$11,0)</f>
        <v>0</v>
      </c>
      <c r="E402" s="71">
        <f t="shared" si="2"/>
        <v>0</v>
      </c>
      <c r="F402" s="71">
        <f t="shared" si="3"/>
        <v>0</v>
      </c>
      <c r="G402" s="61">
        <f t="array" ref="G402">if(YEAR(A402)=2025,XLOOKUP(B402,Lookup!$A$3:$A$7,Lookup!$D$3:$D$7,,1)*SUM(E402:F402), XLOOKUP(B402,Lookup!$A$14:$A$18,Lookup!$D$14:$D$18,,1)*SUM(E402:F402))</f>
        <v>0</v>
      </c>
      <c r="H402" s="61">
        <f t="array" ref="H402">if(YEAR(A402)=2025,XLOOKUP(B402,Lookup!$F$3:$F$10,Lookup!$G$3:$G$10,,1)*G402, XLOOKUP(B402,Lookup!$F$14:$F$21,Lookup!$G$14:$G$21,,1)*G402)</f>
        <v>0</v>
      </c>
      <c r="I402" s="61">
        <f t="array" ref="I402">if(B402&lt;55, if(YEAR(A402)=2025,XLOOKUP(B402,Lookup!$F$3:$F$10,Lookup!$H$3:$H$10,,1)*G402, XLOOKUP(B402,Lookup!$F$14:$F$21,Lookup!$H$14:$H$21,,1)*G402),0)</f>
        <v>0</v>
      </c>
      <c r="J402" s="61">
        <f t="array" ref="J402">if(YEAR(A402)=2025,XLOOKUP(B402,Lookup!$F$3:$F$10,Lookup!$I$3:$I$10,,1)*G402, XLOOKUP(B402,Lookup!$F$14:$F$21,Lookup!$I$14:$I$21,,1)*G402)</f>
        <v>0</v>
      </c>
      <c r="K402" s="61">
        <f t="array" ref="K402">if(B402&gt;54, if(YEAR(A402)=2025,XLOOKUP(B402,Lookup!$F$3:$F$10,Lookup!$H$3:$H$10,,1)*G402, XLOOKUP(B402,Lookup!$F$14:$F$21,Lookup!$H$14:$H$21,,1)*G402),0)</f>
        <v>0</v>
      </c>
      <c r="L402" s="62">
        <f>IF(and(A402&lt;questions!$C$19,questions!$C$18="yes"),questions!$C$20,0)</f>
        <v>0</v>
      </c>
      <c r="M402" s="63">
        <f>(Y401+H402)*Lookup!A$26/12</f>
        <v>1800.218676</v>
      </c>
      <c r="N402" s="63">
        <f>if(B402&lt;55, (Z401+I402)*Lookup!B$26/12, (AB401+K402)*Lookup!B$26/12)</f>
        <v>2569.678843</v>
      </c>
      <c r="O402" s="63">
        <f>(AA401+J402)*Lookup!C$26/12</f>
        <v>791.7663311</v>
      </c>
      <c r="P402" s="63">
        <f t="shared" si="8"/>
        <v>10801.31206</v>
      </c>
      <c r="Q402" s="63">
        <f t="shared" si="4"/>
        <v>15418.07306</v>
      </c>
      <c r="R402" s="63">
        <f t="shared" si="5"/>
        <v>4750.597986</v>
      </c>
      <c r="S402" s="64">
        <f t="shared" si="9"/>
        <v>33.33333333</v>
      </c>
      <c r="T402" s="64">
        <f t="shared" si="10"/>
        <v>41.66666667</v>
      </c>
      <c r="U402" s="64">
        <f t="shared" si="11"/>
        <v>0</v>
      </c>
      <c r="V402" s="64">
        <f t="shared" ref="V402:X402" si="410">IF(year($A402)=year($A401), V401+S402, S402)</f>
        <v>200</v>
      </c>
      <c r="W402" s="64">
        <f t="shared" si="410"/>
        <v>250</v>
      </c>
      <c r="X402" s="64">
        <f t="shared" si="410"/>
        <v>0</v>
      </c>
      <c r="Y402" s="65">
        <f>IFS(
  B402&lt;55,
    MAX(
      Y401 + IF(MONTH(A402)=12, P402+V402, 0) + H402 - L402
      + MAX(0,
          IF(AA401 &gt;= VLOOKUP(YEAR(A402), Lookup!$Q:$R, 2),
            Z401 + IF(MONTH(A402)=12, Q402+W402, 0) + I402
              + AA401 + IF(MONTH(A402)=12, R402+X402, 0)
              - VLOOKUP(YEAR(A402), Lookup!$Q:$R, 2) + J402,
            Z401 + IF(MONTH(A402)=12, Q402+W402, 0) + I402
          ) - VLOOKUP(YEAR(A402), Lookup!$K:$M, 3)
        ),
    0),
  B402=55,
    IF(Z401&gt;=AD402,
      MAX(Y401 + IF(MONTH(A402)=12, P402+V402, 0) + H402 - L402, 0),
      MAX(MAX(0, Y401-(AD402-Z401)) + IF(MONTH(A402)=12, P402+V402, 0) + H402 - L402, 0)
    ),
  B402&gt;55,
    IF(AB401&gt;=$AH$7,
      MAX(Y401 + IF(MONTH(A402)=12, P402+V402, 0) + H402 - L402 + K402 + Z401, 0),
      MAX(Y401 + IF(MONTH(A402)=12, P402+V402, 0) + H402 - L402, 0)
    )
)</f>
        <v>864104.9644</v>
      </c>
      <c r="Z402" s="65">
        <f>IFS(
  B402&lt;55,
    MIN(
      IF(AA401 &gt;= VLOOKUP(YEAR(A402), Lookup!$Q:$R, 2),
        Z401 + IF(MONTH(A402)=12, Q402+W402, 0) + I402
          + AA401 + IF(MONTH(A402)=12, R402+X402, 0) - VLOOKUP(YEAR(A402), Lookup!$Q:$R, 2) + J402,
        Z401 + IF(MONTH(A402)=12, Q402+W402, 0) + I402
      ),
      VLOOKUP(YEAR(A402), Lookup!$K:$M, 3)
    ),
  B402=55,
    IF(Z401 &gt;= AD402, Z401 - AD402, 0),
  B402&gt;55, 0
)</f>
        <v>0</v>
      </c>
      <c r="AA402" s="65">
        <f>IFS(
  B402&lt;65,
    IF(AA401+J402 &lt; VLOOKUP(YEAR(A402), Lookup!$Q:$R, 2),
      AA401 + IF(MONTH(A402)=12, R401+X401, 0) + J402,
      MIN(
        AA401 + IF(MONTH(A402)=12, R401+X401, 0) + J402 ,
        VLOOKUP(YEAR(A402), Lookup!$Q:$R, 2)
      )
    ),
  B402&gt;=65,
    IF(AA401+J402 &lt; VLOOKUP(questions!$C$5, Lookup!$Q:$R, 2),
      AA401 + IF(MONTH(A402)=12, R401+X401, 0) + J402 ,
      MIN(
        AA401 + IF(MONTH(A402)=12, R401+X401, 0) + J402,
        VLOOKUP(questions!$C$5, Lookup!$Q:$R, 2)
      )
    )
)</f>
        <v>237529.8993</v>
      </c>
      <c r="AB402" s="65">
        <f t="shared" si="13"/>
        <v>770903.653</v>
      </c>
      <c r="AC402" s="66">
        <f t="array" ref="AC402">IFS(B402&lt;66, XLOOKUP(year(A402),Lookup!$K$13:$K1000,Lookup!$L$13:$L1000,"missing",,1),B402&gt;65,XLOOKUP(questions!$C$5,Lookup!$K$13:$K1000,Lookup!$L$13:$L1000,"missing",,1))</f>
        <v>343065.3356</v>
      </c>
      <c r="AD402" s="66">
        <f t="array" ref="AD402">IFS(B402&lt;66, XLOOKUP(year(A402),Lookup!$K$13:$K1000,Lookup!$M$13:$M1000,"missing",,1),B402&gt;65, XLOOKUP(questions!$C$5,Lookup!$K$13:$K1000,Lookup!$M$13:$M1000,"missing",,1))</f>
        <v>686130.6712</v>
      </c>
      <c r="AE402" s="66">
        <f t="array" ref="AE402">IFS(B402&lt;66, XLOOKUP(year(A402),Lookup!$K$13:$K1000,Lookup!$N$13:$N1000,"missing",,1),B402&gt;65,XLOOKUP(questions!$C$5,Lookup!$K$13:$K1000,Lookup!$N$13:$N1000,"missing",,1))</f>
        <v>1372261.342</v>
      </c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</row>
    <row r="403">
      <c r="A403" s="55">
        <f t="shared" si="7"/>
        <v>58287</v>
      </c>
      <c r="B403" s="56">
        <f>round(YEARFRAC(EOMONTH(questions!$C$3, 0),A403,1),2)</f>
        <v>60.67</v>
      </c>
      <c r="C403" s="58">
        <f>IF(B403&lt;questions!$C$6,if(MONTH(A403)=1,C402*(1+questions!$C$12),C402),0)</f>
        <v>0</v>
      </c>
      <c r="D403" s="58">
        <f>IF(MONTH(A403)=12,C403*questions!$C$11,0)</f>
        <v>0</v>
      </c>
      <c r="E403" s="71">
        <f t="shared" si="2"/>
        <v>0</v>
      </c>
      <c r="F403" s="71">
        <f t="shared" si="3"/>
        <v>0</v>
      </c>
      <c r="G403" s="61">
        <f t="array" ref="G403">if(YEAR(A403)=2025,XLOOKUP(B403,Lookup!$A$3:$A$7,Lookup!$D$3:$D$7,,1)*SUM(E403:F403), XLOOKUP(B403,Lookup!$A$14:$A$18,Lookup!$D$14:$D$18,,1)*SUM(E403:F403))</f>
        <v>0</v>
      </c>
      <c r="H403" s="61">
        <f t="array" ref="H403">if(YEAR(A403)=2025,XLOOKUP(B403,Lookup!$F$3:$F$10,Lookup!$G$3:$G$10,,1)*G403, XLOOKUP(B403,Lookup!$F$14:$F$21,Lookup!$G$14:$G$21,,1)*G403)</f>
        <v>0</v>
      </c>
      <c r="I403" s="61">
        <f t="array" ref="I403">if(B403&lt;55, if(YEAR(A403)=2025,XLOOKUP(B403,Lookup!$F$3:$F$10,Lookup!$H$3:$H$10,,1)*G403, XLOOKUP(B403,Lookup!$F$14:$F$21,Lookup!$H$14:$H$21,,1)*G403),0)</f>
        <v>0</v>
      </c>
      <c r="J403" s="61">
        <f t="array" ref="J403">if(YEAR(A403)=2025,XLOOKUP(B403,Lookup!$F$3:$F$10,Lookup!$I$3:$I$10,,1)*G403, XLOOKUP(B403,Lookup!$F$14:$F$21,Lookup!$I$14:$I$21,,1)*G403)</f>
        <v>0</v>
      </c>
      <c r="K403" s="61">
        <f t="array" ref="K403">if(B403&gt;54, if(YEAR(A403)=2025,XLOOKUP(B403,Lookup!$F$3:$F$10,Lookup!$H$3:$H$10,,1)*G403, XLOOKUP(B403,Lookup!$F$14:$F$21,Lookup!$H$14:$H$21,,1)*G403),0)</f>
        <v>0</v>
      </c>
      <c r="L403" s="62">
        <f>IF(and(A403&lt;questions!$C$19,questions!$C$18="yes"),questions!$C$20,0)</f>
        <v>0</v>
      </c>
      <c r="M403" s="63">
        <f>(Y402+H403)*Lookup!A$26/12</f>
        <v>1800.218676</v>
      </c>
      <c r="N403" s="63">
        <f>if(B403&lt;55, (Z402+I403)*Lookup!B$26/12, (AB402+K403)*Lookup!B$26/12)</f>
        <v>2569.678843</v>
      </c>
      <c r="O403" s="63">
        <f>(AA402+J403)*Lookup!C$26/12</f>
        <v>791.7663311</v>
      </c>
      <c r="P403" s="63">
        <f t="shared" si="8"/>
        <v>12601.53073</v>
      </c>
      <c r="Q403" s="63">
        <f t="shared" si="4"/>
        <v>17987.7519</v>
      </c>
      <c r="R403" s="63">
        <f t="shared" si="5"/>
        <v>5542.364317</v>
      </c>
      <c r="S403" s="64">
        <f t="shared" si="9"/>
        <v>33.33333333</v>
      </c>
      <c r="T403" s="64">
        <f t="shared" si="10"/>
        <v>41.66666667</v>
      </c>
      <c r="U403" s="64">
        <f t="shared" si="11"/>
        <v>0</v>
      </c>
      <c r="V403" s="64">
        <f t="shared" ref="V403:X403" si="411">IF(year($A403)=year($A402), V402+S403, S403)</f>
        <v>233.3333333</v>
      </c>
      <c r="W403" s="64">
        <f t="shared" si="411"/>
        <v>291.6666667</v>
      </c>
      <c r="X403" s="64">
        <f t="shared" si="411"/>
        <v>0</v>
      </c>
      <c r="Y403" s="65">
        <f>IFS(
  B403&lt;55,
    MAX(
      Y402 + IF(MONTH(A403)=12, P403+V403, 0) + H403 - L403
      + MAX(0,
          IF(AA402 &gt;= VLOOKUP(YEAR(A403), Lookup!$Q:$R, 2),
            Z402 + IF(MONTH(A403)=12, Q403+W403, 0) + I403
              + AA402 + IF(MONTH(A403)=12, R403+X403, 0)
              - VLOOKUP(YEAR(A403), Lookup!$Q:$R, 2) + J403,
            Z402 + IF(MONTH(A403)=12, Q403+W403, 0) + I403
          ) - VLOOKUP(YEAR(A403), Lookup!$K:$M, 3)
        ),
    0),
  B403=55,
    IF(Z402&gt;=AD403,
      MAX(Y402 + IF(MONTH(A403)=12, P403+V403, 0) + H403 - L403, 0),
      MAX(MAX(0, Y402-(AD403-Z402)) + IF(MONTH(A403)=12, P403+V403, 0) + H403 - L403, 0)
    ),
  B403&gt;55,
    IF(AB402&gt;=$AH$7,
      MAX(Y402 + IF(MONTH(A403)=12, P403+V403, 0) + H403 - L403 + K403 + Z402, 0),
      MAX(Y402 + IF(MONTH(A403)=12, P403+V403, 0) + H403 - L403, 0)
    )
)</f>
        <v>864104.9644</v>
      </c>
      <c r="Z403" s="65">
        <f>IFS(
  B403&lt;55,
    MIN(
      IF(AA402 &gt;= VLOOKUP(YEAR(A403), Lookup!$Q:$R, 2),
        Z402 + IF(MONTH(A403)=12, Q403+W403, 0) + I403
          + AA402 + IF(MONTH(A403)=12, R403+X403, 0) - VLOOKUP(YEAR(A403), Lookup!$Q:$R, 2) + J403,
        Z402 + IF(MONTH(A403)=12, Q403+W403, 0) + I403
      ),
      VLOOKUP(YEAR(A403), Lookup!$K:$M, 3)
    ),
  B403=55,
    IF(Z402 &gt;= AD403, Z402 - AD403, 0),
  B403&gt;55, 0
)</f>
        <v>0</v>
      </c>
      <c r="AA403" s="65">
        <f>IFS(
  B403&lt;65,
    IF(AA402+J403 &lt; VLOOKUP(YEAR(A403), Lookup!$Q:$R, 2),
      AA402 + IF(MONTH(A403)=12, R402+X402, 0) + J403,
      MIN(
        AA402 + IF(MONTH(A403)=12, R402+X402, 0) + J403 ,
        VLOOKUP(YEAR(A403), Lookup!$Q:$R, 2)
      )
    ),
  B403&gt;=65,
    IF(AA402+J403 &lt; VLOOKUP(questions!$C$5, Lookup!$Q:$R, 2),
      AA402 + IF(MONTH(A403)=12, R402+X402, 0) + J403 ,
      MIN(
        AA402 + IF(MONTH(A403)=12, R402+X402, 0) + J403,
        VLOOKUP(questions!$C$5, Lookup!$Q:$R, 2)
      )
    )
)</f>
        <v>237529.8993</v>
      </c>
      <c r="AB403" s="65">
        <f t="shared" si="13"/>
        <v>770903.653</v>
      </c>
      <c r="AC403" s="66">
        <f t="array" ref="AC403">IFS(B403&lt;66, XLOOKUP(year(A403),Lookup!$K$13:$K1000,Lookup!$L$13:$L1000,"missing",,1),B403&gt;65,XLOOKUP(questions!$C$5,Lookup!$K$13:$K1000,Lookup!$L$13:$L1000,"missing",,1))</f>
        <v>343065.3356</v>
      </c>
      <c r="AD403" s="66">
        <f t="array" ref="AD403">IFS(B403&lt;66, XLOOKUP(year(A403),Lookup!$K$13:$K1000,Lookup!$M$13:$M1000,"missing",,1),B403&gt;65, XLOOKUP(questions!$C$5,Lookup!$K$13:$K1000,Lookup!$M$13:$M1000,"missing",,1))</f>
        <v>686130.6712</v>
      </c>
      <c r="AE403" s="66">
        <f t="array" ref="AE403">IFS(B403&lt;66, XLOOKUP(year(A403),Lookup!$K$13:$K1000,Lookup!$N$13:$N1000,"missing",,1),B403&gt;65,XLOOKUP(questions!$C$5,Lookup!$K$13:$K1000,Lookup!$N$13:$N1000,"missing",,1))</f>
        <v>1372261.342</v>
      </c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</row>
    <row r="404">
      <c r="A404" s="55">
        <f t="shared" si="7"/>
        <v>58318</v>
      </c>
      <c r="B404" s="56">
        <f>round(YEARFRAC(EOMONTH(questions!$C$3, 0),A404,1),2)</f>
        <v>60.75</v>
      </c>
      <c r="C404" s="58">
        <f>IF(B404&lt;questions!$C$6,if(MONTH(A404)=1,C403*(1+questions!$C$12),C403),0)</f>
        <v>0</v>
      </c>
      <c r="D404" s="58">
        <f>IF(MONTH(A404)=12,C404*questions!$C$11,0)</f>
        <v>0</v>
      </c>
      <c r="E404" s="71">
        <f t="shared" si="2"/>
        <v>0</v>
      </c>
      <c r="F404" s="71">
        <f t="shared" si="3"/>
        <v>0</v>
      </c>
      <c r="G404" s="61">
        <f t="array" ref="G404">if(YEAR(A404)=2025,XLOOKUP(B404,Lookup!$A$3:$A$7,Lookup!$D$3:$D$7,,1)*SUM(E404:F404), XLOOKUP(B404,Lookup!$A$14:$A$18,Lookup!$D$14:$D$18,,1)*SUM(E404:F404))</f>
        <v>0</v>
      </c>
      <c r="H404" s="61">
        <f t="array" ref="H404">if(YEAR(A404)=2025,XLOOKUP(B404,Lookup!$F$3:$F$10,Lookup!$G$3:$G$10,,1)*G404, XLOOKUP(B404,Lookup!$F$14:$F$21,Lookup!$G$14:$G$21,,1)*G404)</f>
        <v>0</v>
      </c>
      <c r="I404" s="61">
        <f t="array" ref="I404">if(B404&lt;55, if(YEAR(A404)=2025,XLOOKUP(B404,Lookup!$F$3:$F$10,Lookup!$H$3:$H$10,,1)*G404, XLOOKUP(B404,Lookup!$F$14:$F$21,Lookup!$H$14:$H$21,,1)*G404),0)</f>
        <v>0</v>
      </c>
      <c r="J404" s="61">
        <f t="array" ref="J404">if(YEAR(A404)=2025,XLOOKUP(B404,Lookup!$F$3:$F$10,Lookup!$I$3:$I$10,,1)*G404, XLOOKUP(B404,Lookup!$F$14:$F$21,Lookup!$I$14:$I$21,,1)*G404)</f>
        <v>0</v>
      </c>
      <c r="K404" s="61">
        <f t="array" ref="K404">if(B404&gt;54, if(YEAR(A404)=2025,XLOOKUP(B404,Lookup!$F$3:$F$10,Lookup!$H$3:$H$10,,1)*G404, XLOOKUP(B404,Lookup!$F$14:$F$21,Lookup!$H$14:$H$21,,1)*G404),0)</f>
        <v>0</v>
      </c>
      <c r="L404" s="62">
        <f>IF(and(A404&lt;questions!$C$19,questions!$C$18="yes"),questions!$C$20,0)</f>
        <v>0</v>
      </c>
      <c r="M404" s="63">
        <f>(Y403+H404)*Lookup!A$26/12</f>
        <v>1800.218676</v>
      </c>
      <c r="N404" s="63">
        <f>if(B404&lt;55, (Z403+I404)*Lookup!B$26/12, (AB403+K404)*Lookup!B$26/12)</f>
        <v>2569.678843</v>
      </c>
      <c r="O404" s="63">
        <f>(AA403+J404)*Lookup!C$26/12</f>
        <v>791.7663311</v>
      </c>
      <c r="P404" s="63">
        <f t="shared" si="8"/>
        <v>14401.74941</v>
      </c>
      <c r="Q404" s="63">
        <f t="shared" si="4"/>
        <v>20557.43075</v>
      </c>
      <c r="R404" s="63">
        <f t="shared" si="5"/>
        <v>6334.130649</v>
      </c>
      <c r="S404" s="64">
        <f t="shared" si="9"/>
        <v>33.33333333</v>
      </c>
      <c r="T404" s="64">
        <f t="shared" si="10"/>
        <v>41.66666667</v>
      </c>
      <c r="U404" s="64">
        <f t="shared" si="11"/>
        <v>0</v>
      </c>
      <c r="V404" s="64">
        <f t="shared" ref="V404:X404" si="412">IF(year($A404)=year($A403), V403+S404, S404)</f>
        <v>266.6666667</v>
      </c>
      <c r="W404" s="64">
        <f t="shared" si="412"/>
        <v>333.3333333</v>
      </c>
      <c r="X404" s="64">
        <f t="shared" si="412"/>
        <v>0</v>
      </c>
      <c r="Y404" s="65">
        <f>IFS(
  B404&lt;55,
    MAX(
      Y403 + IF(MONTH(A404)=12, P404+V404, 0) + H404 - L404
      + MAX(0,
          IF(AA403 &gt;= VLOOKUP(YEAR(A404), Lookup!$Q:$R, 2),
            Z403 + IF(MONTH(A404)=12, Q404+W404, 0) + I404
              + AA403 + IF(MONTH(A404)=12, R404+X404, 0)
              - VLOOKUP(YEAR(A404), Lookup!$Q:$R, 2) + J404,
            Z403 + IF(MONTH(A404)=12, Q404+W404, 0) + I404
          ) - VLOOKUP(YEAR(A404), Lookup!$K:$M, 3)
        ),
    0),
  B404=55,
    IF(Z403&gt;=AD404,
      MAX(Y403 + IF(MONTH(A404)=12, P404+V404, 0) + H404 - L404, 0),
      MAX(MAX(0, Y403-(AD404-Z403)) + IF(MONTH(A404)=12, P404+V404, 0) + H404 - L404, 0)
    ),
  B404&gt;55,
    IF(AB403&gt;=$AH$7,
      MAX(Y403 + IF(MONTH(A404)=12, P404+V404, 0) + H404 - L404 + K404 + Z403, 0),
      MAX(Y403 + IF(MONTH(A404)=12, P404+V404, 0) + H404 - L404, 0)
    )
)</f>
        <v>864104.9644</v>
      </c>
      <c r="Z404" s="65">
        <f>IFS(
  B404&lt;55,
    MIN(
      IF(AA403 &gt;= VLOOKUP(YEAR(A404), Lookup!$Q:$R, 2),
        Z403 + IF(MONTH(A404)=12, Q404+W404, 0) + I404
          + AA403 + IF(MONTH(A404)=12, R404+X404, 0) - VLOOKUP(YEAR(A404), Lookup!$Q:$R, 2) + J404,
        Z403 + IF(MONTH(A404)=12, Q404+W404, 0) + I404
      ),
      VLOOKUP(YEAR(A404), Lookup!$K:$M, 3)
    ),
  B404=55,
    IF(Z403 &gt;= AD404, Z403 - AD404, 0),
  B404&gt;55, 0
)</f>
        <v>0</v>
      </c>
      <c r="AA404" s="65">
        <f>IFS(
  B404&lt;65,
    IF(AA403+J404 &lt; VLOOKUP(YEAR(A404), Lookup!$Q:$R, 2),
      AA403 + IF(MONTH(A404)=12, R403+X403, 0) + J404,
      MIN(
        AA403 + IF(MONTH(A404)=12, R403+X403, 0) + J404 ,
        VLOOKUP(YEAR(A404), Lookup!$Q:$R, 2)
      )
    ),
  B404&gt;=65,
    IF(AA403+J404 &lt; VLOOKUP(questions!$C$5, Lookup!$Q:$R, 2),
      AA403 + IF(MONTH(A404)=12, R403+X403, 0) + J404 ,
      MIN(
        AA403 + IF(MONTH(A404)=12, R403+X403, 0) + J404,
        VLOOKUP(questions!$C$5, Lookup!$Q:$R, 2)
      )
    )
)</f>
        <v>237529.8993</v>
      </c>
      <c r="AB404" s="65">
        <f t="shared" si="13"/>
        <v>770903.653</v>
      </c>
      <c r="AC404" s="66">
        <f t="array" ref="AC404">IFS(B404&lt;66, XLOOKUP(year(A404),Lookup!$K$13:$K1000,Lookup!$L$13:$L1000,"missing",,1),B404&gt;65,XLOOKUP(questions!$C$5,Lookup!$K$13:$K1000,Lookup!$L$13:$L1000,"missing",,1))</f>
        <v>343065.3356</v>
      </c>
      <c r="AD404" s="66">
        <f t="array" ref="AD404">IFS(B404&lt;66, XLOOKUP(year(A404),Lookup!$K$13:$K1000,Lookup!$M$13:$M1000,"missing",,1),B404&gt;65, XLOOKUP(questions!$C$5,Lookup!$K$13:$K1000,Lookup!$M$13:$M1000,"missing",,1))</f>
        <v>686130.6712</v>
      </c>
      <c r="AE404" s="66">
        <f t="array" ref="AE404">IFS(B404&lt;66, XLOOKUP(year(A404),Lookup!$K$13:$K1000,Lookup!$N$13:$N1000,"missing",,1),B404&gt;65,XLOOKUP(questions!$C$5,Lookup!$K$13:$K1000,Lookup!$N$13:$N1000,"missing",,1))</f>
        <v>1372261.342</v>
      </c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</row>
    <row r="405">
      <c r="A405" s="55">
        <f t="shared" si="7"/>
        <v>58348</v>
      </c>
      <c r="B405" s="56">
        <f>round(YEARFRAC(EOMONTH(questions!$C$3, 0),A405,1),2)</f>
        <v>60.83</v>
      </c>
      <c r="C405" s="58">
        <f>IF(B405&lt;questions!$C$6,if(MONTH(A405)=1,C404*(1+questions!$C$12),C404),0)</f>
        <v>0</v>
      </c>
      <c r="D405" s="58">
        <f>IF(MONTH(A405)=12,C405*questions!$C$11,0)</f>
        <v>0</v>
      </c>
      <c r="E405" s="71">
        <f t="shared" si="2"/>
        <v>0</v>
      </c>
      <c r="F405" s="71">
        <f t="shared" si="3"/>
        <v>0</v>
      </c>
      <c r="G405" s="61">
        <f t="array" ref="G405">if(YEAR(A405)=2025,XLOOKUP(B405,Lookup!$A$3:$A$7,Lookup!$D$3:$D$7,,1)*SUM(E405:F405), XLOOKUP(B405,Lookup!$A$14:$A$18,Lookup!$D$14:$D$18,,1)*SUM(E405:F405))</f>
        <v>0</v>
      </c>
      <c r="H405" s="61">
        <f t="array" ref="H405">if(YEAR(A405)=2025,XLOOKUP(B405,Lookup!$F$3:$F$10,Lookup!$G$3:$G$10,,1)*G405, XLOOKUP(B405,Lookup!$F$14:$F$21,Lookup!$G$14:$G$21,,1)*G405)</f>
        <v>0</v>
      </c>
      <c r="I405" s="61">
        <f t="array" ref="I405">if(B405&lt;55, if(YEAR(A405)=2025,XLOOKUP(B405,Lookup!$F$3:$F$10,Lookup!$H$3:$H$10,,1)*G405, XLOOKUP(B405,Lookup!$F$14:$F$21,Lookup!$H$14:$H$21,,1)*G405),0)</f>
        <v>0</v>
      </c>
      <c r="J405" s="61">
        <f t="array" ref="J405">if(YEAR(A405)=2025,XLOOKUP(B405,Lookup!$F$3:$F$10,Lookup!$I$3:$I$10,,1)*G405, XLOOKUP(B405,Lookup!$F$14:$F$21,Lookup!$I$14:$I$21,,1)*G405)</f>
        <v>0</v>
      </c>
      <c r="K405" s="61">
        <f t="array" ref="K405">if(B405&gt;54, if(YEAR(A405)=2025,XLOOKUP(B405,Lookup!$F$3:$F$10,Lookup!$H$3:$H$10,,1)*G405, XLOOKUP(B405,Lookup!$F$14:$F$21,Lookup!$H$14:$H$21,,1)*G405),0)</f>
        <v>0</v>
      </c>
      <c r="L405" s="62">
        <f>IF(and(A405&lt;questions!$C$19,questions!$C$18="yes"),questions!$C$20,0)</f>
        <v>0</v>
      </c>
      <c r="M405" s="63">
        <f>(Y404+H405)*Lookup!A$26/12</f>
        <v>1800.218676</v>
      </c>
      <c r="N405" s="63">
        <f>if(B405&lt;55, (Z404+I405)*Lookup!B$26/12, (AB404+K405)*Lookup!B$26/12)</f>
        <v>2569.678843</v>
      </c>
      <c r="O405" s="63">
        <f>(AA404+J405)*Lookup!C$26/12</f>
        <v>791.7663311</v>
      </c>
      <c r="P405" s="63">
        <f t="shared" si="8"/>
        <v>16201.96808</v>
      </c>
      <c r="Q405" s="63">
        <f t="shared" si="4"/>
        <v>23127.10959</v>
      </c>
      <c r="R405" s="63">
        <f t="shared" si="5"/>
        <v>7125.89698</v>
      </c>
      <c r="S405" s="64">
        <f t="shared" si="9"/>
        <v>33.33333333</v>
      </c>
      <c r="T405" s="64">
        <f t="shared" si="10"/>
        <v>41.66666667</v>
      </c>
      <c r="U405" s="64">
        <f t="shared" si="11"/>
        <v>0</v>
      </c>
      <c r="V405" s="64">
        <f t="shared" ref="V405:X405" si="413">IF(year($A405)=year($A404), V404+S405, S405)</f>
        <v>300</v>
      </c>
      <c r="W405" s="64">
        <f t="shared" si="413"/>
        <v>375</v>
      </c>
      <c r="X405" s="64">
        <f t="shared" si="413"/>
        <v>0</v>
      </c>
      <c r="Y405" s="65">
        <f>IFS(
  B405&lt;55,
    MAX(
      Y404 + IF(MONTH(A405)=12, P405+V405, 0) + H405 - L405
      + MAX(0,
          IF(AA404 &gt;= VLOOKUP(YEAR(A405), Lookup!$Q:$R, 2),
            Z404 + IF(MONTH(A405)=12, Q405+W405, 0) + I405
              + AA404 + IF(MONTH(A405)=12, R405+X405, 0)
              - VLOOKUP(YEAR(A405), Lookup!$Q:$R, 2) + J405,
            Z404 + IF(MONTH(A405)=12, Q405+W405, 0) + I405
          ) - VLOOKUP(YEAR(A405), Lookup!$K:$M, 3)
        ),
    0),
  B405=55,
    IF(Z404&gt;=AD405,
      MAX(Y404 + IF(MONTH(A405)=12, P405+V405, 0) + H405 - L405, 0),
      MAX(MAX(0, Y404-(AD405-Z404)) + IF(MONTH(A405)=12, P405+V405, 0) + H405 - L405, 0)
    ),
  B405&gt;55,
    IF(AB404&gt;=$AH$7,
      MAX(Y404 + IF(MONTH(A405)=12, P405+V405, 0) + H405 - L405 + K405 + Z404, 0),
      MAX(Y404 + IF(MONTH(A405)=12, P405+V405, 0) + H405 - L405, 0)
    )
)</f>
        <v>864104.9644</v>
      </c>
      <c r="Z405" s="65">
        <f>IFS(
  B405&lt;55,
    MIN(
      IF(AA404 &gt;= VLOOKUP(YEAR(A405), Lookup!$Q:$R, 2),
        Z404 + IF(MONTH(A405)=12, Q405+W405, 0) + I405
          + AA404 + IF(MONTH(A405)=12, R405+X405, 0) - VLOOKUP(YEAR(A405), Lookup!$Q:$R, 2) + J405,
        Z404 + IF(MONTH(A405)=12, Q405+W405, 0) + I405
      ),
      VLOOKUP(YEAR(A405), Lookup!$K:$M, 3)
    ),
  B405=55,
    IF(Z404 &gt;= AD405, Z404 - AD405, 0),
  B405&gt;55, 0
)</f>
        <v>0</v>
      </c>
      <c r="AA405" s="65">
        <f>IFS(
  B405&lt;65,
    IF(AA404+J405 &lt; VLOOKUP(YEAR(A405), Lookup!$Q:$R, 2),
      AA404 + IF(MONTH(A405)=12, R404+X404, 0) + J405,
      MIN(
        AA404 + IF(MONTH(A405)=12, R404+X404, 0) + J405 ,
        VLOOKUP(YEAR(A405), Lookup!$Q:$R, 2)
      )
    ),
  B405&gt;=65,
    IF(AA404+J405 &lt; VLOOKUP(questions!$C$5, Lookup!$Q:$R, 2),
      AA404 + IF(MONTH(A405)=12, R404+X404, 0) + J405 ,
      MIN(
        AA404 + IF(MONTH(A405)=12, R404+X404, 0) + J405,
        VLOOKUP(questions!$C$5, Lookup!$Q:$R, 2)
      )
    )
)</f>
        <v>237529.8993</v>
      </c>
      <c r="AB405" s="65">
        <f t="shared" si="13"/>
        <v>770903.653</v>
      </c>
      <c r="AC405" s="66">
        <f t="array" ref="AC405">IFS(B405&lt;66, XLOOKUP(year(A405),Lookup!$K$13:$K1000,Lookup!$L$13:$L1000,"missing",,1),B405&gt;65,XLOOKUP(questions!$C$5,Lookup!$K$13:$K1000,Lookup!$L$13:$L1000,"missing",,1))</f>
        <v>343065.3356</v>
      </c>
      <c r="AD405" s="66">
        <f t="array" ref="AD405">IFS(B405&lt;66, XLOOKUP(year(A405),Lookup!$K$13:$K1000,Lookup!$M$13:$M1000,"missing",,1),B405&gt;65, XLOOKUP(questions!$C$5,Lookup!$K$13:$K1000,Lookup!$M$13:$M1000,"missing",,1))</f>
        <v>686130.6712</v>
      </c>
      <c r="AE405" s="66">
        <f t="array" ref="AE405">IFS(B405&lt;66, XLOOKUP(year(A405),Lookup!$K$13:$K1000,Lookup!$N$13:$N1000,"missing",,1),B405&gt;65,XLOOKUP(questions!$C$5,Lookup!$K$13:$K1000,Lookup!$N$13:$N1000,"missing",,1))</f>
        <v>1372261.342</v>
      </c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</row>
    <row r="406">
      <c r="A406" s="55">
        <f t="shared" si="7"/>
        <v>58379</v>
      </c>
      <c r="B406" s="56">
        <f>round(YEARFRAC(EOMONTH(questions!$C$3, 0),A406,1),2)</f>
        <v>60.92</v>
      </c>
      <c r="C406" s="58">
        <f>IF(B406&lt;questions!$C$6,if(MONTH(A406)=1,C405*(1+questions!$C$12),C405),0)</f>
        <v>0</v>
      </c>
      <c r="D406" s="58">
        <f>IF(MONTH(A406)=12,C406*questions!$C$11,0)</f>
        <v>0</v>
      </c>
      <c r="E406" s="71">
        <f t="shared" si="2"/>
        <v>0</v>
      </c>
      <c r="F406" s="71">
        <f t="shared" si="3"/>
        <v>0</v>
      </c>
      <c r="G406" s="61">
        <f t="array" ref="G406">if(YEAR(A406)=2025,XLOOKUP(B406,Lookup!$A$3:$A$7,Lookup!$D$3:$D$7,,1)*SUM(E406:F406), XLOOKUP(B406,Lookup!$A$14:$A$18,Lookup!$D$14:$D$18,,1)*SUM(E406:F406))</f>
        <v>0</v>
      </c>
      <c r="H406" s="61">
        <f t="array" ref="H406">if(YEAR(A406)=2025,XLOOKUP(B406,Lookup!$F$3:$F$10,Lookup!$G$3:$G$10,,1)*G406, XLOOKUP(B406,Lookup!$F$14:$F$21,Lookup!$G$14:$G$21,,1)*G406)</f>
        <v>0</v>
      </c>
      <c r="I406" s="61">
        <f t="array" ref="I406">if(B406&lt;55, if(YEAR(A406)=2025,XLOOKUP(B406,Lookup!$F$3:$F$10,Lookup!$H$3:$H$10,,1)*G406, XLOOKUP(B406,Lookup!$F$14:$F$21,Lookup!$H$14:$H$21,,1)*G406),0)</f>
        <v>0</v>
      </c>
      <c r="J406" s="61">
        <f t="array" ref="J406">if(YEAR(A406)=2025,XLOOKUP(B406,Lookup!$F$3:$F$10,Lookup!$I$3:$I$10,,1)*G406, XLOOKUP(B406,Lookup!$F$14:$F$21,Lookup!$I$14:$I$21,,1)*G406)</f>
        <v>0</v>
      </c>
      <c r="K406" s="61">
        <f t="array" ref="K406">if(B406&gt;54, if(YEAR(A406)=2025,XLOOKUP(B406,Lookup!$F$3:$F$10,Lookup!$H$3:$H$10,,1)*G406, XLOOKUP(B406,Lookup!$F$14:$F$21,Lookup!$H$14:$H$21,,1)*G406),0)</f>
        <v>0</v>
      </c>
      <c r="L406" s="62">
        <f>IF(and(A406&lt;questions!$C$19,questions!$C$18="yes"),questions!$C$20,0)</f>
        <v>0</v>
      </c>
      <c r="M406" s="63">
        <f>(Y405+H406)*Lookup!A$26/12</f>
        <v>1800.218676</v>
      </c>
      <c r="N406" s="63">
        <f>if(B406&lt;55, (Z405+I406)*Lookup!B$26/12, (AB405+K406)*Lookup!B$26/12)</f>
        <v>2569.678843</v>
      </c>
      <c r="O406" s="63">
        <f>(AA405+J406)*Lookup!C$26/12</f>
        <v>791.7663311</v>
      </c>
      <c r="P406" s="63">
        <f t="shared" si="8"/>
        <v>18002.18676</v>
      </c>
      <c r="Q406" s="63">
        <f t="shared" si="4"/>
        <v>25696.78843</v>
      </c>
      <c r="R406" s="63">
        <f t="shared" si="5"/>
        <v>7917.663311</v>
      </c>
      <c r="S406" s="64">
        <f t="shared" si="9"/>
        <v>33.33333333</v>
      </c>
      <c r="T406" s="64">
        <f t="shared" si="10"/>
        <v>41.66666667</v>
      </c>
      <c r="U406" s="64">
        <f t="shared" si="11"/>
        <v>0</v>
      </c>
      <c r="V406" s="64">
        <f t="shared" ref="V406:X406" si="414">IF(year($A406)=year($A405), V405+S406, S406)</f>
        <v>333.3333333</v>
      </c>
      <c r="W406" s="64">
        <f t="shared" si="414"/>
        <v>416.6666667</v>
      </c>
      <c r="X406" s="64">
        <f t="shared" si="414"/>
        <v>0</v>
      </c>
      <c r="Y406" s="65">
        <f>IFS(
  B406&lt;55,
    MAX(
      Y405 + IF(MONTH(A406)=12, P406+V406, 0) + H406 - L406
      + MAX(0,
          IF(AA405 &gt;= VLOOKUP(YEAR(A406), Lookup!$Q:$R, 2),
            Z405 + IF(MONTH(A406)=12, Q406+W406, 0) + I406
              + AA405 + IF(MONTH(A406)=12, R406+X406, 0)
              - VLOOKUP(YEAR(A406), Lookup!$Q:$R, 2) + J406,
            Z405 + IF(MONTH(A406)=12, Q406+W406, 0) + I406
          ) - VLOOKUP(YEAR(A406), Lookup!$K:$M, 3)
        ),
    0),
  B406=55,
    IF(Z405&gt;=AD406,
      MAX(Y405 + IF(MONTH(A406)=12, P406+V406, 0) + H406 - L406, 0),
      MAX(MAX(0, Y405-(AD406-Z405)) + IF(MONTH(A406)=12, P406+V406, 0) + H406 - L406, 0)
    ),
  B406&gt;55,
    IF(AB405&gt;=$AH$7,
      MAX(Y405 + IF(MONTH(A406)=12, P406+V406, 0) + H406 - L406 + K406 + Z405, 0),
      MAX(Y405 + IF(MONTH(A406)=12, P406+V406, 0) + H406 - L406, 0)
    )
)</f>
        <v>864104.9644</v>
      </c>
      <c r="Z406" s="65">
        <f>IFS(
  B406&lt;55,
    MIN(
      IF(AA405 &gt;= VLOOKUP(YEAR(A406), Lookup!$Q:$R, 2),
        Z405 + IF(MONTH(A406)=12, Q406+W406, 0) + I406
          + AA405 + IF(MONTH(A406)=12, R406+X406, 0) - VLOOKUP(YEAR(A406), Lookup!$Q:$R, 2) + J406,
        Z405 + IF(MONTH(A406)=12, Q406+W406, 0) + I406
      ),
      VLOOKUP(YEAR(A406), Lookup!$K:$M, 3)
    ),
  B406=55,
    IF(Z405 &gt;= AD406, Z405 - AD406, 0),
  B406&gt;55, 0
)</f>
        <v>0</v>
      </c>
      <c r="AA406" s="65">
        <f>IFS(
  B406&lt;65,
    IF(AA405+J406 &lt; VLOOKUP(YEAR(A406), Lookup!$Q:$R, 2),
      AA405 + IF(MONTH(A406)=12, R405+X405, 0) + J406,
      MIN(
        AA405 + IF(MONTH(A406)=12, R405+X405, 0) + J406 ,
        VLOOKUP(YEAR(A406), Lookup!$Q:$R, 2)
      )
    ),
  B406&gt;=65,
    IF(AA405+J406 &lt; VLOOKUP(questions!$C$5, Lookup!$Q:$R, 2),
      AA405 + IF(MONTH(A406)=12, R405+X405, 0) + J406 ,
      MIN(
        AA405 + IF(MONTH(A406)=12, R405+X405, 0) + J406,
        VLOOKUP(questions!$C$5, Lookup!$Q:$R, 2)
      )
    )
)</f>
        <v>237529.8993</v>
      </c>
      <c r="AB406" s="65">
        <f t="shared" si="13"/>
        <v>770903.653</v>
      </c>
      <c r="AC406" s="66">
        <f t="array" ref="AC406">IFS(B406&lt;66, XLOOKUP(year(A406),Lookup!$K$13:$K1000,Lookup!$L$13:$L1000,"missing",,1),B406&gt;65,XLOOKUP(questions!$C$5,Lookup!$K$13:$K1000,Lookup!$L$13:$L1000,"missing",,1))</f>
        <v>343065.3356</v>
      </c>
      <c r="AD406" s="66">
        <f t="array" ref="AD406">IFS(B406&lt;66, XLOOKUP(year(A406),Lookup!$K$13:$K1000,Lookup!$M$13:$M1000,"missing",,1),B406&gt;65, XLOOKUP(questions!$C$5,Lookup!$K$13:$K1000,Lookup!$M$13:$M1000,"missing",,1))</f>
        <v>686130.6712</v>
      </c>
      <c r="AE406" s="66">
        <f t="array" ref="AE406">IFS(B406&lt;66, XLOOKUP(year(A406),Lookup!$K$13:$K1000,Lookup!$N$13:$N1000,"missing",,1),B406&gt;65,XLOOKUP(questions!$C$5,Lookup!$K$13:$K1000,Lookup!$N$13:$N1000,"missing",,1))</f>
        <v>1372261.342</v>
      </c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</row>
    <row r="407">
      <c r="A407" s="55">
        <f t="shared" si="7"/>
        <v>58409</v>
      </c>
      <c r="B407" s="56">
        <f>round(YEARFRAC(EOMONTH(questions!$C$3, 0),A407,1),2)</f>
        <v>61</v>
      </c>
      <c r="C407" s="58">
        <f>IF(B407&lt;questions!$C$6,if(MONTH(A407)=1,C406*(1+questions!$C$12),C406),0)</f>
        <v>0</v>
      </c>
      <c r="D407" s="58">
        <f>IF(MONTH(A407)=12,C407*questions!$C$11,0)</f>
        <v>0</v>
      </c>
      <c r="E407" s="71">
        <f t="shared" si="2"/>
        <v>0</v>
      </c>
      <c r="F407" s="71">
        <f t="shared" si="3"/>
        <v>0</v>
      </c>
      <c r="G407" s="61">
        <f t="array" ref="G407">if(YEAR(A407)=2025,XLOOKUP(B407,Lookup!$A$3:$A$7,Lookup!$D$3:$D$7,,1)*SUM(E407:F407), XLOOKUP(B407,Lookup!$A$14:$A$18,Lookup!$D$14:$D$18,,1)*SUM(E407:F407))</f>
        <v>0</v>
      </c>
      <c r="H407" s="61">
        <f t="array" ref="H407">if(YEAR(A407)=2025,XLOOKUP(B407,Lookup!$F$3:$F$10,Lookup!$G$3:$G$10,,1)*G407, XLOOKUP(B407,Lookup!$F$14:$F$21,Lookup!$G$14:$G$21,,1)*G407)</f>
        <v>0</v>
      </c>
      <c r="I407" s="61">
        <f t="array" ref="I407">if(B407&lt;55, if(YEAR(A407)=2025,XLOOKUP(B407,Lookup!$F$3:$F$10,Lookup!$H$3:$H$10,,1)*G407, XLOOKUP(B407,Lookup!$F$14:$F$21,Lookup!$H$14:$H$21,,1)*G407),0)</f>
        <v>0</v>
      </c>
      <c r="J407" s="61">
        <f t="array" ref="J407">if(YEAR(A407)=2025,XLOOKUP(B407,Lookup!$F$3:$F$10,Lookup!$I$3:$I$10,,1)*G407, XLOOKUP(B407,Lookup!$F$14:$F$21,Lookup!$I$14:$I$21,,1)*G407)</f>
        <v>0</v>
      </c>
      <c r="K407" s="61">
        <f t="array" ref="K407">if(B407&gt;54, if(YEAR(A407)=2025,XLOOKUP(B407,Lookup!$F$3:$F$10,Lookup!$H$3:$H$10,,1)*G407, XLOOKUP(B407,Lookup!$F$14:$F$21,Lookup!$H$14:$H$21,,1)*G407),0)</f>
        <v>0</v>
      </c>
      <c r="L407" s="62">
        <f>IF(and(A407&lt;questions!$C$19,questions!$C$18="yes"),questions!$C$20,0)</f>
        <v>0</v>
      </c>
      <c r="M407" s="63">
        <f>(Y406+H407)*Lookup!A$26/12</f>
        <v>1800.218676</v>
      </c>
      <c r="N407" s="63">
        <f>if(B407&lt;55, (Z406+I407)*Lookup!B$26/12, (AB406+K407)*Lookup!B$26/12)</f>
        <v>2569.678843</v>
      </c>
      <c r="O407" s="63">
        <f>(AA406+J407)*Lookup!C$26/12</f>
        <v>791.7663311</v>
      </c>
      <c r="P407" s="63">
        <f t="shared" si="8"/>
        <v>19802.40544</v>
      </c>
      <c r="Q407" s="63">
        <f t="shared" si="4"/>
        <v>28266.46728</v>
      </c>
      <c r="R407" s="63">
        <f t="shared" si="5"/>
        <v>8709.429642</v>
      </c>
      <c r="S407" s="64">
        <f t="shared" si="9"/>
        <v>33.33333333</v>
      </c>
      <c r="T407" s="64">
        <f t="shared" si="10"/>
        <v>41.66666667</v>
      </c>
      <c r="U407" s="64">
        <f t="shared" si="11"/>
        <v>0</v>
      </c>
      <c r="V407" s="64">
        <f t="shared" ref="V407:X407" si="415">IF(year($A407)=year($A406), V406+S407, S407)</f>
        <v>366.6666667</v>
      </c>
      <c r="W407" s="64">
        <f t="shared" si="415"/>
        <v>458.3333333</v>
      </c>
      <c r="X407" s="64">
        <f t="shared" si="415"/>
        <v>0</v>
      </c>
      <c r="Y407" s="65">
        <f>IFS(
  B407&lt;55,
    MAX(
      Y406 + IF(MONTH(A407)=12, P407+V407, 0) + H407 - L407
      + MAX(0,
          IF(AA406 &gt;= VLOOKUP(YEAR(A407), Lookup!$Q:$R, 2),
            Z406 + IF(MONTH(A407)=12, Q407+W407, 0) + I407
              + AA406 + IF(MONTH(A407)=12, R407+X407, 0)
              - VLOOKUP(YEAR(A407), Lookup!$Q:$R, 2) + J407,
            Z406 + IF(MONTH(A407)=12, Q407+W407, 0) + I407
          ) - VLOOKUP(YEAR(A407), Lookup!$K:$M, 3)
        ),
    0),
  B407=55,
    IF(Z406&gt;=AD407,
      MAX(Y406 + IF(MONTH(A407)=12, P407+V407, 0) + H407 - L407, 0),
      MAX(MAX(0, Y406-(AD407-Z406)) + IF(MONTH(A407)=12, P407+V407, 0) + H407 - L407, 0)
    ),
  B407&gt;55,
    IF(AB406&gt;=$AH$7,
      MAX(Y406 + IF(MONTH(A407)=12, P407+V407, 0) + H407 - L407 + K407 + Z406, 0),
      MAX(Y406 + IF(MONTH(A407)=12, P407+V407, 0) + H407 - L407, 0)
    )
)</f>
        <v>864104.9644</v>
      </c>
      <c r="Z407" s="65">
        <f>IFS(
  B407&lt;55,
    MIN(
      IF(AA406 &gt;= VLOOKUP(YEAR(A407), Lookup!$Q:$R, 2),
        Z406 + IF(MONTH(A407)=12, Q407+W407, 0) + I407
          + AA406 + IF(MONTH(A407)=12, R407+X407, 0) - VLOOKUP(YEAR(A407), Lookup!$Q:$R, 2) + J407,
        Z406 + IF(MONTH(A407)=12, Q407+W407, 0) + I407
      ),
      VLOOKUP(YEAR(A407), Lookup!$K:$M, 3)
    ),
  B407=55,
    IF(Z406 &gt;= AD407, Z406 - AD407, 0),
  B407&gt;55, 0
)</f>
        <v>0</v>
      </c>
      <c r="AA407" s="65">
        <f>IFS(
  B407&lt;65,
    IF(AA406+J407 &lt; VLOOKUP(YEAR(A407), Lookup!$Q:$R, 2),
      AA406 + IF(MONTH(A407)=12, R406+X406, 0) + J407,
      MIN(
        AA406 + IF(MONTH(A407)=12, R406+X406, 0) + J407 ,
        VLOOKUP(YEAR(A407), Lookup!$Q:$R, 2)
      )
    ),
  B407&gt;=65,
    IF(AA406+J407 &lt; VLOOKUP(questions!$C$5, Lookup!$Q:$R, 2),
      AA406 + IF(MONTH(A407)=12, R406+X406, 0) + J407 ,
      MIN(
        AA406 + IF(MONTH(A407)=12, R406+X406, 0) + J407,
        VLOOKUP(questions!$C$5, Lookup!$Q:$R, 2)
      )
    )
)</f>
        <v>237529.8993</v>
      </c>
      <c r="AB407" s="65">
        <f t="shared" si="13"/>
        <v>770903.653</v>
      </c>
      <c r="AC407" s="66">
        <f t="array" ref="AC407">IFS(B407&lt;66, XLOOKUP(year(A407),Lookup!$K$13:$K1000,Lookup!$L$13:$L1000,"missing",,1),B407&gt;65,XLOOKUP(questions!$C$5,Lookup!$K$13:$K1000,Lookup!$L$13:$L1000,"missing",,1))</f>
        <v>343065.3356</v>
      </c>
      <c r="AD407" s="66">
        <f t="array" ref="AD407">IFS(B407&lt;66, XLOOKUP(year(A407),Lookup!$K$13:$K1000,Lookup!$M$13:$M1000,"missing",,1),B407&gt;65, XLOOKUP(questions!$C$5,Lookup!$K$13:$K1000,Lookup!$M$13:$M1000,"missing",,1))</f>
        <v>686130.6712</v>
      </c>
      <c r="AE407" s="66">
        <f t="array" ref="AE407">IFS(B407&lt;66, XLOOKUP(year(A407),Lookup!$K$13:$K1000,Lookup!$N$13:$N1000,"missing",,1),B407&gt;65,XLOOKUP(questions!$C$5,Lookup!$K$13:$K1000,Lookup!$N$13:$N1000,"missing",,1))</f>
        <v>1372261.342</v>
      </c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</row>
    <row r="408">
      <c r="A408" s="55">
        <f t="shared" si="7"/>
        <v>58440</v>
      </c>
      <c r="B408" s="56">
        <f>round(YEARFRAC(EOMONTH(questions!$C$3, 0),A408,1),2)</f>
        <v>61.08</v>
      </c>
      <c r="C408" s="58">
        <f>IF(B408&lt;questions!$C$6,if(MONTH(A408)=1,C407*(1+questions!$C$12),C407),0)</f>
        <v>0</v>
      </c>
      <c r="D408" s="58">
        <f>IF(MONTH(A408)=12,C408*questions!$C$11,0)</f>
        <v>0</v>
      </c>
      <c r="E408" s="71">
        <f t="shared" si="2"/>
        <v>0</v>
      </c>
      <c r="F408" s="71">
        <f t="shared" si="3"/>
        <v>0</v>
      </c>
      <c r="G408" s="61">
        <f t="array" ref="G408">if(YEAR(A408)=2025,XLOOKUP(B408,Lookup!$A$3:$A$7,Lookup!$D$3:$D$7,,1)*SUM(E408:F408), XLOOKUP(B408,Lookup!$A$14:$A$18,Lookup!$D$14:$D$18,,1)*SUM(E408:F408))</f>
        <v>0</v>
      </c>
      <c r="H408" s="61">
        <f t="array" ref="H408">if(YEAR(A408)=2025,XLOOKUP(B408,Lookup!$F$3:$F$10,Lookup!$G$3:$G$10,,1)*G408, XLOOKUP(B408,Lookup!$F$14:$F$21,Lookup!$G$14:$G$21,,1)*G408)</f>
        <v>0</v>
      </c>
      <c r="I408" s="61">
        <f t="array" ref="I408">if(B408&lt;55, if(YEAR(A408)=2025,XLOOKUP(B408,Lookup!$F$3:$F$10,Lookup!$H$3:$H$10,,1)*G408, XLOOKUP(B408,Lookup!$F$14:$F$21,Lookup!$H$14:$H$21,,1)*G408),0)</f>
        <v>0</v>
      </c>
      <c r="J408" s="61">
        <f t="array" ref="J408">if(YEAR(A408)=2025,XLOOKUP(B408,Lookup!$F$3:$F$10,Lookup!$I$3:$I$10,,1)*G408, XLOOKUP(B408,Lookup!$F$14:$F$21,Lookup!$I$14:$I$21,,1)*G408)</f>
        <v>0</v>
      </c>
      <c r="K408" s="61">
        <f t="array" ref="K408">if(B408&gt;54, if(YEAR(A408)=2025,XLOOKUP(B408,Lookup!$F$3:$F$10,Lookup!$H$3:$H$10,,1)*G408, XLOOKUP(B408,Lookup!$F$14:$F$21,Lookup!$H$14:$H$21,,1)*G408),0)</f>
        <v>0</v>
      </c>
      <c r="L408" s="62">
        <f>IF(and(A408&lt;questions!$C$19,questions!$C$18="yes"),questions!$C$20,0)</f>
        <v>0</v>
      </c>
      <c r="M408" s="63">
        <f>(Y407+H408)*Lookup!A$26/12</f>
        <v>1800.218676</v>
      </c>
      <c r="N408" s="63">
        <f>if(B408&lt;55, (Z407+I408)*Lookup!B$26/12, (AB407+K408)*Lookup!B$26/12)</f>
        <v>2569.678843</v>
      </c>
      <c r="O408" s="63">
        <f>(AA407+J408)*Lookup!C$26/12</f>
        <v>791.7663311</v>
      </c>
      <c r="P408" s="63">
        <f t="shared" si="8"/>
        <v>21602.62411</v>
      </c>
      <c r="Q408" s="63">
        <f t="shared" si="4"/>
        <v>30836.14612</v>
      </c>
      <c r="R408" s="63">
        <f t="shared" si="5"/>
        <v>9501.195973</v>
      </c>
      <c r="S408" s="64">
        <f t="shared" si="9"/>
        <v>33.33333333</v>
      </c>
      <c r="T408" s="64">
        <f t="shared" si="10"/>
        <v>41.66666667</v>
      </c>
      <c r="U408" s="64">
        <f t="shared" si="11"/>
        <v>0</v>
      </c>
      <c r="V408" s="64">
        <f t="shared" ref="V408:X408" si="416">IF(year($A408)=year($A407), V407+S408, S408)</f>
        <v>400</v>
      </c>
      <c r="W408" s="64">
        <f t="shared" si="416"/>
        <v>500</v>
      </c>
      <c r="X408" s="64">
        <f t="shared" si="416"/>
        <v>0</v>
      </c>
      <c r="Y408" s="65">
        <f>IFS(
  B408&lt;55,
    MAX(
      Y407 + IF(MONTH(A408)=12, P408+V408, 0) + H408 - L408
      + MAX(0,
          IF(AA407 &gt;= VLOOKUP(YEAR(A408), Lookup!$Q:$R, 2),
            Z407 + IF(MONTH(A408)=12, Q408+W408, 0) + I408
              + AA407 + IF(MONTH(A408)=12, R408+X408, 0)
              - VLOOKUP(YEAR(A408), Lookup!$Q:$R, 2) + J408,
            Z407 + IF(MONTH(A408)=12, Q408+W408, 0) + I408
          ) - VLOOKUP(YEAR(A408), Lookup!$K:$M, 3)
        ),
    0),
  B408=55,
    IF(Z407&gt;=AD408,
      MAX(Y407 + IF(MONTH(A408)=12, P408+V408, 0) + H408 - L408, 0),
      MAX(MAX(0, Y407-(AD408-Z407)) + IF(MONTH(A408)=12, P408+V408, 0) + H408 - L408, 0)
    ),
  B408&gt;55,
    IF(AB407&gt;=$AH$7,
      MAX(Y407 + IF(MONTH(A408)=12, P408+V408, 0) + H408 - L408 + K408 + Z407, 0),
      MAX(Y407 + IF(MONTH(A408)=12, P408+V408, 0) + H408 - L408, 0)
    )
)</f>
        <v>886107.5886</v>
      </c>
      <c r="Z408" s="65">
        <f>IFS(
  B408&lt;55,
    MIN(
      IF(AA407 &gt;= VLOOKUP(YEAR(A408), Lookup!$Q:$R, 2),
        Z407 + IF(MONTH(A408)=12, Q408+W408, 0) + I408
          + AA407 + IF(MONTH(A408)=12, R408+X408, 0) - VLOOKUP(YEAR(A408), Lookup!$Q:$R, 2) + J408,
        Z407 + IF(MONTH(A408)=12, Q408+W408, 0) + I408
      ),
      VLOOKUP(YEAR(A408), Lookup!$K:$M, 3)
    ),
  B408=55,
    IF(Z407 &gt;= AD408, Z407 - AD408, 0),
  B408&gt;55, 0
)</f>
        <v>0</v>
      </c>
      <c r="AA408" s="65">
        <f>IFS(
  B408&lt;65,
    IF(AA407+J408 &lt; VLOOKUP(YEAR(A408), Lookup!$Q:$R, 2),
      AA407 + IF(MONTH(A408)=12, R407+X407, 0) + J408,
      MIN(
        AA407 + IF(MONTH(A408)=12, R407+X407, 0) + J408 ,
        VLOOKUP(YEAR(A408), Lookup!$Q:$R, 2)
      )
    ),
  B408&gt;=65,
    IF(AA407+J408 &lt; VLOOKUP(questions!$C$5, Lookup!$Q:$R, 2),
      AA407 + IF(MONTH(A408)=12, R407+X407, 0) + J408 ,
      MIN(
        AA407 + IF(MONTH(A408)=12, R407+X407, 0) + J408,
        VLOOKUP(questions!$C$5, Lookup!$Q:$R, 2)
      )
    )
)</f>
        <v>246239.329</v>
      </c>
      <c r="AB408" s="65">
        <f t="shared" si="13"/>
        <v>802239.7991</v>
      </c>
      <c r="AC408" s="66">
        <f t="array" ref="AC408">IFS(B408&lt;66, XLOOKUP(year(A408),Lookup!$K$13:$K1000,Lookup!$L$13:$L1000,"missing",,1),B408&gt;65,XLOOKUP(questions!$C$5,Lookup!$K$13:$K1000,Lookup!$L$13:$L1000,"missing",,1))</f>
        <v>343065.3356</v>
      </c>
      <c r="AD408" s="66">
        <f t="array" ref="AD408">IFS(B408&lt;66, XLOOKUP(year(A408),Lookup!$K$13:$K1000,Lookup!$M$13:$M1000,"missing",,1),B408&gt;65, XLOOKUP(questions!$C$5,Lookup!$K$13:$K1000,Lookup!$M$13:$M1000,"missing",,1))</f>
        <v>686130.6712</v>
      </c>
      <c r="AE408" s="66">
        <f t="array" ref="AE408">IFS(B408&lt;66, XLOOKUP(year(A408),Lookup!$K$13:$K1000,Lookup!$N$13:$N1000,"missing",,1),B408&gt;65,XLOOKUP(questions!$C$5,Lookup!$K$13:$K1000,Lookup!$N$13:$N1000,"missing",,1))</f>
        <v>1372261.342</v>
      </c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</row>
    <row r="409">
      <c r="A409" s="55">
        <f t="shared" si="7"/>
        <v>58471</v>
      </c>
      <c r="B409" s="56">
        <f>round(YEARFRAC(EOMONTH(questions!$C$3, 0),A409,1),2)</f>
        <v>61.17</v>
      </c>
      <c r="C409" s="58">
        <f>IF(B409&lt;questions!$C$6,if(MONTH(A409)=1,C408*(1+questions!$C$12),C408),0)</f>
        <v>0</v>
      </c>
      <c r="D409" s="58">
        <f>IF(MONTH(A409)=12,C409*questions!$C$11,0)</f>
        <v>0</v>
      </c>
      <c r="E409" s="71">
        <f t="shared" si="2"/>
        <v>0</v>
      </c>
      <c r="F409" s="71">
        <f t="shared" si="3"/>
        <v>0</v>
      </c>
      <c r="G409" s="61">
        <f t="array" ref="G409">if(YEAR(A409)=2025,XLOOKUP(B409,Lookup!$A$3:$A$7,Lookup!$D$3:$D$7,,1)*SUM(E409:F409), XLOOKUP(B409,Lookup!$A$14:$A$18,Lookup!$D$14:$D$18,,1)*SUM(E409:F409))</f>
        <v>0</v>
      </c>
      <c r="H409" s="61">
        <f t="array" ref="H409">if(YEAR(A409)=2025,XLOOKUP(B409,Lookup!$F$3:$F$10,Lookup!$G$3:$G$10,,1)*G409, XLOOKUP(B409,Lookup!$F$14:$F$21,Lookup!$G$14:$G$21,,1)*G409)</f>
        <v>0</v>
      </c>
      <c r="I409" s="61">
        <f t="array" ref="I409">if(B409&lt;55, if(YEAR(A409)=2025,XLOOKUP(B409,Lookup!$F$3:$F$10,Lookup!$H$3:$H$10,,1)*G409, XLOOKUP(B409,Lookup!$F$14:$F$21,Lookup!$H$14:$H$21,,1)*G409),0)</f>
        <v>0</v>
      </c>
      <c r="J409" s="61">
        <f t="array" ref="J409">if(YEAR(A409)=2025,XLOOKUP(B409,Lookup!$F$3:$F$10,Lookup!$I$3:$I$10,,1)*G409, XLOOKUP(B409,Lookup!$F$14:$F$21,Lookup!$I$14:$I$21,,1)*G409)</f>
        <v>0</v>
      </c>
      <c r="K409" s="61">
        <f t="array" ref="K409">if(B409&gt;54, if(YEAR(A409)=2025,XLOOKUP(B409,Lookup!$F$3:$F$10,Lookup!$H$3:$H$10,,1)*G409, XLOOKUP(B409,Lookup!$F$14:$F$21,Lookup!$H$14:$H$21,,1)*G409),0)</f>
        <v>0</v>
      </c>
      <c r="L409" s="62">
        <f>IF(and(A409&lt;questions!$C$19,questions!$C$18="yes"),questions!$C$20,0)</f>
        <v>0</v>
      </c>
      <c r="M409" s="63">
        <f>(Y408+H409)*Lookup!A$26/12</f>
        <v>1846.057476</v>
      </c>
      <c r="N409" s="63">
        <f>if(B409&lt;55, (Z408+I409)*Lookup!B$26/12, (AB408+K409)*Lookup!B$26/12)</f>
        <v>2674.132664</v>
      </c>
      <c r="O409" s="63">
        <f>(AA408+J409)*Lookup!C$26/12</f>
        <v>820.7977632</v>
      </c>
      <c r="P409" s="63">
        <f t="shared" si="8"/>
        <v>1846.057476</v>
      </c>
      <c r="Q409" s="63">
        <f t="shared" si="4"/>
        <v>2674.132664</v>
      </c>
      <c r="R409" s="63">
        <f t="shared" si="5"/>
        <v>820.7977632</v>
      </c>
      <c r="S409" s="64">
        <f t="shared" si="9"/>
        <v>33.33333333</v>
      </c>
      <c r="T409" s="64">
        <f t="shared" si="10"/>
        <v>41.66666667</v>
      </c>
      <c r="U409" s="64">
        <f t="shared" si="11"/>
        <v>0</v>
      </c>
      <c r="V409" s="64">
        <f t="shared" ref="V409:X409" si="417">IF(year($A409)=year($A408), V408+S409, S409)</f>
        <v>33.33333333</v>
      </c>
      <c r="W409" s="64">
        <f t="shared" si="417"/>
        <v>41.66666667</v>
      </c>
      <c r="X409" s="64">
        <f t="shared" si="417"/>
        <v>0</v>
      </c>
      <c r="Y409" s="65">
        <f>IFS(
  B409&lt;55,
    MAX(
      Y408 + IF(MONTH(A409)=12, P409+V409, 0) + H409 - L409
      + MAX(0,
          IF(AA408 &gt;= VLOOKUP(YEAR(A409), Lookup!$Q:$R, 2),
            Z408 + IF(MONTH(A409)=12, Q409+W409, 0) + I409
              + AA408 + IF(MONTH(A409)=12, R409+X409, 0)
              - VLOOKUP(YEAR(A409), Lookup!$Q:$R, 2) + J409,
            Z408 + IF(MONTH(A409)=12, Q409+W409, 0) + I409
          ) - VLOOKUP(YEAR(A409), Lookup!$K:$M, 3)
        ),
    0),
  B409=55,
    IF(Z408&gt;=AD409,
      MAX(Y408 + IF(MONTH(A409)=12, P409+V409, 0) + H409 - L409, 0),
      MAX(MAX(0, Y408-(AD409-Z408)) + IF(MONTH(A409)=12, P409+V409, 0) + H409 - L409, 0)
    ),
  B409&gt;55,
    IF(AB408&gt;=$AH$7,
      MAX(Y408 + IF(MONTH(A409)=12, P409+V409, 0) + H409 - L409 + K409 + Z408, 0),
      MAX(Y408 + IF(MONTH(A409)=12, P409+V409, 0) + H409 - L409, 0)
    )
)</f>
        <v>886107.5886</v>
      </c>
      <c r="Z409" s="65">
        <f>IFS(
  B409&lt;55,
    MIN(
      IF(AA408 &gt;= VLOOKUP(YEAR(A409), Lookup!$Q:$R, 2),
        Z408 + IF(MONTH(A409)=12, Q409+W409, 0) + I409
          + AA408 + IF(MONTH(A409)=12, R409+X409, 0) - VLOOKUP(YEAR(A409), Lookup!$Q:$R, 2) + J409,
        Z408 + IF(MONTH(A409)=12, Q409+W409, 0) + I409
      ),
      VLOOKUP(YEAR(A409), Lookup!$K:$M, 3)
    ),
  B409=55,
    IF(Z408 &gt;= AD409, Z408 - AD409, 0),
  B409&gt;55, 0
)</f>
        <v>0</v>
      </c>
      <c r="AA409" s="65">
        <f>IFS(
  B409&lt;65,
    IF(AA408+J409 &lt; VLOOKUP(YEAR(A409), Lookup!$Q:$R, 2),
      AA408 + IF(MONTH(A409)=12, R408+X408, 0) + J409,
      MIN(
        AA408 + IF(MONTH(A409)=12, R408+X408, 0) + J409 ,
        VLOOKUP(YEAR(A409), Lookup!$Q:$R, 2)
      )
    ),
  B409&gt;=65,
    IF(AA408+J409 &lt; VLOOKUP(questions!$C$5, Lookup!$Q:$R, 2),
      AA408 + IF(MONTH(A409)=12, R408+X408, 0) + J409 ,
      MIN(
        AA408 + IF(MONTH(A409)=12, R408+X408, 0) + J409,
        VLOOKUP(questions!$C$5, Lookup!$Q:$R, 2)
      )
    )
)</f>
        <v>246239.329</v>
      </c>
      <c r="AB409" s="65">
        <f t="shared" si="13"/>
        <v>802239.7991</v>
      </c>
      <c r="AC409" s="66">
        <f t="array" ref="AC409">IFS(B409&lt;66, XLOOKUP(year(A409),Lookup!$K$13:$K1000,Lookup!$L$13:$L1000,"missing",,1),B409&gt;65,XLOOKUP(questions!$C$5,Lookup!$K$13:$K1000,Lookup!$L$13:$L1000,"missing",,1))</f>
        <v>355072.6223</v>
      </c>
      <c r="AD409" s="66">
        <f t="array" ref="AD409">IFS(B409&lt;66, XLOOKUP(year(A409),Lookup!$K$13:$K1000,Lookup!$M$13:$M1000,"missing",,1),B409&gt;65, XLOOKUP(questions!$C$5,Lookup!$K$13:$K1000,Lookup!$M$13:$M1000,"missing",,1))</f>
        <v>710145.2447</v>
      </c>
      <c r="AE409" s="66">
        <f t="array" ref="AE409">IFS(B409&lt;66, XLOOKUP(year(A409),Lookup!$K$13:$K1000,Lookup!$N$13:$N1000,"missing",,1),B409&gt;65,XLOOKUP(questions!$C$5,Lookup!$K$13:$K1000,Lookup!$N$13:$N1000,"missing",,1))</f>
        <v>1420290.489</v>
      </c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</row>
    <row r="410">
      <c r="A410" s="55">
        <f t="shared" si="7"/>
        <v>58500</v>
      </c>
      <c r="B410" s="56">
        <f>round(YEARFRAC(EOMONTH(questions!$C$3, 0),A410,1),2)</f>
        <v>61.25</v>
      </c>
      <c r="C410" s="58">
        <f>IF(B410&lt;questions!$C$6,if(MONTH(A410)=1,C409*(1+questions!$C$12),C409),0)</f>
        <v>0</v>
      </c>
      <c r="D410" s="58">
        <f>IF(MONTH(A410)=12,C410*questions!$C$11,0)</f>
        <v>0</v>
      </c>
      <c r="E410" s="71">
        <f t="shared" si="2"/>
        <v>0</v>
      </c>
      <c r="F410" s="71">
        <f t="shared" si="3"/>
        <v>0</v>
      </c>
      <c r="G410" s="61">
        <f t="array" ref="G410">if(YEAR(A410)=2025,XLOOKUP(B410,Lookup!$A$3:$A$7,Lookup!$D$3:$D$7,,1)*SUM(E410:F410), XLOOKUP(B410,Lookup!$A$14:$A$18,Lookup!$D$14:$D$18,,1)*SUM(E410:F410))</f>
        <v>0</v>
      </c>
      <c r="H410" s="61">
        <f t="array" ref="H410">if(YEAR(A410)=2025,XLOOKUP(B410,Lookup!$F$3:$F$10,Lookup!$G$3:$G$10,,1)*G410, XLOOKUP(B410,Lookup!$F$14:$F$21,Lookup!$G$14:$G$21,,1)*G410)</f>
        <v>0</v>
      </c>
      <c r="I410" s="61">
        <f t="array" ref="I410">if(B410&lt;55, if(YEAR(A410)=2025,XLOOKUP(B410,Lookup!$F$3:$F$10,Lookup!$H$3:$H$10,,1)*G410, XLOOKUP(B410,Lookup!$F$14:$F$21,Lookup!$H$14:$H$21,,1)*G410),0)</f>
        <v>0</v>
      </c>
      <c r="J410" s="61">
        <f t="array" ref="J410">if(YEAR(A410)=2025,XLOOKUP(B410,Lookup!$F$3:$F$10,Lookup!$I$3:$I$10,,1)*G410, XLOOKUP(B410,Lookup!$F$14:$F$21,Lookup!$I$14:$I$21,,1)*G410)</f>
        <v>0</v>
      </c>
      <c r="K410" s="61">
        <f t="array" ref="K410">if(B410&gt;54, if(YEAR(A410)=2025,XLOOKUP(B410,Lookup!$F$3:$F$10,Lookup!$H$3:$H$10,,1)*G410, XLOOKUP(B410,Lookup!$F$14:$F$21,Lookup!$H$14:$H$21,,1)*G410),0)</f>
        <v>0</v>
      </c>
      <c r="L410" s="62">
        <f>IF(and(A410&lt;questions!$C$19,questions!$C$18="yes"),questions!$C$20,0)</f>
        <v>0</v>
      </c>
      <c r="M410" s="63">
        <f>(Y409+H410)*Lookup!A$26/12</f>
        <v>1846.057476</v>
      </c>
      <c r="N410" s="63">
        <f>if(B410&lt;55, (Z409+I410)*Lookup!B$26/12, (AB409+K410)*Lookup!B$26/12)</f>
        <v>2674.132664</v>
      </c>
      <c r="O410" s="63">
        <f>(AA409+J410)*Lookup!C$26/12</f>
        <v>820.7977632</v>
      </c>
      <c r="P410" s="63">
        <f t="shared" si="8"/>
        <v>3692.114952</v>
      </c>
      <c r="Q410" s="63">
        <f t="shared" si="4"/>
        <v>5348.265328</v>
      </c>
      <c r="R410" s="63">
        <f t="shared" si="5"/>
        <v>1641.595526</v>
      </c>
      <c r="S410" s="64">
        <f t="shared" si="9"/>
        <v>33.33333333</v>
      </c>
      <c r="T410" s="64">
        <f t="shared" si="10"/>
        <v>41.66666667</v>
      </c>
      <c r="U410" s="64">
        <f t="shared" si="11"/>
        <v>0</v>
      </c>
      <c r="V410" s="64">
        <f t="shared" ref="V410:X410" si="418">IF(year($A410)=year($A409), V409+S410, S410)</f>
        <v>66.66666667</v>
      </c>
      <c r="W410" s="64">
        <f t="shared" si="418"/>
        <v>83.33333333</v>
      </c>
      <c r="X410" s="64">
        <f t="shared" si="418"/>
        <v>0</v>
      </c>
      <c r="Y410" s="65">
        <f>IFS(
  B410&lt;55,
    MAX(
      Y409 + IF(MONTH(A410)=12, P410+V410, 0) + H410 - L410
      + MAX(0,
          IF(AA409 &gt;= VLOOKUP(YEAR(A410), Lookup!$Q:$R, 2),
            Z409 + IF(MONTH(A410)=12, Q410+W410, 0) + I410
              + AA409 + IF(MONTH(A410)=12, R410+X410, 0)
              - VLOOKUP(YEAR(A410), Lookup!$Q:$R, 2) + J410,
            Z409 + IF(MONTH(A410)=12, Q410+W410, 0) + I410
          ) - VLOOKUP(YEAR(A410), Lookup!$K:$M, 3)
        ),
    0),
  B410=55,
    IF(Z409&gt;=AD410,
      MAX(Y409 + IF(MONTH(A410)=12, P410+V410, 0) + H410 - L410, 0),
      MAX(MAX(0, Y409-(AD410-Z409)) + IF(MONTH(A410)=12, P410+V410, 0) + H410 - L410, 0)
    ),
  B410&gt;55,
    IF(AB409&gt;=$AH$7,
      MAX(Y409 + IF(MONTH(A410)=12, P410+V410, 0) + H410 - L410 + K410 + Z409, 0),
      MAX(Y409 + IF(MONTH(A410)=12, P410+V410, 0) + H410 - L410, 0)
    )
)</f>
        <v>886107.5886</v>
      </c>
      <c r="Z410" s="65">
        <f>IFS(
  B410&lt;55,
    MIN(
      IF(AA409 &gt;= VLOOKUP(YEAR(A410), Lookup!$Q:$R, 2),
        Z409 + IF(MONTH(A410)=12, Q410+W410, 0) + I410
          + AA409 + IF(MONTH(A410)=12, R410+X410, 0) - VLOOKUP(YEAR(A410), Lookup!$Q:$R, 2) + J410,
        Z409 + IF(MONTH(A410)=12, Q410+W410, 0) + I410
      ),
      VLOOKUP(YEAR(A410), Lookup!$K:$M, 3)
    ),
  B410=55,
    IF(Z409 &gt;= AD410, Z409 - AD410, 0),
  B410&gt;55, 0
)</f>
        <v>0</v>
      </c>
      <c r="AA410" s="65">
        <f>IFS(
  B410&lt;65,
    IF(AA409+J410 &lt; VLOOKUP(YEAR(A410), Lookup!$Q:$R, 2),
      AA409 + IF(MONTH(A410)=12, R409+X409, 0) + J410,
      MIN(
        AA409 + IF(MONTH(A410)=12, R409+X409, 0) + J410 ,
        VLOOKUP(YEAR(A410), Lookup!$Q:$R, 2)
      )
    ),
  B410&gt;=65,
    IF(AA409+J410 &lt; VLOOKUP(questions!$C$5, Lookup!$Q:$R, 2),
      AA409 + IF(MONTH(A410)=12, R409+X409, 0) + J410 ,
      MIN(
        AA409 + IF(MONTH(A410)=12, R409+X409, 0) + J410,
        VLOOKUP(questions!$C$5, Lookup!$Q:$R, 2)
      )
    )
)</f>
        <v>246239.329</v>
      </c>
      <c r="AB410" s="65">
        <f t="shared" si="13"/>
        <v>802239.7991</v>
      </c>
      <c r="AC410" s="66">
        <f t="array" ref="AC410">IFS(B410&lt;66, XLOOKUP(year(A410),Lookup!$K$13:$K1000,Lookup!$L$13:$L1000,"missing",,1),B410&gt;65,XLOOKUP(questions!$C$5,Lookup!$K$13:$K1000,Lookup!$L$13:$L1000,"missing",,1))</f>
        <v>355072.6223</v>
      </c>
      <c r="AD410" s="66">
        <f t="array" ref="AD410">IFS(B410&lt;66, XLOOKUP(year(A410),Lookup!$K$13:$K1000,Lookup!$M$13:$M1000,"missing",,1),B410&gt;65, XLOOKUP(questions!$C$5,Lookup!$K$13:$K1000,Lookup!$M$13:$M1000,"missing",,1))</f>
        <v>710145.2447</v>
      </c>
      <c r="AE410" s="66">
        <f t="array" ref="AE410">IFS(B410&lt;66, XLOOKUP(year(A410),Lookup!$K$13:$K1000,Lookup!$N$13:$N1000,"missing",,1),B410&gt;65,XLOOKUP(questions!$C$5,Lookup!$K$13:$K1000,Lookup!$N$13:$N1000,"missing",,1))</f>
        <v>1420290.489</v>
      </c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</row>
    <row r="411">
      <c r="A411" s="55">
        <f t="shared" si="7"/>
        <v>58531</v>
      </c>
      <c r="B411" s="56">
        <f>round(YEARFRAC(EOMONTH(questions!$C$3, 0),A411,1),2)</f>
        <v>61.33</v>
      </c>
      <c r="C411" s="58">
        <f>IF(B411&lt;questions!$C$6,if(MONTH(A411)=1,C410*(1+questions!$C$12),C410),0)</f>
        <v>0</v>
      </c>
      <c r="D411" s="58">
        <f>IF(MONTH(A411)=12,C411*questions!$C$11,0)</f>
        <v>0</v>
      </c>
      <c r="E411" s="71">
        <f t="shared" si="2"/>
        <v>0</v>
      </c>
      <c r="F411" s="71">
        <f t="shared" si="3"/>
        <v>0</v>
      </c>
      <c r="G411" s="61">
        <f t="array" ref="G411">if(YEAR(A411)=2025,XLOOKUP(B411,Lookup!$A$3:$A$7,Lookup!$D$3:$D$7,,1)*SUM(E411:F411), XLOOKUP(B411,Lookup!$A$14:$A$18,Lookup!$D$14:$D$18,,1)*SUM(E411:F411))</f>
        <v>0</v>
      </c>
      <c r="H411" s="61">
        <f t="array" ref="H411">if(YEAR(A411)=2025,XLOOKUP(B411,Lookup!$F$3:$F$10,Lookup!$G$3:$G$10,,1)*G411, XLOOKUP(B411,Lookup!$F$14:$F$21,Lookup!$G$14:$G$21,,1)*G411)</f>
        <v>0</v>
      </c>
      <c r="I411" s="61">
        <f t="array" ref="I411">if(B411&lt;55, if(YEAR(A411)=2025,XLOOKUP(B411,Lookup!$F$3:$F$10,Lookup!$H$3:$H$10,,1)*G411, XLOOKUP(B411,Lookup!$F$14:$F$21,Lookup!$H$14:$H$21,,1)*G411),0)</f>
        <v>0</v>
      </c>
      <c r="J411" s="61">
        <f t="array" ref="J411">if(YEAR(A411)=2025,XLOOKUP(B411,Lookup!$F$3:$F$10,Lookup!$I$3:$I$10,,1)*G411, XLOOKUP(B411,Lookup!$F$14:$F$21,Lookup!$I$14:$I$21,,1)*G411)</f>
        <v>0</v>
      </c>
      <c r="K411" s="61">
        <f t="array" ref="K411">if(B411&gt;54, if(YEAR(A411)=2025,XLOOKUP(B411,Lookup!$F$3:$F$10,Lookup!$H$3:$H$10,,1)*G411, XLOOKUP(B411,Lookup!$F$14:$F$21,Lookup!$H$14:$H$21,,1)*G411),0)</f>
        <v>0</v>
      </c>
      <c r="L411" s="62">
        <f>IF(and(A411&lt;questions!$C$19,questions!$C$18="yes"),questions!$C$20,0)</f>
        <v>0</v>
      </c>
      <c r="M411" s="63">
        <f>(Y410+H411)*Lookup!A$26/12</f>
        <v>1846.057476</v>
      </c>
      <c r="N411" s="63">
        <f>if(B411&lt;55, (Z410+I411)*Lookup!B$26/12, (AB410+K411)*Lookup!B$26/12)</f>
        <v>2674.132664</v>
      </c>
      <c r="O411" s="63">
        <f>(AA410+J411)*Lookup!C$26/12</f>
        <v>820.7977632</v>
      </c>
      <c r="P411" s="63">
        <f t="shared" si="8"/>
        <v>5538.172428</v>
      </c>
      <c r="Q411" s="63">
        <f t="shared" si="4"/>
        <v>8022.397991</v>
      </c>
      <c r="R411" s="63">
        <f t="shared" si="5"/>
        <v>2462.39329</v>
      </c>
      <c r="S411" s="64">
        <f t="shared" si="9"/>
        <v>33.33333333</v>
      </c>
      <c r="T411" s="64">
        <f t="shared" si="10"/>
        <v>41.66666667</v>
      </c>
      <c r="U411" s="64">
        <f t="shared" si="11"/>
        <v>0</v>
      </c>
      <c r="V411" s="64">
        <f t="shared" ref="V411:X411" si="419">IF(year($A411)=year($A410), V410+S411, S411)</f>
        <v>100</v>
      </c>
      <c r="W411" s="64">
        <f t="shared" si="419"/>
        <v>125</v>
      </c>
      <c r="X411" s="64">
        <f t="shared" si="419"/>
        <v>0</v>
      </c>
      <c r="Y411" s="65">
        <f>IFS(
  B411&lt;55,
    MAX(
      Y410 + IF(MONTH(A411)=12, P411+V411, 0) + H411 - L411
      + MAX(0,
          IF(AA410 &gt;= VLOOKUP(YEAR(A411), Lookup!$Q:$R, 2),
            Z410 + IF(MONTH(A411)=12, Q411+W411, 0) + I411
              + AA410 + IF(MONTH(A411)=12, R411+X411, 0)
              - VLOOKUP(YEAR(A411), Lookup!$Q:$R, 2) + J411,
            Z410 + IF(MONTH(A411)=12, Q411+W411, 0) + I411
          ) - VLOOKUP(YEAR(A411), Lookup!$K:$M, 3)
        ),
    0),
  B411=55,
    IF(Z410&gt;=AD411,
      MAX(Y410 + IF(MONTH(A411)=12, P411+V411, 0) + H411 - L411, 0),
      MAX(MAX(0, Y410-(AD411-Z410)) + IF(MONTH(A411)=12, P411+V411, 0) + H411 - L411, 0)
    ),
  B411&gt;55,
    IF(AB410&gt;=$AH$7,
      MAX(Y410 + IF(MONTH(A411)=12, P411+V411, 0) + H411 - L411 + K411 + Z410, 0),
      MAX(Y410 + IF(MONTH(A411)=12, P411+V411, 0) + H411 - L411, 0)
    )
)</f>
        <v>886107.5886</v>
      </c>
      <c r="Z411" s="65">
        <f>IFS(
  B411&lt;55,
    MIN(
      IF(AA410 &gt;= VLOOKUP(YEAR(A411), Lookup!$Q:$R, 2),
        Z410 + IF(MONTH(A411)=12, Q411+W411, 0) + I411
          + AA410 + IF(MONTH(A411)=12, R411+X411, 0) - VLOOKUP(YEAR(A411), Lookup!$Q:$R, 2) + J411,
        Z410 + IF(MONTH(A411)=12, Q411+W411, 0) + I411
      ),
      VLOOKUP(YEAR(A411), Lookup!$K:$M, 3)
    ),
  B411=55,
    IF(Z410 &gt;= AD411, Z410 - AD411, 0),
  B411&gt;55, 0
)</f>
        <v>0</v>
      </c>
      <c r="AA411" s="65">
        <f>IFS(
  B411&lt;65,
    IF(AA410+J411 &lt; VLOOKUP(YEAR(A411), Lookup!$Q:$R, 2),
      AA410 + IF(MONTH(A411)=12, R410+X410, 0) + J411,
      MIN(
        AA410 + IF(MONTH(A411)=12, R410+X410, 0) + J411 ,
        VLOOKUP(YEAR(A411), Lookup!$Q:$R, 2)
      )
    ),
  B411&gt;=65,
    IF(AA410+J411 &lt; VLOOKUP(questions!$C$5, Lookup!$Q:$R, 2),
      AA410 + IF(MONTH(A411)=12, R410+X410, 0) + J411 ,
      MIN(
        AA410 + IF(MONTH(A411)=12, R410+X410, 0) + J411,
        VLOOKUP(questions!$C$5, Lookup!$Q:$R, 2)
      )
    )
)</f>
        <v>246239.329</v>
      </c>
      <c r="AB411" s="65">
        <f t="shared" si="13"/>
        <v>802239.7991</v>
      </c>
      <c r="AC411" s="66">
        <f t="array" ref="AC411">IFS(B411&lt;66, XLOOKUP(year(A411),Lookup!$K$13:$K1000,Lookup!$L$13:$L1000,"missing",,1),B411&gt;65,XLOOKUP(questions!$C$5,Lookup!$K$13:$K1000,Lookup!$L$13:$L1000,"missing",,1))</f>
        <v>355072.6223</v>
      </c>
      <c r="AD411" s="66">
        <f t="array" ref="AD411">IFS(B411&lt;66, XLOOKUP(year(A411),Lookup!$K$13:$K1000,Lookup!$M$13:$M1000,"missing",,1),B411&gt;65, XLOOKUP(questions!$C$5,Lookup!$K$13:$K1000,Lookup!$M$13:$M1000,"missing",,1))</f>
        <v>710145.2447</v>
      </c>
      <c r="AE411" s="66">
        <f t="array" ref="AE411">IFS(B411&lt;66, XLOOKUP(year(A411),Lookup!$K$13:$K1000,Lookup!$N$13:$N1000,"missing",,1),B411&gt;65,XLOOKUP(questions!$C$5,Lookup!$K$13:$K1000,Lookup!$N$13:$N1000,"missing",,1))</f>
        <v>1420290.489</v>
      </c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</row>
    <row r="412">
      <c r="A412" s="55">
        <f t="shared" si="7"/>
        <v>58561</v>
      </c>
      <c r="B412" s="56">
        <f>round(YEARFRAC(EOMONTH(questions!$C$3, 0),A412,1),2)</f>
        <v>61.42</v>
      </c>
      <c r="C412" s="58">
        <f>IF(B412&lt;questions!$C$6,if(MONTH(A412)=1,C411*(1+questions!$C$12),C411),0)</f>
        <v>0</v>
      </c>
      <c r="D412" s="58">
        <f>IF(MONTH(A412)=12,C412*questions!$C$11,0)</f>
        <v>0</v>
      </c>
      <c r="E412" s="71">
        <f t="shared" si="2"/>
        <v>0</v>
      </c>
      <c r="F412" s="71">
        <f t="shared" si="3"/>
        <v>0</v>
      </c>
      <c r="G412" s="61">
        <f t="array" ref="G412">if(YEAR(A412)=2025,XLOOKUP(B412,Lookup!$A$3:$A$7,Lookup!$D$3:$D$7,,1)*SUM(E412:F412), XLOOKUP(B412,Lookup!$A$14:$A$18,Lookup!$D$14:$D$18,,1)*SUM(E412:F412))</f>
        <v>0</v>
      </c>
      <c r="H412" s="61">
        <f t="array" ref="H412">if(YEAR(A412)=2025,XLOOKUP(B412,Lookup!$F$3:$F$10,Lookup!$G$3:$G$10,,1)*G412, XLOOKUP(B412,Lookup!$F$14:$F$21,Lookup!$G$14:$G$21,,1)*G412)</f>
        <v>0</v>
      </c>
      <c r="I412" s="61">
        <f t="array" ref="I412">if(B412&lt;55, if(YEAR(A412)=2025,XLOOKUP(B412,Lookup!$F$3:$F$10,Lookup!$H$3:$H$10,,1)*G412, XLOOKUP(B412,Lookup!$F$14:$F$21,Lookup!$H$14:$H$21,,1)*G412),0)</f>
        <v>0</v>
      </c>
      <c r="J412" s="61">
        <f t="array" ref="J412">if(YEAR(A412)=2025,XLOOKUP(B412,Lookup!$F$3:$F$10,Lookup!$I$3:$I$10,,1)*G412, XLOOKUP(B412,Lookup!$F$14:$F$21,Lookup!$I$14:$I$21,,1)*G412)</f>
        <v>0</v>
      </c>
      <c r="K412" s="61">
        <f t="array" ref="K412">if(B412&gt;54, if(YEAR(A412)=2025,XLOOKUP(B412,Lookup!$F$3:$F$10,Lookup!$H$3:$H$10,,1)*G412, XLOOKUP(B412,Lookup!$F$14:$F$21,Lookup!$H$14:$H$21,,1)*G412),0)</f>
        <v>0</v>
      </c>
      <c r="L412" s="62">
        <f>IF(and(A412&lt;questions!$C$19,questions!$C$18="yes"),questions!$C$20,0)</f>
        <v>0</v>
      </c>
      <c r="M412" s="63">
        <f>(Y411+H412)*Lookup!A$26/12</f>
        <v>1846.057476</v>
      </c>
      <c r="N412" s="63">
        <f>if(B412&lt;55, (Z411+I412)*Lookup!B$26/12, (AB411+K412)*Lookup!B$26/12)</f>
        <v>2674.132664</v>
      </c>
      <c r="O412" s="63">
        <f>(AA411+J412)*Lookup!C$26/12</f>
        <v>820.7977632</v>
      </c>
      <c r="P412" s="63">
        <f t="shared" si="8"/>
        <v>7384.229905</v>
      </c>
      <c r="Q412" s="63">
        <f t="shared" si="4"/>
        <v>10696.53066</v>
      </c>
      <c r="R412" s="63">
        <f t="shared" si="5"/>
        <v>3283.191053</v>
      </c>
      <c r="S412" s="64">
        <f t="shared" si="9"/>
        <v>33.33333333</v>
      </c>
      <c r="T412" s="64">
        <f t="shared" si="10"/>
        <v>41.66666667</v>
      </c>
      <c r="U412" s="64">
        <f t="shared" si="11"/>
        <v>0</v>
      </c>
      <c r="V412" s="64">
        <f t="shared" ref="V412:X412" si="420">IF(year($A412)=year($A411), V411+S412, S412)</f>
        <v>133.3333333</v>
      </c>
      <c r="W412" s="64">
        <f t="shared" si="420"/>
        <v>166.6666667</v>
      </c>
      <c r="X412" s="64">
        <f t="shared" si="420"/>
        <v>0</v>
      </c>
      <c r="Y412" s="65">
        <f>IFS(
  B412&lt;55,
    MAX(
      Y411 + IF(MONTH(A412)=12, P412+V412, 0) + H412 - L412
      + MAX(0,
          IF(AA411 &gt;= VLOOKUP(YEAR(A412), Lookup!$Q:$R, 2),
            Z411 + IF(MONTH(A412)=12, Q412+W412, 0) + I412
              + AA411 + IF(MONTH(A412)=12, R412+X412, 0)
              - VLOOKUP(YEAR(A412), Lookup!$Q:$R, 2) + J412,
            Z411 + IF(MONTH(A412)=12, Q412+W412, 0) + I412
          ) - VLOOKUP(YEAR(A412), Lookup!$K:$M, 3)
        ),
    0),
  B412=55,
    IF(Z411&gt;=AD412,
      MAX(Y411 + IF(MONTH(A412)=12, P412+V412, 0) + H412 - L412, 0),
      MAX(MAX(0, Y411-(AD412-Z411)) + IF(MONTH(A412)=12, P412+V412, 0) + H412 - L412, 0)
    ),
  B412&gt;55,
    IF(AB411&gt;=$AH$7,
      MAX(Y411 + IF(MONTH(A412)=12, P412+V412, 0) + H412 - L412 + K412 + Z411, 0),
      MAX(Y411 + IF(MONTH(A412)=12, P412+V412, 0) + H412 - L412, 0)
    )
)</f>
        <v>886107.5886</v>
      </c>
      <c r="Z412" s="65">
        <f>IFS(
  B412&lt;55,
    MIN(
      IF(AA411 &gt;= VLOOKUP(YEAR(A412), Lookup!$Q:$R, 2),
        Z411 + IF(MONTH(A412)=12, Q412+W412, 0) + I412
          + AA411 + IF(MONTH(A412)=12, R412+X412, 0) - VLOOKUP(YEAR(A412), Lookup!$Q:$R, 2) + J412,
        Z411 + IF(MONTH(A412)=12, Q412+W412, 0) + I412
      ),
      VLOOKUP(YEAR(A412), Lookup!$K:$M, 3)
    ),
  B412=55,
    IF(Z411 &gt;= AD412, Z411 - AD412, 0),
  B412&gt;55, 0
)</f>
        <v>0</v>
      </c>
      <c r="AA412" s="65">
        <f>IFS(
  B412&lt;65,
    IF(AA411+J412 &lt; VLOOKUP(YEAR(A412), Lookup!$Q:$R, 2),
      AA411 + IF(MONTH(A412)=12, R411+X411, 0) + J412,
      MIN(
        AA411 + IF(MONTH(A412)=12, R411+X411, 0) + J412 ,
        VLOOKUP(YEAR(A412), Lookup!$Q:$R, 2)
      )
    ),
  B412&gt;=65,
    IF(AA411+J412 &lt; VLOOKUP(questions!$C$5, Lookup!$Q:$R, 2),
      AA411 + IF(MONTH(A412)=12, R411+X411, 0) + J412 ,
      MIN(
        AA411 + IF(MONTH(A412)=12, R411+X411, 0) + J412,
        VLOOKUP(questions!$C$5, Lookup!$Q:$R, 2)
      )
    )
)</f>
        <v>246239.329</v>
      </c>
      <c r="AB412" s="65">
        <f t="shared" si="13"/>
        <v>802239.7991</v>
      </c>
      <c r="AC412" s="66">
        <f t="array" ref="AC412">IFS(B412&lt;66, XLOOKUP(year(A412),Lookup!$K$13:$K1000,Lookup!$L$13:$L1000,"missing",,1),B412&gt;65,XLOOKUP(questions!$C$5,Lookup!$K$13:$K1000,Lookup!$L$13:$L1000,"missing",,1))</f>
        <v>355072.6223</v>
      </c>
      <c r="AD412" s="66">
        <f t="array" ref="AD412">IFS(B412&lt;66, XLOOKUP(year(A412),Lookup!$K$13:$K1000,Lookup!$M$13:$M1000,"missing",,1),B412&gt;65, XLOOKUP(questions!$C$5,Lookup!$K$13:$K1000,Lookup!$M$13:$M1000,"missing",,1))</f>
        <v>710145.2447</v>
      </c>
      <c r="AE412" s="66">
        <f t="array" ref="AE412">IFS(B412&lt;66, XLOOKUP(year(A412),Lookup!$K$13:$K1000,Lookup!$N$13:$N1000,"missing",,1),B412&gt;65,XLOOKUP(questions!$C$5,Lookup!$K$13:$K1000,Lookup!$N$13:$N1000,"missing",,1))</f>
        <v>1420290.489</v>
      </c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</row>
    <row r="413">
      <c r="A413" s="55">
        <f t="shared" si="7"/>
        <v>58592</v>
      </c>
      <c r="B413" s="56">
        <f>round(YEARFRAC(EOMONTH(questions!$C$3, 0),A413,1),2)</f>
        <v>61.5</v>
      </c>
      <c r="C413" s="58">
        <f>IF(B413&lt;questions!$C$6,if(MONTH(A413)=1,C412*(1+questions!$C$12),C412),0)</f>
        <v>0</v>
      </c>
      <c r="D413" s="58">
        <f>IF(MONTH(A413)=12,C413*questions!$C$11,0)</f>
        <v>0</v>
      </c>
      <c r="E413" s="71">
        <f t="shared" si="2"/>
        <v>0</v>
      </c>
      <c r="F413" s="71">
        <f t="shared" si="3"/>
        <v>0</v>
      </c>
      <c r="G413" s="61">
        <f t="array" ref="G413">if(YEAR(A413)=2025,XLOOKUP(B413,Lookup!$A$3:$A$7,Lookup!$D$3:$D$7,,1)*SUM(E413:F413), XLOOKUP(B413,Lookup!$A$14:$A$18,Lookup!$D$14:$D$18,,1)*SUM(E413:F413))</f>
        <v>0</v>
      </c>
      <c r="H413" s="61">
        <f t="array" ref="H413">if(YEAR(A413)=2025,XLOOKUP(B413,Lookup!$F$3:$F$10,Lookup!$G$3:$G$10,,1)*G413, XLOOKUP(B413,Lookup!$F$14:$F$21,Lookup!$G$14:$G$21,,1)*G413)</f>
        <v>0</v>
      </c>
      <c r="I413" s="61">
        <f t="array" ref="I413">if(B413&lt;55, if(YEAR(A413)=2025,XLOOKUP(B413,Lookup!$F$3:$F$10,Lookup!$H$3:$H$10,,1)*G413, XLOOKUP(B413,Lookup!$F$14:$F$21,Lookup!$H$14:$H$21,,1)*G413),0)</f>
        <v>0</v>
      </c>
      <c r="J413" s="61">
        <f t="array" ref="J413">if(YEAR(A413)=2025,XLOOKUP(B413,Lookup!$F$3:$F$10,Lookup!$I$3:$I$10,,1)*G413, XLOOKUP(B413,Lookup!$F$14:$F$21,Lookup!$I$14:$I$21,,1)*G413)</f>
        <v>0</v>
      </c>
      <c r="K413" s="61">
        <f t="array" ref="K413">if(B413&gt;54, if(YEAR(A413)=2025,XLOOKUP(B413,Lookup!$F$3:$F$10,Lookup!$H$3:$H$10,,1)*G413, XLOOKUP(B413,Lookup!$F$14:$F$21,Lookup!$H$14:$H$21,,1)*G413),0)</f>
        <v>0</v>
      </c>
      <c r="L413" s="62">
        <f>IF(and(A413&lt;questions!$C$19,questions!$C$18="yes"),questions!$C$20,0)</f>
        <v>0</v>
      </c>
      <c r="M413" s="63">
        <f>(Y412+H413)*Lookup!A$26/12</f>
        <v>1846.057476</v>
      </c>
      <c r="N413" s="63">
        <f>if(B413&lt;55, (Z412+I413)*Lookup!B$26/12, (AB412+K413)*Lookup!B$26/12)</f>
        <v>2674.132664</v>
      </c>
      <c r="O413" s="63">
        <f>(AA412+J413)*Lookup!C$26/12</f>
        <v>820.7977632</v>
      </c>
      <c r="P413" s="63">
        <f t="shared" si="8"/>
        <v>9230.287381</v>
      </c>
      <c r="Q413" s="63">
        <f t="shared" si="4"/>
        <v>13370.66332</v>
      </c>
      <c r="R413" s="63">
        <f t="shared" si="5"/>
        <v>4103.988816</v>
      </c>
      <c r="S413" s="64">
        <f t="shared" si="9"/>
        <v>33.33333333</v>
      </c>
      <c r="T413" s="64">
        <f t="shared" si="10"/>
        <v>41.66666667</v>
      </c>
      <c r="U413" s="64">
        <f t="shared" si="11"/>
        <v>0</v>
      </c>
      <c r="V413" s="64">
        <f t="shared" ref="V413:X413" si="421">IF(year($A413)=year($A412), V412+S413, S413)</f>
        <v>166.6666667</v>
      </c>
      <c r="W413" s="64">
        <f t="shared" si="421"/>
        <v>208.3333333</v>
      </c>
      <c r="X413" s="64">
        <f t="shared" si="421"/>
        <v>0</v>
      </c>
      <c r="Y413" s="65">
        <f>IFS(
  B413&lt;55,
    MAX(
      Y412 + IF(MONTH(A413)=12, P413+V413, 0) + H413 - L413
      + MAX(0,
          IF(AA412 &gt;= VLOOKUP(YEAR(A413), Lookup!$Q:$R, 2),
            Z412 + IF(MONTH(A413)=12, Q413+W413, 0) + I413
              + AA412 + IF(MONTH(A413)=12, R413+X413, 0)
              - VLOOKUP(YEAR(A413), Lookup!$Q:$R, 2) + J413,
            Z412 + IF(MONTH(A413)=12, Q413+W413, 0) + I413
          ) - VLOOKUP(YEAR(A413), Lookup!$K:$M, 3)
        ),
    0),
  B413=55,
    IF(Z412&gt;=AD413,
      MAX(Y412 + IF(MONTH(A413)=12, P413+V413, 0) + H413 - L413, 0),
      MAX(MAX(0, Y412-(AD413-Z412)) + IF(MONTH(A413)=12, P413+V413, 0) + H413 - L413, 0)
    ),
  B413&gt;55,
    IF(AB412&gt;=$AH$7,
      MAX(Y412 + IF(MONTH(A413)=12, P413+V413, 0) + H413 - L413 + K413 + Z412, 0),
      MAX(Y412 + IF(MONTH(A413)=12, P413+V413, 0) + H413 - L413, 0)
    )
)</f>
        <v>886107.5886</v>
      </c>
      <c r="Z413" s="65">
        <f>IFS(
  B413&lt;55,
    MIN(
      IF(AA412 &gt;= VLOOKUP(YEAR(A413), Lookup!$Q:$R, 2),
        Z412 + IF(MONTH(A413)=12, Q413+W413, 0) + I413
          + AA412 + IF(MONTH(A413)=12, R413+X413, 0) - VLOOKUP(YEAR(A413), Lookup!$Q:$R, 2) + J413,
        Z412 + IF(MONTH(A413)=12, Q413+W413, 0) + I413
      ),
      VLOOKUP(YEAR(A413), Lookup!$K:$M, 3)
    ),
  B413=55,
    IF(Z412 &gt;= AD413, Z412 - AD413, 0),
  B413&gt;55, 0
)</f>
        <v>0</v>
      </c>
      <c r="AA413" s="65">
        <f>IFS(
  B413&lt;65,
    IF(AA412+J413 &lt; VLOOKUP(YEAR(A413), Lookup!$Q:$R, 2),
      AA412 + IF(MONTH(A413)=12, R412+X412, 0) + J413,
      MIN(
        AA412 + IF(MONTH(A413)=12, R412+X412, 0) + J413 ,
        VLOOKUP(YEAR(A413), Lookup!$Q:$R, 2)
      )
    ),
  B413&gt;=65,
    IF(AA412+J413 &lt; VLOOKUP(questions!$C$5, Lookup!$Q:$R, 2),
      AA412 + IF(MONTH(A413)=12, R412+X412, 0) + J413 ,
      MIN(
        AA412 + IF(MONTH(A413)=12, R412+X412, 0) + J413,
        VLOOKUP(questions!$C$5, Lookup!$Q:$R, 2)
      )
    )
)</f>
        <v>246239.329</v>
      </c>
      <c r="AB413" s="65">
        <f t="shared" si="13"/>
        <v>802239.7991</v>
      </c>
      <c r="AC413" s="66">
        <f t="array" ref="AC413">IFS(B413&lt;66, XLOOKUP(year(A413),Lookup!$K$13:$K1000,Lookup!$L$13:$L1000,"missing",,1),B413&gt;65,XLOOKUP(questions!$C$5,Lookup!$K$13:$K1000,Lookup!$L$13:$L1000,"missing",,1))</f>
        <v>355072.6223</v>
      </c>
      <c r="AD413" s="66">
        <f t="array" ref="AD413">IFS(B413&lt;66, XLOOKUP(year(A413),Lookup!$K$13:$K1000,Lookup!$M$13:$M1000,"missing",,1),B413&gt;65, XLOOKUP(questions!$C$5,Lookup!$K$13:$K1000,Lookup!$M$13:$M1000,"missing",,1))</f>
        <v>710145.2447</v>
      </c>
      <c r="AE413" s="66">
        <f t="array" ref="AE413">IFS(B413&lt;66, XLOOKUP(year(A413),Lookup!$K$13:$K1000,Lookup!$N$13:$N1000,"missing",,1),B413&gt;65,XLOOKUP(questions!$C$5,Lookup!$K$13:$K1000,Lookup!$N$13:$N1000,"missing",,1))</f>
        <v>1420290.489</v>
      </c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</row>
    <row r="414">
      <c r="A414" s="55">
        <f t="shared" si="7"/>
        <v>58622</v>
      </c>
      <c r="B414" s="56">
        <f>round(YEARFRAC(EOMONTH(questions!$C$3, 0),A414,1),2)</f>
        <v>61.58</v>
      </c>
      <c r="C414" s="58">
        <f>IF(B414&lt;questions!$C$6,if(MONTH(A414)=1,C413*(1+questions!$C$12),C413),0)</f>
        <v>0</v>
      </c>
      <c r="D414" s="58">
        <f>IF(MONTH(A414)=12,C414*questions!$C$11,0)</f>
        <v>0</v>
      </c>
      <c r="E414" s="71">
        <f t="shared" si="2"/>
        <v>0</v>
      </c>
      <c r="F414" s="71">
        <f t="shared" si="3"/>
        <v>0</v>
      </c>
      <c r="G414" s="61">
        <f t="array" ref="G414">if(YEAR(A414)=2025,XLOOKUP(B414,Lookup!$A$3:$A$7,Lookup!$D$3:$D$7,,1)*SUM(E414:F414), XLOOKUP(B414,Lookup!$A$14:$A$18,Lookup!$D$14:$D$18,,1)*SUM(E414:F414))</f>
        <v>0</v>
      </c>
      <c r="H414" s="61">
        <f t="array" ref="H414">if(YEAR(A414)=2025,XLOOKUP(B414,Lookup!$F$3:$F$10,Lookup!$G$3:$G$10,,1)*G414, XLOOKUP(B414,Lookup!$F$14:$F$21,Lookup!$G$14:$G$21,,1)*G414)</f>
        <v>0</v>
      </c>
      <c r="I414" s="61">
        <f t="array" ref="I414">if(B414&lt;55, if(YEAR(A414)=2025,XLOOKUP(B414,Lookup!$F$3:$F$10,Lookup!$H$3:$H$10,,1)*G414, XLOOKUP(B414,Lookup!$F$14:$F$21,Lookup!$H$14:$H$21,,1)*G414),0)</f>
        <v>0</v>
      </c>
      <c r="J414" s="61">
        <f t="array" ref="J414">if(YEAR(A414)=2025,XLOOKUP(B414,Lookup!$F$3:$F$10,Lookup!$I$3:$I$10,,1)*G414, XLOOKUP(B414,Lookup!$F$14:$F$21,Lookup!$I$14:$I$21,,1)*G414)</f>
        <v>0</v>
      </c>
      <c r="K414" s="61">
        <f t="array" ref="K414">if(B414&gt;54, if(YEAR(A414)=2025,XLOOKUP(B414,Lookup!$F$3:$F$10,Lookup!$H$3:$H$10,,1)*G414, XLOOKUP(B414,Lookup!$F$14:$F$21,Lookup!$H$14:$H$21,,1)*G414),0)</f>
        <v>0</v>
      </c>
      <c r="L414" s="62">
        <f>IF(and(A414&lt;questions!$C$19,questions!$C$18="yes"),questions!$C$20,0)</f>
        <v>0</v>
      </c>
      <c r="M414" s="63">
        <f>(Y413+H414)*Lookup!A$26/12</f>
        <v>1846.057476</v>
      </c>
      <c r="N414" s="63">
        <f>if(B414&lt;55, (Z413+I414)*Lookup!B$26/12, (AB413+K414)*Lookup!B$26/12)</f>
        <v>2674.132664</v>
      </c>
      <c r="O414" s="63">
        <f>(AA413+J414)*Lookup!C$26/12</f>
        <v>820.7977632</v>
      </c>
      <c r="P414" s="63">
        <f t="shared" si="8"/>
        <v>11076.34486</v>
      </c>
      <c r="Q414" s="63">
        <f t="shared" si="4"/>
        <v>16044.79598</v>
      </c>
      <c r="R414" s="63">
        <f t="shared" si="5"/>
        <v>4924.786579</v>
      </c>
      <c r="S414" s="64">
        <f t="shared" si="9"/>
        <v>33.33333333</v>
      </c>
      <c r="T414" s="64">
        <f t="shared" si="10"/>
        <v>41.66666667</v>
      </c>
      <c r="U414" s="64">
        <f t="shared" si="11"/>
        <v>0</v>
      </c>
      <c r="V414" s="64">
        <f t="shared" ref="V414:X414" si="422">IF(year($A414)=year($A413), V413+S414, S414)</f>
        <v>200</v>
      </c>
      <c r="W414" s="64">
        <f t="shared" si="422"/>
        <v>250</v>
      </c>
      <c r="X414" s="64">
        <f t="shared" si="422"/>
        <v>0</v>
      </c>
      <c r="Y414" s="65">
        <f>IFS(
  B414&lt;55,
    MAX(
      Y413 + IF(MONTH(A414)=12, P414+V414, 0) + H414 - L414
      + MAX(0,
          IF(AA413 &gt;= VLOOKUP(YEAR(A414), Lookup!$Q:$R, 2),
            Z413 + IF(MONTH(A414)=12, Q414+W414, 0) + I414
              + AA413 + IF(MONTH(A414)=12, R414+X414, 0)
              - VLOOKUP(YEAR(A414), Lookup!$Q:$R, 2) + J414,
            Z413 + IF(MONTH(A414)=12, Q414+W414, 0) + I414
          ) - VLOOKUP(YEAR(A414), Lookup!$K:$M, 3)
        ),
    0),
  B414=55,
    IF(Z413&gt;=AD414,
      MAX(Y413 + IF(MONTH(A414)=12, P414+V414, 0) + H414 - L414, 0),
      MAX(MAX(0, Y413-(AD414-Z413)) + IF(MONTH(A414)=12, P414+V414, 0) + H414 - L414, 0)
    ),
  B414&gt;55,
    IF(AB413&gt;=$AH$7,
      MAX(Y413 + IF(MONTH(A414)=12, P414+V414, 0) + H414 - L414 + K414 + Z413, 0),
      MAX(Y413 + IF(MONTH(A414)=12, P414+V414, 0) + H414 - L414, 0)
    )
)</f>
        <v>886107.5886</v>
      </c>
      <c r="Z414" s="65">
        <f>IFS(
  B414&lt;55,
    MIN(
      IF(AA413 &gt;= VLOOKUP(YEAR(A414), Lookup!$Q:$R, 2),
        Z413 + IF(MONTH(A414)=12, Q414+W414, 0) + I414
          + AA413 + IF(MONTH(A414)=12, R414+X414, 0) - VLOOKUP(YEAR(A414), Lookup!$Q:$R, 2) + J414,
        Z413 + IF(MONTH(A414)=12, Q414+W414, 0) + I414
      ),
      VLOOKUP(YEAR(A414), Lookup!$K:$M, 3)
    ),
  B414=55,
    IF(Z413 &gt;= AD414, Z413 - AD414, 0),
  B414&gt;55, 0
)</f>
        <v>0</v>
      </c>
      <c r="AA414" s="65">
        <f>IFS(
  B414&lt;65,
    IF(AA413+J414 &lt; VLOOKUP(YEAR(A414), Lookup!$Q:$R, 2),
      AA413 + IF(MONTH(A414)=12, R413+X413, 0) + J414,
      MIN(
        AA413 + IF(MONTH(A414)=12, R413+X413, 0) + J414 ,
        VLOOKUP(YEAR(A414), Lookup!$Q:$R, 2)
      )
    ),
  B414&gt;=65,
    IF(AA413+J414 &lt; VLOOKUP(questions!$C$5, Lookup!$Q:$R, 2),
      AA413 + IF(MONTH(A414)=12, R413+X413, 0) + J414 ,
      MIN(
        AA413 + IF(MONTH(A414)=12, R413+X413, 0) + J414,
        VLOOKUP(questions!$C$5, Lookup!$Q:$R, 2)
      )
    )
)</f>
        <v>246239.329</v>
      </c>
      <c r="AB414" s="65">
        <f t="shared" si="13"/>
        <v>802239.7991</v>
      </c>
      <c r="AC414" s="66">
        <f t="array" ref="AC414">IFS(B414&lt;66, XLOOKUP(year(A414),Lookup!$K$13:$K1000,Lookup!$L$13:$L1000,"missing",,1),B414&gt;65,XLOOKUP(questions!$C$5,Lookup!$K$13:$K1000,Lookup!$L$13:$L1000,"missing",,1))</f>
        <v>355072.6223</v>
      </c>
      <c r="AD414" s="66">
        <f t="array" ref="AD414">IFS(B414&lt;66, XLOOKUP(year(A414),Lookup!$K$13:$K1000,Lookup!$M$13:$M1000,"missing",,1),B414&gt;65, XLOOKUP(questions!$C$5,Lookup!$K$13:$K1000,Lookup!$M$13:$M1000,"missing",,1))</f>
        <v>710145.2447</v>
      </c>
      <c r="AE414" s="66">
        <f t="array" ref="AE414">IFS(B414&lt;66, XLOOKUP(year(A414),Lookup!$K$13:$K1000,Lookup!$N$13:$N1000,"missing",,1),B414&gt;65,XLOOKUP(questions!$C$5,Lookup!$K$13:$K1000,Lookup!$N$13:$N1000,"missing",,1))</f>
        <v>1420290.489</v>
      </c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</row>
    <row r="415">
      <c r="A415" s="55">
        <f t="shared" si="7"/>
        <v>58653</v>
      </c>
      <c r="B415" s="56">
        <f>round(YEARFRAC(EOMONTH(questions!$C$3, 0),A415,1),2)</f>
        <v>61.67</v>
      </c>
      <c r="C415" s="58">
        <f>IF(B415&lt;questions!$C$6,if(MONTH(A415)=1,C414*(1+questions!$C$12),C414),0)</f>
        <v>0</v>
      </c>
      <c r="D415" s="58">
        <f>IF(MONTH(A415)=12,C415*questions!$C$11,0)</f>
        <v>0</v>
      </c>
      <c r="E415" s="71">
        <f t="shared" si="2"/>
        <v>0</v>
      </c>
      <c r="F415" s="71">
        <f t="shared" si="3"/>
        <v>0</v>
      </c>
      <c r="G415" s="61">
        <f t="array" ref="G415">if(YEAR(A415)=2025,XLOOKUP(B415,Lookup!$A$3:$A$7,Lookup!$D$3:$D$7,,1)*SUM(E415:F415), XLOOKUP(B415,Lookup!$A$14:$A$18,Lookup!$D$14:$D$18,,1)*SUM(E415:F415))</f>
        <v>0</v>
      </c>
      <c r="H415" s="61">
        <f t="array" ref="H415">if(YEAR(A415)=2025,XLOOKUP(B415,Lookup!$F$3:$F$10,Lookup!$G$3:$G$10,,1)*G415, XLOOKUP(B415,Lookup!$F$14:$F$21,Lookup!$G$14:$G$21,,1)*G415)</f>
        <v>0</v>
      </c>
      <c r="I415" s="61">
        <f t="array" ref="I415">if(B415&lt;55, if(YEAR(A415)=2025,XLOOKUP(B415,Lookup!$F$3:$F$10,Lookup!$H$3:$H$10,,1)*G415, XLOOKUP(B415,Lookup!$F$14:$F$21,Lookup!$H$14:$H$21,,1)*G415),0)</f>
        <v>0</v>
      </c>
      <c r="J415" s="61">
        <f t="array" ref="J415">if(YEAR(A415)=2025,XLOOKUP(B415,Lookup!$F$3:$F$10,Lookup!$I$3:$I$10,,1)*G415, XLOOKUP(B415,Lookup!$F$14:$F$21,Lookup!$I$14:$I$21,,1)*G415)</f>
        <v>0</v>
      </c>
      <c r="K415" s="61">
        <f t="array" ref="K415">if(B415&gt;54, if(YEAR(A415)=2025,XLOOKUP(B415,Lookup!$F$3:$F$10,Lookup!$H$3:$H$10,,1)*G415, XLOOKUP(B415,Lookup!$F$14:$F$21,Lookup!$H$14:$H$21,,1)*G415),0)</f>
        <v>0</v>
      </c>
      <c r="L415" s="62">
        <f>IF(and(A415&lt;questions!$C$19,questions!$C$18="yes"),questions!$C$20,0)</f>
        <v>0</v>
      </c>
      <c r="M415" s="63">
        <f>(Y414+H415)*Lookup!A$26/12</f>
        <v>1846.057476</v>
      </c>
      <c r="N415" s="63">
        <f>if(B415&lt;55, (Z414+I415)*Lookup!B$26/12, (AB414+K415)*Lookup!B$26/12)</f>
        <v>2674.132664</v>
      </c>
      <c r="O415" s="63">
        <f>(AA414+J415)*Lookup!C$26/12</f>
        <v>820.7977632</v>
      </c>
      <c r="P415" s="63">
        <f t="shared" si="8"/>
        <v>12922.40233</v>
      </c>
      <c r="Q415" s="63">
        <f t="shared" si="4"/>
        <v>18718.92865</v>
      </c>
      <c r="R415" s="63">
        <f t="shared" si="5"/>
        <v>5745.584342</v>
      </c>
      <c r="S415" s="64">
        <f t="shared" si="9"/>
        <v>33.33333333</v>
      </c>
      <c r="T415" s="64">
        <f t="shared" si="10"/>
        <v>41.66666667</v>
      </c>
      <c r="U415" s="64">
        <f t="shared" si="11"/>
        <v>0</v>
      </c>
      <c r="V415" s="64">
        <f t="shared" ref="V415:X415" si="423">IF(year($A415)=year($A414), V414+S415, S415)</f>
        <v>233.3333333</v>
      </c>
      <c r="W415" s="64">
        <f t="shared" si="423"/>
        <v>291.6666667</v>
      </c>
      <c r="X415" s="64">
        <f t="shared" si="423"/>
        <v>0</v>
      </c>
      <c r="Y415" s="65">
        <f>IFS(
  B415&lt;55,
    MAX(
      Y414 + IF(MONTH(A415)=12, P415+V415, 0) + H415 - L415
      + MAX(0,
          IF(AA414 &gt;= VLOOKUP(YEAR(A415), Lookup!$Q:$R, 2),
            Z414 + IF(MONTH(A415)=12, Q415+W415, 0) + I415
              + AA414 + IF(MONTH(A415)=12, R415+X415, 0)
              - VLOOKUP(YEAR(A415), Lookup!$Q:$R, 2) + J415,
            Z414 + IF(MONTH(A415)=12, Q415+W415, 0) + I415
          ) - VLOOKUP(YEAR(A415), Lookup!$K:$M, 3)
        ),
    0),
  B415=55,
    IF(Z414&gt;=AD415,
      MAX(Y414 + IF(MONTH(A415)=12, P415+V415, 0) + H415 - L415, 0),
      MAX(MAX(0, Y414-(AD415-Z414)) + IF(MONTH(A415)=12, P415+V415, 0) + H415 - L415, 0)
    ),
  B415&gt;55,
    IF(AB414&gt;=$AH$7,
      MAX(Y414 + IF(MONTH(A415)=12, P415+V415, 0) + H415 - L415 + K415 + Z414, 0),
      MAX(Y414 + IF(MONTH(A415)=12, P415+V415, 0) + H415 - L415, 0)
    )
)</f>
        <v>886107.5886</v>
      </c>
      <c r="Z415" s="65">
        <f>IFS(
  B415&lt;55,
    MIN(
      IF(AA414 &gt;= VLOOKUP(YEAR(A415), Lookup!$Q:$R, 2),
        Z414 + IF(MONTH(A415)=12, Q415+W415, 0) + I415
          + AA414 + IF(MONTH(A415)=12, R415+X415, 0) - VLOOKUP(YEAR(A415), Lookup!$Q:$R, 2) + J415,
        Z414 + IF(MONTH(A415)=12, Q415+W415, 0) + I415
      ),
      VLOOKUP(YEAR(A415), Lookup!$K:$M, 3)
    ),
  B415=55,
    IF(Z414 &gt;= AD415, Z414 - AD415, 0),
  B415&gt;55, 0
)</f>
        <v>0</v>
      </c>
      <c r="AA415" s="65">
        <f>IFS(
  B415&lt;65,
    IF(AA414+J415 &lt; VLOOKUP(YEAR(A415), Lookup!$Q:$R, 2),
      AA414 + IF(MONTH(A415)=12, R414+X414, 0) + J415,
      MIN(
        AA414 + IF(MONTH(A415)=12, R414+X414, 0) + J415 ,
        VLOOKUP(YEAR(A415), Lookup!$Q:$R, 2)
      )
    ),
  B415&gt;=65,
    IF(AA414+J415 &lt; VLOOKUP(questions!$C$5, Lookup!$Q:$R, 2),
      AA414 + IF(MONTH(A415)=12, R414+X414, 0) + J415 ,
      MIN(
        AA414 + IF(MONTH(A415)=12, R414+X414, 0) + J415,
        VLOOKUP(questions!$C$5, Lookup!$Q:$R, 2)
      )
    )
)</f>
        <v>246239.329</v>
      </c>
      <c r="AB415" s="65">
        <f t="shared" si="13"/>
        <v>802239.7991</v>
      </c>
      <c r="AC415" s="66">
        <f t="array" ref="AC415">IFS(B415&lt;66, XLOOKUP(year(A415),Lookup!$K$13:$K1000,Lookup!$L$13:$L1000,"missing",,1),B415&gt;65,XLOOKUP(questions!$C$5,Lookup!$K$13:$K1000,Lookup!$L$13:$L1000,"missing",,1))</f>
        <v>355072.6223</v>
      </c>
      <c r="AD415" s="66">
        <f t="array" ref="AD415">IFS(B415&lt;66, XLOOKUP(year(A415),Lookup!$K$13:$K1000,Lookup!$M$13:$M1000,"missing",,1),B415&gt;65, XLOOKUP(questions!$C$5,Lookup!$K$13:$K1000,Lookup!$M$13:$M1000,"missing",,1))</f>
        <v>710145.2447</v>
      </c>
      <c r="AE415" s="66">
        <f t="array" ref="AE415">IFS(B415&lt;66, XLOOKUP(year(A415),Lookup!$K$13:$K1000,Lookup!$N$13:$N1000,"missing",,1),B415&gt;65,XLOOKUP(questions!$C$5,Lookup!$K$13:$K1000,Lookup!$N$13:$N1000,"missing",,1))</f>
        <v>1420290.489</v>
      </c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</row>
    <row r="416">
      <c r="A416" s="55">
        <f t="shared" si="7"/>
        <v>58684</v>
      </c>
      <c r="B416" s="56">
        <f>round(YEARFRAC(EOMONTH(questions!$C$3, 0),A416,1),2)</f>
        <v>61.75</v>
      </c>
      <c r="C416" s="58">
        <f>IF(B416&lt;questions!$C$6,if(MONTH(A416)=1,C415*(1+questions!$C$12),C415),0)</f>
        <v>0</v>
      </c>
      <c r="D416" s="58">
        <f>IF(MONTH(A416)=12,C416*questions!$C$11,0)</f>
        <v>0</v>
      </c>
      <c r="E416" s="71">
        <f t="shared" si="2"/>
        <v>0</v>
      </c>
      <c r="F416" s="71">
        <f t="shared" si="3"/>
        <v>0</v>
      </c>
      <c r="G416" s="61">
        <f t="array" ref="G416">if(YEAR(A416)=2025,XLOOKUP(B416,Lookup!$A$3:$A$7,Lookup!$D$3:$D$7,,1)*SUM(E416:F416), XLOOKUP(B416,Lookup!$A$14:$A$18,Lookup!$D$14:$D$18,,1)*SUM(E416:F416))</f>
        <v>0</v>
      </c>
      <c r="H416" s="61">
        <f t="array" ref="H416">if(YEAR(A416)=2025,XLOOKUP(B416,Lookup!$F$3:$F$10,Lookup!$G$3:$G$10,,1)*G416, XLOOKUP(B416,Lookup!$F$14:$F$21,Lookup!$G$14:$G$21,,1)*G416)</f>
        <v>0</v>
      </c>
      <c r="I416" s="61">
        <f t="array" ref="I416">if(B416&lt;55, if(YEAR(A416)=2025,XLOOKUP(B416,Lookup!$F$3:$F$10,Lookup!$H$3:$H$10,,1)*G416, XLOOKUP(B416,Lookup!$F$14:$F$21,Lookup!$H$14:$H$21,,1)*G416),0)</f>
        <v>0</v>
      </c>
      <c r="J416" s="61">
        <f t="array" ref="J416">if(YEAR(A416)=2025,XLOOKUP(B416,Lookup!$F$3:$F$10,Lookup!$I$3:$I$10,,1)*G416, XLOOKUP(B416,Lookup!$F$14:$F$21,Lookup!$I$14:$I$21,,1)*G416)</f>
        <v>0</v>
      </c>
      <c r="K416" s="61">
        <f t="array" ref="K416">if(B416&gt;54, if(YEAR(A416)=2025,XLOOKUP(B416,Lookup!$F$3:$F$10,Lookup!$H$3:$H$10,,1)*G416, XLOOKUP(B416,Lookup!$F$14:$F$21,Lookup!$H$14:$H$21,,1)*G416),0)</f>
        <v>0</v>
      </c>
      <c r="L416" s="62">
        <f>IF(and(A416&lt;questions!$C$19,questions!$C$18="yes"),questions!$C$20,0)</f>
        <v>0</v>
      </c>
      <c r="M416" s="63">
        <f>(Y415+H416)*Lookup!A$26/12</f>
        <v>1846.057476</v>
      </c>
      <c r="N416" s="63">
        <f>if(B416&lt;55, (Z415+I416)*Lookup!B$26/12, (AB415+K416)*Lookup!B$26/12)</f>
        <v>2674.132664</v>
      </c>
      <c r="O416" s="63">
        <f>(AA415+J416)*Lookup!C$26/12</f>
        <v>820.7977632</v>
      </c>
      <c r="P416" s="63">
        <f t="shared" si="8"/>
        <v>14768.45981</v>
      </c>
      <c r="Q416" s="63">
        <f t="shared" si="4"/>
        <v>21393.06131</v>
      </c>
      <c r="R416" s="63">
        <f t="shared" si="5"/>
        <v>6566.382106</v>
      </c>
      <c r="S416" s="64">
        <f t="shared" si="9"/>
        <v>33.33333333</v>
      </c>
      <c r="T416" s="64">
        <f t="shared" si="10"/>
        <v>41.66666667</v>
      </c>
      <c r="U416" s="64">
        <f t="shared" si="11"/>
        <v>0</v>
      </c>
      <c r="V416" s="64">
        <f t="shared" ref="V416:X416" si="424">IF(year($A416)=year($A415), V415+S416, S416)</f>
        <v>266.6666667</v>
      </c>
      <c r="W416" s="64">
        <f t="shared" si="424"/>
        <v>333.3333333</v>
      </c>
      <c r="X416" s="64">
        <f t="shared" si="424"/>
        <v>0</v>
      </c>
      <c r="Y416" s="65">
        <f>IFS(
  B416&lt;55,
    MAX(
      Y415 + IF(MONTH(A416)=12, P416+V416, 0) + H416 - L416
      + MAX(0,
          IF(AA415 &gt;= VLOOKUP(YEAR(A416), Lookup!$Q:$R, 2),
            Z415 + IF(MONTH(A416)=12, Q416+W416, 0) + I416
              + AA415 + IF(MONTH(A416)=12, R416+X416, 0)
              - VLOOKUP(YEAR(A416), Lookup!$Q:$R, 2) + J416,
            Z415 + IF(MONTH(A416)=12, Q416+W416, 0) + I416
          ) - VLOOKUP(YEAR(A416), Lookup!$K:$M, 3)
        ),
    0),
  B416=55,
    IF(Z415&gt;=AD416,
      MAX(Y415 + IF(MONTH(A416)=12, P416+V416, 0) + H416 - L416, 0),
      MAX(MAX(0, Y415-(AD416-Z415)) + IF(MONTH(A416)=12, P416+V416, 0) + H416 - L416, 0)
    ),
  B416&gt;55,
    IF(AB415&gt;=$AH$7,
      MAX(Y415 + IF(MONTH(A416)=12, P416+V416, 0) + H416 - L416 + K416 + Z415, 0),
      MAX(Y415 + IF(MONTH(A416)=12, P416+V416, 0) + H416 - L416, 0)
    )
)</f>
        <v>886107.5886</v>
      </c>
      <c r="Z416" s="65">
        <f>IFS(
  B416&lt;55,
    MIN(
      IF(AA415 &gt;= VLOOKUP(YEAR(A416), Lookup!$Q:$R, 2),
        Z415 + IF(MONTH(A416)=12, Q416+W416, 0) + I416
          + AA415 + IF(MONTH(A416)=12, R416+X416, 0) - VLOOKUP(YEAR(A416), Lookup!$Q:$R, 2) + J416,
        Z415 + IF(MONTH(A416)=12, Q416+W416, 0) + I416
      ),
      VLOOKUP(YEAR(A416), Lookup!$K:$M, 3)
    ),
  B416=55,
    IF(Z415 &gt;= AD416, Z415 - AD416, 0),
  B416&gt;55, 0
)</f>
        <v>0</v>
      </c>
      <c r="AA416" s="65">
        <f>IFS(
  B416&lt;65,
    IF(AA415+J416 &lt; VLOOKUP(YEAR(A416), Lookup!$Q:$R, 2),
      AA415 + IF(MONTH(A416)=12, R415+X415, 0) + J416,
      MIN(
        AA415 + IF(MONTH(A416)=12, R415+X415, 0) + J416 ,
        VLOOKUP(YEAR(A416), Lookup!$Q:$R, 2)
      )
    ),
  B416&gt;=65,
    IF(AA415+J416 &lt; VLOOKUP(questions!$C$5, Lookup!$Q:$R, 2),
      AA415 + IF(MONTH(A416)=12, R415+X415, 0) + J416 ,
      MIN(
        AA415 + IF(MONTH(A416)=12, R415+X415, 0) + J416,
        VLOOKUP(questions!$C$5, Lookup!$Q:$R, 2)
      )
    )
)</f>
        <v>246239.329</v>
      </c>
      <c r="AB416" s="65">
        <f t="shared" si="13"/>
        <v>802239.7991</v>
      </c>
      <c r="AC416" s="66">
        <f t="array" ref="AC416">IFS(B416&lt;66, XLOOKUP(year(A416),Lookup!$K$13:$K1000,Lookup!$L$13:$L1000,"missing",,1),B416&gt;65,XLOOKUP(questions!$C$5,Lookup!$K$13:$K1000,Lookup!$L$13:$L1000,"missing",,1))</f>
        <v>355072.6223</v>
      </c>
      <c r="AD416" s="66">
        <f t="array" ref="AD416">IFS(B416&lt;66, XLOOKUP(year(A416),Lookup!$K$13:$K1000,Lookup!$M$13:$M1000,"missing",,1),B416&gt;65, XLOOKUP(questions!$C$5,Lookup!$K$13:$K1000,Lookup!$M$13:$M1000,"missing",,1))</f>
        <v>710145.2447</v>
      </c>
      <c r="AE416" s="66">
        <f t="array" ref="AE416">IFS(B416&lt;66, XLOOKUP(year(A416),Lookup!$K$13:$K1000,Lookup!$N$13:$N1000,"missing",,1),B416&gt;65,XLOOKUP(questions!$C$5,Lookup!$K$13:$K1000,Lookup!$N$13:$N1000,"missing",,1))</f>
        <v>1420290.489</v>
      </c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</row>
    <row r="417">
      <c r="A417" s="55">
        <f t="shared" si="7"/>
        <v>58714</v>
      </c>
      <c r="B417" s="56">
        <f>round(YEARFRAC(EOMONTH(questions!$C$3, 0),A417,1),2)</f>
        <v>61.83</v>
      </c>
      <c r="C417" s="58">
        <f>IF(B417&lt;questions!$C$6,if(MONTH(A417)=1,C416*(1+questions!$C$12),C416),0)</f>
        <v>0</v>
      </c>
      <c r="D417" s="58">
        <f>IF(MONTH(A417)=12,C417*questions!$C$11,0)</f>
        <v>0</v>
      </c>
      <c r="E417" s="71">
        <f t="shared" si="2"/>
        <v>0</v>
      </c>
      <c r="F417" s="71">
        <f t="shared" si="3"/>
        <v>0</v>
      </c>
      <c r="G417" s="61">
        <f t="array" ref="G417">if(YEAR(A417)=2025,XLOOKUP(B417,Lookup!$A$3:$A$7,Lookup!$D$3:$D$7,,1)*SUM(E417:F417), XLOOKUP(B417,Lookup!$A$14:$A$18,Lookup!$D$14:$D$18,,1)*SUM(E417:F417))</f>
        <v>0</v>
      </c>
      <c r="H417" s="61">
        <f t="array" ref="H417">if(YEAR(A417)=2025,XLOOKUP(B417,Lookup!$F$3:$F$10,Lookup!$G$3:$G$10,,1)*G417, XLOOKUP(B417,Lookup!$F$14:$F$21,Lookup!$G$14:$G$21,,1)*G417)</f>
        <v>0</v>
      </c>
      <c r="I417" s="61">
        <f t="array" ref="I417">if(B417&lt;55, if(YEAR(A417)=2025,XLOOKUP(B417,Lookup!$F$3:$F$10,Lookup!$H$3:$H$10,,1)*G417, XLOOKUP(B417,Lookup!$F$14:$F$21,Lookup!$H$14:$H$21,,1)*G417),0)</f>
        <v>0</v>
      </c>
      <c r="J417" s="61">
        <f t="array" ref="J417">if(YEAR(A417)=2025,XLOOKUP(B417,Lookup!$F$3:$F$10,Lookup!$I$3:$I$10,,1)*G417, XLOOKUP(B417,Lookup!$F$14:$F$21,Lookup!$I$14:$I$21,,1)*G417)</f>
        <v>0</v>
      </c>
      <c r="K417" s="61">
        <f t="array" ref="K417">if(B417&gt;54, if(YEAR(A417)=2025,XLOOKUP(B417,Lookup!$F$3:$F$10,Lookup!$H$3:$H$10,,1)*G417, XLOOKUP(B417,Lookup!$F$14:$F$21,Lookup!$H$14:$H$21,,1)*G417),0)</f>
        <v>0</v>
      </c>
      <c r="L417" s="62">
        <f>IF(and(A417&lt;questions!$C$19,questions!$C$18="yes"),questions!$C$20,0)</f>
        <v>0</v>
      </c>
      <c r="M417" s="63">
        <f>(Y416+H417)*Lookup!A$26/12</f>
        <v>1846.057476</v>
      </c>
      <c r="N417" s="63">
        <f>if(B417&lt;55, (Z416+I417)*Lookup!B$26/12, (AB416+K417)*Lookup!B$26/12)</f>
        <v>2674.132664</v>
      </c>
      <c r="O417" s="63">
        <f>(AA416+J417)*Lookup!C$26/12</f>
        <v>820.7977632</v>
      </c>
      <c r="P417" s="63">
        <f t="shared" si="8"/>
        <v>16614.51729</v>
      </c>
      <c r="Q417" s="63">
        <f t="shared" si="4"/>
        <v>24067.19397</v>
      </c>
      <c r="R417" s="63">
        <f t="shared" si="5"/>
        <v>7387.179869</v>
      </c>
      <c r="S417" s="64">
        <f t="shared" si="9"/>
        <v>33.33333333</v>
      </c>
      <c r="T417" s="64">
        <f t="shared" si="10"/>
        <v>41.66666667</v>
      </c>
      <c r="U417" s="64">
        <f t="shared" si="11"/>
        <v>0</v>
      </c>
      <c r="V417" s="64">
        <f t="shared" ref="V417:X417" si="425">IF(year($A417)=year($A416), V416+S417, S417)</f>
        <v>300</v>
      </c>
      <c r="W417" s="64">
        <f t="shared" si="425"/>
        <v>375</v>
      </c>
      <c r="X417" s="64">
        <f t="shared" si="425"/>
        <v>0</v>
      </c>
      <c r="Y417" s="65">
        <f>IFS(
  B417&lt;55,
    MAX(
      Y416 + IF(MONTH(A417)=12, P417+V417, 0) + H417 - L417
      + MAX(0,
          IF(AA416 &gt;= VLOOKUP(YEAR(A417), Lookup!$Q:$R, 2),
            Z416 + IF(MONTH(A417)=12, Q417+W417, 0) + I417
              + AA416 + IF(MONTH(A417)=12, R417+X417, 0)
              - VLOOKUP(YEAR(A417), Lookup!$Q:$R, 2) + J417,
            Z416 + IF(MONTH(A417)=12, Q417+W417, 0) + I417
          ) - VLOOKUP(YEAR(A417), Lookup!$K:$M, 3)
        ),
    0),
  B417=55,
    IF(Z416&gt;=AD417,
      MAX(Y416 + IF(MONTH(A417)=12, P417+V417, 0) + H417 - L417, 0),
      MAX(MAX(0, Y416-(AD417-Z416)) + IF(MONTH(A417)=12, P417+V417, 0) + H417 - L417, 0)
    ),
  B417&gt;55,
    IF(AB416&gt;=$AH$7,
      MAX(Y416 + IF(MONTH(A417)=12, P417+V417, 0) + H417 - L417 + K417 + Z416, 0),
      MAX(Y416 + IF(MONTH(A417)=12, P417+V417, 0) + H417 - L417, 0)
    )
)</f>
        <v>886107.5886</v>
      </c>
      <c r="Z417" s="65">
        <f>IFS(
  B417&lt;55,
    MIN(
      IF(AA416 &gt;= VLOOKUP(YEAR(A417), Lookup!$Q:$R, 2),
        Z416 + IF(MONTH(A417)=12, Q417+W417, 0) + I417
          + AA416 + IF(MONTH(A417)=12, R417+X417, 0) - VLOOKUP(YEAR(A417), Lookup!$Q:$R, 2) + J417,
        Z416 + IF(MONTH(A417)=12, Q417+W417, 0) + I417
      ),
      VLOOKUP(YEAR(A417), Lookup!$K:$M, 3)
    ),
  B417=55,
    IF(Z416 &gt;= AD417, Z416 - AD417, 0),
  B417&gt;55, 0
)</f>
        <v>0</v>
      </c>
      <c r="AA417" s="65">
        <f>IFS(
  B417&lt;65,
    IF(AA416+J417 &lt; VLOOKUP(YEAR(A417), Lookup!$Q:$R, 2),
      AA416 + IF(MONTH(A417)=12, R416+X416, 0) + J417,
      MIN(
        AA416 + IF(MONTH(A417)=12, R416+X416, 0) + J417 ,
        VLOOKUP(YEAR(A417), Lookup!$Q:$R, 2)
      )
    ),
  B417&gt;=65,
    IF(AA416+J417 &lt; VLOOKUP(questions!$C$5, Lookup!$Q:$R, 2),
      AA416 + IF(MONTH(A417)=12, R416+X416, 0) + J417 ,
      MIN(
        AA416 + IF(MONTH(A417)=12, R416+X416, 0) + J417,
        VLOOKUP(questions!$C$5, Lookup!$Q:$R, 2)
      )
    )
)</f>
        <v>246239.329</v>
      </c>
      <c r="AB417" s="65">
        <f t="shared" si="13"/>
        <v>802239.7991</v>
      </c>
      <c r="AC417" s="66">
        <f t="array" ref="AC417">IFS(B417&lt;66, XLOOKUP(year(A417),Lookup!$K$13:$K1000,Lookup!$L$13:$L1000,"missing",,1),B417&gt;65,XLOOKUP(questions!$C$5,Lookup!$K$13:$K1000,Lookup!$L$13:$L1000,"missing",,1))</f>
        <v>355072.6223</v>
      </c>
      <c r="AD417" s="66">
        <f t="array" ref="AD417">IFS(B417&lt;66, XLOOKUP(year(A417),Lookup!$K$13:$K1000,Lookup!$M$13:$M1000,"missing",,1),B417&gt;65, XLOOKUP(questions!$C$5,Lookup!$K$13:$K1000,Lookup!$M$13:$M1000,"missing",,1))</f>
        <v>710145.2447</v>
      </c>
      <c r="AE417" s="66">
        <f t="array" ref="AE417">IFS(B417&lt;66, XLOOKUP(year(A417),Lookup!$K$13:$K1000,Lookup!$N$13:$N1000,"missing",,1),B417&gt;65,XLOOKUP(questions!$C$5,Lookup!$K$13:$K1000,Lookup!$N$13:$N1000,"missing",,1))</f>
        <v>1420290.489</v>
      </c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</row>
    <row r="418">
      <c r="A418" s="55">
        <f t="shared" si="7"/>
        <v>58745</v>
      </c>
      <c r="B418" s="56">
        <f>round(YEARFRAC(EOMONTH(questions!$C$3, 0),A418,1),2)</f>
        <v>61.92</v>
      </c>
      <c r="C418" s="58">
        <f>IF(B418&lt;questions!$C$6,if(MONTH(A418)=1,C417*(1+questions!$C$12),C417),0)</f>
        <v>0</v>
      </c>
      <c r="D418" s="58">
        <f>IF(MONTH(A418)=12,C418*questions!$C$11,0)</f>
        <v>0</v>
      </c>
      <c r="E418" s="71">
        <f t="shared" si="2"/>
        <v>0</v>
      </c>
      <c r="F418" s="71">
        <f t="shared" si="3"/>
        <v>0</v>
      </c>
      <c r="G418" s="61">
        <f t="array" ref="G418">if(YEAR(A418)=2025,XLOOKUP(B418,Lookup!$A$3:$A$7,Lookup!$D$3:$D$7,,1)*SUM(E418:F418), XLOOKUP(B418,Lookup!$A$14:$A$18,Lookup!$D$14:$D$18,,1)*SUM(E418:F418))</f>
        <v>0</v>
      </c>
      <c r="H418" s="61">
        <f t="array" ref="H418">if(YEAR(A418)=2025,XLOOKUP(B418,Lookup!$F$3:$F$10,Lookup!$G$3:$G$10,,1)*G418, XLOOKUP(B418,Lookup!$F$14:$F$21,Lookup!$G$14:$G$21,,1)*G418)</f>
        <v>0</v>
      </c>
      <c r="I418" s="61">
        <f t="array" ref="I418">if(B418&lt;55, if(YEAR(A418)=2025,XLOOKUP(B418,Lookup!$F$3:$F$10,Lookup!$H$3:$H$10,,1)*G418, XLOOKUP(B418,Lookup!$F$14:$F$21,Lookup!$H$14:$H$21,,1)*G418),0)</f>
        <v>0</v>
      </c>
      <c r="J418" s="61">
        <f t="array" ref="J418">if(YEAR(A418)=2025,XLOOKUP(B418,Lookup!$F$3:$F$10,Lookup!$I$3:$I$10,,1)*G418, XLOOKUP(B418,Lookup!$F$14:$F$21,Lookup!$I$14:$I$21,,1)*G418)</f>
        <v>0</v>
      </c>
      <c r="K418" s="61">
        <f t="array" ref="K418">if(B418&gt;54, if(YEAR(A418)=2025,XLOOKUP(B418,Lookup!$F$3:$F$10,Lookup!$H$3:$H$10,,1)*G418, XLOOKUP(B418,Lookup!$F$14:$F$21,Lookup!$H$14:$H$21,,1)*G418),0)</f>
        <v>0</v>
      </c>
      <c r="L418" s="62">
        <f>IF(and(A418&lt;questions!$C$19,questions!$C$18="yes"),questions!$C$20,0)</f>
        <v>0</v>
      </c>
      <c r="M418" s="63">
        <f>(Y417+H418)*Lookup!A$26/12</f>
        <v>1846.057476</v>
      </c>
      <c r="N418" s="63">
        <f>if(B418&lt;55, (Z417+I418)*Lookup!B$26/12, (AB417+K418)*Lookup!B$26/12)</f>
        <v>2674.132664</v>
      </c>
      <c r="O418" s="63">
        <f>(AA417+J418)*Lookup!C$26/12</f>
        <v>820.7977632</v>
      </c>
      <c r="P418" s="63">
        <f t="shared" si="8"/>
        <v>18460.57476</v>
      </c>
      <c r="Q418" s="63">
        <f t="shared" si="4"/>
        <v>26741.32664</v>
      </c>
      <c r="R418" s="63">
        <f t="shared" si="5"/>
        <v>8207.977632</v>
      </c>
      <c r="S418" s="64">
        <f t="shared" si="9"/>
        <v>33.33333333</v>
      </c>
      <c r="T418" s="64">
        <f t="shared" si="10"/>
        <v>41.66666667</v>
      </c>
      <c r="U418" s="64">
        <f t="shared" si="11"/>
        <v>0</v>
      </c>
      <c r="V418" s="64">
        <f t="shared" ref="V418:X418" si="426">IF(year($A418)=year($A417), V417+S418, S418)</f>
        <v>333.3333333</v>
      </c>
      <c r="W418" s="64">
        <f t="shared" si="426"/>
        <v>416.6666667</v>
      </c>
      <c r="X418" s="64">
        <f t="shared" si="426"/>
        <v>0</v>
      </c>
      <c r="Y418" s="65">
        <f>IFS(
  B418&lt;55,
    MAX(
      Y417 + IF(MONTH(A418)=12, P418+V418, 0) + H418 - L418
      + MAX(0,
          IF(AA417 &gt;= VLOOKUP(YEAR(A418), Lookup!$Q:$R, 2),
            Z417 + IF(MONTH(A418)=12, Q418+W418, 0) + I418
              + AA417 + IF(MONTH(A418)=12, R418+X418, 0)
              - VLOOKUP(YEAR(A418), Lookup!$Q:$R, 2) + J418,
            Z417 + IF(MONTH(A418)=12, Q418+W418, 0) + I418
          ) - VLOOKUP(YEAR(A418), Lookup!$K:$M, 3)
        ),
    0),
  B418=55,
    IF(Z417&gt;=AD418,
      MAX(Y417 + IF(MONTH(A418)=12, P418+V418, 0) + H418 - L418, 0),
      MAX(MAX(0, Y417-(AD418-Z417)) + IF(MONTH(A418)=12, P418+V418, 0) + H418 - L418, 0)
    ),
  B418&gt;55,
    IF(AB417&gt;=$AH$7,
      MAX(Y417 + IF(MONTH(A418)=12, P418+V418, 0) + H418 - L418 + K418 + Z417, 0),
      MAX(Y417 + IF(MONTH(A418)=12, P418+V418, 0) + H418 - L418, 0)
    )
)</f>
        <v>886107.5886</v>
      </c>
      <c r="Z418" s="65">
        <f>IFS(
  B418&lt;55,
    MIN(
      IF(AA417 &gt;= VLOOKUP(YEAR(A418), Lookup!$Q:$R, 2),
        Z417 + IF(MONTH(A418)=12, Q418+W418, 0) + I418
          + AA417 + IF(MONTH(A418)=12, R418+X418, 0) - VLOOKUP(YEAR(A418), Lookup!$Q:$R, 2) + J418,
        Z417 + IF(MONTH(A418)=12, Q418+W418, 0) + I418
      ),
      VLOOKUP(YEAR(A418), Lookup!$K:$M, 3)
    ),
  B418=55,
    IF(Z417 &gt;= AD418, Z417 - AD418, 0),
  B418&gt;55, 0
)</f>
        <v>0</v>
      </c>
      <c r="AA418" s="65">
        <f>IFS(
  B418&lt;65,
    IF(AA417+J418 &lt; VLOOKUP(YEAR(A418), Lookup!$Q:$R, 2),
      AA417 + IF(MONTH(A418)=12, R417+X417, 0) + J418,
      MIN(
        AA417 + IF(MONTH(A418)=12, R417+X417, 0) + J418 ,
        VLOOKUP(YEAR(A418), Lookup!$Q:$R, 2)
      )
    ),
  B418&gt;=65,
    IF(AA417+J418 &lt; VLOOKUP(questions!$C$5, Lookup!$Q:$R, 2),
      AA417 + IF(MONTH(A418)=12, R417+X417, 0) + J418 ,
      MIN(
        AA417 + IF(MONTH(A418)=12, R417+X417, 0) + J418,
        VLOOKUP(questions!$C$5, Lookup!$Q:$R, 2)
      )
    )
)</f>
        <v>246239.329</v>
      </c>
      <c r="AB418" s="65">
        <f t="shared" si="13"/>
        <v>802239.7991</v>
      </c>
      <c r="AC418" s="66">
        <f t="array" ref="AC418">IFS(B418&lt;66, XLOOKUP(year(A418),Lookup!$K$13:$K1000,Lookup!$L$13:$L1000,"missing",,1),B418&gt;65,XLOOKUP(questions!$C$5,Lookup!$K$13:$K1000,Lookup!$L$13:$L1000,"missing",,1))</f>
        <v>355072.6223</v>
      </c>
      <c r="AD418" s="66">
        <f t="array" ref="AD418">IFS(B418&lt;66, XLOOKUP(year(A418),Lookup!$K$13:$K1000,Lookup!$M$13:$M1000,"missing",,1),B418&gt;65, XLOOKUP(questions!$C$5,Lookup!$K$13:$K1000,Lookup!$M$13:$M1000,"missing",,1))</f>
        <v>710145.2447</v>
      </c>
      <c r="AE418" s="66">
        <f t="array" ref="AE418">IFS(B418&lt;66, XLOOKUP(year(A418),Lookup!$K$13:$K1000,Lookup!$N$13:$N1000,"missing",,1),B418&gt;65,XLOOKUP(questions!$C$5,Lookup!$K$13:$K1000,Lookup!$N$13:$N1000,"missing",,1))</f>
        <v>1420290.489</v>
      </c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</row>
    <row r="419">
      <c r="A419" s="55">
        <f t="shared" si="7"/>
        <v>58775</v>
      </c>
      <c r="B419" s="56">
        <f>round(YEARFRAC(EOMONTH(questions!$C$3, 0),A419,1),2)</f>
        <v>62</v>
      </c>
      <c r="C419" s="58">
        <f>IF(B419&lt;questions!$C$6,if(MONTH(A419)=1,C418*(1+questions!$C$12),C418),0)</f>
        <v>0</v>
      </c>
      <c r="D419" s="58">
        <f>IF(MONTH(A419)=12,C419*questions!$C$11,0)</f>
        <v>0</v>
      </c>
      <c r="E419" s="71">
        <f t="shared" si="2"/>
        <v>0</v>
      </c>
      <c r="F419" s="71">
        <f t="shared" si="3"/>
        <v>0</v>
      </c>
      <c r="G419" s="61">
        <f t="array" ref="G419">if(YEAR(A419)=2025,XLOOKUP(B419,Lookup!$A$3:$A$7,Lookup!$D$3:$D$7,,1)*SUM(E419:F419), XLOOKUP(B419,Lookup!$A$14:$A$18,Lookup!$D$14:$D$18,,1)*SUM(E419:F419))</f>
        <v>0</v>
      </c>
      <c r="H419" s="61">
        <f t="array" ref="H419">if(YEAR(A419)=2025,XLOOKUP(B419,Lookup!$F$3:$F$10,Lookup!$G$3:$G$10,,1)*G419, XLOOKUP(B419,Lookup!$F$14:$F$21,Lookup!$G$14:$G$21,,1)*G419)</f>
        <v>0</v>
      </c>
      <c r="I419" s="61">
        <f t="array" ref="I419">if(B419&lt;55, if(YEAR(A419)=2025,XLOOKUP(B419,Lookup!$F$3:$F$10,Lookup!$H$3:$H$10,,1)*G419, XLOOKUP(B419,Lookup!$F$14:$F$21,Lookup!$H$14:$H$21,,1)*G419),0)</f>
        <v>0</v>
      </c>
      <c r="J419" s="61">
        <f t="array" ref="J419">if(YEAR(A419)=2025,XLOOKUP(B419,Lookup!$F$3:$F$10,Lookup!$I$3:$I$10,,1)*G419, XLOOKUP(B419,Lookup!$F$14:$F$21,Lookup!$I$14:$I$21,,1)*G419)</f>
        <v>0</v>
      </c>
      <c r="K419" s="61">
        <f t="array" ref="K419">if(B419&gt;54, if(YEAR(A419)=2025,XLOOKUP(B419,Lookup!$F$3:$F$10,Lookup!$H$3:$H$10,,1)*G419, XLOOKUP(B419,Lookup!$F$14:$F$21,Lookup!$H$14:$H$21,,1)*G419),0)</f>
        <v>0</v>
      </c>
      <c r="L419" s="62">
        <f>IF(and(A419&lt;questions!$C$19,questions!$C$18="yes"),questions!$C$20,0)</f>
        <v>0</v>
      </c>
      <c r="M419" s="63">
        <f>(Y418+H419)*Lookup!A$26/12</f>
        <v>1846.057476</v>
      </c>
      <c r="N419" s="63">
        <f>if(B419&lt;55, (Z418+I419)*Lookup!B$26/12, (AB418+K419)*Lookup!B$26/12)</f>
        <v>2674.132664</v>
      </c>
      <c r="O419" s="63">
        <f>(AA418+J419)*Lookup!C$26/12</f>
        <v>820.7977632</v>
      </c>
      <c r="P419" s="63">
        <f t="shared" si="8"/>
        <v>20306.63224</v>
      </c>
      <c r="Q419" s="63">
        <f t="shared" si="4"/>
        <v>29415.4593</v>
      </c>
      <c r="R419" s="63">
        <f t="shared" si="5"/>
        <v>9028.775395</v>
      </c>
      <c r="S419" s="64">
        <f t="shared" si="9"/>
        <v>33.33333333</v>
      </c>
      <c r="T419" s="64">
        <f t="shared" si="10"/>
        <v>41.66666667</v>
      </c>
      <c r="U419" s="64">
        <f t="shared" si="11"/>
        <v>0</v>
      </c>
      <c r="V419" s="64">
        <f t="shared" ref="V419:X419" si="427">IF(year($A419)=year($A418), V418+S419, S419)</f>
        <v>366.6666667</v>
      </c>
      <c r="W419" s="64">
        <f t="shared" si="427"/>
        <v>458.3333333</v>
      </c>
      <c r="X419" s="64">
        <f t="shared" si="427"/>
        <v>0</v>
      </c>
      <c r="Y419" s="65">
        <f>IFS(
  B419&lt;55,
    MAX(
      Y418 + IF(MONTH(A419)=12, P419+V419, 0) + H419 - L419
      + MAX(0,
          IF(AA418 &gt;= VLOOKUP(YEAR(A419), Lookup!$Q:$R, 2),
            Z418 + IF(MONTH(A419)=12, Q419+W419, 0) + I419
              + AA418 + IF(MONTH(A419)=12, R419+X419, 0)
              - VLOOKUP(YEAR(A419), Lookup!$Q:$R, 2) + J419,
            Z418 + IF(MONTH(A419)=12, Q419+W419, 0) + I419
          ) - VLOOKUP(YEAR(A419), Lookup!$K:$M, 3)
        ),
    0),
  B419=55,
    IF(Z418&gt;=AD419,
      MAX(Y418 + IF(MONTH(A419)=12, P419+V419, 0) + H419 - L419, 0),
      MAX(MAX(0, Y418-(AD419-Z418)) + IF(MONTH(A419)=12, P419+V419, 0) + H419 - L419, 0)
    ),
  B419&gt;55,
    IF(AB418&gt;=$AH$7,
      MAX(Y418 + IF(MONTH(A419)=12, P419+V419, 0) + H419 - L419 + K419 + Z418, 0),
      MAX(Y418 + IF(MONTH(A419)=12, P419+V419, 0) + H419 - L419, 0)
    )
)</f>
        <v>886107.5886</v>
      </c>
      <c r="Z419" s="65">
        <f>IFS(
  B419&lt;55,
    MIN(
      IF(AA418 &gt;= VLOOKUP(YEAR(A419), Lookup!$Q:$R, 2),
        Z418 + IF(MONTH(A419)=12, Q419+W419, 0) + I419
          + AA418 + IF(MONTH(A419)=12, R419+X419, 0) - VLOOKUP(YEAR(A419), Lookup!$Q:$R, 2) + J419,
        Z418 + IF(MONTH(A419)=12, Q419+W419, 0) + I419
      ),
      VLOOKUP(YEAR(A419), Lookup!$K:$M, 3)
    ),
  B419=55,
    IF(Z418 &gt;= AD419, Z418 - AD419, 0),
  B419&gt;55, 0
)</f>
        <v>0</v>
      </c>
      <c r="AA419" s="65">
        <f>IFS(
  B419&lt;65,
    IF(AA418+J419 &lt; VLOOKUP(YEAR(A419), Lookup!$Q:$R, 2),
      AA418 + IF(MONTH(A419)=12, R418+X418, 0) + J419,
      MIN(
        AA418 + IF(MONTH(A419)=12, R418+X418, 0) + J419 ,
        VLOOKUP(YEAR(A419), Lookup!$Q:$R, 2)
      )
    ),
  B419&gt;=65,
    IF(AA418+J419 &lt; VLOOKUP(questions!$C$5, Lookup!$Q:$R, 2),
      AA418 + IF(MONTH(A419)=12, R418+X418, 0) + J419 ,
      MIN(
        AA418 + IF(MONTH(A419)=12, R418+X418, 0) + J419,
        VLOOKUP(questions!$C$5, Lookup!$Q:$R, 2)
      )
    )
)</f>
        <v>246239.329</v>
      </c>
      <c r="AB419" s="65">
        <f t="shared" si="13"/>
        <v>802239.7991</v>
      </c>
      <c r="AC419" s="66">
        <f t="array" ref="AC419">IFS(B419&lt;66, XLOOKUP(year(A419),Lookup!$K$13:$K1000,Lookup!$L$13:$L1000,"missing",,1),B419&gt;65,XLOOKUP(questions!$C$5,Lookup!$K$13:$K1000,Lookup!$L$13:$L1000,"missing",,1))</f>
        <v>355072.6223</v>
      </c>
      <c r="AD419" s="66">
        <f t="array" ref="AD419">IFS(B419&lt;66, XLOOKUP(year(A419),Lookup!$K$13:$K1000,Lookup!$M$13:$M1000,"missing",,1),B419&gt;65, XLOOKUP(questions!$C$5,Lookup!$K$13:$K1000,Lookup!$M$13:$M1000,"missing",,1))</f>
        <v>710145.2447</v>
      </c>
      <c r="AE419" s="66">
        <f t="array" ref="AE419">IFS(B419&lt;66, XLOOKUP(year(A419),Lookup!$K$13:$K1000,Lookup!$N$13:$N1000,"missing",,1),B419&gt;65,XLOOKUP(questions!$C$5,Lookup!$K$13:$K1000,Lookup!$N$13:$N1000,"missing",,1))</f>
        <v>1420290.489</v>
      </c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</row>
    <row r="420">
      <c r="A420" s="55">
        <f t="shared" si="7"/>
        <v>58806</v>
      </c>
      <c r="B420" s="56">
        <f>round(YEARFRAC(EOMONTH(questions!$C$3, 0),A420,1),2)</f>
        <v>62.08</v>
      </c>
      <c r="C420" s="58">
        <f>IF(B420&lt;questions!$C$6,if(MONTH(A420)=1,C419*(1+questions!$C$12),C419),0)</f>
        <v>0</v>
      </c>
      <c r="D420" s="58">
        <f>IF(MONTH(A420)=12,C420*questions!$C$11,0)</f>
        <v>0</v>
      </c>
      <c r="E420" s="71">
        <f t="shared" si="2"/>
        <v>0</v>
      </c>
      <c r="F420" s="71">
        <f t="shared" si="3"/>
        <v>0</v>
      </c>
      <c r="G420" s="61">
        <f t="array" ref="G420">if(YEAR(A420)=2025,XLOOKUP(B420,Lookup!$A$3:$A$7,Lookup!$D$3:$D$7,,1)*SUM(E420:F420), XLOOKUP(B420,Lookup!$A$14:$A$18,Lookup!$D$14:$D$18,,1)*SUM(E420:F420))</f>
        <v>0</v>
      </c>
      <c r="H420" s="61">
        <f t="array" ref="H420">if(YEAR(A420)=2025,XLOOKUP(B420,Lookup!$F$3:$F$10,Lookup!$G$3:$G$10,,1)*G420, XLOOKUP(B420,Lookup!$F$14:$F$21,Lookup!$G$14:$G$21,,1)*G420)</f>
        <v>0</v>
      </c>
      <c r="I420" s="61">
        <f t="array" ref="I420">if(B420&lt;55, if(YEAR(A420)=2025,XLOOKUP(B420,Lookup!$F$3:$F$10,Lookup!$H$3:$H$10,,1)*G420, XLOOKUP(B420,Lookup!$F$14:$F$21,Lookup!$H$14:$H$21,,1)*G420),0)</f>
        <v>0</v>
      </c>
      <c r="J420" s="61">
        <f t="array" ref="J420">if(YEAR(A420)=2025,XLOOKUP(B420,Lookup!$F$3:$F$10,Lookup!$I$3:$I$10,,1)*G420, XLOOKUP(B420,Lookup!$F$14:$F$21,Lookup!$I$14:$I$21,,1)*G420)</f>
        <v>0</v>
      </c>
      <c r="K420" s="61">
        <f t="array" ref="K420">if(B420&gt;54, if(YEAR(A420)=2025,XLOOKUP(B420,Lookup!$F$3:$F$10,Lookup!$H$3:$H$10,,1)*G420, XLOOKUP(B420,Lookup!$F$14:$F$21,Lookup!$H$14:$H$21,,1)*G420),0)</f>
        <v>0</v>
      </c>
      <c r="L420" s="62">
        <f>IF(and(A420&lt;questions!$C$19,questions!$C$18="yes"),questions!$C$20,0)</f>
        <v>0</v>
      </c>
      <c r="M420" s="63">
        <f>(Y419+H420)*Lookup!A$26/12</f>
        <v>1846.057476</v>
      </c>
      <c r="N420" s="63">
        <f>if(B420&lt;55, (Z419+I420)*Lookup!B$26/12, (AB419+K420)*Lookup!B$26/12)</f>
        <v>2674.132664</v>
      </c>
      <c r="O420" s="63">
        <f>(AA419+J420)*Lookup!C$26/12</f>
        <v>820.7977632</v>
      </c>
      <c r="P420" s="63">
        <f t="shared" si="8"/>
        <v>22152.68971</v>
      </c>
      <c r="Q420" s="63">
        <f t="shared" si="4"/>
        <v>32089.59197</v>
      </c>
      <c r="R420" s="63">
        <f t="shared" si="5"/>
        <v>9849.573158</v>
      </c>
      <c r="S420" s="64">
        <f t="shared" si="9"/>
        <v>33.33333333</v>
      </c>
      <c r="T420" s="64">
        <f t="shared" si="10"/>
        <v>41.66666667</v>
      </c>
      <c r="U420" s="64">
        <f t="shared" si="11"/>
        <v>0</v>
      </c>
      <c r="V420" s="64">
        <f t="shared" ref="V420:X420" si="428">IF(year($A420)=year($A419), V419+S420, S420)</f>
        <v>400</v>
      </c>
      <c r="W420" s="64">
        <f t="shared" si="428"/>
        <v>500</v>
      </c>
      <c r="X420" s="64">
        <f t="shared" si="428"/>
        <v>0</v>
      </c>
      <c r="Y420" s="65">
        <f>IFS(
  B420&lt;55,
    MAX(
      Y419 + IF(MONTH(A420)=12, P420+V420, 0) + H420 - L420
      + MAX(0,
          IF(AA419 &gt;= VLOOKUP(YEAR(A420), Lookup!$Q:$R, 2),
            Z419 + IF(MONTH(A420)=12, Q420+W420, 0) + I420
              + AA419 + IF(MONTH(A420)=12, R420+X420, 0)
              - VLOOKUP(YEAR(A420), Lookup!$Q:$R, 2) + J420,
            Z419 + IF(MONTH(A420)=12, Q420+W420, 0) + I420
          ) - VLOOKUP(YEAR(A420), Lookup!$K:$M, 3)
        ),
    0),
  B420=55,
    IF(Z419&gt;=AD420,
      MAX(Y419 + IF(MONTH(A420)=12, P420+V420, 0) + H420 - L420, 0),
      MAX(MAX(0, Y419-(AD420-Z419)) + IF(MONTH(A420)=12, P420+V420, 0) + H420 - L420, 0)
    ),
  B420&gt;55,
    IF(AB419&gt;=$AH$7,
      MAX(Y419 + IF(MONTH(A420)=12, P420+V420, 0) + H420 - L420 + K420 + Z419, 0),
      MAX(Y419 + IF(MONTH(A420)=12, P420+V420, 0) + H420 - L420, 0)
    )
)</f>
        <v>908660.2783</v>
      </c>
      <c r="Z420" s="65">
        <f>IFS(
  B420&lt;55,
    MIN(
      IF(AA419 &gt;= VLOOKUP(YEAR(A420), Lookup!$Q:$R, 2),
        Z419 + IF(MONTH(A420)=12, Q420+W420, 0) + I420
          + AA419 + IF(MONTH(A420)=12, R420+X420, 0) - VLOOKUP(YEAR(A420), Lookup!$Q:$R, 2) + J420,
        Z419 + IF(MONTH(A420)=12, Q420+W420, 0) + I420
      ),
      VLOOKUP(YEAR(A420), Lookup!$K:$M, 3)
    ),
  B420=55,
    IF(Z419 &gt;= AD420, Z419 - AD420, 0),
  B420&gt;55, 0
)</f>
        <v>0</v>
      </c>
      <c r="AA420" s="65">
        <f>IFS(
  B420&lt;65,
    IF(AA419+J420 &lt; VLOOKUP(YEAR(A420), Lookup!$Q:$R, 2),
      AA419 + IF(MONTH(A420)=12, R419+X419, 0) + J420,
      MIN(
        AA419 + IF(MONTH(A420)=12, R419+X419, 0) + J420 ,
        VLOOKUP(YEAR(A420), Lookup!$Q:$R, 2)
      )
    ),
  B420&gt;=65,
    IF(AA419+J420 &lt; VLOOKUP(questions!$C$5, Lookup!$Q:$R, 2),
      AA419 + IF(MONTH(A420)=12, R419+X419, 0) + J420 ,
      MIN(
        AA419 + IF(MONTH(A420)=12, R419+X419, 0) + J420,
        VLOOKUP(questions!$C$5, Lookup!$Q:$R, 2)
      )
    )
)</f>
        <v>255268.1044</v>
      </c>
      <c r="AB420" s="65">
        <f t="shared" si="13"/>
        <v>834829.3911</v>
      </c>
      <c r="AC420" s="66">
        <f t="array" ref="AC420">IFS(B420&lt;66, XLOOKUP(year(A420),Lookup!$K$13:$K1000,Lookup!$L$13:$L1000,"missing",,1),B420&gt;65,XLOOKUP(questions!$C$5,Lookup!$K$13:$K1000,Lookup!$L$13:$L1000,"missing",,1))</f>
        <v>355072.6223</v>
      </c>
      <c r="AD420" s="66">
        <f t="array" ref="AD420">IFS(B420&lt;66, XLOOKUP(year(A420),Lookup!$K$13:$K1000,Lookup!$M$13:$M1000,"missing",,1),B420&gt;65, XLOOKUP(questions!$C$5,Lookup!$K$13:$K1000,Lookup!$M$13:$M1000,"missing",,1))</f>
        <v>710145.2447</v>
      </c>
      <c r="AE420" s="66">
        <f t="array" ref="AE420">IFS(B420&lt;66, XLOOKUP(year(A420),Lookup!$K$13:$K1000,Lookup!$N$13:$N1000,"missing",,1),B420&gt;65,XLOOKUP(questions!$C$5,Lookup!$K$13:$K1000,Lookup!$N$13:$N1000,"missing",,1))</f>
        <v>1420290.489</v>
      </c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</row>
    <row r="421">
      <c r="A421" s="55">
        <f t="shared" si="7"/>
        <v>58837</v>
      </c>
      <c r="B421" s="56">
        <f>round(YEARFRAC(EOMONTH(questions!$C$3, 0),A421,1),2)</f>
        <v>62.17</v>
      </c>
      <c r="C421" s="58">
        <f>IF(B421&lt;questions!$C$6,if(MONTH(A421)=1,C420*(1+questions!$C$12),C420),0)</f>
        <v>0</v>
      </c>
      <c r="D421" s="58">
        <f>IF(MONTH(A421)=12,C421*questions!$C$11,0)</f>
        <v>0</v>
      </c>
      <c r="E421" s="71">
        <f t="shared" si="2"/>
        <v>0</v>
      </c>
      <c r="F421" s="71">
        <f t="shared" si="3"/>
        <v>0</v>
      </c>
      <c r="G421" s="61">
        <f t="array" ref="G421">if(YEAR(A421)=2025,XLOOKUP(B421,Lookup!$A$3:$A$7,Lookup!$D$3:$D$7,,1)*SUM(E421:F421), XLOOKUP(B421,Lookup!$A$14:$A$18,Lookup!$D$14:$D$18,,1)*SUM(E421:F421))</f>
        <v>0</v>
      </c>
      <c r="H421" s="61">
        <f t="array" ref="H421">if(YEAR(A421)=2025,XLOOKUP(B421,Lookup!$F$3:$F$10,Lookup!$G$3:$G$10,,1)*G421, XLOOKUP(B421,Lookup!$F$14:$F$21,Lookup!$G$14:$G$21,,1)*G421)</f>
        <v>0</v>
      </c>
      <c r="I421" s="61">
        <f t="array" ref="I421">if(B421&lt;55, if(YEAR(A421)=2025,XLOOKUP(B421,Lookup!$F$3:$F$10,Lookup!$H$3:$H$10,,1)*G421, XLOOKUP(B421,Lookup!$F$14:$F$21,Lookup!$H$14:$H$21,,1)*G421),0)</f>
        <v>0</v>
      </c>
      <c r="J421" s="61">
        <f t="array" ref="J421">if(YEAR(A421)=2025,XLOOKUP(B421,Lookup!$F$3:$F$10,Lookup!$I$3:$I$10,,1)*G421, XLOOKUP(B421,Lookup!$F$14:$F$21,Lookup!$I$14:$I$21,,1)*G421)</f>
        <v>0</v>
      </c>
      <c r="K421" s="61">
        <f t="array" ref="K421">if(B421&gt;54, if(YEAR(A421)=2025,XLOOKUP(B421,Lookup!$F$3:$F$10,Lookup!$H$3:$H$10,,1)*G421, XLOOKUP(B421,Lookup!$F$14:$F$21,Lookup!$H$14:$H$21,,1)*G421),0)</f>
        <v>0</v>
      </c>
      <c r="L421" s="62">
        <f>IF(and(A421&lt;questions!$C$19,questions!$C$18="yes"),questions!$C$20,0)</f>
        <v>0</v>
      </c>
      <c r="M421" s="63">
        <f>(Y420+H421)*Lookup!A$26/12</f>
        <v>1893.042246</v>
      </c>
      <c r="N421" s="63">
        <f>if(B421&lt;55, (Z420+I421)*Lookup!B$26/12, (AB420+K421)*Lookup!B$26/12)</f>
        <v>2782.764637</v>
      </c>
      <c r="O421" s="63">
        <f>(AA420+J421)*Lookup!C$26/12</f>
        <v>850.8936812</v>
      </c>
      <c r="P421" s="63">
        <f t="shared" si="8"/>
        <v>1893.042246</v>
      </c>
      <c r="Q421" s="63">
        <f t="shared" si="4"/>
        <v>2782.764637</v>
      </c>
      <c r="R421" s="63">
        <f t="shared" si="5"/>
        <v>850.8936812</v>
      </c>
      <c r="S421" s="64">
        <f t="shared" si="9"/>
        <v>33.33333333</v>
      </c>
      <c r="T421" s="64">
        <f t="shared" si="10"/>
        <v>41.66666667</v>
      </c>
      <c r="U421" s="64">
        <f t="shared" si="11"/>
        <v>0</v>
      </c>
      <c r="V421" s="64">
        <f t="shared" ref="V421:X421" si="429">IF(year($A421)=year($A420), V420+S421, S421)</f>
        <v>33.33333333</v>
      </c>
      <c r="W421" s="64">
        <f t="shared" si="429"/>
        <v>41.66666667</v>
      </c>
      <c r="X421" s="64">
        <f t="shared" si="429"/>
        <v>0</v>
      </c>
      <c r="Y421" s="65">
        <f>IFS(
  B421&lt;55,
    MAX(
      Y420 + IF(MONTH(A421)=12, P421+V421, 0) + H421 - L421
      + MAX(0,
          IF(AA420 &gt;= VLOOKUP(YEAR(A421), Lookup!$Q:$R, 2),
            Z420 + IF(MONTH(A421)=12, Q421+W421, 0) + I421
              + AA420 + IF(MONTH(A421)=12, R421+X421, 0)
              - VLOOKUP(YEAR(A421), Lookup!$Q:$R, 2) + J421,
            Z420 + IF(MONTH(A421)=12, Q421+W421, 0) + I421
          ) - VLOOKUP(YEAR(A421), Lookup!$K:$M, 3)
        ),
    0),
  B421=55,
    IF(Z420&gt;=AD421,
      MAX(Y420 + IF(MONTH(A421)=12, P421+V421, 0) + H421 - L421, 0),
      MAX(MAX(0, Y420-(AD421-Z420)) + IF(MONTH(A421)=12, P421+V421, 0) + H421 - L421, 0)
    ),
  B421&gt;55,
    IF(AB420&gt;=$AH$7,
      MAX(Y420 + IF(MONTH(A421)=12, P421+V421, 0) + H421 - L421 + K421 + Z420, 0),
      MAX(Y420 + IF(MONTH(A421)=12, P421+V421, 0) + H421 - L421, 0)
    )
)</f>
        <v>908660.2783</v>
      </c>
      <c r="Z421" s="65">
        <f>IFS(
  B421&lt;55,
    MIN(
      IF(AA420 &gt;= VLOOKUP(YEAR(A421), Lookup!$Q:$R, 2),
        Z420 + IF(MONTH(A421)=12, Q421+W421, 0) + I421
          + AA420 + IF(MONTH(A421)=12, R421+X421, 0) - VLOOKUP(YEAR(A421), Lookup!$Q:$R, 2) + J421,
        Z420 + IF(MONTH(A421)=12, Q421+W421, 0) + I421
      ),
      VLOOKUP(YEAR(A421), Lookup!$K:$M, 3)
    ),
  B421=55,
    IF(Z420 &gt;= AD421, Z420 - AD421, 0),
  B421&gt;55, 0
)</f>
        <v>0</v>
      </c>
      <c r="AA421" s="65">
        <f>IFS(
  B421&lt;65,
    IF(AA420+J421 &lt; VLOOKUP(YEAR(A421), Lookup!$Q:$R, 2),
      AA420 + IF(MONTH(A421)=12, R420+X420, 0) + J421,
      MIN(
        AA420 + IF(MONTH(A421)=12, R420+X420, 0) + J421 ,
        VLOOKUP(YEAR(A421), Lookup!$Q:$R, 2)
      )
    ),
  B421&gt;=65,
    IF(AA420+J421 &lt; VLOOKUP(questions!$C$5, Lookup!$Q:$R, 2),
      AA420 + IF(MONTH(A421)=12, R420+X420, 0) + J421 ,
      MIN(
        AA420 + IF(MONTH(A421)=12, R420+X420, 0) + J421,
        VLOOKUP(questions!$C$5, Lookup!$Q:$R, 2)
      )
    )
)</f>
        <v>255268.1044</v>
      </c>
      <c r="AB421" s="65">
        <f t="shared" si="13"/>
        <v>834829.3911</v>
      </c>
      <c r="AC421" s="66">
        <f t="array" ref="AC421">IFS(B421&lt;66, XLOOKUP(year(A421),Lookup!$K$13:$K1000,Lookup!$L$13:$L1000,"missing",,1),B421&gt;65,XLOOKUP(questions!$C$5,Lookup!$K$13:$K1000,Lookup!$L$13:$L1000,"missing",,1))</f>
        <v>367500.1641</v>
      </c>
      <c r="AD421" s="66">
        <f t="array" ref="AD421">IFS(B421&lt;66, XLOOKUP(year(A421),Lookup!$K$13:$K1000,Lookup!$M$13:$M1000,"missing",,1),B421&gt;65, XLOOKUP(questions!$C$5,Lookup!$K$13:$K1000,Lookup!$M$13:$M1000,"missing",,1))</f>
        <v>735000.3283</v>
      </c>
      <c r="AE421" s="66">
        <f t="array" ref="AE421">IFS(B421&lt;66, XLOOKUP(year(A421),Lookup!$K$13:$K1000,Lookup!$N$13:$N1000,"missing",,1),B421&gt;65,XLOOKUP(questions!$C$5,Lookup!$K$13:$K1000,Lookup!$N$13:$N1000,"missing",,1))</f>
        <v>1470000.657</v>
      </c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</row>
    <row r="422">
      <c r="A422" s="55">
        <f t="shared" si="7"/>
        <v>58865</v>
      </c>
      <c r="B422" s="56">
        <f>round(YEARFRAC(EOMONTH(questions!$C$3, 0),A422,1),2)</f>
        <v>62.25</v>
      </c>
      <c r="C422" s="58">
        <f>IF(B422&lt;questions!$C$6,if(MONTH(A422)=1,C421*(1+questions!$C$12),C421),0)</f>
        <v>0</v>
      </c>
      <c r="D422" s="58">
        <f>IF(MONTH(A422)=12,C422*questions!$C$11,0)</f>
        <v>0</v>
      </c>
      <c r="E422" s="71">
        <f t="shared" si="2"/>
        <v>0</v>
      </c>
      <c r="F422" s="71">
        <f t="shared" si="3"/>
        <v>0</v>
      </c>
      <c r="G422" s="61">
        <f t="array" ref="G422">if(YEAR(A422)=2025,XLOOKUP(B422,Lookup!$A$3:$A$7,Lookup!$D$3:$D$7,,1)*SUM(E422:F422), XLOOKUP(B422,Lookup!$A$14:$A$18,Lookup!$D$14:$D$18,,1)*SUM(E422:F422))</f>
        <v>0</v>
      </c>
      <c r="H422" s="61">
        <f t="array" ref="H422">if(YEAR(A422)=2025,XLOOKUP(B422,Lookup!$F$3:$F$10,Lookup!$G$3:$G$10,,1)*G422, XLOOKUP(B422,Lookup!$F$14:$F$21,Lookup!$G$14:$G$21,,1)*G422)</f>
        <v>0</v>
      </c>
      <c r="I422" s="61">
        <f t="array" ref="I422">if(B422&lt;55, if(YEAR(A422)=2025,XLOOKUP(B422,Lookup!$F$3:$F$10,Lookup!$H$3:$H$10,,1)*G422, XLOOKUP(B422,Lookup!$F$14:$F$21,Lookup!$H$14:$H$21,,1)*G422),0)</f>
        <v>0</v>
      </c>
      <c r="J422" s="61">
        <f t="array" ref="J422">if(YEAR(A422)=2025,XLOOKUP(B422,Lookup!$F$3:$F$10,Lookup!$I$3:$I$10,,1)*G422, XLOOKUP(B422,Lookup!$F$14:$F$21,Lookup!$I$14:$I$21,,1)*G422)</f>
        <v>0</v>
      </c>
      <c r="K422" s="61">
        <f t="array" ref="K422">if(B422&gt;54, if(YEAR(A422)=2025,XLOOKUP(B422,Lookup!$F$3:$F$10,Lookup!$H$3:$H$10,,1)*G422, XLOOKUP(B422,Lookup!$F$14:$F$21,Lookup!$H$14:$H$21,,1)*G422),0)</f>
        <v>0</v>
      </c>
      <c r="L422" s="62">
        <f>IF(and(A422&lt;questions!$C$19,questions!$C$18="yes"),questions!$C$20,0)</f>
        <v>0</v>
      </c>
      <c r="M422" s="63">
        <f>(Y421+H422)*Lookup!A$26/12</f>
        <v>1893.042246</v>
      </c>
      <c r="N422" s="63">
        <f>if(B422&lt;55, (Z421+I422)*Lookup!B$26/12, (AB421+K422)*Lookup!B$26/12)</f>
        <v>2782.764637</v>
      </c>
      <c r="O422" s="63">
        <f>(AA421+J422)*Lookup!C$26/12</f>
        <v>850.8936812</v>
      </c>
      <c r="P422" s="63">
        <f t="shared" si="8"/>
        <v>3786.084493</v>
      </c>
      <c r="Q422" s="63">
        <f t="shared" si="4"/>
        <v>5565.529274</v>
      </c>
      <c r="R422" s="63">
        <f t="shared" si="5"/>
        <v>1701.787362</v>
      </c>
      <c r="S422" s="64">
        <f t="shared" si="9"/>
        <v>33.33333333</v>
      </c>
      <c r="T422" s="64">
        <f t="shared" si="10"/>
        <v>41.66666667</v>
      </c>
      <c r="U422" s="64">
        <f t="shared" si="11"/>
        <v>0</v>
      </c>
      <c r="V422" s="64">
        <f t="shared" ref="V422:X422" si="430">IF(year($A422)=year($A421), V421+S422, S422)</f>
        <v>66.66666667</v>
      </c>
      <c r="W422" s="64">
        <f t="shared" si="430"/>
        <v>83.33333333</v>
      </c>
      <c r="X422" s="64">
        <f t="shared" si="430"/>
        <v>0</v>
      </c>
      <c r="Y422" s="65">
        <f>IFS(
  B422&lt;55,
    MAX(
      Y421 + IF(MONTH(A422)=12, P422+V422, 0) + H422 - L422
      + MAX(0,
          IF(AA421 &gt;= VLOOKUP(YEAR(A422), Lookup!$Q:$R, 2),
            Z421 + IF(MONTH(A422)=12, Q422+W422, 0) + I422
              + AA421 + IF(MONTH(A422)=12, R422+X422, 0)
              - VLOOKUP(YEAR(A422), Lookup!$Q:$R, 2) + J422,
            Z421 + IF(MONTH(A422)=12, Q422+W422, 0) + I422
          ) - VLOOKUP(YEAR(A422), Lookup!$K:$M, 3)
        ),
    0),
  B422=55,
    IF(Z421&gt;=AD422,
      MAX(Y421 + IF(MONTH(A422)=12, P422+V422, 0) + H422 - L422, 0),
      MAX(MAX(0, Y421-(AD422-Z421)) + IF(MONTH(A422)=12, P422+V422, 0) + H422 - L422, 0)
    ),
  B422&gt;55,
    IF(AB421&gt;=$AH$7,
      MAX(Y421 + IF(MONTH(A422)=12, P422+V422, 0) + H422 - L422 + K422 + Z421, 0),
      MAX(Y421 + IF(MONTH(A422)=12, P422+V422, 0) + H422 - L422, 0)
    )
)</f>
        <v>908660.2783</v>
      </c>
      <c r="Z422" s="65">
        <f>IFS(
  B422&lt;55,
    MIN(
      IF(AA421 &gt;= VLOOKUP(YEAR(A422), Lookup!$Q:$R, 2),
        Z421 + IF(MONTH(A422)=12, Q422+W422, 0) + I422
          + AA421 + IF(MONTH(A422)=12, R422+X422, 0) - VLOOKUP(YEAR(A422), Lookup!$Q:$R, 2) + J422,
        Z421 + IF(MONTH(A422)=12, Q422+W422, 0) + I422
      ),
      VLOOKUP(YEAR(A422), Lookup!$K:$M, 3)
    ),
  B422=55,
    IF(Z421 &gt;= AD422, Z421 - AD422, 0),
  B422&gt;55, 0
)</f>
        <v>0</v>
      </c>
      <c r="AA422" s="65">
        <f>IFS(
  B422&lt;65,
    IF(AA421+J422 &lt; VLOOKUP(YEAR(A422), Lookup!$Q:$R, 2),
      AA421 + IF(MONTH(A422)=12, R421+X421, 0) + J422,
      MIN(
        AA421 + IF(MONTH(A422)=12, R421+X421, 0) + J422 ,
        VLOOKUP(YEAR(A422), Lookup!$Q:$R, 2)
      )
    ),
  B422&gt;=65,
    IF(AA421+J422 &lt; VLOOKUP(questions!$C$5, Lookup!$Q:$R, 2),
      AA421 + IF(MONTH(A422)=12, R421+X421, 0) + J422 ,
      MIN(
        AA421 + IF(MONTH(A422)=12, R421+X421, 0) + J422,
        VLOOKUP(questions!$C$5, Lookup!$Q:$R, 2)
      )
    )
)</f>
        <v>255268.1044</v>
      </c>
      <c r="AB422" s="65">
        <f t="shared" si="13"/>
        <v>834829.3911</v>
      </c>
      <c r="AC422" s="66">
        <f t="array" ref="AC422">IFS(B422&lt;66, XLOOKUP(year(A422),Lookup!$K$13:$K1000,Lookup!$L$13:$L1000,"missing",,1),B422&gt;65,XLOOKUP(questions!$C$5,Lookup!$K$13:$K1000,Lookup!$L$13:$L1000,"missing",,1))</f>
        <v>367500.1641</v>
      </c>
      <c r="AD422" s="66">
        <f t="array" ref="AD422">IFS(B422&lt;66, XLOOKUP(year(A422),Lookup!$K$13:$K1000,Lookup!$M$13:$M1000,"missing",,1),B422&gt;65, XLOOKUP(questions!$C$5,Lookup!$K$13:$K1000,Lookup!$M$13:$M1000,"missing",,1))</f>
        <v>735000.3283</v>
      </c>
      <c r="AE422" s="66">
        <f t="array" ref="AE422">IFS(B422&lt;66, XLOOKUP(year(A422),Lookup!$K$13:$K1000,Lookup!$N$13:$N1000,"missing",,1),B422&gt;65,XLOOKUP(questions!$C$5,Lookup!$K$13:$K1000,Lookup!$N$13:$N1000,"missing",,1))</f>
        <v>1470000.657</v>
      </c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</row>
    <row r="423">
      <c r="A423" s="55">
        <f t="shared" si="7"/>
        <v>58896</v>
      </c>
      <c r="B423" s="56">
        <f>round(YEARFRAC(EOMONTH(questions!$C$3, 0),A423,1),2)</f>
        <v>62.33</v>
      </c>
      <c r="C423" s="58">
        <f>IF(B423&lt;questions!$C$6,if(MONTH(A423)=1,C422*(1+questions!$C$12),C422),0)</f>
        <v>0</v>
      </c>
      <c r="D423" s="58">
        <f>IF(MONTH(A423)=12,C423*questions!$C$11,0)</f>
        <v>0</v>
      </c>
      <c r="E423" s="71">
        <f t="shared" si="2"/>
        <v>0</v>
      </c>
      <c r="F423" s="71">
        <f t="shared" si="3"/>
        <v>0</v>
      </c>
      <c r="G423" s="61">
        <f t="array" ref="G423">if(YEAR(A423)=2025,XLOOKUP(B423,Lookup!$A$3:$A$7,Lookup!$D$3:$D$7,,1)*SUM(E423:F423), XLOOKUP(B423,Lookup!$A$14:$A$18,Lookup!$D$14:$D$18,,1)*SUM(E423:F423))</f>
        <v>0</v>
      </c>
      <c r="H423" s="61">
        <f t="array" ref="H423">if(YEAR(A423)=2025,XLOOKUP(B423,Lookup!$F$3:$F$10,Lookup!$G$3:$G$10,,1)*G423, XLOOKUP(B423,Lookup!$F$14:$F$21,Lookup!$G$14:$G$21,,1)*G423)</f>
        <v>0</v>
      </c>
      <c r="I423" s="61">
        <f t="array" ref="I423">if(B423&lt;55, if(YEAR(A423)=2025,XLOOKUP(B423,Lookup!$F$3:$F$10,Lookup!$H$3:$H$10,,1)*G423, XLOOKUP(B423,Lookup!$F$14:$F$21,Lookup!$H$14:$H$21,,1)*G423),0)</f>
        <v>0</v>
      </c>
      <c r="J423" s="61">
        <f t="array" ref="J423">if(YEAR(A423)=2025,XLOOKUP(B423,Lookup!$F$3:$F$10,Lookup!$I$3:$I$10,,1)*G423, XLOOKUP(B423,Lookup!$F$14:$F$21,Lookup!$I$14:$I$21,,1)*G423)</f>
        <v>0</v>
      </c>
      <c r="K423" s="61">
        <f t="array" ref="K423">if(B423&gt;54, if(YEAR(A423)=2025,XLOOKUP(B423,Lookup!$F$3:$F$10,Lookup!$H$3:$H$10,,1)*G423, XLOOKUP(B423,Lookup!$F$14:$F$21,Lookup!$H$14:$H$21,,1)*G423),0)</f>
        <v>0</v>
      </c>
      <c r="L423" s="62">
        <f>IF(and(A423&lt;questions!$C$19,questions!$C$18="yes"),questions!$C$20,0)</f>
        <v>0</v>
      </c>
      <c r="M423" s="63">
        <f>(Y422+H423)*Lookup!A$26/12</f>
        <v>1893.042246</v>
      </c>
      <c r="N423" s="63">
        <f>if(B423&lt;55, (Z422+I423)*Lookup!B$26/12, (AB422+K423)*Lookup!B$26/12)</f>
        <v>2782.764637</v>
      </c>
      <c r="O423" s="63">
        <f>(AA422+J423)*Lookup!C$26/12</f>
        <v>850.8936812</v>
      </c>
      <c r="P423" s="63">
        <f t="shared" si="8"/>
        <v>5679.126739</v>
      </c>
      <c r="Q423" s="63">
        <f t="shared" si="4"/>
        <v>8348.293911</v>
      </c>
      <c r="R423" s="63">
        <f t="shared" si="5"/>
        <v>2552.681044</v>
      </c>
      <c r="S423" s="64">
        <f t="shared" si="9"/>
        <v>33.33333333</v>
      </c>
      <c r="T423" s="64">
        <f t="shared" si="10"/>
        <v>41.66666667</v>
      </c>
      <c r="U423" s="64">
        <f t="shared" si="11"/>
        <v>0</v>
      </c>
      <c r="V423" s="64">
        <f t="shared" ref="V423:X423" si="431">IF(year($A423)=year($A422), V422+S423, S423)</f>
        <v>100</v>
      </c>
      <c r="W423" s="64">
        <f t="shared" si="431"/>
        <v>125</v>
      </c>
      <c r="X423" s="64">
        <f t="shared" si="431"/>
        <v>0</v>
      </c>
      <c r="Y423" s="65">
        <f>IFS(
  B423&lt;55,
    MAX(
      Y422 + IF(MONTH(A423)=12, P423+V423, 0) + H423 - L423
      + MAX(0,
          IF(AA422 &gt;= VLOOKUP(YEAR(A423), Lookup!$Q:$R, 2),
            Z422 + IF(MONTH(A423)=12, Q423+W423, 0) + I423
              + AA422 + IF(MONTH(A423)=12, R423+X423, 0)
              - VLOOKUP(YEAR(A423), Lookup!$Q:$R, 2) + J423,
            Z422 + IF(MONTH(A423)=12, Q423+W423, 0) + I423
          ) - VLOOKUP(YEAR(A423), Lookup!$K:$M, 3)
        ),
    0),
  B423=55,
    IF(Z422&gt;=AD423,
      MAX(Y422 + IF(MONTH(A423)=12, P423+V423, 0) + H423 - L423, 0),
      MAX(MAX(0, Y422-(AD423-Z422)) + IF(MONTH(A423)=12, P423+V423, 0) + H423 - L423, 0)
    ),
  B423&gt;55,
    IF(AB422&gt;=$AH$7,
      MAX(Y422 + IF(MONTH(A423)=12, P423+V423, 0) + H423 - L423 + K423 + Z422, 0),
      MAX(Y422 + IF(MONTH(A423)=12, P423+V423, 0) + H423 - L423, 0)
    )
)</f>
        <v>908660.2783</v>
      </c>
      <c r="Z423" s="65">
        <f>IFS(
  B423&lt;55,
    MIN(
      IF(AA422 &gt;= VLOOKUP(YEAR(A423), Lookup!$Q:$R, 2),
        Z422 + IF(MONTH(A423)=12, Q423+W423, 0) + I423
          + AA422 + IF(MONTH(A423)=12, R423+X423, 0) - VLOOKUP(YEAR(A423), Lookup!$Q:$R, 2) + J423,
        Z422 + IF(MONTH(A423)=12, Q423+W423, 0) + I423
      ),
      VLOOKUP(YEAR(A423), Lookup!$K:$M, 3)
    ),
  B423=55,
    IF(Z422 &gt;= AD423, Z422 - AD423, 0),
  B423&gt;55, 0
)</f>
        <v>0</v>
      </c>
      <c r="AA423" s="65">
        <f>IFS(
  B423&lt;65,
    IF(AA422+J423 &lt; VLOOKUP(YEAR(A423), Lookup!$Q:$R, 2),
      AA422 + IF(MONTH(A423)=12, R422+X422, 0) + J423,
      MIN(
        AA422 + IF(MONTH(A423)=12, R422+X422, 0) + J423 ,
        VLOOKUP(YEAR(A423), Lookup!$Q:$R, 2)
      )
    ),
  B423&gt;=65,
    IF(AA422+J423 &lt; VLOOKUP(questions!$C$5, Lookup!$Q:$R, 2),
      AA422 + IF(MONTH(A423)=12, R422+X422, 0) + J423 ,
      MIN(
        AA422 + IF(MONTH(A423)=12, R422+X422, 0) + J423,
        VLOOKUP(questions!$C$5, Lookup!$Q:$R, 2)
      )
    )
)</f>
        <v>255268.1044</v>
      </c>
      <c r="AB423" s="65">
        <f t="shared" si="13"/>
        <v>834829.3911</v>
      </c>
      <c r="AC423" s="66">
        <f t="array" ref="AC423">IFS(B423&lt;66, XLOOKUP(year(A423),Lookup!$K$13:$K1000,Lookup!$L$13:$L1000,"missing",,1),B423&gt;65,XLOOKUP(questions!$C$5,Lookup!$K$13:$K1000,Lookup!$L$13:$L1000,"missing",,1))</f>
        <v>367500.1641</v>
      </c>
      <c r="AD423" s="66">
        <f t="array" ref="AD423">IFS(B423&lt;66, XLOOKUP(year(A423),Lookup!$K$13:$K1000,Lookup!$M$13:$M1000,"missing",,1),B423&gt;65, XLOOKUP(questions!$C$5,Lookup!$K$13:$K1000,Lookup!$M$13:$M1000,"missing",,1))</f>
        <v>735000.3283</v>
      </c>
      <c r="AE423" s="66">
        <f t="array" ref="AE423">IFS(B423&lt;66, XLOOKUP(year(A423),Lookup!$K$13:$K1000,Lookup!$N$13:$N1000,"missing",,1),B423&gt;65,XLOOKUP(questions!$C$5,Lookup!$K$13:$K1000,Lookup!$N$13:$N1000,"missing",,1))</f>
        <v>1470000.657</v>
      </c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</row>
    <row r="424">
      <c r="A424" s="55">
        <f t="shared" si="7"/>
        <v>58926</v>
      </c>
      <c r="B424" s="56">
        <f>round(YEARFRAC(EOMONTH(questions!$C$3, 0),A424,1),2)</f>
        <v>62.41</v>
      </c>
      <c r="C424" s="58">
        <f>IF(B424&lt;questions!$C$6,if(MONTH(A424)=1,C423*(1+questions!$C$12),C423),0)</f>
        <v>0</v>
      </c>
      <c r="D424" s="58">
        <f>IF(MONTH(A424)=12,C424*questions!$C$11,0)</f>
        <v>0</v>
      </c>
      <c r="E424" s="71">
        <f t="shared" si="2"/>
        <v>0</v>
      </c>
      <c r="F424" s="71">
        <f t="shared" si="3"/>
        <v>0</v>
      </c>
      <c r="G424" s="61">
        <f t="array" ref="G424">if(YEAR(A424)=2025,XLOOKUP(B424,Lookup!$A$3:$A$7,Lookup!$D$3:$D$7,,1)*SUM(E424:F424), XLOOKUP(B424,Lookup!$A$14:$A$18,Lookup!$D$14:$D$18,,1)*SUM(E424:F424))</f>
        <v>0</v>
      </c>
      <c r="H424" s="61">
        <f t="array" ref="H424">if(YEAR(A424)=2025,XLOOKUP(B424,Lookup!$F$3:$F$10,Lookup!$G$3:$G$10,,1)*G424, XLOOKUP(B424,Lookup!$F$14:$F$21,Lookup!$G$14:$G$21,,1)*G424)</f>
        <v>0</v>
      </c>
      <c r="I424" s="61">
        <f t="array" ref="I424">if(B424&lt;55, if(YEAR(A424)=2025,XLOOKUP(B424,Lookup!$F$3:$F$10,Lookup!$H$3:$H$10,,1)*G424, XLOOKUP(B424,Lookup!$F$14:$F$21,Lookup!$H$14:$H$21,,1)*G424),0)</f>
        <v>0</v>
      </c>
      <c r="J424" s="61">
        <f t="array" ref="J424">if(YEAR(A424)=2025,XLOOKUP(B424,Lookup!$F$3:$F$10,Lookup!$I$3:$I$10,,1)*G424, XLOOKUP(B424,Lookup!$F$14:$F$21,Lookup!$I$14:$I$21,,1)*G424)</f>
        <v>0</v>
      </c>
      <c r="K424" s="61">
        <f t="array" ref="K424">if(B424&gt;54, if(YEAR(A424)=2025,XLOOKUP(B424,Lookup!$F$3:$F$10,Lookup!$H$3:$H$10,,1)*G424, XLOOKUP(B424,Lookup!$F$14:$F$21,Lookup!$H$14:$H$21,,1)*G424),0)</f>
        <v>0</v>
      </c>
      <c r="L424" s="62">
        <f>IF(and(A424&lt;questions!$C$19,questions!$C$18="yes"),questions!$C$20,0)</f>
        <v>0</v>
      </c>
      <c r="M424" s="63">
        <f>(Y423+H424)*Lookup!A$26/12</f>
        <v>1893.042246</v>
      </c>
      <c r="N424" s="63">
        <f>if(B424&lt;55, (Z423+I424)*Lookup!B$26/12, (AB423+K424)*Lookup!B$26/12)</f>
        <v>2782.764637</v>
      </c>
      <c r="O424" s="63">
        <f>(AA423+J424)*Lookup!C$26/12</f>
        <v>850.8936812</v>
      </c>
      <c r="P424" s="63">
        <f t="shared" si="8"/>
        <v>7572.168986</v>
      </c>
      <c r="Q424" s="63">
        <f t="shared" si="4"/>
        <v>11131.05855</v>
      </c>
      <c r="R424" s="63">
        <f t="shared" si="5"/>
        <v>3403.574725</v>
      </c>
      <c r="S424" s="64">
        <f t="shared" si="9"/>
        <v>33.33333333</v>
      </c>
      <c r="T424" s="64">
        <f t="shared" si="10"/>
        <v>41.66666667</v>
      </c>
      <c r="U424" s="64">
        <f t="shared" si="11"/>
        <v>0</v>
      </c>
      <c r="V424" s="64">
        <f t="shared" ref="V424:X424" si="432">IF(year($A424)=year($A423), V423+S424, S424)</f>
        <v>133.3333333</v>
      </c>
      <c r="W424" s="64">
        <f t="shared" si="432"/>
        <v>166.6666667</v>
      </c>
      <c r="X424" s="64">
        <f t="shared" si="432"/>
        <v>0</v>
      </c>
      <c r="Y424" s="65">
        <f>IFS(
  B424&lt;55,
    MAX(
      Y423 + IF(MONTH(A424)=12, P424+V424, 0) + H424 - L424
      + MAX(0,
          IF(AA423 &gt;= VLOOKUP(YEAR(A424), Lookup!$Q:$R, 2),
            Z423 + IF(MONTH(A424)=12, Q424+W424, 0) + I424
              + AA423 + IF(MONTH(A424)=12, R424+X424, 0)
              - VLOOKUP(YEAR(A424), Lookup!$Q:$R, 2) + J424,
            Z423 + IF(MONTH(A424)=12, Q424+W424, 0) + I424
          ) - VLOOKUP(YEAR(A424), Lookup!$K:$M, 3)
        ),
    0),
  B424=55,
    IF(Z423&gt;=AD424,
      MAX(Y423 + IF(MONTH(A424)=12, P424+V424, 0) + H424 - L424, 0),
      MAX(MAX(0, Y423-(AD424-Z423)) + IF(MONTH(A424)=12, P424+V424, 0) + H424 - L424, 0)
    ),
  B424&gt;55,
    IF(AB423&gt;=$AH$7,
      MAX(Y423 + IF(MONTH(A424)=12, P424+V424, 0) + H424 - L424 + K424 + Z423, 0),
      MAX(Y423 + IF(MONTH(A424)=12, P424+V424, 0) + H424 - L424, 0)
    )
)</f>
        <v>908660.2783</v>
      </c>
      <c r="Z424" s="65">
        <f>IFS(
  B424&lt;55,
    MIN(
      IF(AA423 &gt;= VLOOKUP(YEAR(A424), Lookup!$Q:$R, 2),
        Z423 + IF(MONTH(A424)=12, Q424+W424, 0) + I424
          + AA423 + IF(MONTH(A424)=12, R424+X424, 0) - VLOOKUP(YEAR(A424), Lookup!$Q:$R, 2) + J424,
        Z423 + IF(MONTH(A424)=12, Q424+W424, 0) + I424
      ),
      VLOOKUP(YEAR(A424), Lookup!$K:$M, 3)
    ),
  B424=55,
    IF(Z423 &gt;= AD424, Z423 - AD424, 0),
  B424&gt;55, 0
)</f>
        <v>0</v>
      </c>
      <c r="AA424" s="65">
        <f>IFS(
  B424&lt;65,
    IF(AA423+J424 &lt; VLOOKUP(YEAR(A424), Lookup!$Q:$R, 2),
      AA423 + IF(MONTH(A424)=12, R423+X423, 0) + J424,
      MIN(
        AA423 + IF(MONTH(A424)=12, R423+X423, 0) + J424 ,
        VLOOKUP(YEAR(A424), Lookup!$Q:$R, 2)
      )
    ),
  B424&gt;=65,
    IF(AA423+J424 &lt; VLOOKUP(questions!$C$5, Lookup!$Q:$R, 2),
      AA423 + IF(MONTH(A424)=12, R423+X423, 0) + J424 ,
      MIN(
        AA423 + IF(MONTH(A424)=12, R423+X423, 0) + J424,
        VLOOKUP(questions!$C$5, Lookup!$Q:$R, 2)
      )
    )
)</f>
        <v>255268.1044</v>
      </c>
      <c r="AB424" s="65">
        <f t="shared" si="13"/>
        <v>834829.3911</v>
      </c>
      <c r="AC424" s="66">
        <f t="array" ref="AC424">IFS(B424&lt;66, XLOOKUP(year(A424),Lookup!$K$13:$K1000,Lookup!$L$13:$L1000,"missing",,1),B424&gt;65,XLOOKUP(questions!$C$5,Lookup!$K$13:$K1000,Lookup!$L$13:$L1000,"missing",,1))</f>
        <v>367500.1641</v>
      </c>
      <c r="AD424" s="66">
        <f t="array" ref="AD424">IFS(B424&lt;66, XLOOKUP(year(A424),Lookup!$K$13:$K1000,Lookup!$M$13:$M1000,"missing",,1),B424&gt;65, XLOOKUP(questions!$C$5,Lookup!$K$13:$K1000,Lookup!$M$13:$M1000,"missing",,1))</f>
        <v>735000.3283</v>
      </c>
      <c r="AE424" s="66">
        <f t="array" ref="AE424">IFS(B424&lt;66, XLOOKUP(year(A424),Lookup!$K$13:$K1000,Lookup!$N$13:$N1000,"missing",,1),B424&gt;65,XLOOKUP(questions!$C$5,Lookup!$K$13:$K1000,Lookup!$N$13:$N1000,"missing",,1))</f>
        <v>1470000.657</v>
      </c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</row>
    <row r="425">
      <c r="A425" s="55">
        <f t="shared" si="7"/>
        <v>58957</v>
      </c>
      <c r="B425" s="56">
        <f>round(YEARFRAC(EOMONTH(questions!$C$3, 0),A425,1),2)</f>
        <v>62.5</v>
      </c>
      <c r="C425" s="58">
        <f>IF(B425&lt;questions!$C$6,if(MONTH(A425)=1,C424*(1+questions!$C$12),C424),0)</f>
        <v>0</v>
      </c>
      <c r="D425" s="58">
        <f>IF(MONTH(A425)=12,C425*questions!$C$11,0)</f>
        <v>0</v>
      </c>
      <c r="E425" s="71">
        <f t="shared" si="2"/>
        <v>0</v>
      </c>
      <c r="F425" s="71">
        <f t="shared" si="3"/>
        <v>0</v>
      </c>
      <c r="G425" s="61">
        <f t="array" ref="G425">if(YEAR(A425)=2025,XLOOKUP(B425,Lookup!$A$3:$A$7,Lookup!$D$3:$D$7,,1)*SUM(E425:F425), XLOOKUP(B425,Lookup!$A$14:$A$18,Lookup!$D$14:$D$18,,1)*SUM(E425:F425))</f>
        <v>0</v>
      </c>
      <c r="H425" s="61">
        <f t="array" ref="H425">if(YEAR(A425)=2025,XLOOKUP(B425,Lookup!$F$3:$F$10,Lookup!$G$3:$G$10,,1)*G425, XLOOKUP(B425,Lookup!$F$14:$F$21,Lookup!$G$14:$G$21,,1)*G425)</f>
        <v>0</v>
      </c>
      <c r="I425" s="61">
        <f t="array" ref="I425">if(B425&lt;55, if(YEAR(A425)=2025,XLOOKUP(B425,Lookup!$F$3:$F$10,Lookup!$H$3:$H$10,,1)*G425, XLOOKUP(B425,Lookup!$F$14:$F$21,Lookup!$H$14:$H$21,,1)*G425),0)</f>
        <v>0</v>
      </c>
      <c r="J425" s="61">
        <f t="array" ref="J425">if(YEAR(A425)=2025,XLOOKUP(B425,Lookup!$F$3:$F$10,Lookup!$I$3:$I$10,,1)*G425, XLOOKUP(B425,Lookup!$F$14:$F$21,Lookup!$I$14:$I$21,,1)*G425)</f>
        <v>0</v>
      </c>
      <c r="K425" s="61">
        <f t="array" ref="K425">if(B425&gt;54, if(YEAR(A425)=2025,XLOOKUP(B425,Lookup!$F$3:$F$10,Lookup!$H$3:$H$10,,1)*G425, XLOOKUP(B425,Lookup!$F$14:$F$21,Lookup!$H$14:$H$21,,1)*G425),0)</f>
        <v>0</v>
      </c>
      <c r="L425" s="62">
        <f>IF(and(A425&lt;questions!$C$19,questions!$C$18="yes"),questions!$C$20,0)</f>
        <v>0</v>
      </c>
      <c r="M425" s="63">
        <f>(Y424+H425)*Lookup!A$26/12</f>
        <v>1893.042246</v>
      </c>
      <c r="N425" s="63">
        <f>if(B425&lt;55, (Z424+I425)*Lookup!B$26/12, (AB424+K425)*Lookup!B$26/12)</f>
        <v>2782.764637</v>
      </c>
      <c r="O425" s="63">
        <f>(AA424+J425)*Lookup!C$26/12</f>
        <v>850.8936812</v>
      </c>
      <c r="P425" s="63">
        <f t="shared" si="8"/>
        <v>9465.211232</v>
      </c>
      <c r="Q425" s="63">
        <f t="shared" si="4"/>
        <v>13913.82318</v>
      </c>
      <c r="R425" s="63">
        <f t="shared" si="5"/>
        <v>4254.468406</v>
      </c>
      <c r="S425" s="64">
        <f t="shared" si="9"/>
        <v>33.33333333</v>
      </c>
      <c r="T425" s="64">
        <f t="shared" si="10"/>
        <v>41.66666667</v>
      </c>
      <c r="U425" s="64">
        <f t="shared" si="11"/>
        <v>0</v>
      </c>
      <c r="V425" s="64">
        <f t="shared" ref="V425:X425" si="433">IF(year($A425)=year($A424), V424+S425, S425)</f>
        <v>166.6666667</v>
      </c>
      <c r="W425" s="64">
        <f t="shared" si="433"/>
        <v>208.3333333</v>
      </c>
      <c r="X425" s="64">
        <f t="shared" si="433"/>
        <v>0</v>
      </c>
      <c r="Y425" s="65">
        <f>IFS(
  B425&lt;55,
    MAX(
      Y424 + IF(MONTH(A425)=12, P425+V425, 0) + H425 - L425
      + MAX(0,
          IF(AA424 &gt;= VLOOKUP(YEAR(A425), Lookup!$Q:$R, 2),
            Z424 + IF(MONTH(A425)=12, Q425+W425, 0) + I425
              + AA424 + IF(MONTH(A425)=12, R425+X425, 0)
              - VLOOKUP(YEAR(A425), Lookup!$Q:$R, 2) + J425,
            Z424 + IF(MONTH(A425)=12, Q425+W425, 0) + I425
          ) - VLOOKUP(YEAR(A425), Lookup!$K:$M, 3)
        ),
    0),
  B425=55,
    IF(Z424&gt;=AD425,
      MAX(Y424 + IF(MONTH(A425)=12, P425+V425, 0) + H425 - L425, 0),
      MAX(MAX(0, Y424-(AD425-Z424)) + IF(MONTH(A425)=12, P425+V425, 0) + H425 - L425, 0)
    ),
  B425&gt;55,
    IF(AB424&gt;=$AH$7,
      MAX(Y424 + IF(MONTH(A425)=12, P425+V425, 0) + H425 - L425 + K425 + Z424, 0),
      MAX(Y424 + IF(MONTH(A425)=12, P425+V425, 0) + H425 - L425, 0)
    )
)</f>
        <v>908660.2783</v>
      </c>
      <c r="Z425" s="65">
        <f>IFS(
  B425&lt;55,
    MIN(
      IF(AA424 &gt;= VLOOKUP(YEAR(A425), Lookup!$Q:$R, 2),
        Z424 + IF(MONTH(A425)=12, Q425+W425, 0) + I425
          + AA424 + IF(MONTH(A425)=12, R425+X425, 0) - VLOOKUP(YEAR(A425), Lookup!$Q:$R, 2) + J425,
        Z424 + IF(MONTH(A425)=12, Q425+W425, 0) + I425
      ),
      VLOOKUP(YEAR(A425), Lookup!$K:$M, 3)
    ),
  B425=55,
    IF(Z424 &gt;= AD425, Z424 - AD425, 0),
  B425&gt;55, 0
)</f>
        <v>0</v>
      </c>
      <c r="AA425" s="65">
        <f>IFS(
  B425&lt;65,
    IF(AA424+J425 &lt; VLOOKUP(YEAR(A425), Lookup!$Q:$R, 2),
      AA424 + IF(MONTH(A425)=12, R424+X424, 0) + J425,
      MIN(
        AA424 + IF(MONTH(A425)=12, R424+X424, 0) + J425 ,
        VLOOKUP(YEAR(A425), Lookup!$Q:$R, 2)
      )
    ),
  B425&gt;=65,
    IF(AA424+J425 &lt; VLOOKUP(questions!$C$5, Lookup!$Q:$R, 2),
      AA424 + IF(MONTH(A425)=12, R424+X424, 0) + J425 ,
      MIN(
        AA424 + IF(MONTH(A425)=12, R424+X424, 0) + J425,
        VLOOKUP(questions!$C$5, Lookup!$Q:$R, 2)
      )
    )
)</f>
        <v>255268.1044</v>
      </c>
      <c r="AB425" s="65">
        <f t="shared" si="13"/>
        <v>834829.3911</v>
      </c>
      <c r="AC425" s="66">
        <f t="array" ref="AC425">IFS(B425&lt;66, XLOOKUP(year(A425),Lookup!$K$13:$K1000,Lookup!$L$13:$L1000,"missing",,1),B425&gt;65,XLOOKUP(questions!$C$5,Lookup!$K$13:$K1000,Lookup!$L$13:$L1000,"missing",,1))</f>
        <v>367500.1641</v>
      </c>
      <c r="AD425" s="66">
        <f t="array" ref="AD425">IFS(B425&lt;66, XLOOKUP(year(A425),Lookup!$K$13:$K1000,Lookup!$M$13:$M1000,"missing",,1),B425&gt;65, XLOOKUP(questions!$C$5,Lookup!$K$13:$K1000,Lookup!$M$13:$M1000,"missing",,1))</f>
        <v>735000.3283</v>
      </c>
      <c r="AE425" s="66">
        <f t="array" ref="AE425">IFS(B425&lt;66, XLOOKUP(year(A425),Lookup!$K$13:$K1000,Lookup!$N$13:$N1000,"missing",,1),B425&gt;65,XLOOKUP(questions!$C$5,Lookup!$K$13:$K1000,Lookup!$N$13:$N1000,"missing",,1))</f>
        <v>1470000.657</v>
      </c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</row>
    <row r="426">
      <c r="A426" s="55">
        <f t="shared" si="7"/>
        <v>58987</v>
      </c>
      <c r="B426" s="56">
        <f>round(YEARFRAC(EOMONTH(questions!$C$3, 0),A426,1),2)</f>
        <v>62.58</v>
      </c>
      <c r="C426" s="58">
        <f>IF(B426&lt;questions!$C$6,if(MONTH(A426)=1,C425*(1+questions!$C$12),C425),0)</f>
        <v>0</v>
      </c>
      <c r="D426" s="58">
        <f>IF(MONTH(A426)=12,C426*questions!$C$11,0)</f>
        <v>0</v>
      </c>
      <c r="E426" s="71">
        <f t="shared" si="2"/>
        <v>0</v>
      </c>
      <c r="F426" s="71">
        <f t="shared" si="3"/>
        <v>0</v>
      </c>
      <c r="G426" s="61">
        <f t="array" ref="G426">if(YEAR(A426)=2025,XLOOKUP(B426,Lookup!$A$3:$A$7,Lookup!$D$3:$D$7,,1)*SUM(E426:F426), XLOOKUP(B426,Lookup!$A$14:$A$18,Lookup!$D$14:$D$18,,1)*SUM(E426:F426))</f>
        <v>0</v>
      </c>
      <c r="H426" s="61">
        <f t="array" ref="H426">if(YEAR(A426)=2025,XLOOKUP(B426,Lookup!$F$3:$F$10,Lookup!$G$3:$G$10,,1)*G426, XLOOKUP(B426,Lookup!$F$14:$F$21,Lookup!$G$14:$G$21,,1)*G426)</f>
        <v>0</v>
      </c>
      <c r="I426" s="61">
        <f t="array" ref="I426">if(B426&lt;55, if(YEAR(A426)=2025,XLOOKUP(B426,Lookup!$F$3:$F$10,Lookup!$H$3:$H$10,,1)*G426, XLOOKUP(B426,Lookup!$F$14:$F$21,Lookup!$H$14:$H$21,,1)*G426),0)</f>
        <v>0</v>
      </c>
      <c r="J426" s="61">
        <f t="array" ref="J426">if(YEAR(A426)=2025,XLOOKUP(B426,Lookup!$F$3:$F$10,Lookup!$I$3:$I$10,,1)*G426, XLOOKUP(B426,Lookup!$F$14:$F$21,Lookup!$I$14:$I$21,,1)*G426)</f>
        <v>0</v>
      </c>
      <c r="K426" s="61">
        <f t="array" ref="K426">if(B426&gt;54, if(YEAR(A426)=2025,XLOOKUP(B426,Lookup!$F$3:$F$10,Lookup!$H$3:$H$10,,1)*G426, XLOOKUP(B426,Lookup!$F$14:$F$21,Lookup!$H$14:$H$21,,1)*G426),0)</f>
        <v>0</v>
      </c>
      <c r="L426" s="62">
        <f>IF(and(A426&lt;questions!$C$19,questions!$C$18="yes"),questions!$C$20,0)</f>
        <v>0</v>
      </c>
      <c r="M426" s="63">
        <f>(Y425+H426)*Lookup!A$26/12</f>
        <v>1893.042246</v>
      </c>
      <c r="N426" s="63">
        <f>if(B426&lt;55, (Z425+I426)*Lookup!B$26/12, (AB425+K426)*Lookup!B$26/12)</f>
        <v>2782.764637</v>
      </c>
      <c r="O426" s="63">
        <f>(AA425+J426)*Lookup!C$26/12</f>
        <v>850.8936812</v>
      </c>
      <c r="P426" s="63">
        <f t="shared" si="8"/>
        <v>11358.25348</v>
      </c>
      <c r="Q426" s="63">
        <f t="shared" si="4"/>
        <v>16696.58782</v>
      </c>
      <c r="R426" s="63">
        <f t="shared" si="5"/>
        <v>5105.362087</v>
      </c>
      <c r="S426" s="64">
        <f t="shared" si="9"/>
        <v>33.33333333</v>
      </c>
      <c r="T426" s="64">
        <f t="shared" si="10"/>
        <v>41.66666667</v>
      </c>
      <c r="U426" s="64">
        <f t="shared" si="11"/>
        <v>0</v>
      </c>
      <c r="V426" s="64">
        <f t="shared" ref="V426:X426" si="434">IF(year($A426)=year($A425), V425+S426, S426)</f>
        <v>200</v>
      </c>
      <c r="W426" s="64">
        <f t="shared" si="434"/>
        <v>250</v>
      </c>
      <c r="X426" s="64">
        <f t="shared" si="434"/>
        <v>0</v>
      </c>
      <c r="Y426" s="65">
        <f>IFS(
  B426&lt;55,
    MAX(
      Y425 + IF(MONTH(A426)=12, P426+V426, 0) + H426 - L426
      + MAX(0,
          IF(AA425 &gt;= VLOOKUP(YEAR(A426), Lookup!$Q:$R, 2),
            Z425 + IF(MONTH(A426)=12, Q426+W426, 0) + I426
              + AA425 + IF(MONTH(A426)=12, R426+X426, 0)
              - VLOOKUP(YEAR(A426), Lookup!$Q:$R, 2) + J426,
            Z425 + IF(MONTH(A426)=12, Q426+W426, 0) + I426
          ) - VLOOKUP(YEAR(A426), Lookup!$K:$M, 3)
        ),
    0),
  B426=55,
    IF(Z425&gt;=AD426,
      MAX(Y425 + IF(MONTH(A426)=12, P426+V426, 0) + H426 - L426, 0),
      MAX(MAX(0, Y425-(AD426-Z425)) + IF(MONTH(A426)=12, P426+V426, 0) + H426 - L426, 0)
    ),
  B426&gt;55,
    IF(AB425&gt;=$AH$7,
      MAX(Y425 + IF(MONTH(A426)=12, P426+V426, 0) + H426 - L426 + K426 + Z425, 0),
      MAX(Y425 + IF(MONTH(A426)=12, P426+V426, 0) + H426 - L426, 0)
    )
)</f>
        <v>908660.2783</v>
      </c>
      <c r="Z426" s="65">
        <f>IFS(
  B426&lt;55,
    MIN(
      IF(AA425 &gt;= VLOOKUP(YEAR(A426), Lookup!$Q:$R, 2),
        Z425 + IF(MONTH(A426)=12, Q426+W426, 0) + I426
          + AA425 + IF(MONTH(A426)=12, R426+X426, 0) - VLOOKUP(YEAR(A426), Lookup!$Q:$R, 2) + J426,
        Z425 + IF(MONTH(A426)=12, Q426+W426, 0) + I426
      ),
      VLOOKUP(YEAR(A426), Lookup!$K:$M, 3)
    ),
  B426=55,
    IF(Z425 &gt;= AD426, Z425 - AD426, 0),
  B426&gt;55, 0
)</f>
        <v>0</v>
      </c>
      <c r="AA426" s="65">
        <f>IFS(
  B426&lt;65,
    IF(AA425+J426 &lt; VLOOKUP(YEAR(A426), Lookup!$Q:$R, 2),
      AA425 + IF(MONTH(A426)=12, R425+X425, 0) + J426,
      MIN(
        AA425 + IF(MONTH(A426)=12, R425+X425, 0) + J426 ,
        VLOOKUP(YEAR(A426), Lookup!$Q:$R, 2)
      )
    ),
  B426&gt;=65,
    IF(AA425+J426 &lt; VLOOKUP(questions!$C$5, Lookup!$Q:$R, 2),
      AA425 + IF(MONTH(A426)=12, R425+X425, 0) + J426 ,
      MIN(
        AA425 + IF(MONTH(A426)=12, R425+X425, 0) + J426,
        VLOOKUP(questions!$C$5, Lookup!$Q:$R, 2)
      )
    )
)</f>
        <v>255268.1044</v>
      </c>
      <c r="AB426" s="65">
        <f t="shared" si="13"/>
        <v>834829.3911</v>
      </c>
      <c r="AC426" s="66">
        <f t="array" ref="AC426">IFS(B426&lt;66, XLOOKUP(year(A426),Lookup!$K$13:$K1000,Lookup!$L$13:$L1000,"missing",,1),B426&gt;65,XLOOKUP(questions!$C$5,Lookup!$K$13:$K1000,Lookup!$L$13:$L1000,"missing",,1))</f>
        <v>367500.1641</v>
      </c>
      <c r="AD426" s="66">
        <f t="array" ref="AD426">IFS(B426&lt;66, XLOOKUP(year(A426),Lookup!$K$13:$K1000,Lookup!$M$13:$M1000,"missing",,1),B426&gt;65, XLOOKUP(questions!$C$5,Lookup!$K$13:$K1000,Lookup!$M$13:$M1000,"missing",,1))</f>
        <v>735000.3283</v>
      </c>
      <c r="AE426" s="66">
        <f t="array" ref="AE426">IFS(B426&lt;66, XLOOKUP(year(A426),Lookup!$K$13:$K1000,Lookup!$N$13:$N1000,"missing",,1),B426&gt;65,XLOOKUP(questions!$C$5,Lookup!$K$13:$K1000,Lookup!$N$13:$N1000,"missing",,1))</f>
        <v>1470000.657</v>
      </c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</row>
    <row r="427">
      <c r="A427" s="55">
        <f t="shared" si="7"/>
        <v>59018</v>
      </c>
      <c r="B427" s="56">
        <f>round(YEARFRAC(EOMONTH(questions!$C$3, 0),A427,1),2)</f>
        <v>62.67</v>
      </c>
      <c r="C427" s="58">
        <f>IF(B427&lt;questions!$C$6,if(MONTH(A427)=1,C426*(1+questions!$C$12),C426),0)</f>
        <v>0</v>
      </c>
      <c r="D427" s="58">
        <f>IF(MONTH(A427)=12,C427*questions!$C$11,0)</f>
        <v>0</v>
      </c>
      <c r="E427" s="71">
        <f t="shared" si="2"/>
        <v>0</v>
      </c>
      <c r="F427" s="71">
        <f t="shared" si="3"/>
        <v>0</v>
      </c>
      <c r="G427" s="61">
        <f t="array" ref="G427">if(YEAR(A427)=2025,XLOOKUP(B427,Lookup!$A$3:$A$7,Lookup!$D$3:$D$7,,1)*SUM(E427:F427), XLOOKUP(B427,Lookup!$A$14:$A$18,Lookup!$D$14:$D$18,,1)*SUM(E427:F427))</f>
        <v>0</v>
      </c>
      <c r="H427" s="61">
        <f t="array" ref="H427">if(YEAR(A427)=2025,XLOOKUP(B427,Lookup!$F$3:$F$10,Lookup!$G$3:$G$10,,1)*G427, XLOOKUP(B427,Lookup!$F$14:$F$21,Lookup!$G$14:$G$21,,1)*G427)</f>
        <v>0</v>
      </c>
      <c r="I427" s="61">
        <f t="array" ref="I427">if(B427&lt;55, if(YEAR(A427)=2025,XLOOKUP(B427,Lookup!$F$3:$F$10,Lookup!$H$3:$H$10,,1)*G427, XLOOKUP(B427,Lookup!$F$14:$F$21,Lookup!$H$14:$H$21,,1)*G427),0)</f>
        <v>0</v>
      </c>
      <c r="J427" s="61">
        <f t="array" ref="J427">if(YEAR(A427)=2025,XLOOKUP(B427,Lookup!$F$3:$F$10,Lookup!$I$3:$I$10,,1)*G427, XLOOKUP(B427,Lookup!$F$14:$F$21,Lookup!$I$14:$I$21,,1)*G427)</f>
        <v>0</v>
      </c>
      <c r="K427" s="61">
        <f t="array" ref="K427">if(B427&gt;54, if(YEAR(A427)=2025,XLOOKUP(B427,Lookup!$F$3:$F$10,Lookup!$H$3:$H$10,,1)*G427, XLOOKUP(B427,Lookup!$F$14:$F$21,Lookup!$H$14:$H$21,,1)*G427),0)</f>
        <v>0</v>
      </c>
      <c r="L427" s="62">
        <f>IF(and(A427&lt;questions!$C$19,questions!$C$18="yes"),questions!$C$20,0)</f>
        <v>0</v>
      </c>
      <c r="M427" s="63">
        <f>(Y426+H427)*Lookup!A$26/12</f>
        <v>1893.042246</v>
      </c>
      <c r="N427" s="63">
        <f>if(B427&lt;55, (Z426+I427)*Lookup!B$26/12, (AB426+K427)*Lookup!B$26/12)</f>
        <v>2782.764637</v>
      </c>
      <c r="O427" s="63">
        <f>(AA426+J427)*Lookup!C$26/12</f>
        <v>850.8936812</v>
      </c>
      <c r="P427" s="63">
        <f t="shared" si="8"/>
        <v>13251.29572</v>
      </c>
      <c r="Q427" s="63">
        <f t="shared" si="4"/>
        <v>19479.35246</v>
      </c>
      <c r="R427" s="63">
        <f t="shared" si="5"/>
        <v>5956.255768</v>
      </c>
      <c r="S427" s="64">
        <f t="shared" si="9"/>
        <v>33.33333333</v>
      </c>
      <c r="T427" s="64">
        <f t="shared" si="10"/>
        <v>41.66666667</v>
      </c>
      <c r="U427" s="64">
        <f t="shared" si="11"/>
        <v>0</v>
      </c>
      <c r="V427" s="64">
        <f t="shared" ref="V427:X427" si="435">IF(year($A427)=year($A426), V426+S427, S427)</f>
        <v>233.3333333</v>
      </c>
      <c r="W427" s="64">
        <f t="shared" si="435"/>
        <v>291.6666667</v>
      </c>
      <c r="X427" s="64">
        <f t="shared" si="435"/>
        <v>0</v>
      </c>
      <c r="Y427" s="65">
        <f>IFS(
  B427&lt;55,
    MAX(
      Y426 + IF(MONTH(A427)=12, P427+V427, 0) + H427 - L427
      + MAX(0,
          IF(AA426 &gt;= VLOOKUP(YEAR(A427), Lookup!$Q:$R, 2),
            Z426 + IF(MONTH(A427)=12, Q427+W427, 0) + I427
              + AA426 + IF(MONTH(A427)=12, R427+X427, 0)
              - VLOOKUP(YEAR(A427), Lookup!$Q:$R, 2) + J427,
            Z426 + IF(MONTH(A427)=12, Q427+W427, 0) + I427
          ) - VLOOKUP(YEAR(A427), Lookup!$K:$M, 3)
        ),
    0),
  B427=55,
    IF(Z426&gt;=AD427,
      MAX(Y426 + IF(MONTH(A427)=12, P427+V427, 0) + H427 - L427, 0),
      MAX(MAX(0, Y426-(AD427-Z426)) + IF(MONTH(A427)=12, P427+V427, 0) + H427 - L427, 0)
    ),
  B427&gt;55,
    IF(AB426&gt;=$AH$7,
      MAX(Y426 + IF(MONTH(A427)=12, P427+V427, 0) + H427 - L427 + K427 + Z426, 0),
      MAX(Y426 + IF(MONTH(A427)=12, P427+V427, 0) + H427 - L427, 0)
    )
)</f>
        <v>908660.2783</v>
      </c>
      <c r="Z427" s="65">
        <f>IFS(
  B427&lt;55,
    MIN(
      IF(AA426 &gt;= VLOOKUP(YEAR(A427), Lookup!$Q:$R, 2),
        Z426 + IF(MONTH(A427)=12, Q427+W427, 0) + I427
          + AA426 + IF(MONTH(A427)=12, R427+X427, 0) - VLOOKUP(YEAR(A427), Lookup!$Q:$R, 2) + J427,
        Z426 + IF(MONTH(A427)=12, Q427+W427, 0) + I427
      ),
      VLOOKUP(YEAR(A427), Lookup!$K:$M, 3)
    ),
  B427=55,
    IF(Z426 &gt;= AD427, Z426 - AD427, 0),
  B427&gt;55, 0
)</f>
        <v>0</v>
      </c>
      <c r="AA427" s="65">
        <f>IFS(
  B427&lt;65,
    IF(AA426+J427 &lt; VLOOKUP(YEAR(A427), Lookup!$Q:$R, 2),
      AA426 + IF(MONTH(A427)=12, R426+X426, 0) + J427,
      MIN(
        AA426 + IF(MONTH(A427)=12, R426+X426, 0) + J427 ,
        VLOOKUP(YEAR(A427), Lookup!$Q:$R, 2)
      )
    ),
  B427&gt;=65,
    IF(AA426+J427 &lt; VLOOKUP(questions!$C$5, Lookup!$Q:$R, 2),
      AA426 + IF(MONTH(A427)=12, R426+X426, 0) + J427 ,
      MIN(
        AA426 + IF(MONTH(A427)=12, R426+X426, 0) + J427,
        VLOOKUP(questions!$C$5, Lookup!$Q:$R, 2)
      )
    )
)</f>
        <v>255268.1044</v>
      </c>
      <c r="AB427" s="65">
        <f t="shared" si="13"/>
        <v>834829.3911</v>
      </c>
      <c r="AC427" s="66">
        <f t="array" ref="AC427">IFS(B427&lt;66, XLOOKUP(year(A427),Lookup!$K$13:$K1000,Lookup!$L$13:$L1000,"missing",,1),B427&gt;65,XLOOKUP(questions!$C$5,Lookup!$K$13:$K1000,Lookup!$L$13:$L1000,"missing",,1))</f>
        <v>367500.1641</v>
      </c>
      <c r="AD427" s="66">
        <f t="array" ref="AD427">IFS(B427&lt;66, XLOOKUP(year(A427),Lookup!$K$13:$K1000,Lookup!$M$13:$M1000,"missing",,1),B427&gt;65, XLOOKUP(questions!$C$5,Lookup!$K$13:$K1000,Lookup!$M$13:$M1000,"missing",,1))</f>
        <v>735000.3283</v>
      </c>
      <c r="AE427" s="66">
        <f t="array" ref="AE427">IFS(B427&lt;66, XLOOKUP(year(A427),Lookup!$K$13:$K1000,Lookup!$N$13:$N1000,"missing",,1),B427&gt;65,XLOOKUP(questions!$C$5,Lookup!$K$13:$K1000,Lookup!$N$13:$N1000,"missing",,1))</f>
        <v>1470000.657</v>
      </c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</row>
    <row r="428">
      <c r="A428" s="55">
        <f t="shared" si="7"/>
        <v>59049</v>
      </c>
      <c r="B428" s="56">
        <f>round(YEARFRAC(EOMONTH(questions!$C$3, 0),A428,1),2)</f>
        <v>62.75</v>
      </c>
      <c r="C428" s="58">
        <f>IF(B428&lt;questions!$C$6,if(MONTH(A428)=1,C427*(1+questions!$C$12),C427),0)</f>
        <v>0</v>
      </c>
      <c r="D428" s="58">
        <f>IF(MONTH(A428)=12,C428*questions!$C$11,0)</f>
        <v>0</v>
      </c>
      <c r="E428" s="71">
        <f t="shared" si="2"/>
        <v>0</v>
      </c>
      <c r="F428" s="71">
        <f t="shared" si="3"/>
        <v>0</v>
      </c>
      <c r="G428" s="61">
        <f t="array" ref="G428">if(YEAR(A428)=2025,XLOOKUP(B428,Lookup!$A$3:$A$7,Lookup!$D$3:$D$7,,1)*SUM(E428:F428), XLOOKUP(B428,Lookup!$A$14:$A$18,Lookup!$D$14:$D$18,,1)*SUM(E428:F428))</f>
        <v>0</v>
      </c>
      <c r="H428" s="61">
        <f t="array" ref="H428">if(YEAR(A428)=2025,XLOOKUP(B428,Lookup!$F$3:$F$10,Lookup!$G$3:$G$10,,1)*G428, XLOOKUP(B428,Lookup!$F$14:$F$21,Lookup!$G$14:$G$21,,1)*G428)</f>
        <v>0</v>
      </c>
      <c r="I428" s="61">
        <f t="array" ref="I428">if(B428&lt;55, if(YEAR(A428)=2025,XLOOKUP(B428,Lookup!$F$3:$F$10,Lookup!$H$3:$H$10,,1)*G428, XLOOKUP(B428,Lookup!$F$14:$F$21,Lookup!$H$14:$H$21,,1)*G428),0)</f>
        <v>0</v>
      </c>
      <c r="J428" s="61">
        <f t="array" ref="J428">if(YEAR(A428)=2025,XLOOKUP(B428,Lookup!$F$3:$F$10,Lookup!$I$3:$I$10,,1)*G428, XLOOKUP(B428,Lookup!$F$14:$F$21,Lookup!$I$14:$I$21,,1)*G428)</f>
        <v>0</v>
      </c>
      <c r="K428" s="61">
        <f t="array" ref="K428">if(B428&gt;54, if(YEAR(A428)=2025,XLOOKUP(B428,Lookup!$F$3:$F$10,Lookup!$H$3:$H$10,,1)*G428, XLOOKUP(B428,Lookup!$F$14:$F$21,Lookup!$H$14:$H$21,,1)*G428),0)</f>
        <v>0</v>
      </c>
      <c r="L428" s="62">
        <f>IF(and(A428&lt;questions!$C$19,questions!$C$18="yes"),questions!$C$20,0)</f>
        <v>0</v>
      </c>
      <c r="M428" s="63">
        <f>(Y427+H428)*Lookup!A$26/12</f>
        <v>1893.042246</v>
      </c>
      <c r="N428" s="63">
        <f>if(B428&lt;55, (Z427+I428)*Lookup!B$26/12, (AB427+K428)*Lookup!B$26/12)</f>
        <v>2782.764637</v>
      </c>
      <c r="O428" s="63">
        <f>(AA427+J428)*Lookup!C$26/12</f>
        <v>850.8936812</v>
      </c>
      <c r="P428" s="63">
        <f t="shared" si="8"/>
        <v>15144.33797</v>
      </c>
      <c r="Q428" s="63">
        <f t="shared" si="4"/>
        <v>22262.1171</v>
      </c>
      <c r="R428" s="63">
        <f t="shared" si="5"/>
        <v>6807.149449</v>
      </c>
      <c r="S428" s="64">
        <f t="shared" si="9"/>
        <v>33.33333333</v>
      </c>
      <c r="T428" s="64">
        <f t="shared" si="10"/>
        <v>41.66666667</v>
      </c>
      <c r="U428" s="64">
        <f t="shared" si="11"/>
        <v>0</v>
      </c>
      <c r="V428" s="64">
        <f t="shared" ref="V428:X428" si="436">IF(year($A428)=year($A427), V427+S428, S428)</f>
        <v>266.6666667</v>
      </c>
      <c r="W428" s="64">
        <f t="shared" si="436"/>
        <v>333.3333333</v>
      </c>
      <c r="X428" s="64">
        <f t="shared" si="436"/>
        <v>0</v>
      </c>
      <c r="Y428" s="65">
        <f>IFS(
  B428&lt;55,
    MAX(
      Y427 + IF(MONTH(A428)=12, P428+V428, 0) + H428 - L428
      + MAX(0,
          IF(AA427 &gt;= VLOOKUP(YEAR(A428), Lookup!$Q:$R, 2),
            Z427 + IF(MONTH(A428)=12, Q428+W428, 0) + I428
              + AA427 + IF(MONTH(A428)=12, R428+X428, 0)
              - VLOOKUP(YEAR(A428), Lookup!$Q:$R, 2) + J428,
            Z427 + IF(MONTH(A428)=12, Q428+W428, 0) + I428
          ) - VLOOKUP(YEAR(A428), Lookup!$K:$M, 3)
        ),
    0),
  B428=55,
    IF(Z427&gt;=AD428,
      MAX(Y427 + IF(MONTH(A428)=12, P428+V428, 0) + H428 - L428, 0),
      MAX(MAX(0, Y427-(AD428-Z427)) + IF(MONTH(A428)=12, P428+V428, 0) + H428 - L428, 0)
    ),
  B428&gt;55,
    IF(AB427&gt;=$AH$7,
      MAX(Y427 + IF(MONTH(A428)=12, P428+V428, 0) + H428 - L428 + K428 + Z427, 0),
      MAX(Y427 + IF(MONTH(A428)=12, P428+V428, 0) + H428 - L428, 0)
    )
)</f>
        <v>908660.2783</v>
      </c>
      <c r="Z428" s="65">
        <f>IFS(
  B428&lt;55,
    MIN(
      IF(AA427 &gt;= VLOOKUP(YEAR(A428), Lookup!$Q:$R, 2),
        Z427 + IF(MONTH(A428)=12, Q428+W428, 0) + I428
          + AA427 + IF(MONTH(A428)=12, R428+X428, 0) - VLOOKUP(YEAR(A428), Lookup!$Q:$R, 2) + J428,
        Z427 + IF(MONTH(A428)=12, Q428+W428, 0) + I428
      ),
      VLOOKUP(YEAR(A428), Lookup!$K:$M, 3)
    ),
  B428=55,
    IF(Z427 &gt;= AD428, Z427 - AD428, 0),
  B428&gt;55, 0
)</f>
        <v>0</v>
      </c>
      <c r="AA428" s="65">
        <f>IFS(
  B428&lt;65,
    IF(AA427+J428 &lt; VLOOKUP(YEAR(A428), Lookup!$Q:$R, 2),
      AA427 + IF(MONTH(A428)=12, R427+X427, 0) + J428,
      MIN(
        AA427 + IF(MONTH(A428)=12, R427+X427, 0) + J428 ,
        VLOOKUP(YEAR(A428), Lookup!$Q:$R, 2)
      )
    ),
  B428&gt;=65,
    IF(AA427+J428 &lt; VLOOKUP(questions!$C$5, Lookup!$Q:$R, 2),
      AA427 + IF(MONTH(A428)=12, R427+X427, 0) + J428 ,
      MIN(
        AA427 + IF(MONTH(A428)=12, R427+X427, 0) + J428,
        VLOOKUP(questions!$C$5, Lookup!$Q:$R, 2)
      )
    )
)</f>
        <v>255268.1044</v>
      </c>
      <c r="AB428" s="65">
        <f t="shared" si="13"/>
        <v>834829.3911</v>
      </c>
      <c r="AC428" s="66">
        <f t="array" ref="AC428">IFS(B428&lt;66, XLOOKUP(year(A428),Lookup!$K$13:$K1000,Lookup!$L$13:$L1000,"missing",,1),B428&gt;65,XLOOKUP(questions!$C$5,Lookup!$K$13:$K1000,Lookup!$L$13:$L1000,"missing",,1))</f>
        <v>367500.1641</v>
      </c>
      <c r="AD428" s="66">
        <f t="array" ref="AD428">IFS(B428&lt;66, XLOOKUP(year(A428),Lookup!$K$13:$K1000,Lookup!$M$13:$M1000,"missing",,1),B428&gt;65, XLOOKUP(questions!$C$5,Lookup!$K$13:$K1000,Lookup!$M$13:$M1000,"missing",,1))</f>
        <v>735000.3283</v>
      </c>
      <c r="AE428" s="66">
        <f t="array" ref="AE428">IFS(B428&lt;66, XLOOKUP(year(A428),Lookup!$K$13:$K1000,Lookup!$N$13:$N1000,"missing",,1),B428&gt;65,XLOOKUP(questions!$C$5,Lookup!$K$13:$K1000,Lookup!$N$13:$N1000,"missing",,1))</f>
        <v>1470000.657</v>
      </c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</row>
    <row r="429">
      <c r="A429" s="55">
        <f t="shared" si="7"/>
        <v>59079</v>
      </c>
      <c r="B429" s="56">
        <f>round(YEARFRAC(EOMONTH(questions!$C$3, 0),A429,1),2)</f>
        <v>62.83</v>
      </c>
      <c r="C429" s="58">
        <f>IF(B429&lt;questions!$C$6,if(MONTH(A429)=1,C428*(1+questions!$C$12),C428),0)</f>
        <v>0</v>
      </c>
      <c r="D429" s="58">
        <f>IF(MONTH(A429)=12,C429*questions!$C$11,0)</f>
        <v>0</v>
      </c>
      <c r="E429" s="71">
        <f t="shared" si="2"/>
        <v>0</v>
      </c>
      <c r="F429" s="71">
        <f t="shared" si="3"/>
        <v>0</v>
      </c>
      <c r="G429" s="61">
        <f t="array" ref="G429">if(YEAR(A429)=2025,XLOOKUP(B429,Lookup!$A$3:$A$7,Lookup!$D$3:$D$7,,1)*SUM(E429:F429), XLOOKUP(B429,Lookup!$A$14:$A$18,Lookup!$D$14:$D$18,,1)*SUM(E429:F429))</f>
        <v>0</v>
      </c>
      <c r="H429" s="61">
        <f t="array" ref="H429">if(YEAR(A429)=2025,XLOOKUP(B429,Lookup!$F$3:$F$10,Lookup!$G$3:$G$10,,1)*G429, XLOOKUP(B429,Lookup!$F$14:$F$21,Lookup!$G$14:$G$21,,1)*G429)</f>
        <v>0</v>
      </c>
      <c r="I429" s="61">
        <f t="array" ref="I429">if(B429&lt;55, if(YEAR(A429)=2025,XLOOKUP(B429,Lookup!$F$3:$F$10,Lookup!$H$3:$H$10,,1)*G429, XLOOKUP(B429,Lookup!$F$14:$F$21,Lookup!$H$14:$H$21,,1)*G429),0)</f>
        <v>0</v>
      </c>
      <c r="J429" s="61">
        <f t="array" ref="J429">if(YEAR(A429)=2025,XLOOKUP(B429,Lookup!$F$3:$F$10,Lookup!$I$3:$I$10,,1)*G429, XLOOKUP(B429,Lookup!$F$14:$F$21,Lookup!$I$14:$I$21,,1)*G429)</f>
        <v>0</v>
      </c>
      <c r="K429" s="61">
        <f t="array" ref="K429">if(B429&gt;54, if(YEAR(A429)=2025,XLOOKUP(B429,Lookup!$F$3:$F$10,Lookup!$H$3:$H$10,,1)*G429, XLOOKUP(B429,Lookup!$F$14:$F$21,Lookup!$H$14:$H$21,,1)*G429),0)</f>
        <v>0</v>
      </c>
      <c r="L429" s="62">
        <f>IF(and(A429&lt;questions!$C$19,questions!$C$18="yes"),questions!$C$20,0)</f>
        <v>0</v>
      </c>
      <c r="M429" s="63">
        <f>(Y428+H429)*Lookup!A$26/12</f>
        <v>1893.042246</v>
      </c>
      <c r="N429" s="63">
        <f>if(B429&lt;55, (Z428+I429)*Lookup!B$26/12, (AB428+K429)*Lookup!B$26/12)</f>
        <v>2782.764637</v>
      </c>
      <c r="O429" s="63">
        <f>(AA428+J429)*Lookup!C$26/12</f>
        <v>850.8936812</v>
      </c>
      <c r="P429" s="63">
        <f t="shared" si="8"/>
        <v>17037.38022</v>
      </c>
      <c r="Q429" s="63">
        <f t="shared" si="4"/>
        <v>25044.88173</v>
      </c>
      <c r="R429" s="63">
        <f t="shared" si="5"/>
        <v>7658.043131</v>
      </c>
      <c r="S429" s="64">
        <f t="shared" si="9"/>
        <v>33.33333333</v>
      </c>
      <c r="T429" s="64">
        <f t="shared" si="10"/>
        <v>41.66666667</v>
      </c>
      <c r="U429" s="64">
        <f t="shared" si="11"/>
        <v>0</v>
      </c>
      <c r="V429" s="64">
        <f t="shared" ref="V429:X429" si="437">IF(year($A429)=year($A428), V428+S429, S429)</f>
        <v>300</v>
      </c>
      <c r="W429" s="64">
        <f t="shared" si="437"/>
        <v>375</v>
      </c>
      <c r="X429" s="64">
        <f t="shared" si="437"/>
        <v>0</v>
      </c>
      <c r="Y429" s="65">
        <f>IFS(
  B429&lt;55,
    MAX(
      Y428 + IF(MONTH(A429)=12, P429+V429, 0) + H429 - L429
      + MAX(0,
          IF(AA428 &gt;= VLOOKUP(YEAR(A429), Lookup!$Q:$R, 2),
            Z428 + IF(MONTH(A429)=12, Q429+W429, 0) + I429
              + AA428 + IF(MONTH(A429)=12, R429+X429, 0)
              - VLOOKUP(YEAR(A429), Lookup!$Q:$R, 2) + J429,
            Z428 + IF(MONTH(A429)=12, Q429+W429, 0) + I429
          ) - VLOOKUP(YEAR(A429), Lookup!$K:$M, 3)
        ),
    0),
  B429=55,
    IF(Z428&gt;=AD429,
      MAX(Y428 + IF(MONTH(A429)=12, P429+V429, 0) + H429 - L429, 0),
      MAX(MAX(0, Y428-(AD429-Z428)) + IF(MONTH(A429)=12, P429+V429, 0) + H429 - L429, 0)
    ),
  B429&gt;55,
    IF(AB428&gt;=$AH$7,
      MAX(Y428 + IF(MONTH(A429)=12, P429+V429, 0) + H429 - L429 + K429 + Z428, 0),
      MAX(Y428 + IF(MONTH(A429)=12, P429+V429, 0) + H429 - L429, 0)
    )
)</f>
        <v>908660.2783</v>
      </c>
      <c r="Z429" s="65">
        <f>IFS(
  B429&lt;55,
    MIN(
      IF(AA428 &gt;= VLOOKUP(YEAR(A429), Lookup!$Q:$R, 2),
        Z428 + IF(MONTH(A429)=12, Q429+W429, 0) + I429
          + AA428 + IF(MONTH(A429)=12, R429+X429, 0) - VLOOKUP(YEAR(A429), Lookup!$Q:$R, 2) + J429,
        Z428 + IF(MONTH(A429)=12, Q429+W429, 0) + I429
      ),
      VLOOKUP(YEAR(A429), Lookup!$K:$M, 3)
    ),
  B429=55,
    IF(Z428 &gt;= AD429, Z428 - AD429, 0),
  B429&gt;55, 0
)</f>
        <v>0</v>
      </c>
      <c r="AA429" s="65">
        <f>IFS(
  B429&lt;65,
    IF(AA428+J429 &lt; VLOOKUP(YEAR(A429), Lookup!$Q:$R, 2),
      AA428 + IF(MONTH(A429)=12, R428+X428, 0) + J429,
      MIN(
        AA428 + IF(MONTH(A429)=12, R428+X428, 0) + J429 ,
        VLOOKUP(YEAR(A429), Lookup!$Q:$R, 2)
      )
    ),
  B429&gt;=65,
    IF(AA428+J429 &lt; VLOOKUP(questions!$C$5, Lookup!$Q:$R, 2),
      AA428 + IF(MONTH(A429)=12, R428+X428, 0) + J429 ,
      MIN(
        AA428 + IF(MONTH(A429)=12, R428+X428, 0) + J429,
        VLOOKUP(questions!$C$5, Lookup!$Q:$R, 2)
      )
    )
)</f>
        <v>255268.1044</v>
      </c>
      <c r="AB429" s="65">
        <f t="shared" si="13"/>
        <v>834829.3911</v>
      </c>
      <c r="AC429" s="66">
        <f t="array" ref="AC429">IFS(B429&lt;66, XLOOKUP(year(A429),Lookup!$K$13:$K1000,Lookup!$L$13:$L1000,"missing",,1),B429&gt;65,XLOOKUP(questions!$C$5,Lookup!$K$13:$K1000,Lookup!$L$13:$L1000,"missing",,1))</f>
        <v>367500.1641</v>
      </c>
      <c r="AD429" s="66">
        <f t="array" ref="AD429">IFS(B429&lt;66, XLOOKUP(year(A429),Lookup!$K$13:$K1000,Lookup!$M$13:$M1000,"missing",,1),B429&gt;65, XLOOKUP(questions!$C$5,Lookup!$K$13:$K1000,Lookup!$M$13:$M1000,"missing",,1))</f>
        <v>735000.3283</v>
      </c>
      <c r="AE429" s="66">
        <f t="array" ref="AE429">IFS(B429&lt;66, XLOOKUP(year(A429),Lookup!$K$13:$K1000,Lookup!$N$13:$N1000,"missing",,1),B429&gt;65,XLOOKUP(questions!$C$5,Lookup!$K$13:$K1000,Lookup!$N$13:$N1000,"missing",,1))</f>
        <v>1470000.657</v>
      </c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</row>
    <row r="430">
      <c r="A430" s="55">
        <f t="shared" si="7"/>
        <v>59110</v>
      </c>
      <c r="B430" s="56">
        <f>round(YEARFRAC(EOMONTH(questions!$C$3, 0),A430,1),2)</f>
        <v>62.92</v>
      </c>
      <c r="C430" s="58">
        <f>IF(B430&lt;questions!$C$6,if(MONTH(A430)=1,C429*(1+questions!$C$12),C429),0)</f>
        <v>0</v>
      </c>
      <c r="D430" s="58">
        <f>IF(MONTH(A430)=12,C430*questions!$C$11,0)</f>
        <v>0</v>
      </c>
      <c r="E430" s="71">
        <f t="shared" si="2"/>
        <v>0</v>
      </c>
      <c r="F430" s="71">
        <f t="shared" si="3"/>
        <v>0</v>
      </c>
      <c r="G430" s="61">
        <f t="array" ref="G430">if(YEAR(A430)=2025,XLOOKUP(B430,Lookup!$A$3:$A$7,Lookup!$D$3:$D$7,,1)*SUM(E430:F430), XLOOKUP(B430,Lookup!$A$14:$A$18,Lookup!$D$14:$D$18,,1)*SUM(E430:F430))</f>
        <v>0</v>
      </c>
      <c r="H430" s="61">
        <f t="array" ref="H430">if(YEAR(A430)=2025,XLOOKUP(B430,Lookup!$F$3:$F$10,Lookup!$G$3:$G$10,,1)*G430, XLOOKUP(B430,Lookup!$F$14:$F$21,Lookup!$G$14:$G$21,,1)*G430)</f>
        <v>0</v>
      </c>
      <c r="I430" s="61">
        <f t="array" ref="I430">if(B430&lt;55, if(YEAR(A430)=2025,XLOOKUP(B430,Lookup!$F$3:$F$10,Lookup!$H$3:$H$10,,1)*G430, XLOOKUP(B430,Lookup!$F$14:$F$21,Lookup!$H$14:$H$21,,1)*G430),0)</f>
        <v>0</v>
      </c>
      <c r="J430" s="61">
        <f t="array" ref="J430">if(YEAR(A430)=2025,XLOOKUP(B430,Lookup!$F$3:$F$10,Lookup!$I$3:$I$10,,1)*G430, XLOOKUP(B430,Lookup!$F$14:$F$21,Lookup!$I$14:$I$21,,1)*G430)</f>
        <v>0</v>
      </c>
      <c r="K430" s="61">
        <f t="array" ref="K430">if(B430&gt;54, if(YEAR(A430)=2025,XLOOKUP(B430,Lookup!$F$3:$F$10,Lookup!$H$3:$H$10,,1)*G430, XLOOKUP(B430,Lookup!$F$14:$F$21,Lookup!$H$14:$H$21,,1)*G430),0)</f>
        <v>0</v>
      </c>
      <c r="L430" s="62">
        <f>IF(and(A430&lt;questions!$C$19,questions!$C$18="yes"),questions!$C$20,0)</f>
        <v>0</v>
      </c>
      <c r="M430" s="63">
        <f>(Y429+H430)*Lookup!A$26/12</f>
        <v>1893.042246</v>
      </c>
      <c r="N430" s="63">
        <f>if(B430&lt;55, (Z429+I430)*Lookup!B$26/12, (AB429+K430)*Lookup!B$26/12)</f>
        <v>2782.764637</v>
      </c>
      <c r="O430" s="63">
        <f>(AA429+J430)*Lookup!C$26/12</f>
        <v>850.8936812</v>
      </c>
      <c r="P430" s="63">
        <f t="shared" si="8"/>
        <v>18930.42246</v>
      </c>
      <c r="Q430" s="63">
        <f t="shared" si="4"/>
        <v>27827.64637</v>
      </c>
      <c r="R430" s="63">
        <f t="shared" si="5"/>
        <v>8508.936812</v>
      </c>
      <c r="S430" s="64">
        <f t="shared" si="9"/>
        <v>33.33333333</v>
      </c>
      <c r="T430" s="64">
        <f t="shared" si="10"/>
        <v>41.66666667</v>
      </c>
      <c r="U430" s="64">
        <f t="shared" si="11"/>
        <v>0</v>
      </c>
      <c r="V430" s="64">
        <f t="shared" ref="V430:X430" si="438">IF(year($A430)=year($A429), V429+S430, S430)</f>
        <v>333.3333333</v>
      </c>
      <c r="W430" s="64">
        <f t="shared" si="438"/>
        <v>416.6666667</v>
      </c>
      <c r="X430" s="64">
        <f t="shared" si="438"/>
        <v>0</v>
      </c>
      <c r="Y430" s="65">
        <f>IFS(
  B430&lt;55,
    MAX(
      Y429 + IF(MONTH(A430)=12, P430+V430, 0) + H430 - L430
      + MAX(0,
          IF(AA429 &gt;= VLOOKUP(YEAR(A430), Lookup!$Q:$R, 2),
            Z429 + IF(MONTH(A430)=12, Q430+W430, 0) + I430
              + AA429 + IF(MONTH(A430)=12, R430+X430, 0)
              - VLOOKUP(YEAR(A430), Lookup!$Q:$R, 2) + J430,
            Z429 + IF(MONTH(A430)=12, Q430+W430, 0) + I430
          ) - VLOOKUP(YEAR(A430), Lookup!$K:$M, 3)
        ),
    0),
  B430=55,
    IF(Z429&gt;=AD430,
      MAX(Y429 + IF(MONTH(A430)=12, P430+V430, 0) + H430 - L430, 0),
      MAX(MAX(0, Y429-(AD430-Z429)) + IF(MONTH(A430)=12, P430+V430, 0) + H430 - L430, 0)
    ),
  B430&gt;55,
    IF(AB429&gt;=$AH$7,
      MAX(Y429 + IF(MONTH(A430)=12, P430+V430, 0) + H430 - L430 + K430 + Z429, 0),
      MAX(Y429 + IF(MONTH(A430)=12, P430+V430, 0) + H430 - L430, 0)
    )
)</f>
        <v>908660.2783</v>
      </c>
      <c r="Z430" s="65">
        <f>IFS(
  B430&lt;55,
    MIN(
      IF(AA429 &gt;= VLOOKUP(YEAR(A430), Lookup!$Q:$R, 2),
        Z429 + IF(MONTH(A430)=12, Q430+W430, 0) + I430
          + AA429 + IF(MONTH(A430)=12, R430+X430, 0) - VLOOKUP(YEAR(A430), Lookup!$Q:$R, 2) + J430,
        Z429 + IF(MONTH(A430)=12, Q430+W430, 0) + I430
      ),
      VLOOKUP(YEAR(A430), Lookup!$K:$M, 3)
    ),
  B430=55,
    IF(Z429 &gt;= AD430, Z429 - AD430, 0),
  B430&gt;55, 0
)</f>
        <v>0</v>
      </c>
      <c r="AA430" s="65">
        <f>IFS(
  B430&lt;65,
    IF(AA429+J430 &lt; VLOOKUP(YEAR(A430), Lookup!$Q:$R, 2),
      AA429 + IF(MONTH(A430)=12, R429+X429, 0) + J430,
      MIN(
        AA429 + IF(MONTH(A430)=12, R429+X429, 0) + J430 ,
        VLOOKUP(YEAR(A430), Lookup!$Q:$R, 2)
      )
    ),
  B430&gt;=65,
    IF(AA429+J430 &lt; VLOOKUP(questions!$C$5, Lookup!$Q:$R, 2),
      AA429 + IF(MONTH(A430)=12, R429+X429, 0) + J430 ,
      MIN(
        AA429 + IF(MONTH(A430)=12, R429+X429, 0) + J430,
        VLOOKUP(questions!$C$5, Lookup!$Q:$R, 2)
      )
    )
)</f>
        <v>255268.1044</v>
      </c>
      <c r="AB430" s="65">
        <f t="shared" si="13"/>
        <v>834829.3911</v>
      </c>
      <c r="AC430" s="66">
        <f t="array" ref="AC430">IFS(B430&lt;66, XLOOKUP(year(A430),Lookup!$K$13:$K1000,Lookup!$L$13:$L1000,"missing",,1),B430&gt;65,XLOOKUP(questions!$C$5,Lookup!$K$13:$K1000,Lookup!$L$13:$L1000,"missing",,1))</f>
        <v>367500.1641</v>
      </c>
      <c r="AD430" s="66">
        <f t="array" ref="AD430">IFS(B430&lt;66, XLOOKUP(year(A430),Lookup!$K$13:$K1000,Lookup!$M$13:$M1000,"missing",,1),B430&gt;65, XLOOKUP(questions!$C$5,Lookup!$K$13:$K1000,Lookup!$M$13:$M1000,"missing",,1))</f>
        <v>735000.3283</v>
      </c>
      <c r="AE430" s="66">
        <f t="array" ref="AE430">IFS(B430&lt;66, XLOOKUP(year(A430),Lookup!$K$13:$K1000,Lookup!$N$13:$N1000,"missing",,1),B430&gt;65,XLOOKUP(questions!$C$5,Lookup!$K$13:$K1000,Lookup!$N$13:$N1000,"missing",,1))</f>
        <v>1470000.657</v>
      </c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</row>
    <row r="431">
      <c r="A431" s="55">
        <f t="shared" si="7"/>
        <v>59140</v>
      </c>
      <c r="B431" s="56">
        <f>round(YEARFRAC(EOMONTH(questions!$C$3, 0),A431,1),2)</f>
        <v>63</v>
      </c>
      <c r="C431" s="58">
        <f>IF(B431&lt;questions!$C$6,if(MONTH(A431)=1,C430*(1+questions!$C$12),C430),0)</f>
        <v>0</v>
      </c>
      <c r="D431" s="58">
        <f>IF(MONTH(A431)=12,C431*questions!$C$11,0)</f>
        <v>0</v>
      </c>
      <c r="E431" s="71">
        <f t="shared" si="2"/>
        <v>0</v>
      </c>
      <c r="F431" s="71">
        <f t="shared" si="3"/>
        <v>0</v>
      </c>
      <c r="G431" s="61">
        <f t="array" ref="G431">if(YEAR(A431)=2025,XLOOKUP(B431,Lookup!$A$3:$A$7,Lookup!$D$3:$D$7,,1)*SUM(E431:F431), XLOOKUP(B431,Lookup!$A$14:$A$18,Lookup!$D$14:$D$18,,1)*SUM(E431:F431))</f>
        <v>0</v>
      </c>
      <c r="H431" s="61">
        <f t="array" ref="H431">if(YEAR(A431)=2025,XLOOKUP(B431,Lookup!$F$3:$F$10,Lookup!$G$3:$G$10,,1)*G431, XLOOKUP(B431,Lookup!$F$14:$F$21,Lookup!$G$14:$G$21,,1)*G431)</f>
        <v>0</v>
      </c>
      <c r="I431" s="61">
        <f t="array" ref="I431">if(B431&lt;55, if(YEAR(A431)=2025,XLOOKUP(B431,Lookup!$F$3:$F$10,Lookup!$H$3:$H$10,,1)*G431, XLOOKUP(B431,Lookup!$F$14:$F$21,Lookup!$H$14:$H$21,,1)*G431),0)</f>
        <v>0</v>
      </c>
      <c r="J431" s="61">
        <f t="array" ref="J431">if(YEAR(A431)=2025,XLOOKUP(B431,Lookup!$F$3:$F$10,Lookup!$I$3:$I$10,,1)*G431, XLOOKUP(B431,Lookup!$F$14:$F$21,Lookup!$I$14:$I$21,,1)*G431)</f>
        <v>0</v>
      </c>
      <c r="K431" s="61">
        <f t="array" ref="K431">if(B431&gt;54, if(YEAR(A431)=2025,XLOOKUP(B431,Lookup!$F$3:$F$10,Lookup!$H$3:$H$10,,1)*G431, XLOOKUP(B431,Lookup!$F$14:$F$21,Lookup!$H$14:$H$21,,1)*G431),0)</f>
        <v>0</v>
      </c>
      <c r="L431" s="62">
        <f>IF(and(A431&lt;questions!$C$19,questions!$C$18="yes"),questions!$C$20,0)</f>
        <v>0</v>
      </c>
      <c r="M431" s="63">
        <f>(Y430+H431)*Lookup!A$26/12</f>
        <v>1893.042246</v>
      </c>
      <c r="N431" s="63">
        <f>if(B431&lt;55, (Z430+I431)*Lookup!B$26/12, (AB430+K431)*Lookup!B$26/12)</f>
        <v>2782.764637</v>
      </c>
      <c r="O431" s="63">
        <f>(AA430+J431)*Lookup!C$26/12</f>
        <v>850.8936812</v>
      </c>
      <c r="P431" s="63">
        <f t="shared" si="8"/>
        <v>20823.46471</v>
      </c>
      <c r="Q431" s="63">
        <f t="shared" si="4"/>
        <v>30610.41101</v>
      </c>
      <c r="R431" s="63">
        <f t="shared" si="5"/>
        <v>9359.830493</v>
      </c>
      <c r="S431" s="64">
        <f t="shared" si="9"/>
        <v>33.33333333</v>
      </c>
      <c r="T431" s="64">
        <f t="shared" si="10"/>
        <v>41.66666667</v>
      </c>
      <c r="U431" s="64">
        <f t="shared" si="11"/>
        <v>0</v>
      </c>
      <c r="V431" s="64">
        <f t="shared" ref="V431:X431" si="439">IF(year($A431)=year($A430), V430+S431, S431)</f>
        <v>366.6666667</v>
      </c>
      <c r="W431" s="64">
        <f t="shared" si="439"/>
        <v>458.3333333</v>
      </c>
      <c r="X431" s="64">
        <f t="shared" si="439"/>
        <v>0</v>
      </c>
      <c r="Y431" s="65">
        <f>IFS(
  B431&lt;55,
    MAX(
      Y430 + IF(MONTH(A431)=12, P431+V431, 0) + H431 - L431
      + MAX(0,
          IF(AA430 &gt;= VLOOKUP(YEAR(A431), Lookup!$Q:$R, 2),
            Z430 + IF(MONTH(A431)=12, Q431+W431, 0) + I431
              + AA430 + IF(MONTH(A431)=12, R431+X431, 0)
              - VLOOKUP(YEAR(A431), Lookup!$Q:$R, 2) + J431,
            Z430 + IF(MONTH(A431)=12, Q431+W431, 0) + I431
          ) - VLOOKUP(YEAR(A431), Lookup!$K:$M, 3)
        ),
    0),
  B431=55,
    IF(Z430&gt;=AD431,
      MAX(Y430 + IF(MONTH(A431)=12, P431+V431, 0) + H431 - L431, 0),
      MAX(MAX(0, Y430-(AD431-Z430)) + IF(MONTH(A431)=12, P431+V431, 0) + H431 - L431, 0)
    ),
  B431&gt;55,
    IF(AB430&gt;=$AH$7,
      MAX(Y430 + IF(MONTH(A431)=12, P431+V431, 0) + H431 - L431 + K431 + Z430, 0),
      MAX(Y430 + IF(MONTH(A431)=12, P431+V431, 0) + H431 - L431, 0)
    )
)</f>
        <v>908660.2783</v>
      </c>
      <c r="Z431" s="65">
        <f>IFS(
  B431&lt;55,
    MIN(
      IF(AA430 &gt;= VLOOKUP(YEAR(A431), Lookup!$Q:$R, 2),
        Z430 + IF(MONTH(A431)=12, Q431+W431, 0) + I431
          + AA430 + IF(MONTH(A431)=12, R431+X431, 0) - VLOOKUP(YEAR(A431), Lookup!$Q:$R, 2) + J431,
        Z430 + IF(MONTH(A431)=12, Q431+W431, 0) + I431
      ),
      VLOOKUP(YEAR(A431), Lookup!$K:$M, 3)
    ),
  B431=55,
    IF(Z430 &gt;= AD431, Z430 - AD431, 0),
  B431&gt;55, 0
)</f>
        <v>0</v>
      </c>
      <c r="AA431" s="65">
        <f>IFS(
  B431&lt;65,
    IF(AA430+J431 &lt; VLOOKUP(YEAR(A431), Lookup!$Q:$R, 2),
      AA430 + IF(MONTH(A431)=12, R430+X430, 0) + J431,
      MIN(
        AA430 + IF(MONTH(A431)=12, R430+X430, 0) + J431 ,
        VLOOKUP(YEAR(A431), Lookup!$Q:$R, 2)
      )
    ),
  B431&gt;=65,
    IF(AA430+J431 &lt; VLOOKUP(questions!$C$5, Lookup!$Q:$R, 2),
      AA430 + IF(MONTH(A431)=12, R430+X430, 0) + J431 ,
      MIN(
        AA430 + IF(MONTH(A431)=12, R430+X430, 0) + J431,
        VLOOKUP(questions!$C$5, Lookup!$Q:$R, 2)
      )
    )
)</f>
        <v>255268.1044</v>
      </c>
      <c r="AB431" s="65">
        <f t="shared" si="13"/>
        <v>834829.3911</v>
      </c>
      <c r="AC431" s="66">
        <f t="array" ref="AC431">IFS(B431&lt;66, XLOOKUP(year(A431),Lookup!$K$13:$K1000,Lookup!$L$13:$L1000,"missing",,1),B431&gt;65,XLOOKUP(questions!$C$5,Lookup!$K$13:$K1000,Lookup!$L$13:$L1000,"missing",,1))</f>
        <v>367500.1641</v>
      </c>
      <c r="AD431" s="66">
        <f t="array" ref="AD431">IFS(B431&lt;66, XLOOKUP(year(A431),Lookup!$K$13:$K1000,Lookup!$M$13:$M1000,"missing",,1),B431&gt;65, XLOOKUP(questions!$C$5,Lookup!$K$13:$K1000,Lookup!$M$13:$M1000,"missing",,1))</f>
        <v>735000.3283</v>
      </c>
      <c r="AE431" s="66">
        <f t="array" ref="AE431">IFS(B431&lt;66, XLOOKUP(year(A431),Lookup!$K$13:$K1000,Lookup!$N$13:$N1000,"missing",,1),B431&gt;65,XLOOKUP(questions!$C$5,Lookup!$K$13:$K1000,Lookup!$N$13:$N1000,"missing",,1))</f>
        <v>1470000.657</v>
      </c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</row>
    <row r="432">
      <c r="A432" s="55">
        <f t="shared" si="7"/>
        <v>59171</v>
      </c>
      <c r="B432" s="56">
        <f>round(YEARFRAC(EOMONTH(questions!$C$3, 0),A432,1),2)</f>
        <v>63.08</v>
      </c>
      <c r="C432" s="58">
        <f>IF(B432&lt;questions!$C$6,if(MONTH(A432)=1,C431*(1+questions!$C$12),C431),0)</f>
        <v>0</v>
      </c>
      <c r="D432" s="58">
        <f>IF(MONTH(A432)=12,C432*questions!$C$11,0)</f>
        <v>0</v>
      </c>
      <c r="E432" s="71">
        <f t="shared" si="2"/>
        <v>0</v>
      </c>
      <c r="F432" s="71">
        <f t="shared" si="3"/>
        <v>0</v>
      </c>
      <c r="G432" s="61">
        <f t="array" ref="G432">if(YEAR(A432)=2025,XLOOKUP(B432,Lookup!$A$3:$A$7,Lookup!$D$3:$D$7,,1)*SUM(E432:F432), XLOOKUP(B432,Lookup!$A$14:$A$18,Lookup!$D$14:$D$18,,1)*SUM(E432:F432))</f>
        <v>0</v>
      </c>
      <c r="H432" s="61">
        <f t="array" ref="H432">if(YEAR(A432)=2025,XLOOKUP(B432,Lookup!$F$3:$F$10,Lookup!$G$3:$G$10,,1)*G432, XLOOKUP(B432,Lookup!$F$14:$F$21,Lookup!$G$14:$G$21,,1)*G432)</f>
        <v>0</v>
      </c>
      <c r="I432" s="61">
        <f t="array" ref="I432">if(B432&lt;55, if(YEAR(A432)=2025,XLOOKUP(B432,Lookup!$F$3:$F$10,Lookup!$H$3:$H$10,,1)*G432, XLOOKUP(B432,Lookup!$F$14:$F$21,Lookup!$H$14:$H$21,,1)*G432),0)</f>
        <v>0</v>
      </c>
      <c r="J432" s="61">
        <f t="array" ref="J432">if(YEAR(A432)=2025,XLOOKUP(B432,Lookup!$F$3:$F$10,Lookup!$I$3:$I$10,,1)*G432, XLOOKUP(B432,Lookup!$F$14:$F$21,Lookup!$I$14:$I$21,,1)*G432)</f>
        <v>0</v>
      </c>
      <c r="K432" s="61">
        <f t="array" ref="K432">if(B432&gt;54, if(YEAR(A432)=2025,XLOOKUP(B432,Lookup!$F$3:$F$10,Lookup!$H$3:$H$10,,1)*G432, XLOOKUP(B432,Lookup!$F$14:$F$21,Lookup!$H$14:$H$21,,1)*G432),0)</f>
        <v>0</v>
      </c>
      <c r="L432" s="62">
        <f>IF(and(A432&lt;questions!$C$19,questions!$C$18="yes"),questions!$C$20,0)</f>
        <v>0</v>
      </c>
      <c r="M432" s="63">
        <f>(Y431+H432)*Lookup!A$26/12</f>
        <v>1893.042246</v>
      </c>
      <c r="N432" s="63">
        <f>if(B432&lt;55, (Z431+I432)*Lookup!B$26/12, (AB431+K432)*Lookup!B$26/12)</f>
        <v>2782.764637</v>
      </c>
      <c r="O432" s="63">
        <f>(AA431+J432)*Lookup!C$26/12</f>
        <v>850.8936812</v>
      </c>
      <c r="P432" s="63">
        <f t="shared" si="8"/>
        <v>22716.50696</v>
      </c>
      <c r="Q432" s="63">
        <f t="shared" si="4"/>
        <v>33393.17564</v>
      </c>
      <c r="R432" s="63">
        <f t="shared" si="5"/>
        <v>10210.72417</v>
      </c>
      <c r="S432" s="64">
        <f t="shared" si="9"/>
        <v>33.33333333</v>
      </c>
      <c r="T432" s="64">
        <f t="shared" si="10"/>
        <v>41.66666667</v>
      </c>
      <c r="U432" s="64">
        <f t="shared" si="11"/>
        <v>0</v>
      </c>
      <c r="V432" s="64">
        <f t="shared" ref="V432:X432" si="440">IF(year($A432)=year($A431), V431+S432, S432)</f>
        <v>400</v>
      </c>
      <c r="W432" s="64">
        <f t="shared" si="440"/>
        <v>500</v>
      </c>
      <c r="X432" s="64">
        <f t="shared" si="440"/>
        <v>0</v>
      </c>
      <c r="Y432" s="65">
        <f>IFS(
  B432&lt;55,
    MAX(
      Y431 + IF(MONTH(A432)=12, P432+V432, 0) + H432 - L432
      + MAX(0,
          IF(AA431 &gt;= VLOOKUP(YEAR(A432), Lookup!$Q:$R, 2),
            Z431 + IF(MONTH(A432)=12, Q432+W432, 0) + I432
              + AA431 + IF(MONTH(A432)=12, R432+X432, 0)
              - VLOOKUP(YEAR(A432), Lookup!$Q:$R, 2) + J432,
            Z431 + IF(MONTH(A432)=12, Q432+W432, 0) + I432
          ) - VLOOKUP(YEAR(A432), Lookup!$K:$M, 3)
        ),
    0),
  B432=55,
    IF(Z431&gt;=AD432,
      MAX(Y431 + IF(MONTH(A432)=12, P432+V432, 0) + H432 - L432, 0),
      MAX(MAX(0, Y431-(AD432-Z431)) + IF(MONTH(A432)=12, P432+V432, 0) + H432 - L432, 0)
    ),
  B432&gt;55,
    IF(AB431&gt;=$AH$7,
      MAX(Y431 + IF(MONTH(A432)=12, P432+V432, 0) + H432 - L432 + K432 + Z431, 0),
      MAX(Y431 + IF(MONTH(A432)=12, P432+V432, 0) + H432 - L432, 0)
    )
)</f>
        <v>931776.7852</v>
      </c>
      <c r="Z432" s="65">
        <f>IFS(
  B432&lt;55,
    MIN(
      IF(AA431 &gt;= VLOOKUP(YEAR(A432), Lookup!$Q:$R, 2),
        Z431 + IF(MONTH(A432)=12, Q432+W432, 0) + I432
          + AA431 + IF(MONTH(A432)=12, R432+X432, 0) - VLOOKUP(YEAR(A432), Lookup!$Q:$R, 2) + J432,
        Z431 + IF(MONTH(A432)=12, Q432+W432, 0) + I432
      ),
      VLOOKUP(YEAR(A432), Lookup!$K:$M, 3)
    ),
  B432=55,
    IF(Z431 &gt;= AD432, Z431 - AD432, 0),
  B432&gt;55, 0
)</f>
        <v>0</v>
      </c>
      <c r="AA432" s="65">
        <f>IFS(
  B432&lt;65,
    IF(AA431+J432 &lt; VLOOKUP(YEAR(A432), Lookup!$Q:$R, 2),
      AA431 + IF(MONTH(A432)=12, R431+X431, 0) + J432,
      MIN(
        AA431 + IF(MONTH(A432)=12, R431+X431, 0) + J432 ,
        VLOOKUP(YEAR(A432), Lookup!$Q:$R, 2)
      )
    ),
  B432&gt;=65,
    IF(AA431+J432 &lt; VLOOKUP(questions!$C$5, Lookup!$Q:$R, 2),
      AA431 + IF(MONTH(A432)=12, R431+X431, 0) + J432 ,
      MIN(
        AA431 + IF(MONTH(A432)=12, R431+X431, 0) + J432,
        VLOOKUP(questions!$C$5, Lookup!$Q:$R, 2)
      )
    )
)</f>
        <v>264627.9348</v>
      </c>
      <c r="AB432" s="65">
        <f t="shared" si="13"/>
        <v>868722.5667</v>
      </c>
      <c r="AC432" s="66">
        <f t="array" ref="AC432">IFS(B432&lt;66, XLOOKUP(year(A432),Lookup!$K$13:$K1000,Lookup!$L$13:$L1000,"missing",,1),B432&gt;65,XLOOKUP(questions!$C$5,Lookup!$K$13:$K1000,Lookup!$L$13:$L1000,"missing",,1))</f>
        <v>367500.1641</v>
      </c>
      <c r="AD432" s="66">
        <f t="array" ref="AD432">IFS(B432&lt;66, XLOOKUP(year(A432),Lookup!$K$13:$K1000,Lookup!$M$13:$M1000,"missing",,1),B432&gt;65, XLOOKUP(questions!$C$5,Lookup!$K$13:$K1000,Lookup!$M$13:$M1000,"missing",,1))</f>
        <v>735000.3283</v>
      </c>
      <c r="AE432" s="66">
        <f t="array" ref="AE432">IFS(B432&lt;66, XLOOKUP(year(A432),Lookup!$K$13:$K1000,Lookup!$N$13:$N1000,"missing",,1),B432&gt;65,XLOOKUP(questions!$C$5,Lookup!$K$13:$K1000,Lookup!$N$13:$N1000,"missing",,1))</f>
        <v>1470000.657</v>
      </c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</row>
    <row r="433">
      <c r="A433" s="55">
        <f t="shared" si="7"/>
        <v>59202</v>
      </c>
      <c r="B433" s="56">
        <f>round(YEARFRAC(EOMONTH(questions!$C$3, 0),A433,1),2)</f>
        <v>63.17</v>
      </c>
      <c r="C433" s="58">
        <f>IF(B433&lt;questions!$C$6,if(MONTH(A433)=1,C432*(1+questions!$C$12),C432),0)</f>
        <v>0</v>
      </c>
      <c r="D433" s="58">
        <f>IF(MONTH(A433)=12,C433*questions!$C$11,0)</f>
        <v>0</v>
      </c>
      <c r="E433" s="71">
        <f t="shared" si="2"/>
        <v>0</v>
      </c>
      <c r="F433" s="71">
        <f t="shared" si="3"/>
        <v>0</v>
      </c>
      <c r="G433" s="61">
        <f t="array" ref="G433">if(YEAR(A433)=2025,XLOOKUP(B433,Lookup!$A$3:$A$7,Lookup!$D$3:$D$7,,1)*SUM(E433:F433), XLOOKUP(B433,Lookup!$A$14:$A$18,Lookup!$D$14:$D$18,,1)*SUM(E433:F433))</f>
        <v>0</v>
      </c>
      <c r="H433" s="61">
        <f t="array" ref="H433">if(YEAR(A433)=2025,XLOOKUP(B433,Lookup!$F$3:$F$10,Lookup!$G$3:$G$10,,1)*G433, XLOOKUP(B433,Lookup!$F$14:$F$21,Lookup!$G$14:$G$21,,1)*G433)</f>
        <v>0</v>
      </c>
      <c r="I433" s="61">
        <f t="array" ref="I433">if(B433&lt;55, if(YEAR(A433)=2025,XLOOKUP(B433,Lookup!$F$3:$F$10,Lookup!$H$3:$H$10,,1)*G433, XLOOKUP(B433,Lookup!$F$14:$F$21,Lookup!$H$14:$H$21,,1)*G433),0)</f>
        <v>0</v>
      </c>
      <c r="J433" s="61">
        <f t="array" ref="J433">if(YEAR(A433)=2025,XLOOKUP(B433,Lookup!$F$3:$F$10,Lookup!$I$3:$I$10,,1)*G433, XLOOKUP(B433,Lookup!$F$14:$F$21,Lookup!$I$14:$I$21,,1)*G433)</f>
        <v>0</v>
      </c>
      <c r="K433" s="61">
        <f t="array" ref="K433">if(B433&gt;54, if(YEAR(A433)=2025,XLOOKUP(B433,Lookup!$F$3:$F$10,Lookup!$H$3:$H$10,,1)*G433, XLOOKUP(B433,Lookup!$F$14:$F$21,Lookup!$H$14:$H$21,,1)*G433),0)</f>
        <v>0</v>
      </c>
      <c r="L433" s="62">
        <f>IF(and(A433&lt;questions!$C$19,questions!$C$18="yes"),questions!$C$20,0)</f>
        <v>0</v>
      </c>
      <c r="M433" s="63">
        <f>(Y432+H433)*Lookup!A$26/12</f>
        <v>1941.201636</v>
      </c>
      <c r="N433" s="63">
        <f>if(B433&lt;55, (Z432+I433)*Lookup!B$26/12, (AB432+K433)*Lookup!B$26/12)</f>
        <v>2895.741889</v>
      </c>
      <c r="O433" s="63">
        <f>(AA432+J433)*Lookup!C$26/12</f>
        <v>882.0931162</v>
      </c>
      <c r="P433" s="63">
        <f t="shared" si="8"/>
        <v>1941.201636</v>
      </c>
      <c r="Q433" s="63">
        <f t="shared" si="4"/>
        <v>2895.741889</v>
      </c>
      <c r="R433" s="63">
        <f t="shared" si="5"/>
        <v>882.0931162</v>
      </c>
      <c r="S433" s="64">
        <f t="shared" si="9"/>
        <v>33.33333333</v>
      </c>
      <c r="T433" s="64">
        <f t="shared" si="10"/>
        <v>41.66666667</v>
      </c>
      <c r="U433" s="64">
        <f t="shared" si="11"/>
        <v>0</v>
      </c>
      <c r="V433" s="64">
        <f t="shared" ref="V433:X433" si="441">IF(year($A433)=year($A432), V432+S433, S433)</f>
        <v>33.33333333</v>
      </c>
      <c r="W433" s="64">
        <f t="shared" si="441"/>
        <v>41.66666667</v>
      </c>
      <c r="X433" s="64">
        <f t="shared" si="441"/>
        <v>0</v>
      </c>
      <c r="Y433" s="65">
        <f>IFS(
  B433&lt;55,
    MAX(
      Y432 + IF(MONTH(A433)=12, P433+V433, 0) + H433 - L433
      + MAX(0,
          IF(AA432 &gt;= VLOOKUP(YEAR(A433), Lookup!$Q:$R, 2),
            Z432 + IF(MONTH(A433)=12, Q433+W433, 0) + I433
              + AA432 + IF(MONTH(A433)=12, R433+X433, 0)
              - VLOOKUP(YEAR(A433), Lookup!$Q:$R, 2) + J433,
            Z432 + IF(MONTH(A433)=12, Q433+W433, 0) + I433
          ) - VLOOKUP(YEAR(A433), Lookup!$K:$M, 3)
        ),
    0),
  B433=55,
    IF(Z432&gt;=AD433,
      MAX(Y432 + IF(MONTH(A433)=12, P433+V433, 0) + H433 - L433, 0),
      MAX(MAX(0, Y432-(AD433-Z432)) + IF(MONTH(A433)=12, P433+V433, 0) + H433 - L433, 0)
    ),
  B433&gt;55,
    IF(AB432&gt;=$AH$7,
      MAX(Y432 + IF(MONTH(A433)=12, P433+V433, 0) + H433 - L433 + K433 + Z432, 0),
      MAX(Y432 + IF(MONTH(A433)=12, P433+V433, 0) + H433 - L433, 0)
    )
)</f>
        <v>931776.7852</v>
      </c>
      <c r="Z433" s="65">
        <f>IFS(
  B433&lt;55,
    MIN(
      IF(AA432 &gt;= VLOOKUP(YEAR(A433), Lookup!$Q:$R, 2),
        Z432 + IF(MONTH(A433)=12, Q433+W433, 0) + I433
          + AA432 + IF(MONTH(A433)=12, R433+X433, 0) - VLOOKUP(YEAR(A433), Lookup!$Q:$R, 2) + J433,
        Z432 + IF(MONTH(A433)=12, Q433+W433, 0) + I433
      ),
      VLOOKUP(YEAR(A433), Lookup!$K:$M, 3)
    ),
  B433=55,
    IF(Z432 &gt;= AD433, Z432 - AD433, 0),
  B433&gt;55, 0
)</f>
        <v>0</v>
      </c>
      <c r="AA433" s="65">
        <f>IFS(
  B433&lt;65,
    IF(AA432+J433 &lt; VLOOKUP(YEAR(A433), Lookup!$Q:$R, 2),
      AA432 + IF(MONTH(A433)=12, R432+X432, 0) + J433,
      MIN(
        AA432 + IF(MONTH(A433)=12, R432+X432, 0) + J433 ,
        VLOOKUP(YEAR(A433), Lookup!$Q:$R, 2)
      )
    ),
  B433&gt;=65,
    IF(AA432+J433 &lt; VLOOKUP(questions!$C$5, Lookup!$Q:$R, 2),
      AA432 + IF(MONTH(A433)=12, R432+X432, 0) + J433 ,
      MIN(
        AA432 + IF(MONTH(A433)=12, R432+X432, 0) + J433,
        VLOOKUP(questions!$C$5, Lookup!$Q:$R, 2)
      )
    )
)</f>
        <v>264627.9348</v>
      </c>
      <c r="AB433" s="65">
        <f t="shared" si="13"/>
        <v>868722.5667</v>
      </c>
      <c r="AC433" s="66">
        <f t="array" ref="AC433">IFS(B433&lt;66, XLOOKUP(year(A433),Lookup!$K$13:$K1000,Lookup!$L$13:$L1000,"missing",,1),B433&gt;65,XLOOKUP(questions!$C$5,Lookup!$K$13:$K1000,Lookup!$L$13:$L1000,"missing",,1))</f>
        <v>380362.6699</v>
      </c>
      <c r="AD433" s="66">
        <f t="array" ref="AD433">IFS(B433&lt;66, XLOOKUP(year(A433),Lookup!$K$13:$K1000,Lookup!$M$13:$M1000,"missing",,1),B433&gt;65, XLOOKUP(questions!$C$5,Lookup!$K$13:$K1000,Lookup!$M$13:$M1000,"missing",,1))</f>
        <v>760725.3397</v>
      </c>
      <c r="AE433" s="66">
        <f t="array" ref="AE433">IFS(B433&lt;66, XLOOKUP(year(A433),Lookup!$K$13:$K1000,Lookup!$N$13:$N1000,"missing",,1),B433&gt;65,XLOOKUP(questions!$C$5,Lookup!$K$13:$K1000,Lookup!$N$13:$N1000,"missing",,1))</f>
        <v>1521450.679</v>
      </c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</row>
    <row r="434">
      <c r="A434" s="55">
        <f t="shared" si="7"/>
        <v>59230</v>
      </c>
      <c r="B434" s="56">
        <f>round(YEARFRAC(EOMONTH(questions!$C$3, 0),A434,1),2)</f>
        <v>63.25</v>
      </c>
      <c r="C434" s="58">
        <f>IF(B434&lt;questions!$C$6,if(MONTH(A434)=1,C433*(1+questions!$C$12),C433),0)</f>
        <v>0</v>
      </c>
      <c r="D434" s="58">
        <f>IF(MONTH(A434)=12,C434*questions!$C$11,0)</f>
        <v>0</v>
      </c>
      <c r="E434" s="71">
        <f t="shared" si="2"/>
        <v>0</v>
      </c>
      <c r="F434" s="71">
        <f t="shared" si="3"/>
        <v>0</v>
      </c>
      <c r="G434" s="61">
        <f t="array" ref="G434">if(YEAR(A434)=2025,XLOOKUP(B434,Lookup!$A$3:$A$7,Lookup!$D$3:$D$7,,1)*SUM(E434:F434), XLOOKUP(B434,Lookup!$A$14:$A$18,Lookup!$D$14:$D$18,,1)*SUM(E434:F434))</f>
        <v>0</v>
      </c>
      <c r="H434" s="61">
        <f t="array" ref="H434">if(YEAR(A434)=2025,XLOOKUP(B434,Lookup!$F$3:$F$10,Lookup!$G$3:$G$10,,1)*G434, XLOOKUP(B434,Lookup!$F$14:$F$21,Lookup!$G$14:$G$21,,1)*G434)</f>
        <v>0</v>
      </c>
      <c r="I434" s="61">
        <f t="array" ref="I434">if(B434&lt;55, if(YEAR(A434)=2025,XLOOKUP(B434,Lookup!$F$3:$F$10,Lookup!$H$3:$H$10,,1)*G434, XLOOKUP(B434,Lookup!$F$14:$F$21,Lookup!$H$14:$H$21,,1)*G434),0)</f>
        <v>0</v>
      </c>
      <c r="J434" s="61">
        <f t="array" ref="J434">if(YEAR(A434)=2025,XLOOKUP(B434,Lookup!$F$3:$F$10,Lookup!$I$3:$I$10,,1)*G434, XLOOKUP(B434,Lookup!$F$14:$F$21,Lookup!$I$14:$I$21,,1)*G434)</f>
        <v>0</v>
      </c>
      <c r="K434" s="61">
        <f t="array" ref="K434">if(B434&gt;54, if(YEAR(A434)=2025,XLOOKUP(B434,Lookup!$F$3:$F$10,Lookup!$H$3:$H$10,,1)*G434, XLOOKUP(B434,Lookup!$F$14:$F$21,Lookup!$H$14:$H$21,,1)*G434),0)</f>
        <v>0</v>
      </c>
      <c r="L434" s="62">
        <f>IF(and(A434&lt;questions!$C$19,questions!$C$18="yes"),questions!$C$20,0)</f>
        <v>0</v>
      </c>
      <c r="M434" s="63">
        <f>(Y433+H434)*Lookup!A$26/12</f>
        <v>1941.201636</v>
      </c>
      <c r="N434" s="63">
        <f>if(B434&lt;55, (Z433+I434)*Lookup!B$26/12, (AB433+K434)*Lookup!B$26/12)</f>
        <v>2895.741889</v>
      </c>
      <c r="O434" s="63">
        <f>(AA433+J434)*Lookup!C$26/12</f>
        <v>882.0931162</v>
      </c>
      <c r="P434" s="63">
        <f t="shared" si="8"/>
        <v>3882.403272</v>
      </c>
      <c r="Q434" s="63">
        <f t="shared" si="4"/>
        <v>5791.483778</v>
      </c>
      <c r="R434" s="63">
        <f t="shared" si="5"/>
        <v>1764.186232</v>
      </c>
      <c r="S434" s="64">
        <f t="shared" si="9"/>
        <v>33.33333333</v>
      </c>
      <c r="T434" s="64">
        <f t="shared" si="10"/>
        <v>41.66666667</v>
      </c>
      <c r="U434" s="64">
        <f t="shared" si="11"/>
        <v>0</v>
      </c>
      <c r="V434" s="64">
        <f t="shared" ref="V434:X434" si="442">IF(year($A434)=year($A433), V433+S434, S434)</f>
        <v>66.66666667</v>
      </c>
      <c r="W434" s="64">
        <f t="shared" si="442"/>
        <v>83.33333333</v>
      </c>
      <c r="X434" s="64">
        <f t="shared" si="442"/>
        <v>0</v>
      </c>
      <c r="Y434" s="65">
        <f>IFS(
  B434&lt;55,
    MAX(
      Y433 + IF(MONTH(A434)=12, P434+V434, 0) + H434 - L434
      + MAX(0,
          IF(AA433 &gt;= VLOOKUP(YEAR(A434), Lookup!$Q:$R, 2),
            Z433 + IF(MONTH(A434)=12, Q434+W434, 0) + I434
              + AA433 + IF(MONTH(A434)=12, R434+X434, 0)
              - VLOOKUP(YEAR(A434), Lookup!$Q:$R, 2) + J434,
            Z433 + IF(MONTH(A434)=12, Q434+W434, 0) + I434
          ) - VLOOKUP(YEAR(A434), Lookup!$K:$M, 3)
        ),
    0),
  B434=55,
    IF(Z433&gt;=AD434,
      MAX(Y433 + IF(MONTH(A434)=12, P434+V434, 0) + H434 - L434, 0),
      MAX(MAX(0, Y433-(AD434-Z433)) + IF(MONTH(A434)=12, P434+V434, 0) + H434 - L434, 0)
    ),
  B434&gt;55,
    IF(AB433&gt;=$AH$7,
      MAX(Y433 + IF(MONTH(A434)=12, P434+V434, 0) + H434 - L434 + K434 + Z433, 0),
      MAX(Y433 + IF(MONTH(A434)=12, P434+V434, 0) + H434 - L434, 0)
    )
)</f>
        <v>931776.7852</v>
      </c>
      <c r="Z434" s="65">
        <f>IFS(
  B434&lt;55,
    MIN(
      IF(AA433 &gt;= VLOOKUP(YEAR(A434), Lookup!$Q:$R, 2),
        Z433 + IF(MONTH(A434)=12, Q434+W434, 0) + I434
          + AA433 + IF(MONTH(A434)=12, R434+X434, 0) - VLOOKUP(YEAR(A434), Lookup!$Q:$R, 2) + J434,
        Z433 + IF(MONTH(A434)=12, Q434+W434, 0) + I434
      ),
      VLOOKUP(YEAR(A434), Lookup!$K:$M, 3)
    ),
  B434=55,
    IF(Z433 &gt;= AD434, Z433 - AD434, 0),
  B434&gt;55, 0
)</f>
        <v>0</v>
      </c>
      <c r="AA434" s="65">
        <f>IFS(
  B434&lt;65,
    IF(AA433+J434 &lt; VLOOKUP(YEAR(A434), Lookup!$Q:$R, 2),
      AA433 + IF(MONTH(A434)=12, R433+X433, 0) + J434,
      MIN(
        AA433 + IF(MONTH(A434)=12, R433+X433, 0) + J434 ,
        VLOOKUP(YEAR(A434), Lookup!$Q:$R, 2)
      )
    ),
  B434&gt;=65,
    IF(AA433+J434 &lt; VLOOKUP(questions!$C$5, Lookup!$Q:$R, 2),
      AA433 + IF(MONTH(A434)=12, R433+X433, 0) + J434 ,
      MIN(
        AA433 + IF(MONTH(A434)=12, R433+X433, 0) + J434,
        VLOOKUP(questions!$C$5, Lookup!$Q:$R, 2)
      )
    )
)</f>
        <v>264627.9348</v>
      </c>
      <c r="AB434" s="65">
        <f t="shared" si="13"/>
        <v>868722.5667</v>
      </c>
      <c r="AC434" s="66">
        <f t="array" ref="AC434">IFS(B434&lt;66, XLOOKUP(year(A434),Lookup!$K$13:$K1000,Lookup!$L$13:$L1000,"missing",,1),B434&gt;65,XLOOKUP(questions!$C$5,Lookup!$K$13:$K1000,Lookup!$L$13:$L1000,"missing",,1))</f>
        <v>380362.6699</v>
      </c>
      <c r="AD434" s="66">
        <f t="array" ref="AD434">IFS(B434&lt;66, XLOOKUP(year(A434),Lookup!$K$13:$K1000,Lookup!$M$13:$M1000,"missing",,1),B434&gt;65, XLOOKUP(questions!$C$5,Lookup!$K$13:$K1000,Lookup!$M$13:$M1000,"missing",,1))</f>
        <v>760725.3397</v>
      </c>
      <c r="AE434" s="66">
        <f t="array" ref="AE434">IFS(B434&lt;66, XLOOKUP(year(A434),Lookup!$K$13:$K1000,Lookup!$N$13:$N1000,"missing",,1),B434&gt;65,XLOOKUP(questions!$C$5,Lookup!$K$13:$K1000,Lookup!$N$13:$N1000,"missing",,1))</f>
        <v>1521450.679</v>
      </c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</row>
    <row r="435">
      <c r="A435" s="55">
        <f t="shared" si="7"/>
        <v>59261</v>
      </c>
      <c r="B435" s="56">
        <f>round(YEARFRAC(EOMONTH(questions!$C$3, 0),A435,1),2)</f>
        <v>63.33</v>
      </c>
      <c r="C435" s="58">
        <f>IF(B435&lt;questions!$C$6,if(MONTH(A435)=1,C434*(1+questions!$C$12),C434),0)</f>
        <v>0</v>
      </c>
      <c r="D435" s="58">
        <f>IF(MONTH(A435)=12,C435*questions!$C$11,0)</f>
        <v>0</v>
      </c>
      <c r="E435" s="71">
        <f t="shared" si="2"/>
        <v>0</v>
      </c>
      <c r="F435" s="71">
        <f t="shared" si="3"/>
        <v>0</v>
      </c>
      <c r="G435" s="61">
        <f t="array" ref="G435">if(YEAR(A435)=2025,XLOOKUP(B435,Lookup!$A$3:$A$7,Lookup!$D$3:$D$7,,1)*SUM(E435:F435), XLOOKUP(B435,Lookup!$A$14:$A$18,Lookup!$D$14:$D$18,,1)*SUM(E435:F435))</f>
        <v>0</v>
      </c>
      <c r="H435" s="61">
        <f t="array" ref="H435">if(YEAR(A435)=2025,XLOOKUP(B435,Lookup!$F$3:$F$10,Lookup!$G$3:$G$10,,1)*G435, XLOOKUP(B435,Lookup!$F$14:$F$21,Lookup!$G$14:$G$21,,1)*G435)</f>
        <v>0</v>
      </c>
      <c r="I435" s="61">
        <f t="array" ref="I435">if(B435&lt;55, if(YEAR(A435)=2025,XLOOKUP(B435,Lookup!$F$3:$F$10,Lookup!$H$3:$H$10,,1)*G435, XLOOKUP(B435,Lookup!$F$14:$F$21,Lookup!$H$14:$H$21,,1)*G435),0)</f>
        <v>0</v>
      </c>
      <c r="J435" s="61">
        <f t="array" ref="J435">if(YEAR(A435)=2025,XLOOKUP(B435,Lookup!$F$3:$F$10,Lookup!$I$3:$I$10,,1)*G435, XLOOKUP(B435,Lookup!$F$14:$F$21,Lookup!$I$14:$I$21,,1)*G435)</f>
        <v>0</v>
      </c>
      <c r="K435" s="61">
        <f t="array" ref="K435">if(B435&gt;54, if(YEAR(A435)=2025,XLOOKUP(B435,Lookup!$F$3:$F$10,Lookup!$H$3:$H$10,,1)*G435, XLOOKUP(B435,Lookup!$F$14:$F$21,Lookup!$H$14:$H$21,,1)*G435),0)</f>
        <v>0</v>
      </c>
      <c r="L435" s="62">
        <f>IF(and(A435&lt;questions!$C$19,questions!$C$18="yes"),questions!$C$20,0)</f>
        <v>0</v>
      </c>
      <c r="M435" s="63">
        <f>(Y434+H435)*Lookup!A$26/12</f>
        <v>1941.201636</v>
      </c>
      <c r="N435" s="63">
        <f>if(B435&lt;55, (Z434+I435)*Lookup!B$26/12, (AB434+K435)*Lookup!B$26/12)</f>
        <v>2895.741889</v>
      </c>
      <c r="O435" s="63">
        <f>(AA434+J435)*Lookup!C$26/12</f>
        <v>882.0931162</v>
      </c>
      <c r="P435" s="63">
        <f t="shared" si="8"/>
        <v>5823.604908</v>
      </c>
      <c r="Q435" s="63">
        <f t="shared" si="4"/>
        <v>8687.225667</v>
      </c>
      <c r="R435" s="63">
        <f t="shared" si="5"/>
        <v>2646.279348</v>
      </c>
      <c r="S435" s="64">
        <f t="shared" si="9"/>
        <v>33.33333333</v>
      </c>
      <c r="T435" s="64">
        <f t="shared" si="10"/>
        <v>41.66666667</v>
      </c>
      <c r="U435" s="64">
        <f t="shared" si="11"/>
        <v>0</v>
      </c>
      <c r="V435" s="64">
        <f t="shared" ref="V435:X435" si="443">IF(year($A435)=year($A434), V434+S435, S435)</f>
        <v>100</v>
      </c>
      <c r="W435" s="64">
        <f t="shared" si="443"/>
        <v>125</v>
      </c>
      <c r="X435" s="64">
        <f t="shared" si="443"/>
        <v>0</v>
      </c>
      <c r="Y435" s="65">
        <f>IFS(
  B435&lt;55,
    MAX(
      Y434 + IF(MONTH(A435)=12, P435+V435, 0) + H435 - L435
      + MAX(0,
          IF(AA434 &gt;= VLOOKUP(YEAR(A435), Lookup!$Q:$R, 2),
            Z434 + IF(MONTH(A435)=12, Q435+W435, 0) + I435
              + AA434 + IF(MONTH(A435)=12, R435+X435, 0)
              - VLOOKUP(YEAR(A435), Lookup!$Q:$R, 2) + J435,
            Z434 + IF(MONTH(A435)=12, Q435+W435, 0) + I435
          ) - VLOOKUP(YEAR(A435), Lookup!$K:$M, 3)
        ),
    0),
  B435=55,
    IF(Z434&gt;=AD435,
      MAX(Y434 + IF(MONTH(A435)=12, P435+V435, 0) + H435 - L435, 0),
      MAX(MAX(0, Y434-(AD435-Z434)) + IF(MONTH(A435)=12, P435+V435, 0) + H435 - L435, 0)
    ),
  B435&gt;55,
    IF(AB434&gt;=$AH$7,
      MAX(Y434 + IF(MONTH(A435)=12, P435+V435, 0) + H435 - L435 + K435 + Z434, 0),
      MAX(Y434 + IF(MONTH(A435)=12, P435+V435, 0) + H435 - L435, 0)
    )
)</f>
        <v>931776.7852</v>
      </c>
      <c r="Z435" s="65">
        <f>IFS(
  B435&lt;55,
    MIN(
      IF(AA434 &gt;= VLOOKUP(YEAR(A435), Lookup!$Q:$R, 2),
        Z434 + IF(MONTH(A435)=12, Q435+W435, 0) + I435
          + AA434 + IF(MONTH(A435)=12, R435+X435, 0) - VLOOKUP(YEAR(A435), Lookup!$Q:$R, 2) + J435,
        Z434 + IF(MONTH(A435)=12, Q435+W435, 0) + I435
      ),
      VLOOKUP(YEAR(A435), Lookup!$K:$M, 3)
    ),
  B435=55,
    IF(Z434 &gt;= AD435, Z434 - AD435, 0),
  B435&gt;55, 0
)</f>
        <v>0</v>
      </c>
      <c r="AA435" s="65">
        <f>IFS(
  B435&lt;65,
    IF(AA434+J435 &lt; VLOOKUP(YEAR(A435), Lookup!$Q:$R, 2),
      AA434 + IF(MONTH(A435)=12, R434+X434, 0) + J435,
      MIN(
        AA434 + IF(MONTH(A435)=12, R434+X434, 0) + J435 ,
        VLOOKUP(YEAR(A435), Lookup!$Q:$R, 2)
      )
    ),
  B435&gt;=65,
    IF(AA434+J435 &lt; VLOOKUP(questions!$C$5, Lookup!$Q:$R, 2),
      AA434 + IF(MONTH(A435)=12, R434+X434, 0) + J435 ,
      MIN(
        AA434 + IF(MONTH(A435)=12, R434+X434, 0) + J435,
        VLOOKUP(questions!$C$5, Lookup!$Q:$R, 2)
      )
    )
)</f>
        <v>264627.9348</v>
      </c>
      <c r="AB435" s="65">
        <f t="shared" si="13"/>
        <v>868722.5667</v>
      </c>
      <c r="AC435" s="66">
        <f t="array" ref="AC435">IFS(B435&lt;66, XLOOKUP(year(A435),Lookup!$K$13:$K1000,Lookup!$L$13:$L1000,"missing",,1),B435&gt;65,XLOOKUP(questions!$C$5,Lookup!$K$13:$K1000,Lookup!$L$13:$L1000,"missing",,1))</f>
        <v>380362.6699</v>
      </c>
      <c r="AD435" s="66">
        <f t="array" ref="AD435">IFS(B435&lt;66, XLOOKUP(year(A435),Lookup!$K$13:$K1000,Lookup!$M$13:$M1000,"missing",,1),B435&gt;65, XLOOKUP(questions!$C$5,Lookup!$K$13:$K1000,Lookup!$M$13:$M1000,"missing",,1))</f>
        <v>760725.3397</v>
      </c>
      <c r="AE435" s="66">
        <f t="array" ref="AE435">IFS(B435&lt;66, XLOOKUP(year(A435),Lookup!$K$13:$K1000,Lookup!$N$13:$N1000,"missing",,1),B435&gt;65,XLOOKUP(questions!$C$5,Lookup!$K$13:$K1000,Lookup!$N$13:$N1000,"missing",,1))</f>
        <v>1521450.679</v>
      </c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</row>
    <row r="436">
      <c r="A436" s="55">
        <f t="shared" si="7"/>
        <v>59291</v>
      </c>
      <c r="B436" s="56">
        <f>round(YEARFRAC(EOMONTH(questions!$C$3, 0),A436,1),2)</f>
        <v>63.41</v>
      </c>
      <c r="C436" s="58">
        <f>IF(B436&lt;questions!$C$6,if(MONTH(A436)=1,C435*(1+questions!$C$12),C435),0)</f>
        <v>0</v>
      </c>
      <c r="D436" s="58">
        <f>IF(MONTH(A436)=12,C436*questions!$C$11,0)</f>
        <v>0</v>
      </c>
      <c r="E436" s="71">
        <f t="shared" si="2"/>
        <v>0</v>
      </c>
      <c r="F436" s="71">
        <f t="shared" si="3"/>
        <v>0</v>
      </c>
      <c r="G436" s="61">
        <f t="array" ref="G436">if(YEAR(A436)=2025,XLOOKUP(B436,Lookup!$A$3:$A$7,Lookup!$D$3:$D$7,,1)*SUM(E436:F436), XLOOKUP(B436,Lookup!$A$14:$A$18,Lookup!$D$14:$D$18,,1)*SUM(E436:F436))</f>
        <v>0</v>
      </c>
      <c r="H436" s="61">
        <f t="array" ref="H436">if(YEAR(A436)=2025,XLOOKUP(B436,Lookup!$F$3:$F$10,Lookup!$G$3:$G$10,,1)*G436, XLOOKUP(B436,Lookup!$F$14:$F$21,Lookup!$G$14:$G$21,,1)*G436)</f>
        <v>0</v>
      </c>
      <c r="I436" s="61">
        <f t="array" ref="I436">if(B436&lt;55, if(YEAR(A436)=2025,XLOOKUP(B436,Lookup!$F$3:$F$10,Lookup!$H$3:$H$10,,1)*G436, XLOOKUP(B436,Lookup!$F$14:$F$21,Lookup!$H$14:$H$21,,1)*G436),0)</f>
        <v>0</v>
      </c>
      <c r="J436" s="61">
        <f t="array" ref="J436">if(YEAR(A436)=2025,XLOOKUP(B436,Lookup!$F$3:$F$10,Lookup!$I$3:$I$10,,1)*G436, XLOOKUP(B436,Lookup!$F$14:$F$21,Lookup!$I$14:$I$21,,1)*G436)</f>
        <v>0</v>
      </c>
      <c r="K436" s="61">
        <f t="array" ref="K436">if(B436&gt;54, if(YEAR(A436)=2025,XLOOKUP(B436,Lookup!$F$3:$F$10,Lookup!$H$3:$H$10,,1)*G436, XLOOKUP(B436,Lookup!$F$14:$F$21,Lookup!$H$14:$H$21,,1)*G436),0)</f>
        <v>0</v>
      </c>
      <c r="L436" s="62">
        <f>IF(and(A436&lt;questions!$C$19,questions!$C$18="yes"),questions!$C$20,0)</f>
        <v>0</v>
      </c>
      <c r="M436" s="63">
        <f>(Y435+H436)*Lookup!A$26/12</f>
        <v>1941.201636</v>
      </c>
      <c r="N436" s="63">
        <f>if(B436&lt;55, (Z435+I436)*Lookup!B$26/12, (AB435+K436)*Lookup!B$26/12)</f>
        <v>2895.741889</v>
      </c>
      <c r="O436" s="63">
        <f>(AA435+J436)*Lookup!C$26/12</f>
        <v>882.0931162</v>
      </c>
      <c r="P436" s="63">
        <f t="shared" si="8"/>
        <v>7764.806544</v>
      </c>
      <c r="Q436" s="63">
        <f t="shared" si="4"/>
        <v>11582.96756</v>
      </c>
      <c r="R436" s="63">
        <f t="shared" si="5"/>
        <v>3528.372465</v>
      </c>
      <c r="S436" s="64">
        <f t="shared" si="9"/>
        <v>33.33333333</v>
      </c>
      <c r="T436" s="64">
        <f t="shared" si="10"/>
        <v>41.66666667</v>
      </c>
      <c r="U436" s="64">
        <f t="shared" si="11"/>
        <v>0</v>
      </c>
      <c r="V436" s="64">
        <f t="shared" ref="V436:X436" si="444">IF(year($A436)=year($A435), V435+S436, S436)</f>
        <v>133.3333333</v>
      </c>
      <c r="W436" s="64">
        <f t="shared" si="444"/>
        <v>166.6666667</v>
      </c>
      <c r="X436" s="64">
        <f t="shared" si="444"/>
        <v>0</v>
      </c>
      <c r="Y436" s="65">
        <f>IFS(
  B436&lt;55,
    MAX(
      Y435 + IF(MONTH(A436)=12, P436+V436, 0) + H436 - L436
      + MAX(0,
          IF(AA435 &gt;= VLOOKUP(YEAR(A436), Lookup!$Q:$R, 2),
            Z435 + IF(MONTH(A436)=12, Q436+W436, 0) + I436
              + AA435 + IF(MONTH(A436)=12, R436+X436, 0)
              - VLOOKUP(YEAR(A436), Lookup!$Q:$R, 2) + J436,
            Z435 + IF(MONTH(A436)=12, Q436+W436, 0) + I436
          ) - VLOOKUP(YEAR(A436), Lookup!$K:$M, 3)
        ),
    0),
  B436=55,
    IF(Z435&gt;=AD436,
      MAX(Y435 + IF(MONTH(A436)=12, P436+V436, 0) + H436 - L436, 0),
      MAX(MAX(0, Y435-(AD436-Z435)) + IF(MONTH(A436)=12, P436+V436, 0) + H436 - L436, 0)
    ),
  B436&gt;55,
    IF(AB435&gt;=$AH$7,
      MAX(Y435 + IF(MONTH(A436)=12, P436+V436, 0) + H436 - L436 + K436 + Z435, 0),
      MAX(Y435 + IF(MONTH(A436)=12, P436+V436, 0) + H436 - L436, 0)
    )
)</f>
        <v>931776.7852</v>
      </c>
      <c r="Z436" s="65">
        <f>IFS(
  B436&lt;55,
    MIN(
      IF(AA435 &gt;= VLOOKUP(YEAR(A436), Lookup!$Q:$R, 2),
        Z435 + IF(MONTH(A436)=12, Q436+W436, 0) + I436
          + AA435 + IF(MONTH(A436)=12, R436+X436, 0) - VLOOKUP(YEAR(A436), Lookup!$Q:$R, 2) + J436,
        Z435 + IF(MONTH(A436)=12, Q436+W436, 0) + I436
      ),
      VLOOKUP(YEAR(A436), Lookup!$K:$M, 3)
    ),
  B436=55,
    IF(Z435 &gt;= AD436, Z435 - AD436, 0),
  B436&gt;55, 0
)</f>
        <v>0</v>
      </c>
      <c r="AA436" s="65">
        <f>IFS(
  B436&lt;65,
    IF(AA435+J436 &lt; VLOOKUP(YEAR(A436), Lookup!$Q:$R, 2),
      AA435 + IF(MONTH(A436)=12, R435+X435, 0) + J436,
      MIN(
        AA435 + IF(MONTH(A436)=12, R435+X435, 0) + J436 ,
        VLOOKUP(YEAR(A436), Lookup!$Q:$R, 2)
      )
    ),
  B436&gt;=65,
    IF(AA435+J436 &lt; VLOOKUP(questions!$C$5, Lookup!$Q:$R, 2),
      AA435 + IF(MONTH(A436)=12, R435+X435, 0) + J436 ,
      MIN(
        AA435 + IF(MONTH(A436)=12, R435+X435, 0) + J436,
        VLOOKUP(questions!$C$5, Lookup!$Q:$R, 2)
      )
    )
)</f>
        <v>264627.9348</v>
      </c>
      <c r="AB436" s="65">
        <f t="shared" si="13"/>
        <v>868722.5667</v>
      </c>
      <c r="AC436" s="66">
        <f t="array" ref="AC436">IFS(B436&lt;66, XLOOKUP(year(A436),Lookup!$K$13:$K1000,Lookup!$L$13:$L1000,"missing",,1),B436&gt;65,XLOOKUP(questions!$C$5,Lookup!$K$13:$K1000,Lookup!$L$13:$L1000,"missing",,1))</f>
        <v>380362.6699</v>
      </c>
      <c r="AD436" s="66">
        <f t="array" ref="AD436">IFS(B436&lt;66, XLOOKUP(year(A436),Lookup!$K$13:$K1000,Lookup!$M$13:$M1000,"missing",,1),B436&gt;65, XLOOKUP(questions!$C$5,Lookup!$K$13:$K1000,Lookup!$M$13:$M1000,"missing",,1))</f>
        <v>760725.3397</v>
      </c>
      <c r="AE436" s="66">
        <f t="array" ref="AE436">IFS(B436&lt;66, XLOOKUP(year(A436),Lookup!$K$13:$K1000,Lookup!$N$13:$N1000,"missing",,1),B436&gt;65,XLOOKUP(questions!$C$5,Lookup!$K$13:$K1000,Lookup!$N$13:$N1000,"missing",,1))</f>
        <v>1521450.679</v>
      </c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</row>
    <row r="437">
      <c r="A437" s="55">
        <f t="shared" si="7"/>
        <v>59322</v>
      </c>
      <c r="B437" s="56">
        <f>round(YEARFRAC(EOMONTH(questions!$C$3, 0),A437,1),2)</f>
        <v>63.5</v>
      </c>
      <c r="C437" s="58">
        <f>IF(B437&lt;questions!$C$6,if(MONTH(A437)=1,C436*(1+questions!$C$12),C436),0)</f>
        <v>0</v>
      </c>
      <c r="D437" s="58">
        <f>IF(MONTH(A437)=12,C437*questions!$C$11,0)</f>
        <v>0</v>
      </c>
      <c r="E437" s="71">
        <f t="shared" si="2"/>
        <v>0</v>
      </c>
      <c r="F437" s="71">
        <f t="shared" si="3"/>
        <v>0</v>
      </c>
      <c r="G437" s="61">
        <f t="array" ref="G437">if(YEAR(A437)=2025,XLOOKUP(B437,Lookup!$A$3:$A$7,Lookup!$D$3:$D$7,,1)*SUM(E437:F437), XLOOKUP(B437,Lookup!$A$14:$A$18,Lookup!$D$14:$D$18,,1)*SUM(E437:F437))</f>
        <v>0</v>
      </c>
      <c r="H437" s="61">
        <f t="array" ref="H437">if(YEAR(A437)=2025,XLOOKUP(B437,Lookup!$F$3:$F$10,Lookup!$G$3:$G$10,,1)*G437, XLOOKUP(B437,Lookup!$F$14:$F$21,Lookup!$G$14:$G$21,,1)*G437)</f>
        <v>0</v>
      </c>
      <c r="I437" s="61">
        <f t="array" ref="I437">if(B437&lt;55, if(YEAR(A437)=2025,XLOOKUP(B437,Lookup!$F$3:$F$10,Lookup!$H$3:$H$10,,1)*G437, XLOOKUP(B437,Lookup!$F$14:$F$21,Lookup!$H$14:$H$21,,1)*G437),0)</f>
        <v>0</v>
      </c>
      <c r="J437" s="61">
        <f t="array" ref="J437">if(YEAR(A437)=2025,XLOOKUP(B437,Lookup!$F$3:$F$10,Lookup!$I$3:$I$10,,1)*G437, XLOOKUP(B437,Lookup!$F$14:$F$21,Lookup!$I$14:$I$21,,1)*G437)</f>
        <v>0</v>
      </c>
      <c r="K437" s="61">
        <f t="array" ref="K437">if(B437&gt;54, if(YEAR(A437)=2025,XLOOKUP(B437,Lookup!$F$3:$F$10,Lookup!$H$3:$H$10,,1)*G437, XLOOKUP(B437,Lookup!$F$14:$F$21,Lookup!$H$14:$H$21,,1)*G437),0)</f>
        <v>0</v>
      </c>
      <c r="L437" s="62">
        <f>IF(and(A437&lt;questions!$C$19,questions!$C$18="yes"),questions!$C$20,0)</f>
        <v>0</v>
      </c>
      <c r="M437" s="63">
        <f>(Y436+H437)*Lookup!A$26/12</f>
        <v>1941.201636</v>
      </c>
      <c r="N437" s="63">
        <f>if(B437&lt;55, (Z436+I437)*Lookup!B$26/12, (AB436+K437)*Lookup!B$26/12)</f>
        <v>2895.741889</v>
      </c>
      <c r="O437" s="63">
        <f>(AA436+J437)*Lookup!C$26/12</f>
        <v>882.0931162</v>
      </c>
      <c r="P437" s="63">
        <f t="shared" si="8"/>
        <v>9706.008179</v>
      </c>
      <c r="Q437" s="63">
        <f t="shared" si="4"/>
        <v>14478.70945</v>
      </c>
      <c r="R437" s="63">
        <f t="shared" si="5"/>
        <v>4410.465581</v>
      </c>
      <c r="S437" s="64">
        <f t="shared" si="9"/>
        <v>33.33333333</v>
      </c>
      <c r="T437" s="64">
        <f t="shared" si="10"/>
        <v>41.66666667</v>
      </c>
      <c r="U437" s="64">
        <f t="shared" si="11"/>
        <v>0</v>
      </c>
      <c r="V437" s="64">
        <f t="shared" ref="V437:X437" si="445">IF(year($A437)=year($A436), V436+S437, S437)</f>
        <v>166.6666667</v>
      </c>
      <c r="W437" s="64">
        <f t="shared" si="445"/>
        <v>208.3333333</v>
      </c>
      <c r="X437" s="64">
        <f t="shared" si="445"/>
        <v>0</v>
      </c>
      <c r="Y437" s="65">
        <f>IFS(
  B437&lt;55,
    MAX(
      Y436 + IF(MONTH(A437)=12, P437+V437, 0) + H437 - L437
      + MAX(0,
          IF(AA436 &gt;= VLOOKUP(YEAR(A437), Lookup!$Q:$R, 2),
            Z436 + IF(MONTH(A437)=12, Q437+W437, 0) + I437
              + AA436 + IF(MONTH(A437)=12, R437+X437, 0)
              - VLOOKUP(YEAR(A437), Lookup!$Q:$R, 2) + J437,
            Z436 + IF(MONTH(A437)=12, Q437+W437, 0) + I437
          ) - VLOOKUP(YEAR(A437), Lookup!$K:$M, 3)
        ),
    0),
  B437=55,
    IF(Z436&gt;=AD437,
      MAX(Y436 + IF(MONTH(A437)=12, P437+V437, 0) + H437 - L437, 0),
      MAX(MAX(0, Y436-(AD437-Z436)) + IF(MONTH(A437)=12, P437+V437, 0) + H437 - L437, 0)
    ),
  B437&gt;55,
    IF(AB436&gt;=$AH$7,
      MAX(Y436 + IF(MONTH(A437)=12, P437+V437, 0) + H437 - L437 + K437 + Z436, 0),
      MAX(Y436 + IF(MONTH(A437)=12, P437+V437, 0) + H437 - L437, 0)
    )
)</f>
        <v>931776.7852</v>
      </c>
      <c r="Z437" s="65">
        <f>IFS(
  B437&lt;55,
    MIN(
      IF(AA436 &gt;= VLOOKUP(YEAR(A437), Lookup!$Q:$R, 2),
        Z436 + IF(MONTH(A437)=12, Q437+W437, 0) + I437
          + AA436 + IF(MONTH(A437)=12, R437+X437, 0) - VLOOKUP(YEAR(A437), Lookup!$Q:$R, 2) + J437,
        Z436 + IF(MONTH(A437)=12, Q437+W437, 0) + I437
      ),
      VLOOKUP(YEAR(A437), Lookup!$K:$M, 3)
    ),
  B437=55,
    IF(Z436 &gt;= AD437, Z436 - AD437, 0),
  B437&gt;55, 0
)</f>
        <v>0</v>
      </c>
      <c r="AA437" s="65">
        <f>IFS(
  B437&lt;65,
    IF(AA436+J437 &lt; VLOOKUP(YEAR(A437), Lookup!$Q:$R, 2),
      AA436 + IF(MONTH(A437)=12, R436+X436, 0) + J437,
      MIN(
        AA436 + IF(MONTH(A437)=12, R436+X436, 0) + J437 ,
        VLOOKUP(YEAR(A437), Lookup!$Q:$R, 2)
      )
    ),
  B437&gt;=65,
    IF(AA436+J437 &lt; VLOOKUP(questions!$C$5, Lookup!$Q:$R, 2),
      AA436 + IF(MONTH(A437)=12, R436+X436, 0) + J437 ,
      MIN(
        AA436 + IF(MONTH(A437)=12, R436+X436, 0) + J437,
        VLOOKUP(questions!$C$5, Lookup!$Q:$R, 2)
      )
    )
)</f>
        <v>264627.9348</v>
      </c>
      <c r="AB437" s="65">
        <f t="shared" si="13"/>
        <v>868722.5667</v>
      </c>
      <c r="AC437" s="66">
        <f t="array" ref="AC437">IFS(B437&lt;66, XLOOKUP(year(A437),Lookup!$K$13:$K1000,Lookup!$L$13:$L1000,"missing",,1),B437&gt;65,XLOOKUP(questions!$C$5,Lookup!$K$13:$K1000,Lookup!$L$13:$L1000,"missing",,1))</f>
        <v>380362.6699</v>
      </c>
      <c r="AD437" s="66">
        <f t="array" ref="AD437">IFS(B437&lt;66, XLOOKUP(year(A437),Lookup!$K$13:$K1000,Lookup!$M$13:$M1000,"missing",,1),B437&gt;65, XLOOKUP(questions!$C$5,Lookup!$K$13:$K1000,Lookup!$M$13:$M1000,"missing",,1))</f>
        <v>760725.3397</v>
      </c>
      <c r="AE437" s="66">
        <f t="array" ref="AE437">IFS(B437&lt;66, XLOOKUP(year(A437),Lookup!$K$13:$K1000,Lookup!$N$13:$N1000,"missing",,1),B437&gt;65,XLOOKUP(questions!$C$5,Lookup!$K$13:$K1000,Lookup!$N$13:$N1000,"missing",,1))</f>
        <v>1521450.679</v>
      </c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</row>
    <row r="438">
      <c r="A438" s="55">
        <f t="shared" si="7"/>
        <v>59352</v>
      </c>
      <c r="B438" s="56">
        <f>round(YEARFRAC(EOMONTH(questions!$C$3, 0),A438,1),2)</f>
        <v>63.58</v>
      </c>
      <c r="C438" s="58">
        <f>IF(B438&lt;questions!$C$6,if(MONTH(A438)=1,C437*(1+questions!$C$12),C437),0)</f>
        <v>0</v>
      </c>
      <c r="D438" s="58">
        <f>IF(MONTH(A438)=12,C438*questions!$C$11,0)</f>
        <v>0</v>
      </c>
      <c r="E438" s="71">
        <f t="shared" si="2"/>
        <v>0</v>
      </c>
      <c r="F438" s="71">
        <f t="shared" si="3"/>
        <v>0</v>
      </c>
      <c r="G438" s="61">
        <f t="array" ref="G438">if(YEAR(A438)=2025,XLOOKUP(B438,Lookup!$A$3:$A$7,Lookup!$D$3:$D$7,,1)*SUM(E438:F438), XLOOKUP(B438,Lookup!$A$14:$A$18,Lookup!$D$14:$D$18,,1)*SUM(E438:F438))</f>
        <v>0</v>
      </c>
      <c r="H438" s="61">
        <f t="array" ref="H438">if(YEAR(A438)=2025,XLOOKUP(B438,Lookup!$F$3:$F$10,Lookup!$G$3:$G$10,,1)*G438, XLOOKUP(B438,Lookup!$F$14:$F$21,Lookup!$G$14:$G$21,,1)*G438)</f>
        <v>0</v>
      </c>
      <c r="I438" s="61">
        <f t="array" ref="I438">if(B438&lt;55, if(YEAR(A438)=2025,XLOOKUP(B438,Lookup!$F$3:$F$10,Lookup!$H$3:$H$10,,1)*G438, XLOOKUP(B438,Lookup!$F$14:$F$21,Lookup!$H$14:$H$21,,1)*G438),0)</f>
        <v>0</v>
      </c>
      <c r="J438" s="61">
        <f t="array" ref="J438">if(YEAR(A438)=2025,XLOOKUP(B438,Lookup!$F$3:$F$10,Lookup!$I$3:$I$10,,1)*G438, XLOOKUP(B438,Lookup!$F$14:$F$21,Lookup!$I$14:$I$21,,1)*G438)</f>
        <v>0</v>
      </c>
      <c r="K438" s="61">
        <f t="array" ref="K438">if(B438&gt;54, if(YEAR(A438)=2025,XLOOKUP(B438,Lookup!$F$3:$F$10,Lookup!$H$3:$H$10,,1)*G438, XLOOKUP(B438,Lookup!$F$14:$F$21,Lookup!$H$14:$H$21,,1)*G438),0)</f>
        <v>0</v>
      </c>
      <c r="L438" s="62">
        <f>IF(and(A438&lt;questions!$C$19,questions!$C$18="yes"),questions!$C$20,0)</f>
        <v>0</v>
      </c>
      <c r="M438" s="63">
        <f>(Y437+H438)*Lookup!A$26/12</f>
        <v>1941.201636</v>
      </c>
      <c r="N438" s="63">
        <f>if(B438&lt;55, (Z437+I438)*Lookup!B$26/12, (AB437+K438)*Lookup!B$26/12)</f>
        <v>2895.741889</v>
      </c>
      <c r="O438" s="63">
        <f>(AA437+J438)*Lookup!C$26/12</f>
        <v>882.0931162</v>
      </c>
      <c r="P438" s="63">
        <f t="shared" si="8"/>
        <v>11647.20982</v>
      </c>
      <c r="Q438" s="63">
        <f t="shared" si="4"/>
        <v>17374.45133</v>
      </c>
      <c r="R438" s="63">
        <f t="shared" si="5"/>
        <v>5292.558697</v>
      </c>
      <c r="S438" s="64">
        <f t="shared" si="9"/>
        <v>33.33333333</v>
      </c>
      <c r="T438" s="64">
        <f t="shared" si="10"/>
        <v>41.66666667</v>
      </c>
      <c r="U438" s="64">
        <f t="shared" si="11"/>
        <v>0</v>
      </c>
      <c r="V438" s="64">
        <f t="shared" ref="V438:X438" si="446">IF(year($A438)=year($A437), V437+S438, S438)</f>
        <v>200</v>
      </c>
      <c r="W438" s="64">
        <f t="shared" si="446"/>
        <v>250</v>
      </c>
      <c r="X438" s="64">
        <f t="shared" si="446"/>
        <v>0</v>
      </c>
      <c r="Y438" s="65">
        <f>IFS(
  B438&lt;55,
    MAX(
      Y437 + IF(MONTH(A438)=12, P438+V438, 0) + H438 - L438
      + MAX(0,
          IF(AA437 &gt;= VLOOKUP(YEAR(A438), Lookup!$Q:$R, 2),
            Z437 + IF(MONTH(A438)=12, Q438+W438, 0) + I438
              + AA437 + IF(MONTH(A438)=12, R438+X438, 0)
              - VLOOKUP(YEAR(A438), Lookup!$Q:$R, 2) + J438,
            Z437 + IF(MONTH(A438)=12, Q438+W438, 0) + I438
          ) - VLOOKUP(YEAR(A438), Lookup!$K:$M, 3)
        ),
    0),
  B438=55,
    IF(Z437&gt;=AD438,
      MAX(Y437 + IF(MONTH(A438)=12, P438+V438, 0) + H438 - L438, 0),
      MAX(MAX(0, Y437-(AD438-Z437)) + IF(MONTH(A438)=12, P438+V438, 0) + H438 - L438, 0)
    ),
  B438&gt;55,
    IF(AB437&gt;=$AH$7,
      MAX(Y437 + IF(MONTH(A438)=12, P438+V438, 0) + H438 - L438 + K438 + Z437, 0),
      MAX(Y437 + IF(MONTH(A438)=12, P438+V438, 0) + H438 - L438, 0)
    )
)</f>
        <v>931776.7852</v>
      </c>
      <c r="Z438" s="65">
        <f>IFS(
  B438&lt;55,
    MIN(
      IF(AA437 &gt;= VLOOKUP(YEAR(A438), Lookup!$Q:$R, 2),
        Z437 + IF(MONTH(A438)=12, Q438+W438, 0) + I438
          + AA437 + IF(MONTH(A438)=12, R438+X438, 0) - VLOOKUP(YEAR(A438), Lookup!$Q:$R, 2) + J438,
        Z437 + IF(MONTH(A438)=12, Q438+W438, 0) + I438
      ),
      VLOOKUP(YEAR(A438), Lookup!$K:$M, 3)
    ),
  B438=55,
    IF(Z437 &gt;= AD438, Z437 - AD438, 0),
  B438&gt;55, 0
)</f>
        <v>0</v>
      </c>
      <c r="AA438" s="65">
        <f>IFS(
  B438&lt;65,
    IF(AA437+J438 &lt; VLOOKUP(YEAR(A438), Lookup!$Q:$R, 2),
      AA437 + IF(MONTH(A438)=12, R437+X437, 0) + J438,
      MIN(
        AA437 + IF(MONTH(A438)=12, R437+X437, 0) + J438 ,
        VLOOKUP(YEAR(A438), Lookup!$Q:$R, 2)
      )
    ),
  B438&gt;=65,
    IF(AA437+J438 &lt; VLOOKUP(questions!$C$5, Lookup!$Q:$R, 2),
      AA437 + IF(MONTH(A438)=12, R437+X437, 0) + J438 ,
      MIN(
        AA437 + IF(MONTH(A438)=12, R437+X437, 0) + J438,
        VLOOKUP(questions!$C$5, Lookup!$Q:$R, 2)
      )
    )
)</f>
        <v>264627.9348</v>
      </c>
      <c r="AB438" s="65">
        <f t="shared" si="13"/>
        <v>868722.5667</v>
      </c>
      <c r="AC438" s="66">
        <f t="array" ref="AC438">IFS(B438&lt;66, XLOOKUP(year(A438),Lookup!$K$13:$K1000,Lookup!$L$13:$L1000,"missing",,1),B438&gt;65,XLOOKUP(questions!$C$5,Lookup!$K$13:$K1000,Lookup!$L$13:$L1000,"missing",,1))</f>
        <v>380362.6699</v>
      </c>
      <c r="AD438" s="66">
        <f t="array" ref="AD438">IFS(B438&lt;66, XLOOKUP(year(A438),Lookup!$K$13:$K1000,Lookup!$M$13:$M1000,"missing",,1),B438&gt;65, XLOOKUP(questions!$C$5,Lookup!$K$13:$K1000,Lookup!$M$13:$M1000,"missing",,1))</f>
        <v>760725.3397</v>
      </c>
      <c r="AE438" s="66">
        <f t="array" ref="AE438">IFS(B438&lt;66, XLOOKUP(year(A438),Lookup!$K$13:$K1000,Lookup!$N$13:$N1000,"missing",,1),B438&gt;65,XLOOKUP(questions!$C$5,Lookup!$K$13:$K1000,Lookup!$N$13:$N1000,"missing",,1))</f>
        <v>1521450.679</v>
      </c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</row>
    <row r="439">
      <c r="A439" s="55">
        <f t="shared" si="7"/>
        <v>59383</v>
      </c>
      <c r="B439" s="56">
        <f>round(YEARFRAC(EOMONTH(questions!$C$3, 0),A439,1),2)</f>
        <v>63.67</v>
      </c>
      <c r="C439" s="58">
        <f>IF(B439&lt;questions!$C$6,if(MONTH(A439)=1,C438*(1+questions!$C$12),C438),0)</f>
        <v>0</v>
      </c>
      <c r="D439" s="58">
        <f>IF(MONTH(A439)=12,C439*questions!$C$11,0)</f>
        <v>0</v>
      </c>
      <c r="E439" s="71">
        <f t="shared" si="2"/>
        <v>0</v>
      </c>
      <c r="F439" s="71">
        <f t="shared" si="3"/>
        <v>0</v>
      </c>
      <c r="G439" s="61">
        <f t="array" ref="G439">if(YEAR(A439)=2025,XLOOKUP(B439,Lookup!$A$3:$A$7,Lookup!$D$3:$D$7,,1)*SUM(E439:F439), XLOOKUP(B439,Lookup!$A$14:$A$18,Lookup!$D$14:$D$18,,1)*SUM(E439:F439))</f>
        <v>0</v>
      </c>
      <c r="H439" s="61">
        <f t="array" ref="H439">if(YEAR(A439)=2025,XLOOKUP(B439,Lookup!$F$3:$F$10,Lookup!$G$3:$G$10,,1)*G439, XLOOKUP(B439,Lookup!$F$14:$F$21,Lookup!$G$14:$G$21,,1)*G439)</f>
        <v>0</v>
      </c>
      <c r="I439" s="61">
        <f t="array" ref="I439">if(B439&lt;55, if(YEAR(A439)=2025,XLOOKUP(B439,Lookup!$F$3:$F$10,Lookup!$H$3:$H$10,,1)*G439, XLOOKUP(B439,Lookup!$F$14:$F$21,Lookup!$H$14:$H$21,,1)*G439),0)</f>
        <v>0</v>
      </c>
      <c r="J439" s="61">
        <f t="array" ref="J439">if(YEAR(A439)=2025,XLOOKUP(B439,Lookup!$F$3:$F$10,Lookup!$I$3:$I$10,,1)*G439, XLOOKUP(B439,Lookup!$F$14:$F$21,Lookup!$I$14:$I$21,,1)*G439)</f>
        <v>0</v>
      </c>
      <c r="K439" s="61">
        <f t="array" ref="K439">if(B439&gt;54, if(YEAR(A439)=2025,XLOOKUP(B439,Lookup!$F$3:$F$10,Lookup!$H$3:$H$10,,1)*G439, XLOOKUP(B439,Lookup!$F$14:$F$21,Lookup!$H$14:$H$21,,1)*G439),0)</f>
        <v>0</v>
      </c>
      <c r="L439" s="62">
        <f>IF(and(A439&lt;questions!$C$19,questions!$C$18="yes"),questions!$C$20,0)</f>
        <v>0</v>
      </c>
      <c r="M439" s="63">
        <f>(Y438+H439)*Lookup!A$26/12</f>
        <v>1941.201636</v>
      </c>
      <c r="N439" s="63">
        <f>if(B439&lt;55, (Z438+I439)*Lookup!B$26/12, (AB438+K439)*Lookup!B$26/12)</f>
        <v>2895.741889</v>
      </c>
      <c r="O439" s="63">
        <f>(AA438+J439)*Lookup!C$26/12</f>
        <v>882.0931162</v>
      </c>
      <c r="P439" s="63">
        <f t="shared" si="8"/>
        <v>13588.41145</v>
      </c>
      <c r="Q439" s="63">
        <f t="shared" si="4"/>
        <v>20270.19322</v>
      </c>
      <c r="R439" s="63">
        <f t="shared" si="5"/>
        <v>6174.651813</v>
      </c>
      <c r="S439" s="64">
        <f t="shared" si="9"/>
        <v>33.33333333</v>
      </c>
      <c r="T439" s="64">
        <f t="shared" si="10"/>
        <v>41.66666667</v>
      </c>
      <c r="U439" s="64">
        <f t="shared" si="11"/>
        <v>0</v>
      </c>
      <c r="V439" s="64">
        <f t="shared" ref="V439:X439" si="447">IF(year($A439)=year($A438), V438+S439, S439)</f>
        <v>233.3333333</v>
      </c>
      <c r="W439" s="64">
        <f t="shared" si="447"/>
        <v>291.6666667</v>
      </c>
      <c r="X439" s="64">
        <f t="shared" si="447"/>
        <v>0</v>
      </c>
      <c r="Y439" s="65">
        <f>IFS(
  B439&lt;55,
    MAX(
      Y438 + IF(MONTH(A439)=12, P439+V439, 0) + H439 - L439
      + MAX(0,
          IF(AA438 &gt;= VLOOKUP(YEAR(A439), Lookup!$Q:$R, 2),
            Z438 + IF(MONTH(A439)=12, Q439+W439, 0) + I439
              + AA438 + IF(MONTH(A439)=12, R439+X439, 0)
              - VLOOKUP(YEAR(A439), Lookup!$Q:$R, 2) + J439,
            Z438 + IF(MONTH(A439)=12, Q439+W439, 0) + I439
          ) - VLOOKUP(YEAR(A439), Lookup!$K:$M, 3)
        ),
    0),
  B439=55,
    IF(Z438&gt;=AD439,
      MAX(Y438 + IF(MONTH(A439)=12, P439+V439, 0) + H439 - L439, 0),
      MAX(MAX(0, Y438-(AD439-Z438)) + IF(MONTH(A439)=12, P439+V439, 0) + H439 - L439, 0)
    ),
  B439&gt;55,
    IF(AB438&gt;=$AH$7,
      MAX(Y438 + IF(MONTH(A439)=12, P439+V439, 0) + H439 - L439 + K439 + Z438, 0),
      MAX(Y438 + IF(MONTH(A439)=12, P439+V439, 0) + H439 - L439, 0)
    )
)</f>
        <v>931776.7852</v>
      </c>
      <c r="Z439" s="65">
        <f>IFS(
  B439&lt;55,
    MIN(
      IF(AA438 &gt;= VLOOKUP(YEAR(A439), Lookup!$Q:$R, 2),
        Z438 + IF(MONTH(A439)=12, Q439+W439, 0) + I439
          + AA438 + IF(MONTH(A439)=12, R439+X439, 0) - VLOOKUP(YEAR(A439), Lookup!$Q:$R, 2) + J439,
        Z438 + IF(MONTH(A439)=12, Q439+W439, 0) + I439
      ),
      VLOOKUP(YEAR(A439), Lookup!$K:$M, 3)
    ),
  B439=55,
    IF(Z438 &gt;= AD439, Z438 - AD439, 0),
  B439&gt;55, 0
)</f>
        <v>0</v>
      </c>
      <c r="AA439" s="65">
        <f>IFS(
  B439&lt;65,
    IF(AA438+J439 &lt; VLOOKUP(YEAR(A439), Lookup!$Q:$R, 2),
      AA438 + IF(MONTH(A439)=12, R438+X438, 0) + J439,
      MIN(
        AA438 + IF(MONTH(A439)=12, R438+X438, 0) + J439 ,
        VLOOKUP(YEAR(A439), Lookup!$Q:$R, 2)
      )
    ),
  B439&gt;=65,
    IF(AA438+J439 &lt; VLOOKUP(questions!$C$5, Lookup!$Q:$R, 2),
      AA438 + IF(MONTH(A439)=12, R438+X438, 0) + J439 ,
      MIN(
        AA438 + IF(MONTH(A439)=12, R438+X438, 0) + J439,
        VLOOKUP(questions!$C$5, Lookup!$Q:$R, 2)
      )
    )
)</f>
        <v>264627.9348</v>
      </c>
      <c r="AB439" s="65">
        <f t="shared" si="13"/>
        <v>868722.5667</v>
      </c>
      <c r="AC439" s="66">
        <f t="array" ref="AC439">IFS(B439&lt;66, XLOOKUP(year(A439),Lookup!$K$13:$K1000,Lookup!$L$13:$L1000,"missing",,1),B439&gt;65,XLOOKUP(questions!$C$5,Lookup!$K$13:$K1000,Lookup!$L$13:$L1000,"missing",,1))</f>
        <v>380362.6699</v>
      </c>
      <c r="AD439" s="66">
        <f t="array" ref="AD439">IFS(B439&lt;66, XLOOKUP(year(A439),Lookup!$K$13:$K1000,Lookup!$M$13:$M1000,"missing",,1),B439&gt;65, XLOOKUP(questions!$C$5,Lookup!$K$13:$K1000,Lookup!$M$13:$M1000,"missing",,1))</f>
        <v>760725.3397</v>
      </c>
      <c r="AE439" s="66">
        <f t="array" ref="AE439">IFS(B439&lt;66, XLOOKUP(year(A439),Lookup!$K$13:$K1000,Lookup!$N$13:$N1000,"missing",,1),B439&gt;65,XLOOKUP(questions!$C$5,Lookup!$K$13:$K1000,Lookup!$N$13:$N1000,"missing",,1))</f>
        <v>1521450.679</v>
      </c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</row>
    <row r="440">
      <c r="A440" s="55">
        <f t="shared" si="7"/>
        <v>59414</v>
      </c>
      <c r="B440" s="56">
        <f>round(YEARFRAC(EOMONTH(questions!$C$3, 0),A440,1),2)</f>
        <v>63.75</v>
      </c>
      <c r="C440" s="58">
        <f>IF(B440&lt;questions!$C$6,if(MONTH(A440)=1,C439*(1+questions!$C$12),C439),0)</f>
        <v>0</v>
      </c>
      <c r="D440" s="58">
        <f>IF(MONTH(A440)=12,C440*questions!$C$11,0)</f>
        <v>0</v>
      </c>
      <c r="E440" s="71">
        <f t="shared" si="2"/>
        <v>0</v>
      </c>
      <c r="F440" s="71">
        <f t="shared" si="3"/>
        <v>0</v>
      </c>
      <c r="G440" s="61">
        <f t="array" ref="G440">if(YEAR(A440)=2025,XLOOKUP(B440,Lookup!$A$3:$A$7,Lookup!$D$3:$D$7,,1)*SUM(E440:F440), XLOOKUP(B440,Lookup!$A$14:$A$18,Lookup!$D$14:$D$18,,1)*SUM(E440:F440))</f>
        <v>0</v>
      </c>
      <c r="H440" s="61">
        <f t="array" ref="H440">if(YEAR(A440)=2025,XLOOKUP(B440,Lookup!$F$3:$F$10,Lookup!$G$3:$G$10,,1)*G440, XLOOKUP(B440,Lookup!$F$14:$F$21,Lookup!$G$14:$G$21,,1)*G440)</f>
        <v>0</v>
      </c>
      <c r="I440" s="61">
        <f t="array" ref="I440">if(B440&lt;55, if(YEAR(A440)=2025,XLOOKUP(B440,Lookup!$F$3:$F$10,Lookup!$H$3:$H$10,,1)*G440, XLOOKUP(B440,Lookup!$F$14:$F$21,Lookup!$H$14:$H$21,,1)*G440),0)</f>
        <v>0</v>
      </c>
      <c r="J440" s="61">
        <f t="array" ref="J440">if(YEAR(A440)=2025,XLOOKUP(B440,Lookup!$F$3:$F$10,Lookup!$I$3:$I$10,,1)*G440, XLOOKUP(B440,Lookup!$F$14:$F$21,Lookup!$I$14:$I$21,,1)*G440)</f>
        <v>0</v>
      </c>
      <c r="K440" s="61">
        <f t="array" ref="K440">if(B440&gt;54, if(YEAR(A440)=2025,XLOOKUP(B440,Lookup!$F$3:$F$10,Lookup!$H$3:$H$10,,1)*G440, XLOOKUP(B440,Lookup!$F$14:$F$21,Lookup!$H$14:$H$21,,1)*G440),0)</f>
        <v>0</v>
      </c>
      <c r="L440" s="62">
        <f>IF(and(A440&lt;questions!$C$19,questions!$C$18="yes"),questions!$C$20,0)</f>
        <v>0</v>
      </c>
      <c r="M440" s="63">
        <f>(Y439+H440)*Lookup!A$26/12</f>
        <v>1941.201636</v>
      </c>
      <c r="N440" s="63">
        <f>if(B440&lt;55, (Z439+I440)*Lookup!B$26/12, (AB439+K440)*Lookup!B$26/12)</f>
        <v>2895.741889</v>
      </c>
      <c r="O440" s="63">
        <f>(AA439+J440)*Lookup!C$26/12</f>
        <v>882.0931162</v>
      </c>
      <c r="P440" s="63">
        <f t="shared" si="8"/>
        <v>15529.61309</v>
      </c>
      <c r="Q440" s="63">
        <f t="shared" si="4"/>
        <v>23165.93511</v>
      </c>
      <c r="R440" s="63">
        <f t="shared" si="5"/>
        <v>7056.744929</v>
      </c>
      <c r="S440" s="64">
        <f t="shared" si="9"/>
        <v>33.33333333</v>
      </c>
      <c r="T440" s="64">
        <f t="shared" si="10"/>
        <v>41.66666667</v>
      </c>
      <c r="U440" s="64">
        <f t="shared" si="11"/>
        <v>0</v>
      </c>
      <c r="V440" s="64">
        <f t="shared" ref="V440:X440" si="448">IF(year($A440)=year($A439), V439+S440, S440)</f>
        <v>266.6666667</v>
      </c>
      <c r="W440" s="64">
        <f t="shared" si="448"/>
        <v>333.3333333</v>
      </c>
      <c r="X440" s="64">
        <f t="shared" si="448"/>
        <v>0</v>
      </c>
      <c r="Y440" s="65">
        <f>IFS(
  B440&lt;55,
    MAX(
      Y439 + IF(MONTH(A440)=12, P440+V440, 0) + H440 - L440
      + MAX(0,
          IF(AA439 &gt;= VLOOKUP(YEAR(A440), Lookup!$Q:$R, 2),
            Z439 + IF(MONTH(A440)=12, Q440+W440, 0) + I440
              + AA439 + IF(MONTH(A440)=12, R440+X440, 0)
              - VLOOKUP(YEAR(A440), Lookup!$Q:$R, 2) + J440,
            Z439 + IF(MONTH(A440)=12, Q440+W440, 0) + I440
          ) - VLOOKUP(YEAR(A440), Lookup!$K:$M, 3)
        ),
    0),
  B440=55,
    IF(Z439&gt;=AD440,
      MAX(Y439 + IF(MONTH(A440)=12, P440+V440, 0) + H440 - L440, 0),
      MAX(MAX(0, Y439-(AD440-Z439)) + IF(MONTH(A440)=12, P440+V440, 0) + H440 - L440, 0)
    ),
  B440&gt;55,
    IF(AB439&gt;=$AH$7,
      MAX(Y439 + IF(MONTH(A440)=12, P440+V440, 0) + H440 - L440 + K440 + Z439, 0),
      MAX(Y439 + IF(MONTH(A440)=12, P440+V440, 0) + H440 - L440, 0)
    )
)</f>
        <v>931776.7852</v>
      </c>
      <c r="Z440" s="65">
        <f>IFS(
  B440&lt;55,
    MIN(
      IF(AA439 &gt;= VLOOKUP(YEAR(A440), Lookup!$Q:$R, 2),
        Z439 + IF(MONTH(A440)=12, Q440+W440, 0) + I440
          + AA439 + IF(MONTH(A440)=12, R440+X440, 0) - VLOOKUP(YEAR(A440), Lookup!$Q:$R, 2) + J440,
        Z439 + IF(MONTH(A440)=12, Q440+W440, 0) + I440
      ),
      VLOOKUP(YEAR(A440), Lookup!$K:$M, 3)
    ),
  B440=55,
    IF(Z439 &gt;= AD440, Z439 - AD440, 0),
  B440&gt;55, 0
)</f>
        <v>0</v>
      </c>
      <c r="AA440" s="65">
        <f>IFS(
  B440&lt;65,
    IF(AA439+J440 &lt; VLOOKUP(YEAR(A440), Lookup!$Q:$R, 2),
      AA439 + IF(MONTH(A440)=12, R439+X439, 0) + J440,
      MIN(
        AA439 + IF(MONTH(A440)=12, R439+X439, 0) + J440 ,
        VLOOKUP(YEAR(A440), Lookup!$Q:$R, 2)
      )
    ),
  B440&gt;=65,
    IF(AA439+J440 &lt; VLOOKUP(questions!$C$5, Lookup!$Q:$R, 2),
      AA439 + IF(MONTH(A440)=12, R439+X439, 0) + J440 ,
      MIN(
        AA439 + IF(MONTH(A440)=12, R439+X439, 0) + J440,
        VLOOKUP(questions!$C$5, Lookup!$Q:$R, 2)
      )
    )
)</f>
        <v>264627.9348</v>
      </c>
      <c r="AB440" s="65">
        <f t="shared" si="13"/>
        <v>868722.5667</v>
      </c>
      <c r="AC440" s="66">
        <f t="array" ref="AC440">IFS(B440&lt;66, XLOOKUP(year(A440),Lookup!$K$13:$K1000,Lookup!$L$13:$L1000,"missing",,1),B440&gt;65,XLOOKUP(questions!$C$5,Lookup!$K$13:$K1000,Lookup!$L$13:$L1000,"missing",,1))</f>
        <v>380362.6699</v>
      </c>
      <c r="AD440" s="66">
        <f t="array" ref="AD440">IFS(B440&lt;66, XLOOKUP(year(A440),Lookup!$K$13:$K1000,Lookup!$M$13:$M1000,"missing",,1),B440&gt;65, XLOOKUP(questions!$C$5,Lookup!$K$13:$K1000,Lookup!$M$13:$M1000,"missing",,1))</f>
        <v>760725.3397</v>
      </c>
      <c r="AE440" s="66">
        <f t="array" ref="AE440">IFS(B440&lt;66, XLOOKUP(year(A440),Lookup!$K$13:$K1000,Lookup!$N$13:$N1000,"missing",,1),B440&gt;65,XLOOKUP(questions!$C$5,Lookup!$K$13:$K1000,Lookup!$N$13:$N1000,"missing",,1))</f>
        <v>1521450.679</v>
      </c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</row>
    <row r="441">
      <c r="A441" s="55">
        <f t="shared" si="7"/>
        <v>59444</v>
      </c>
      <c r="B441" s="56">
        <f>round(YEARFRAC(EOMONTH(questions!$C$3, 0),A441,1),2)</f>
        <v>63.83</v>
      </c>
      <c r="C441" s="58">
        <f>IF(B441&lt;questions!$C$6,if(MONTH(A441)=1,C440*(1+questions!$C$12),C440),0)</f>
        <v>0</v>
      </c>
      <c r="D441" s="58">
        <f>IF(MONTH(A441)=12,C441*questions!$C$11,0)</f>
        <v>0</v>
      </c>
      <c r="E441" s="71">
        <f t="shared" si="2"/>
        <v>0</v>
      </c>
      <c r="F441" s="71">
        <f t="shared" si="3"/>
        <v>0</v>
      </c>
      <c r="G441" s="61">
        <f t="array" ref="G441">if(YEAR(A441)=2025,XLOOKUP(B441,Lookup!$A$3:$A$7,Lookup!$D$3:$D$7,,1)*SUM(E441:F441), XLOOKUP(B441,Lookup!$A$14:$A$18,Lookup!$D$14:$D$18,,1)*SUM(E441:F441))</f>
        <v>0</v>
      </c>
      <c r="H441" s="61">
        <f t="array" ref="H441">if(YEAR(A441)=2025,XLOOKUP(B441,Lookup!$F$3:$F$10,Lookup!$G$3:$G$10,,1)*G441, XLOOKUP(B441,Lookup!$F$14:$F$21,Lookup!$G$14:$G$21,,1)*G441)</f>
        <v>0</v>
      </c>
      <c r="I441" s="61">
        <f t="array" ref="I441">if(B441&lt;55, if(YEAR(A441)=2025,XLOOKUP(B441,Lookup!$F$3:$F$10,Lookup!$H$3:$H$10,,1)*G441, XLOOKUP(B441,Lookup!$F$14:$F$21,Lookup!$H$14:$H$21,,1)*G441),0)</f>
        <v>0</v>
      </c>
      <c r="J441" s="61">
        <f t="array" ref="J441">if(YEAR(A441)=2025,XLOOKUP(B441,Lookup!$F$3:$F$10,Lookup!$I$3:$I$10,,1)*G441, XLOOKUP(B441,Lookup!$F$14:$F$21,Lookup!$I$14:$I$21,,1)*G441)</f>
        <v>0</v>
      </c>
      <c r="K441" s="61">
        <f t="array" ref="K441">if(B441&gt;54, if(YEAR(A441)=2025,XLOOKUP(B441,Lookup!$F$3:$F$10,Lookup!$H$3:$H$10,,1)*G441, XLOOKUP(B441,Lookup!$F$14:$F$21,Lookup!$H$14:$H$21,,1)*G441),0)</f>
        <v>0</v>
      </c>
      <c r="L441" s="62">
        <f>IF(and(A441&lt;questions!$C$19,questions!$C$18="yes"),questions!$C$20,0)</f>
        <v>0</v>
      </c>
      <c r="M441" s="63">
        <f>(Y440+H441)*Lookup!A$26/12</f>
        <v>1941.201636</v>
      </c>
      <c r="N441" s="63">
        <f>if(B441&lt;55, (Z440+I441)*Lookup!B$26/12, (AB440+K441)*Lookup!B$26/12)</f>
        <v>2895.741889</v>
      </c>
      <c r="O441" s="63">
        <f>(AA440+J441)*Lookup!C$26/12</f>
        <v>882.0931162</v>
      </c>
      <c r="P441" s="63">
        <f t="shared" si="8"/>
        <v>17470.81472</v>
      </c>
      <c r="Q441" s="63">
        <f t="shared" si="4"/>
        <v>26061.677</v>
      </c>
      <c r="R441" s="63">
        <f t="shared" si="5"/>
        <v>7938.838045</v>
      </c>
      <c r="S441" s="64">
        <f t="shared" si="9"/>
        <v>33.33333333</v>
      </c>
      <c r="T441" s="64">
        <f t="shared" si="10"/>
        <v>41.66666667</v>
      </c>
      <c r="U441" s="64">
        <f t="shared" si="11"/>
        <v>0</v>
      </c>
      <c r="V441" s="64">
        <f t="shared" ref="V441:X441" si="449">IF(year($A441)=year($A440), V440+S441, S441)</f>
        <v>300</v>
      </c>
      <c r="W441" s="64">
        <f t="shared" si="449"/>
        <v>375</v>
      </c>
      <c r="X441" s="64">
        <f t="shared" si="449"/>
        <v>0</v>
      </c>
      <c r="Y441" s="65">
        <f>IFS(
  B441&lt;55,
    MAX(
      Y440 + IF(MONTH(A441)=12, P441+V441, 0) + H441 - L441
      + MAX(0,
          IF(AA440 &gt;= VLOOKUP(YEAR(A441), Lookup!$Q:$R, 2),
            Z440 + IF(MONTH(A441)=12, Q441+W441, 0) + I441
              + AA440 + IF(MONTH(A441)=12, R441+X441, 0)
              - VLOOKUP(YEAR(A441), Lookup!$Q:$R, 2) + J441,
            Z440 + IF(MONTH(A441)=12, Q441+W441, 0) + I441
          ) - VLOOKUP(YEAR(A441), Lookup!$K:$M, 3)
        ),
    0),
  B441=55,
    IF(Z440&gt;=AD441,
      MAX(Y440 + IF(MONTH(A441)=12, P441+V441, 0) + H441 - L441, 0),
      MAX(MAX(0, Y440-(AD441-Z440)) + IF(MONTH(A441)=12, P441+V441, 0) + H441 - L441, 0)
    ),
  B441&gt;55,
    IF(AB440&gt;=$AH$7,
      MAX(Y440 + IF(MONTH(A441)=12, P441+V441, 0) + H441 - L441 + K441 + Z440, 0),
      MAX(Y440 + IF(MONTH(A441)=12, P441+V441, 0) + H441 - L441, 0)
    )
)</f>
        <v>931776.7852</v>
      </c>
      <c r="Z441" s="65">
        <f>IFS(
  B441&lt;55,
    MIN(
      IF(AA440 &gt;= VLOOKUP(YEAR(A441), Lookup!$Q:$R, 2),
        Z440 + IF(MONTH(A441)=12, Q441+W441, 0) + I441
          + AA440 + IF(MONTH(A441)=12, R441+X441, 0) - VLOOKUP(YEAR(A441), Lookup!$Q:$R, 2) + J441,
        Z440 + IF(MONTH(A441)=12, Q441+W441, 0) + I441
      ),
      VLOOKUP(YEAR(A441), Lookup!$K:$M, 3)
    ),
  B441=55,
    IF(Z440 &gt;= AD441, Z440 - AD441, 0),
  B441&gt;55, 0
)</f>
        <v>0</v>
      </c>
      <c r="AA441" s="65">
        <f>IFS(
  B441&lt;65,
    IF(AA440+J441 &lt; VLOOKUP(YEAR(A441), Lookup!$Q:$R, 2),
      AA440 + IF(MONTH(A441)=12, R440+X440, 0) + J441,
      MIN(
        AA440 + IF(MONTH(A441)=12, R440+X440, 0) + J441 ,
        VLOOKUP(YEAR(A441), Lookup!$Q:$R, 2)
      )
    ),
  B441&gt;=65,
    IF(AA440+J441 &lt; VLOOKUP(questions!$C$5, Lookup!$Q:$R, 2),
      AA440 + IF(MONTH(A441)=12, R440+X440, 0) + J441 ,
      MIN(
        AA440 + IF(MONTH(A441)=12, R440+X440, 0) + J441,
        VLOOKUP(questions!$C$5, Lookup!$Q:$R, 2)
      )
    )
)</f>
        <v>264627.9348</v>
      </c>
      <c r="AB441" s="65">
        <f t="shared" si="13"/>
        <v>868722.5667</v>
      </c>
      <c r="AC441" s="66">
        <f t="array" ref="AC441">IFS(B441&lt;66, XLOOKUP(year(A441),Lookup!$K$13:$K1000,Lookup!$L$13:$L1000,"missing",,1),B441&gt;65,XLOOKUP(questions!$C$5,Lookup!$K$13:$K1000,Lookup!$L$13:$L1000,"missing",,1))</f>
        <v>380362.6699</v>
      </c>
      <c r="AD441" s="66">
        <f t="array" ref="AD441">IFS(B441&lt;66, XLOOKUP(year(A441),Lookup!$K$13:$K1000,Lookup!$M$13:$M1000,"missing",,1),B441&gt;65, XLOOKUP(questions!$C$5,Lookup!$K$13:$K1000,Lookup!$M$13:$M1000,"missing",,1))</f>
        <v>760725.3397</v>
      </c>
      <c r="AE441" s="66">
        <f t="array" ref="AE441">IFS(B441&lt;66, XLOOKUP(year(A441),Lookup!$K$13:$K1000,Lookup!$N$13:$N1000,"missing",,1),B441&gt;65,XLOOKUP(questions!$C$5,Lookup!$K$13:$K1000,Lookup!$N$13:$N1000,"missing",,1))</f>
        <v>1521450.679</v>
      </c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</row>
    <row r="442">
      <c r="A442" s="55">
        <f t="shared" si="7"/>
        <v>59475</v>
      </c>
      <c r="B442" s="56">
        <f>round(YEARFRAC(EOMONTH(questions!$C$3, 0),A442,1),2)</f>
        <v>63.92</v>
      </c>
      <c r="C442" s="58">
        <f>IF(B442&lt;questions!$C$6,if(MONTH(A442)=1,C441*(1+questions!$C$12),C441),0)</f>
        <v>0</v>
      </c>
      <c r="D442" s="58">
        <f>IF(MONTH(A442)=12,C442*questions!$C$11,0)</f>
        <v>0</v>
      </c>
      <c r="E442" s="71">
        <f t="shared" si="2"/>
        <v>0</v>
      </c>
      <c r="F442" s="71">
        <f t="shared" si="3"/>
        <v>0</v>
      </c>
      <c r="G442" s="61">
        <f t="array" ref="G442">if(YEAR(A442)=2025,XLOOKUP(B442,Lookup!$A$3:$A$7,Lookup!$D$3:$D$7,,1)*SUM(E442:F442), XLOOKUP(B442,Lookup!$A$14:$A$18,Lookup!$D$14:$D$18,,1)*SUM(E442:F442))</f>
        <v>0</v>
      </c>
      <c r="H442" s="61">
        <f t="array" ref="H442">if(YEAR(A442)=2025,XLOOKUP(B442,Lookup!$F$3:$F$10,Lookup!$G$3:$G$10,,1)*G442, XLOOKUP(B442,Lookup!$F$14:$F$21,Lookup!$G$14:$G$21,,1)*G442)</f>
        <v>0</v>
      </c>
      <c r="I442" s="61">
        <f t="array" ref="I442">if(B442&lt;55, if(YEAR(A442)=2025,XLOOKUP(B442,Lookup!$F$3:$F$10,Lookup!$H$3:$H$10,,1)*G442, XLOOKUP(B442,Lookup!$F$14:$F$21,Lookup!$H$14:$H$21,,1)*G442),0)</f>
        <v>0</v>
      </c>
      <c r="J442" s="61">
        <f t="array" ref="J442">if(YEAR(A442)=2025,XLOOKUP(B442,Lookup!$F$3:$F$10,Lookup!$I$3:$I$10,,1)*G442, XLOOKUP(B442,Lookup!$F$14:$F$21,Lookup!$I$14:$I$21,,1)*G442)</f>
        <v>0</v>
      </c>
      <c r="K442" s="61">
        <f t="array" ref="K442">if(B442&gt;54, if(YEAR(A442)=2025,XLOOKUP(B442,Lookup!$F$3:$F$10,Lookup!$H$3:$H$10,,1)*G442, XLOOKUP(B442,Lookup!$F$14:$F$21,Lookup!$H$14:$H$21,,1)*G442),0)</f>
        <v>0</v>
      </c>
      <c r="L442" s="62">
        <f>IF(and(A442&lt;questions!$C$19,questions!$C$18="yes"),questions!$C$20,0)</f>
        <v>0</v>
      </c>
      <c r="M442" s="63">
        <f>(Y441+H442)*Lookup!A$26/12</f>
        <v>1941.201636</v>
      </c>
      <c r="N442" s="63">
        <f>if(B442&lt;55, (Z441+I442)*Lookup!B$26/12, (AB441+K442)*Lookup!B$26/12)</f>
        <v>2895.741889</v>
      </c>
      <c r="O442" s="63">
        <f>(AA441+J442)*Lookup!C$26/12</f>
        <v>882.0931162</v>
      </c>
      <c r="P442" s="63">
        <f t="shared" si="8"/>
        <v>19412.01636</v>
      </c>
      <c r="Q442" s="63">
        <f t="shared" si="4"/>
        <v>28957.41889</v>
      </c>
      <c r="R442" s="63">
        <f t="shared" si="5"/>
        <v>8820.931162</v>
      </c>
      <c r="S442" s="64">
        <f t="shared" si="9"/>
        <v>33.33333333</v>
      </c>
      <c r="T442" s="64">
        <f t="shared" si="10"/>
        <v>41.66666667</v>
      </c>
      <c r="U442" s="64">
        <f t="shared" si="11"/>
        <v>0</v>
      </c>
      <c r="V442" s="64">
        <f t="shared" ref="V442:X442" si="450">IF(year($A442)=year($A441), V441+S442, S442)</f>
        <v>333.3333333</v>
      </c>
      <c r="W442" s="64">
        <f t="shared" si="450"/>
        <v>416.6666667</v>
      </c>
      <c r="X442" s="64">
        <f t="shared" si="450"/>
        <v>0</v>
      </c>
      <c r="Y442" s="65">
        <f>IFS(
  B442&lt;55,
    MAX(
      Y441 + IF(MONTH(A442)=12, P442+V442, 0) + H442 - L442
      + MAX(0,
          IF(AA441 &gt;= VLOOKUP(YEAR(A442), Lookup!$Q:$R, 2),
            Z441 + IF(MONTH(A442)=12, Q442+W442, 0) + I442
              + AA441 + IF(MONTH(A442)=12, R442+X442, 0)
              - VLOOKUP(YEAR(A442), Lookup!$Q:$R, 2) + J442,
            Z441 + IF(MONTH(A442)=12, Q442+W442, 0) + I442
          ) - VLOOKUP(YEAR(A442), Lookup!$K:$M, 3)
        ),
    0),
  B442=55,
    IF(Z441&gt;=AD442,
      MAX(Y441 + IF(MONTH(A442)=12, P442+V442, 0) + H442 - L442, 0),
      MAX(MAX(0, Y441-(AD442-Z441)) + IF(MONTH(A442)=12, P442+V442, 0) + H442 - L442, 0)
    ),
  B442&gt;55,
    IF(AB441&gt;=$AH$7,
      MAX(Y441 + IF(MONTH(A442)=12, P442+V442, 0) + H442 - L442 + K442 + Z441, 0),
      MAX(Y441 + IF(MONTH(A442)=12, P442+V442, 0) + H442 - L442, 0)
    )
)</f>
        <v>931776.7852</v>
      </c>
      <c r="Z442" s="65">
        <f>IFS(
  B442&lt;55,
    MIN(
      IF(AA441 &gt;= VLOOKUP(YEAR(A442), Lookup!$Q:$R, 2),
        Z441 + IF(MONTH(A442)=12, Q442+W442, 0) + I442
          + AA441 + IF(MONTH(A442)=12, R442+X442, 0) - VLOOKUP(YEAR(A442), Lookup!$Q:$R, 2) + J442,
        Z441 + IF(MONTH(A442)=12, Q442+W442, 0) + I442
      ),
      VLOOKUP(YEAR(A442), Lookup!$K:$M, 3)
    ),
  B442=55,
    IF(Z441 &gt;= AD442, Z441 - AD442, 0),
  B442&gt;55, 0
)</f>
        <v>0</v>
      </c>
      <c r="AA442" s="65">
        <f>IFS(
  B442&lt;65,
    IF(AA441+J442 &lt; VLOOKUP(YEAR(A442), Lookup!$Q:$R, 2),
      AA441 + IF(MONTH(A442)=12, R441+X441, 0) + J442,
      MIN(
        AA441 + IF(MONTH(A442)=12, R441+X441, 0) + J442 ,
        VLOOKUP(YEAR(A442), Lookup!$Q:$R, 2)
      )
    ),
  B442&gt;=65,
    IF(AA441+J442 &lt; VLOOKUP(questions!$C$5, Lookup!$Q:$R, 2),
      AA441 + IF(MONTH(A442)=12, R441+X441, 0) + J442 ,
      MIN(
        AA441 + IF(MONTH(A442)=12, R441+X441, 0) + J442,
        VLOOKUP(questions!$C$5, Lookup!$Q:$R, 2)
      )
    )
)</f>
        <v>264627.9348</v>
      </c>
      <c r="AB442" s="65">
        <f t="shared" si="13"/>
        <v>868722.5667</v>
      </c>
      <c r="AC442" s="66">
        <f t="array" ref="AC442">IFS(B442&lt;66, XLOOKUP(year(A442),Lookup!$K$13:$K1000,Lookup!$L$13:$L1000,"missing",,1),B442&gt;65,XLOOKUP(questions!$C$5,Lookup!$K$13:$K1000,Lookup!$L$13:$L1000,"missing",,1))</f>
        <v>380362.6699</v>
      </c>
      <c r="AD442" s="66">
        <f t="array" ref="AD442">IFS(B442&lt;66, XLOOKUP(year(A442),Lookup!$K$13:$K1000,Lookup!$M$13:$M1000,"missing",,1),B442&gt;65, XLOOKUP(questions!$C$5,Lookup!$K$13:$K1000,Lookup!$M$13:$M1000,"missing",,1))</f>
        <v>760725.3397</v>
      </c>
      <c r="AE442" s="66">
        <f t="array" ref="AE442">IFS(B442&lt;66, XLOOKUP(year(A442),Lookup!$K$13:$K1000,Lookup!$N$13:$N1000,"missing",,1),B442&gt;65,XLOOKUP(questions!$C$5,Lookup!$K$13:$K1000,Lookup!$N$13:$N1000,"missing",,1))</f>
        <v>1521450.679</v>
      </c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</row>
    <row r="443">
      <c r="A443" s="55">
        <f t="shared" si="7"/>
        <v>59505</v>
      </c>
      <c r="B443" s="56">
        <f>round(YEARFRAC(EOMONTH(questions!$C$3, 0),A443,1),2)</f>
        <v>64</v>
      </c>
      <c r="C443" s="58">
        <f>IF(B443&lt;questions!$C$6,if(MONTH(A443)=1,C442*(1+questions!$C$12),C442),0)</f>
        <v>0</v>
      </c>
      <c r="D443" s="58">
        <f>IF(MONTH(A443)=12,C443*questions!$C$11,0)</f>
        <v>0</v>
      </c>
      <c r="E443" s="71">
        <f t="shared" si="2"/>
        <v>0</v>
      </c>
      <c r="F443" s="71">
        <f t="shared" si="3"/>
        <v>0</v>
      </c>
      <c r="G443" s="61">
        <f t="array" ref="G443">if(YEAR(A443)=2025,XLOOKUP(B443,Lookup!$A$3:$A$7,Lookup!$D$3:$D$7,,1)*SUM(E443:F443), XLOOKUP(B443,Lookup!$A$14:$A$18,Lookup!$D$14:$D$18,,1)*SUM(E443:F443))</f>
        <v>0</v>
      </c>
      <c r="H443" s="61">
        <f t="array" ref="H443">if(YEAR(A443)=2025,XLOOKUP(B443,Lookup!$F$3:$F$10,Lookup!$G$3:$G$10,,1)*G443, XLOOKUP(B443,Lookup!$F$14:$F$21,Lookup!$G$14:$G$21,,1)*G443)</f>
        <v>0</v>
      </c>
      <c r="I443" s="61">
        <f t="array" ref="I443">if(B443&lt;55, if(YEAR(A443)=2025,XLOOKUP(B443,Lookup!$F$3:$F$10,Lookup!$H$3:$H$10,,1)*G443, XLOOKUP(B443,Lookup!$F$14:$F$21,Lookup!$H$14:$H$21,,1)*G443),0)</f>
        <v>0</v>
      </c>
      <c r="J443" s="61">
        <f t="array" ref="J443">if(YEAR(A443)=2025,XLOOKUP(B443,Lookup!$F$3:$F$10,Lookup!$I$3:$I$10,,1)*G443, XLOOKUP(B443,Lookup!$F$14:$F$21,Lookup!$I$14:$I$21,,1)*G443)</f>
        <v>0</v>
      </c>
      <c r="K443" s="61">
        <f t="array" ref="K443">if(B443&gt;54, if(YEAR(A443)=2025,XLOOKUP(B443,Lookup!$F$3:$F$10,Lookup!$H$3:$H$10,,1)*G443, XLOOKUP(B443,Lookup!$F$14:$F$21,Lookup!$H$14:$H$21,,1)*G443),0)</f>
        <v>0</v>
      </c>
      <c r="L443" s="62">
        <f>IF(and(A443&lt;questions!$C$19,questions!$C$18="yes"),questions!$C$20,0)</f>
        <v>0</v>
      </c>
      <c r="M443" s="63">
        <f>(Y442+H443)*Lookup!A$26/12</f>
        <v>1941.201636</v>
      </c>
      <c r="N443" s="63">
        <f>if(B443&lt;55, (Z442+I443)*Lookup!B$26/12, (AB442+K443)*Lookup!B$26/12)</f>
        <v>2895.741889</v>
      </c>
      <c r="O443" s="63">
        <f>(AA442+J443)*Lookup!C$26/12</f>
        <v>882.0931162</v>
      </c>
      <c r="P443" s="63">
        <f t="shared" si="8"/>
        <v>21353.21799</v>
      </c>
      <c r="Q443" s="63">
        <f t="shared" si="4"/>
        <v>31853.16078</v>
      </c>
      <c r="R443" s="63">
        <f t="shared" si="5"/>
        <v>9703.024278</v>
      </c>
      <c r="S443" s="64">
        <f t="shared" si="9"/>
        <v>33.33333333</v>
      </c>
      <c r="T443" s="64">
        <f t="shared" si="10"/>
        <v>41.66666667</v>
      </c>
      <c r="U443" s="64">
        <f t="shared" si="11"/>
        <v>0</v>
      </c>
      <c r="V443" s="64">
        <f t="shared" ref="V443:X443" si="451">IF(year($A443)=year($A442), V442+S443, S443)</f>
        <v>366.6666667</v>
      </c>
      <c r="W443" s="64">
        <f t="shared" si="451"/>
        <v>458.3333333</v>
      </c>
      <c r="X443" s="64">
        <f t="shared" si="451"/>
        <v>0</v>
      </c>
      <c r="Y443" s="65">
        <f>IFS(
  B443&lt;55,
    MAX(
      Y442 + IF(MONTH(A443)=12, P443+V443, 0) + H443 - L443
      + MAX(0,
          IF(AA442 &gt;= VLOOKUP(YEAR(A443), Lookup!$Q:$R, 2),
            Z442 + IF(MONTH(A443)=12, Q443+W443, 0) + I443
              + AA442 + IF(MONTH(A443)=12, R443+X443, 0)
              - VLOOKUP(YEAR(A443), Lookup!$Q:$R, 2) + J443,
            Z442 + IF(MONTH(A443)=12, Q443+W443, 0) + I443
          ) - VLOOKUP(YEAR(A443), Lookup!$K:$M, 3)
        ),
    0),
  B443=55,
    IF(Z442&gt;=AD443,
      MAX(Y442 + IF(MONTH(A443)=12, P443+V443, 0) + H443 - L443, 0),
      MAX(MAX(0, Y442-(AD443-Z442)) + IF(MONTH(A443)=12, P443+V443, 0) + H443 - L443, 0)
    ),
  B443&gt;55,
    IF(AB442&gt;=$AH$7,
      MAX(Y442 + IF(MONTH(A443)=12, P443+V443, 0) + H443 - L443 + K443 + Z442, 0),
      MAX(Y442 + IF(MONTH(A443)=12, P443+V443, 0) + H443 - L443, 0)
    )
)</f>
        <v>931776.7852</v>
      </c>
      <c r="Z443" s="65">
        <f>IFS(
  B443&lt;55,
    MIN(
      IF(AA442 &gt;= VLOOKUP(YEAR(A443), Lookup!$Q:$R, 2),
        Z442 + IF(MONTH(A443)=12, Q443+W443, 0) + I443
          + AA442 + IF(MONTH(A443)=12, R443+X443, 0) - VLOOKUP(YEAR(A443), Lookup!$Q:$R, 2) + J443,
        Z442 + IF(MONTH(A443)=12, Q443+W443, 0) + I443
      ),
      VLOOKUP(YEAR(A443), Lookup!$K:$M, 3)
    ),
  B443=55,
    IF(Z442 &gt;= AD443, Z442 - AD443, 0),
  B443&gt;55, 0
)</f>
        <v>0</v>
      </c>
      <c r="AA443" s="65">
        <f>IFS(
  B443&lt;65,
    IF(AA442+J443 &lt; VLOOKUP(YEAR(A443), Lookup!$Q:$R, 2),
      AA442 + IF(MONTH(A443)=12, R442+X442, 0) + J443,
      MIN(
        AA442 + IF(MONTH(A443)=12, R442+X442, 0) + J443 ,
        VLOOKUP(YEAR(A443), Lookup!$Q:$R, 2)
      )
    ),
  B443&gt;=65,
    IF(AA442+J443 &lt; VLOOKUP(questions!$C$5, Lookup!$Q:$R, 2),
      AA442 + IF(MONTH(A443)=12, R442+X442, 0) + J443 ,
      MIN(
        AA442 + IF(MONTH(A443)=12, R442+X442, 0) + J443,
        VLOOKUP(questions!$C$5, Lookup!$Q:$R, 2)
      )
    )
)</f>
        <v>264627.9348</v>
      </c>
      <c r="AB443" s="65">
        <f t="shared" si="13"/>
        <v>868722.5667</v>
      </c>
      <c r="AC443" s="66">
        <f t="array" ref="AC443">IFS(B443&lt;66, XLOOKUP(year(A443),Lookup!$K$13:$K1000,Lookup!$L$13:$L1000,"missing",,1),B443&gt;65,XLOOKUP(questions!$C$5,Lookup!$K$13:$K1000,Lookup!$L$13:$L1000,"missing",,1))</f>
        <v>380362.6699</v>
      </c>
      <c r="AD443" s="66">
        <f t="array" ref="AD443">IFS(B443&lt;66, XLOOKUP(year(A443),Lookup!$K$13:$K1000,Lookup!$M$13:$M1000,"missing",,1),B443&gt;65, XLOOKUP(questions!$C$5,Lookup!$K$13:$K1000,Lookup!$M$13:$M1000,"missing",,1))</f>
        <v>760725.3397</v>
      </c>
      <c r="AE443" s="66">
        <f t="array" ref="AE443">IFS(B443&lt;66, XLOOKUP(year(A443),Lookup!$K$13:$K1000,Lookup!$N$13:$N1000,"missing",,1),B443&gt;65,XLOOKUP(questions!$C$5,Lookup!$K$13:$K1000,Lookup!$N$13:$N1000,"missing",,1))</f>
        <v>1521450.679</v>
      </c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</row>
    <row r="444">
      <c r="A444" s="55">
        <f t="shared" si="7"/>
        <v>59536</v>
      </c>
      <c r="B444" s="56">
        <f>round(YEARFRAC(EOMONTH(questions!$C$3, 0),A444,1),2)</f>
        <v>64.08</v>
      </c>
      <c r="C444" s="58">
        <f>IF(B444&lt;questions!$C$6,if(MONTH(A444)=1,C443*(1+questions!$C$12),C443),0)</f>
        <v>0</v>
      </c>
      <c r="D444" s="58">
        <f>IF(MONTH(A444)=12,C444*questions!$C$11,0)</f>
        <v>0</v>
      </c>
      <c r="E444" s="71">
        <f t="shared" si="2"/>
        <v>0</v>
      </c>
      <c r="F444" s="71">
        <f t="shared" si="3"/>
        <v>0</v>
      </c>
      <c r="G444" s="61">
        <f t="array" ref="G444">if(YEAR(A444)=2025,XLOOKUP(B444,Lookup!$A$3:$A$7,Lookup!$D$3:$D$7,,1)*SUM(E444:F444), XLOOKUP(B444,Lookup!$A$14:$A$18,Lookup!$D$14:$D$18,,1)*SUM(E444:F444))</f>
        <v>0</v>
      </c>
      <c r="H444" s="61">
        <f t="array" ref="H444">if(YEAR(A444)=2025,XLOOKUP(B444,Lookup!$F$3:$F$10,Lookup!$G$3:$G$10,,1)*G444, XLOOKUP(B444,Lookup!$F$14:$F$21,Lookup!$G$14:$G$21,,1)*G444)</f>
        <v>0</v>
      </c>
      <c r="I444" s="61">
        <f t="array" ref="I444">if(B444&lt;55, if(YEAR(A444)=2025,XLOOKUP(B444,Lookup!$F$3:$F$10,Lookup!$H$3:$H$10,,1)*G444, XLOOKUP(B444,Lookup!$F$14:$F$21,Lookup!$H$14:$H$21,,1)*G444),0)</f>
        <v>0</v>
      </c>
      <c r="J444" s="61">
        <f t="array" ref="J444">if(YEAR(A444)=2025,XLOOKUP(B444,Lookup!$F$3:$F$10,Lookup!$I$3:$I$10,,1)*G444, XLOOKUP(B444,Lookup!$F$14:$F$21,Lookup!$I$14:$I$21,,1)*G444)</f>
        <v>0</v>
      </c>
      <c r="K444" s="61">
        <f t="array" ref="K444">if(B444&gt;54, if(YEAR(A444)=2025,XLOOKUP(B444,Lookup!$F$3:$F$10,Lookup!$H$3:$H$10,,1)*G444, XLOOKUP(B444,Lookup!$F$14:$F$21,Lookup!$H$14:$H$21,,1)*G444),0)</f>
        <v>0</v>
      </c>
      <c r="L444" s="62">
        <f>IF(and(A444&lt;questions!$C$19,questions!$C$18="yes"),questions!$C$20,0)</f>
        <v>0</v>
      </c>
      <c r="M444" s="63">
        <f>(Y443+H444)*Lookup!A$26/12</f>
        <v>1941.201636</v>
      </c>
      <c r="N444" s="63">
        <f>if(B444&lt;55, (Z443+I444)*Lookup!B$26/12, (AB443+K444)*Lookup!B$26/12)</f>
        <v>2895.741889</v>
      </c>
      <c r="O444" s="63">
        <f>(AA443+J444)*Lookup!C$26/12</f>
        <v>882.0931162</v>
      </c>
      <c r="P444" s="63">
        <f t="shared" si="8"/>
        <v>23294.41963</v>
      </c>
      <c r="Q444" s="63">
        <f t="shared" si="4"/>
        <v>34748.90267</v>
      </c>
      <c r="R444" s="63">
        <f t="shared" si="5"/>
        <v>10585.11739</v>
      </c>
      <c r="S444" s="64">
        <f t="shared" si="9"/>
        <v>33.33333333</v>
      </c>
      <c r="T444" s="64">
        <f t="shared" si="10"/>
        <v>41.66666667</v>
      </c>
      <c r="U444" s="64">
        <f t="shared" si="11"/>
        <v>0</v>
      </c>
      <c r="V444" s="64">
        <f t="shared" ref="V444:X444" si="452">IF(year($A444)=year($A443), V443+S444, S444)</f>
        <v>400</v>
      </c>
      <c r="W444" s="64">
        <f t="shared" si="452"/>
        <v>500</v>
      </c>
      <c r="X444" s="64">
        <f t="shared" si="452"/>
        <v>0</v>
      </c>
      <c r="Y444" s="65">
        <f>IFS(
  B444&lt;55,
    MAX(
      Y443 + IF(MONTH(A444)=12, P444+V444, 0) + H444 - L444
      + MAX(0,
          IF(AA443 &gt;= VLOOKUP(YEAR(A444), Lookup!$Q:$R, 2),
            Z443 + IF(MONTH(A444)=12, Q444+W444, 0) + I444
              + AA443 + IF(MONTH(A444)=12, R444+X444, 0)
              - VLOOKUP(YEAR(A444), Lookup!$Q:$R, 2) + J444,
            Z443 + IF(MONTH(A444)=12, Q444+W444, 0) + I444
          ) - VLOOKUP(YEAR(A444), Lookup!$K:$M, 3)
        ),
    0),
  B444=55,
    IF(Z443&gt;=AD444,
      MAX(Y443 + IF(MONTH(A444)=12, P444+V444, 0) + H444 - L444, 0),
      MAX(MAX(0, Y443-(AD444-Z443)) + IF(MONTH(A444)=12, P444+V444, 0) + H444 - L444, 0)
    ),
  B444&gt;55,
    IF(AB443&gt;=$AH$7,
      MAX(Y443 + IF(MONTH(A444)=12, P444+V444, 0) + H444 - L444 + K444 + Z443, 0),
      MAX(Y443 + IF(MONTH(A444)=12, P444+V444, 0) + H444 - L444, 0)
    )
)</f>
        <v>955471.2049</v>
      </c>
      <c r="Z444" s="65">
        <f>IFS(
  B444&lt;55,
    MIN(
      IF(AA443 &gt;= VLOOKUP(YEAR(A444), Lookup!$Q:$R, 2),
        Z443 + IF(MONTH(A444)=12, Q444+W444, 0) + I444
          + AA443 + IF(MONTH(A444)=12, R444+X444, 0) - VLOOKUP(YEAR(A444), Lookup!$Q:$R, 2) + J444,
        Z443 + IF(MONTH(A444)=12, Q444+W444, 0) + I444
      ),
      VLOOKUP(YEAR(A444), Lookup!$K:$M, 3)
    ),
  B444=55,
    IF(Z443 &gt;= AD444, Z443 - AD444, 0),
  B444&gt;55, 0
)</f>
        <v>0</v>
      </c>
      <c r="AA444" s="65">
        <f>IFS(
  B444&lt;65,
    IF(AA443+J444 &lt; VLOOKUP(YEAR(A444), Lookup!$Q:$R, 2),
      AA443 + IF(MONTH(A444)=12, R443+X443, 0) + J444,
      MIN(
        AA443 + IF(MONTH(A444)=12, R443+X443, 0) + J444 ,
        VLOOKUP(YEAR(A444), Lookup!$Q:$R, 2)
      )
    ),
  B444&gt;=65,
    IF(AA443+J444 &lt; VLOOKUP(questions!$C$5, Lookup!$Q:$R, 2),
      AA443 + IF(MONTH(A444)=12, R443+X443, 0) + J444 ,
      MIN(
        AA443 + IF(MONTH(A444)=12, R443+X443, 0) + J444,
        VLOOKUP(questions!$C$5, Lookup!$Q:$R, 2)
      )
    )
)</f>
        <v>274330.9591</v>
      </c>
      <c r="AB444" s="65">
        <f t="shared" si="13"/>
        <v>903971.4694</v>
      </c>
      <c r="AC444" s="66">
        <f t="array" ref="AC444">IFS(B444&lt;66, XLOOKUP(year(A444),Lookup!$K$13:$K1000,Lookup!$L$13:$L1000,"missing",,1),B444&gt;65,XLOOKUP(questions!$C$5,Lookup!$K$13:$K1000,Lookup!$L$13:$L1000,"missing",,1))</f>
        <v>380362.6699</v>
      </c>
      <c r="AD444" s="66">
        <f t="array" ref="AD444">IFS(B444&lt;66, XLOOKUP(year(A444),Lookup!$K$13:$K1000,Lookup!$M$13:$M1000,"missing",,1),B444&gt;65, XLOOKUP(questions!$C$5,Lookup!$K$13:$K1000,Lookup!$M$13:$M1000,"missing",,1))</f>
        <v>760725.3397</v>
      </c>
      <c r="AE444" s="66">
        <f t="array" ref="AE444">IFS(B444&lt;66, XLOOKUP(year(A444),Lookup!$K$13:$K1000,Lookup!$N$13:$N1000,"missing",,1),B444&gt;65,XLOOKUP(questions!$C$5,Lookup!$K$13:$K1000,Lookup!$N$13:$N1000,"missing",,1))</f>
        <v>1521450.679</v>
      </c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</row>
    <row r="445">
      <c r="A445" s="55">
        <f t="shared" si="7"/>
        <v>59567</v>
      </c>
      <c r="B445" s="56">
        <f>round(YEARFRAC(EOMONTH(questions!$C$3, 0),A445,1),2)</f>
        <v>64.17</v>
      </c>
      <c r="C445" s="58">
        <f>IF(B445&lt;questions!$C$6,if(MONTH(A445)=1,C444*(1+questions!$C$12),C444),0)</f>
        <v>0</v>
      </c>
      <c r="D445" s="58">
        <f>IF(MONTH(A445)=12,C445*questions!$C$11,0)</f>
        <v>0</v>
      </c>
      <c r="E445" s="71">
        <f t="shared" si="2"/>
        <v>0</v>
      </c>
      <c r="F445" s="71">
        <f t="shared" si="3"/>
        <v>0</v>
      </c>
      <c r="G445" s="61">
        <f t="array" ref="G445">if(YEAR(A445)=2025,XLOOKUP(B445,Lookup!$A$3:$A$7,Lookup!$D$3:$D$7,,1)*SUM(E445:F445), XLOOKUP(B445,Lookup!$A$14:$A$18,Lookup!$D$14:$D$18,,1)*SUM(E445:F445))</f>
        <v>0</v>
      </c>
      <c r="H445" s="61">
        <f t="array" ref="H445">if(YEAR(A445)=2025,XLOOKUP(B445,Lookup!$F$3:$F$10,Lookup!$G$3:$G$10,,1)*G445, XLOOKUP(B445,Lookup!$F$14:$F$21,Lookup!$G$14:$G$21,,1)*G445)</f>
        <v>0</v>
      </c>
      <c r="I445" s="61">
        <f t="array" ref="I445">if(B445&lt;55, if(YEAR(A445)=2025,XLOOKUP(B445,Lookup!$F$3:$F$10,Lookup!$H$3:$H$10,,1)*G445, XLOOKUP(B445,Lookup!$F$14:$F$21,Lookup!$H$14:$H$21,,1)*G445),0)</f>
        <v>0</v>
      </c>
      <c r="J445" s="61">
        <f t="array" ref="J445">if(YEAR(A445)=2025,XLOOKUP(B445,Lookup!$F$3:$F$10,Lookup!$I$3:$I$10,,1)*G445, XLOOKUP(B445,Lookup!$F$14:$F$21,Lookup!$I$14:$I$21,,1)*G445)</f>
        <v>0</v>
      </c>
      <c r="K445" s="61">
        <f t="array" ref="K445">if(B445&gt;54, if(YEAR(A445)=2025,XLOOKUP(B445,Lookup!$F$3:$F$10,Lookup!$H$3:$H$10,,1)*G445, XLOOKUP(B445,Lookup!$F$14:$F$21,Lookup!$H$14:$H$21,,1)*G445),0)</f>
        <v>0</v>
      </c>
      <c r="L445" s="62">
        <f>IF(and(A445&lt;questions!$C$19,questions!$C$18="yes"),questions!$C$20,0)</f>
        <v>0</v>
      </c>
      <c r="M445" s="63">
        <f>(Y444+H445)*Lookup!A$26/12</f>
        <v>1990.56501</v>
      </c>
      <c r="N445" s="63">
        <f>if(B445&lt;55, (Z444+I445)*Lookup!B$26/12, (AB444+K445)*Lookup!B$26/12)</f>
        <v>3013.238231</v>
      </c>
      <c r="O445" s="63">
        <f>(AA444+J445)*Lookup!C$26/12</f>
        <v>914.4365304</v>
      </c>
      <c r="P445" s="63">
        <f t="shared" si="8"/>
        <v>1990.56501</v>
      </c>
      <c r="Q445" s="63">
        <f t="shared" si="4"/>
        <v>3013.238231</v>
      </c>
      <c r="R445" s="63">
        <f t="shared" si="5"/>
        <v>914.4365304</v>
      </c>
      <c r="S445" s="64">
        <f t="shared" si="9"/>
        <v>33.33333333</v>
      </c>
      <c r="T445" s="64">
        <f t="shared" si="10"/>
        <v>41.66666667</v>
      </c>
      <c r="U445" s="64">
        <f t="shared" si="11"/>
        <v>0</v>
      </c>
      <c r="V445" s="64">
        <f t="shared" ref="V445:X445" si="453">IF(year($A445)=year($A444), V444+S445, S445)</f>
        <v>33.33333333</v>
      </c>
      <c r="W445" s="64">
        <f t="shared" si="453"/>
        <v>41.66666667</v>
      </c>
      <c r="X445" s="64">
        <f t="shared" si="453"/>
        <v>0</v>
      </c>
      <c r="Y445" s="65">
        <f>IFS(
  B445&lt;55,
    MAX(
      Y444 + IF(MONTH(A445)=12, P445+V445, 0) + H445 - L445
      + MAX(0,
          IF(AA444 &gt;= VLOOKUP(YEAR(A445), Lookup!$Q:$R, 2),
            Z444 + IF(MONTH(A445)=12, Q445+W445, 0) + I445
              + AA444 + IF(MONTH(A445)=12, R445+X445, 0)
              - VLOOKUP(YEAR(A445), Lookup!$Q:$R, 2) + J445,
            Z444 + IF(MONTH(A445)=12, Q445+W445, 0) + I445
          ) - VLOOKUP(YEAR(A445), Lookup!$K:$M, 3)
        ),
    0),
  B445=55,
    IF(Z444&gt;=AD445,
      MAX(Y444 + IF(MONTH(A445)=12, P445+V445, 0) + H445 - L445, 0),
      MAX(MAX(0, Y444-(AD445-Z444)) + IF(MONTH(A445)=12, P445+V445, 0) + H445 - L445, 0)
    ),
  B445&gt;55,
    IF(AB444&gt;=$AH$7,
      MAX(Y444 + IF(MONTH(A445)=12, P445+V445, 0) + H445 - L445 + K445 + Z444, 0),
      MAX(Y444 + IF(MONTH(A445)=12, P445+V445, 0) + H445 - L445, 0)
    )
)</f>
        <v>955471.2049</v>
      </c>
      <c r="Z445" s="65">
        <f>IFS(
  B445&lt;55,
    MIN(
      IF(AA444 &gt;= VLOOKUP(YEAR(A445), Lookup!$Q:$R, 2),
        Z444 + IF(MONTH(A445)=12, Q445+W445, 0) + I445
          + AA444 + IF(MONTH(A445)=12, R445+X445, 0) - VLOOKUP(YEAR(A445), Lookup!$Q:$R, 2) + J445,
        Z444 + IF(MONTH(A445)=12, Q445+W445, 0) + I445
      ),
      VLOOKUP(YEAR(A445), Lookup!$K:$M, 3)
    ),
  B445=55,
    IF(Z444 &gt;= AD445, Z444 - AD445, 0),
  B445&gt;55, 0
)</f>
        <v>0</v>
      </c>
      <c r="AA445" s="65">
        <f>IFS(
  B445&lt;65,
    IF(AA444+J445 &lt; VLOOKUP(YEAR(A445), Lookup!$Q:$R, 2),
      AA444 + IF(MONTH(A445)=12, R444+X444, 0) + J445,
      MIN(
        AA444 + IF(MONTH(A445)=12, R444+X444, 0) + J445 ,
        VLOOKUP(YEAR(A445), Lookup!$Q:$R, 2)
      )
    ),
  B445&gt;=65,
    IF(AA444+J445 &lt; VLOOKUP(questions!$C$5, Lookup!$Q:$R, 2),
      AA444 + IF(MONTH(A445)=12, R444+X444, 0) + J445 ,
      MIN(
        AA444 + IF(MONTH(A445)=12, R444+X444, 0) + J445,
        VLOOKUP(questions!$C$5, Lookup!$Q:$R, 2)
      )
    )
)</f>
        <v>274330.9591</v>
      </c>
      <c r="AB445" s="65">
        <f t="shared" si="13"/>
        <v>903971.4694</v>
      </c>
      <c r="AC445" s="66">
        <f t="array" ref="AC445">IFS(B445&lt;66, XLOOKUP(year(A445),Lookup!$K$13:$K1000,Lookup!$L$13:$L1000,"missing",,1),B445&gt;65,XLOOKUP(questions!$C$5,Lookup!$K$13:$K1000,Lookup!$L$13:$L1000,"missing",,1))</f>
        <v>393675.3633</v>
      </c>
      <c r="AD445" s="66">
        <f t="array" ref="AD445">IFS(B445&lt;66, XLOOKUP(year(A445),Lookup!$K$13:$K1000,Lookup!$M$13:$M1000,"missing",,1),B445&gt;65, XLOOKUP(questions!$C$5,Lookup!$K$13:$K1000,Lookup!$M$13:$M1000,"missing",,1))</f>
        <v>787350.7266</v>
      </c>
      <c r="AE445" s="66">
        <f t="array" ref="AE445">IFS(B445&lt;66, XLOOKUP(year(A445),Lookup!$K$13:$K1000,Lookup!$N$13:$N1000,"missing",,1),B445&gt;65,XLOOKUP(questions!$C$5,Lookup!$K$13:$K1000,Lookup!$N$13:$N1000,"missing",,1))</f>
        <v>1574701.453</v>
      </c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</row>
    <row r="446">
      <c r="A446" s="55">
        <f t="shared" si="7"/>
        <v>59595</v>
      </c>
      <c r="B446" s="56">
        <f>round(YEARFRAC(EOMONTH(questions!$C$3, 0),A446,1),2)</f>
        <v>64.25</v>
      </c>
      <c r="C446" s="58">
        <f>IF(B446&lt;questions!$C$6,if(MONTH(A446)=1,C445*(1+questions!$C$12),C445),0)</f>
        <v>0</v>
      </c>
      <c r="D446" s="58">
        <f>IF(MONTH(A446)=12,C446*questions!$C$11,0)</f>
        <v>0</v>
      </c>
      <c r="E446" s="71">
        <f t="shared" si="2"/>
        <v>0</v>
      </c>
      <c r="F446" s="71">
        <f t="shared" si="3"/>
        <v>0</v>
      </c>
      <c r="G446" s="61">
        <f t="array" ref="G446">if(YEAR(A446)=2025,XLOOKUP(B446,Lookup!$A$3:$A$7,Lookup!$D$3:$D$7,,1)*SUM(E446:F446), XLOOKUP(B446,Lookup!$A$14:$A$18,Lookup!$D$14:$D$18,,1)*SUM(E446:F446))</f>
        <v>0</v>
      </c>
      <c r="H446" s="61">
        <f t="array" ref="H446">if(YEAR(A446)=2025,XLOOKUP(B446,Lookup!$F$3:$F$10,Lookup!$G$3:$G$10,,1)*G446, XLOOKUP(B446,Lookup!$F$14:$F$21,Lookup!$G$14:$G$21,,1)*G446)</f>
        <v>0</v>
      </c>
      <c r="I446" s="61">
        <f t="array" ref="I446">if(B446&lt;55, if(YEAR(A446)=2025,XLOOKUP(B446,Lookup!$F$3:$F$10,Lookup!$H$3:$H$10,,1)*G446, XLOOKUP(B446,Lookup!$F$14:$F$21,Lookup!$H$14:$H$21,,1)*G446),0)</f>
        <v>0</v>
      </c>
      <c r="J446" s="61">
        <f t="array" ref="J446">if(YEAR(A446)=2025,XLOOKUP(B446,Lookup!$F$3:$F$10,Lookup!$I$3:$I$10,,1)*G446, XLOOKUP(B446,Lookup!$F$14:$F$21,Lookup!$I$14:$I$21,,1)*G446)</f>
        <v>0</v>
      </c>
      <c r="K446" s="61">
        <f t="array" ref="K446">if(B446&gt;54, if(YEAR(A446)=2025,XLOOKUP(B446,Lookup!$F$3:$F$10,Lookup!$H$3:$H$10,,1)*G446, XLOOKUP(B446,Lookup!$F$14:$F$21,Lookup!$H$14:$H$21,,1)*G446),0)</f>
        <v>0</v>
      </c>
      <c r="L446" s="62">
        <f>IF(and(A446&lt;questions!$C$19,questions!$C$18="yes"),questions!$C$20,0)</f>
        <v>0</v>
      </c>
      <c r="M446" s="63">
        <f>(Y445+H446)*Lookup!A$26/12</f>
        <v>1990.56501</v>
      </c>
      <c r="N446" s="63">
        <f>if(B446&lt;55, (Z445+I446)*Lookup!B$26/12, (AB445+K446)*Lookup!B$26/12)</f>
        <v>3013.238231</v>
      </c>
      <c r="O446" s="63">
        <f>(AA445+J446)*Lookup!C$26/12</f>
        <v>914.4365304</v>
      </c>
      <c r="P446" s="63">
        <f t="shared" si="8"/>
        <v>3981.13002</v>
      </c>
      <c r="Q446" s="63">
        <f t="shared" si="4"/>
        <v>6026.476463</v>
      </c>
      <c r="R446" s="63">
        <f t="shared" si="5"/>
        <v>1828.873061</v>
      </c>
      <c r="S446" s="64">
        <f t="shared" si="9"/>
        <v>33.33333333</v>
      </c>
      <c r="T446" s="64">
        <f t="shared" si="10"/>
        <v>41.66666667</v>
      </c>
      <c r="U446" s="64">
        <f t="shared" si="11"/>
        <v>0</v>
      </c>
      <c r="V446" s="64">
        <f t="shared" ref="V446:X446" si="454">IF(year($A446)=year($A445), V445+S446, S446)</f>
        <v>66.66666667</v>
      </c>
      <c r="W446" s="64">
        <f t="shared" si="454"/>
        <v>83.33333333</v>
      </c>
      <c r="X446" s="64">
        <f t="shared" si="454"/>
        <v>0</v>
      </c>
      <c r="Y446" s="65">
        <f>IFS(
  B446&lt;55,
    MAX(
      Y445 + IF(MONTH(A446)=12, P446+V446, 0) + H446 - L446
      + MAX(0,
          IF(AA445 &gt;= VLOOKUP(YEAR(A446), Lookup!$Q:$R, 2),
            Z445 + IF(MONTH(A446)=12, Q446+W446, 0) + I446
              + AA445 + IF(MONTH(A446)=12, R446+X446, 0)
              - VLOOKUP(YEAR(A446), Lookup!$Q:$R, 2) + J446,
            Z445 + IF(MONTH(A446)=12, Q446+W446, 0) + I446
          ) - VLOOKUP(YEAR(A446), Lookup!$K:$M, 3)
        ),
    0),
  B446=55,
    IF(Z445&gt;=AD446,
      MAX(Y445 + IF(MONTH(A446)=12, P446+V446, 0) + H446 - L446, 0),
      MAX(MAX(0, Y445-(AD446-Z445)) + IF(MONTH(A446)=12, P446+V446, 0) + H446 - L446, 0)
    ),
  B446&gt;55,
    IF(AB445&gt;=$AH$7,
      MAX(Y445 + IF(MONTH(A446)=12, P446+V446, 0) + H446 - L446 + K446 + Z445, 0),
      MAX(Y445 + IF(MONTH(A446)=12, P446+V446, 0) + H446 - L446, 0)
    )
)</f>
        <v>955471.2049</v>
      </c>
      <c r="Z446" s="65">
        <f>IFS(
  B446&lt;55,
    MIN(
      IF(AA445 &gt;= VLOOKUP(YEAR(A446), Lookup!$Q:$R, 2),
        Z445 + IF(MONTH(A446)=12, Q446+W446, 0) + I446
          + AA445 + IF(MONTH(A446)=12, R446+X446, 0) - VLOOKUP(YEAR(A446), Lookup!$Q:$R, 2) + J446,
        Z445 + IF(MONTH(A446)=12, Q446+W446, 0) + I446
      ),
      VLOOKUP(YEAR(A446), Lookup!$K:$M, 3)
    ),
  B446=55,
    IF(Z445 &gt;= AD446, Z445 - AD446, 0),
  B446&gt;55, 0
)</f>
        <v>0</v>
      </c>
      <c r="AA446" s="65">
        <f>IFS(
  B446&lt;65,
    IF(AA445+J446 &lt; VLOOKUP(YEAR(A446), Lookup!$Q:$R, 2),
      AA445 + IF(MONTH(A446)=12, R445+X445, 0) + J446,
      MIN(
        AA445 + IF(MONTH(A446)=12, R445+X445, 0) + J446 ,
        VLOOKUP(YEAR(A446), Lookup!$Q:$R, 2)
      )
    ),
  B446&gt;=65,
    IF(AA445+J446 &lt; VLOOKUP(questions!$C$5, Lookup!$Q:$R, 2),
      AA445 + IF(MONTH(A446)=12, R445+X445, 0) + J446 ,
      MIN(
        AA445 + IF(MONTH(A446)=12, R445+X445, 0) + J446,
        VLOOKUP(questions!$C$5, Lookup!$Q:$R, 2)
      )
    )
)</f>
        <v>274330.9591</v>
      </c>
      <c r="AB446" s="65">
        <f t="shared" si="13"/>
        <v>903971.4694</v>
      </c>
      <c r="AC446" s="66">
        <f t="array" ref="AC446">IFS(B446&lt;66, XLOOKUP(year(A446),Lookup!$K$13:$K1000,Lookup!$L$13:$L1000,"missing",,1),B446&gt;65,XLOOKUP(questions!$C$5,Lookup!$K$13:$K1000,Lookup!$L$13:$L1000,"missing",,1))</f>
        <v>393675.3633</v>
      </c>
      <c r="AD446" s="66">
        <f t="array" ref="AD446">IFS(B446&lt;66, XLOOKUP(year(A446),Lookup!$K$13:$K1000,Lookup!$M$13:$M1000,"missing",,1),B446&gt;65, XLOOKUP(questions!$C$5,Lookup!$K$13:$K1000,Lookup!$M$13:$M1000,"missing",,1))</f>
        <v>787350.7266</v>
      </c>
      <c r="AE446" s="66">
        <f t="array" ref="AE446">IFS(B446&lt;66, XLOOKUP(year(A446),Lookup!$K$13:$K1000,Lookup!$N$13:$N1000,"missing",,1),B446&gt;65,XLOOKUP(questions!$C$5,Lookup!$K$13:$K1000,Lookup!$N$13:$N1000,"missing",,1))</f>
        <v>1574701.453</v>
      </c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</row>
    <row r="447">
      <c r="A447" s="55">
        <f t="shared" si="7"/>
        <v>59626</v>
      </c>
      <c r="B447" s="56">
        <f>round(YEARFRAC(EOMONTH(questions!$C$3, 0),A447,1),2)</f>
        <v>64.33</v>
      </c>
      <c r="C447" s="58">
        <f>IF(B447&lt;questions!$C$6,if(MONTH(A447)=1,C446*(1+questions!$C$12),C446),0)</f>
        <v>0</v>
      </c>
      <c r="D447" s="58">
        <f>IF(MONTH(A447)=12,C447*questions!$C$11,0)</f>
        <v>0</v>
      </c>
      <c r="E447" s="71">
        <f t="shared" si="2"/>
        <v>0</v>
      </c>
      <c r="F447" s="71">
        <f t="shared" si="3"/>
        <v>0</v>
      </c>
      <c r="G447" s="61">
        <f t="array" ref="G447">if(YEAR(A447)=2025,XLOOKUP(B447,Lookup!$A$3:$A$7,Lookup!$D$3:$D$7,,1)*SUM(E447:F447), XLOOKUP(B447,Lookup!$A$14:$A$18,Lookup!$D$14:$D$18,,1)*SUM(E447:F447))</f>
        <v>0</v>
      </c>
      <c r="H447" s="61">
        <f t="array" ref="H447">if(YEAR(A447)=2025,XLOOKUP(B447,Lookup!$F$3:$F$10,Lookup!$G$3:$G$10,,1)*G447, XLOOKUP(B447,Lookup!$F$14:$F$21,Lookup!$G$14:$G$21,,1)*G447)</f>
        <v>0</v>
      </c>
      <c r="I447" s="61">
        <f t="array" ref="I447">if(B447&lt;55, if(YEAR(A447)=2025,XLOOKUP(B447,Lookup!$F$3:$F$10,Lookup!$H$3:$H$10,,1)*G447, XLOOKUP(B447,Lookup!$F$14:$F$21,Lookup!$H$14:$H$21,,1)*G447),0)</f>
        <v>0</v>
      </c>
      <c r="J447" s="61">
        <f t="array" ref="J447">if(YEAR(A447)=2025,XLOOKUP(B447,Lookup!$F$3:$F$10,Lookup!$I$3:$I$10,,1)*G447, XLOOKUP(B447,Lookup!$F$14:$F$21,Lookup!$I$14:$I$21,,1)*G447)</f>
        <v>0</v>
      </c>
      <c r="K447" s="61">
        <f t="array" ref="K447">if(B447&gt;54, if(YEAR(A447)=2025,XLOOKUP(B447,Lookup!$F$3:$F$10,Lookup!$H$3:$H$10,,1)*G447, XLOOKUP(B447,Lookup!$F$14:$F$21,Lookup!$H$14:$H$21,,1)*G447),0)</f>
        <v>0</v>
      </c>
      <c r="L447" s="62">
        <f>IF(and(A447&lt;questions!$C$19,questions!$C$18="yes"),questions!$C$20,0)</f>
        <v>0</v>
      </c>
      <c r="M447" s="63">
        <f>(Y446+H447)*Lookup!A$26/12</f>
        <v>1990.56501</v>
      </c>
      <c r="N447" s="63">
        <f>if(B447&lt;55, (Z446+I447)*Lookup!B$26/12, (AB446+K447)*Lookup!B$26/12)</f>
        <v>3013.238231</v>
      </c>
      <c r="O447" s="63">
        <f>(AA446+J447)*Lookup!C$26/12</f>
        <v>914.4365304</v>
      </c>
      <c r="P447" s="63">
        <f t="shared" si="8"/>
        <v>5971.69503</v>
      </c>
      <c r="Q447" s="63">
        <f t="shared" si="4"/>
        <v>9039.714694</v>
      </c>
      <c r="R447" s="63">
        <f t="shared" si="5"/>
        <v>2743.309591</v>
      </c>
      <c r="S447" s="64">
        <f t="shared" si="9"/>
        <v>33.33333333</v>
      </c>
      <c r="T447" s="64">
        <f t="shared" si="10"/>
        <v>41.66666667</v>
      </c>
      <c r="U447" s="64">
        <f t="shared" si="11"/>
        <v>0</v>
      </c>
      <c r="V447" s="64">
        <f t="shared" ref="V447:X447" si="455">IF(year($A447)=year($A446), V446+S447, S447)</f>
        <v>100</v>
      </c>
      <c r="W447" s="64">
        <f t="shared" si="455"/>
        <v>125</v>
      </c>
      <c r="X447" s="64">
        <f t="shared" si="455"/>
        <v>0</v>
      </c>
      <c r="Y447" s="65">
        <f>IFS(
  B447&lt;55,
    MAX(
      Y446 + IF(MONTH(A447)=12, P447+V447, 0) + H447 - L447
      + MAX(0,
          IF(AA446 &gt;= VLOOKUP(YEAR(A447), Lookup!$Q:$R, 2),
            Z446 + IF(MONTH(A447)=12, Q447+W447, 0) + I447
              + AA446 + IF(MONTH(A447)=12, R447+X447, 0)
              - VLOOKUP(YEAR(A447), Lookup!$Q:$R, 2) + J447,
            Z446 + IF(MONTH(A447)=12, Q447+W447, 0) + I447
          ) - VLOOKUP(YEAR(A447), Lookup!$K:$M, 3)
        ),
    0),
  B447=55,
    IF(Z446&gt;=AD447,
      MAX(Y446 + IF(MONTH(A447)=12, P447+V447, 0) + H447 - L447, 0),
      MAX(MAX(0, Y446-(AD447-Z446)) + IF(MONTH(A447)=12, P447+V447, 0) + H447 - L447, 0)
    ),
  B447&gt;55,
    IF(AB446&gt;=$AH$7,
      MAX(Y446 + IF(MONTH(A447)=12, P447+V447, 0) + H447 - L447 + K447 + Z446, 0),
      MAX(Y446 + IF(MONTH(A447)=12, P447+V447, 0) + H447 - L447, 0)
    )
)</f>
        <v>955471.2049</v>
      </c>
      <c r="Z447" s="65">
        <f>IFS(
  B447&lt;55,
    MIN(
      IF(AA446 &gt;= VLOOKUP(YEAR(A447), Lookup!$Q:$R, 2),
        Z446 + IF(MONTH(A447)=12, Q447+W447, 0) + I447
          + AA446 + IF(MONTH(A447)=12, R447+X447, 0) - VLOOKUP(YEAR(A447), Lookup!$Q:$R, 2) + J447,
        Z446 + IF(MONTH(A447)=12, Q447+W447, 0) + I447
      ),
      VLOOKUP(YEAR(A447), Lookup!$K:$M, 3)
    ),
  B447=55,
    IF(Z446 &gt;= AD447, Z446 - AD447, 0),
  B447&gt;55, 0
)</f>
        <v>0</v>
      </c>
      <c r="AA447" s="65">
        <f>IFS(
  B447&lt;65,
    IF(AA446+J447 &lt; VLOOKUP(YEAR(A447), Lookup!$Q:$R, 2),
      AA446 + IF(MONTH(A447)=12, R446+X446, 0) + J447,
      MIN(
        AA446 + IF(MONTH(A447)=12, R446+X446, 0) + J447 ,
        VLOOKUP(YEAR(A447), Lookup!$Q:$R, 2)
      )
    ),
  B447&gt;=65,
    IF(AA446+J447 &lt; VLOOKUP(questions!$C$5, Lookup!$Q:$R, 2),
      AA446 + IF(MONTH(A447)=12, R446+X446, 0) + J447 ,
      MIN(
        AA446 + IF(MONTH(A447)=12, R446+X446, 0) + J447,
        VLOOKUP(questions!$C$5, Lookup!$Q:$R, 2)
      )
    )
)</f>
        <v>274330.9591</v>
      </c>
      <c r="AB447" s="65">
        <f t="shared" si="13"/>
        <v>903971.4694</v>
      </c>
      <c r="AC447" s="66">
        <f t="array" ref="AC447">IFS(B447&lt;66, XLOOKUP(year(A447),Lookup!$K$13:$K1000,Lookup!$L$13:$L1000,"missing",,1),B447&gt;65,XLOOKUP(questions!$C$5,Lookup!$K$13:$K1000,Lookup!$L$13:$L1000,"missing",,1))</f>
        <v>393675.3633</v>
      </c>
      <c r="AD447" s="66">
        <f t="array" ref="AD447">IFS(B447&lt;66, XLOOKUP(year(A447),Lookup!$K$13:$K1000,Lookup!$M$13:$M1000,"missing",,1),B447&gt;65, XLOOKUP(questions!$C$5,Lookup!$K$13:$K1000,Lookup!$M$13:$M1000,"missing",,1))</f>
        <v>787350.7266</v>
      </c>
      <c r="AE447" s="66">
        <f t="array" ref="AE447">IFS(B447&lt;66, XLOOKUP(year(A447),Lookup!$K$13:$K1000,Lookup!$N$13:$N1000,"missing",,1),B447&gt;65,XLOOKUP(questions!$C$5,Lookup!$K$13:$K1000,Lookup!$N$13:$N1000,"missing",,1))</f>
        <v>1574701.453</v>
      </c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</row>
    <row r="448">
      <c r="A448" s="55">
        <f t="shared" si="7"/>
        <v>59656</v>
      </c>
      <c r="B448" s="56">
        <f>round(YEARFRAC(EOMONTH(questions!$C$3, 0),A448,1),2)</f>
        <v>64.41</v>
      </c>
      <c r="C448" s="58">
        <f>IF(B448&lt;questions!$C$6,if(MONTH(A448)=1,C447*(1+questions!$C$12),C447),0)</f>
        <v>0</v>
      </c>
      <c r="D448" s="58">
        <f>IF(MONTH(A448)=12,C448*questions!$C$11,0)</f>
        <v>0</v>
      </c>
      <c r="E448" s="71">
        <f t="shared" si="2"/>
        <v>0</v>
      </c>
      <c r="F448" s="71">
        <f t="shared" si="3"/>
        <v>0</v>
      </c>
      <c r="G448" s="61">
        <f t="array" ref="G448">if(YEAR(A448)=2025,XLOOKUP(B448,Lookup!$A$3:$A$7,Lookup!$D$3:$D$7,,1)*SUM(E448:F448), XLOOKUP(B448,Lookup!$A$14:$A$18,Lookup!$D$14:$D$18,,1)*SUM(E448:F448))</f>
        <v>0</v>
      </c>
      <c r="H448" s="61">
        <f t="array" ref="H448">if(YEAR(A448)=2025,XLOOKUP(B448,Lookup!$F$3:$F$10,Lookup!$G$3:$G$10,,1)*G448, XLOOKUP(B448,Lookup!$F$14:$F$21,Lookup!$G$14:$G$21,,1)*G448)</f>
        <v>0</v>
      </c>
      <c r="I448" s="61">
        <f t="array" ref="I448">if(B448&lt;55, if(YEAR(A448)=2025,XLOOKUP(B448,Lookup!$F$3:$F$10,Lookup!$H$3:$H$10,,1)*G448, XLOOKUP(B448,Lookup!$F$14:$F$21,Lookup!$H$14:$H$21,,1)*G448),0)</f>
        <v>0</v>
      </c>
      <c r="J448" s="61">
        <f t="array" ref="J448">if(YEAR(A448)=2025,XLOOKUP(B448,Lookup!$F$3:$F$10,Lookup!$I$3:$I$10,,1)*G448, XLOOKUP(B448,Lookup!$F$14:$F$21,Lookup!$I$14:$I$21,,1)*G448)</f>
        <v>0</v>
      </c>
      <c r="K448" s="61">
        <f t="array" ref="K448">if(B448&gt;54, if(YEAR(A448)=2025,XLOOKUP(B448,Lookup!$F$3:$F$10,Lookup!$H$3:$H$10,,1)*G448, XLOOKUP(B448,Lookup!$F$14:$F$21,Lookup!$H$14:$H$21,,1)*G448),0)</f>
        <v>0</v>
      </c>
      <c r="L448" s="62">
        <f>IF(and(A448&lt;questions!$C$19,questions!$C$18="yes"),questions!$C$20,0)</f>
        <v>0</v>
      </c>
      <c r="M448" s="63">
        <f>(Y447+H448)*Lookup!A$26/12</f>
        <v>1990.56501</v>
      </c>
      <c r="N448" s="63">
        <f>if(B448&lt;55, (Z447+I448)*Lookup!B$26/12, (AB447+K448)*Lookup!B$26/12)</f>
        <v>3013.238231</v>
      </c>
      <c r="O448" s="63">
        <f>(AA447+J448)*Lookup!C$26/12</f>
        <v>914.4365304</v>
      </c>
      <c r="P448" s="63">
        <f t="shared" si="8"/>
        <v>7962.26004</v>
      </c>
      <c r="Q448" s="63">
        <f t="shared" si="4"/>
        <v>12052.95293</v>
      </c>
      <c r="R448" s="63">
        <f t="shared" si="5"/>
        <v>3657.746122</v>
      </c>
      <c r="S448" s="64">
        <f t="shared" si="9"/>
        <v>33.33333333</v>
      </c>
      <c r="T448" s="64">
        <f t="shared" si="10"/>
        <v>41.66666667</v>
      </c>
      <c r="U448" s="64">
        <f t="shared" si="11"/>
        <v>0</v>
      </c>
      <c r="V448" s="64">
        <f t="shared" ref="V448:X448" si="456">IF(year($A448)=year($A447), V447+S448, S448)</f>
        <v>133.3333333</v>
      </c>
      <c r="W448" s="64">
        <f t="shared" si="456"/>
        <v>166.6666667</v>
      </c>
      <c r="X448" s="64">
        <f t="shared" si="456"/>
        <v>0</v>
      </c>
      <c r="Y448" s="65">
        <f>IFS(
  B448&lt;55,
    MAX(
      Y447 + IF(MONTH(A448)=12, P448+V448, 0) + H448 - L448
      + MAX(0,
          IF(AA447 &gt;= VLOOKUP(YEAR(A448), Lookup!$Q:$R, 2),
            Z447 + IF(MONTH(A448)=12, Q448+W448, 0) + I448
              + AA447 + IF(MONTH(A448)=12, R448+X448, 0)
              - VLOOKUP(YEAR(A448), Lookup!$Q:$R, 2) + J448,
            Z447 + IF(MONTH(A448)=12, Q448+W448, 0) + I448
          ) - VLOOKUP(YEAR(A448), Lookup!$K:$M, 3)
        ),
    0),
  B448=55,
    IF(Z447&gt;=AD448,
      MAX(Y447 + IF(MONTH(A448)=12, P448+V448, 0) + H448 - L448, 0),
      MAX(MAX(0, Y447-(AD448-Z447)) + IF(MONTH(A448)=12, P448+V448, 0) + H448 - L448, 0)
    ),
  B448&gt;55,
    IF(AB447&gt;=$AH$7,
      MAX(Y447 + IF(MONTH(A448)=12, P448+V448, 0) + H448 - L448 + K448 + Z447, 0),
      MAX(Y447 + IF(MONTH(A448)=12, P448+V448, 0) + H448 - L448, 0)
    )
)</f>
        <v>955471.2049</v>
      </c>
      <c r="Z448" s="65">
        <f>IFS(
  B448&lt;55,
    MIN(
      IF(AA447 &gt;= VLOOKUP(YEAR(A448), Lookup!$Q:$R, 2),
        Z447 + IF(MONTH(A448)=12, Q448+W448, 0) + I448
          + AA447 + IF(MONTH(A448)=12, R448+X448, 0) - VLOOKUP(YEAR(A448), Lookup!$Q:$R, 2) + J448,
        Z447 + IF(MONTH(A448)=12, Q448+W448, 0) + I448
      ),
      VLOOKUP(YEAR(A448), Lookup!$K:$M, 3)
    ),
  B448=55,
    IF(Z447 &gt;= AD448, Z447 - AD448, 0),
  B448&gt;55, 0
)</f>
        <v>0</v>
      </c>
      <c r="AA448" s="65">
        <f>IFS(
  B448&lt;65,
    IF(AA447+J448 &lt; VLOOKUP(YEAR(A448), Lookup!$Q:$R, 2),
      AA447 + IF(MONTH(A448)=12, R447+X447, 0) + J448,
      MIN(
        AA447 + IF(MONTH(A448)=12, R447+X447, 0) + J448 ,
        VLOOKUP(YEAR(A448), Lookup!$Q:$R, 2)
      )
    ),
  B448&gt;=65,
    IF(AA447+J448 &lt; VLOOKUP(questions!$C$5, Lookup!$Q:$R, 2),
      AA447 + IF(MONTH(A448)=12, R447+X447, 0) + J448 ,
      MIN(
        AA447 + IF(MONTH(A448)=12, R447+X447, 0) + J448,
        VLOOKUP(questions!$C$5, Lookup!$Q:$R, 2)
      )
    )
)</f>
        <v>274330.9591</v>
      </c>
      <c r="AB448" s="65">
        <f t="shared" si="13"/>
        <v>903971.4694</v>
      </c>
      <c r="AC448" s="66">
        <f t="array" ref="AC448">IFS(B448&lt;66, XLOOKUP(year(A448),Lookup!$K$13:$K1000,Lookup!$L$13:$L1000,"missing",,1),B448&gt;65,XLOOKUP(questions!$C$5,Lookup!$K$13:$K1000,Lookup!$L$13:$L1000,"missing",,1))</f>
        <v>393675.3633</v>
      </c>
      <c r="AD448" s="66">
        <f t="array" ref="AD448">IFS(B448&lt;66, XLOOKUP(year(A448),Lookup!$K$13:$K1000,Lookup!$M$13:$M1000,"missing",,1),B448&gt;65, XLOOKUP(questions!$C$5,Lookup!$K$13:$K1000,Lookup!$M$13:$M1000,"missing",,1))</f>
        <v>787350.7266</v>
      </c>
      <c r="AE448" s="66">
        <f t="array" ref="AE448">IFS(B448&lt;66, XLOOKUP(year(A448),Lookup!$K$13:$K1000,Lookup!$N$13:$N1000,"missing",,1),B448&gt;65,XLOOKUP(questions!$C$5,Lookup!$K$13:$K1000,Lookup!$N$13:$N1000,"missing",,1))</f>
        <v>1574701.453</v>
      </c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</row>
    <row r="449">
      <c r="A449" s="55">
        <f t="shared" si="7"/>
        <v>59687</v>
      </c>
      <c r="B449" s="56">
        <f>round(YEARFRAC(EOMONTH(questions!$C$3, 0),A449,1),2)</f>
        <v>64.5</v>
      </c>
      <c r="C449" s="58">
        <f>IF(B449&lt;questions!$C$6,if(MONTH(A449)=1,C448*(1+questions!$C$12),C448),0)</f>
        <v>0</v>
      </c>
      <c r="D449" s="58">
        <f>IF(MONTH(A449)=12,C449*questions!$C$11,0)</f>
        <v>0</v>
      </c>
      <c r="E449" s="71">
        <f t="shared" si="2"/>
        <v>0</v>
      </c>
      <c r="F449" s="71">
        <f t="shared" si="3"/>
        <v>0</v>
      </c>
      <c r="G449" s="61">
        <f t="array" ref="G449">if(YEAR(A449)=2025,XLOOKUP(B449,Lookup!$A$3:$A$7,Lookup!$D$3:$D$7,,1)*SUM(E449:F449), XLOOKUP(B449,Lookup!$A$14:$A$18,Lookup!$D$14:$D$18,,1)*SUM(E449:F449))</f>
        <v>0</v>
      </c>
      <c r="H449" s="61">
        <f t="array" ref="H449">if(YEAR(A449)=2025,XLOOKUP(B449,Lookup!$F$3:$F$10,Lookup!$G$3:$G$10,,1)*G449, XLOOKUP(B449,Lookup!$F$14:$F$21,Lookup!$G$14:$G$21,,1)*G449)</f>
        <v>0</v>
      </c>
      <c r="I449" s="61">
        <f t="array" ref="I449">if(B449&lt;55, if(YEAR(A449)=2025,XLOOKUP(B449,Lookup!$F$3:$F$10,Lookup!$H$3:$H$10,,1)*G449, XLOOKUP(B449,Lookup!$F$14:$F$21,Lookup!$H$14:$H$21,,1)*G449),0)</f>
        <v>0</v>
      </c>
      <c r="J449" s="61">
        <f t="array" ref="J449">if(YEAR(A449)=2025,XLOOKUP(B449,Lookup!$F$3:$F$10,Lookup!$I$3:$I$10,,1)*G449, XLOOKUP(B449,Lookup!$F$14:$F$21,Lookup!$I$14:$I$21,,1)*G449)</f>
        <v>0</v>
      </c>
      <c r="K449" s="61">
        <f t="array" ref="K449">if(B449&gt;54, if(YEAR(A449)=2025,XLOOKUP(B449,Lookup!$F$3:$F$10,Lookup!$H$3:$H$10,,1)*G449, XLOOKUP(B449,Lookup!$F$14:$F$21,Lookup!$H$14:$H$21,,1)*G449),0)</f>
        <v>0</v>
      </c>
      <c r="L449" s="62">
        <f>IF(and(A449&lt;questions!$C$19,questions!$C$18="yes"),questions!$C$20,0)</f>
        <v>0</v>
      </c>
      <c r="M449" s="63">
        <f>(Y448+H449)*Lookup!A$26/12</f>
        <v>1990.56501</v>
      </c>
      <c r="N449" s="63">
        <f>if(B449&lt;55, (Z448+I449)*Lookup!B$26/12, (AB448+K449)*Lookup!B$26/12)</f>
        <v>3013.238231</v>
      </c>
      <c r="O449" s="63">
        <f>(AA448+J449)*Lookup!C$26/12</f>
        <v>914.4365304</v>
      </c>
      <c r="P449" s="63">
        <f t="shared" si="8"/>
        <v>9952.825051</v>
      </c>
      <c r="Q449" s="63">
        <f t="shared" si="4"/>
        <v>15066.19116</v>
      </c>
      <c r="R449" s="63">
        <f t="shared" si="5"/>
        <v>4572.182652</v>
      </c>
      <c r="S449" s="64">
        <f t="shared" si="9"/>
        <v>33.33333333</v>
      </c>
      <c r="T449" s="64">
        <f t="shared" si="10"/>
        <v>41.66666667</v>
      </c>
      <c r="U449" s="64">
        <f t="shared" si="11"/>
        <v>0</v>
      </c>
      <c r="V449" s="64">
        <f t="shared" ref="V449:X449" si="457">IF(year($A449)=year($A448), V448+S449, S449)</f>
        <v>166.6666667</v>
      </c>
      <c r="W449" s="64">
        <f t="shared" si="457"/>
        <v>208.3333333</v>
      </c>
      <c r="X449" s="64">
        <f t="shared" si="457"/>
        <v>0</v>
      </c>
      <c r="Y449" s="65">
        <f>IFS(
  B449&lt;55,
    MAX(
      Y448 + IF(MONTH(A449)=12, P449+V449, 0) + H449 - L449
      + MAX(0,
          IF(AA448 &gt;= VLOOKUP(YEAR(A449), Lookup!$Q:$R, 2),
            Z448 + IF(MONTH(A449)=12, Q449+W449, 0) + I449
              + AA448 + IF(MONTH(A449)=12, R449+X449, 0)
              - VLOOKUP(YEAR(A449), Lookup!$Q:$R, 2) + J449,
            Z448 + IF(MONTH(A449)=12, Q449+W449, 0) + I449
          ) - VLOOKUP(YEAR(A449), Lookup!$K:$M, 3)
        ),
    0),
  B449=55,
    IF(Z448&gt;=AD449,
      MAX(Y448 + IF(MONTH(A449)=12, P449+V449, 0) + H449 - L449, 0),
      MAX(MAX(0, Y448-(AD449-Z448)) + IF(MONTH(A449)=12, P449+V449, 0) + H449 - L449, 0)
    ),
  B449&gt;55,
    IF(AB448&gt;=$AH$7,
      MAX(Y448 + IF(MONTH(A449)=12, P449+V449, 0) + H449 - L449 + K449 + Z448, 0),
      MAX(Y448 + IF(MONTH(A449)=12, P449+V449, 0) + H449 - L449, 0)
    )
)</f>
        <v>955471.2049</v>
      </c>
      <c r="Z449" s="65">
        <f>IFS(
  B449&lt;55,
    MIN(
      IF(AA448 &gt;= VLOOKUP(YEAR(A449), Lookup!$Q:$R, 2),
        Z448 + IF(MONTH(A449)=12, Q449+W449, 0) + I449
          + AA448 + IF(MONTH(A449)=12, R449+X449, 0) - VLOOKUP(YEAR(A449), Lookup!$Q:$R, 2) + J449,
        Z448 + IF(MONTH(A449)=12, Q449+W449, 0) + I449
      ),
      VLOOKUP(YEAR(A449), Lookup!$K:$M, 3)
    ),
  B449=55,
    IF(Z448 &gt;= AD449, Z448 - AD449, 0),
  B449&gt;55, 0
)</f>
        <v>0</v>
      </c>
      <c r="AA449" s="65">
        <f>IFS(
  B449&lt;65,
    IF(AA448+J449 &lt; VLOOKUP(YEAR(A449), Lookup!$Q:$R, 2),
      AA448 + IF(MONTH(A449)=12, R448+X448, 0) + J449,
      MIN(
        AA448 + IF(MONTH(A449)=12, R448+X448, 0) + J449 ,
        VLOOKUP(YEAR(A449), Lookup!$Q:$R, 2)
      )
    ),
  B449&gt;=65,
    IF(AA448+J449 &lt; VLOOKUP(questions!$C$5, Lookup!$Q:$R, 2),
      AA448 + IF(MONTH(A449)=12, R448+X448, 0) + J449 ,
      MIN(
        AA448 + IF(MONTH(A449)=12, R448+X448, 0) + J449,
        VLOOKUP(questions!$C$5, Lookup!$Q:$R, 2)
      )
    )
)</f>
        <v>274330.9591</v>
      </c>
      <c r="AB449" s="65">
        <f t="shared" si="13"/>
        <v>903971.4694</v>
      </c>
      <c r="AC449" s="66">
        <f t="array" ref="AC449">IFS(B449&lt;66, XLOOKUP(year(A449),Lookup!$K$13:$K1000,Lookup!$L$13:$L1000,"missing",,1),B449&gt;65,XLOOKUP(questions!$C$5,Lookup!$K$13:$K1000,Lookup!$L$13:$L1000,"missing",,1))</f>
        <v>393675.3633</v>
      </c>
      <c r="AD449" s="66">
        <f t="array" ref="AD449">IFS(B449&lt;66, XLOOKUP(year(A449),Lookup!$K$13:$K1000,Lookup!$M$13:$M1000,"missing",,1),B449&gt;65, XLOOKUP(questions!$C$5,Lookup!$K$13:$K1000,Lookup!$M$13:$M1000,"missing",,1))</f>
        <v>787350.7266</v>
      </c>
      <c r="AE449" s="66">
        <f t="array" ref="AE449">IFS(B449&lt;66, XLOOKUP(year(A449),Lookup!$K$13:$K1000,Lookup!$N$13:$N1000,"missing",,1),B449&gt;65,XLOOKUP(questions!$C$5,Lookup!$K$13:$K1000,Lookup!$N$13:$N1000,"missing",,1))</f>
        <v>1574701.453</v>
      </c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</row>
    <row r="450">
      <c r="A450" s="55">
        <f t="shared" si="7"/>
        <v>59717</v>
      </c>
      <c r="B450" s="56">
        <f>round(YEARFRAC(EOMONTH(questions!$C$3, 0),A450,1),2)</f>
        <v>64.58</v>
      </c>
      <c r="C450" s="58">
        <f>IF(B450&lt;questions!$C$6,if(MONTH(A450)=1,C449*(1+questions!$C$12),C449),0)</f>
        <v>0</v>
      </c>
      <c r="D450" s="58">
        <f>IF(MONTH(A450)=12,C450*questions!$C$11,0)</f>
        <v>0</v>
      </c>
      <c r="E450" s="71">
        <f t="shared" si="2"/>
        <v>0</v>
      </c>
      <c r="F450" s="71">
        <f t="shared" si="3"/>
        <v>0</v>
      </c>
      <c r="G450" s="61">
        <f t="array" ref="G450">if(YEAR(A450)=2025,XLOOKUP(B450,Lookup!$A$3:$A$7,Lookup!$D$3:$D$7,,1)*SUM(E450:F450), XLOOKUP(B450,Lookup!$A$14:$A$18,Lookup!$D$14:$D$18,,1)*SUM(E450:F450))</f>
        <v>0</v>
      </c>
      <c r="H450" s="61">
        <f t="array" ref="H450">if(YEAR(A450)=2025,XLOOKUP(B450,Lookup!$F$3:$F$10,Lookup!$G$3:$G$10,,1)*G450, XLOOKUP(B450,Lookup!$F$14:$F$21,Lookup!$G$14:$G$21,,1)*G450)</f>
        <v>0</v>
      </c>
      <c r="I450" s="61">
        <f t="array" ref="I450">if(B450&lt;55, if(YEAR(A450)=2025,XLOOKUP(B450,Lookup!$F$3:$F$10,Lookup!$H$3:$H$10,,1)*G450, XLOOKUP(B450,Lookup!$F$14:$F$21,Lookup!$H$14:$H$21,,1)*G450),0)</f>
        <v>0</v>
      </c>
      <c r="J450" s="61">
        <f t="array" ref="J450">if(YEAR(A450)=2025,XLOOKUP(B450,Lookup!$F$3:$F$10,Lookup!$I$3:$I$10,,1)*G450, XLOOKUP(B450,Lookup!$F$14:$F$21,Lookup!$I$14:$I$21,,1)*G450)</f>
        <v>0</v>
      </c>
      <c r="K450" s="61">
        <f t="array" ref="K450">if(B450&gt;54, if(YEAR(A450)=2025,XLOOKUP(B450,Lookup!$F$3:$F$10,Lookup!$H$3:$H$10,,1)*G450, XLOOKUP(B450,Lookup!$F$14:$F$21,Lookup!$H$14:$H$21,,1)*G450),0)</f>
        <v>0</v>
      </c>
      <c r="L450" s="62">
        <f>IF(and(A450&lt;questions!$C$19,questions!$C$18="yes"),questions!$C$20,0)</f>
        <v>0</v>
      </c>
      <c r="M450" s="63">
        <f>(Y449+H450)*Lookup!A$26/12</f>
        <v>1990.56501</v>
      </c>
      <c r="N450" s="63">
        <f>if(B450&lt;55, (Z449+I450)*Lookup!B$26/12, (AB449+K450)*Lookup!B$26/12)</f>
        <v>3013.238231</v>
      </c>
      <c r="O450" s="63">
        <f>(AA449+J450)*Lookup!C$26/12</f>
        <v>914.4365304</v>
      </c>
      <c r="P450" s="63">
        <f t="shared" si="8"/>
        <v>11943.39006</v>
      </c>
      <c r="Q450" s="63">
        <f t="shared" si="4"/>
        <v>18079.42939</v>
      </c>
      <c r="R450" s="63">
        <f t="shared" si="5"/>
        <v>5486.619183</v>
      </c>
      <c r="S450" s="64">
        <f t="shared" si="9"/>
        <v>33.33333333</v>
      </c>
      <c r="T450" s="64">
        <f t="shared" si="10"/>
        <v>41.66666667</v>
      </c>
      <c r="U450" s="64">
        <f t="shared" si="11"/>
        <v>0</v>
      </c>
      <c r="V450" s="64">
        <f t="shared" ref="V450:X450" si="458">IF(year($A450)=year($A449), V449+S450, S450)</f>
        <v>200</v>
      </c>
      <c r="W450" s="64">
        <f t="shared" si="458"/>
        <v>250</v>
      </c>
      <c r="X450" s="64">
        <f t="shared" si="458"/>
        <v>0</v>
      </c>
      <c r="Y450" s="65">
        <f>IFS(
  B450&lt;55,
    MAX(
      Y449 + IF(MONTH(A450)=12, P450+V450, 0) + H450 - L450
      + MAX(0,
          IF(AA449 &gt;= VLOOKUP(YEAR(A450), Lookup!$Q:$R, 2),
            Z449 + IF(MONTH(A450)=12, Q450+W450, 0) + I450
              + AA449 + IF(MONTH(A450)=12, R450+X450, 0)
              - VLOOKUP(YEAR(A450), Lookup!$Q:$R, 2) + J450,
            Z449 + IF(MONTH(A450)=12, Q450+W450, 0) + I450
          ) - VLOOKUP(YEAR(A450), Lookup!$K:$M, 3)
        ),
    0),
  B450=55,
    IF(Z449&gt;=AD450,
      MAX(Y449 + IF(MONTH(A450)=12, P450+V450, 0) + H450 - L450, 0),
      MAX(MAX(0, Y449-(AD450-Z449)) + IF(MONTH(A450)=12, P450+V450, 0) + H450 - L450, 0)
    ),
  B450&gt;55,
    IF(AB449&gt;=$AH$7,
      MAX(Y449 + IF(MONTH(A450)=12, P450+V450, 0) + H450 - L450 + K450 + Z449, 0),
      MAX(Y449 + IF(MONTH(A450)=12, P450+V450, 0) + H450 - L450, 0)
    )
)</f>
        <v>955471.2049</v>
      </c>
      <c r="Z450" s="65">
        <f>IFS(
  B450&lt;55,
    MIN(
      IF(AA449 &gt;= VLOOKUP(YEAR(A450), Lookup!$Q:$R, 2),
        Z449 + IF(MONTH(A450)=12, Q450+W450, 0) + I450
          + AA449 + IF(MONTH(A450)=12, R450+X450, 0) - VLOOKUP(YEAR(A450), Lookup!$Q:$R, 2) + J450,
        Z449 + IF(MONTH(A450)=12, Q450+W450, 0) + I450
      ),
      VLOOKUP(YEAR(A450), Lookup!$K:$M, 3)
    ),
  B450=55,
    IF(Z449 &gt;= AD450, Z449 - AD450, 0),
  B450&gt;55, 0
)</f>
        <v>0</v>
      </c>
      <c r="AA450" s="65">
        <f>IFS(
  B450&lt;65,
    IF(AA449+J450 &lt; VLOOKUP(YEAR(A450), Lookup!$Q:$R, 2),
      AA449 + IF(MONTH(A450)=12, R449+X449, 0) + J450,
      MIN(
        AA449 + IF(MONTH(A450)=12, R449+X449, 0) + J450 ,
        VLOOKUP(YEAR(A450), Lookup!$Q:$R, 2)
      )
    ),
  B450&gt;=65,
    IF(AA449+J450 &lt; VLOOKUP(questions!$C$5, Lookup!$Q:$R, 2),
      AA449 + IF(MONTH(A450)=12, R449+X449, 0) + J450 ,
      MIN(
        AA449 + IF(MONTH(A450)=12, R449+X449, 0) + J450,
        VLOOKUP(questions!$C$5, Lookup!$Q:$R, 2)
      )
    )
)</f>
        <v>274330.9591</v>
      </c>
      <c r="AB450" s="65">
        <f t="shared" si="13"/>
        <v>903971.4694</v>
      </c>
      <c r="AC450" s="66">
        <f t="array" ref="AC450">IFS(B450&lt;66, XLOOKUP(year(A450),Lookup!$K$13:$K1000,Lookup!$L$13:$L1000,"missing",,1),B450&gt;65,XLOOKUP(questions!$C$5,Lookup!$K$13:$K1000,Lookup!$L$13:$L1000,"missing",,1))</f>
        <v>393675.3633</v>
      </c>
      <c r="AD450" s="66">
        <f t="array" ref="AD450">IFS(B450&lt;66, XLOOKUP(year(A450),Lookup!$K$13:$K1000,Lookup!$M$13:$M1000,"missing",,1),B450&gt;65, XLOOKUP(questions!$C$5,Lookup!$K$13:$K1000,Lookup!$M$13:$M1000,"missing",,1))</f>
        <v>787350.7266</v>
      </c>
      <c r="AE450" s="66">
        <f t="array" ref="AE450">IFS(B450&lt;66, XLOOKUP(year(A450),Lookup!$K$13:$K1000,Lookup!$N$13:$N1000,"missing",,1),B450&gt;65,XLOOKUP(questions!$C$5,Lookup!$K$13:$K1000,Lookup!$N$13:$N1000,"missing",,1))</f>
        <v>1574701.453</v>
      </c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</row>
    <row r="451">
      <c r="A451" s="55">
        <f t="shared" si="7"/>
        <v>59748</v>
      </c>
      <c r="B451" s="56">
        <f>round(YEARFRAC(EOMONTH(questions!$C$3, 0),A451,1),2)</f>
        <v>64.67</v>
      </c>
      <c r="C451" s="58">
        <f>IF(B451&lt;questions!$C$6,if(MONTH(A451)=1,C450*(1+questions!$C$12),C450),0)</f>
        <v>0</v>
      </c>
      <c r="D451" s="58">
        <f>IF(MONTH(A451)=12,C451*questions!$C$11,0)</f>
        <v>0</v>
      </c>
      <c r="E451" s="71">
        <f t="shared" si="2"/>
        <v>0</v>
      </c>
      <c r="F451" s="71">
        <f t="shared" si="3"/>
        <v>0</v>
      </c>
      <c r="G451" s="61">
        <f t="array" ref="G451">if(YEAR(A451)=2025,XLOOKUP(B451,Lookup!$A$3:$A$7,Lookup!$D$3:$D$7,,1)*SUM(E451:F451), XLOOKUP(B451,Lookup!$A$14:$A$18,Lookup!$D$14:$D$18,,1)*SUM(E451:F451))</f>
        <v>0</v>
      </c>
      <c r="H451" s="61">
        <f t="array" ref="H451">if(YEAR(A451)=2025,XLOOKUP(B451,Lookup!$F$3:$F$10,Lookup!$G$3:$G$10,,1)*G451, XLOOKUP(B451,Lookup!$F$14:$F$21,Lookup!$G$14:$G$21,,1)*G451)</f>
        <v>0</v>
      </c>
      <c r="I451" s="61">
        <f t="array" ref="I451">if(B451&lt;55, if(YEAR(A451)=2025,XLOOKUP(B451,Lookup!$F$3:$F$10,Lookup!$H$3:$H$10,,1)*G451, XLOOKUP(B451,Lookup!$F$14:$F$21,Lookup!$H$14:$H$21,,1)*G451),0)</f>
        <v>0</v>
      </c>
      <c r="J451" s="61">
        <f t="array" ref="J451">if(YEAR(A451)=2025,XLOOKUP(B451,Lookup!$F$3:$F$10,Lookup!$I$3:$I$10,,1)*G451, XLOOKUP(B451,Lookup!$F$14:$F$21,Lookup!$I$14:$I$21,,1)*G451)</f>
        <v>0</v>
      </c>
      <c r="K451" s="61">
        <f t="array" ref="K451">if(B451&gt;54, if(YEAR(A451)=2025,XLOOKUP(B451,Lookup!$F$3:$F$10,Lookup!$H$3:$H$10,,1)*G451, XLOOKUP(B451,Lookup!$F$14:$F$21,Lookup!$H$14:$H$21,,1)*G451),0)</f>
        <v>0</v>
      </c>
      <c r="L451" s="62">
        <f>IF(and(A451&lt;questions!$C$19,questions!$C$18="yes"),questions!$C$20,0)</f>
        <v>0</v>
      </c>
      <c r="M451" s="63">
        <f>(Y450+H451)*Lookup!A$26/12</f>
        <v>1990.56501</v>
      </c>
      <c r="N451" s="63">
        <f>if(B451&lt;55, (Z450+I451)*Lookup!B$26/12, (AB450+K451)*Lookup!B$26/12)</f>
        <v>3013.238231</v>
      </c>
      <c r="O451" s="63">
        <f>(AA450+J451)*Lookup!C$26/12</f>
        <v>914.4365304</v>
      </c>
      <c r="P451" s="63">
        <f t="shared" si="8"/>
        <v>13933.95507</v>
      </c>
      <c r="Q451" s="63">
        <f t="shared" si="4"/>
        <v>21092.66762</v>
      </c>
      <c r="R451" s="63">
        <f t="shared" si="5"/>
        <v>6401.055713</v>
      </c>
      <c r="S451" s="64">
        <f t="shared" si="9"/>
        <v>33.33333333</v>
      </c>
      <c r="T451" s="64">
        <f t="shared" si="10"/>
        <v>41.66666667</v>
      </c>
      <c r="U451" s="64">
        <f t="shared" si="11"/>
        <v>0</v>
      </c>
      <c r="V451" s="64">
        <f t="shared" ref="V451:X451" si="459">IF(year($A451)=year($A450), V450+S451, S451)</f>
        <v>233.3333333</v>
      </c>
      <c r="W451" s="64">
        <f t="shared" si="459"/>
        <v>291.6666667</v>
      </c>
      <c r="X451" s="64">
        <f t="shared" si="459"/>
        <v>0</v>
      </c>
      <c r="Y451" s="65">
        <f>IFS(
  B451&lt;55,
    MAX(
      Y450 + IF(MONTH(A451)=12, P451+V451, 0) + H451 - L451
      + MAX(0,
          IF(AA450 &gt;= VLOOKUP(YEAR(A451), Lookup!$Q:$R, 2),
            Z450 + IF(MONTH(A451)=12, Q451+W451, 0) + I451
              + AA450 + IF(MONTH(A451)=12, R451+X451, 0)
              - VLOOKUP(YEAR(A451), Lookup!$Q:$R, 2) + J451,
            Z450 + IF(MONTH(A451)=12, Q451+W451, 0) + I451
          ) - VLOOKUP(YEAR(A451), Lookup!$K:$M, 3)
        ),
    0),
  B451=55,
    IF(Z450&gt;=AD451,
      MAX(Y450 + IF(MONTH(A451)=12, P451+V451, 0) + H451 - L451, 0),
      MAX(MAX(0, Y450-(AD451-Z450)) + IF(MONTH(A451)=12, P451+V451, 0) + H451 - L451, 0)
    ),
  B451&gt;55,
    IF(AB450&gt;=$AH$7,
      MAX(Y450 + IF(MONTH(A451)=12, P451+V451, 0) + H451 - L451 + K451 + Z450, 0),
      MAX(Y450 + IF(MONTH(A451)=12, P451+V451, 0) + H451 - L451, 0)
    )
)</f>
        <v>955471.2049</v>
      </c>
      <c r="Z451" s="65">
        <f>IFS(
  B451&lt;55,
    MIN(
      IF(AA450 &gt;= VLOOKUP(YEAR(A451), Lookup!$Q:$R, 2),
        Z450 + IF(MONTH(A451)=12, Q451+W451, 0) + I451
          + AA450 + IF(MONTH(A451)=12, R451+X451, 0) - VLOOKUP(YEAR(A451), Lookup!$Q:$R, 2) + J451,
        Z450 + IF(MONTH(A451)=12, Q451+W451, 0) + I451
      ),
      VLOOKUP(YEAR(A451), Lookup!$K:$M, 3)
    ),
  B451=55,
    IF(Z450 &gt;= AD451, Z450 - AD451, 0),
  B451&gt;55, 0
)</f>
        <v>0</v>
      </c>
      <c r="AA451" s="65">
        <f>IFS(
  B451&lt;65,
    IF(AA450+J451 &lt; VLOOKUP(YEAR(A451), Lookup!$Q:$R, 2),
      AA450 + IF(MONTH(A451)=12, R450+X450, 0) + J451,
      MIN(
        AA450 + IF(MONTH(A451)=12, R450+X450, 0) + J451 ,
        VLOOKUP(YEAR(A451), Lookup!$Q:$R, 2)
      )
    ),
  B451&gt;=65,
    IF(AA450+J451 &lt; VLOOKUP(questions!$C$5, Lookup!$Q:$R, 2),
      AA450 + IF(MONTH(A451)=12, R450+X450, 0) + J451 ,
      MIN(
        AA450 + IF(MONTH(A451)=12, R450+X450, 0) + J451,
        VLOOKUP(questions!$C$5, Lookup!$Q:$R, 2)
      )
    )
)</f>
        <v>274330.9591</v>
      </c>
      <c r="AB451" s="65">
        <f t="shared" si="13"/>
        <v>903971.4694</v>
      </c>
      <c r="AC451" s="66">
        <f t="array" ref="AC451">IFS(B451&lt;66, XLOOKUP(year(A451),Lookup!$K$13:$K1000,Lookup!$L$13:$L1000,"missing",,1),B451&gt;65,XLOOKUP(questions!$C$5,Lookup!$K$13:$K1000,Lookup!$L$13:$L1000,"missing",,1))</f>
        <v>393675.3633</v>
      </c>
      <c r="AD451" s="66">
        <f t="array" ref="AD451">IFS(B451&lt;66, XLOOKUP(year(A451),Lookup!$K$13:$K1000,Lookup!$M$13:$M1000,"missing",,1),B451&gt;65, XLOOKUP(questions!$C$5,Lookup!$K$13:$K1000,Lookup!$M$13:$M1000,"missing",,1))</f>
        <v>787350.7266</v>
      </c>
      <c r="AE451" s="66">
        <f t="array" ref="AE451">IFS(B451&lt;66, XLOOKUP(year(A451),Lookup!$K$13:$K1000,Lookup!$N$13:$N1000,"missing",,1),B451&gt;65,XLOOKUP(questions!$C$5,Lookup!$K$13:$K1000,Lookup!$N$13:$N1000,"missing",,1))</f>
        <v>1574701.453</v>
      </c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</row>
    <row r="452">
      <c r="A452" s="55">
        <f t="shared" si="7"/>
        <v>59779</v>
      </c>
      <c r="B452" s="56">
        <f>round(YEARFRAC(EOMONTH(questions!$C$3, 0),A452,1),2)</f>
        <v>64.75</v>
      </c>
      <c r="C452" s="58">
        <f>IF(B452&lt;questions!$C$6,if(MONTH(A452)=1,C451*(1+questions!$C$12),C451),0)</f>
        <v>0</v>
      </c>
      <c r="D452" s="58">
        <f>IF(MONTH(A452)=12,C452*questions!$C$11,0)</f>
        <v>0</v>
      </c>
      <c r="E452" s="71">
        <f t="shared" si="2"/>
        <v>0</v>
      </c>
      <c r="F452" s="71">
        <f t="shared" si="3"/>
        <v>0</v>
      </c>
      <c r="G452" s="61">
        <f t="array" ref="G452">if(YEAR(A452)=2025,XLOOKUP(B452,Lookup!$A$3:$A$7,Lookup!$D$3:$D$7,,1)*SUM(E452:F452), XLOOKUP(B452,Lookup!$A$14:$A$18,Lookup!$D$14:$D$18,,1)*SUM(E452:F452))</f>
        <v>0</v>
      </c>
      <c r="H452" s="61">
        <f t="array" ref="H452">if(YEAR(A452)=2025,XLOOKUP(B452,Lookup!$F$3:$F$10,Lookup!$G$3:$G$10,,1)*G452, XLOOKUP(B452,Lookup!$F$14:$F$21,Lookup!$G$14:$G$21,,1)*G452)</f>
        <v>0</v>
      </c>
      <c r="I452" s="61">
        <f t="array" ref="I452">if(B452&lt;55, if(YEAR(A452)=2025,XLOOKUP(B452,Lookup!$F$3:$F$10,Lookup!$H$3:$H$10,,1)*G452, XLOOKUP(B452,Lookup!$F$14:$F$21,Lookup!$H$14:$H$21,,1)*G452),0)</f>
        <v>0</v>
      </c>
      <c r="J452" s="61">
        <f t="array" ref="J452">if(YEAR(A452)=2025,XLOOKUP(B452,Lookup!$F$3:$F$10,Lookup!$I$3:$I$10,,1)*G452, XLOOKUP(B452,Lookup!$F$14:$F$21,Lookup!$I$14:$I$21,,1)*G452)</f>
        <v>0</v>
      </c>
      <c r="K452" s="61">
        <f t="array" ref="K452">if(B452&gt;54, if(YEAR(A452)=2025,XLOOKUP(B452,Lookup!$F$3:$F$10,Lookup!$H$3:$H$10,,1)*G452, XLOOKUP(B452,Lookup!$F$14:$F$21,Lookup!$H$14:$H$21,,1)*G452),0)</f>
        <v>0</v>
      </c>
      <c r="L452" s="62">
        <f>IF(and(A452&lt;questions!$C$19,questions!$C$18="yes"),questions!$C$20,0)</f>
        <v>0</v>
      </c>
      <c r="M452" s="63">
        <f>(Y451+H452)*Lookup!A$26/12</f>
        <v>1990.56501</v>
      </c>
      <c r="N452" s="63">
        <f>if(B452&lt;55, (Z451+I452)*Lookup!B$26/12, (AB451+K452)*Lookup!B$26/12)</f>
        <v>3013.238231</v>
      </c>
      <c r="O452" s="63">
        <f>(AA451+J452)*Lookup!C$26/12</f>
        <v>914.4365304</v>
      </c>
      <c r="P452" s="63">
        <f t="shared" si="8"/>
        <v>15924.52008</v>
      </c>
      <c r="Q452" s="63">
        <f t="shared" si="4"/>
        <v>24105.90585</v>
      </c>
      <c r="R452" s="63">
        <f t="shared" si="5"/>
        <v>7315.492243</v>
      </c>
      <c r="S452" s="64">
        <f t="shared" si="9"/>
        <v>33.33333333</v>
      </c>
      <c r="T452" s="64">
        <f t="shared" si="10"/>
        <v>41.66666667</v>
      </c>
      <c r="U452" s="64">
        <f t="shared" si="11"/>
        <v>0</v>
      </c>
      <c r="V452" s="64">
        <f t="shared" ref="V452:X452" si="460">IF(year($A452)=year($A451), V451+S452, S452)</f>
        <v>266.6666667</v>
      </c>
      <c r="W452" s="64">
        <f t="shared" si="460"/>
        <v>333.3333333</v>
      </c>
      <c r="X452" s="64">
        <f t="shared" si="460"/>
        <v>0</v>
      </c>
      <c r="Y452" s="65">
        <f>IFS(
  B452&lt;55,
    MAX(
      Y451 + IF(MONTH(A452)=12, P452+V452, 0) + H452 - L452
      + MAX(0,
          IF(AA451 &gt;= VLOOKUP(YEAR(A452), Lookup!$Q:$R, 2),
            Z451 + IF(MONTH(A452)=12, Q452+W452, 0) + I452
              + AA451 + IF(MONTH(A452)=12, R452+X452, 0)
              - VLOOKUP(YEAR(A452), Lookup!$Q:$R, 2) + J452,
            Z451 + IF(MONTH(A452)=12, Q452+W452, 0) + I452
          ) - VLOOKUP(YEAR(A452), Lookup!$K:$M, 3)
        ),
    0),
  B452=55,
    IF(Z451&gt;=AD452,
      MAX(Y451 + IF(MONTH(A452)=12, P452+V452, 0) + H452 - L452, 0),
      MAX(MAX(0, Y451-(AD452-Z451)) + IF(MONTH(A452)=12, P452+V452, 0) + H452 - L452, 0)
    ),
  B452&gt;55,
    IF(AB451&gt;=$AH$7,
      MAX(Y451 + IF(MONTH(A452)=12, P452+V452, 0) + H452 - L452 + K452 + Z451, 0),
      MAX(Y451 + IF(MONTH(A452)=12, P452+V452, 0) + H452 - L452, 0)
    )
)</f>
        <v>955471.2049</v>
      </c>
      <c r="Z452" s="65">
        <f>IFS(
  B452&lt;55,
    MIN(
      IF(AA451 &gt;= VLOOKUP(YEAR(A452), Lookup!$Q:$R, 2),
        Z451 + IF(MONTH(A452)=12, Q452+W452, 0) + I452
          + AA451 + IF(MONTH(A452)=12, R452+X452, 0) - VLOOKUP(YEAR(A452), Lookup!$Q:$R, 2) + J452,
        Z451 + IF(MONTH(A452)=12, Q452+W452, 0) + I452
      ),
      VLOOKUP(YEAR(A452), Lookup!$K:$M, 3)
    ),
  B452=55,
    IF(Z451 &gt;= AD452, Z451 - AD452, 0),
  B452&gt;55, 0
)</f>
        <v>0</v>
      </c>
      <c r="AA452" s="65">
        <f>IFS(
  B452&lt;65,
    IF(AA451+J452 &lt; VLOOKUP(YEAR(A452), Lookup!$Q:$R, 2),
      AA451 + IF(MONTH(A452)=12, R451+X451, 0) + J452,
      MIN(
        AA451 + IF(MONTH(A452)=12, R451+X451, 0) + J452 ,
        VLOOKUP(YEAR(A452), Lookup!$Q:$R, 2)
      )
    ),
  B452&gt;=65,
    IF(AA451+J452 &lt; VLOOKUP(questions!$C$5, Lookup!$Q:$R, 2),
      AA451 + IF(MONTH(A452)=12, R451+X451, 0) + J452 ,
      MIN(
        AA451 + IF(MONTH(A452)=12, R451+X451, 0) + J452,
        VLOOKUP(questions!$C$5, Lookup!$Q:$R, 2)
      )
    )
)</f>
        <v>274330.9591</v>
      </c>
      <c r="AB452" s="65">
        <f t="shared" si="13"/>
        <v>903971.4694</v>
      </c>
      <c r="AC452" s="66">
        <f t="array" ref="AC452">IFS(B452&lt;66, XLOOKUP(year(A452),Lookup!$K$13:$K1000,Lookup!$L$13:$L1000,"missing",,1),B452&gt;65,XLOOKUP(questions!$C$5,Lookup!$K$13:$K1000,Lookup!$L$13:$L1000,"missing",,1))</f>
        <v>393675.3633</v>
      </c>
      <c r="AD452" s="66">
        <f t="array" ref="AD452">IFS(B452&lt;66, XLOOKUP(year(A452),Lookup!$K$13:$K1000,Lookup!$M$13:$M1000,"missing",,1),B452&gt;65, XLOOKUP(questions!$C$5,Lookup!$K$13:$K1000,Lookup!$M$13:$M1000,"missing",,1))</f>
        <v>787350.7266</v>
      </c>
      <c r="AE452" s="66">
        <f t="array" ref="AE452">IFS(B452&lt;66, XLOOKUP(year(A452),Lookup!$K$13:$K1000,Lookup!$N$13:$N1000,"missing",,1),B452&gt;65,XLOOKUP(questions!$C$5,Lookup!$K$13:$K1000,Lookup!$N$13:$N1000,"missing",,1))</f>
        <v>1574701.453</v>
      </c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</row>
    <row r="453">
      <c r="A453" s="55">
        <f t="shared" si="7"/>
        <v>59809</v>
      </c>
      <c r="B453" s="56">
        <f>round(YEARFRAC(EOMONTH(questions!$C$3, 0),A453,1),2)</f>
        <v>64.83</v>
      </c>
      <c r="C453" s="58">
        <f>IF(B453&lt;questions!$C$6,if(MONTH(A453)=1,C452*(1+questions!$C$12),C452),0)</f>
        <v>0</v>
      </c>
      <c r="D453" s="58">
        <f>IF(MONTH(A453)=12,C453*questions!$C$11,0)</f>
        <v>0</v>
      </c>
      <c r="E453" s="71">
        <f t="shared" si="2"/>
        <v>0</v>
      </c>
      <c r="F453" s="71">
        <f t="shared" si="3"/>
        <v>0</v>
      </c>
      <c r="G453" s="61">
        <f t="array" ref="G453">if(YEAR(A453)=2025,XLOOKUP(B453,Lookup!$A$3:$A$7,Lookup!$D$3:$D$7,,1)*SUM(E453:F453), XLOOKUP(B453,Lookup!$A$14:$A$18,Lookup!$D$14:$D$18,,1)*SUM(E453:F453))</f>
        <v>0</v>
      </c>
      <c r="H453" s="61">
        <f t="array" ref="H453">if(YEAR(A453)=2025,XLOOKUP(B453,Lookup!$F$3:$F$10,Lookup!$G$3:$G$10,,1)*G453, XLOOKUP(B453,Lookup!$F$14:$F$21,Lookup!$G$14:$G$21,,1)*G453)</f>
        <v>0</v>
      </c>
      <c r="I453" s="61">
        <f t="array" ref="I453">if(B453&lt;55, if(YEAR(A453)=2025,XLOOKUP(B453,Lookup!$F$3:$F$10,Lookup!$H$3:$H$10,,1)*G453, XLOOKUP(B453,Lookup!$F$14:$F$21,Lookup!$H$14:$H$21,,1)*G453),0)</f>
        <v>0</v>
      </c>
      <c r="J453" s="61">
        <f t="array" ref="J453">if(YEAR(A453)=2025,XLOOKUP(B453,Lookup!$F$3:$F$10,Lookup!$I$3:$I$10,,1)*G453, XLOOKUP(B453,Lookup!$F$14:$F$21,Lookup!$I$14:$I$21,,1)*G453)</f>
        <v>0</v>
      </c>
      <c r="K453" s="61">
        <f t="array" ref="K453">if(B453&gt;54, if(YEAR(A453)=2025,XLOOKUP(B453,Lookup!$F$3:$F$10,Lookup!$H$3:$H$10,,1)*G453, XLOOKUP(B453,Lookup!$F$14:$F$21,Lookup!$H$14:$H$21,,1)*G453),0)</f>
        <v>0</v>
      </c>
      <c r="L453" s="62">
        <f>IF(and(A453&lt;questions!$C$19,questions!$C$18="yes"),questions!$C$20,0)</f>
        <v>0</v>
      </c>
      <c r="M453" s="63">
        <f>(Y452+H453)*Lookup!A$26/12</f>
        <v>1990.56501</v>
      </c>
      <c r="N453" s="63">
        <f>if(B453&lt;55, (Z452+I453)*Lookup!B$26/12, (AB452+K453)*Lookup!B$26/12)</f>
        <v>3013.238231</v>
      </c>
      <c r="O453" s="63">
        <f>(AA452+J453)*Lookup!C$26/12</f>
        <v>914.4365304</v>
      </c>
      <c r="P453" s="63">
        <f t="shared" si="8"/>
        <v>17915.08509</v>
      </c>
      <c r="Q453" s="63">
        <f t="shared" si="4"/>
        <v>27119.14408</v>
      </c>
      <c r="R453" s="63">
        <f t="shared" si="5"/>
        <v>8229.928774</v>
      </c>
      <c r="S453" s="64">
        <f t="shared" si="9"/>
        <v>33.33333333</v>
      </c>
      <c r="T453" s="64">
        <f t="shared" si="10"/>
        <v>41.66666667</v>
      </c>
      <c r="U453" s="64">
        <f t="shared" si="11"/>
        <v>0</v>
      </c>
      <c r="V453" s="64">
        <f t="shared" ref="V453:X453" si="461">IF(year($A453)=year($A452), V452+S453, S453)</f>
        <v>300</v>
      </c>
      <c r="W453" s="64">
        <f t="shared" si="461"/>
        <v>375</v>
      </c>
      <c r="X453" s="64">
        <f t="shared" si="461"/>
        <v>0</v>
      </c>
      <c r="Y453" s="65">
        <f>IFS(
  B453&lt;55,
    MAX(
      Y452 + IF(MONTH(A453)=12, P453+V453, 0) + H453 - L453
      + MAX(0,
          IF(AA452 &gt;= VLOOKUP(YEAR(A453), Lookup!$Q:$R, 2),
            Z452 + IF(MONTH(A453)=12, Q453+W453, 0) + I453
              + AA452 + IF(MONTH(A453)=12, R453+X453, 0)
              - VLOOKUP(YEAR(A453), Lookup!$Q:$R, 2) + J453,
            Z452 + IF(MONTH(A453)=12, Q453+W453, 0) + I453
          ) - VLOOKUP(YEAR(A453), Lookup!$K:$M, 3)
        ),
    0),
  B453=55,
    IF(Z452&gt;=AD453,
      MAX(Y452 + IF(MONTH(A453)=12, P453+V453, 0) + H453 - L453, 0),
      MAX(MAX(0, Y452-(AD453-Z452)) + IF(MONTH(A453)=12, P453+V453, 0) + H453 - L453, 0)
    ),
  B453&gt;55,
    IF(AB452&gt;=$AH$7,
      MAX(Y452 + IF(MONTH(A453)=12, P453+V453, 0) + H453 - L453 + K453 + Z452, 0),
      MAX(Y452 + IF(MONTH(A453)=12, P453+V453, 0) + H453 - L453, 0)
    )
)</f>
        <v>955471.2049</v>
      </c>
      <c r="Z453" s="65">
        <f>IFS(
  B453&lt;55,
    MIN(
      IF(AA452 &gt;= VLOOKUP(YEAR(A453), Lookup!$Q:$R, 2),
        Z452 + IF(MONTH(A453)=12, Q453+W453, 0) + I453
          + AA452 + IF(MONTH(A453)=12, R453+X453, 0) - VLOOKUP(YEAR(A453), Lookup!$Q:$R, 2) + J453,
        Z452 + IF(MONTH(A453)=12, Q453+W453, 0) + I453
      ),
      VLOOKUP(YEAR(A453), Lookup!$K:$M, 3)
    ),
  B453=55,
    IF(Z452 &gt;= AD453, Z452 - AD453, 0),
  B453&gt;55, 0
)</f>
        <v>0</v>
      </c>
      <c r="AA453" s="65">
        <f>IFS(
  B453&lt;65,
    IF(AA452+J453 &lt; VLOOKUP(YEAR(A453), Lookup!$Q:$R, 2),
      AA452 + IF(MONTH(A453)=12, R452+X452, 0) + J453,
      MIN(
        AA452 + IF(MONTH(A453)=12, R452+X452, 0) + J453 ,
        VLOOKUP(YEAR(A453), Lookup!$Q:$R, 2)
      )
    ),
  B453&gt;=65,
    IF(AA452+J453 &lt; VLOOKUP(questions!$C$5, Lookup!$Q:$R, 2),
      AA452 + IF(MONTH(A453)=12, R452+X452, 0) + J453 ,
      MIN(
        AA452 + IF(MONTH(A453)=12, R452+X452, 0) + J453,
        VLOOKUP(questions!$C$5, Lookup!$Q:$R, 2)
      )
    )
)</f>
        <v>274330.9591</v>
      </c>
      <c r="AB453" s="65">
        <f t="shared" si="13"/>
        <v>903971.4694</v>
      </c>
      <c r="AC453" s="66">
        <f t="array" ref="AC453">IFS(B453&lt;66, XLOOKUP(year(A453),Lookup!$K$13:$K1000,Lookup!$L$13:$L1000,"missing",,1),B453&gt;65,XLOOKUP(questions!$C$5,Lookup!$K$13:$K1000,Lookup!$L$13:$L1000,"missing",,1))</f>
        <v>393675.3633</v>
      </c>
      <c r="AD453" s="66">
        <f t="array" ref="AD453">IFS(B453&lt;66, XLOOKUP(year(A453),Lookup!$K$13:$K1000,Lookup!$M$13:$M1000,"missing",,1),B453&gt;65, XLOOKUP(questions!$C$5,Lookup!$K$13:$K1000,Lookup!$M$13:$M1000,"missing",,1))</f>
        <v>787350.7266</v>
      </c>
      <c r="AE453" s="66">
        <f t="array" ref="AE453">IFS(B453&lt;66, XLOOKUP(year(A453),Lookup!$K$13:$K1000,Lookup!$N$13:$N1000,"missing",,1),B453&gt;65,XLOOKUP(questions!$C$5,Lookup!$K$13:$K1000,Lookup!$N$13:$N1000,"missing",,1))</f>
        <v>1574701.453</v>
      </c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</row>
    <row r="454">
      <c r="A454" s="55">
        <f t="shared" si="7"/>
        <v>59840</v>
      </c>
      <c r="B454" s="56">
        <f>round(YEARFRAC(EOMONTH(questions!$C$3, 0),A454,1),2)</f>
        <v>64.92</v>
      </c>
      <c r="C454" s="58">
        <f>IF(B454&lt;questions!$C$6,if(MONTH(A454)=1,C453*(1+questions!$C$12),C453),0)</f>
        <v>0</v>
      </c>
      <c r="D454" s="58">
        <f>IF(MONTH(A454)=12,C454*questions!$C$11,0)</f>
        <v>0</v>
      </c>
      <c r="E454" s="71">
        <f t="shared" si="2"/>
        <v>0</v>
      </c>
      <c r="F454" s="71">
        <f t="shared" si="3"/>
        <v>0</v>
      </c>
      <c r="G454" s="61">
        <f t="array" ref="G454">if(YEAR(A454)=2025,XLOOKUP(B454,Lookup!$A$3:$A$7,Lookup!$D$3:$D$7,,1)*SUM(E454:F454), XLOOKUP(B454,Lookup!$A$14:$A$18,Lookup!$D$14:$D$18,,1)*SUM(E454:F454))</f>
        <v>0</v>
      </c>
      <c r="H454" s="61">
        <f t="array" ref="H454">if(YEAR(A454)=2025,XLOOKUP(B454,Lookup!$F$3:$F$10,Lookup!$G$3:$G$10,,1)*G454, XLOOKUP(B454,Lookup!$F$14:$F$21,Lookup!$G$14:$G$21,,1)*G454)</f>
        <v>0</v>
      </c>
      <c r="I454" s="61">
        <f t="array" ref="I454">if(B454&lt;55, if(YEAR(A454)=2025,XLOOKUP(B454,Lookup!$F$3:$F$10,Lookup!$H$3:$H$10,,1)*G454, XLOOKUP(B454,Lookup!$F$14:$F$21,Lookup!$H$14:$H$21,,1)*G454),0)</f>
        <v>0</v>
      </c>
      <c r="J454" s="61">
        <f t="array" ref="J454">if(YEAR(A454)=2025,XLOOKUP(B454,Lookup!$F$3:$F$10,Lookup!$I$3:$I$10,,1)*G454, XLOOKUP(B454,Lookup!$F$14:$F$21,Lookup!$I$14:$I$21,,1)*G454)</f>
        <v>0</v>
      </c>
      <c r="K454" s="61">
        <f t="array" ref="K454">if(B454&gt;54, if(YEAR(A454)=2025,XLOOKUP(B454,Lookup!$F$3:$F$10,Lookup!$H$3:$H$10,,1)*G454, XLOOKUP(B454,Lookup!$F$14:$F$21,Lookup!$H$14:$H$21,,1)*G454),0)</f>
        <v>0</v>
      </c>
      <c r="L454" s="62">
        <f>IF(and(A454&lt;questions!$C$19,questions!$C$18="yes"),questions!$C$20,0)</f>
        <v>0</v>
      </c>
      <c r="M454" s="63">
        <f>(Y453+H454)*Lookup!A$26/12</f>
        <v>1990.56501</v>
      </c>
      <c r="N454" s="63">
        <f>if(B454&lt;55, (Z453+I454)*Lookup!B$26/12, (AB453+K454)*Lookup!B$26/12)</f>
        <v>3013.238231</v>
      </c>
      <c r="O454" s="63">
        <f>(AA453+J454)*Lookup!C$26/12</f>
        <v>914.4365304</v>
      </c>
      <c r="P454" s="63">
        <f t="shared" si="8"/>
        <v>19905.6501</v>
      </c>
      <c r="Q454" s="63">
        <f t="shared" si="4"/>
        <v>30132.38231</v>
      </c>
      <c r="R454" s="63">
        <f t="shared" si="5"/>
        <v>9144.365304</v>
      </c>
      <c r="S454" s="64">
        <f t="shared" si="9"/>
        <v>33.33333333</v>
      </c>
      <c r="T454" s="64">
        <f t="shared" si="10"/>
        <v>41.66666667</v>
      </c>
      <c r="U454" s="64">
        <f t="shared" si="11"/>
        <v>0</v>
      </c>
      <c r="V454" s="64">
        <f t="shared" ref="V454:X454" si="462">IF(year($A454)=year($A453), V453+S454, S454)</f>
        <v>333.3333333</v>
      </c>
      <c r="W454" s="64">
        <f t="shared" si="462"/>
        <v>416.6666667</v>
      </c>
      <c r="X454" s="64">
        <f t="shared" si="462"/>
        <v>0</v>
      </c>
      <c r="Y454" s="65">
        <f>IFS(
  B454&lt;55,
    MAX(
      Y453 + IF(MONTH(A454)=12, P454+V454, 0) + H454 - L454
      + MAX(0,
          IF(AA453 &gt;= VLOOKUP(YEAR(A454), Lookup!$Q:$R, 2),
            Z453 + IF(MONTH(A454)=12, Q454+W454, 0) + I454
              + AA453 + IF(MONTH(A454)=12, R454+X454, 0)
              - VLOOKUP(YEAR(A454), Lookup!$Q:$R, 2) + J454,
            Z453 + IF(MONTH(A454)=12, Q454+W454, 0) + I454
          ) - VLOOKUP(YEAR(A454), Lookup!$K:$M, 3)
        ),
    0),
  B454=55,
    IF(Z453&gt;=AD454,
      MAX(Y453 + IF(MONTH(A454)=12, P454+V454, 0) + H454 - L454, 0),
      MAX(MAX(0, Y453-(AD454-Z453)) + IF(MONTH(A454)=12, P454+V454, 0) + H454 - L454, 0)
    ),
  B454&gt;55,
    IF(AB453&gt;=$AH$7,
      MAX(Y453 + IF(MONTH(A454)=12, P454+V454, 0) + H454 - L454 + K454 + Z453, 0),
      MAX(Y453 + IF(MONTH(A454)=12, P454+V454, 0) + H454 - L454, 0)
    )
)</f>
        <v>955471.2049</v>
      </c>
      <c r="Z454" s="65">
        <f>IFS(
  B454&lt;55,
    MIN(
      IF(AA453 &gt;= VLOOKUP(YEAR(A454), Lookup!$Q:$R, 2),
        Z453 + IF(MONTH(A454)=12, Q454+W454, 0) + I454
          + AA453 + IF(MONTH(A454)=12, R454+X454, 0) - VLOOKUP(YEAR(A454), Lookup!$Q:$R, 2) + J454,
        Z453 + IF(MONTH(A454)=12, Q454+W454, 0) + I454
      ),
      VLOOKUP(YEAR(A454), Lookup!$K:$M, 3)
    ),
  B454=55,
    IF(Z453 &gt;= AD454, Z453 - AD454, 0),
  B454&gt;55, 0
)</f>
        <v>0</v>
      </c>
      <c r="AA454" s="65">
        <f>IFS(
  B454&lt;65,
    IF(AA453+J454 &lt; VLOOKUP(YEAR(A454), Lookup!$Q:$R, 2),
      AA453 + IF(MONTH(A454)=12, R453+X453, 0) + J454,
      MIN(
        AA453 + IF(MONTH(A454)=12, R453+X453, 0) + J454 ,
        VLOOKUP(YEAR(A454), Lookup!$Q:$R, 2)
      )
    ),
  B454&gt;=65,
    IF(AA453+J454 &lt; VLOOKUP(questions!$C$5, Lookup!$Q:$R, 2),
      AA453 + IF(MONTH(A454)=12, R453+X453, 0) + J454 ,
      MIN(
        AA453 + IF(MONTH(A454)=12, R453+X453, 0) + J454,
        VLOOKUP(questions!$C$5, Lookup!$Q:$R, 2)
      )
    )
)</f>
        <v>274330.9591</v>
      </c>
      <c r="AB454" s="65">
        <f t="shared" si="13"/>
        <v>903971.4694</v>
      </c>
      <c r="AC454" s="66">
        <f t="array" ref="AC454">IFS(B454&lt;66, XLOOKUP(year(A454),Lookup!$K$13:$K1000,Lookup!$L$13:$L1000,"missing",,1),B454&gt;65,XLOOKUP(questions!$C$5,Lookup!$K$13:$K1000,Lookup!$L$13:$L1000,"missing",,1))</f>
        <v>393675.3633</v>
      </c>
      <c r="AD454" s="66">
        <f t="array" ref="AD454">IFS(B454&lt;66, XLOOKUP(year(A454),Lookup!$K$13:$K1000,Lookup!$M$13:$M1000,"missing",,1),B454&gt;65, XLOOKUP(questions!$C$5,Lookup!$K$13:$K1000,Lookup!$M$13:$M1000,"missing",,1))</f>
        <v>787350.7266</v>
      </c>
      <c r="AE454" s="66">
        <f t="array" ref="AE454">IFS(B454&lt;66, XLOOKUP(year(A454),Lookup!$K$13:$K1000,Lookup!$N$13:$N1000,"missing",,1),B454&gt;65,XLOOKUP(questions!$C$5,Lookup!$K$13:$K1000,Lookup!$N$13:$N1000,"missing",,1))</f>
        <v>1574701.453</v>
      </c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</row>
    <row r="455">
      <c r="A455" s="55">
        <f t="shared" si="7"/>
        <v>59870</v>
      </c>
      <c r="B455" s="56">
        <f>round(YEARFRAC(EOMONTH(questions!$C$3, 0),A455,1),2)</f>
        <v>65</v>
      </c>
      <c r="C455" s="58">
        <f>IF(B455&lt;questions!$C$6,if(MONTH(A455)=1,C454*(1+questions!$C$12),C454),0)</f>
        <v>0</v>
      </c>
      <c r="D455" s="58">
        <f>IF(MONTH(A455)=12,C455*questions!$C$11,0)</f>
        <v>0</v>
      </c>
      <c r="E455" s="71">
        <f t="shared" si="2"/>
        <v>0</v>
      </c>
      <c r="F455" s="71">
        <f t="shared" si="3"/>
        <v>0</v>
      </c>
      <c r="G455" s="61">
        <f t="array" ref="G455">if(YEAR(A455)=2025,XLOOKUP(B455,Lookup!$A$3:$A$7,Lookup!$D$3:$D$7,,1)*SUM(E455:F455), XLOOKUP(B455,Lookup!$A$14:$A$18,Lookup!$D$14:$D$18,,1)*SUM(E455:F455))</f>
        <v>0</v>
      </c>
      <c r="H455" s="61">
        <f t="array" ref="H455">if(YEAR(A455)=2025,XLOOKUP(B455,Lookup!$F$3:$F$10,Lookup!$G$3:$G$10,,1)*G455, XLOOKUP(B455,Lookup!$F$14:$F$21,Lookup!$G$14:$G$21,,1)*G455)</f>
        <v>0</v>
      </c>
      <c r="I455" s="61">
        <f t="array" ref="I455">if(B455&lt;55, if(YEAR(A455)=2025,XLOOKUP(B455,Lookup!$F$3:$F$10,Lookup!$H$3:$H$10,,1)*G455, XLOOKUP(B455,Lookup!$F$14:$F$21,Lookup!$H$14:$H$21,,1)*G455),0)</f>
        <v>0</v>
      </c>
      <c r="J455" s="61">
        <f t="array" ref="J455">if(YEAR(A455)=2025,XLOOKUP(B455,Lookup!$F$3:$F$10,Lookup!$I$3:$I$10,,1)*G455, XLOOKUP(B455,Lookup!$F$14:$F$21,Lookup!$I$14:$I$21,,1)*G455)</f>
        <v>0</v>
      </c>
      <c r="K455" s="61">
        <f t="array" ref="K455">if(B455&gt;54, if(YEAR(A455)=2025,XLOOKUP(B455,Lookup!$F$3:$F$10,Lookup!$H$3:$H$10,,1)*G455, XLOOKUP(B455,Lookup!$F$14:$F$21,Lookup!$H$14:$H$21,,1)*G455),0)</f>
        <v>0</v>
      </c>
      <c r="L455" s="62">
        <f>IF(and(A455&lt;questions!$C$19,questions!$C$18="yes"),questions!$C$20,0)</f>
        <v>0</v>
      </c>
      <c r="M455" s="63">
        <f>(Y454+H455)*Lookup!A$26/12</f>
        <v>1990.56501</v>
      </c>
      <c r="N455" s="63">
        <f>if(B455&lt;55, (Z454+I455)*Lookup!B$26/12, (AB454+K455)*Lookup!B$26/12)</f>
        <v>3013.238231</v>
      </c>
      <c r="O455" s="63">
        <f>(AA454+J455)*Lookup!C$26/12</f>
        <v>914.4365304</v>
      </c>
      <c r="P455" s="63">
        <f t="shared" si="8"/>
        <v>21896.21511</v>
      </c>
      <c r="Q455" s="63">
        <f t="shared" si="4"/>
        <v>33145.62054</v>
      </c>
      <c r="R455" s="63">
        <f t="shared" si="5"/>
        <v>10058.80183</v>
      </c>
      <c r="S455" s="64">
        <f t="shared" si="9"/>
        <v>33.33333333</v>
      </c>
      <c r="T455" s="64">
        <f t="shared" si="10"/>
        <v>41.66666667</v>
      </c>
      <c r="U455" s="64">
        <f t="shared" si="11"/>
        <v>0</v>
      </c>
      <c r="V455" s="64">
        <f t="shared" ref="V455:X455" si="463">IF(year($A455)=year($A454), V454+S455, S455)</f>
        <v>366.6666667</v>
      </c>
      <c r="W455" s="64">
        <f t="shared" si="463"/>
        <v>458.3333333</v>
      </c>
      <c r="X455" s="64">
        <f t="shared" si="463"/>
        <v>0</v>
      </c>
      <c r="Y455" s="65">
        <f>IFS(
  B455&lt;55,
    MAX(
      Y454 + IF(MONTH(A455)=12, P455+V455, 0) + H455 - L455
      + MAX(0,
          IF(AA454 &gt;= VLOOKUP(YEAR(A455), Lookup!$Q:$R, 2),
            Z454 + IF(MONTH(A455)=12, Q455+W455, 0) + I455
              + AA454 + IF(MONTH(A455)=12, R455+X455, 0)
              - VLOOKUP(YEAR(A455), Lookup!$Q:$R, 2) + J455,
            Z454 + IF(MONTH(A455)=12, Q455+W455, 0) + I455
          ) - VLOOKUP(YEAR(A455), Lookup!$K:$M, 3)
        ),
    0),
  B455=55,
    IF(Z454&gt;=AD455,
      MAX(Y454 + IF(MONTH(A455)=12, P455+V455, 0) + H455 - L455, 0),
      MAX(MAX(0, Y454-(AD455-Z454)) + IF(MONTH(A455)=12, P455+V455, 0) + H455 - L455, 0)
    ),
  B455&gt;55,
    IF(AB454&gt;=$AH$7,
      MAX(Y454 + IF(MONTH(A455)=12, P455+V455, 0) + H455 - L455 + K455 + Z454, 0),
      MAX(Y454 + IF(MONTH(A455)=12, P455+V455, 0) + H455 - L455, 0)
    )
)</f>
        <v>955471.2049</v>
      </c>
      <c r="Z455" s="65">
        <f>IFS(
  B455&lt;55,
    MIN(
      IF(AA454 &gt;= VLOOKUP(YEAR(A455), Lookup!$Q:$R, 2),
        Z454 + IF(MONTH(A455)=12, Q455+W455, 0) + I455
          + AA454 + IF(MONTH(A455)=12, R455+X455, 0) - VLOOKUP(YEAR(A455), Lookup!$Q:$R, 2) + J455,
        Z454 + IF(MONTH(A455)=12, Q455+W455, 0) + I455
      ),
      VLOOKUP(YEAR(A455), Lookup!$K:$M, 3)
    ),
  B455=55,
    IF(Z454 &gt;= AD455, Z454 - AD455, 0),
  B455&gt;55, 0
)</f>
        <v>0</v>
      </c>
      <c r="AA455" s="65">
        <f>IFS(
  B455&lt;65,
    IF(AA454+J455 &lt; VLOOKUP(YEAR(A455), Lookup!$Q:$R, 2),
      AA454 + IF(MONTH(A455)=12, R454+X454, 0) + J455,
      MIN(
        AA454 + IF(MONTH(A455)=12, R454+X454, 0) + J455 ,
        VLOOKUP(YEAR(A455), Lookup!$Q:$R, 2)
      )
    ),
  B455&gt;=65,
    IF(AA454+J455 &lt; VLOOKUP(questions!$C$5, Lookup!$Q:$R, 2),
      AA454 + IF(MONTH(A455)=12, R454+X454, 0) + J455 ,
      MIN(
        AA454 + IF(MONTH(A455)=12, R454+X454, 0) + J455,
        VLOOKUP(questions!$C$5, Lookup!$Q:$R, 2)
      )
    )
)</f>
        <v>274330.9591</v>
      </c>
      <c r="AB455" s="65">
        <f t="shared" si="13"/>
        <v>903971.4694</v>
      </c>
      <c r="AC455" s="66">
        <f t="array" ref="AC455">IFS(B455&lt;66, XLOOKUP(year(A455),Lookup!$K$13:$K1000,Lookup!$L$13:$L1000,"missing",,1),B455&gt;65,XLOOKUP(questions!$C$5,Lookup!$K$13:$K1000,Lookup!$L$13:$L1000,"missing",,1))</f>
        <v>393675.3633</v>
      </c>
      <c r="AD455" s="66">
        <f t="array" ref="AD455">IFS(B455&lt;66, XLOOKUP(year(A455),Lookup!$K$13:$K1000,Lookup!$M$13:$M1000,"missing",,1),B455&gt;65, XLOOKUP(questions!$C$5,Lookup!$K$13:$K1000,Lookup!$M$13:$M1000,"missing",,1))</f>
        <v>787350.7266</v>
      </c>
      <c r="AE455" s="66">
        <f t="array" ref="AE455">IFS(B455&lt;66, XLOOKUP(year(A455),Lookup!$K$13:$K1000,Lookup!$N$13:$N1000,"missing",,1),B455&gt;65,XLOOKUP(questions!$C$5,Lookup!$K$13:$K1000,Lookup!$N$13:$N1000,"missing",,1))</f>
        <v>1574701.453</v>
      </c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</row>
    <row r="456">
      <c r="A456" s="55">
        <f t="shared" si="7"/>
        <v>59901</v>
      </c>
      <c r="B456" s="56">
        <f>round(YEARFRAC(EOMONTH(questions!$C$3, 0),A456,1),2)</f>
        <v>65.08</v>
      </c>
      <c r="C456" s="58">
        <f>IF(B456&lt;questions!$C$6,if(MONTH(A456)=1,C455*(1+questions!$C$12),C455),0)</f>
        <v>0</v>
      </c>
      <c r="D456" s="58">
        <f>IF(MONTH(A456)=12,C456*questions!$C$11,0)</f>
        <v>0</v>
      </c>
      <c r="E456" s="71">
        <f t="shared" si="2"/>
        <v>0</v>
      </c>
      <c r="F456" s="71">
        <f t="shared" si="3"/>
        <v>0</v>
      </c>
      <c r="G456" s="61">
        <f t="array" ref="G456">if(YEAR(A456)=2025,XLOOKUP(B456,Lookup!$A$3:$A$7,Lookup!$D$3:$D$7,,1)*SUM(E456:F456), XLOOKUP(B456,Lookup!$A$14:$A$18,Lookup!$D$14:$D$18,,1)*SUM(E456:F456))</f>
        <v>0</v>
      </c>
      <c r="H456" s="61">
        <f t="array" ref="H456">if(YEAR(A456)=2025,XLOOKUP(B456,Lookup!$F$3:$F$10,Lookup!$G$3:$G$10,,1)*G456, XLOOKUP(B456,Lookup!$F$14:$F$21,Lookup!$G$14:$G$21,,1)*G456)</f>
        <v>0</v>
      </c>
      <c r="I456" s="61">
        <f t="array" ref="I456">if(B456&lt;55, if(YEAR(A456)=2025,XLOOKUP(B456,Lookup!$F$3:$F$10,Lookup!$H$3:$H$10,,1)*G456, XLOOKUP(B456,Lookup!$F$14:$F$21,Lookup!$H$14:$H$21,,1)*G456),0)</f>
        <v>0</v>
      </c>
      <c r="J456" s="61">
        <f t="array" ref="J456">if(YEAR(A456)=2025,XLOOKUP(B456,Lookup!$F$3:$F$10,Lookup!$I$3:$I$10,,1)*G456, XLOOKUP(B456,Lookup!$F$14:$F$21,Lookup!$I$14:$I$21,,1)*G456)</f>
        <v>0</v>
      </c>
      <c r="K456" s="61">
        <f t="array" ref="K456">if(B456&gt;54, if(YEAR(A456)=2025,XLOOKUP(B456,Lookup!$F$3:$F$10,Lookup!$H$3:$H$10,,1)*G456, XLOOKUP(B456,Lookup!$F$14:$F$21,Lookup!$H$14:$H$21,,1)*G456),0)</f>
        <v>0</v>
      </c>
      <c r="L456" s="62">
        <f>IF(and(A456&lt;questions!$C$19,questions!$C$18="yes"),questions!$C$20,0)</f>
        <v>0</v>
      </c>
      <c r="M456" s="63">
        <f>(Y455+H456)*Lookup!A$26/12</f>
        <v>1990.56501</v>
      </c>
      <c r="N456" s="63">
        <f>if(B456&lt;55, (Z455+I456)*Lookup!B$26/12, (AB455+K456)*Lookup!B$26/12)</f>
        <v>3013.238231</v>
      </c>
      <c r="O456" s="63">
        <f>(AA455+J456)*Lookup!C$26/12</f>
        <v>914.4365304</v>
      </c>
      <c r="P456" s="63">
        <f t="shared" si="8"/>
        <v>23886.78012</v>
      </c>
      <c r="Q456" s="63">
        <f t="shared" si="4"/>
        <v>36158.85878</v>
      </c>
      <c r="R456" s="63">
        <f t="shared" si="5"/>
        <v>10973.23837</v>
      </c>
      <c r="S456" s="64">
        <f t="shared" si="9"/>
        <v>33.33333333</v>
      </c>
      <c r="T456" s="64">
        <f t="shared" si="10"/>
        <v>41.66666667</v>
      </c>
      <c r="U456" s="64">
        <f t="shared" si="11"/>
        <v>0</v>
      </c>
      <c r="V456" s="64">
        <f t="shared" ref="V456:X456" si="464">IF(year($A456)=year($A455), V455+S456, S456)</f>
        <v>400</v>
      </c>
      <c r="W456" s="64">
        <f t="shared" si="464"/>
        <v>500</v>
      </c>
      <c r="X456" s="64">
        <f t="shared" si="464"/>
        <v>0</v>
      </c>
      <c r="Y456" s="65">
        <f>IFS(
  B456&lt;55,
    MAX(
      Y455 + IF(MONTH(A456)=12, P456+V456, 0) + H456 - L456
      + MAX(0,
          IF(AA455 &gt;= VLOOKUP(YEAR(A456), Lookup!$Q:$R, 2),
            Z455 + IF(MONTH(A456)=12, Q456+W456, 0) + I456
              + AA455 + IF(MONTH(A456)=12, R456+X456, 0)
              - VLOOKUP(YEAR(A456), Lookup!$Q:$R, 2) + J456,
            Z455 + IF(MONTH(A456)=12, Q456+W456, 0) + I456
          ) - VLOOKUP(YEAR(A456), Lookup!$K:$M, 3)
        ),
    0),
  B456=55,
    IF(Z455&gt;=AD456,
      MAX(Y455 + IF(MONTH(A456)=12, P456+V456, 0) + H456 - L456, 0),
      MAX(MAX(0, Y455-(AD456-Z455)) + IF(MONTH(A456)=12, P456+V456, 0) + H456 - L456, 0)
    ),
  B456&gt;55,
    IF(AB455&gt;=$AH$7,
      MAX(Y455 + IF(MONTH(A456)=12, P456+V456, 0) + H456 - L456 + K456 + Z455, 0),
      MAX(Y455 + IF(MONTH(A456)=12, P456+V456, 0) + H456 - L456, 0)
    )
)</f>
        <v>979757.985</v>
      </c>
      <c r="Z456" s="65">
        <f>IFS(
  B456&lt;55,
    MIN(
      IF(AA455 &gt;= VLOOKUP(YEAR(A456), Lookup!$Q:$R, 2),
        Z455 + IF(MONTH(A456)=12, Q456+W456, 0) + I456
          + AA455 + IF(MONTH(A456)=12, R456+X456, 0) - VLOOKUP(YEAR(A456), Lookup!$Q:$R, 2) + J456,
        Z455 + IF(MONTH(A456)=12, Q456+W456, 0) + I456
      ),
      VLOOKUP(YEAR(A456), Lookup!$K:$M, 3)
    ),
  B456=55,
    IF(Z455 &gt;= AD456, Z455 - AD456, 0),
  B456&gt;55, 0
)</f>
        <v>0</v>
      </c>
      <c r="AA456" s="65">
        <f>IFS(
  B456&lt;65,
    IF(AA455+J456 &lt; VLOOKUP(YEAR(A456), Lookup!$Q:$R, 2),
      AA455 + IF(MONTH(A456)=12, R455+X455, 0) + J456,
      MIN(
        AA455 + IF(MONTH(A456)=12, R455+X455, 0) + J456 ,
        VLOOKUP(YEAR(A456), Lookup!$Q:$R, 2)
      )
    ),
  B456&gt;=65,
    IF(AA455+J456 &lt; VLOOKUP(questions!$C$5, Lookup!$Q:$R, 2),
      AA455 + IF(MONTH(A456)=12, R455+X455, 0) + J456 ,
      MIN(
        AA455 + IF(MONTH(A456)=12, R455+X455, 0) + J456,
        VLOOKUP(questions!$C$5, Lookup!$Q:$R, 2)
      )
    )
)</f>
        <v>284389.761</v>
      </c>
      <c r="AB456" s="65">
        <f t="shared" si="13"/>
        <v>940630.3282</v>
      </c>
      <c r="AC456" s="66">
        <f t="array" ref="AC456">IFS(B456&lt;66, XLOOKUP(year(A456),Lookup!$K$13:$K1000,Lookup!$L$13:$L1000,"missing",,1),B456&gt;65,XLOOKUP(questions!$C$5,Lookup!$K$13:$K1000,Lookup!$L$13:$L1000,"missing",,1))</f>
        <v>393675.3633</v>
      </c>
      <c r="AD456" s="66">
        <f t="array" ref="AD456">IFS(B456&lt;66, XLOOKUP(year(A456),Lookup!$K$13:$K1000,Lookup!$M$13:$M1000,"missing",,1),B456&gt;65, XLOOKUP(questions!$C$5,Lookup!$K$13:$K1000,Lookup!$M$13:$M1000,"missing",,1))</f>
        <v>787350.7266</v>
      </c>
      <c r="AE456" s="66">
        <f t="array" ref="AE456">IFS(B456&lt;66, XLOOKUP(year(A456),Lookup!$K$13:$K1000,Lookup!$N$13:$N1000,"missing",,1),B456&gt;65,XLOOKUP(questions!$C$5,Lookup!$K$13:$K1000,Lookup!$N$13:$N1000,"missing",,1))</f>
        <v>1574701.453</v>
      </c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</row>
    <row r="457">
      <c r="A457" s="55">
        <f t="shared" si="7"/>
        <v>59932</v>
      </c>
      <c r="B457" s="56">
        <f>round(YEARFRAC(EOMONTH(questions!$C$3, 0),A457,1),2)</f>
        <v>65.17</v>
      </c>
      <c r="C457" s="58">
        <f>IF(B457&lt;questions!$C$6,if(MONTH(A457)=1,C456*(1+questions!$C$12),C456),0)</f>
        <v>0</v>
      </c>
      <c r="D457" s="58">
        <f>IF(MONTH(A457)=12,C457*questions!$C$11,0)</f>
        <v>0</v>
      </c>
      <c r="E457" s="71">
        <f t="shared" si="2"/>
        <v>0</v>
      </c>
      <c r="F457" s="71">
        <f t="shared" si="3"/>
        <v>0</v>
      </c>
      <c r="G457" s="61">
        <f t="array" ref="G457">if(YEAR(A457)=2025,XLOOKUP(B457,Lookup!$A$3:$A$7,Lookup!$D$3:$D$7,,1)*SUM(E457:F457), XLOOKUP(B457,Lookup!$A$14:$A$18,Lookup!$D$14:$D$18,,1)*SUM(E457:F457))</f>
        <v>0</v>
      </c>
      <c r="H457" s="61">
        <f t="array" ref="H457">if(YEAR(A457)=2025,XLOOKUP(B457,Lookup!$F$3:$F$10,Lookup!$G$3:$G$10,,1)*G457, XLOOKUP(B457,Lookup!$F$14:$F$21,Lookup!$G$14:$G$21,,1)*G457)</f>
        <v>0</v>
      </c>
      <c r="I457" s="61">
        <f t="array" ref="I457">if(B457&lt;55, if(YEAR(A457)=2025,XLOOKUP(B457,Lookup!$F$3:$F$10,Lookup!$H$3:$H$10,,1)*G457, XLOOKUP(B457,Lookup!$F$14:$F$21,Lookup!$H$14:$H$21,,1)*G457),0)</f>
        <v>0</v>
      </c>
      <c r="J457" s="61">
        <f t="array" ref="J457">if(YEAR(A457)=2025,XLOOKUP(B457,Lookup!$F$3:$F$10,Lookup!$I$3:$I$10,,1)*G457, XLOOKUP(B457,Lookup!$F$14:$F$21,Lookup!$I$14:$I$21,,1)*G457)</f>
        <v>0</v>
      </c>
      <c r="K457" s="61">
        <f t="array" ref="K457">if(B457&gt;54, if(YEAR(A457)=2025,XLOOKUP(B457,Lookup!$F$3:$F$10,Lookup!$H$3:$H$10,,1)*G457, XLOOKUP(B457,Lookup!$F$14:$F$21,Lookup!$H$14:$H$21,,1)*G457),0)</f>
        <v>0</v>
      </c>
      <c r="L457" s="62">
        <f>IF(and(A457&lt;questions!$C$19,questions!$C$18="yes"),questions!$C$20,0)</f>
        <v>0</v>
      </c>
      <c r="M457" s="63">
        <f>(Y456+H457)*Lookup!A$26/12</f>
        <v>2041.162469</v>
      </c>
      <c r="N457" s="63">
        <f>if(B457&lt;55, (Z456+I457)*Lookup!B$26/12, (AB456+K457)*Lookup!B$26/12)</f>
        <v>3135.434427</v>
      </c>
      <c r="O457" s="63">
        <f>(AA456+J457)*Lookup!C$26/12</f>
        <v>947.9658699</v>
      </c>
      <c r="P457" s="63">
        <f t="shared" si="8"/>
        <v>2041.162469</v>
      </c>
      <c r="Q457" s="63">
        <f t="shared" si="4"/>
        <v>3135.434427</v>
      </c>
      <c r="R457" s="63">
        <f t="shared" si="5"/>
        <v>947.9658699</v>
      </c>
      <c r="S457" s="64">
        <f t="shared" si="9"/>
        <v>33.33333333</v>
      </c>
      <c r="T457" s="64">
        <f t="shared" si="10"/>
        <v>41.66666667</v>
      </c>
      <c r="U457" s="64">
        <f t="shared" si="11"/>
        <v>0</v>
      </c>
      <c r="V457" s="64">
        <f t="shared" ref="V457:X457" si="465">IF(year($A457)=year($A456), V456+S457, S457)</f>
        <v>33.33333333</v>
      </c>
      <c r="W457" s="64">
        <f t="shared" si="465"/>
        <v>41.66666667</v>
      </c>
      <c r="X457" s="64">
        <f t="shared" si="465"/>
        <v>0</v>
      </c>
      <c r="Y457" s="65">
        <f>IFS(
  B457&lt;55,
    MAX(
      Y456 + IF(MONTH(A457)=12, P457+V457, 0) + H457 - L457
      + MAX(0,
          IF(AA456 &gt;= VLOOKUP(YEAR(A457), Lookup!$Q:$R, 2),
            Z456 + IF(MONTH(A457)=12, Q457+W457, 0) + I457
              + AA456 + IF(MONTH(A457)=12, R457+X457, 0)
              - VLOOKUP(YEAR(A457), Lookup!$Q:$R, 2) + J457,
            Z456 + IF(MONTH(A457)=12, Q457+W457, 0) + I457
          ) - VLOOKUP(YEAR(A457), Lookup!$K:$M, 3)
        ),
    0),
  B457=55,
    IF(Z456&gt;=AD457,
      MAX(Y456 + IF(MONTH(A457)=12, P457+V457, 0) + H457 - L457, 0),
      MAX(MAX(0, Y456-(AD457-Z456)) + IF(MONTH(A457)=12, P457+V457, 0) + H457 - L457, 0)
    ),
  B457&gt;55,
    IF(AB456&gt;=$AH$7,
      MAX(Y456 + IF(MONTH(A457)=12, P457+V457, 0) + H457 - L457 + K457 + Z456, 0),
      MAX(Y456 + IF(MONTH(A457)=12, P457+V457, 0) + H457 - L457, 0)
    )
)</f>
        <v>979757.985</v>
      </c>
      <c r="Z457" s="65">
        <f>IFS(
  B457&lt;55,
    MIN(
      IF(AA456 &gt;= VLOOKUP(YEAR(A457), Lookup!$Q:$R, 2),
        Z456 + IF(MONTH(A457)=12, Q457+W457, 0) + I457
          + AA456 + IF(MONTH(A457)=12, R457+X457, 0) - VLOOKUP(YEAR(A457), Lookup!$Q:$R, 2) + J457,
        Z456 + IF(MONTH(A457)=12, Q457+W457, 0) + I457
      ),
      VLOOKUP(YEAR(A457), Lookup!$K:$M, 3)
    ),
  B457=55,
    IF(Z456 &gt;= AD457, Z456 - AD457, 0),
  B457&gt;55, 0
)</f>
        <v>0</v>
      </c>
      <c r="AA457" s="65">
        <f>IFS(
  B457&lt;65,
    IF(AA456+J457 &lt; VLOOKUP(YEAR(A457), Lookup!$Q:$R, 2),
      AA456 + IF(MONTH(A457)=12, R456+X456, 0) + J457,
      MIN(
        AA456 + IF(MONTH(A457)=12, R456+X456, 0) + J457 ,
        VLOOKUP(YEAR(A457), Lookup!$Q:$R, 2)
      )
    ),
  B457&gt;=65,
    IF(AA456+J457 &lt; VLOOKUP(questions!$C$5, Lookup!$Q:$R, 2),
      AA456 + IF(MONTH(A457)=12, R456+X456, 0) + J457 ,
      MIN(
        AA456 + IF(MONTH(A457)=12, R456+X456, 0) + J457,
        VLOOKUP(questions!$C$5, Lookup!$Q:$R, 2)
      )
    )
)</f>
        <v>282111.0086</v>
      </c>
      <c r="AB457" s="65">
        <f t="shared" si="13"/>
        <v>940630.3282</v>
      </c>
      <c r="AC457" s="66">
        <f t="array" ref="AC457">IFS(B457&lt;66, XLOOKUP(year(A457),Lookup!$K$13:$K1000,Lookup!$L$13:$L1000,"missing",,1),B457&gt;65,XLOOKUP(questions!$C$5,Lookup!$K$13:$K1000,Lookup!$L$13:$L1000,"missing",,1))</f>
        <v>407454.001</v>
      </c>
      <c r="AD457" s="66">
        <f t="array" ref="AD457">IFS(B457&lt;66, XLOOKUP(year(A457),Lookup!$K$13:$K1000,Lookup!$M$13:$M1000,"missing",,1),B457&gt;65, XLOOKUP(questions!$C$5,Lookup!$K$13:$K1000,Lookup!$M$13:$M1000,"missing",,1))</f>
        <v>814908.0021</v>
      </c>
      <c r="AE457" s="66">
        <f t="array" ref="AE457">IFS(B457&lt;66, XLOOKUP(year(A457),Lookup!$K$13:$K1000,Lookup!$N$13:$N1000,"missing",,1),B457&gt;65,XLOOKUP(questions!$C$5,Lookup!$K$13:$K1000,Lookup!$N$13:$N1000,"missing",,1))</f>
        <v>1629816.004</v>
      </c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</row>
    <row r="458">
      <c r="A458" s="55">
        <f t="shared" si="7"/>
        <v>59961</v>
      </c>
      <c r="B458" s="56">
        <f>round(YEARFRAC(EOMONTH(questions!$C$3, 0),A458,1),2)</f>
        <v>65.25</v>
      </c>
      <c r="C458" s="58">
        <f>IF(B458&lt;questions!$C$6,if(MONTH(A458)=1,C457*(1+questions!$C$12),C457),0)</f>
        <v>0</v>
      </c>
      <c r="D458" s="58">
        <f>IF(MONTH(A458)=12,C458*questions!$C$11,0)</f>
        <v>0</v>
      </c>
      <c r="E458" s="71">
        <f t="shared" si="2"/>
        <v>0</v>
      </c>
      <c r="F458" s="71">
        <f t="shared" si="3"/>
        <v>0</v>
      </c>
      <c r="G458" s="61">
        <f t="array" ref="G458">if(YEAR(A458)=2025,XLOOKUP(B458,Lookup!$A$3:$A$7,Lookup!$D$3:$D$7,,1)*SUM(E458:F458), XLOOKUP(B458,Lookup!$A$14:$A$18,Lookup!$D$14:$D$18,,1)*SUM(E458:F458))</f>
        <v>0</v>
      </c>
      <c r="H458" s="61">
        <f t="array" ref="H458">if(YEAR(A458)=2025,XLOOKUP(B458,Lookup!$F$3:$F$10,Lookup!$G$3:$G$10,,1)*G458, XLOOKUP(B458,Lookup!$F$14:$F$21,Lookup!$G$14:$G$21,,1)*G458)</f>
        <v>0</v>
      </c>
      <c r="I458" s="61">
        <f t="array" ref="I458">if(B458&lt;55, if(YEAR(A458)=2025,XLOOKUP(B458,Lookup!$F$3:$F$10,Lookup!$H$3:$H$10,,1)*G458, XLOOKUP(B458,Lookup!$F$14:$F$21,Lookup!$H$14:$H$21,,1)*G458),0)</f>
        <v>0</v>
      </c>
      <c r="J458" s="61">
        <f t="array" ref="J458">if(YEAR(A458)=2025,XLOOKUP(B458,Lookup!$F$3:$F$10,Lookup!$I$3:$I$10,,1)*G458, XLOOKUP(B458,Lookup!$F$14:$F$21,Lookup!$I$14:$I$21,,1)*G458)</f>
        <v>0</v>
      </c>
      <c r="K458" s="61">
        <f t="array" ref="K458">if(B458&gt;54, if(YEAR(A458)=2025,XLOOKUP(B458,Lookup!$F$3:$F$10,Lookup!$H$3:$H$10,,1)*G458, XLOOKUP(B458,Lookup!$F$14:$F$21,Lookup!$H$14:$H$21,,1)*G458),0)</f>
        <v>0</v>
      </c>
      <c r="L458" s="62">
        <f>IF(and(A458&lt;questions!$C$19,questions!$C$18="yes"),questions!$C$20,0)</f>
        <v>0</v>
      </c>
      <c r="M458" s="63">
        <f>(Y457+H458)*Lookup!A$26/12</f>
        <v>2041.162469</v>
      </c>
      <c r="N458" s="63">
        <f>if(B458&lt;55, (Z457+I458)*Lookup!B$26/12, (AB457+K458)*Lookup!B$26/12)</f>
        <v>3135.434427</v>
      </c>
      <c r="O458" s="63">
        <f>(AA457+J458)*Lookup!C$26/12</f>
        <v>940.3700287</v>
      </c>
      <c r="P458" s="63">
        <f t="shared" si="8"/>
        <v>4082.324937</v>
      </c>
      <c r="Q458" s="63">
        <f t="shared" si="4"/>
        <v>6270.868855</v>
      </c>
      <c r="R458" s="63">
        <f t="shared" si="5"/>
        <v>1888.335899</v>
      </c>
      <c r="S458" s="64">
        <f t="shared" si="9"/>
        <v>33.33333333</v>
      </c>
      <c r="T458" s="64">
        <f t="shared" si="10"/>
        <v>41.66666667</v>
      </c>
      <c r="U458" s="64">
        <f t="shared" si="11"/>
        <v>0</v>
      </c>
      <c r="V458" s="64">
        <f t="shared" ref="V458:X458" si="466">IF(year($A458)=year($A457), V457+S458, S458)</f>
        <v>66.66666667</v>
      </c>
      <c r="W458" s="64">
        <f t="shared" si="466"/>
        <v>83.33333333</v>
      </c>
      <c r="X458" s="64">
        <f t="shared" si="466"/>
        <v>0</v>
      </c>
      <c r="Y458" s="65">
        <f>IFS(
  B458&lt;55,
    MAX(
      Y457 + IF(MONTH(A458)=12, P458+V458, 0) + H458 - L458
      + MAX(0,
          IF(AA457 &gt;= VLOOKUP(YEAR(A458), Lookup!$Q:$R, 2),
            Z457 + IF(MONTH(A458)=12, Q458+W458, 0) + I458
              + AA457 + IF(MONTH(A458)=12, R458+X458, 0)
              - VLOOKUP(YEAR(A458), Lookup!$Q:$R, 2) + J458,
            Z457 + IF(MONTH(A458)=12, Q458+W458, 0) + I458
          ) - VLOOKUP(YEAR(A458), Lookup!$K:$M, 3)
        ),
    0),
  B458=55,
    IF(Z457&gt;=AD458,
      MAX(Y457 + IF(MONTH(A458)=12, P458+V458, 0) + H458 - L458, 0),
      MAX(MAX(0, Y457-(AD458-Z457)) + IF(MONTH(A458)=12, P458+V458, 0) + H458 - L458, 0)
    ),
  B458&gt;55,
    IF(AB457&gt;=$AH$7,
      MAX(Y457 + IF(MONTH(A458)=12, P458+V458, 0) + H458 - L458 + K458 + Z457, 0),
      MAX(Y457 + IF(MONTH(A458)=12, P458+V458, 0) + H458 - L458, 0)
    )
)</f>
        <v>979757.985</v>
      </c>
      <c r="Z458" s="65">
        <f>IFS(
  B458&lt;55,
    MIN(
      IF(AA457 &gt;= VLOOKUP(YEAR(A458), Lookup!$Q:$R, 2),
        Z457 + IF(MONTH(A458)=12, Q458+W458, 0) + I458
          + AA457 + IF(MONTH(A458)=12, R458+X458, 0) - VLOOKUP(YEAR(A458), Lookup!$Q:$R, 2) + J458,
        Z457 + IF(MONTH(A458)=12, Q458+W458, 0) + I458
      ),
      VLOOKUP(YEAR(A458), Lookup!$K:$M, 3)
    ),
  B458=55,
    IF(Z457 &gt;= AD458, Z457 - AD458, 0),
  B458&gt;55, 0
)</f>
        <v>0</v>
      </c>
      <c r="AA458" s="65">
        <f>IFS(
  B458&lt;65,
    IF(AA457+J458 &lt; VLOOKUP(YEAR(A458), Lookup!$Q:$R, 2),
      AA457 + IF(MONTH(A458)=12, R457+X457, 0) + J458,
      MIN(
        AA457 + IF(MONTH(A458)=12, R457+X457, 0) + J458 ,
        VLOOKUP(YEAR(A458), Lookup!$Q:$R, 2)
      )
    ),
  B458&gt;=65,
    IF(AA457+J458 &lt; VLOOKUP(questions!$C$5, Lookup!$Q:$R, 2),
      AA457 + IF(MONTH(A458)=12, R457+X457, 0) + J458 ,
      MIN(
        AA457 + IF(MONTH(A458)=12, R457+X457, 0) + J458,
        VLOOKUP(questions!$C$5, Lookup!$Q:$R, 2)
      )
    )
)</f>
        <v>282111.0086</v>
      </c>
      <c r="AB458" s="65">
        <f t="shared" si="13"/>
        <v>940630.3282</v>
      </c>
      <c r="AC458" s="66">
        <f t="array" ref="AC458">IFS(B458&lt;66, XLOOKUP(year(A458),Lookup!$K$13:$K1000,Lookup!$L$13:$L1000,"missing",,1),B458&gt;65,XLOOKUP(questions!$C$5,Lookup!$K$13:$K1000,Lookup!$L$13:$L1000,"missing",,1))</f>
        <v>407454.001</v>
      </c>
      <c r="AD458" s="66">
        <f t="array" ref="AD458">IFS(B458&lt;66, XLOOKUP(year(A458),Lookup!$K$13:$K1000,Lookup!$M$13:$M1000,"missing",,1),B458&gt;65, XLOOKUP(questions!$C$5,Lookup!$K$13:$K1000,Lookup!$M$13:$M1000,"missing",,1))</f>
        <v>814908.0021</v>
      </c>
      <c r="AE458" s="66">
        <f t="array" ref="AE458">IFS(B458&lt;66, XLOOKUP(year(A458),Lookup!$K$13:$K1000,Lookup!$N$13:$N1000,"missing",,1),B458&gt;65,XLOOKUP(questions!$C$5,Lookup!$K$13:$K1000,Lookup!$N$13:$N1000,"missing",,1))</f>
        <v>1629816.004</v>
      </c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</row>
    <row r="459">
      <c r="A459" s="55">
        <f t="shared" si="7"/>
        <v>59992</v>
      </c>
      <c r="B459" s="56">
        <f>round(YEARFRAC(EOMONTH(questions!$C$3, 0),A459,1),2)</f>
        <v>65.33</v>
      </c>
      <c r="C459" s="58">
        <f>IF(B459&lt;questions!$C$6,if(MONTH(A459)=1,C458*(1+questions!$C$12),C458),0)</f>
        <v>0</v>
      </c>
      <c r="D459" s="58">
        <f>IF(MONTH(A459)=12,C459*questions!$C$11,0)</f>
        <v>0</v>
      </c>
      <c r="E459" s="71">
        <f t="shared" si="2"/>
        <v>0</v>
      </c>
      <c r="F459" s="71">
        <f t="shared" si="3"/>
        <v>0</v>
      </c>
      <c r="G459" s="61">
        <f t="array" ref="G459">if(YEAR(A459)=2025,XLOOKUP(B459,Lookup!$A$3:$A$7,Lookup!$D$3:$D$7,,1)*SUM(E459:F459), XLOOKUP(B459,Lookup!$A$14:$A$18,Lookup!$D$14:$D$18,,1)*SUM(E459:F459))</f>
        <v>0</v>
      </c>
      <c r="H459" s="61">
        <f t="array" ref="H459">if(YEAR(A459)=2025,XLOOKUP(B459,Lookup!$F$3:$F$10,Lookup!$G$3:$G$10,,1)*G459, XLOOKUP(B459,Lookup!$F$14:$F$21,Lookup!$G$14:$G$21,,1)*G459)</f>
        <v>0</v>
      </c>
      <c r="I459" s="61">
        <f t="array" ref="I459">if(B459&lt;55, if(YEAR(A459)=2025,XLOOKUP(B459,Lookup!$F$3:$F$10,Lookup!$H$3:$H$10,,1)*G459, XLOOKUP(B459,Lookup!$F$14:$F$21,Lookup!$H$14:$H$21,,1)*G459),0)</f>
        <v>0</v>
      </c>
      <c r="J459" s="61">
        <f t="array" ref="J459">if(YEAR(A459)=2025,XLOOKUP(B459,Lookup!$F$3:$F$10,Lookup!$I$3:$I$10,,1)*G459, XLOOKUP(B459,Lookup!$F$14:$F$21,Lookup!$I$14:$I$21,,1)*G459)</f>
        <v>0</v>
      </c>
      <c r="K459" s="61">
        <f t="array" ref="K459">if(B459&gt;54, if(YEAR(A459)=2025,XLOOKUP(B459,Lookup!$F$3:$F$10,Lookup!$H$3:$H$10,,1)*G459, XLOOKUP(B459,Lookup!$F$14:$F$21,Lookup!$H$14:$H$21,,1)*G459),0)</f>
        <v>0</v>
      </c>
      <c r="L459" s="62">
        <f>IF(and(A459&lt;questions!$C$19,questions!$C$18="yes"),questions!$C$20,0)</f>
        <v>0</v>
      </c>
      <c r="M459" s="63">
        <f>(Y458+H459)*Lookup!A$26/12</f>
        <v>2041.162469</v>
      </c>
      <c r="N459" s="63">
        <f>if(B459&lt;55, (Z458+I459)*Lookup!B$26/12, (AB458+K459)*Lookup!B$26/12)</f>
        <v>3135.434427</v>
      </c>
      <c r="O459" s="63">
        <f>(AA458+J459)*Lookup!C$26/12</f>
        <v>940.3700287</v>
      </c>
      <c r="P459" s="63">
        <f t="shared" si="8"/>
        <v>6123.487406</v>
      </c>
      <c r="Q459" s="63">
        <f t="shared" si="4"/>
        <v>9406.303282</v>
      </c>
      <c r="R459" s="63">
        <f t="shared" si="5"/>
        <v>2828.705927</v>
      </c>
      <c r="S459" s="64">
        <f t="shared" si="9"/>
        <v>33.33333333</v>
      </c>
      <c r="T459" s="64">
        <f t="shared" si="10"/>
        <v>41.66666667</v>
      </c>
      <c r="U459" s="64">
        <f t="shared" si="11"/>
        <v>0</v>
      </c>
      <c r="V459" s="64">
        <f t="shared" ref="V459:X459" si="467">IF(year($A459)=year($A458), V458+S459, S459)</f>
        <v>100</v>
      </c>
      <c r="W459" s="64">
        <f t="shared" si="467"/>
        <v>125</v>
      </c>
      <c r="X459" s="64">
        <f t="shared" si="467"/>
        <v>0</v>
      </c>
      <c r="Y459" s="65">
        <f>IFS(
  B459&lt;55,
    MAX(
      Y458 + IF(MONTH(A459)=12, P459+V459, 0) + H459 - L459
      + MAX(0,
          IF(AA458 &gt;= VLOOKUP(YEAR(A459), Lookup!$Q:$R, 2),
            Z458 + IF(MONTH(A459)=12, Q459+W459, 0) + I459
              + AA458 + IF(MONTH(A459)=12, R459+X459, 0)
              - VLOOKUP(YEAR(A459), Lookup!$Q:$R, 2) + J459,
            Z458 + IF(MONTH(A459)=12, Q459+W459, 0) + I459
          ) - VLOOKUP(YEAR(A459), Lookup!$K:$M, 3)
        ),
    0),
  B459=55,
    IF(Z458&gt;=AD459,
      MAX(Y458 + IF(MONTH(A459)=12, P459+V459, 0) + H459 - L459, 0),
      MAX(MAX(0, Y458-(AD459-Z458)) + IF(MONTH(A459)=12, P459+V459, 0) + H459 - L459, 0)
    ),
  B459&gt;55,
    IF(AB458&gt;=$AH$7,
      MAX(Y458 + IF(MONTH(A459)=12, P459+V459, 0) + H459 - L459 + K459 + Z458, 0),
      MAX(Y458 + IF(MONTH(A459)=12, P459+V459, 0) + H459 - L459, 0)
    )
)</f>
        <v>979757.985</v>
      </c>
      <c r="Z459" s="65">
        <f>IFS(
  B459&lt;55,
    MIN(
      IF(AA458 &gt;= VLOOKUP(YEAR(A459), Lookup!$Q:$R, 2),
        Z458 + IF(MONTH(A459)=12, Q459+W459, 0) + I459
          + AA458 + IF(MONTH(A459)=12, R459+X459, 0) - VLOOKUP(YEAR(A459), Lookup!$Q:$R, 2) + J459,
        Z458 + IF(MONTH(A459)=12, Q459+W459, 0) + I459
      ),
      VLOOKUP(YEAR(A459), Lookup!$K:$M, 3)
    ),
  B459=55,
    IF(Z458 &gt;= AD459, Z458 - AD459, 0),
  B459&gt;55, 0
)</f>
        <v>0</v>
      </c>
      <c r="AA459" s="65">
        <f>IFS(
  B459&lt;65,
    IF(AA458+J459 &lt; VLOOKUP(YEAR(A459), Lookup!$Q:$R, 2),
      AA458 + IF(MONTH(A459)=12, R458+X458, 0) + J459,
      MIN(
        AA458 + IF(MONTH(A459)=12, R458+X458, 0) + J459 ,
        VLOOKUP(YEAR(A459), Lookup!$Q:$R, 2)
      )
    ),
  B459&gt;=65,
    IF(AA458+J459 &lt; VLOOKUP(questions!$C$5, Lookup!$Q:$R, 2),
      AA458 + IF(MONTH(A459)=12, R458+X458, 0) + J459 ,
      MIN(
        AA458 + IF(MONTH(A459)=12, R458+X458, 0) + J459,
        VLOOKUP(questions!$C$5, Lookup!$Q:$R, 2)
      )
    )
)</f>
        <v>282111.0086</v>
      </c>
      <c r="AB459" s="65">
        <f t="shared" si="13"/>
        <v>940630.3282</v>
      </c>
      <c r="AC459" s="66">
        <f t="array" ref="AC459">IFS(B459&lt;66, XLOOKUP(year(A459),Lookup!$K$13:$K1000,Lookup!$L$13:$L1000,"missing",,1),B459&gt;65,XLOOKUP(questions!$C$5,Lookup!$K$13:$K1000,Lookup!$L$13:$L1000,"missing",,1))</f>
        <v>407454.001</v>
      </c>
      <c r="AD459" s="66">
        <f t="array" ref="AD459">IFS(B459&lt;66, XLOOKUP(year(A459),Lookup!$K$13:$K1000,Lookup!$M$13:$M1000,"missing",,1),B459&gt;65, XLOOKUP(questions!$C$5,Lookup!$K$13:$K1000,Lookup!$M$13:$M1000,"missing",,1))</f>
        <v>814908.0021</v>
      </c>
      <c r="AE459" s="66">
        <f t="array" ref="AE459">IFS(B459&lt;66, XLOOKUP(year(A459),Lookup!$K$13:$K1000,Lookup!$N$13:$N1000,"missing",,1),B459&gt;65,XLOOKUP(questions!$C$5,Lookup!$K$13:$K1000,Lookup!$N$13:$N1000,"missing",,1))</f>
        <v>1629816.004</v>
      </c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</row>
    <row r="460">
      <c r="A460" s="55">
        <f t="shared" si="7"/>
        <v>60022</v>
      </c>
      <c r="B460" s="56">
        <f>round(YEARFRAC(EOMONTH(questions!$C$3, 0),A460,1),2)</f>
        <v>65.42</v>
      </c>
      <c r="C460" s="58">
        <f>IF(B460&lt;questions!$C$6,if(MONTH(A460)=1,C459*(1+questions!$C$12),C459),0)</f>
        <v>0</v>
      </c>
      <c r="D460" s="58">
        <f>IF(MONTH(A460)=12,C460*questions!$C$11,0)</f>
        <v>0</v>
      </c>
      <c r="E460" s="71">
        <f t="shared" si="2"/>
        <v>0</v>
      </c>
      <c r="F460" s="71">
        <f t="shared" si="3"/>
        <v>0</v>
      </c>
      <c r="G460" s="61">
        <f t="array" ref="G460">if(YEAR(A460)=2025,XLOOKUP(B460,Lookup!$A$3:$A$7,Lookup!$D$3:$D$7,,1)*SUM(E460:F460), XLOOKUP(B460,Lookup!$A$14:$A$18,Lookup!$D$14:$D$18,,1)*SUM(E460:F460))</f>
        <v>0</v>
      </c>
      <c r="H460" s="61">
        <f t="array" ref="H460">if(YEAR(A460)=2025,XLOOKUP(B460,Lookup!$F$3:$F$10,Lookup!$G$3:$G$10,,1)*G460, XLOOKUP(B460,Lookup!$F$14:$F$21,Lookup!$G$14:$G$21,,1)*G460)</f>
        <v>0</v>
      </c>
      <c r="I460" s="61">
        <f t="array" ref="I460">if(B460&lt;55, if(YEAR(A460)=2025,XLOOKUP(B460,Lookup!$F$3:$F$10,Lookup!$H$3:$H$10,,1)*G460, XLOOKUP(B460,Lookup!$F$14:$F$21,Lookup!$H$14:$H$21,,1)*G460),0)</f>
        <v>0</v>
      </c>
      <c r="J460" s="61">
        <f t="array" ref="J460">if(YEAR(A460)=2025,XLOOKUP(B460,Lookup!$F$3:$F$10,Lookup!$I$3:$I$10,,1)*G460, XLOOKUP(B460,Lookup!$F$14:$F$21,Lookup!$I$14:$I$21,,1)*G460)</f>
        <v>0</v>
      </c>
      <c r="K460" s="61">
        <f t="array" ref="K460">if(B460&gt;54, if(YEAR(A460)=2025,XLOOKUP(B460,Lookup!$F$3:$F$10,Lookup!$H$3:$H$10,,1)*G460, XLOOKUP(B460,Lookup!$F$14:$F$21,Lookup!$H$14:$H$21,,1)*G460),0)</f>
        <v>0</v>
      </c>
      <c r="L460" s="62">
        <f>IF(and(A460&lt;questions!$C$19,questions!$C$18="yes"),questions!$C$20,0)</f>
        <v>0</v>
      </c>
      <c r="M460" s="63">
        <f>(Y459+H460)*Lookup!A$26/12</f>
        <v>2041.162469</v>
      </c>
      <c r="N460" s="63">
        <f>if(B460&lt;55, (Z459+I460)*Lookup!B$26/12, (AB459+K460)*Lookup!B$26/12)</f>
        <v>3135.434427</v>
      </c>
      <c r="O460" s="63">
        <f>(AA459+J460)*Lookup!C$26/12</f>
        <v>940.3700287</v>
      </c>
      <c r="P460" s="63">
        <f t="shared" si="8"/>
        <v>8164.649875</v>
      </c>
      <c r="Q460" s="63">
        <f t="shared" si="4"/>
        <v>12541.73771</v>
      </c>
      <c r="R460" s="63">
        <f t="shared" si="5"/>
        <v>3769.075956</v>
      </c>
      <c r="S460" s="64">
        <f t="shared" si="9"/>
        <v>33.33333333</v>
      </c>
      <c r="T460" s="64">
        <f t="shared" si="10"/>
        <v>41.66666667</v>
      </c>
      <c r="U460" s="64">
        <f t="shared" si="11"/>
        <v>0</v>
      </c>
      <c r="V460" s="64">
        <f t="shared" ref="V460:X460" si="468">IF(year($A460)=year($A459), V459+S460, S460)</f>
        <v>133.3333333</v>
      </c>
      <c r="W460" s="64">
        <f t="shared" si="468"/>
        <v>166.6666667</v>
      </c>
      <c r="X460" s="64">
        <f t="shared" si="468"/>
        <v>0</v>
      </c>
      <c r="Y460" s="65">
        <f>IFS(
  B460&lt;55,
    MAX(
      Y459 + IF(MONTH(A460)=12, P460+V460, 0) + H460 - L460
      + MAX(0,
          IF(AA459 &gt;= VLOOKUP(YEAR(A460), Lookup!$Q:$R, 2),
            Z459 + IF(MONTH(A460)=12, Q460+W460, 0) + I460
              + AA459 + IF(MONTH(A460)=12, R460+X460, 0)
              - VLOOKUP(YEAR(A460), Lookup!$Q:$R, 2) + J460,
            Z459 + IF(MONTH(A460)=12, Q460+W460, 0) + I460
          ) - VLOOKUP(YEAR(A460), Lookup!$K:$M, 3)
        ),
    0),
  B460=55,
    IF(Z459&gt;=AD460,
      MAX(Y459 + IF(MONTH(A460)=12, P460+V460, 0) + H460 - L460, 0),
      MAX(MAX(0, Y459-(AD460-Z459)) + IF(MONTH(A460)=12, P460+V460, 0) + H460 - L460, 0)
    ),
  B460&gt;55,
    IF(AB459&gt;=$AH$7,
      MAX(Y459 + IF(MONTH(A460)=12, P460+V460, 0) + H460 - L460 + K460 + Z459, 0),
      MAX(Y459 + IF(MONTH(A460)=12, P460+V460, 0) + H460 - L460, 0)
    )
)</f>
        <v>979757.985</v>
      </c>
      <c r="Z460" s="65">
        <f>IFS(
  B460&lt;55,
    MIN(
      IF(AA459 &gt;= VLOOKUP(YEAR(A460), Lookup!$Q:$R, 2),
        Z459 + IF(MONTH(A460)=12, Q460+W460, 0) + I460
          + AA459 + IF(MONTH(A460)=12, R460+X460, 0) - VLOOKUP(YEAR(A460), Lookup!$Q:$R, 2) + J460,
        Z459 + IF(MONTH(A460)=12, Q460+W460, 0) + I460
      ),
      VLOOKUP(YEAR(A460), Lookup!$K:$M, 3)
    ),
  B460=55,
    IF(Z459 &gt;= AD460, Z459 - AD460, 0),
  B460&gt;55, 0
)</f>
        <v>0</v>
      </c>
      <c r="AA460" s="65">
        <f>IFS(
  B460&lt;65,
    IF(AA459+J460 &lt; VLOOKUP(YEAR(A460), Lookup!$Q:$R, 2),
      AA459 + IF(MONTH(A460)=12, R459+X459, 0) + J460,
      MIN(
        AA459 + IF(MONTH(A460)=12, R459+X459, 0) + J460 ,
        VLOOKUP(YEAR(A460), Lookup!$Q:$R, 2)
      )
    ),
  B460&gt;=65,
    IF(AA459+J460 &lt; VLOOKUP(questions!$C$5, Lookup!$Q:$R, 2),
      AA459 + IF(MONTH(A460)=12, R459+X459, 0) + J460 ,
      MIN(
        AA459 + IF(MONTH(A460)=12, R459+X459, 0) + J460,
        VLOOKUP(questions!$C$5, Lookup!$Q:$R, 2)
      )
    )
)</f>
        <v>282111.0086</v>
      </c>
      <c r="AB460" s="65">
        <f t="shared" si="13"/>
        <v>940630.3282</v>
      </c>
      <c r="AC460" s="66">
        <f t="array" ref="AC460">IFS(B460&lt;66, XLOOKUP(year(A460),Lookup!$K$13:$K1000,Lookup!$L$13:$L1000,"missing",,1),B460&gt;65,XLOOKUP(questions!$C$5,Lookup!$K$13:$K1000,Lookup!$L$13:$L1000,"missing",,1))</f>
        <v>407454.001</v>
      </c>
      <c r="AD460" s="66">
        <f t="array" ref="AD460">IFS(B460&lt;66, XLOOKUP(year(A460),Lookup!$K$13:$K1000,Lookup!$M$13:$M1000,"missing",,1),B460&gt;65, XLOOKUP(questions!$C$5,Lookup!$K$13:$K1000,Lookup!$M$13:$M1000,"missing",,1))</f>
        <v>814908.0021</v>
      </c>
      <c r="AE460" s="66">
        <f t="array" ref="AE460">IFS(B460&lt;66, XLOOKUP(year(A460),Lookup!$K$13:$K1000,Lookup!$N$13:$N1000,"missing",,1),B460&gt;65,XLOOKUP(questions!$C$5,Lookup!$K$13:$K1000,Lookup!$N$13:$N1000,"missing",,1))</f>
        <v>1629816.004</v>
      </c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</row>
    <row r="461">
      <c r="A461" s="55">
        <f t="shared" si="7"/>
        <v>60053</v>
      </c>
      <c r="B461" s="56">
        <f>round(YEARFRAC(EOMONTH(questions!$C$3, 0),A461,1),2)</f>
        <v>65.5</v>
      </c>
      <c r="C461" s="58">
        <f>IF(B461&lt;questions!$C$6,if(MONTH(A461)=1,C460*(1+questions!$C$12),C460),0)</f>
        <v>0</v>
      </c>
      <c r="D461" s="58">
        <f>IF(MONTH(A461)=12,C461*questions!$C$11,0)</f>
        <v>0</v>
      </c>
      <c r="E461" s="71">
        <f t="shared" si="2"/>
        <v>0</v>
      </c>
      <c r="F461" s="71">
        <f t="shared" si="3"/>
        <v>0</v>
      </c>
      <c r="G461" s="61">
        <f t="array" ref="G461">if(YEAR(A461)=2025,XLOOKUP(B461,Lookup!$A$3:$A$7,Lookup!$D$3:$D$7,,1)*SUM(E461:F461), XLOOKUP(B461,Lookup!$A$14:$A$18,Lookup!$D$14:$D$18,,1)*SUM(E461:F461))</f>
        <v>0</v>
      </c>
      <c r="H461" s="61">
        <f t="array" ref="H461">if(YEAR(A461)=2025,XLOOKUP(B461,Lookup!$F$3:$F$10,Lookup!$G$3:$G$10,,1)*G461, XLOOKUP(B461,Lookup!$F$14:$F$21,Lookup!$G$14:$G$21,,1)*G461)</f>
        <v>0</v>
      </c>
      <c r="I461" s="61">
        <f t="array" ref="I461">if(B461&lt;55, if(YEAR(A461)=2025,XLOOKUP(B461,Lookup!$F$3:$F$10,Lookup!$H$3:$H$10,,1)*G461, XLOOKUP(B461,Lookup!$F$14:$F$21,Lookup!$H$14:$H$21,,1)*G461),0)</f>
        <v>0</v>
      </c>
      <c r="J461" s="61">
        <f t="array" ref="J461">if(YEAR(A461)=2025,XLOOKUP(B461,Lookup!$F$3:$F$10,Lookup!$I$3:$I$10,,1)*G461, XLOOKUP(B461,Lookup!$F$14:$F$21,Lookup!$I$14:$I$21,,1)*G461)</f>
        <v>0</v>
      </c>
      <c r="K461" s="61">
        <f t="array" ref="K461">if(B461&gt;54, if(YEAR(A461)=2025,XLOOKUP(B461,Lookup!$F$3:$F$10,Lookup!$H$3:$H$10,,1)*G461, XLOOKUP(B461,Lookup!$F$14:$F$21,Lookup!$H$14:$H$21,,1)*G461),0)</f>
        <v>0</v>
      </c>
      <c r="L461" s="62">
        <f>IF(and(A461&lt;questions!$C$19,questions!$C$18="yes"),questions!$C$20,0)</f>
        <v>0</v>
      </c>
      <c r="M461" s="63">
        <f>(Y460+H461)*Lookup!A$26/12</f>
        <v>2041.162469</v>
      </c>
      <c r="N461" s="63">
        <f>if(B461&lt;55, (Z460+I461)*Lookup!B$26/12, (AB460+K461)*Lookup!B$26/12)</f>
        <v>3135.434427</v>
      </c>
      <c r="O461" s="63">
        <f>(AA460+J461)*Lookup!C$26/12</f>
        <v>940.3700287</v>
      </c>
      <c r="P461" s="63">
        <f t="shared" si="8"/>
        <v>10205.81234</v>
      </c>
      <c r="Q461" s="63">
        <f t="shared" si="4"/>
        <v>15677.17214</v>
      </c>
      <c r="R461" s="63">
        <f t="shared" si="5"/>
        <v>4709.445985</v>
      </c>
      <c r="S461" s="64">
        <f t="shared" si="9"/>
        <v>33.33333333</v>
      </c>
      <c r="T461" s="64">
        <f t="shared" si="10"/>
        <v>41.66666667</v>
      </c>
      <c r="U461" s="64">
        <f t="shared" si="11"/>
        <v>0</v>
      </c>
      <c r="V461" s="64">
        <f t="shared" ref="V461:X461" si="469">IF(year($A461)=year($A460), V460+S461, S461)</f>
        <v>166.6666667</v>
      </c>
      <c r="W461" s="64">
        <f t="shared" si="469"/>
        <v>208.3333333</v>
      </c>
      <c r="X461" s="64">
        <f t="shared" si="469"/>
        <v>0</v>
      </c>
      <c r="Y461" s="65">
        <f>IFS(
  B461&lt;55,
    MAX(
      Y460 + IF(MONTH(A461)=12, P461+V461, 0) + H461 - L461
      + MAX(0,
          IF(AA460 &gt;= VLOOKUP(YEAR(A461), Lookup!$Q:$R, 2),
            Z460 + IF(MONTH(A461)=12, Q461+W461, 0) + I461
              + AA460 + IF(MONTH(A461)=12, R461+X461, 0)
              - VLOOKUP(YEAR(A461), Lookup!$Q:$R, 2) + J461,
            Z460 + IF(MONTH(A461)=12, Q461+W461, 0) + I461
          ) - VLOOKUP(YEAR(A461), Lookup!$K:$M, 3)
        ),
    0),
  B461=55,
    IF(Z460&gt;=AD461,
      MAX(Y460 + IF(MONTH(A461)=12, P461+V461, 0) + H461 - L461, 0),
      MAX(MAX(0, Y460-(AD461-Z460)) + IF(MONTH(A461)=12, P461+V461, 0) + H461 - L461, 0)
    ),
  B461&gt;55,
    IF(AB460&gt;=$AH$7,
      MAX(Y460 + IF(MONTH(A461)=12, P461+V461, 0) + H461 - L461 + K461 + Z460, 0),
      MAX(Y460 + IF(MONTH(A461)=12, P461+V461, 0) + H461 - L461, 0)
    )
)</f>
        <v>979757.985</v>
      </c>
      <c r="Z461" s="65">
        <f>IFS(
  B461&lt;55,
    MIN(
      IF(AA460 &gt;= VLOOKUP(YEAR(A461), Lookup!$Q:$R, 2),
        Z460 + IF(MONTH(A461)=12, Q461+W461, 0) + I461
          + AA460 + IF(MONTH(A461)=12, R461+X461, 0) - VLOOKUP(YEAR(A461), Lookup!$Q:$R, 2) + J461,
        Z460 + IF(MONTH(A461)=12, Q461+W461, 0) + I461
      ),
      VLOOKUP(YEAR(A461), Lookup!$K:$M, 3)
    ),
  B461=55,
    IF(Z460 &gt;= AD461, Z460 - AD461, 0),
  B461&gt;55, 0
)</f>
        <v>0</v>
      </c>
      <c r="AA461" s="65">
        <f>IFS(
  B461&lt;65,
    IF(AA460+J461 &lt; VLOOKUP(YEAR(A461), Lookup!$Q:$R, 2),
      AA460 + IF(MONTH(A461)=12, R460+X460, 0) + J461,
      MIN(
        AA460 + IF(MONTH(A461)=12, R460+X460, 0) + J461 ,
        VLOOKUP(YEAR(A461), Lookup!$Q:$R, 2)
      )
    ),
  B461&gt;=65,
    IF(AA460+J461 &lt; VLOOKUP(questions!$C$5, Lookup!$Q:$R, 2),
      AA460 + IF(MONTH(A461)=12, R460+X460, 0) + J461 ,
      MIN(
        AA460 + IF(MONTH(A461)=12, R460+X460, 0) + J461,
        VLOOKUP(questions!$C$5, Lookup!$Q:$R, 2)
      )
    )
)</f>
        <v>282111.0086</v>
      </c>
      <c r="AB461" s="65">
        <f t="shared" si="13"/>
        <v>940630.3282</v>
      </c>
      <c r="AC461" s="66">
        <f t="array" ref="AC461">IFS(B461&lt;66, XLOOKUP(year(A461),Lookup!$K$13:$K1000,Lookup!$L$13:$L1000,"missing",,1),B461&gt;65,XLOOKUP(questions!$C$5,Lookup!$K$13:$K1000,Lookup!$L$13:$L1000,"missing",,1))</f>
        <v>407454.001</v>
      </c>
      <c r="AD461" s="66">
        <f t="array" ref="AD461">IFS(B461&lt;66, XLOOKUP(year(A461),Lookup!$K$13:$K1000,Lookup!$M$13:$M1000,"missing",,1),B461&gt;65, XLOOKUP(questions!$C$5,Lookup!$K$13:$K1000,Lookup!$M$13:$M1000,"missing",,1))</f>
        <v>814908.0021</v>
      </c>
      <c r="AE461" s="66">
        <f t="array" ref="AE461">IFS(B461&lt;66, XLOOKUP(year(A461),Lookup!$K$13:$K1000,Lookup!$N$13:$N1000,"missing",,1),B461&gt;65,XLOOKUP(questions!$C$5,Lookup!$K$13:$K1000,Lookup!$N$13:$N1000,"missing",,1))</f>
        <v>1629816.004</v>
      </c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</row>
    <row r="462">
      <c r="A462" s="55">
        <f t="shared" si="7"/>
        <v>60083</v>
      </c>
      <c r="B462" s="56">
        <f>round(YEARFRAC(EOMONTH(questions!$C$3, 0),A462,1),2)</f>
        <v>65.58</v>
      </c>
      <c r="C462" s="58">
        <f>IF(B462&lt;questions!$C$6,if(MONTH(A462)=1,C461*(1+questions!$C$12),C461),0)</f>
        <v>0</v>
      </c>
      <c r="D462" s="58">
        <f>IF(MONTH(A462)=12,C462*questions!$C$11,0)</f>
        <v>0</v>
      </c>
      <c r="E462" s="71">
        <f t="shared" si="2"/>
        <v>0</v>
      </c>
      <c r="F462" s="71">
        <f t="shared" si="3"/>
        <v>0</v>
      </c>
      <c r="G462" s="61">
        <f t="array" ref="G462">if(YEAR(A462)=2025,XLOOKUP(B462,Lookup!$A$3:$A$7,Lookup!$D$3:$D$7,,1)*SUM(E462:F462), XLOOKUP(B462,Lookup!$A$14:$A$18,Lookup!$D$14:$D$18,,1)*SUM(E462:F462))</f>
        <v>0</v>
      </c>
      <c r="H462" s="61">
        <f t="array" ref="H462">if(YEAR(A462)=2025,XLOOKUP(B462,Lookup!$F$3:$F$10,Lookup!$G$3:$G$10,,1)*G462, XLOOKUP(B462,Lookup!$F$14:$F$21,Lookup!$G$14:$G$21,,1)*G462)</f>
        <v>0</v>
      </c>
      <c r="I462" s="61">
        <f t="array" ref="I462">if(B462&lt;55, if(YEAR(A462)=2025,XLOOKUP(B462,Lookup!$F$3:$F$10,Lookup!$H$3:$H$10,,1)*G462, XLOOKUP(B462,Lookup!$F$14:$F$21,Lookup!$H$14:$H$21,,1)*G462),0)</f>
        <v>0</v>
      </c>
      <c r="J462" s="61">
        <f t="array" ref="J462">if(YEAR(A462)=2025,XLOOKUP(B462,Lookup!$F$3:$F$10,Lookup!$I$3:$I$10,,1)*G462, XLOOKUP(B462,Lookup!$F$14:$F$21,Lookup!$I$14:$I$21,,1)*G462)</f>
        <v>0</v>
      </c>
      <c r="K462" s="61">
        <f t="array" ref="K462">if(B462&gt;54, if(YEAR(A462)=2025,XLOOKUP(B462,Lookup!$F$3:$F$10,Lookup!$H$3:$H$10,,1)*G462, XLOOKUP(B462,Lookup!$F$14:$F$21,Lookup!$H$14:$H$21,,1)*G462),0)</f>
        <v>0</v>
      </c>
      <c r="L462" s="62">
        <f>IF(and(A462&lt;questions!$C$19,questions!$C$18="yes"),questions!$C$20,0)</f>
        <v>0</v>
      </c>
      <c r="M462" s="63">
        <f>(Y461+H462)*Lookup!A$26/12</f>
        <v>2041.162469</v>
      </c>
      <c r="N462" s="63">
        <f>if(B462&lt;55, (Z461+I462)*Lookup!B$26/12, (AB461+K462)*Lookup!B$26/12)</f>
        <v>3135.434427</v>
      </c>
      <c r="O462" s="63">
        <f>(AA461+J462)*Lookup!C$26/12</f>
        <v>940.3700287</v>
      </c>
      <c r="P462" s="63">
        <f t="shared" si="8"/>
        <v>12246.97481</v>
      </c>
      <c r="Q462" s="63">
        <f t="shared" si="4"/>
        <v>18812.60656</v>
      </c>
      <c r="R462" s="63">
        <f t="shared" si="5"/>
        <v>5649.816013</v>
      </c>
      <c r="S462" s="64">
        <f t="shared" si="9"/>
        <v>33.33333333</v>
      </c>
      <c r="T462" s="64">
        <f t="shared" si="10"/>
        <v>41.66666667</v>
      </c>
      <c r="U462" s="64">
        <f t="shared" si="11"/>
        <v>0</v>
      </c>
      <c r="V462" s="64">
        <f t="shared" ref="V462:X462" si="470">IF(year($A462)=year($A461), V461+S462, S462)</f>
        <v>200</v>
      </c>
      <c r="W462" s="64">
        <f t="shared" si="470"/>
        <v>250</v>
      </c>
      <c r="X462" s="64">
        <f t="shared" si="470"/>
        <v>0</v>
      </c>
      <c r="Y462" s="65">
        <f>IFS(
  B462&lt;55,
    MAX(
      Y461 + IF(MONTH(A462)=12, P462+V462, 0) + H462 - L462
      + MAX(0,
          IF(AA461 &gt;= VLOOKUP(YEAR(A462), Lookup!$Q:$R, 2),
            Z461 + IF(MONTH(A462)=12, Q462+W462, 0) + I462
              + AA461 + IF(MONTH(A462)=12, R462+X462, 0)
              - VLOOKUP(YEAR(A462), Lookup!$Q:$R, 2) + J462,
            Z461 + IF(MONTH(A462)=12, Q462+W462, 0) + I462
          ) - VLOOKUP(YEAR(A462), Lookup!$K:$M, 3)
        ),
    0),
  B462=55,
    IF(Z461&gt;=AD462,
      MAX(Y461 + IF(MONTH(A462)=12, P462+V462, 0) + H462 - L462, 0),
      MAX(MAX(0, Y461-(AD462-Z461)) + IF(MONTH(A462)=12, P462+V462, 0) + H462 - L462, 0)
    ),
  B462&gt;55,
    IF(AB461&gt;=$AH$7,
      MAX(Y461 + IF(MONTH(A462)=12, P462+V462, 0) + H462 - L462 + K462 + Z461, 0),
      MAX(Y461 + IF(MONTH(A462)=12, P462+V462, 0) + H462 - L462, 0)
    )
)</f>
        <v>979757.985</v>
      </c>
      <c r="Z462" s="65">
        <f>IFS(
  B462&lt;55,
    MIN(
      IF(AA461 &gt;= VLOOKUP(YEAR(A462), Lookup!$Q:$R, 2),
        Z461 + IF(MONTH(A462)=12, Q462+W462, 0) + I462
          + AA461 + IF(MONTH(A462)=12, R462+X462, 0) - VLOOKUP(YEAR(A462), Lookup!$Q:$R, 2) + J462,
        Z461 + IF(MONTH(A462)=12, Q462+W462, 0) + I462
      ),
      VLOOKUP(YEAR(A462), Lookup!$K:$M, 3)
    ),
  B462=55,
    IF(Z461 &gt;= AD462, Z461 - AD462, 0),
  B462&gt;55, 0
)</f>
        <v>0</v>
      </c>
      <c r="AA462" s="65">
        <f>IFS(
  B462&lt;65,
    IF(AA461+J462 &lt; VLOOKUP(YEAR(A462), Lookup!$Q:$R, 2),
      AA461 + IF(MONTH(A462)=12, R461+X461, 0) + J462,
      MIN(
        AA461 + IF(MONTH(A462)=12, R461+X461, 0) + J462 ,
        VLOOKUP(YEAR(A462), Lookup!$Q:$R, 2)
      )
    ),
  B462&gt;=65,
    IF(AA461+J462 &lt; VLOOKUP(questions!$C$5, Lookup!$Q:$R, 2),
      AA461 + IF(MONTH(A462)=12, R461+X461, 0) + J462 ,
      MIN(
        AA461 + IF(MONTH(A462)=12, R461+X461, 0) + J462,
        VLOOKUP(questions!$C$5, Lookup!$Q:$R, 2)
      )
    )
)</f>
        <v>282111.0086</v>
      </c>
      <c r="AB462" s="65">
        <f t="shared" si="13"/>
        <v>940630.3282</v>
      </c>
      <c r="AC462" s="66">
        <f t="array" ref="AC462">IFS(B462&lt;66, XLOOKUP(year(A462),Lookup!$K$13:$K1000,Lookup!$L$13:$L1000,"missing",,1),B462&gt;65,XLOOKUP(questions!$C$5,Lookup!$K$13:$K1000,Lookup!$L$13:$L1000,"missing",,1))</f>
        <v>407454.001</v>
      </c>
      <c r="AD462" s="66">
        <f t="array" ref="AD462">IFS(B462&lt;66, XLOOKUP(year(A462),Lookup!$K$13:$K1000,Lookup!$M$13:$M1000,"missing",,1),B462&gt;65, XLOOKUP(questions!$C$5,Lookup!$K$13:$K1000,Lookup!$M$13:$M1000,"missing",,1))</f>
        <v>814908.0021</v>
      </c>
      <c r="AE462" s="66">
        <f t="array" ref="AE462">IFS(B462&lt;66, XLOOKUP(year(A462),Lookup!$K$13:$K1000,Lookup!$N$13:$N1000,"missing",,1),B462&gt;65,XLOOKUP(questions!$C$5,Lookup!$K$13:$K1000,Lookup!$N$13:$N1000,"missing",,1))</f>
        <v>1629816.004</v>
      </c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</row>
    <row r="463">
      <c r="A463" s="55">
        <f t="shared" si="7"/>
        <v>60114</v>
      </c>
      <c r="B463" s="56">
        <f>round(YEARFRAC(EOMONTH(questions!$C$3, 0),A463,1),2)</f>
        <v>65.67</v>
      </c>
      <c r="C463" s="58">
        <f>IF(B463&lt;questions!$C$6,if(MONTH(A463)=1,C462*(1+questions!$C$12),C462),0)</f>
        <v>0</v>
      </c>
      <c r="D463" s="58">
        <f>IF(MONTH(A463)=12,C463*questions!$C$11,0)</f>
        <v>0</v>
      </c>
      <c r="E463" s="71">
        <f t="shared" si="2"/>
        <v>0</v>
      </c>
      <c r="F463" s="71">
        <f t="shared" si="3"/>
        <v>0</v>
      </c>
      <c r="G463" s="61">
        <f t="array" ref="G463">if(YEAR(A463)=2025,XLOOKUP(B463,Lookup!$A$3:$A$7,Lookup!$D$3:$D$7,,1)*SUM(E463:F463), XLOOKUP(B463,Lookup!$A$14:$A$18,Lookup!$D$14:$D$18,,1)*SUM(E463:F463))</f>
        <v>0</v>
      </c>
      <c r="H463" s="61">
        <f t="array" ref="H463">if(YEAR(A463)=2025,XLOOKUP(B463,Lookup!$F$3:$F$10,Lookup!$G$3:$G$10,,1)*G463, XLOOKUP(B463,Lookup!$F$14:$F$21,Lookup!$G$14:$G$21,,1)*G463)</f>
        <v>0</v>
      </c>
      <c r="I463" s="61">
        <f t="array" ref="I463">if(B463&lt;55, if(YEAR(A463)=2025,XLOOKUP(B463,Lookup!$F$3:$F$10,Lookup!$H$3:$H$10,,1)*G463, XLOOKUP(B463,Lookup!$F$14:$F$21,Lookup!$H$14:$H$21,,1)*G463),0)</f>
        <v>0</v>
      </c>
      <c r="J463" s="61">
        <f t="array" ref="J463">if(YEAR(A463)=2025,XLOOKUP(B463,Lookup!$F$3:$F$10,Lookup!$I$3:$I$10,,1)*G463, XLOOKUP(B463,Lookup!$F$14:$F$21,Lookup!$I$14:$I$21,,1)*G463)</f>
        <v>0</v>
      </c>
      <c r="K463" s="61">
        <f t="array" ref="K463">if(B463&gt;54, if(YEAR(A463)=2025,XLOOKUP(B463,Lookup!$F$3:$F$10,Lookup!$H$3:$H$10,,1)*G463, XLOOKUP(B463,Lookup!$F$14:$F$21,Lookup!$H$14:$H$21,,1)*G463),0)</f>
        <v>0</v>
      </c>
      <c r="L463" s="62">
        <f>IF(and(A463&lt;questions!$C$19,questions!$C$18="yes"),questions!$C$20,0)</f>
        <v>0</v>
      </c>
      <c r="M463" s="63">
        <f>(Y462+H463)*Lookup!A$26/12</f>
        <v>2041.162469</v>
      </c>
      <c r="N463" s="63">
        <f>if(B463&lt;55, (Z462+I463)*Lookup!B$26/12, (AB462+K463)*Lookup!B$26/12)</f>
        <v>3135.434427</v>
      </c>
      <c r="O463" s="63">
        <f>(AA462+J463)*Lookup!C$26/12</f>
        <v>940.3700287</v>
      </c>
      <c r="P463" s="63">
        <f t="shared" si="8"/>
        <v>14288.13728</v>
      </c>
      <c r="Q463" s="63">
        <f t="shared" si="4"/>
        <v>21948.04099</v>
      </c>
      <c r="R463" s="63">
        <f t="shared" si="5"/>
        <v>6590.186042</v>
      </c>
      <c r="S463" s="64">
        <f t="shared" si="9"/>
        <v>33.33333333</v>
      </c>
      <c r="T463" s="64">
        <f t="shared" si="10"/>
        <v>41.66666667</v>
      </c>
      <c r="U463" s="64">
        <f t="shared" si="11"/>
        <v>0</v>
      </c>
      <c r="V463" s="64">
        <f t="shared" ref="V463:X463" si="471">IF(year($A463)=year($A462), V462+S463, S463)</f>
        <v>233.3333333</v>
      </c>
      <c r="W463" s="64">
        <f t="shared" si="471"/>
        <v>291.6666667</v>
      </c>
      <c r="X463" s="64">
        <f t="shared" si="471"/>
        <v>0</v>
      </c>
      <c r="Y463" s="65">
        <f>IFS(
  B463&lt;55,
    MAX(
      Y462 + IF(MONTH(A463)=12, P463+V463, 0) + H463 - L463
      + MAX(0,
          IF(AA462 &gt;= VLOOKUP(YEAR(A463), Lookup!$Q:$R, 2),
            Z462 + IF(MONTH(A463)=12, Q463+W463, 0) + I463
              + AA462 + IF(MONTH(A463)=12, R463+X463, 0)
              - VLOOKUP(YEAR(A463), Lookup!$Q:$R, 2) + J463,
            Z462 + IF(MONTH(A463)=12, Q463+W463, 0) + I463
          ) - VLOOKUP(YEAR(A463), Lookup!$K:$M, 3)
        ),
    0),
  B463=55,
    IF(Z462&gt;=AD463,
      MAX(Y462 + IF(MONTH(A463)=12, P463+V463, 0) + H463 - L463, 0),
      MAX(MAX(0, Y462-(AD463-Z462)) + IF(MONTH(A463)=12, P463+V463, 0) + H463 - L463, 0)
    ),
  B463&gt;55,
    IF(AB462&gt;=$AH$7,
      MAX(Y462 + IF(MONTH(A463)=12, P463+V463, 0) + H463 - L463 + K463 + Z462, 0),
      MAX(Y462 + IF(MONTH(A463)=12, P463+V463, 0) + H463 - L463, 0)
    )
)</f>
        <v>979757.985</v>
      </c>
      <c r="Z463" s="65">
        <f>IFS(
  B463&lt;55,
    MIN(
      IF(AA462 &gt;= VLOOKUP(YEAR(A463), Lookup!$Q:$R, 2),
        Z462 + IF(MONTH(A463)=12, Q463+W463, 0) + I463
          + AA462 + IF(MONTH(A463)=12, R463+X463, 0) - VLOOKUP(YEAR(A463), Lookup!$Q:$R, 2) + J463,
        Z462 + IF(MONTH(A463)=12, Q463+W463, 0) + I463
      ),
      VLOOKUP(YEAR(A463), Lookup!$K:$M, 3)
    ),
  B463=55,
    IF(Z462 &gt;= AD463, Z462 - AD463, 0),
  B463&gt;55, 0
)</f>
        <v>0</v>
      </c>
      <c r="AA463" s="65">
        <f>IFS(
  B463&lt;65,
    IF(AA462+J463 &lt; VLOOKUP(YEAR(A463), Lookup!$Q:$R, 2),
      AA462 + IF(MONTH(A463)=12, R462+X462, 0) + J463,
      MIN(
        AA462 + IF(MONTH(A463)=12, R462+X462, 0) + J463 ,
        VLOOKUP(YEAR(A463), Lookup!$Q:$R, 2)
      )
    ),
  B463&gt;=65,
    IF(AA462+J463 &lt; VLOOKUP(questions!$C$5, Lookup!$Q:$R, 2),
      AA462 + IF(MONTH(A463)=12, R462+X462, 0) + J463 ,
      MIN(
        AA462 + IF(MONTH(A463)=12, R462+X462, 0) + J463,
        VLOOKUP(questions!$C$5, Lookup!$Q:$R, 2)
      )
    )
)</f>
        <v>282111.0086</v>
      </c>
      <c r="AB463" s="65">
        <f t="shared" si="13"/>
        <v>940630.3282</v>
      </c>
      <c r="AC463" s="66">
        <f t="array" ref="AC463">IFS(B463&lt;66, XLOOKUP(year(A463),Lookup!$K$13:$K1000,Lookup!$L$13:$L1000,"missing",,1),B463&gt;65,XLOOKUP(questions!$C$5,Lookup!$K$13:$K1000,Lookup!$L$13:$L1000,"missing",,1))</f>
        <v>407454.001</v>
      </c>
      <c r="AD463" s="66">
        <f t="array" ref="AD463">IFS(B463&lt;66, XLOOKUP(year(A463),Lookup!$K$13:$K1000,Lookup!$M$13:$M1000,"missing",,1),B463&gt;65, XLOOKUP(questions!$C$5,Lookup!$K$13:$K1000,Lookup!$M$13:$M1000,"missing",,1))</f>
        <v>814908.0021</v>
      </c>
      <c r="AE463" s="66">
        <f t="array" ref="AE463">IFS(B463&lt;66, XLOOKUP(year(A463),Lookup!$K$13:$K1000,Lookup!$N$13:$N1000,"missing",,1),B463&gt;65,XLOOKUP(questions!$C$5,Lookup!$K$13:$K1000,Lookup!$N$13:$N1000,"missing",,1))</f>
        <v>1629816.004</v>
      </c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</row>
    <row r="464">
      <c r="A464" s="55">
        <f t="shared" si="7"/>
        <v>60145</v>
      </c>
      <c r="B464" s="56">
        <f>round(YEARFRAC(EOMONTH(questions!$C$3, 0),A464,1),2)</f>
        <v>65.75</v>
      </c>
      <c r="C464" s="58">
        <f>IF(B464&lt;questions!$C$6,if(MONTH(A464)=1,C463*(1+questions!$C$12),C463),0)</f>
        <v>0</v>
      </c>
      <c r="D464" s="58">
        <f>IF(MONTH(A464)=12,C464*questions!$C$11,0)</f>
        <v>0</v>
      </c>
      <c r="E464" s="71">
        <f t="shared" si="2"/>
        <v>0</v>
      </c>
      <c r="F464" s="71">
        <f t="shared" si="3"/>
        <v>0</v>
      </c>
      <c r="G464" s="61">
        <f t="array" ref="G464">if(YEAR(A464)=2025,XLOOKUP(B464,Lookup!$A$3:$A$7,Lookup!$D$3:$D$7,,1)*SUM(E464:F464), XLOOKUP(B464,Lookup!$A$14:$A$18,Lookup!$D$14:$D$18,,1)*SUM(E464:F464))</f>
        <v>0</v>
      </c>
      <c r="H464" s="61">
        <f t="array" ref="H464">if(YEAR(A464)=2025,XLOOKUP(B464,Lookup!$F$3:$F$10,Lookup!$G$3:$G$10,,1)*G464, XLOOKUP(B464,Lookup!$F$14:$F$21,Lookup!$G$14:$G$21,,1)*G464)</f>
        <v>0</v>
      </c>
      <c r="I464" s="61">
        <f t="array" ref="I464">if(B464&lt;55, if(YEAR(A464)=2025,XLOOKUP(B464,Lookup!$F$3:$F$10,Lookup!$H$3:$H$10,,1)*G464, XLOOKUP(B464,Lookup!$F$14:$F$21,Lookup!$H$14:$H$21,,1)*G464),0)</f>
        <v>0</v>
      </c>
      <c r="J464" s="61">
        <f t="array" ref="J464">if(YEAR(A464)=2025,XLOOKUP(B464,Lookup!$F$3:$F$10,Lookup!$I$3:$I$10,,1)*G464, XLOOKUP(B464,Lookup!$F$14:$F$21,Lookup!$I$14:$I$21,,1)*G464)</f>
        <v>0</v>
      </c>
      <c r="K464" s="61">
        <f t="array" ref="K464">if(B464&gt;54, if(YEAR(A464)=2025,XLOOKUP(B464,Lookup!$F$3:$F$10,Lookup!$H$3:$H$10,,1)*G464, XLOOKUP(B464,Lookup!$F$14:$F$21,Lookup!$H$14:$H$21,,1)*G464),0)</f>
        <v>0</v>
      </c>
      <c r="L464" s="62">
        <f>IF(and(A464&lt;questions!$C$19,questions!$C$18="yes"),questions!$C$20,0)</f>
        <v>0</v>
      </c>
      <c r="M464" s="63">
        <f>(Y463+H464)*Lookup!A$26/12</f>
        <v>2041.162469</v>
      </c>
      <c r="N464" s="63">
        <f>if(B464&lt;55, (Z463+I464)*Lookup!B$26/12, (AB463+K464)*Lookup!B$26/12)</f>
        <v>3135.434427</v>
      </c>
      <c r="O464" s="63">
        <f>(AA463+J464)*Lookup!C$26/12</f>
        <v>940.3700287</v>
      </c>
      <c r="P464" s="63">
        <f t="shared" si="8"/>
        <v>16329.29975</v>
      </c>
      <c r="Q464" s="63">
        <f t="shared" si="4"/>
        <v>25083.47542</v>
      </c>
      <c r="R464" s="63">
        <f t="shared" si="5"/>
        <v>7530.556071</v>
      </c>
      <c r="S464" s="64">
        <f t="shared" si="9"/>
        <v>33.33333333</v>
      </c>
      <c r="T464" s="64">
        <f t="shared" si="10"/>
        <v>41.66666667</v>
      </c>
      <c r="U464" s="64">
        <f t="shared" si="11"/>
        <v>0</v>
      </c>
      <c r="V464" s="64">
        <f t="shared" ref="V464:X464" si="472">IF(year($A464)=year($A463), V463+S464, S464)</f>
        <v>266.6666667</v>
      </c>
      <c r="W464" s="64">
        <f t="shared" si="472"/>
        <v>333.3333333</v>
      </c>
      <c r="X464" s="64">
        <f t="shared" si="472"/>
        <v>0</v>
      </c>
      <c r="Y464" s="65">
        <f>IFS(
  B464&lt;55,
    MAX(
      Y463 + IF(MONTH(A464)=12, P464+V464, 0) + H464 - L464
      + MAX(0,
          IF(AA463 &gt;= VLOOKUP(YEAR(A464), Lookup!$Q:$R, 2),
            Z463 + IF(MONTH(A464)=12, Q464+W464, 0) + I464
              + AA463 + IF(MONTH(A464)=12, R464+X464, 0)
              - VLOOKUP(YEAR(A464), Lookup!$Q:$R, 2) + J464,
            Z463 + IF(MONTH(A464)=12, Q464+W464, 0) + I464
          ) - VLOOKUP(YEAR(A464), Lookup!$K:$M, 3)
        ),
    0),
  B464=55,
    IF(Z463&gt;=AD464,
      MAX(Y463 + IF(MONTH(A464)=12, P464+V464, 0) + H464 - L464, 0),
      MAX(MAX(0, Y463-(AD464-Z463)) + IF(MONTH(A464)=12, P464+V464, 0) + H464 - L464, 0)
    ),
  B464&gt;55,
    IF(AB463&gt;=$AH$7,
      MAX(Y463 + IF(MONTH(A464)=12, P464+V464, 0) + H464 - L464 + K464 + Z463, 0),
      MAX(Y463 + IF(MONTH(A464)=12, P464+V464, 0) + H464 - L464, 0)
    )
)</f>
        <v>979757.985</v>
      </c>
      <c r="Z464" s="65">
        <f>IFS(
  B464&lt;55,
    MIN(
      IF(AA463 &gt;= VLOOKUP(YEAR(A464), Lookup!$Q:$R, 2),
        Z463 + IF(MONTH(A464)=12, Q464+W464, 0) + I464
          + AA463 + IF(MONTH(A464)=12, R464+X464, 0) - VLOOKUP(YEAR(A464), Lookup!$Q:$R, 2) + J464,
        Z463 + IF(MONTH(A464)=12, Q464+W464, 0) + I464
      ),
      VLOOKUP(YEAR(A464), Lookup!$K:$M, 3)
    ),
  B464=55,
    IF(Z463 &gt;= AD464, Z463 - AD464, 0),
  B464&gt;55, 0
)</f>
        <v>0</v>
      </c>
      <c r="AA464" s="65">
        <f>IFS(
  B464&lt;65,
    IF(AA463+J464 &lt; VLOOKUP(YEAR(A464), Lookup!$Q:$R, 2),
      AA463 + IF(MONTH(A464)=12, R463+X463, 0) + J464,
      MIN(
        AA463 + IF(MONTH(A464)=12, R463+X463, 0) + J464 ,
        VLOOKUP(YEAR(A464), Lookup!$Q:$R, 2)
      )
    ),
  B464&gt;=65,
    IF(AA463+J464 &lt; VLOOKUP(questions!$C$5, Lookup!$Q:$R, 2),
      AA463 + IF(MONTH(A464)=12, R463+X463, 0) + J464 ,
      MIN(
        AA463 + IF(MONTH(A464)=12, R463+X463, 0) + J464,
        VLOOKUP(questions!$C$5, Lookup!$Q:$R, 2)
      )
    )
)</f>
        <v>282111.0086</v>
      </c>
      <c r="AB464" s="65">
        <f t="shared" si="13"/>
        <v>940630.3282</v>
      </c>
      <c r="AC464" s="66">
        <f t="array" ref="AC464">IFS(B464&lt;66, XLOOKUP(year(A464),Lookup!$K$13:$K1000,Lookup!$L$13:$L1000,"missing",,1),B464&gt;65,XLOOKUP(questions!$C$5,Lookup!$K$13:$K1000,Lookup!$L$13:$L1000,"missing",,1))</f>
        <v>407454.001</v>
      </c>
      <c r="AD464" s="66">
        <f t="array" ref="AD464">IFS(B464&lt;66, XLOOKUP(year(A464),Lookup!$K$13:$K1000,Lookup!$M$13:$M1000,"missing",,1),B464&gt;65, XLOOKUP(questions!$C$5,Lookup!$K$13:$K1000,Lookup!$M$13:$M1000,"missing",,1))</f>
        <v>814908.0021</v>
      </c>
      <c r="AE464" s="66">
        <f t="array" ref="AE464">IFS(B464&lt;66, XLOOKUP(year(A464),Lookup!$K$13:$K1000,Lookup!$N$13:$N1000,"missing",,1),B464&gt;65,XLOOKUP(questions!$C$5,Lookup!$K$13:$K1000,Lookup!$N$13:$N1000,"missing",,1))</f>
        <v>1629816.004</v>
      </c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</row>
    <row r="465">
      <c r="A465" s="55">
        <f t="shared" si="7"/>
        <v>60175</v>
      </c>
      <c r="B465" s="56">
        <f>round(YEARFRAC(EOMONTH(questions!$C$3, 0),A465,1),2)</f>
        <v>65.83</v>
      </c>
      <c r="C465" s="58">
        <f>IF(B465&lt;questions!$C$6,if(MONTH(A465)=1,C464*(1+questions!$C$12),C464),0)</f>
        <v>0</v>
      </c>
      <c r="D465" s="58">
        <f>IF(MONTH(A465)=12,C465*questions!$C$11,0)</f>
        <v>0</v>
      </c>
      <c r="E465" s="71">
        <f t="shared" si="2"/>
        <v>0</v>
      </c>
      <c r="F465" s="71">
        <f t="shared" si="3"/>
        <v>0</v>
      </c>
      <c r="G465" s="61">
        <f t="array" ref="G465">if(YEAR(A465)=2025,XLOOKUP(B465,Lookup!$A$3:$A$7,Lookup!$D$3:$D$7,,1)*SUM(E465:F465), XLOOKUP(B465,Lookup!$A$14:$A$18,Lookup!$D$14:$D$18,,1)*SUM(E465:F465))</f>
        <v>0</v>
      </c>
      <c r="H465" s="61">
        <f t="array" ref="H465">if(YEAR(A465)=2025,XLOOKUP(B465,Lookup!$F$3:$F$10,Lookup!$G$3:$G$10,,1)*G465, XLOOKUP(B465,Lookup!$F$14:$F$21,Lookup!$G$14:$G$21,,1)*G465)</f>
        <v>0</v>
      </c>
      <c r="I465" s="61">
        <f t="array" ref="I465">if(B465&lt;55, if(YEAR(A465)=2025,XLOOKUP(B465,Lookup!$F$3:$F$10,Lookup!$H$3:$H$10,,1)*G465, XLOOKUP(B465,Lookup!$F$14:$F$21,Lookup!$H$14:$H$21,,1)*G465),0)</f>
        <v>0</v>
      </c>
      <c r="J465" s="61">
        <f t="array" ref="J465">if(YEAR(A465)=2025,XLOOKUP(B465,Lookup!$F$3:$F$10,Lookup!$I$3:$I$10,,1)*G465, XLOOKUP(B465,Lookup!$F$14:$F$21,Lookup!$I$14:$I$21,,1)*G465)</f>
        <v>0</v>
      </c>
      <c r="K465" s="61">
        <f t="array" ref="K465">if(B465&gt;54, if(YEAR(A465)=2025,XLOOKUP(B465,Lookup!$F$3:$F$10,Lookup!$H$3:$H$10,,1)*G465, XLOOKUP(B465,Lookup!$F$14:$F$21,Lookup!$H$14:$H$21,,1)*G465),0)</f>
        <v>0</v>
      </c>
      <c r="L465" s="62">
        <f>IF(and(A465&lt;questions!$C$19,questions!$C$18="yes"),questions!$C$20,0)</f>
        <v>0</v>
      </c>
      <c r="M465" s="63">
        <f>(Y464+H465)*Lookup!A$26/12</f>
        <v>2041.162469</v>
      </c>
      <c r="N465" s="63">
        <f>if(B465&lt;55, (Z464+I465)*Lookup!B$26/12, (AB464+K465)*Lookup!B$26/12)</f>
        <v>3135.434427</v>
      </c>
      <c r="O465" s="63">
        <f>(AA464+J465)*Lookup!C$26/12</f>
        <v>940.3700287</v>
      </c>
      <c r="P465" s="63">
        <f t="shared" si="8"/>
        <v>18370.46222</v>
      </c>
      <c r="Q465" s="63">
        <f t="shared" si="4"/>
        <v>28218.90985</v>
      </c>
      <c r="R465" s="63">
        <f t="shared" si="5"/>
        <v>8470.926099</v>
      </c>
      <c r="S465" s="64">
        <f t="shared" si="9"/>
        <v>33.33333333</v>
      </c>
      <c r="T465" s="64">
        <f t="shared" si="10"/>
        <v>41.66666667</v>
      </c>
      <c r="U465" s="64">
        <f t="shared" si="11"/>
        <v>0</v>
      </c>
      <c r="V465" s="64">
        <f t="shared" ref="V465:X465" si="473">IF(year($A465)=year($A464), V464+S465, S465)</f>
        <v>300</v>
      </c>
      <c r="W465" s="64">
        <f t="shared" si="473"/>
        <v>375</v>
      </c>
      <c r="X465" s="64">
        <f t="shared" si="473"/>
        <v>0</v>
      </c>
      <c r="Y465" s="65">
        <f>IFS(
  B465&lt;55,
    MAX(
      Y464 + IF(MONTH(A465)=12, P465+V465, 0) + H465 - L465
      + MAX(0,
          IF(AA464 &gt;= VLOOKUP(YEAR(A465), Lookup!$Q:$R, 2),
            Z464 + IF(MONTH(A465)=12, Q465+W465, 0) + I465
              + AA464 + IF(MONTH(A465)=12, R465+X465, 0)
              - VLOOKUP(YEAR(A465), Lookup!$Q:$R, 2) + J465,
            Z464 + IF(MONTH(A465)=12, Q465+W465, 0) + I465
          ) - VLOOKUP(YEAR(A465), Lookup!$K:$M, 3)
        ),
    0),
  B465=55,
    IF(Z464&gt;=AD465,
      MAX(Y464 + IF(MONTH(A465)=12, P465+V465, 0) + H465 - L465, 0),
      MAX(MAX(0, Y464-(AD465-Z464)) + IF(MONTH(A465)=12, P465+V465, 0) + H465 - L465, 0)
    ),
  B465&gt;55,
    IF(AB464&gt;=$AH$7,
      MAX(Y464 + IF(MONTH(A465)=12, P465+V465, 0) + H465 - L465 + K465 + Z464, 0),
      MAX(Y464 + IF(MONTH(A465)=12, P465+V465, 0) + H465 - L465, 0)
    )
)</f>
        <v>979757.985</v>
      </c>
      <c r="Z465" s="65">
        <f>IFS(
  B465&lt;55,
    MIN(
      IF(AA464 &gt;= VLOOKUP(YEAR(A465), Lookup!$Q:$R, 2),
        Z464 + IF(MONTH(A465)=12, Q465+W465, 0) + I465
          + AA464 + IF(MONTH(A465)=12, R465+X465, 0) - VLOOKUP(YEAR(A465), Lookup!$Q:$R, 2) + J465,
        Z464 + IF(MONTH(A465)=12, Q465+W465, 0) + I465
      ),
      VLOOKUP(YEAR(A465), Lookup!$K:$M, 3)
    ),
  B465=55,
    IF(Z464 &gt;= AD465, Z464 - AD465, 0),
  B465&gt;55, 0
)</f>
        <v>0</v>
      </c>
      <c r="AA465" s="65">
        <f>IFS(
  B465&lt;65,
    IF(AA464+J465 &lt; VLOOKUP(YEAR(A465), Lookup!$Q:$R, 2),
      AA464 + IF(MONTH(A465)=12, R464+X464, 0) + J465,
      MIN(
        AA464 + IF(MONTH(A465)=12, R464+X464, 0) + J465 ,
        VLOOKUP(YEAR(A465), Lookup!$Q:$R, 2)
      )
    ),
  B465&gt;=65,
    IF(AA464+J465 &lt; VLOOKUP(questions!$C$5, Lookup!$Q:$R, 2),
      AA464 + IF(MONTH(A465)=12, R464+X464, 0) + J465 ,
      MIN(
        AA464 + IF(MONTH(A465)=12, R464+X464, 0) + J465,
        VLOOKUP(questions!$C$5, Lookup!$Q:$R, 2)
      )
    )
)</f>
        <v>282111.0086</v>
      </c>
      <c r="AB465" s="65">
        <f t="shared" si="13"/>
        <v>940630.3282</v>
      </c>
      <c r="AC465" s="66">
        <f t="array" ref="AC465">IFS(B465&lt;66, XLOOKUP(year(A465),Lookup!$K$13:$K1000,Lookup!$L$13:$L1000,"missing",,1),B465&gt;65,XLOOKUP(questions!$C$5,Lookup!$K$13:$K1000,Lookup!$L$13:$L1000,"missing",,1))</f>
        <v>407454.001</v>
      </c>
      <c r="AD465" s="66">
        <f t="array" ref="AD465">IFS(B465&lt;66, XLOOKUP(year(A465),Lookup!$K$13:$K1000,Lookup!$M$13:$M1000,"missing",,1),B465&gt;65, XLOOKUP(questions!$C$5,Lookup!$K$13:$K1000,Lookup!$M$13:$M1000,"missing",,1))</f>
        <v>814908.0021</v>
      </c>
      <c r="AE465" s="66">
        <f t="array" ref="AE465">IFS(B465&lt;66, XLOOKUP(year(A465),Lookup!$K$13:$K1000,Lookup!$N$13:$N1000,"missing",,1),B465&gt;65,XLOOKUP(questions!$C$5,Lookup!$K$13:$K1000,Lookup!$N$13:$N1000,"missing",,1))</f>
        <v>1629816.004</v>
      </c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</row>
    <row r="466">
      <c r="A466" s="55">
        <f t="shared" si="7"/>
        <v>60206</v>
      </c>
      <c r="B466" s="56">
        <f>round(YEARFRAC(EOMONTH(questions!$C$3, 0),A466,1),2)</f>
        <v>65.92</v>
      </c>
      <c r="C466" s="58">
        <f>IF(B466&lt;questions!$C$6,if(MONTH(A466)=1,C465*(1+questions!$C$12),C465),0)</f>
        <v>0</v>
      </c>
      <c r="D466" s="58">
        <f>IF(MONTH(A466)=12,C466*questions!$C$11,0)</f>
        <v>0</v>
      </c>
      <c r="E466" s="71">
        <f t="shared" si="2"/>
        <v>0</v>
      </c>
      <c r="F466" s="71">
        <f t="shared" si="3"/>
        <v>0</v>
      </c>
      <c r="G466" s="61">
        <f t="array" ref="G466">if(YEAR(A466)=2025,XLOOKUP(B466,Lookup!$A$3:$A$7,Lookup!$D$3:$D$7,,1)*SUM(E466:F466), XLOOKUP(B466,Lookup!$A$14:$A$18,Lookup!$D$14:$D$18,,1)*SUM(E466:F466))</f>
        <v>0</v>
      </c>
      <c r="H466" s="61">
        <f t="array" ref="H466">if(YEAR(A466)=2025,XLOOKUP(B466,Lookup!$F$3:$F$10,Lookup!$G$3:$G$10,,1)*G466, XLOOKUP(B466,Lookup!$F$14:$F$21,Lookup!$G$14:$G$21,,1)*G466)</f>
        <v>0</v>
      </c>
      <c r="I466" s="61">
        <f t="array" ref="I466">if(B466&lt;55, if(YEAR(A466)=2025,XLOOKUP(B466,Lookup!$F$3:$F$10,Lookup!$H$3:$H$10,,1)*G466, XLOOKUP(B466,Lookup!$F$14:$F$21,Lookup!$H$14:$H$21,,1)*G466),0)</f>
        <v>0</v>
      </c>
      <c r="J466" s="61">
        <f t="array" ref="J466">if(YEAR(A466)=2025,XLOOKUP(B466,Lookup!$F$3:$F$10,Lookup!$I$3:$I$10,,1)*G466, XLOOKUP(B466,Lookup!$F$14:$F$21,Lookup!$I$14:$I$21,,1)*G466)</f>
        <v>0</v>
      </c>
      <c r="K466" s="61">
        <f t="array" ref="K466">if(B466&gt;54, if(YEAR(A466)=2025,XLOOKUP(B466,Lookup!$F$3:$F$10,Lookup!$H$3:$H$10,,1)*G466, XLOOKUP(B466,Lookup!$F$14:$F$21,Lookup!$H$14:$H$21,,1)*G466),0)</f>
        <v>0</v>
      </c>
      <c r="L466" s="62">
        <f>IF(and(A466&lt;questions!$C$19,questions!$C$18="yes"),questions!$C$20,0)</f>
        <v>0</v>
      </c>
      <c r="M466" s="63">
        <f>(Y465+H466)*Lookup!A$26/12</f>
        <v>2041.162469</v>
      </c>
      <c r="N466" s="63">
        <f>if(B466&lt;55, (Z465+I466)*Lookup!B$26/12, (AB465+K466)*Lookup!B$26/12)</f>
        <v>3135.434427</v>
      </c>
      <c r="O466" s="63">
        <f>(AA465+J466)*Lookup!C$26/12</f>
        <v>940.3700287</v>
      </c>
      <c r="P466" s="63">
        <f t="shared" si="8"/>
        <v>20411.62469</v>
      </c>
      <c r="Q466" s="63">
        <f t="shared" si="4"/>
        <v>31354.34427</v>
      </c>
      <c r="R466" s="63">
        <f t="shared" si="5"/>
        <v>9411.296128</v>
      </c>
      <c r="S466" s="64">
        <f t="shared" si="9"/>
        <v>33.33333333</v>
      </c>
      <c r="T466" s="64">
        <f t="shared" si="10"/>
        <v>41.66666667</v>
      </c>
      <c r="U466" s="64">
        <f t="shared" si="11"/>
        <v>0</v>
      </c>
      <c r="V466" s="64">
        <f t="shared" ref="V466:X466" si="474">IF(year($A466)=year($A465), V465+S466, S466)</f>
        <v>333.3333333</v>
      </c>
      <c r="W466" s="64">
        <f t="shared" si="474"/>
        <v>416.6666667</v>
      </c>
      <c r="X466" s="64">
        <f t="shared" si="474"/>
        <v>0</v>
      </c>
      <c r="Y466" s="65">
        <f>IFS(
  B466&lt;55,
    MAX(
      Y465 + IF(MONTH(A466)=12, P466+V466, 0) + H466 - L466
      + MAX(0,
          IF(AA465 &gt;= VLOOKUP(YEAR(A466), Lookup!$Q:$R, 2),
            Z465 + IF(MONTH(A466)=12, Q466+W466, 0) + I466
              + AA465 + IF(MONTH(A466)=12, R466+X466, 0)
              - VLOOKUP(YEAR(A466), Lookup!$Q:$R, 2) + J466,
            Z465 + IF(MONTH(A466)=12, Q466+W466, 0) + I466
          ) - VLOOKUP(YEAR(A466), Lookup!$K:$M, 3)
        ),
    0),
  B466=55,
    IF(Z465&gt;=AD466,
      MAX(Y465 + IF(MONTH(A466)=12, P466+V466, 0) + H466 - L466, 0),
      MAX(MAX(0, Y465-(AD466-Z465)) + IF(MONTH(A466)=12, P466+V466, 0) + H466 - L466, 0)
    ),
  B466&gt;55,
    IF(AB465&gt;=$AH$7,
      MAX(Y465 + IF(MONTH(A466)=12, P466+V466, 0) + H466 - L466 + K466 + Z465, 0),
      MAX(Y465 + IF(MONTH(A466)=12, P466+V466, 0) + H466 - L466, 0)
    )
)</f>
        <v>979757.985</v>
      </c>
      <c r="Z466" s="65">
        <f>IFS(
  B466&lt;55,
    MIN(
      IF(AA465 &gt;= VLOOKUP(YEAR(A466), Lookup!$Q:$R, 2),
        Z465 + IF(MONTH(A466)=12, Q466+W466, 0) + I466
          + AA465 + IF(MONTH(A466)=12, R466+X466, 0) - VLOOKUP(YEAR(A466), Lookup!$Q:$R, 2) + J466,
        Z465 + IF(MONTH(A466)=12, Q466+W466, 0) + I466
      ),
      VLOOKUP(YEAR(A466), Lookup!$K:$M, 3)
    ),
  B466=55,
    IF(Z465 &gt;= AD466, Z465 - AD466, 0),
  B466&gt;55, 0
)</f>
        <v>0</v>
      </c>
      <c r="AA466" s="65">
        <f>IFS(
  B466&lt;65,
    IF(AA465+J466 &lt; VLOOKUP(YEAR(A466), Lookup!$Q:$R, 2),
      AA465 + IF(MONTH(A466)=12, R465+X465, 0) + J466,
      MIN(
        AA465 + IF(MONTH(A466)=12, R465+X465, 0) + J466 ,
        VLOOKUP(YEAR(A466), Lookup!$Q:$R, 2)
      )
    ),
  B466&gt;=65,
    IF(AA465+J466 &lt; VLOOKUP(questions!$C$5, Lookup!$Q:$R, 2),
      AA465 + IF(MONTH(A466)=12, R465+X465, 0) + J466 ,
      MIN(
        AA465 + IF(MONTH(A466)=12, R465+X465, 0) + J466,
        VLOOKUP(questions!$C$5, Lookup!$Q:$R, 2)
      )
    )
)</f>
        <v>282111.0086</v>
      </c>
      <c r="AB466" s="65">
        <f t="shared" si="13"/>
        <v>940630.3282</v>
      </c>
      <c r="AC466" s="66">
        <f t="array" ref="AC466">IFS(B466&lt;66, XLOOKUP(year(A466),Lookup!$K$13:$K1000,Lookup!$L$13:$L1000,"missing",,1),B466&gt;65,XLOOKUP(questions!$C$5,Lookup!$K$13:$K1000,Lookup!$L$13:$L1000,"missing",,1))</f>
        <v>407454.001</v>
      </c>
      <c r="AD466" s="66">
        <f t="array" ref="AD466">IFS(B466&lt;66, XLOOKUP(year(A466),Lookup!$K$13:$K1000,Lookup!$M$13:$M1000,"missing",,1),B466&gt;65, XLOOKUP(questions!$C$5,Lookup!$K$13:$K1000,Lookup!$M$13:$M1000,"missing",,1))</f>
        <v>814908.0021</v>
      </c>
      <c r="AE466" s="66">
        <f t="array" ref="AE466">IFS(B466&lt;66, XLOOKUP(year(A466),Lookup!$K$13:$K1000,Lookup!$N$13:$N1000,"missing",,1),B466&gt;65,XLOOKUP(questions!$C$5,Lookup!$K$13:$K1000,Lookup!$N$13:$N1000,"missing",,1))</f>
        <v>1629816.004</v>
      </c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</row>
    <row r="467">
      <c r="A467" s="55">
        <f t="shared" si="7"/>
        <v>60236</v>
      </c>
      <c r="B467" s="56">
        <f>round(YEARFRAC(EOMONTH(questions!$C$3, 0),A467,1),2)</f>
        <v>66</v>
      </c>
      <c r="C467" s="58">
        <f>IF(B467&lt;questions!$C$6,if(MONTH(A467)=1,C466*(1+questions!$C$12),C466),0)</f>
        <v>0</v>
      </c>
      <c r="D467" s="58">
        <f>IF(MONTH(A467)=12,C467*questions!$C$11,0)</f>
        <v>0</v>
      </c>
      <c r="E467" s="71">
        <f t="shared" si="2"/>
        <v>0</v>
      </c>
      <c r="F467" s="71">
        <f t="shared" si="3"/>
        <v>0</v>
      </c>
      <c r="G467" s="61">
        <f t="array" ref="G467">if(YEAR(A467)=2025,XLOOKUP(B467,Lookup!$A$3:$A$7,Lookup!$D$3:$D$7,,1)*SUM(E467:F467), XLOOKUP(B467,Lookup!$A$14:$A$18,Lookup!$D$14:$D$18,,1)*SUM(E467:F467))</f>
        <v>0</v>
      </c>
      <c r="H467" s="61">
        <f t="array" ref="H467">if(YEAR(A467)=2025,XLOOKUP(B467,Lookup!$F$3:$F$10,Lookup!$G$3:$G$10,,1)*G467, XLOOKUP(B467,Lookup!$F$14:$F$21,Lookup!$G$14:$G$21,,1)*G467)</f>
        <v>0</v>
      </c>
      <c r="I467" s="61">
        <f t="array" ref="I467">if(B467&lt;55, if(YEAR(A467)=2025,XLOOKUP(B467,Lookup!$F$3:$F$10,Lookup!$H$3:$H$10,,1)*G467, XLOOKUP(B467,Lookup!$F$14:$F$21,Lookup!$H$14:$H$21,,1)*G467),0)</f>
        <v>0</v>
      </c>
      <c r="J467" s="61">
        <f t="array" ref="J467">if(YEAR(A467)=2025,XLOOKUP(B467,Lookup!$F$3:$F$10,Lookup!$I$3:$I$10,,1)*G467, XLOOKUP(B467,Lookup!$F$14:$F$21,Lookup!$I$14:$I$21,,1)*G467)</f>
        <v>0</v>
      </c>
      <c r="K467" s="61">
        <f t="array" ref="K467">if(B467&gt;54, if(YEAR(A467)=2025,XLOOKUP(B467,Lookup!$F$3:$F$10,Lookup!$H$3:$H$10,,1)*G467, XLOOKUP(B467,Lookup!$F$14:$F$21,Lookup!$H$14:$H$21,,1)*G467),0)</f>
        <v>0</v>
      </c>
      <c r="L467" s="62">
        <f>IF(and(A467&lt;questions!$C$19,questions!$C$18="yes"),questions!$C$20,0)</f>
        <v>0</v>
      </c>
      <c r="M467" s="63">
        <f>(Y466+H467)*Lookup!A$26/12</f>
        <v>2041.162469</v>
      </c>
      <c r="N467" s="63">
        <f>if(B467&lt;55, (Z466+I467)*Lookup!B$26/12, (AB466+K467)*Lookup!B$26/12)</f>
        <v>3135.434427</v>
      </c>
      <c r="O467" s="63">
        <f>(AA466+J467)*Lookup!C$26/12</f>
        <v>940.3700287</v>
      </c>
      <c r="P467" s="63">
        <f t="shared" si="8"/>
        <v>22452.78716</v>
      </c>
      <c r="Q467" s="63">
        <f t="shared" si="4"/>
        <v>34489.7787</v>
      </c>
      <c r="R467" s="63">
        <f t="shared" si="5"/>
        <v>10351.66616</v>
      </c>
      <c r="S467" s="64">
        <f t="shared" si="9"/>
        <v>33.33333333</v>
      </c>
      <c r="T467" s="64">
        <f t="shared" si="10"/>
        <v>41.66666667</v>
      </c>
      <c r="U467" s="64">
        <f t="shared" si="11"/>
        <v>0</v>
      </c>
      <c r="V467" s="64">
        <f t="shared" ref="V467:X467" si="475">IF(year($A467)=year($A466), V466+S467, S467)</f>
        <v>366.6666667</v>
      </c>
      <c r="W467" s="64">
        <f t="shared" si="475"/>
        <v>458.3333333</v>
      </c>
      <c r="X467" s="64">
        <f t="shared" si="475"/>
        <v>0</v>
      </c>
      <c r="Y467" s="65">
        <f>IFS(
  B467&lt;55,
    MAX(
      Y466 + IF(MONTH(A467)=12, P467+V467, 0) + H467 - L467
      + MAX(0,
          IF(AA466 &gt;= VLOOKUP(YEAR(A467), Lookup!$Q:$R, 2),
            Z466 + IF(MONTH(A467)=12, Q467+W467, 0) + I467
              + AA466 + IF(MONTH(A467)=12, R467+X467, 0)
              - VLOOKUP(YEAR(A467), Lookup!$Q:$R, 2) + J467,
            Z466 + IF(MONTH(A467)=12, Q467+W467, 0) + I467
          ) - VLOOKUP(YEAR(A467), Lookup!$K:$M, 3)
        ),
    0),
  B467=55,
    IF(Z466&gt;=AD467,
      MAX(Y466 + IF(MONTH(A467)=12, P467+V467, 0) + H467 - L467, 0),
      MAX(MAX(0, Y466-(AD467-Z466)) + IF(MONTH(A467)=12, P467+V467, 0) + H467 - L467, 0)
    ),
  B467&gt;55,
    IF(AB466&gt;=$AH$7,
      MAX(Y466 + IF(MONTH(A467)=12, P467+V467, 0) + H467 - L467 + K467 + Z466, 0),
      MAX(Y466 + IF(MONTH(A467)=12, P467+V467, 0) + H467 - L467, 0)
    )
)</f>
        <v>979757.985</v>
      </c>
      <c r="Z467" s="65">
        <f>IFS(
  B467&lt;55,
    MIN(
      IF(AA466 &gt;= VLOOKUP(YEAR(A467), Lookup!$Q:$R, 2),
        Z466 + IF(MONTH(A467)=12, Q467+W467, 0) + I467
          + AA466 + IF(MONTH(A467)=12, R467+X467, 0) - VLOOKUP(YEAR(A467), Lookup!$Q:$R, 2) + J467,
        Z466 + IF(MONTH(A467)=12, Q467+W467, 0) + I467
      ),
      VLOOKUP(YEAR(A467), Lookup!$K:$M, 3)
    ),
  B467=55,
    IF(Z466 &gt;= AD467, Z466 - AD467, 0),
  B467&gt;55, 0
)</f>
        <v>0</v>
      </c>
      <c r="AA467" s="65">
        <f>IFS(
  B467&lt;65,
    IF(AA466+J467 &lt; VLOOKUP(YEAR(A467), Lookup!$Q:$R, 2),
      AA466 + IF(MONTH(A467)=12, R466+X466, 0) + J467,
      MIN(
        AA466 + IF(MONTH(A467)=12, R466+X466, 0) + J467 ,
        VLOOKUP(YEAR(A467), Lookup!$Q:$R, 2)
      )
    ),
  B467&gt;=65,
    IF(AA466+J467 &lt; VLOOKUP(questions!$C$5, Lookup!$Q:$R, 2),
      AA466 + IF(MONTH(A467)=12, R466+X466, 0) + J467 ,
      MIN(
        AA466 + IF(MONTH(A467)=12, R466+X466, 0) + J467,
        VLOOKUP(questions!$C$5, Lookup!$Q:$R, 2)
      )
    )
)</f>
        <v>282111.0086</v>
      </c>
      <c r="AB467" s="65">
        <f t="shared" si="13"/>
        <v>940630.3282</v>
      </c>
      <c r="AC467" s="66">
        <f t="array" ref="AC467">IFS(B467&lt;66, XLOOKUP(year(A467),Lookup!$K$13:$K1000,Lookup!$L$13:$L1000,"missing",,1),B467&gt;65,XLOOKUP(questions!$C$5,Lookup!$K$13:$K1000,Lookup!$L$13:$L1000,"missing",,1))</f>
        <v>393675.3633</v>
      </c>
      <c r="AD467" s="66">
        <f t="array" ref="AD467">IFS(B467&lt;66, XLOOKUP(year(A467),Lookup!$K$13:$K1000,Lookup!$M$13:$M1000,"missing",,1),B467&gt;65, XLOOKUP(questions!$C$5,Lookup!$K$13:$K1000,Lookup!$M$13:$M1000,"missing",,1))</f>
        <v>787350.7266</v>
      </c>
      <c r="AE467" s="66">
        <f t="array" ref="AE467">IFS(B467&lt;66, XLOOKUP(year(A467),Lookup!$K$13:$K1000,Lookup!$N$13:$N1000,"missing",,1),B467&gt;65,XLOOKUP(questions!$C$5,Lookup!$K$13:$K1000,Lookup!$N$13:$N1000,"missing",,1))</f>
        <v>1574701.453</v>
      </c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</row>
    <row r="468">
      <c r="A468" s="55">
        <f t="shared" si="7"/>
        <v>60267</v>
      </c>
      <c r="B468" s="56">
        <f>round(YEARFRAC(EOMONTH(questions!$C$3, 0),A468,1),2)</f>
        <v>66.08</v>
      </c>
      <c r="C468" s="58">
        <f>IF(B468&lt;questions!$C$6,if(MONTH(A468)=1,C467*(1+questions!$C$12),C467),0)</f>
        <v>0</v>
      </c>
      <c r="D468" s="58">
        <f>IF(MONTH(A468)=12,C468*questions!$C$11,0)</f>
        <v>0</v>
      </c>
      <c r="E468" s="71">
        <f t="shared" si="2"/>
        <v>0</v>
      </c>
      <c r="F468" s="71">
        <f t="shared" si="3"/>
        <v>0</v>
      </c>
      <c r="G468" s="61">
        <f t="array" ref="G468">if(YEAR(A468)=2025,XLOOKUP(B468,Lookup!$A$3:$A$7,Lookup!$D$3:$D$7,,1)*SUM(E468:F468), XLOOKUP(B468,Lookup!$A$14:$A$18,Lookup!$D$14:$D$18,,1)*SUM(E468:F468))</f>
        <v>0</v>
      </c>
      <c r="H468" s="61">
        <f t="array" ref="H468">if(YEAR(A468)=2025,XLOOKUP(B468,Lookup!$F$3:$F$10,Lookup!$G$3:$G$10,,1)*G468, XLOOKUP(B468,Lookup!$F$14:$F$21,Lookup!$G$14:$G$21,,1)*G468)</f>
        <v>0</v>
      </c>
      <c r="I468" s="61">
        <f t="array" ref="I468">if(B468&lt;55, if(YEAR(A468)=2025,XLOOKUP(B468,Lookup!$F$3:$F$10,Lookup!$H$3:$H$10,,1)*G468, XLOOKUP(B468,Lookup!$F$14:$F$21,Lookup!$H$14:$H$21,,1)*G468),0)</f>
        <v>0</v>
      </c>
      <c r="J468" s="61">
        <f t="array" ref="J468">if(YEAR(A468)=2025,XLOOKUP(B468,Lookup!$F$3:$F$10,Lookup!$I$3:$I$10,,1)*G468, XLOOKUP(B468,Lookup!$F$14:$F$21,Lookup!$I$14:$I$21,,1)*G468)</f>
        <v>0</v>
      </c>
      <c r="K468" s="61">
        <f t="array" ref="K468">if(B468&gt;54, if(YEAR(A468)=2025,XLOOKUP(B468,Lookup!$F$3:$F$10,Lookup!$H$3:$H$10,,1)*G468, XLOOKUP(B468,Lookup!$F$14:$F$21,Lookup!$H$14:$H$21,,1)*G468),0)</f>
        <v>0</v>
      </c>
      <c r="L468" s="62">
        <f>IF(and(A468&lt;questions!$C$19,questions!$C$18="yes"),questions!$C$20,0)</f>
        <v>0</v>
      </c>
      <c r="M468" s="63">
        <f>(Y467+H468)*Lookup!A$26/12</f>
        <v>2041.162469</v>
      </c>
      <c r="N468" s="63">
        <f>if(B468&lt;55, (Z467+I468)*Lookup!B$26/12, (AB467+K468)*Lookup!B$26/12)</f>
        <v>3135.434427</v>
      </c>
      <c r="O468" s="63">
        <f>(AA467+J468)*Lookup!C$26/12</f>
        <v>940.3700287</v>
      </c>
      <c r="P468" s="63">
        <f t="shared" si="8"/>
        <v>24493.94962</v>
      </c>
      <c r="Q468" s="63">
        <f t="shared" si="4"/>
        <v>37625.21313</v>
      </c>
      <c r="R468" s="63">
        <f t="shared" si="5"/>
        <v>11292.03619</v>
      </c>
      <c r="S468" s="64">
        <f t="shared" si="9"/>
        <v>33.33333333</v>
      </c>
      <c r="T468" s="64">
        <f t="shared" si="10"/>
        <v>41.66666667</v>
      </c>
      <c r="U468" s="64">
        <f t="shared" si="11"/>
        <v>0</v>
      </c>
      <c r="V468" s="64">
        <f t="shared" ref="V468:X468" si="476">IF(year($A468)=year($A467), V467+S468, S468)</f>
        <v>400</v>
      </c>
      <c r="W468" s="64">
        <f t="shared" si="476"/>
        <v>500</v>
      </c>
      <c r="X468" s="64">
        <f t="shared" si="476"/>
        <v>0</v>
      </c>
      <c r="Y468" s="65">
        <f>IFS(
  B468&lt;55,
    MAX(
      Y467 + IF(MONTH(A468)=12, P468+V468, 0) + H468 - L468
      + MAX(0,
          IF(AA467 &gt;= VLOOKUP(YEAR(A468), Lookup!$Q:$R, 2),
            Z467 + IF(MONTH(A468)=12, Q468+W468, 0) + I468
              + AA467 + IF(MONTH(A468)=12, R468+X468, 0)
              - VLOOKUP(YEAR(A468), Lookup!$Q:$R, 2) + J468,
            Z467 + IF(MONTH(A468)=12, Q468+W468, 0) + I468
          ) - VLOOKUP(YEAR(A468), Lookup!$K:$M, 3)
        ),
    0),
  B468=55,
    IF(Z467&gt;=AD468,
      MAX(Y467 + IF(MONTH(A468)=12, P468+V468, 0) + H468 - L468, 0),
      MAX(MAX(0, Y467-(AD468-Z467)) + IF(MONTH(A468)=12, P468+V468, 0) + H468 - L468, 0)
    ),
  B468&gt;55,
    IF(AB467&gt;=$AH$7,
      MAX(Y467 + IF(MONTH(A468)=12, P468+V468, 0) + H468 - L468 + K468 + Z467, 0),
      MAX(Y467 + IF(MONTH(A468)=12, P468+V468, 0) + H468 - L468, 0)
    )
)</f>
        <v>1004651.935</v>
      </c>
      <c r="Z468" s="65">
        <f>IFS(
  B468&lt;55,
    MIN(
      IF(AA467 &gt;= VLOOKUP(YEAR(A468), Lookup!$Q:$R, 2),
        Z467 + IF(MONTH(A468)=12, Q468+W468, 0) + I468
          + AA467 + IF(MONTH(A468)=12, R468+X468, 0) - VLOOKUP(YEAR(A468), Lookup!$Q:$R, 2) + J468,
        Z467 + IF(MONTH(A468)=12, Q468+W468, 0) + I468
      ),
      VLOOKUP(YEAR(A468), Lookup!$K:$M, 3)
    ),
  B468=55,
    IF(Z467 &gt;= AD468, Z467 - AD468, 0),
  B468&gt;55, 0
)</f>
        <v>0</v>
      </c>
      <c r="AA468" s="65">
        <f>IFS(
  B468&lt;65,
    IF(AA467+J468 &lt; VLOOKUP(YEAR(A468), Lookup!$Q:$R, 2),
      AA467 + IF(MONTH(A468)=12, R467+X467, 0) + J468,
      MIN(
        AA467 + IF(MONTH(A468)=12, R467+X467, 0) + J468 ,
        VLOOKUP(YEAR(A468), Lookup!$Q:$R, 2)
      )
    ),
  B468&gt;=65,
    IF(AA467+J468 &lt; VLOOKUP(questions!$C$5, Lookup!$Q:$R, 2),
      AA467 + IF(MONTH(A468)=12, R467+X467, 0) + J468 ,
      MIN(
        AA467 + IF(MONTH(A468)=12, R467+X467, 0) + J468,
        VLOOKUP(questions!$C$5, Lookup!$Q:$R, 2)
      )
    )
)</f>
        <v>282111.0086</v>
      </c>
      <c r="AB468" s="65">
        <f t="shared" si="13"/>
        <v>978755.5413</v>
      </c>
      <c r="AC468" s="66">
        <f t="array" ref="AC468">IFS(B468&lt;66, XLOOKUP(year(A468),Lookup!$K$13:$K1000,Lookup!$L$13:$L1000,"missing",,1),B468&gt;65,XLOOKUP(questions!$C$5,Lookup!$K$13:$K1000,Lookup!$L$13:$L1000,"missing",,1))</f>
        <v>393675.3633</v>
      </c>
      <c r="AD468" s="66">
        <f t="array" ref="AD468">IFS(B468&lt;66, XLOOKUP(year(A468),Lookup!$K$13:$K1000,Lookup!$M$13:$M1000,"missing",,1),B468&gt;65, XLOOKUP(questions!$C$5,Lookup!$K$13:$K1000,Lookup!$M$13:$M1000,"missing",,1))</f>
        <v>787350.7266</v>
      </c>
      <c r="AE468" s="66">
        <f t="array" ref="AE468">IFS(B468&lt;66, XLOOKUP(year(A468),Lookup!$K$13:$K1000,Lookup!$N$13:$N1000,"missing",,1),B468&gt;65,XLOOKUP(questions!$C$5,Lookup!$K$13:$K1000,Lookup!$N$13:$N1000,"missing",,1))</f>
        <v>1574701.453</v>
      </c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</row>
    <row r="469">
      <c r="A469" s="55">
        <f t="shared" si="7"/>
        <v>60298</v>
      </c>
      <c r="B469" s="56">
        <f>round(YEARFRAC(EOMONTH(questions!$C$3, 0),A469,1),2)</f>
        <v>66.17</v>
      </c>
      <c r="C469" s="58">
        <f>IF(B469&lt;questions!$C$6,if(MONTH(A469)=1,C468*(1+questions!$C$12),C468),0)</f>
        <v>0</v>
      </c>
      <c r="D469" s="58">
        <f>IF(MONTH(A469)=12,C469*questions!$C$11,0)</f>
        <v>0</v>
      </c>
      <c r="E469" s="71">
        <f t="shared" si="2"/>
        <v>0</v>
      </c>
      <c r="F469" s="71">
        <f t="shared" si="3"/>
        <v>0</v>
      </c>
      <c r="G469" s="61">
        <f t="array" ref="G469">if(YEAR(A469)=2025,XLOOKUP(B469,Lookup!$A$3:$A$7,Lookup!$D$3:$D$7,,1)*SUM(E469:F469), XLOOKUP(B469,Lookup!$A$14:$A$18,Lookup!$D$14:$D$18,,1)*SUM(E469:F469))</f>
        <v>0</v>
      </c>
      <c r="H469" s="61">
        <f t="array" ref="H469">if(YEAR(A469)=2025,XLOOKUP(B469,Lookup!$F$3:$F$10,Lookup!$G$3:$G$10,,1)*G469, XLOOKUP(B469,Lookup!$F$14:$F$21,Lookup!$G$14:$G$21,,1)*G469)</f>
        <v>0</v>
      </c>
      <c r="I469" s="61">
        <f t="array" ref="I469">if(B469&lt;55, if(YEAR(A469)=2025,XLOOKUP(B469,Lookup!$F$3:$F$10,Lookup!$H$3:$H$10,,1)*G469, XLOOKUP(B469,Lookup!$F$14:$F$21,Lookup!$H$14:$H$21,,1)*G469),0)</f>
        <v>0</v>
      </c>
      <c r="J469" s="61">
        <f t="array" ref="J469">if(YEAR(A469)=2025,XLOOKUP(B469,Lookup!$F$3:$F$10,Lookup!$I$3:$I$10,,1)*G469, XLOOKUP(B469,Lookup!$F$14:$F$21,Lookup!$I$14:$I$21,,1)*G469)</f>
        <v>0</v>
      </c>
      <c r="K469" s="61">
        <f t="array" ref="K469">if(B469&gt;54, if(YEAR(A469)=2025,XLOOKUP(B469,Lookup!$F$3:$F$10,Lookup!$H$3:$H$10,,1)*G469, XLOOKUP(B469,Lookup!$F$14:$F$21,Lookup!$H$14:$H$21,,1)*G469),0)</f>
        <v>0</v>
      </c>
      <c r="L469" s="62">
        <f>IF(and(A469&lt;questions!$C$19,questions!$C$18="yes"),questions!$C$20,0)</f>
        <v>0</v>
      </c>
      <c r="M469" s="63">
        <f>(Y468+H469)*Lookup!A$26/12</f>
        <v>2093.024864</v>
      </c>
      <c r="N469" s="63">
        <f>if(B469&lt;55, (Z468+I469)*Lookup!B$26/12, (AB468+K469)*Lookup!B$26/12)</f>
        <v>3262.518471</v>
      </c>
      <c r="O469" s="63">
        <f>(AA468+J469)*Lookup!C$26/12</f>
        <v>940.3700287</v>
      </c>
      <c r="P469" s="63">
        <f t="shared" si="8"/>
        <v>2093.024864</v>
      </c>
      <c r="Q469" s="63">
        <f t="shared" si="4"/>
        <v>3262.518471</v>
      </c>
      <c r="R469" s="63">
        <f t="shared" si="5"/>
        <v>940.3700287</v>
      </c>
      <c r="S469" s="64">
        <f t="shared" si="9"/>
        <v>33.33333333</v>
      </c>
      <c r="T469" s="64">
        <f t="shared" si="10"/>
        <v>41.66666667</v>
      </c>
      <c r="U469" s="64">
        <f t="shared" si="11"/>
        <v>0</v>
      </c>
      <c r="V469" s="64">
        <f t="shared" ref="V469:X469" si="477">IF(year($A469)=year($A468), V468+S469, S469)</f>
        <v>33.33333333</v>
      </c>
      <c r="W469" s="64">
        <f t="shared" si="477"/>
        <v>41.66666667</v>
      </c>
      <c r="X469" s="64">
        <f t="shared" si="477"/>
        <v>0</v>
      </c>
      <c r="Y469" s="65">
        <f>IFS(
  B469&lt;55,
    MAX(
      Y468 + IF(MONTH(A469)=12, P469+V469, 0) + H469 - L469
      + MAX(0,
          IF(AA468 &gt;= VLOOKUP(YEAR(A469), Lookup!$Q:$R, 2),
            Z468 + IF(MONTH(A469)=12, Q469+W469, 0) + I469
              + AA468 + IF(MONTH(A469)=12, R469+X469, 0)
              - VLOOKUP(YEAR(A469), Lookup!$Q:$R, 2) + J469,
            Z468 + IF(MONTH(A469)=12, Q469+W469, 0) + I469
          ) - VLOOKUP(YEAR(A469), Lookup!$K:$M, 3)
        ),
    0),
  B469=55,
    IF(Z468&gt;=AD469,
      MAX(Y468 + IF(MONTH(A469)=12, P469+V469, 0) + H469 - L469, 0),
      MAX(MAX(0, Y468-(AD469-Z468)) + IF(MONTH(A469)=12, P469+V469, 0) + H469 - L469, 0)
    ),
  B469&gt;55,
    IF(AB468&gt;=$AH$7,
      MAX(Y468 + IF(MONTH(A469)=12, P469+V469, 0) + H469 - L469 + K469 + Z468, 0),
      MAX(Y468 + IF(MONTH(A469)=12, P469+V469, 0) + H469 - L469, 0)
    )
)</f>
        <v>1004651.935</v>
      </c>
      <c r="Z469" s="65">
        <f>IFS(
  B469&lt;55,
    MIN(
      IF(AA468 &gt;= VLOOKUP(YEAR(A469), Lookup!$Q:$R, 2),
        Z468 + IF(MONTH(A469)=12, Q469+W469, 0) + I469
          + AA468 + IF(MONTH(A469)=12, R469+X469, 0) - VLOOKUP(YEAR(A469), Lookup!$Q:$R, 2) + J469,
        Z468 + IF(MONTH(A469)=12, Q469+W469, 0) + I469
      ),
      VLOOKUP(YEAR(A469), Lookup!$K:$M, 3)
    ),
  B469=55,
    IF(Z468 &gt;= AD469, Z468 - AD469, 0),
  B469&gt;55, 0
)</f>
        <v>0</v>
      </c>
      <c r="AA469" s="65">
        <f>IFS(
  B469&lt;65,
    IF(AA468+J469 &lt; VLOOKUP(YEAR(A469), Lookup!$Q:$R, 2),
      AA468 + IF(MONTH(A469)=12, R468+X468, 0) + J469,
      MIN(
        AA468 + IF(MONTH(A469)=12, R468+X468, 0) + J469 ,
        VLOOKUP(YEAR(A469), Lookup!$Q:$R, 2)
      )
    ),
  B469&gt;=65,
    IF(AA468+J469 &lt; VLOOKUP(questions!$C$5, Lookup!$Q:$R, 2),
      AA468 + IF(MONTH(A469)=12, R468+X468, 0) + J469 ,
      MIN(
        AA468 + IF(MONTH(A469)=12, R468+X468, 0) + J469,
        VLOOKUP(questions!$C$5, Lookup!$Q:$R, 2)
      )
    )
)</f>
        <v>282111.0086</v>
      </c>
      <c r="AB469" s="65">
        <f t="shared" si="13"/>
        <v>978755.5413</v>
      </c>
      <c r="AC469" s="66">
        <f t="array" ref="AC469">IFS(B469&lt;66, XLOOKUP(year(A469),Lookup!$K$13:$K1000,Lookup!$L$13:$L1000,"missing",,1),B469&gt;65,XLOOKUP(questions!$C$5,Lookup!$K$13:$K1000,Lookup!$L$13:$L1000,"missing",,1))</f>
        <v>393675.3633</v>
      </c>
      <c r="AD469" s="66">
        <f t="array" ref="AD469">IFS(B469&lt;66, XLOOKUP(year(A469),Lookup!$K$13:$K1000,Lookup!$M$13:$M1000,"missing",,1),B469&gt;65, XLOOKUP(questions!$C$5,Lookup!$K$13:$K1000,Lookup!$M$13:$M1000,"missing",,1))</f>
        <v>787350.7266</v>
      </c>
      <c r="AE469" s="66">
        <f t="array" ref="AE469">IFS(B469&lt;66, XLOOKUP(year(A469),Lookup!$K$13:$K1000,Lookup!$N$13:$N1000,"missing",,1),B469&gt;65,XLOOKUP(questions!$C$5,Lookup!$K$13:$K1000,Lookup!$N$13:$N1000,"missing",,1))</f>
        <v>1574701.453</v>
      </c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</row>
    <row r="470">
      <c r="A470" s="55">
        <f t="shared" si="7"/>
        <v>60326</v>
      </c>
      <c r="B470" s="56">
        <f>round(YEARFRAC(EOMONTH(questions!$C$3, 0),A470,1),2)</f>
        <v>66.25</v>
      </c>
      <c r="C470" s="58">
        <f>IF(B470&lt;questions!$C$6,if(MONTH(A470)=1,C469*(1+questions!$C$12),C469),0)</f>
        <v>0</v>
      </c>
      <c r="D470" s="58">
        <f>IF(MONTH(A470)=12,C470*questions!$C$11,0)</f>
        <v>0</v>
      </c>
      <c r="E470" s="71">
        <f t="shared" si="2"/>
        <v>0</v>
      </c>
      <c r="F470" s="71">
        <f t="shared" si="3"/>
        <v>0</v>
      </c>
      <c r="G470" s="61">
        <f t="array" ref="G470">if(YEAR(A470)=2025,XLOOKUP(B470,Lookup!$A$3:$A$7,Lookup!$D$3:$D$7,,1)*SUM(E470:F470), XLOOKUP(B470,Lookup!$A$14:$A$18,Lookup!$D$14:$D$18,,1)*SUM(E470:F470))</f>
        <v>0</v>
      </c>
      <c r="H470" s="61">
        <f t="array" ref="H470">if(YEAR(A470)=2025,XLOOKUP(B470,Lookup!$F$3:$F$10,Lookup!$G$3:$G$10,,1)*G470, XLOOKUP(B470,Lookup!$F$14:$F$21,Lookup!$G$14:$G$21,,1)*G470)</f>
        <v>0</v>
      </c>
      <c r="I470" s="61">
        <f t="array" ref="I470">if(B470&lt;55, if(YEAR(A470)=2025,XLOOKUP(B470,Lookup!$F$3:$F$10,Lookup!$H$3:$H$10,,1)*G470, XLOOKUP(B470,Lookup!$F$14:$F$21,Lookup!$H$14:$H$21,,1)*G470),0)</f>
        <v>0</v>
      </c>
      <c r="J470" s="61">
        <f t="array" ref="J470">if(YEAR(A470)=2025,XLOOKUP(B470,Lookup!$F$3:$F$10,Lookup!$I$3:$I$10,,1)*G470, XLOOKUP(B470,Lookup!$F$14:$F$21,Lookup!$I$14:$I$21,,1)*G470)</f>
        <v>0</v>
      </c>
      <c r="K470" s="61">
        <f t="array" ref="K470">if(B470&gt;54, if(YEAR(A470)=2025,XLOOKUP(B470,Lookup!$F$3:$F$10,Lookup!$H$3:$H$10,,1)*G470, XLOOKUP(B470,Lookup!$F$14:$F$21,Lookup!$H$14:$H$21,,1)*G470),0)</f>
        <v>0</v>
      </c>
      <c r="L470" s="62">
        <f>IF(and(A470&lt;questions!$C$19,questions!$C$18="yes"),questions!$C$20,0)</f>
        <v>0</v>
      </c>
      <c r="M470" s="63">
        <f>(Y469+H470)*Lookup!A$26/12</f>
        <v>2093.024864</v>
      </c>
      <c r="N470" s="63">
        <f>if(B470&lt;55, (Z469+I470)*Lookup!B$26/12, (AB469+K470)*Lookup!B$26/12)</f>
        <v>3262.518471</v>
      </c>
      <c r="O470" s="63">
        <f>(AA469+J470)*Lookup!C$26/12</f>
        <v>940.3700287</v>
      </c>
      <c r="P470" s="63">
        <f t="shared" si="8"/>
        <v>4186.049727</v>
      </c>
      <c r="Q470" s="63">
        <f t="shared" si="4"/>
        <v>6525.036942</v>
      </c>
      <c r="R470" s="63">
        <f t="shared" si="5"/>
        <v>1880.740057</v>
      </c>
      <c r="S470" s="64">
        <f t="shared" si="9"/>
        <v>33.33333333</v>
      </c>
      <c r="T470" s="64">
        <f t="shared" si="10"/>
        <v>41.66666667</v>
      </c>
      <c r="U470" s="64">
        <f t="shared" si="11"/>
        <v>0</v>
      </c>
      <c r="V470" s="64">
        <f t="shared" ref="V470:X470" si="478">IF(year($A470)=year($A469), V469+S470, S470)</f>
        <v>66.66666667</v>
      </c>
      <c r="W470" s="64">
        <f t="shared" si="478"/>
        <v>83.33333333</v>
      </c>
      <c r="X470" s="64">
        <f t="shared" si="478"/>
        <v>0</v>
      </c>
      <c r="Y470" s="65">
        <f>IFS(
  B470&lt;55,
    MAX(
      Y469 + IF(MONTH(A470)=12, P470+V470, 0) + H470 - L470
      + MAX(0,
          IF(AA469 &gt;= VLOOKUP(YEAR(A470), Lookup!$Q:$R, 2),
            Z469 + IF(MONTH(A470)=12, Q470+W470, 0) + I470
              + AA469 + IF(MONTH(A470)=12, R470+X470, 0)
              - VLOOKUP(YEAR(A470), Lookup!$Q:$R, 2) + J470,
            Z469 + IF(MONTH(A470)=12, Q470+W470, 0) + I470
          ) - VLOOKUP(YEAR(A470), Lookup!$K:$M, 3)
        ),
    0),
  B470=55,
    IF(Z469&gt;=AD470,
      MAX(Y469 + IF(MONTH(A470)=12, P470+V470, 0) + H470 - L470, 0),
      MAX(MAX(0, Y469-(AD470-Z469)) + IF(MONTH(A470)=12, P470+V470, 0) + H470 - L470, 0)
    ),
  B470&gt;55,
    IF(AB469&gt;=$AH$7,
      MAX(Y469 + IF(MONTH(A470)=12, P470+V470, 0) + H470 - L470 + K470 + Z469, 0),
      MAX(Y469 + IF(MONTH(A470)=12, P470+V470, 0) + H470 - L470, 0)
    )
)</f>
        <v>1004651.935</v>
      </c>
      <c r="Z470" s="65">
        <f>IFS(
  B470&lt;55,
    MIN(
      IF(AA469 &gt;= VLOOKUP(YEAR(A470), Lookup!$Q:$R, 2),
        Z469 + IF(MONTH(A470)=12, Q470+W470, 0) + I470
          + AA469 + IF(MONTH(A470)=12, R470+X470, 0) - VLOOKUP(YEAR(A470), Lookup!$Q:$R, 2) + J470,
        Z469 + IF(MONTH(A470)=12, Q470+W470, 0) + I470
      ),
      VLOOKUP(YEAR(A470), Lookup!$K:$M, 3)
    ),
  B470=55,
    IF(Z469 &gt;= AD470, Z469 - AD470, 0),
  B470&gt;55, 0
)</f>
        <v>0</v>
      </c>
      <c r="AA470" s="65">
        <f>IFS(
  B470&lt;65,
    IF(AA469+J470 &lt; VLOOKUP(YEAR(A470), Lookup!$Q:$R, 2),
      AA469 + IF(MONTH(A470)=12, R469+X469, 0) + J470,
      MIN(
        AA469 + IF(MONTH(A470)=12, R469+X469, 0) + J470 ,
        VLOOKUP(YEAR(A470), Lookup!$Q:$R, 2)
      )
    ),
  B470&gt;=65,
    IF(AA469+J470 &lt; VLOOKUP(questions!$C$5, Lookup!$Q:$R, 2),
      AA469 + IF(MONTH(A470)=12, R469+X469, 0) + J470 ,
      MIN(
        AA469 + IF(MONTH(A470)=12, R469+X469, 0) + J470,
        VLOOKUP(questions!$C$5, Lookup!$Q:$R, 2)
      )
    )
)</f>
        <v>282111.0086</v>
      </c>
      <c r="AB470" s="65">
        <f t="shared" si="13"/>
        <v>978755.5413</v>
      </c>
      <c r="AC470" s="66">
        <f t="array" ref="AC470">IFS(B470&lt;66, XLOOKUP(year(A470),Lookup!$K$13:$K1000,Lookup!$L$13:$L1000,"missing",,1),B470&gt;65,XLOOKUP(questions!$C$5,Lookup!$K$13:$K1000,Lookup!$L$13:$L1000,"missing",,1))</f>
        <v>393675.3633</v>
      </c>
      <c r="AD470" s="66">
        <f t="array" ref="AD470">IFS(B470&lt;66, XLOOKUP(year(A470),Lookup!$K$13:$K1000,Lookup!$M$13:$M1000,"missing",,1),B470&gt;65, XLOOKUP(questions!$C$5,Lookup!$K$13:$K1000,Lookup!$M$13:$M1000,"missing",,1))</f>
        <v>787350.7266</v>
      </c>
      <c r="AE470" s="66">
        <f t="array" ref="AE470">IFS(B470&lt;66, XLOOKUP(year(A470),Lookup!$K$13:$K1000,Lookup!$N$13:$N1000,"missing",,1),B470&gt;65,XLOOKUP(questions!$C$5,Lookup!$K$13:$K1000,Lookup!$N$13:$N1000,"missing",,1))</f>
        <v>1574701.453</v>
      </c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</row>
    <row r="471">
      <c r="A471" s="55">
        <f t="shared" si="7"/>
        <v>60357</v>
      </c>
      <c r="B471" s="56">
        <f>round(YEARFRAC(EOMONTH(questions!$C$3, 0),A471,1),2)</f>
        <v>66.33</v>
      </c>
      <c r="C471" s="58">
        <f>IF(B471&lt;questions!$C$6,if(MONTH(A471)=1,C470*(1+questions!$C$12),C470),0)</f>
        <v>0</v>
      </c>
      <c r="D471" s="58">
        <f>IF(MONTH(A471)=12,C471*questions!$C$11,0)</f>
        <v>0</v>
      </c>
      <c r="E471" s="71">
        <f t="shared" si="2"/>
        <v>0</v>
      </c>
      <c r="F471" s="71">
        <f t="shared" si="3"/>
        <v>0</v>
      </c>
      <c r="G471" s="61">
        <f t="array" ref="G471">if(YEAR(A471)=2025,XLOOKUP(B471,Lookup!$A$3:$A$7,Lookup!$D$3:$D$7,,1)*SUM(E471:F471), XLOOKUP(B471,Lookup!$A$14:$A$18,Lookup!$D$14:$D$18,,1)*SUM(E471:F471))</f>
        <v>0</v>
      </c>
      <c r="H471" s="61">
        <f t="array" ref="H471">if(YEAR(A471)=2025,XLOOKUP(B471,Lookup!$F$3:$F$10,Lookup!$G$3:$G$10,,1)*G471, XLOOKUP(B471,Lookup!$F$14:$F$21,Lookup!$G$14:$G$21,,1)*G471)</f>
        <v>0</v>
      </c>
      <c r="I471" s="61">
        <f t="array" ref="I471">if(B471&lt;55, if(YEAR(A471)=2025,XLOOKUP(B471,Lookup!$F$3:$F$10,Lookup!$H$3:$H$10,,1)*G471, XLOOKUP(B471,Lookup!$F$14:$F$21,Lookup!$H$14:$H$21,,1)*G471),0)</f>
        <v>0</v>
      </c>
      <c r="J471" s="61">
        <f t="array" ref="J471">if(YEAR(A471)=2025,XLOOKUP(B471,Lookup!$F$3:$F$10,Lookup!$I$3:$I$10,,1)*G471, XLOOKUP(B471,Lookup!$F$14:$F$21,Lookup!$I$14:$I$21,,1)*G471)</f>
        <v>0</v>
      </c>
      <c r="K471" s="61">
        <f t="array" ref="K471">if(B471&gt;54, if(YEAR(A471)=2025,XLOOKUP(B471,Lookup!$F$3:$F$10,Lookup!$H$3:$H$10,,1)*G471, XLOOKUP(B471,Lookup!$F$14:$F$21,Lookup!$H$14:$H$21,,1)*G471),0)</f>
        <v>0</v>
      </c>
      <c r="L471" s="62">
        <f>IF(and(A471&lt;questions!$C$19,questions!$C$18="yes"),questions!$C$20,0)</f>
        <v>0</v>
      </c>
      <c r="M471" s="63">
        <f>(Y470+H471)*Lookup!A$26/12</f>
        <v>2093.024864</v>
      </c>
      <c r="N471" s="63">
        <f>if(B471&lt;55, (Z470+I471)*Lookup!B$26/12, (AB470+K471)*Lookup!B$26/12)</f>
        <v>3262.518471</v>
      </c>
      <c r="O471" s="63">
        <f>(AA470+J471)*Lookup!C$26/12</f>
        <v>940.3700287</v>
      </c>
      <c r="P471" s="63">
        <f t="shared" si="8"/>
        <v>6279.074591</v>
      </c>
      <c r="Q471" s="63">
        <f t="shared" si="4"/>
        <v>9787.555413</v>
      </c>
      <c r="R471" s="63">
        <f t="shared" si="5"/>
        <v>2821.110086</v>
      </c>
      <c r="S471" s="64">
        <f t="shared" si="9"/>
        <v>33.33333333</v>
      </c>
      <c r="T471" s="64">
        <f t="shared" si="10"/>
        <v>41.66666667</v>
      </c>
      <c r="U471" s="64">
        <f t="shared" si="11"/>
        <v>0</v>
      </c>
      <c r="V471" s="64">
        <f t="shared" ref="V471:X471" si="479">IF(year($A471)=year($A470), V470+S471, S471)</f>
        <v>100</v>
      </c>
      <c r="W471" s="64">
        <f t="shared" si="479"/>
        <v>125</v>
      </c>
      <c r="X471" s="64">
        <f t="shared" si="479"/>
        <v>0</v>
      </c>
      <c r="Y471" s="65">
        <f>IFS(
  B471&lt;55,
    MAX(
      Y470 + IF(MONTH(A471)=12, P471+V471, 0) + H471 - L471
      + MAX(0,
          IF(AA470 &gt;= VLOOKUP(YEAR(A471), Lookup!$Q:$R, 2),
            Z470 + IF(MONTH(A471)=12, Q471+W471, 0) + I471
              + AA470 + IF(MONTH(A471)=12, R471+X471, 0)
              - VLOOKUP(YEAR(A471), Lookup!$Q:$R, 2) + J471,
            Z470 + IF(MONTH(A471)=12, Q471+W471, 0) + I471
          ) - VLOOKUP(YEAR(A471), Lookup!$K:$M, 3)
        ),
    0),
  B471=55,
    IF(Z470&gt;=AD471,
      MAX(Y470 + IF(MONTH(A471)=12, P471+V471, 0) + H471 - L471, 0),
      MAX(MAX(0, Y470-(AD471-Z470)) + IF(MONTH(A471)=12, P471+V471, 0) + H471 - L471, 0)
    ),
  B471&gt;55,
    IF(AB470&gt;=$AH$7,
      MAX(Y470 + IF(MONTH(A471)=12, P471+V471, 0) + H471 - L471 + K471 + Z470, 0),
      MAX(Y470 + IF(MONTH(A471)=12, P471+V471, 0) + H471 - L471, 0)
    )
)</f>
        <v>1004651.935</v>
      </c>
      <c r="Z471" s="65">
        <f>IFS(
  B471&lt;55,
    MIN(
      IF(AA470 &gt;= VLOOKUP(YEAR(A471), Lookup!$Q:$R, 2),
        Z470 + IF(MONTH(A471)=12, Q471+W471, 0) + I471
          + AA470 + IF(MONTH(A471)=12, R471+X471, 0) - VLOOKUP(YEAR(A471), Lookup!$Q:$R, 2) + J471,
        Z470 + IF(MONTH(A471)=12, Q471+W471, 0) + I471
      ),
      VLOOKUP(YEAR(A471), Lookup!$K:$M, 3)
    ),
  B471=55,
    IF(Z470 &gt;= AD471, Z470 - AD471, 0),
  B471&gt;55, 0
)</f>
        <v>0</v>
      </c>
      <c r="AA471" s="65">
        <f>IFS(
  B471&lt;65,
    IF(AA470+J471 &lt; VLOOKUP(YEAR(A471), Lookup!$Q:$R, 2),
      AA470 + IF(MONTH(A471)=12, R470+X470, 0) + J471,
      MIN(
        AA470 + IF(MONTH(A471)=12, R470+X470, 0) + J471 ,
        VLOOKUP(YEAR(A471), Lookup!$Q:$R, 2)
      )
    ),
  B471&gt;=65,
    IF(AA470+J471 &lt; VLOOKUP(questions!$C$5, Lookup!$Q:$R, 2),
      AA470 + IF(MONTH(A471)=12, R470+X470, 0) + J471 ,
      MIN(
        AA470 + IF(MONTH(A471)=12, R470+X470, 0) + J471,
        VLOOKUP(questions!$C$5, Lookup!$Q:$R, 2)
      )
    )
)</f>
        <v>282111.0086</v>
      </c>
      <c r="AB471" s="65">
        <f t="shared" si="13"/>
        <v>978755.5413</v>
      </c>
      <c r="AC471" s="66">
        <f t="array" ref="AC471">IFS(B471&lt;66, XLOOKUP(year(A471),Lookup!$K$13:$K1000,Lookup!$L$13:$L1000,"missing",,1),B471&gt;65,XLOOKUP(questions!$C$5,Lookup!$K$13:$K1000,Lookup!$L$13:$L1000,"missing",,1))</f>
        <v>393675.3633</v>
      </c>
      <c r="AD471" s="66">
        <f t="array" ref="AD471">IFS(B471&lt;66, XLOOKUP(year(A471),Lookup!$K$13:$K1000,Lookup!$M$13:$M1000,"missing",,1),B471&gt;65, XLOOKUP(questions!$C$5,Lookup!$K$13:$K1000,Lookup!$M$13:$M1000,"missing",,1))</f>
        <v>787350.7266</v>
      </c>
      <c r="AE471" s="66">
        <f t="array" ref="AE471">IFS(B471&lt;66, XLOOKUP(year(A471),Lookup!$K$13:$K1000,Lookup!$N$13:$N1000,"missing",,1),B471&gt;65,XLOOKUP(questions!$C$5,Lookup!$K$13:$K1000,Lookup!$N$13:$N1000,"missing",,1))</f>
        <v>1574701.453</v>
      </c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</row>
    <row r="472">
      <c r="A472" s="55">
        <f t="shared" si="7"/>
        <v>60387</v>
      </c>
      <c r="B472" s="56">
        <f>round(YEARFRAC(EOMONTH(questions!$C$3, 0),A472,1),2)</f>
        <v>66.41</v>
      </c>
      <c r="C472" s="58">
        <f>IF(B472&lt;questions!$C$6,if(MONTH(A472)=1,C471*(1+questions!$C$12),C471),0)</f>
        <v>0</v>
      </c>
      <c r="D472" s="58">
        <f>IF(MONTH(A472)=12,C472*questions!$C$11,0)</f>
        <v>0</v>
      </c>
      <c r="E472" s="71">
        <f t="shared" si="2"/>
        <v>0</v>
      </c>
      <c r="F472" s="71">
        <f t="shared" si="3"/>
        <v>0</v>
      </c>
      <c r="G472" s="61">
        <f t="array" ref="G472">if(YEAR(A472)=2025,XLOOKUP(B472,Lookup!$A$3:$A$7,Lookup!$D$3:$D$7,,1)*SUM(E472:F472), XLOOKUP(B472,Lookup!$A$14:$A$18,Lookup!$D$14:$D$18,,1)*SUM(E472:F472))</f>
        <v>0</v>
      </c>
      <c r="H472" s="61">
        <f t="array" ref="H472">if(YEAR(A472)=2025,XLOOKUP(B472,Lookup!$F$3:$F$10,Lookup!$G$3:$G$10,,1)*G472, XLOOKUP(B472,Lookup!$F$14:$F$21,Lookup!$G$14:$G$21,,1)*G472)</f>
        <v>0</v>
      </c>
      <c r="I472" s="61">
        <f t="array" ref="I472">if(B472&lt;55, if(YEAR(A472)=2025,XLOOKUP(B472,Lookup!$F$3:$F$10,Lookup!$H$3:$H$10,,1)*G472, XLOOKUP(B472,Lookup!$F$14:$F$21,Lookup!$H$14:$H$21,,1)*G472),0)</f>
        <v>0</v>
      </c>
      <c r="J472" s="61">
        <f t="array" ref="J472">if(YEAR(A472)=2025,XLOOKUP(B472,Lookup!$F$3:$F$10,Lookup!$I$3:$I$10,,1)*G472, XLOOKUP(B472,Lookup!$F$14:$F$21,Lookup!$I$14:$I$21,,1)*G472)</f>
        <v>0</v>
      </c>
      <c r="K472" s="61">
        <f t="array" ref="K472">if(B472&gt;54, if(YEAR(A472)=2025,XLOOKUP(B472,Lookup!$F$3:$F$10,Lookup!$H$3:$H$10,,1)*G472, XLOOKUP(B472,Lookup!$F$14:$F$21,Lookup!$H$14:$H$21,,1)*G472),0)</f>
        <v>0</v>
      </c>
      <c r="L472" s="62">
        <f>IF(and(A472&lt;questions!$C$19,questions!$C$18="yes"),questions!$C$20,0)</f>
        <v>0</v>
      </c>
      <c r="M472" s="63">
        <f>(Y471+H472)*Lookup!A$26/12</f>
        <v>2093.024864</v>
      </c>
      <c r="N472" s="63">
        <f>if(B472&lt;55, (Z471+I472)*Lookup!B$26/12, (AB471+K472)*Lookup!B$26/12)</f>
        <v>3262.518471</v>
      </c>
      <c r="O472" s="63">
        <f>(AA471+J472)*Lookup!C$26/12</f>
        <v>940.3700287</v>
      </c>
      <c r="P472" s="63">
        <f t="shared" si="8"/>
        <v>8372.099455</v>
      </c>
      <c r="Q472" s="63">
        <f t="shared" si="4"/>
        <v>13050.07388</v>
      </c>
      <c r="R472" s="63">
        <f t="shared" si="5"/>
        <v>3761.480115</v>
      </c>
      <c r="S472" s="64">
        <f t="shared" si="9"/>
        <v>33.33333333</v>
      </c>
      <c r="T472" s="64">
        <f t="shared" si="10"/>
        <v>41.66666667</v>
      </c>
      <c r="U472" s="64">
        <f t="shared" si="11"/>
        <v>0</v>
      </c>
      <c r="V472" s="64">
        <f t="shared" ref="V472:X472" si="480">IF(year($A472)=year($A471), V471+S472, S472)</f>
        <v>133.3333333</v>
      </c>
      <c r="W472" s="64">
        <f t="shared" si="480"/>
        <v>166.6666667</v>
      </c>
      <c r="X472" s="64">
        <f t="shared" si="480"/>
        <v>0</v>
      </c>
      <c r="Y472" s="65">
        <f>IFS(
  B472&lt;55,
    MAX(
      Y471 + IF(MONTH(A472)=12, P472+V472, 0) + H472 - L472
      + MAX(0,
          IF(AA471 &gt;= VLOOKUP(YEAR(A472), Lookup!$Q:$R, 2),
            Z471 + IF(MONTH(A472)=12, Q472+W472, 0) + I472
              + AA471 + IF(MONTH(A472)=12, R472+X472, 0)
              - VLOOKUP(YEAR(A472), Lookup!$Q:$R, 2) + J472,
            Z471 + IF(MONTH(A472)=12, Q472+W472, 0) + I472
          ) - VLOOKUP(YEAR(A472), Lookup!$K:$M, 3)
        ),
    0),
  B472=55,
    IF(Z471&gt;=AD472,
      MAX(Y471 + IF(MONTH(A472)=12, P472+V472, 0) + H472 - L472, 0),
      MAX(MAX(0, Y471-(AD472-Z471)) + IF(MONTH(A472)=12, P472+V472, 0) + H472 - L472, 0)
    ),
  B472&gt;55,
    IF(AB471&gt;=$AH$7,
      MAX(Y471 + IF(MONTH(A472)=12, P472+V472, 0) + H472 - L472 + K472 + Z471, 0),
      MAX(Y471 + IF(MONTH(A472)=12, P472+V472, 0) + H472 - L472, 0)
    )
)</f>
        <v>1004651.935</v>
      </c>
      <c r="Z472" s="65">
        <f>IFS(
  B472&lt;55,
    MIN(
      IF(AA471 &gt;= VLOOKUP(YEAR(A472), Lookup!$Q:$R, 2),
        Z471 + IF(MONTH(A472)=12, Q472+W472, 0) + I472
          + AA471 + IF(MONTH(A472)=12, R472+X472, 0) - VLOOKUP(YEAR(A472), Lookup!$Q:$R, 2) + J472,
        Z471 + IF(MONTH(A472)=12, Q472+W472, 0) + I472
      ),
      VLOOKUP(YEAR(A472), Lookup!$K:$M, 3)
    ),
  B472=55,
    IF(Z471 &gt;= AD472, Z471 - AD472, 0),
  B472&gt;55, 0
)</f>
        <v>0</v>
      </c>
      <c r="AA472" s="65">
        <f>IFS(
  B472&lt;65,
    IF(AA471+J472 &lt; VLOOKUP(YEAR(A472), Lookup!$Q:$R, 2),
      AA471 + IF(MONTH(A472)=12, R471+X471, 0) + J472,
      MIN(
        AA471 + IF(MONTH(A472)=12, R471+X471, 0) + J472 ,
        VLOOKUP(YEAR(A472), Lookup!$Q:$R, 2)
      )
    ),
  B472&gt;=65,
    IF(AA471+J472 &lt; VLOOKUP(questions!$C$5, Lookup!$Q:$R, 2),
      AA471 + IF(MONTH(A472)=12, R471+X471, 0) + J472 ,
      MIN(
        AA471 + IF(MONTH(A472)=12, R471+X471, 0) + J472,
        VLOOKUP(questions!$C$5, Lookup!$Q:$R, 2)
      )
    )
)</f>
        <v>282111.0086</v>
      </c>
      <c r="AB472" s="65">
        <f t="shared" si="13"/>
        <v>978755.5413</v>
      </c>
      <c r="AC472" s="66">
        <f t="array" ref="AC472">IFS(B472&lt;66, XLOOKUP(year(A472),Lookup!$K$13:$K1000,Lookup!$L$13:$L1000,"missing",,1),B472&gt;65,XLOOKUP(questions!$C$5,Lookup!$K$13:$K1000,Lookup!$L$13:$L1000,"missing",,1))</f>
        <v>393675.3633</v>
      </c>
      <c r="AD472" s="66">
        <f t="array" ref="AD472">IFS(B472&lt;66, XLOOKUP(year(A472),Lookup!$K$13:$K1000,Lookup!$M$13:$M1000,"missing",,1),B472&gt;65, XLOOKUP(questions!$C$5,Lookup!$K$13:$K1000,Lookup!$M$13:$M1000,"missing",,1))</f>
        <v>787350.7266</v>
      </c>
      <c r="AE472" s="66">
        <f t="array" ref="AE472">IFS(B472&lt;66, XLOOKUP(year(A472),Lookup!$K$13:$K1000,Lookup!$N$13:$N1000,"missing",,1),B472&gt;65,XLOOKUP(questions!$C$5,Lookup!$K$13:$K1000,Lookup!$N$13:$N1000,"missing",,1))</f>
        <v>1574701.453</v>
      </c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</row>
    <row r="473">
      <c r="A473" s="55">
        <f t="shared" si="7"/>
        <v>60418</v>
      </c>
      <c r="B473" s="56">
        <f>round(YEARFRAC(EOMONTH(questions!$C$3, 0),A473,1),2)</f>
        <v>66.5</v>
      </c>
      <c r="C473" s="58">
        <f>IF(B473&lt;questions!$C$6,if(MONTH(A473)=1,C472*(1+questions!$C$12),C472),0)</f>
        <v>0</v>
      </c>
      <c r="D473" s="58">
        <f>IF(MONTH(A473)=12,C473*questions!$C$11,0)</f>
        <v>0</v>
      </c>
      <c r="E473" s="71">
        <f t="shared" si="2"/>
        <v>0</v>
      </c>
      <c r="F473" s="71">
        <f t="shared" si="3"/>
        <v>0</v>
      </c>
      <c r="G473" s="61">
        <f t="array" ref="G473">if(YEAR(A473)=2025,XLOOKUP(B473,Lookup!$A$3:$A$7,Lookup!$D$3:$D$7,,1)*SUM(E473:F473), XLOOKUP(B473,Lookup!$A$14:$A$18,Lookup!$D$14:$D$18,,1)*SUM(E473:F473))</f>
        <v>0</v>
      </c>
      <c r="H473" s="61">
        <f t="array" ref="H473">if(YEAR(A473)=2025,XLOOKUP(B473,Lookup!$F$3:$F$10,Lookup!$G$3:$G$10,,1)*G473, XLOOKUP(B473,Lookup!$F$14:$F$21,Lookup!$G$14:$G$21,,1)*G473)</f>
        <v>0</v>
      </c>
      <c r="I473" s="61">
        <f t="array" ref="I473">if(B473&lt;55, if(YEAR(A473)=2025,XLOOKUP(B473,Lookup!$F$3:$F$10,Lookup!$H$3:$H$10,,1)*G473, XLOOKUP(B473,Lookup!$F$14:$F$21,Lookup!$H$14:$H$21,,1)*G473),0)</f>
        <v>0</v>
      </c>
      <c r="J473" s="61">
        <f t="array" ref="J473">if(YEAR(A473)=2025,XLOOKUP(B473,Lookup!$F$3:$F$10,Lookup!$I$3:$I$10,,1)*G473, XLOOKUP(B473,Lookup!$F$14:$F$21,Lookup!$I$14:$I$21,,1)*G473)</f>
        <v>0</v>
      </c>
      <c r="K473" s="61">
        <f t="array" ref="K473">if(B473&gt;54, if(YEAR(A473)=2025,XLOOKUP(B473,Lookup!$F$3:$F$10,Lookup!$H$3:$H$10,,1)*G473, XLOOKUP(B473,Lookup!$F$14:$F$21,Lookup!$H$14:$H$21,,1)*G473),0)</f>
        <v>0</v>
      </c>
      <c r="L473" s="62">
        <f>IF(and(A473&lt;questions!$C$19,questions!$C$18="yes"),questions!$C$20,0)</f>
        <v>0</v>
      </c>
      <c r="M473" s="63">
        <f>(Y472+H473)*Lookup!A$26/12</f>
        <v>2093.024864</v>
      </c>
      <c r="N473" s="63">
        <f>if(B473&lt;55, (Z472+I473)*Lookup!B$26/12, (AB472+K473)*Lookup!B$26/12)</f>
        <v>3262.518471</v>
      </c>
      <c r="O473" s="63">
        <f>(AA472+J473)*Lookup!C$26/12</f>
        <v>940.3700287</v>
      </c>
      <c r="P473" s="63">
        <f t="shared" si="8"/>
        <v>10465.12432</v>
      </c>
      <c r="Q473" s="63">
        <f t="shared" si="4"/>
        <v>16312.59236</v>
      </c>
      <c r="R473" s="63">
        <f t="shared" si="5"/>
        <v>4701.850143</v>
      </c>
      <c r="S473" s="64">
        <f t="shared" si="9"/>
        <v>33.33333333</v>
      </c>
      <c r="T473" s="64">
        <f t="shared" si="10"/>
        <v>41.66666667</v>
      </c>
      <c r="U473" s="64">
        <f t="shared" si="11"/>
        <v>0</v>
      </c>
      <c r="V473" s="64">
        <f t="shared" ref="V473:X473" si="481">IF(year($A473)=year($A472), V472+S473, S473)</f>
        <v>166.6666667</v>
      </c>
      <c r="W473" s="64">
        <f t="shared" si="481"/>
        <v>208.3333333</v>
      </c>
      <c r="X473" s="64">
        <f t="shared" si="481"/>
        <v>0</v>
      </c>
      <c r="Y473" s="65">
        <f>IFS(
  B473&lt;55,
    MAX(
      Y472 + IF(MONTH(A473)=12, P473+V473, 0) + H473 - L473
      + MAX(0,
          IF(AA472 &gt;= VLOOKUP(YEAR(A473), Lookup!$Q:$R, 2),
            Z472 + IF(MONTH(A473)=12, Q473+W473, 0) + I473
              + AA472 + IF(MONTH(A473)=12, R473+X473, 0)
              - VLOOKUP(YEAR(A473), Lookup!$Q:$R, 2) + J473,
            Z472 + IF(MONTH(A473)=12, Q473+W473, 0) + I473
          ) - VLOOKUP(YEAR(A473), Lookup!$K:$M, 3)
        ),
    0),
  B473=55,
    IF(Z472&gt;=AD473,
      MAX(Y472 + IF(MONTH(A473)=12, P473+V473, 0) + H473 - L473, 0),
      MAX(MAX(0, Y472-(AD473-Z472)) + IF(MONTH(A473)=12, P473+V473, 0) + H473 - L473, 0)
    ),
  B473&gt;55,
    IF(AB472&gt;=$AH$7,
      MAX(Y472 + IF(MONTH(A473)=12, P473+V473, 0) + H473 - L473 + K473 + Z472, 0),
      MAX(Y472 + IF(MONTH(A473)=12, P473+V473, 0) + H473 - L473, 0)
    )
)</f>
        <v>1004651.935</v>
      </c>
      <c r="Z473" s="65">
        <f>IFS(
  B473&lt;55,
    MIN(
      IF(AA472 &gt;= VLOOKUP(YEAR(A473), Lookup!$Q:$R, 2),
        Z472 + IF(MONTH(A473)=12, Q473+W473, 0) + I473
          + AA472 + IF(MONTH(A473)=12, R473+X473, 0) - VLOOKUP(YEAR(A473), Lookup!$Q:$R, 2) + J473,
        Z472 + IF(MONTH(A473)=12, Q473+W473, 0) + I473
      ),
      VLOOKUP(YEAR(A473), Lookup!$K:$M, 3)
    ),
  B473=55,
    IF(Z472 &gt;= AD473, Z472 - AD473, 0),
  B473&gt;55, 0
)</f>
        <v>0</v>
      </c>
      <c r="AA473" s="65">
        <f>IFS(
  B473&lt;65,
    IF(AA472+J473 &lt; VLOOKUP(YEAR(A473), Lookup!$Q:$R, 2),
      AA472 + IF(MONTH(A473)=12, R472+X472, 0) + J473,
      MIN(
        AA472 + IF(MONTH(A473)=12, R472+X472, 0) + J473 ,
        VLOOKUP(YEAR(A473), Lookup!$Q:$R, 2)
      )
    ),
  B473&gt;=65,
    IF(AA472+J473 &lt; VLOOKUP(questions!$C$5, Lookup!$Q:$R, 2),
      AA472 + IF(MONTH(A473)=12, R472+X472, 0) + J473 ,
      MIN(
        AA472 + IF(MONTH(A473)=12, R472+X472, 0) + J473,
        VLOOKUP(questions!$C$5, Lookup!$Q:$R, 2)
      )
    )
)</f>
        <v>282111.0086</v>
      </c>
      <c r="AB473" s="65">
        <f t="shared" si="13"/>
        <v>978755.5413</v>
      </c>
      <c r="AC473" s="66">
        <f t="array" ref="AC473">IFS(B473&lt;66, XLOOKUP(year(A473),Lookup!$K$13:$K1000,Lookup!$L$13:$L1000,"missing",,1),B473&gt;65,XLOOKUP(questions!$C$5,Lookup!$K$13:$K1000,Lookup!$L$13:$L1000,"missing",,1))</f>
        <v>393675.3633</v>
      </c>
      <c r="AD473" s="66">
        <f t="array" ref="AD473">IFS(B473&lt;66, XLOOKUP(year(A473),Lookup!$K$13:$K1000,Lookup!$M$13:$M1000,"missing",,1),B473&gt;65, XLOOKUP(questions!$C$5,Lookup!$K$13:$K1000,Lookup!$M$13:$M1000,"missing",,1))</f>
        <v>787350.7266</v>
      </c>
      <c r="AE473" s="66">
        <f t="array" ref="AE473">IFS(B473&lt;66, XLOOKUP(year(A473),Lookup!$K$13:$K1000,Lookup!$N$13:$N1000,"missing",,1),B473&gt;65,XLOOKUP(questions!$C$5,Lookup!$K$13:$K1000,Lookup!$N$13:$N1000,"missing",,1))</f>
        <v>1574701.453</v>
      </c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</row>
    <row r="474">
      <c r="A474" s="55">
        <f t="shared" si="7"/>
        <v>60448</v>
      </c>
      <c r="B474" s="56">
        <f>round(YEARFRAC(EOMONTH(questions!$C$3, 0),A474,1),2)</f>
        <v>66.58</v>
      </c>
      <c r="C474" s="58">
        <f>IF(B474&lt;questions!$C$6,if(MONTH(A474)=1,C473*(1+questions!$C$12),C473),0)</f>
        <v>0</v>
      </c>
      <c r="D474" s="58">
        <f>IF(MONTH(A474)=12,C474*questions!$C$11,0)</f>
        <v>0</v>
      </c>
      <c r="E474" s="71">
        <f t="shared" si="2"/>
        <v>0</v>
      </c>
      <c r="F474" s="71">
        <f t="shared" si="3"/>
        <v>0</v>
      </c>
      <c r="G474" s="61">
        <f t="array" ref="G474">if(YEAR(A474)=2025,XLOOKUP(B474,Lookup!$A$3:$A$7,Lookup!$D$3:$D$7,,1)*SUM(E474:F474), XLOOKUP(B474,Lookup!$A$14:$A$18,Lookup!$D$14:$D$18,,1)*SUM(E474:F474))</f>
        <v>0</v>
      </c>
      <c r="H474" s="61">
        <f t="array" ref="H474">if(YEAR(A474)=2025,XLOOKUP(B474,Lookup!$F$3:$F$10,Lookup!$G$3:$G$10,,1)*G474, XLOOKUP(B474,Lookup!$F$14:$F$21,Lookup!$G$14:$G$21,,1)*G474)</f>
        <v>0</v>
      </c>
      <c r="I474" s="61">
        <f t="array" ref="I474">if(B474&lt;55, if(YEAR(A474)=2025,XLOOKUP(B474,Lookup!$F$3:$F$10,Lookup!$H$3:$H$10,,1)*G474, XLOOKUP(B474,Lookup!$F$14:$F$21,Lookup!$H$14:$H$21,,1)*G474),0)</f>
        <v>0</v>
      </c>
      <c r="J474" s="61">
        <f t="array" ref="J474">if(YEAR(A474)=2025,XLOOKUP(B474,Lookup!$F$3:$F$10,Lookup!$I$3:$I$10,,1)*G474, XLOOKUP(B474,Lookup!$F$14:$F$21,Lookup!$I$14:$I$21,,1)*G474)</f>
        <v>0</v>
      </c>
      <c r="K474" s="61">
        <f t="array" ref="K474">if(B474&gt;54, if(YEAR(A474)=2025,XLOOKUP(B474,Lookup!$F$3:$F$10,Lookup!$H$3:$H$10,,1)*G474, XLOOKUP(B474,Lookup!$F$14:$F$21,Lookup!$H$14:$H$21,,1)*G474),0)</f>
        <v>0</v>
      </c>
      <c r="L474" s="62">
        <f>IF(and(A474&lt;questions!$C$19,questions!$C$18="yes"),questions!$C$20,0)</f>
        <v>0</v>
      </c>
      <c r="M474" s="63">
        <f>(Y473+H474)*Lookup!A$26/12</f>
        <v>2093.024864</v>
      </c>
      <c r="N474" s="63">
        <f>if(B474&lt;55, (Z473+I474)*Lookup!B$26/12, (AB473+K474)*Lookup!B$26/12)</f>
        <v>3262.518471</v>
      </c>
      <c r="O474" s="63">
        <f>(AA473+J474)*Lookup!C$26/12</f>
        <v>940.3700287</v>
      </c>
      <c r="P474" s="63">
        <f t="shared" si="8"/>
        <v>12558.14918</v>
      </c>
      <c r="Q474" s="63">
        <f t="shared" si="4"/>
        <v>19575.11083</v>
      </c>
      <c r="R474" s="63">
        <f t="shared" si="5"/>
        <v>5642.220172</v>
      </c>
      <c r="S474" s="64">
        <f t="shared" si="9"/>
        <v>33.33333333</v>
      </c>
      <c r="T474" s="64">
        <f t="shared" si="10"/>
        <v>41.66666667</v>
      </c>
      <c r="U474" s="64">
        <f t="shared" si="11"/>
        <v>0</v>
      </c>
      <c r="V474" s="64">
        <f t="shared" ref="V474:X474" si="482">IF(year($A474)=year($A473), V473+S474, S474)</f>
        <v>200</v>
      </c>
      <c r="W474" s="64">
        <f t="shared" si="482"/>
        <v>250</v>
      </c>
      <c r="X474" s="64">
        <f t="shared" si="482"/>
        <v>0</v>
      </c>
      <c r="Y474" s="65">
        <f>IFS(
  B474&lt;55,
    MAX(
      Y473 + IF(MONTH(A474)=12, P474+V474, 0) + H474 - L474
      + MAX(0,
          IF(AA473 &gt;= VLOOKUP(YEAR(A474), Lookup!$Q:$R, 2),
            Z473 + IF(MONTH(A474)=12, Q474+W474, 0) + I474
              + AA473 + IF(MONTH(A474)=12, R474+X474, 0)
              - VLOOKUP(YEAR(A474), Lookup!$Q:$R, 2) + J474,
            Z473 + IF(MONTH(A474)=12, Q474+W474, 0) + I474
          ) - VLOOKUP(YEAR(A474), Lookup!$K:$M, 3)
        ),
    0),
  B474=55,
    IF(Z473&gt;=AD474,
      MAX(Y473 + IF(MONTH(A474)=12, P474+V474, 0) + H474 - L474, 0),
      MAX(MAX(0, Y473-(AD474-Z473)) + IF(MONTH(A474)=12, P474+V474, 0) + H474 - L474, 0)
    ),
  B474&gt;55,
    IF(AB473&gt;=$AH$7,
      MAX(Y473 + IF(MONTH(A474)=12, P474+V474, 0) + H474 - L474 + K474 + Z473, 0),
      MAX(Y473 + IF(MONTH(A474)=12, P474+V474, 0) + H474 - L474, 0)
    )
)</f>
        <v>1004651.935</v>
      </c>
      <c r="Z474" s="65">
        <f>IFS(
  B474&lt;55,
    MIN(
      IF(AA473 &gt;= VLOOKUP(YEAR(A474), Lookup!$Q:$R, 2),
        Z473 + IF(MONTH(A474)=12, Q474+W474, 0) + I474
          + AA473 + IF(MONTH(A474)=12, R474+X474, 0) - VLOOKUP(YEAR(A474), Lookup!$Q:$R, 2) + J474,
        Z473 + IF(MONTH(A474)=12, Q474+W474, 0) + I474
      ),
      VLOOKUP(YEAR(A474), Lookup!$K:$M, 3)
    ),
  B474=55,
    IF(Z473 &gt;= AD474, Z473 - AD474, 0),
  B474&gt;55, 0
)</f>
        <v>0</v>
      </c>
      <c r="AA474" s="65">
        <f>IFS(
  B474&lt;65,
    IF(AA473+J474 &lt; VLOOKUP(YEAR(A474), Lookup!$Q:$R, 2),
      AA473 + IF(MONTH(A474)=12, R473+X473, 0) + J474,
      MIN(
        AA473 + IF(MONTH(A474)=12, R473+X473, 0) + J474 ,
        VLOOKUP(YEAR(A474), Lookup!$Q:$R, 2)
      )
    ),
  B474&gt;=65,
    IF(AA473+J474 &lt; VLOOKUP(questions!$C$5, Lookup!$Q:$R, 2),
      AA473 + IF(MONTH(A474)=12, R473+X473, 0) + J474 ,
      MIN(
        AA473 + IF(MONTH(A474)=12, R473+X473, 0) + J474,
        VLOOKUP(questions!$C$5, Lookup!$Q:$R, 2)
      )
    )
)</f>
        <v>282111.0086</v>
      </c>
      <c r="AB474" s="65">
        <f t="shared" si="13"/>
        <v>978755.5413</v>
      </c>
      <c r="AC474" s="66">
        <f t="array" ref="AC474">IFS(B474&lt;66, XLOOKUP(year(A474),Lookup!$K$13:$K1000,Lookup!$L$13:$L1000,"missing",,1),B474&gt;65,XLOOKUP(questions!$C$5,Lookup!$K$13:$K1000,Lookup!$L$13:$L1000,"missing",,1))</f>
        <v>393675.3633</v>
      </c>
      <c r="AD474" s="66">
        <f t="array" ref="AD474">IFS(B474&lt;66, XLOOKUP(year(A474),Lookup!$K$13:$K1000,Lookup!$M$13:$M1000,"missing",,1),B474&gt;65, XLOOKUP(questions!$C$5,Lookup!$K$13:$K1000,Lookup!$M$13:$M1000,"missing",,1))</f>
        <v>787350.7266</v>
      </c>
      <c r="AE474" s="66">
        <f t="array" ref="AE474">IFS(B474&lt;66, XLOOKUP(year(A474),Lookup!$K$13:$K1000,Lookup!$N$13:$N1000,"missing",,1),B474&gt;65,XLOOKUP(questions!$C$5,Lookup!$K$13:$K1000,Lookup!$N$13:$N1000,"missing",,1))</f>
        <v>1574701.453</v>
      </c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</row>
    <row r="475">
      <c r="A475" s="55">
        <f t="shared" si="7"/>
        <v>60479</v>
      </c>
      <c r="B475" s="56">
        <f>round(YEARFRAC(EOMONTH(questions!$C$3, 0),A475,1),2)</f>
        <v>66.67</v>
      </c>
      <c r="C475" s="58">
        <f>IF(B475&lt;questions!$C$6,if(MONTH(A475)=1,C474*(1+questions!$C$12),C474),0)</f>
        <v>0</v>
      </c>
      <c r="D475" s="58">
        <f>IF(MONTH(A475)=12,C475*questions!$C$11,0)</f>
        <v>0</v>
      </c>
      <c r="E475" s="71">
        <f t="shared" si="2"/>
        <v>0</v>
      </c>
      <c r="F475" s="71">
        <f t="shared" si="3"/>
        <v>0</v>
      </c>
      <c r="G475" s="61">
        <f t="array" ref="G475">if(YEAR(A475)=2025,XLOOKUP(B475,Lookup!$A$3:$A$7,Lookup!$D$3:$D$7,,1)*SUM(E475:F475), XLOOKUP(B475,Lookup!$A$14:$A$18,Lookup!$D$14:$D$18,,1)*SUM(E475:F475))</f>
        <v>0</v>
      </c>
      <c r="H475" s="61">
        <f t="array" ref="H475">if(YEAR(A475)=2025,XLOOKUP(B475,Lookup!$F$3:$F$10,Lookup!$G$3:$G$10,,1)*G475, XLOOKUP(B475,Lookup!$F$14:$F$21,Lookup!$G$14:$G$21,,1)*G475)</f>
        <v>0</v>
      </c>
      <c r="I475" s="61">
        <f t="array" ref="I475">if(B475&lt;55, if(YEAR(A475)=2025,XLOOKUP(B475,Lookup!$F$3:$F$10,Lookup!$H$3:$H$10,,1)*G475, XLOOKUP(B475,Lookup!$F$14:$F$21,Lookup!$H$14:$H$21,,1)*G475),0)</f>
        <v>0</v>
      </c>
      <c r="J475" s="61">
        <f t="array" ref="J475">if(YEAR(A475)=2025,XLOOKUP(B475,Lookup!$F$3:$F$10,Lookup!$I$3:$I$10,,1)*G475, XLOOKUP(B475,Lookup!$F$14:$F$21,Lookup!$I$14:$I$21,,1)*G475)</f>
        <v>0</v>
      </c>
      <c r="K475" s="61">
        <f t="array" ref="K475">if(B475&gt;54, if(YEAR(A475)=2025,XLOOKUP(B475,Lookup!$F$3:$F$10,Lookup!$H$3:$H$10,,1)*G475, XLOOKUP(B475,Lookup!$F$14:$F$21,Lookup!$H$14:$H$21,,1)*G475),0)</f>
        <v>0</v>
      </c>
      <c r="L475" s="62">
        <f>IF(and(A475&lt;questions!$C$19,questions!$C$18="yes"),questions!$C$20,0)</f>
        <v>0</v>
      </c>
      <c r="M475" s="63">
        <f>(Y474+H475)*Lookup!A$26/12</f>
        <v>2093.024864</v>
      </c>
      <c r="N475" s="63">
        <f>if(B475&lt;55, (Z474+I475)*Lookup!B$26/12, (AB474+K475)*Lookup!B$26/12)</f>
        <v>3262.518471</v>
      </c>
      <c r="O475" s="63">
        <f>(AA474+J475)*Lookup!C$26/12</f>
        <v>940.3700287</v>
      </c>
      <c r="P475" s="63">
        <f t="shared" si="8"/>
        <v>14651.17405</v>
      </c>
      <c r="Q475" s="63">
        <f t="shared" si="4"/>
        <v>22837.6293</v>
      </c>
      <c r="R475" s="63">
        <f t="shared" si="5"/>
        <v>6582.590201</v>
      </c>
      <c r="S475" s="64">
        <f t="shared" si="9"/>
        <v>33.33333333</v>
      </c>
      <c r="T475" s="64">
        <f t="shared" si="10"/>
        <v>41.66666667</v>
      </c>
      <c r="U475" s="64">
        <f t="shared" si="11"/>
        <v>0</v>
      </c>
      <c r="V475" s="64">
        <f t="shared" ref="V475:X475" si="483">IF(year($A475)=year($A474), V474+S475, S475)</f>
        <v>233.3333333</v>
      </c>
      <c r="W475" s="64">
        <f t="shared" si="483"/>
        <v>291.6666667</v>
      </c>
      <c r="X475" s="64">
        <f t="shared" si="483"/>
        <v>0</v>
      </c>
      <c r="Y475" s="65">
        <f>IFS(
  B475&lt;55,
    MAX(
      Y474 + IF(MONTH(A475)=12, P475+V475, 0) + H475 - L475
      + MAX(0,
          IF(AA474 &gt;= VLOOKUP(YEAR(A475), Lookup!$Q:$R, 2),
            Z474 + IF(MONTH(A475)=12, Q475+W475, 0) + I475
              + AA474 + IF(MONTH(A475)=12, R475+X475, 0)
              - VLOOKUP(YEAR(A475), Lookup!$Q:$R, 2) + J475,
            Z474 + IF(MONTH(A475)=12, Q475+W475, 0) + I475
          ) - VLOOKUP(YEAR(A475), Lookup!$K:$M, 3)
        ),
    0),
  B475=55,
    IF(Z474&gt;=AD475,
      MAX(Y474 + IF(MONTH(A475)=12, P475+V475, 0) + H475 - L475, 0),
      MAX(MAX(0, Y474-(AD475-Z474)) + IF(MONTH(A475)=12, P475+V475, 0) + H475 - L475, 0)
    ),
  B475&gt;55,
    IF(AB474&gt;=$AH$7,
      MAX(Y474 + IF(MONTH(A475)=12, P475+V475, 0) + H475 - L475 + K475 + Z474, 0),
      MAX(Y474 + IF(MONTH(A475)=12, P475+V475, 0) + H475 - L475, 0)
    )
)</f>
        <v>1004651.935</v>
      </c>
      <c r="Z475" s="65">
        <f>IFS(
  B475&lt;55,
    MIN(
      IF(AA474 &gt;= VLOOKUP(YEAR(A475), Lookup!$Q:$R, 2),
        Z474 + IF(MONTH(A475)=12, Q475+W475, 0) + I475
          + AA474 + IF(MONTH(A475)=12, R475+X475, 0) - VLOOKUP(YEAR(A475), Lookup!$Q:$R, 2) + J475,
        Z474 + IF(MONTH(A475)=12, Q475+W475, 0) + I475
      ),
      VLOOKUP(YEAR(A475), Lookup!$K:$M, 3)
    ),
  B475=55,
    IF(Z474 &gt;= AD475, Z474 - AD475, 0),
  B475&gt;55, 0
)</f>
        <v>0</v>
      </c>
      <c r="AA475" s="65">
        <f>IFS(
  B475&lt;65,
    IF(AA474+J475 &lt; VLOOKUP(YEAR(A475), Lookup!$Q:$R, 2),
      AA474 + IF(MONTH(A475)=12, R474+X474, 0) + J475,
      MIN(
        AA474 + IF(MONTH(A475)=12, R474+X474, 0) + J475 ,
        VLOOKUP(YEAR(A475), Lookup!$Q:$R, 2)
      )
    ),
  B475&gt;=65,
    IF(AA474+J475 &lt; VLOOKUP(questions!$C$5, Lookup!$Q:$R, 2),
      AA474 + IF(MONTH(A475)=12, R474+X474, 0) + J475 ,
      MIN(
        AA474 + IF(MONTH(A475)=12, R474+X474, 0) + J475,
        VLOOKUP(questions!$C$5, Lookup!$Q:$R, 2)
      )
    )
)</f>
        <v>282111.0086</v>
      </c>
      <c r="AB475" s="65">
        <f t="shared" si="13"/>
        <v>978755.5413</v>
      </c>
      <c r="AC475" s="66">
        <f t="array" ref="AC475">IFS(B475&lt;66, XLOOKUP(year(A475),Lookup!$K$13:$K1000,Lookup!$L$13:$L1000,"missing",,1),B475&gt;65,XLOOKUP(questions!$C$5,Lookup!$K$13:$K1000,Lookup!$L$13:$L1000,"missing",,1))</f>
        <v>393675.3633</v>
      </c>
      <c r="AD475" s="66">
        <f t="array" ref="AD475">IFS(B475&lt;66, XLOOKUP(year(A475),Lookup!$K$13:$K1000,Lookup!$M$13:$M1000,"missing",,1),B475&gt;65, XLOOKUP(questions!$C$5,Lookup!$K$13:$K1000,Lookup!$M$13:$M1000,"missing",,1))</f>
        <v>787350.7266</v>
      </c>
      <c r="AE475" s="66">
        <f t="array" ref="AE475">IFS(B475&lt;66, XLOOKUP(year(A475),Lookup!$K$13:$K1000,Lookup!$N$13:$N1000,"missing",,1),B475&gt;65,XLOOKUP(questions!$C$5,Lookup!$K$13:$K1000,Lookup!$N$13:$N1000,"missing",,1))</f>
        <v>1574701.453</v>
      </c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</row>
    <row r="476">
      <c r="A476" s="55">
        <f t="shared" si="7"/>
        <v>60510</v>
      </c>
      <c r="B476" s="56">
        <f>round(YEARFRAC(EOMONTH(questions!$C$3, 0),A476,1),2)</f>
        <v>66.75</v>
      </c>
      <c r="C476" s="58">
        <f>IF(B476&lt;questions!$C$6,if(MONTH(A476)=1,C475*(1+questions!$C$12),C475),0)</f>
        <v>0</v>
      </c>
      <c r="D476" s="58">
        <f>IF(MONTH(A476)=12,C476*questions!$C$11,0)</f>
        <v>0</v>
      </c>
      <c r="E476" s="71">
        <f t="shared" si="2"/>
        <v>0</v>
      </c>
      <c r="F476" s="71">
        <f t="shared" si="3"/>
        <v>0</v>
      </c>
      <c r="G476" s="61">
        <f t="array" ref="G476">if(YEAR(A476)=2025,XLOOKUP(B476,Lookup!$A$3:$A$7,Lookup!$D$3:$D$7,,1)*SUM(E476:F476), XLOOKUP(B476,Lookup!$A$14:$A$18,Lookup!$D$14:$D$18,,1)*SUM(E476:F476))</f>
        <v>0</v>
      </c>
      <c r="H476" s="61">
        <f t="array" ref="H476">if(YEAR(A476)=2025,XLOOKUP(B476,Lookup!$F$3:$F$10,Lookup!$G$3:$G$10,,1)*G476, XLOOKUP(B476,Lookup!$F$14:$F$21,Lookup!$G$14:$G$21,,1)*G476)</f>
        <v>0</v>
      </c>
      <c r="I476" s="61">
        <f t="array" ref="I476">if(B476&lt;55, if(YEAR(A476)=2025,XLOOKUP(B476,Lookup!$F$3:$F$10,Lookup!$H$3:$H$10,,1)*G476, XLOOKUP(B476,Lookup!$F$14:$F$21,Lookup!$H$14:$H$21,,1)*G476),0)</f>
        <v>0</v>
      </c>
      <c r="J476" s="61">
        <f t="array" ref="J476">if(YEAR(A476)=2025,XLOOKUP(B476,Lookup!$F$3:$F$10,Lookup!$I$3:$I$10,,1)*G476, XLOOKUP(B476,Lookup!$F$14:$F$21,Lookup!$I$14:$I$21,,1)*G476)</f>
        <v>0</v>
      </c>
      <c r="K476" s="61">
        <f t="array" ref="K476">if(B476&gt;54, if(YEAR(A476)=2025,XLOOKUP(B476,Lookup!$F$3:$F$10,Lookup!$H$3:$H$10,,1)*G476, XLOOKUP(B476,Lookup!$F$14:$F$21,Lookup!$H$14:$H$21,,1)*G476),0)</f>
        <v>0</v>
      </c>
      <c r="L476" s="62">
        <f>IF(and(A476&lt;questions!$C$19,questions!$C$18="yes"),questions!$C$20,0)</f>
        <v>0</v>
      </c>
      <c r="M476" s="63">
        <f>(Y475+H476)*Lookup!A$26/12</f>
        <v>2093.024864</v>
      </c>
      <c r="N476" s="63">
        <f>if(B476&lt;55, (Z475+I476)*Lookup!B$26/12, (AB475+K476)*Lookup!B$26/12)</f>
        <v>3262.518471</v>
      </c>
      <c r="O476" s="63">
        <f>(AA475+J476)*Lookup!C$26/12</f>
        <v>940.3700287</v>
      </c>
      <c r="P476" s="63">
        <f t="shared" si="8"/>
        <v>16744.19891</v>
      </c>
      <c r="Q476" s="63">
        <f t="shared" si="4"/>
        <v>26100.14777</v>
      </c>
      <c r="R476" s="63">
        <f t="shared" si="5"/>
        <v>7522.960229</v>
      </c>
      <c r="S476" s="64">
        <f t="shared" si="9"/>
        <v>33.33333333</v>
      </c>
      <c r="T476" s="64">
        <f t="shared" si="10"/>
        <v>41.66666667</v>
      </c>
      <c r="U476" s="64">
        <f t="shared" si="11"/>
        <v>0</v>
      </c>
      <c r="V476" s="64">
        <f t="shared" ref="V476:X476" si="484">IF(year($A476)=year($A475), V475+S476, S476)</f>
        <v>266.6666667</v>
      </c>
      <c r="W476" s="64">
        <f t="shared" si="484"/>
        <v>333.3333333</v>
      </c>
      <c r="X476" s="64">
        <f t="shared" si="484"/>
        <v>0</v>
      </c>
      <c r="Y476" s="65">
        <f>IFS(
  B476&lt;55,
    MAX(
      Y475 + IF(MONTH(A476)=12, P476+V476, 0) + H476 - L476
      + MAX(0,
          IF(AA475 &gt;= VLOOKUP(YEAR(A476), Lookup!$Q:$R, 2),
            Z475 + IF(MONTH(A476)=12, Q476+W476, 0) + I476
              + AA475 + IF(MONTH(A476)=12, R476+X476, 0)
              - VLOOKUP(YEAR(A476), Lookup!$Q:$R, 2) + J476,
            Z475 + IF(MONTH(A476)=12, Q476+W476, 0) + I476
          ) - VLOOKUP(YEAR(A476), Lookup!$K:$M, 3)
        ),
    0),
  B476=55,
    IF(Z475&gt;=AD476,
      MAX(Y475 + IF(MONTH(A476)=12, P476+V476, 0) + H476 - L476, 0),
      MAX(MAX(0, Y475-(AD476-Z475)) + IF(MONTH(A476)=12, P476+V476, 0) + H476 - L476, 0)
    ),
  B476&gt;55,
    IF(AB475&gt;=$AH$7,
      MAX(Y475 + IF(MONTH(A476)=12, P476+V476, 0) + H476 - L476 + K476 + Z475, 0),
      MAX(Y475 + IF(MONTH(A476)=12, P476+V476, 0) + H476 - L476, 0)
    )
)</f>
        <v>1004651.935</v>
      </c>
      <c r="Z476" s="65">
        <f>IFS(
  B476&lt;55,
    MIN(
      IF(AA475 &gt;= VLOOKUP(YEAR(A476), Lookup!$Q:$R, 2),
        Z475 + IF(MONTH(A476)=12, Q476+W476, 0) + I476
          + AA475 + IF(MONTH(A476)=12, R476+X476, 0) - VLOOKUP(YEAR(A476), Lookup!$Q:$R, 2) + J476,
        Z475 + IF(MONTH(A476)=12, Q476+W476, 0) + I476
      ),
      VLOOKUP(YEAR(A476), Lookup!$K:$M, 3)
    ),
  B476=55,
    IF(Z475 &gt;= AD476, Z475 - AD476, 0),
  B476&gt;55, 0
)</f>
        <v>0</v>
      </c>
      <c r="AA476" s="65">
        <f>IFS(
  B476&lt;65,
    IF(AA475+J476 &lt; VLOOKUP(YEAR(A476), Lookup!$Q:$R, 2),
      AA475 + IF(MONTH(A476)=12, R475+X475, 0) + J476,
      MIN(
        AA475 + IF(MONTH(A476)=12, R475+X475, 0) + J476 ,
        VLOOKUP(YEAR(A476), Lookup!$Q:$R, 2)
      )
    ),
  B476&gt;=65,
    IF(AA475+J476 &lt; VLOOKUP(questions!$C$5, Lookup!$Q:$R, 2),
      AA475 + IF(MONTH(A476)=12, R475+X475, 0) + J476 ,
      MIN(
        AA475 + IF(MONTH(A476)=12, R475+X475, 0) + J476,
        VLOOKUP(questions!$C$5, Lookup!$Q:$R, 2)
      )
    )
)</f>
        <v>282111.0086</v>
      </c>
      <c r="AB476" s="65">
        <f t="shared" si="13"/>
        <v>978755.5413</v>
      </c>
      <c r="AC476" s="66">
        <f t="array" ref="AC476">IFS(B476&lt;66, XLOOKUP(year(A476),Lookup!$K$13:$K1000,Lookup!$L$13:$L1000,"missing",,1),B476&gt;65,XLOOKUP(questions!$C$5,Lookup!$K$13:$K1000,Lookup!$L$13:$L1000,"missing",,1))</f>
        <v>393675.3633</v>
      </c>
      <c r="AD476" s="66">
        <f t="array" ref="AD476">IFS(B476&lt;66, XLOOKUP(year(A476),Lookup!$K$13:$K1000,Lookup!$M$13:$M1000,"missing",,1),B476&gt;65, XLOOKUP(questions!$C$5,Lookup!$K$13:$K1000,Lookup!$M$13:$M1000,"missing",,1))</f>
        <v>787350.7266</v>
      </c>
      <c r="AE476" s="66">
        <f t="array" ref="AE476">IFS(B476&lt;66, XLOOKUP(year(A476),Lookup!$K$13:$K1000,Lookup!$N$13:$N1000,"missing",,1),B476&gt;65,XLOOKUP(questions!$C$5,Lookup!$K$13:$K1000,Lookup!$N$13:$N1000,"missing",,1))</f>
        <v>1574701.453</v>
      </c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</row>
    <row r="477">
      <c r="A477" s="55">
        <f t="shared" si="7"/>
        <v>60540</v>
      </c>
      <c r="B477" s="56">
        <f>round(YEARFRAC(EOMONTH(questions!$C$3, 0),A477,1),2)</f>
        <v>66.83</v>
      </c>
      <c r="C477" s="58">
        <f>IF(B477&lt;questions!$C$6,if(MONTH(A477)=1,C476*(1+questions!$C$12),C476),0)</f>
        <v>0</v>
      </c>
      <c r="D477" s="58">
        <f>IF(MONTH(A477)=12,C477*questions!$C$11,0)</f>
        <v>0</v>
      </c>
      <c r="E477" s="71">
        <f t="shared" si="2"/>
        <v>0</v>
      </c>
      <c r="F477" s="71">
        <f t="shared" si="3"/>
        <v>0</v>
      </c>
      <c r="G477" s="61">
        <f t="array" ref="G477">if(YEAR(A477)=2025,XLOOKUP(B477,Lookup!$A$3:$A$7,Lookup!$D$3:$D$7,,1)*SUM(E477:F477), XLOOKUP(B477,Lookup!$A$14:$A$18,Lookup!$D$14:$D$18,,1)*SUM(E477:F477))</f>
        <v>0</v>
      </c>
      <c r="H477" s="61">
        <f t="array" ref="H477">if(YEAR(A477)=2025,XLOOKUP(B477,Lookup!$F$3:$F$10,Lookup!$G$3:$G$10,,1)*G477, XLOOKUP(B477,Lookup!$F$14:$F$21,Lookup!$G$14:$G$21,,1)*G477)</f>
        <v>0</v>
      </c>
      <c r="I477" s="61">
        <f t="array" ref="I477">if(B477&lt;55, if(YEAR(A477)=2025,XLOOKUP(B477,Lookup!$F$3:$F$10,Lookup!$H$3:$H$10,,1)*G477, XLOOKUP(B477,Lookup!$F$14:$F$21,Lookup!$H$14:$H$21,,1)*G477),0)</f>
        <v>0</v>
      </c>
      <c r="J477" s="61">
        <f t="array" ref="J477">if(YEAR(A477)=2025,XLOOKUP(B477,Lookup!$F$3:$F$10,Lookup!$I$3:$I$10,,1)*G477, XLOOKUP(B477,Lookup!$F$14:$F$21,Lookup!$I$14:$I$21,,1)*G477)</f>
        <v>0</v>
      </c>
      <c r="K477" s="61">
        <f t="array" ref="K477">if(B477&gt;54, if(YEAR(A477)=2025,XLOOKUP(B477,Lookup!$F$3:$F$10,Lookup!$H$3:$H$10,,1)*G477, XLOOKUP(B477,Lookup!$F$14:$F$21,Lookup!$H$14:$H$21,,1)*G477),0)</f>
        <v>0</v>
      </c>
      <c r="L477" s="62">
        <f>IF(and(A477&lt;questions!$C$19,questions!$C$18="yes"),questions!$C$20,0)</f>
        <v>0</v>
      </c>
      <c r="M477" s="63">
        <f>(Y476+H477)*Lookup!A$26/12</f>
        <v>2093.024864</v>
      </c>
      <c r="N477" s="63">
        <f>if(B477&lt;55, (Z476+I477)*Lookup!B$26/12, (AB476+K477)*Lookup!B$26/12)</f>
        <v>3262.518471</v>
      </c>
      <c r="O477" s="63">
        <f>(AA476+J477)*Lookup!C$26/12</f>
        <v>940.3700287</v>
      </c>
      <c r="P477" s="63">
        <f t="shared" si="8"/>
        <v>18837.22377</v>
      </c>
      <c r="Q477" s="63">
        <f t="shared" si="4"/>
        <v>29362.66624</v>
      </c>
      <c r="R477" s="63">
        <f t="shared" si="5"/>
        <v>8463.330258</v>
      </c>
      <c r="S477" s="64">
        <f t="shared" si="9"/>
        <v>33.33333333</v>
      </c>
      <c r="T477" s="64">
        <f t="shared" si="10"/>
        <v>41.66666667</v>
      </c>
      <c r="U477" s="64">
        <f t="shared" si="11"/>
        <v>0</v>
      </c>
      <c r="V477" s="64">
        <f t="shared" ref="V477:X477" si="485">IF(year($A477)=year($A476), V476+S477, S477)</f>
        <v>300</v>
      </c>
      <c r="W477" s="64">
        <f t="shared" si="485"/>
        <v>375</v>
      </c>
      <c r="X477" s="64">
        <f t="shared" si="485"/>
        <v>0</v>
      </c>
      <c r="Y477" s="65">
        <f>IFS(
  B477&lt;55,
    MAX(
      Y476 + IF(MONTH(A477)=12, P477+V477, 0) + H477 - L477
      + MAX(0,
          IF(AA476 &gt;= VLOOKUP(YEAR(A477), Lookup!$Q:$R, 2),
            Z476 + IF(MONTH(A477)=12, Q477+W477, 0) + I477
              + AA476 + IF(MONTH(A477)=12, R477+X477, 0)
              - VLOOKUP(YEAR(A477), Lookup!$Q:$R, 2) + J477,
            Z476 + IF(MONTH(A477)=12, Q477+W477, 0) + I477
          ) - VLOOKUP(YEAR(A477), Lookup!$K:$M, 3)
        ),
    0),
  B477=55,
    IF(Z476&gt;=AD477,
      MAX(Y476 + IF(MONTH(A477)=12, P477+V477, 0) + H477 - L477, 0),
      MAX(MAX(0, Y476-(AD477-Z476)) + IF(MONTH(A477)=12, P477+V477, 0) + H477 - L477, 0)
    ),
  B477&gt;55,
    IF(AB476&gt;=$AH$7,
      MAX(Y476 + IF(MONTH(A477)=12, P477+V477, 0) + H477 - L477 + K477 + Z476, 0),
      MAX(Y476 + IF(MONTH(A477)=12, P477+V477, 0) + H477 - L477, 0)
    )
)</f>
        <v>1004651.935</v>
      </c>
      <c r="Z477" s="65">
        <f>IFS(
  B477&lt;55,
    MIN(
      IF(AA476 &gt;= VLOOKUP(YEAR(A477), Lookup!$Q:$R, 2),
        Z476 + IF(MONTH(A477)=12, Q477+W477, 0) + I477
          + AA476 + IF(MONTH(A477)=12, R477+X477, 0) - VLOOKUP(YEAR(A477), Lookup!$Q:$R, 2) + J477,
        Z476 + IF(MONTH(A477)=12, Q477+W477, 0) + I477
      ),
      VLOOKUP(YEAR(A477), Lookup!$K:$M, 3)
    ),
  B477=55,
    IF(Z476 &gt;= AD477, Z476 - AD477, 0),
  B477&gt;55, 0
)</f>
        <v>0</v>
      </c>
      <c r="AA477" s="65">
        <f>IFS(
  B477&lt;65,
    IF(AA476+J477 &lt; VLOOKUP(YEAR(A477), Lookup!$Q:$R, 2),
      AA476 + IF(MONTH(A477)=12, R476+X476, 0) + J477,
      MIN(
        AA476 + IF(MONTH(A477)=12, R476+X476, 0) + J477 ,
        VLOOKUP(YEAR(A477), Lookup!$Q:$R, 2)
      )
    ),
  B477&gt;=65,
    IF(AA476+J477 &lt; VLOOKUP(questions!$C$5, Lookup!$Q:$R, 2),
      AA476 + IF(MONTH(A477)=12, R476+X476, 0) + J477 ,
      MIN(
        AA476 + IF(MONTH(A477)=12, R476+X476, 0) + J477,
        VLOOKUP(questions!$C$5, Lookup!$Q:$R, 2)
      )
    )
)</f>
        <v>282111.0086</v>
      </c>
      <c r="AB477" s="65">
        <f t="shared" si="13"/>
        <v>978755.5413</v>
      </c>
      <c r="AC477" s="66">
        <f t="array" ref="AC477">IFS(B477&lt;66, XLOOKUP(year(A477),Lookup!$K$13:$K1000,Lookup!$L$13:$L1000,"missing",,1),B477&gt;65,XLOOKUP(questions!$C$5,Lookup!$K$13:$K1000,Lookup!$L$13:$L1000,"missing",,1))</f>
        <v>393675.3633</v>
      </c>
      <c r="AD477" s="66">
        <f t="array" ref="AD477">IFS(B477&lt;66, XLOOKUP(year(A477),Lookup!$K$13:$K1000,Lookup!$M$13:$M1000,"missing",,1),B477&gt;65, XLOOKUP(questions!$C$5,Lookup!$K$13:$K1000,Lookup!$M$13:$M1000,"missing",,1))</f>
        <v>787350.7266</v>
      </c>
      <c r="AE477" s="66">
        <f t="array" ref="AE477">IFS(B477&lt;66, XLOOKUP(year(A477),Lookup!$K$13:$K1000,Lookup!$N$13:$N1000,"missing",,1),B477&gt;65,XLOOKUP(questions!$C$5,Lookup!$K$13:$K1000,Lookup!$N$13:$N1000,"missing",,1))</f>
        <v>1574701.453</v>
      </c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</row>
    <row r="478">
      <c r="A478" s="55">
        <f t="shared" si="7"/>
        <v>60571</v>
      </c>
      <c r="B478" s="56">
        <f>round(YEARFRAC(EOMONTH(questions!$C$3, 0),A478,1),2)</f>
        <v>66.92</v>
      </c>
      <c r="C478" s="58">
        <f>IF(B478&lt;questions!$C$6,if(MONTH(A478)=1,C477*(1+questions!$C$12),C477),0)</f>
        <v>0</v>
      </c>
      <c r="D478" s="58">
        <f>IF(MONTH(A478)=12,C478*questions!$C$11,0)</f>
        <v>0</v>
      </c>
      <c r="E478" s="71">
        <f t="shared" si="2"/>
        <v>0</v>
      </c>
      <c r="F478" s="71">
        <f t="shared" si="3"/>
        <v>0</v>
      </c>
      <c r="G478" s="61">
        <f t="array" ref="G478">if(YEAR(A478)=2025,XLOOKUP(B478,Lookup!$A$3:$A$7,Lookup!$D$3:$D$7,,1)*SUM(E478:F478), XLOOKUP(B478,Lookup!$A$14:$A$18,Lookup!$D$14:$D$18,,1)*SUM(E478:F478))</f>
        <v>0</v>
      </c>
      <c r="H478" s="61">
        <f t="array" ref="H478">if(YEAR(A478)=2025,XLOOKUP(B478,Lookup!$F$3:$F$10,Lookup!$G$3:$G$10,,1)*G478, XLOOKUP(B478,Lookup!$F$14:$F$21,Lookup!$G$14:$G$21,,1)*G478)</f>
        <v>0</v>
      </c>
      <c r="I478" s="61">
        <f t="array" ref="I478">if(B478&lt;55, if(YEAR(A478)=2025,XLOOKUP(B478,Lookup!$F$3:$F$10,Lookup!$H$3:$H$10,,1)*G478, XLOOKUP(B478,Lookup!$F$14:$F$21,Lookup!$H$14:$H$21,,1)*G478),0)</f>
        <v>0</v>
      </c>
      <c r="J478" s="61">
        <f t="array" ref="J478">if(YEAR(A478)=2025,XLOOKUP(B478,Lookup!$F$3:$F$10,Lookup!$I$3:$I$10,,1)*G478, XLOOKUP(B478,Lookup!$F$14:$F$21,Lookup!$I$14:$I$21,,1)*G478)</f>
        <v>0</v>
      </c>
      <c r="K478" s="61">
        <f t="array" ref="K478">if(B478&gt;54, if(YEAR(A478)=2025,XLOOKUP(B478,Lookup!$F$3:$F$10,Lookup!$H$3:$H$10,,1)*G478, XLOOKUP(B478,Lookup!$F$14:$F$21,Lookup!$H$14:$H$21,,1)*G478),0)</f>
        <v>0</v>
      </c>
      <c r="L478" s="62">
        <f>IF(and(A478&lt;questions!$C$19,questions!$C$18="yes"),questions!$C$20,0)</f>
        <v>0</v>
      </c>
      <c r="M478" s="63">
        <f>(Y477+H478)*Lookup!A$26/12</f>
        <v>2093.024864</v>
      </c>
      <c r="N478" s="63">
        <f>if(B478&lt;55, (Z477+I478)*Lookup!B$26/12, (AB477+K478)*Lookup!B$26/12)</f>
        <v>3262.518471</v>
      </c>
      <c r="O478" s="63">
        <f>(AA477+J478)*Lookup!C$26/12</f>
        <v>940.3700287</v>
      </c>
      <c r="P478" s="63">
        <f t="shared" si="8"/>
        <v>20930.24864</v>
      </c>
      <c r="Q478" s="63">
        <f t="shared" si="4"/>
        <v>32625.18471</v>
      </c>
      <c r="R478" s="63">
        <f t="shared" si="5"/>
        <v>9403.700287</v>
      </c>
      <c r="S478" s="64">
        <f t="shared" si="9"/>
        <v>33.33333333</v>
      </c>
      <c r="T478" s="64">
        <f t="shared" si="10"/>
        <v>41.66666667</v>
      </c>
      <c r="U478" s="64">
        <f t="shared" si="11"/>
        <v>0</v>
      </c>
      <c r="V478" s="64">
        <f t="shared" ref="V478:X478" si="486">IF(year($A478)=year($A477), V477+S478, S478)</f>
        <v>333.3333333</v>
      </c>
      <c r="W478" s="64">
        <f t="shared" si="486"/>
        <v>416.6666667</v>
      </c>
      <c r="X478" s="64">
        <f t="shared" si="486"/>
        <v>0</v>
      </c>
      <c r="Y478" s="65">
        <f>IFS(
  B478&lt;55,
    MAX(
      Y477 + IF(MONTH(A478)=12, P478+V478, 0) + H478 - L478
      + MAX(0,
          IF(AA477 &gt;= VLOOKUP(YEAR(A478), Lookup!$Q:$R, 2),
            Z477 + IF(MONTH(A478)=12, Q478+W478, 0) + I478
              + AA477 + IF(MONTH(A478)=12, R478+X478, 0)
              - VLOOKUP(YEAR(A478), Lookup!$Q:$R, 2) + J478,
            Z477 + IF(MONTH(A478)=12, Q478+W478, 0) + I478
          ) - VLOOKUP(YEAR(A478), Lookup!$K:$M, 3)
        ),
    0),
  B478=55,
    IF(Z477&gt;=AD478,
      MAX(Y477 + IF(MONTH(A478)=12, P478+V478, 0) + H478 - L478, 0),
      MAX(MAX(0, Y477-(AD478-Z477)) + IF(MONTH(A478)=12, P478+V478, 0) + H478 - L478, 0)
    ),
  B478&gt;55,
    IF(AB477&gt;=$AH$7,
      MAX(Y477 + IF(MONTH(A478)=12, P478+V478, 0) + H478 - L478 + K478 + Z477, 0),
      MAX(Y477 + IF(MONTH(A478)=12, P478+V478, 0) + H478 - L478, 0)
    )
)</f>
        <v>1004651.935</v>
      </c>
      <c r="Z478" s="65">
        <f>IFS(
  B478&lt;55,
    MIN(
      IF(AA477 &gt;= VLOOKUP(YEAR(A478), Lookup!$Q:$R, 2),
        Z477 + IF(MONTH(A478)=12, Q478+W478, 0) + I478
          + AA477 + IF(MONTH(A478)=12, R478+X478, 0) - VLOOKUP(YEAR(A478), Lookup!$Q:$R, 2) + J478,
        Z477 + IF(MONTH(A478)=12, Q478+W478, 0) + I478
      ),
      VLOOKUP(YEAR(A478), Lookup!$K:$M, 3)
    ),
  B478=55,
    IF(Z477 &gt;= AD478, Z477 - AD478, 0),
  B478&gt;55, 0
)</f>
        <v>0</v>
      </c>
      <c r="AA478" s="65">
        <f>IFS(
  B478&lt;65,
    IF(AA477+J478 &lt; VLOOKUP(YEAR(A478), Lookup!$Q:$R, 2),
      AA477 + IF(MONTH(A478)=12, R477+X477, 0) + J478,
      MIN(
        AA477 + IF(MONTH(A478)=12, R477+X477, 0) + J478 ,
        VLOOKUP(YEAR(A478), Lookup!$Q:$R, 2)
      )
    ),
  B478&gt;=65,
    IF(AA477+J478 &lt; VLOOKUP(questions!$C$5, Lookup!$Q:$R, 2),
      AA477 + IF(MONTH(A478)=12, R477+X477, 0) + J478 ,
      MIN(
        AA477 + IF(MONTH(A478)=12, R477+X477, 0) + J478,
        VLOOKUP(questions!$C$5, Lookup!$Q:$R, 2)
      )
    )
)</f>
        <v>282111.0086</v>
      </c>
      <c r="AB478" s="65">
        <f t="shared" si="13"/>
        <v>978755.5413</v>
      </c>
      <c r="AC478" s="66">
        <f t="array" ref="AC478">IFS(B478&lt;66, XLOOKUP(year(A478),Lookup!$K$13:$K1000,Lookup!$L$13:$L1000,"missing",,1),B478&gt;65,XLOOKUP(questions!$C$5,Lookup!$K$13:$K1000,Lookup!$L$13:$L1000,"missing",,1))</f>
        <v>393675.3633</v>
      </c>
      <c r="AD478" s="66">
        <f t="array" ref="AD478">IFS(B478&lt;66, XLOOKUP(year(A478),Lookup!$K$13:$K1000,Lookup!$M$13:$M1000,"missing",,1),B478&gt;65, XLOOKUP(questions!$C$5,Lookup!$K$13:$K1000,Lookup!$M$13:$M1000,"missing",,1))</f>
        <v>787350.7266</v>
      </c>
      <c r="AE478" s="66">
        <f t="array" ref="AE478">IFS(B478&lt;66, XLOOKUP(year(A478),Lookup!$K$13:$K1000,Lookup!$N$13:$N1000,"missing",,1),B478&gt;65,XLOOKUP(questions!$C$5,Lookup!$K$13:$K1000,Lookup!$N$13:$N1000,"missing",,1))</f>
        <v>1574701.453</v>
      </c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</row>
    <row r="479">
      <c r="A479" s="55">
        <f t="shared" si="7"/>
        <v>60601</v>
      </c>
      <c r="B479" s="56">
        <f>round(YEARFRAC(EOMONTH(questions!$C$3, 0),A479,1),2)</f>
        <v>67</v>
      </c>
      <c r="C479" s="58">
        <f>IF(B479&lt;questions!$C$6,if(MONTH(A479)=1,C478*(1+questions!$C$12),C478),0)</f>
        <v>0</v>
      </c>
      <c r="D479" s="58">
        <f>IF(MONTH(A479)=12,C479*questions!$C$11,0)</f>
        <v>0</v>
      </c>
      <c r="E479" s="71">
        <f t="shared" si="2"/>
        <v>0</v>
      </c>
      <c r="F479" s="71">
        <f t="shared" si="3"/>
        <v>0</v>
      </c>
      <c r="G479" s="61">
        <f t="array" ref="G479">if(YEAR(A479)=2025,XLOOKUP(B479,Lookup!$A$3:$A$7,Lookup!$D$3:$D$7,,1)*SUM(E479:F479), XLOOKUP(B479,Lookup!$A$14:$A$18,Lookup!$D$14:$D$18,,1)*SUM(E479:F479))</f>
        <v>0</v>
      </c>
      <c r="H479" s="61">
        <f t="array" ref="H479">if(YEAR(A479)=2025,XLOOKUP(B479,Lookup!$F$3:$F$10,Lookup!$G$3:$G$10,,1)*G479, XLOOKUP(B479,Lookup!$F$14:$F$21,Lookup!$G$14:$G$21,,1)*G479)</f>
        <v>0</v>
      </c>
      <c r="I479" s="61">
        <f t="array" ref="I479">if(B479&lt;55, if(YEAR(A479)=2025,XLOOKUP(B479,Lookup!$F$3:$F$10,Lookup!$H$3:$H$10,,1)*G479, XLOOKUP(B479,Lookup!$F$14:$F$21,Lookup!$H$14:$H$21,,1)*G479),0)</f>
        <v>0</v>
      </c>
      <c r="J479" s="61">
        <f t="array" ref="J479">if(YEAR(A479)=2025,XLOOKUP(B479,Lookup!$F$3:$F$10,Lookup!$I$3:$I$10,,1)*G479, XLOOKUP(B479,Lookup!$F$14:$F$21,Lookup!$I$14:$I$21,,1)*G479)</f>
        <v>0</v>
      </c>
      <c r="K479" s="61">
        <f t="array" ref="K479">if(B479&gt;54, if(YEAR(A479)=2025,XLOOKUP(B479,Lookup!$F$3:$F$10,Lookup!$H$3:$H$10,,1)*G479, XLOOKUP(B479,Lookup!$F$14:$F$21,Lookup!$H$14:$H$21,,1)*G479),0)</f>
        <v>0</v>
      </c>
      <c r="L479" s="62">
        <f>IF(and(A479&lt;questions!$C$19,questions!$C$18="yes"),questions!$C$20,0)</f>
        <v>0</v>
      </c>
      <c r="M479" s="63">
        <f>(Y478+H479)*Lookup!A$26/12</f>
        <v>2093.024864</v>
      </c>
      <c r="N479" s="63">
        <f>if(B479&lt;55, (Z478+I479)*Lookup!B$26/12, (AB478+K479)*Lookup!B$26/12)</f>
        <v>3262.518471</v>
      </c>
      <c r="O479" s="63">
        <f>(AA478+J479)*Lookup!C$26/12</f>
        <v>940.3700287</v>
      </c>
      <c r="P479" s="63">
        <f t="shared" si="8"/>
        <v>23023.2735</v>
      </c>
      <c r="Q479" s="63">
        <f t="shared" si="4"/>
        <v>35887.70318</v>
      </c>
      <c r="R479" s="63">
        <f t="shared" si="5"/>
        <v>10344.07032</v>
      </c>
      <c r="S479" s="64">
        <f t="shared" si="9"/>
        <v>33.33333333</v>
      </c>
      <c r="T479" s="64">
        <f t="shared" si="10"/>
        <v>41.66666667</v>
      </c>
      <c r="U479" s="64">
        <f t="shared" si="11"/>
        <v>0</v>
      </c>
      <c r="V479" s="64">
        <f t="shared" ref="V479:X479" si="487">IF(year($A479)=year($A478), V478+S479, S479)</f>
        <v>366.6666667</v>
      </c>
      <c r="W479" s="64">
        <f t="shared" si="487"/>
        <v>458.3333333</v>
      </c>
      <c r="X479" s="64">
        <f t="shared" si="487"/>
        <v>0</v>
      </c>
      <c r="Y479" s="65">
        <f>IFS(
  B479&lt;55,
    MAX(
      Y478 + IF(MONTH(A479)=12, P479+V479, 0) + H479 - L479
      + MAX(0,
          IF(AA478 &gt;= VLOOKUP(YEAR(A479), Lookup!$Q:$R, 2),
            Z478 + IF(MONTH(A479)=12, Q479+W479, 0) + I479
              + AA478 + IF(MONTH(A479)=12, R479+X479, 0)
              - VLOOKUP(YEAR(A479), Lookup!$Q:$R, 2) + J479,
            Z478 + IF(MONTH(A479)=12, Q479+W479, 0) + I479
          ) - VLOOKUP(YEAR(A479), Lookup!$K:$M, 3)
        ),
    0),
  B479=55,
    IF(Z478&gt;=AD479,
      MAX(Y478 + IF(MONTH(A479)=12, P479+V479, 0) + H479 - L479, 0),
      MAX(MAX(0, Y478-(AD479-Z478)) + IF(MONTH(A479)=12, P479+V479, 0) + H479 - L479, 0)
    ),
  B479&gt;55,
    IF(AB478&gt;=$AH$7,
      MAX(Y478 + IF(MONTH(A479)=12, P479+V479, 0) + H479 - L479 + K479 + Z478, 0),
      MAX(Y478 + IF(MONTH(A479)=12, P479+V479, 0) + H479 - L479, 0)
    )
)</f>
        <v>1004651.935</v>
      </c>
      <c r="Z479" s="65">
        <f>IFS(
  B479&lt;55,
    MIN(
      IF(AA478 &gt;= VLOOKUP(YEAR(A479), Lookup!$Q:$R, 2),
        Z478 + IF(MONTH(A479)=12, Q479+W479, 0) + I479
          + AA478 + IF(MONTH(A479)=12, R479+X479, 0) - VLOOKUP(YEAR(A479), Lookup!$Q:$R, 2) + J479,
        Z478 + IF(MONTH(A479)=12, Q479+W479, 0) + I479
      ),
      VLOOKUP(YEAR(A479), Lookup!$K:$M, 3)
    ),
  B479=55,
    IF(Z478 &gt;= AD479, Z478 - AD479, 0),
  B479&gt;55, 0
)</f>
        <v>0</v>
      </c>
      <c r="AA479" s="65">
        <f>IFS(
  B479&lt;65,
    IF(AA478+J479 &lt; VLOOKUP(YEAR(A479), Lookup!$Q:$R, 2),
      AA478 + IF(MONTH(A479)=12, R478+X478, 0) + J479,
      MIN(
        AA478 + IF(MONTH(A479)=12, R478+X478, 0) + J479 ,
        VLOOKUP(YEAR(A479), Lookup!$Q:$R, 2)
      )
    ),
  B479&gt;=65,
    IF(AA478+J479 &lt; VLOOKUP(questions!$C$5, Lookup!$Q:$R, 2),
      AA478 + IF(MONTH(A479)=12, R478+X478, 0) + J479 ,
      MIN(
        AA478 + IF(MONTH(A479)=12, R478+X478, 0) + J479,
        VLOOKUP(questions!$C$5, Lookup!$Q:$R, 2)
      )
    )
)</f>
        <v>282111.0086</v>
      </c>
      <c r="AB479" s="65">
        <f t="shared" si="13"/>
        <v>978755.5413</v>
      </c>
      <c r="AC479" s="66">
        <f t="array" ref="AC479">IFS(B479&lt;66, XLOOKUP(year(A479),Lookup!$K$13:$K1000,Lookup!$L$13:$L1000,"missing",,1),B479&gt;65,XLOOKUP(questions!$C$5,Lookup!$K$13:$K1000,Lookup!$L$13:$L1000,"missing",,1))</f>
        <v>393675.3633</v>
      </c>
      <c r="AD479" s="66">
        <f t="array" ref="AD479">IFS(B479&lt;66, XLOOKUP(year(A479),Lookup!$K$13:$K1000,Lookup!$M$13:$M1000,"missing",,1),B479&gt;65, XLOOKUP(questions!$C$5,Lookup!$K$13:$K1000,Lookup!$M$13:$M1000,"missing",,1))</f>
        <v>787350.7266</v>
      </c>
      <c r="AE479" s="66">
        <f t="array" ref="AE479">IFS(B479&lt;66, XLOOKUP(year(A479),Lookup!$K$13:$K1000,Lookup!$N$13:$N1000,"missing",,1),B479&gt;65,XLOOKUP(questions!$C$5,Lookup!$K$13:$K1000,Lookup!$N$13:$N1000,"missing",,1))</f>
        <v>1574701.453</v>
      </c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</row>
    <row r="480">
      <c r="A480" s="55">
        <f t="shared" si="7"/>
        <v>60632</v>
      </c>
      <c r="B480" s="56">
        <f>round(YEARFRAC(EOMONTH(questions!$C$3, 0),A480,1),2)</f>
        <v>67.08</v>
      </c>
      <c r="C480" s="58">
        <f>IF(B480&lt;questions!$C$6,if(MONTH(A480)=1,C479*(1+questions!$C$12),C479),0)</f>
        <v>0</v>
      </c>
      <c r="D480" s="58">
        <f>IF(MONTH(A480)=12,C480*questions!$C$11,0)</f>
        <v>0</v>
      </c>
      <c r="E480" s="71">
        <f t="shared" si="2"/>
        <v>0</v>
      </c>
      <c r="F480" s="71">
        <f t="shared" si="3"/>
        <v>0</v>
      </c>
      <c r="G480" s="61">
        <f t="array" ref="G480">if(YEAR(A480)=2025,XLOOKUP(B480,Lookup!$A$3:$A$7,Lookup!$D$3:$D$7,,1)*SUM(E480:F480), XLOOKUP(B480,Lookup!$A$14:$A$18,Lookup!$D$14:$D$18,,1)*SUM(E480:F480))</f>
        <v>0</v>
      </c>
      <c r="H480" s="61">
        <f t="array" ref="H480">if(YEAR(A480)=2025,XLOOKUP(B480,Lookup!$F$3:$F$10,Lookup!$G$3:$G$10,,1)*G480, XLOOKUP(B480,Lookup!$F$14:$F$21,Lookup!$G$14:$G$21,,1)*G480)</f>
        <v>0</v>
      </c>
      <c r="I480" s="61">
        <f t="array" ref="I480">if(B480&lt;55, if(YEAR(A480)=2025,XLOOKUP(B480,Lookup!$F$3:$F$10,Lookup!$H$3:$H$10,,1)*G480, XLOOKUP(B480,Lookup!$F$14:$F$21,Lookup!$H$14:$H$21,,1)*G480),0)</f>
        <v>0</v>
      </c>
      <c r="J480" s="61">
        <f t="array" ref="J480">if(YEAR(A480)=2025,XLOOKUP(B480,Lookup!$F$3:$F$10,Lookup!$I$3:$I$10,,1)*G480, XLOOKUP(B480,Lookup!$F$14:$F$21,Lookup!$I$14:$I$21,,1)*G480)</f>
        <v>0</v>
      </c>
      <c r="K480" s="61">
        <f t="array" ref="K480">if(B480&gt;54, if(YEAR(A480)=2025,XLOOKUP(B480,Lookup!$F$3:$F$10,Lookup!$H$3:$H$10,,1)*G480, XLOOKUP(B480,Lookup!$F$14:$F$21,Lookup!$H$14:$H$21,,1)*G480),0)</f>
        <v>0</v>
      </c>
      <c r="L480" s="62">
        <f>IF(and(A480&lt;questions!$C$19,questions!$C$18="yes"),questions!$C$20,0)</f>
        <v>0</v>
      </c>
      <c r="M480" s="63">
        <f>(Y479+H480)*Lookup!A$26/12</f>
        <v>2093.024864</v>
      </c>
      <c r="N480" s="63">
        <f>if(B480&lt;55, (Z479+I480)*Lookup!B$26/12, (AB479+K480)*Lookup!B$26/12)</f>
        <v>3262.518471</v>
      </c>
      <c r="O480" s="63">
        <f>(AA479+J480)*Lookup!C$26/12</f>
        <v>940.3700287</v>
      </c>
      <c r="P480" s="63">
        <f t="shared" si="8"/>
        <v>25116.29836</v>
      </c>
      <c r="Q480" s="63">
        <f t="shared" si="4"/>
        <v>39150.22165</v>
      </c>
      <c r="R480" s="63">
        <f t="shared" si="5"/>
        <v>11284.44034</v>
      </c>
      <c r="S480" s="64">
        <f t="shared" si="9"/>
        <v>33.33333333</v>
      </c>
      <c r="T480" s="64">
        <f t="shared" si="10"/>
        <v>41.66666667</v>
      </c>
      <c r="U480" s="64">
        <f t="shared" si="11"/>
        <v>0</v>
      </c>
      <c r="V480" s="64">
        <f t="shared" ref="V480:X480" si="488">IF(year($A480)=year($A479), V479+S480, S480)</f>
        <v>400</v>
      </c>
      <c r="W480" s="64">
        <f t="shared" si="488"/>
        <v>500</v>
      </c>
      <c r="X480" s="64">
        <f t="shared" si="488"/>
        <v>0</v>
      </c>
      <c r="Y480" s="65">
        <f>IFS(
  B480&lt;55,
    MAX(
      Y479 + IF(MONTH(A480)=12, P480+V480, 0) + H480 - L480
      + MAX(0,
          IF(AA479 &gt;= VLOOKUP(YEAR(A480), Lookup!$Q:$R, 2),
            Z479 + IF(MONTH(A480)=12, Q480+W480, 0) + I480
              + AA479 + IF(MONTH(A480)=12, R480+X480, 0)
              - VLOOKUP(YEAR(A480), Lookup!$Q:$R, 2) + J480,
            Z479 + IF(MONTH(A480)=12, Q480+W480, 0) + I480
          ) - VLOOKUP(YEAR(A480), Lookup!$K:$M, 3)
        ),
    0),
  B480=55,
    IF(Z479&gt;=AD480,
      MAX(Y479 + IF(MONTH(A480)=12, P480+V480, 0) + H480 - L480, 0),
      MAX(MAX(0, Y479-(AD480-Z479)) + IF(MONTH(A480)=12, P480+V480, 0) + H480 - L480, 0)
    ),
  B480&gt;55,
    IF(AB479&gt;=$AH$7,
      MAX(Y479 + IF(MONTH(A480)=12, P480+V480, 0) + H480 - L480 + K480 + Z479, 0),
      MAX(Y479 + IF(MONTH(A480)=12, P480+V480, 0) + H480 - L480, 0)
    )
)</f>
        <v>1030168.233</v>
      </c>
      <c r="Z480" s="65">
        <f>IFS(
  B480&lt;55,
    MIN(
      IF(AA479 &gt;= VLOOKUP(YEAR(A480), Lookup!$Q:$R, 2),
        Z479 + IF(MONTH(A480)=12, Q480+W480, 0) + I480
          + AA479 + IF(MONTH(A480)=12, R480+X480, 0) - VLOOKUP(YEAR(A480), Lookup!$Q:$R, 2) + J480,
        Z479 + IF(MONTH(A480)=12, Q480+W480, 0) + I480
      ),
      VLOOKUP(YEAR(A480), Lookup!$K:$M, 3)
    ),
  B480=55,
    IF(Z479 &gt;= AD480, Z479 - AD480, 0),
  B480&gt;55, 0
)</f>
        <v>0</v>
      </c>
      <c r="AA480" s="65">
        <f>IFS(
  B480&lt;65,
    IF(AA479+J480 &lt; VLOOKUP(YEAR(A480), Lookup!$Q:$R, 2),
      AA479 + IF(MONTH(A480)=12, R479+X479, 0) + J480,
      MIN(
        AA479 + IF(MONTH(A480)=12, R479+X479, 0) + J480 ,
        VLOOKUP(YEAR(A480), Lookup!$Q:$R, 2)
      )
    ),
  B480&gt;=65,
    IF(AA479+J480 &lt; VLOOKUP(questions!$C$5, Lookup!$Q:$R, 2),
      AA479 + IF(MONTH(A480)=12, R479+X479, 0) + J480 ,
      MIN(
        AA479 + IF(MONTH(A480)=12, R479+X479, 0) + J480,
        VLOOKUP(questions!$C$5, Lookup!$Q:$R, 2)
      )
    )
)</f>
        <v>282111.0086</v>
      </c>
      <c r="AB480" s="65">
        <f t="shared" si="13"/>
        <v>1018405.763</v>
      </c>
      <c r="AC480" s="66">
        <f t="array" ref="AC480">IFS(B480&lt;66, XLOOKUP(year(A480),Lookup!$K$13:$K1000,Lookup!$L$13:$L1000,"missing",,1),B480&gt;65,XLOOKUP(questions!$C$5,Lookup!$K$13:$K1000,Lookup!$L$13:$L1000,"missing",,1))</f>
        <v>393675.3633</v>
      </c>
      <c r="AD480" s="66">
        <f t="array" ref="AD480">IFS(B480&lt;66, XLOOKUP(year(A480),Lookup!$K$13:$K1000,Lookup!$M$13:$M1000,"missing",,1),B480&gt;65, XLOOKUP(questions!$C$5,Lookup!$K$13:$K1000,Lookup!$M$13:$M1000,"missing",,1))</f>
        <v>787350.7266</v>
      </c>
      <c r="AE480" s="66">
        <f t="array" ref="AE480">IFS(B480&lt;66, XLOOKUP(year(A480),Lookup!$K$13:$K1000,Lookup!$N$13:$N1000,"missing",,1),B480&gt;65,XLOOKUP(questions!$C$5,Lookup!$K$13:$K1000,Lookup!$N$13:$N1000,"missing",,1))</f>
        <v>1574701.453</v>
      </c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</row>
    <row r="481">
      <c r="A481" s="55">
        <f t="shared" si="7"/>
        <v>60663</v>
      </c>
      <c r="B481" s="56">
        <f>round(YEARFRAC(EOMONTH(questions!$C$3, 0),A481,1),2)</f>
        <v>67.17</v>
      </c>
      <c r="C481" s="58">
        <f>IF(B481&lt;questions!$C$6,if(MONTH(A481)=1,C480*(1+questions!$C$12),C480),0)</f>
        <v>0</v>
      </c>
      <c r="D481" s="58">
        <f>IF(MONTH(A481)=12,C481*questions!$C$11,0)</f>
        <v>0</v>
      </c>
      <c r="E481" s="71">
        <f t="shared" si="2"/>
        <v>0</v>
      </c>
      <c r="F481" s="71">
        <f t="shared" si="3"/>
        <v>0</v>
      </c>
      <c r="G481" s="61">
        <f t="array" ref="G481">if(YEAR(A481)=2025,XLOOKUP(B481,Lookup!$A$3:$A$7,Lookup!$D$3:$D$7,,1)*SUM(E481:F481), XLOOKUP(B481,Lookup!$A$14:$A$18,Lookup!$D$14:$D$18,,1)*SUM(E481:F481))</f>
        <v>0</v>
      </c>
      <c r="H481" s="61">
        <f t="array" ref="H481">if(YEAR(A481)=2025,XLOOKUP(B481,Lookup!$F$3:$F$10,Lookup!$G$3:$G$10,,1)*G481, XLOOKUP(B481,Lookup!$F$14:$F$21,Lookup!$G$14:$G$21,,1)*G481)</f>
        <v>0</v>
      </c>
      <c r="I481" s="61">
        <f t="array" ref="I481">if(B481&lt;55, if(YEAR(A481)=2025,XLOOKUP(B481,Lookup!$F$3:$F$10,Lookup!$H$3:$H$10,,1)*G481, XLOOKUP(B481,Lookup!$F$14:$F$21,Lookup!$H$14:$H$21,,1)*G481),0)</f>
        <v>0</v>
      </c>
      <c r="J481" s="61">
        <f t="array" ref="J481">if(YEAR(A481)=2025,XLOOKUP(B481,Lookup!$F$3:$F$10,Lookup!$I$3:$I$10,,1)*G481, XLOOKUP(B481,Lookup!$F$14:$F$21,Lookup!$I$14:$I$21,,1)*G481)</f>
        <v>0</v>
      </c>
      <c r="K481" s="61">
        <f t="array" ref="K481">if(B481&gt;54, if(YEAR(A481)=2025,XLOOKUP(B481,Lookup!$F$3:$F$10,Lookup!$H$3:$H$10,,1)*G481, XLOOKUP(B481,Lookup!$F$14:$F$21,Lookup!$H$14:$H$21,,1)*G481),0)</f>
        <v>0</v>
      </c>
      <c r="L481" s="62">
        <f>IF(and(A481&lt;questions!$C$19,questions!$C$18="yes"),questions!$C$20,0)</f>
        <v>0</v>
      </c>
      <c r="M481" s="63">
        <f>(Y480+H481)*Lookup!A$26/12</f>
        <v>2146.183819</v>
      </c>
      <c r="N481" s="63">
        <f>if(B481&lt;55, (Z480+I481)*Lookup!B$26/12, (AB480+K481)*Lookup!B$26/12)</f>
        <v>3394.685877</v>
      </c>
      <c r="O481" s="63">
        <f>(AA480+J481)*Lookup!C$26/12</f>
        <v>940.3700287</v>
      </c>
      <c r="P481" s="63">
        <f t="shared" si="8"/>
        <v>2146.183819</v>
      </c>
      <c r="Q481" s="63">
        <f t="shared" si="4"/>
        <v>3394.685877</v>
      </c>
      <c r="R481" s="63">
        <f t="shared" si="5"/>
        <v>940.3700287</v>
      </c>
      <c r="S481" s="64">
        <f t="shared" si="9"/>
        <v>33.33333333</v>
      </c>
      <c r="T481" s="64">
        <f t="shared" si="10"/>
        <v>41.66666667</v>
      </c>
      <c r="U481" s="64">
        <f t="shared" si="11"/>
        <v>0</v>
      </c>
      <c r="V481" s="64">
        <f t="shared" ref="V481:X481" si="489">IF(year($A481)=year($A480), V480+S481, S481)</f>
        <v>33.33333333</v>
      </c>
      <c r="W481" s="64">
        <f t="shared" si="489"/>
        <v>41.66666667</v>
      </c>
      <c r="X481" s="64">
        <f t="shared" si="489"/>
        <v>0</v>
      </c>
      <c r="Y481" s="65">
        <f>IFS(
  B481&lt;55,
    MAX(
      Y480 + IF(MONTH(A481)=12, P481+V481, 0) + H481 - L481
      + MAX(0,
          IF(AA480 &gt;= VLOOKUP(YEAR(A481), Lookup!$Q:$R, 2),
            Z480 + IF(MONTH(A481)=12, Q481+W481, 0) + I481
              + AA480 + IF(MONTH(A481)=12, R481+X481, 0)
              - VLOOKUP(YEAR(A481), Lookup!$Q:$R, 2) + J481,
            Z480 + IF(MONTH(A481)=12, Q481+W481, 0) + I481
          ) - VLOOKUP(YEAR(A481), Lookup!$K:$M, 3)
        ),
    0),
  B481=55,
    IF(Z480&gt;=AD481,
      MAX(Y480 + IF(MONTH(A481)=12, P481+V481, 0) + H481 - L481, 0),
      MAX(MAX(0, Y480-(AD481-Z480)) + IF(MONTH(A481)=12, P481+V481, 0) + H481 - L481, 0)
    ),
  B481&gt;55,
    IF(AB480&gt;=$AH$7,
      MAX(Y480 + IF(MONTH(A481)=12, P481+V481, 0) + H481 - L481 + K481 + Z480, 0),
      MAX(Y480 + IF(MONTH(A481)=12, P481+V481, 0) + H481 - L481, 0)
    )
)</f>
        <v>1030168.233</v>
      </c>
      <c r="Z481" s="65">
        <f>IFS(
  B481&lt;55,
    MIN(
      IF(AA480 &gt;= VLOOKUP(YEAR(A481), Lookup!$Q:$R, 2),
        Z480 + IF(MONTH(A481)=12, Q481+W481, 0) + I481
          + AA480 + IF(MONTH(A481)=12, R481+X481, 0) - VLOOKUP(YEAR(A481), Lookup!$Q:$R, 2) + J481,
        Z480 + IF(MONTH(A481)=12, Q481+W481, 0) + I481
      ),
      VLOOKUP(YEAR(A481), Lookup!$K:$M, 3)
    ),
  B481=55,
    IF(Z480 &gt;= AD481, Z480 - AD481, 0),
  B481&gt;55, 0
)</f>
        <v>0</v>
      </c>
      <c r="AA481" s="65">
        <f>IFS(
  B481&lt;65,
    IF(AA480+J481 &lt; VLOOKUP(YEAR(A481), Lookup!$Q:$R, 2),
      AA480 + IF(MONTH(A481)=12, R480+X480, 0) + J481,
      MIN(
        AA480 + IF(MONTH(A481)=12, R480+X480, 0) + J481 ,
        VLOOKUP(YEAR(A481), Lookup!$Q:$R, 2)
      )
    ),
  B481&gt;=65,
    IF(AA480+J481 &lt; VLOOKUP(questions!$C$5, Lookup!$Q:$R, 2),
      AA480 + IF(MONTH(A481)=12, R480+X480, 0) + J481 ,
      MIN(
        AA480 + IF(MONTH(A481)=12, R480+X480, 0) + J481,
        VLOOKUP(questions!$C$5, Lookup!$Q:$R, 2)
      )
    )
)</f>
        <v>282111.0086</v>
      </c>
      <c r="AB481" s="65">
        <f t="shared" si="13"/>
        <v>1018405.763</v>
      </c>
      <c r="AC481" s="66">
        <f t="array" ref="AC481">IFS(B481&lt;66, XLOOKUP(year(A481),Lookup!$K$13:$K1000,Lookup!$L$13:$L1000,"missing",,1),B481&gt;65,XLOOKUP(questions!$C$5,Lookup!$K$13:$K1000,Lookup!$L$13:$L1000,"missing",,1))</f>
        <v>393675.3633</v>
      </c>
      <c r="AD481" s="66">
        <f t="array" ref="AD481">IFS(B481&lt;66, XLOOKUP(year(A481),Lookup!$K$13:$K1000,Lookup!$M$13:$M1000,"missing",,1),B481&gt;65, XLOOKUP(questions!$C$5,Lookup!$K$13:$K1000,Lookup!$M$13:$M1000,"missing",,1))</f>
        <v>787350.7266</v>
      </c>
      <c r="AE481" s="66">
        <f t="array" ref="AE481">IFS(B481&lt;66, XLOOKUP(year(A481),Lookup!$K$13:$K1000,Lookup!$N$13:$N1000,"missing",,1),B481&gt;65,XLOOKUP(questions!$C$5,Lookup!$K$13:$K1000,Lookup!$N$13:$N1000,"missing",,1))</f>
        <v>1574701.453</v>
      </c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</row>
    <row r="482">
      <c r="A482" s="55">
        <f t="shared" si="7"/>
        <v>60691</v>
      </c>
      <c r="B482" s="56">
        <f>round(YEARFRAC(EOMONTH(questions!$C$3, 0),A482,1),2)</f>
        <v>67.25</v>
      </c>
      <c r="C482" s="58">
        <f>IF(B482&lt;questions!$C$6,if(MONTH(A482)=1,C481*(1+questions!$C$12),C481),0)</f>
        <v>0</v>
      </c>
      <c r="D482" s="58">
        <f>IF(MONTH(A482)=12,C482*questions!$C$11,0)</f>
        <v>0</v>
      </c>
      <c r="E482" s="71">
        <f t="shared" si="2"/>
        <v>0</v>
      </c>
      <c r="F482" s="71">
        <f t="shared" si="3"/>
        <v>0</v>
      </c>
      <c r="G482" s="61">
        <f t="array" ref="G482">if(YEAR(A482)=2025,XLOOKUP(B482,Lookup!$A$3:$A$7,Lookup!$D$3:$D$7,,1)*SUM(E482:F482), XLOOKUP(B482,Lookup!$A$14:$A$18,Lookup!$D$14:$D$18,,1)*SUM(E482:F482))</f>
        <v>0</v>
      </c>
      <c r="H482" s="61">
        <f t="array" ref="H482">if(YEAR(A482)=2025,XLOOKUP(B482,Lookup!$F$3:$F$10,Lookup!$G$3:$G$10,,1)*G482, XLOOKUP(B482,Lookup!$F$14:$F$21,Lookup!$G$14:$G$21,,1)*G482)</f>
        <v>0</v>
      </c>
      <c r="I482" s="61">
        <f t="array" ref="I482">if(B482&lt;55, if(YEAR(A482)=2025,XLOOKUP(B482,Lookup!$F$3:$F$10,Lookup!$H$3:$H$10,,1)*G482, XLOOKUP(B482,Lookup!$F$14:$F$21,Lookup!$H$14:$H$21,,1)*G482),0)</f>
        <v>0</v>
      </c>
      <c r="J482" s="61">
        <f t="array" ref="J482">if(YEAR(A482)=2025,XLOOKUP(B482,Lookup!$F$3:$F$10,Lookup!$I$3:$I$10,,1)*G482, XLOOKUP(B482,Lookup!$F$14:$F$21,Lookup!$I$14:$I$21,,1)*G482)</f>
        <v>0</v>
      </c>
      <c r="K482" s="61">
        <f t="array" ref="K482">if(B482&gt;54, if(YEAR(A482)=2025,XLOOKUP(B482,Lookup!$F$3:$F$10,Lookup!$H$3:$H$10,,1)*G482, XLOOKUP(B482,Lookup!$F$14:$F$21,Lookup!$H$14:$H$21,,1)*G482),0)</f>
        <v>0</v>
      </c>
      <c r="L482" s="62">
        <f>IF(and(A482&lt;questions!$C$19,questions!$C$18="yes"),questions!$C$20,0)</f>
        <v>0</v>
      </c>
      <c r="M482" s="63">
        <f>(Y481+H482)*Lookup!A$26/12</f>
        <v>2146.183819</v>
      </c>
      <c r="N482" s="63">
        <f>if(B482&lt;55, (Z481+I482)*Lookup!B$26/12, (AB481+K482)*Lookup!B$26/12)</f>
        <v>3394.685877</v>
      </c>
      <c r="O482" s="63">
        <f>(AA481+J482)*Lookup!C$26/12</f>
        <v>940.3700287</v>
      </c>
      <c r="P482" s="63">
        <f t="shared" si="8"/>
        <v>4292.367637</v>
      </c>
      <c r="Q482" s="63">
        <f t="shared" si="4"/>
        <v>6789.371753</v>
      </c>
      <c r="R482" s="63">
        <f t="shared" si="5"/>
        <v>1880.740057</v>
      </c>
      <c r="S482" s="64">
        <f t="shared" si="9"/>
        <v>33.33333333</v>
      </c>
      <c r="T482" s="64">
        <f t="shared" si="10"/>
        <v>41.66666667</v>
      </c>
      <c r="U482" s="64">
        <f t="shared" si="11"/>
        <v>0</v>
      </c>
      <c r="V482" s="64">
        <f t="shared" ref="V482:X482" si="490">IF(year($A482)=year($A481), V481+S482, S482)</f>
        <v>66.66666667</v>
      </c>
      <c r="W482" s="64">
        <f t="shared" si="490"/>
        <v>83.33333333</v>
      </c>
      <c r="X482" s="64">
        <f t="shared" si="490"/>
        <v>0</v>
      </c>
      <c r="Y482" s="65">
        <f>IFS(
  B482&lt;55,
    MAX(
      Y481 + IF(MONTH(A482)=12, P482+V482, 0) + H482 - L482
      + MAX(0,
          IF(AA481 &gt;= VLOOKUP(YEAR(A482), Lookup!$Q:$R, 2),
            Z481 + IF(MONTH(A482)=12, Q482+W482, 0) + I482
              + AA481 + IF(MONTH(A482)=12, R482+X482, 0)
              - VLOOKUP(YEAR(A482), Lookup!$Q:$R, 2) + J482,
            Z481 + IF(MONTH(A482)=12, Q482+W482, 0) + I482
          ) - VLOOKUP(YEAR(A482), Lookup!$K:$M, 3)
        ),
    0),
  B482=55,
    IF(Z481&gt;=AD482,
      MAX(Y481 + IF(MONTH(A482)=12, P482+V482, 0) + H482 - L482, 0),
      MAX(MAX(0, Y481-(AD482-Z481)) + IF(MONTH(A482)=12, P482+V482, 0) + H482 - L482, 0)
    ),
  B482&gt;55,
    IF(AB481&gt;=$AH$7,
      MAX(Y481 + IF(MONTH(A482)=12, P482+V482, 0) + H482 - L482 + K482 + Z481, 0),
      MAX(Y481 + IF(MONTH(A482)=12, P482+V482, 0) + H482 - L482, 0)
    )
)</f>
        <v>1030168.233</v>
      </c>
      <c r="Z482" s="65">
        <f>IFS(
  B482&lt;55,
    MIN(
      IF(AA481 &gt;= VLOOKUP(YEAR(A482), Lookup!$Q:$R, 2),
        Z481 + IF(MONTH(A482)=12, Q482+W482, 0) + I482
          + AA481 + IF(MONTH(A482)=12, R482+X482, 0) - VLOOKUP(YEAR(A482), Lookup!$Q:$R, 2) + J482,
        Z481 + IF(MONTH(A482)=12, Q482+W482, 0) + I482
      ),
      VLOOKUP(YEAR(A482), Lookup!$K:$M, 3)
    ),
  B482=55,
    IF(Z481 &gt;= AD482, Z481 - AD482, 0),
  B482&gt;55, 0
)</f>
        <v>0</v>
      </c>
      <c r="AA482" s="65">
        <f>IFS(
  B482&lt;65,
    IF(AA481+J482 &lt; VLOOKUP(YEAR(A482), Lookup!$Q:$R, 2),
      AA481 + IF(MONTH(A482)=12, R481+X481, 0) + J482,
      MIN(
        AA481 + IF(MONTH(A482)=12, R481+X481, 0) + J482 ,
        VLOOKUP(YEAR(A482), Lookup!$Q:$R, 2)
      )
    ),
  B482&gt;=65,
    IF(AA481+J482 &lt; VLOOKUP(questions!$C$5, Lookup!$Q:$R, 2),
      AA481 + IF(MONTH(A482)=12, R481+X481, 0) + J482 ,
      MIN(
        AA481 + IF(MONTH(A482)=12, R481+X481, 0) + J482,
        VLOOKUP(questions!$C$5, Lookup!$Q:$R, 2)
      )
    )
)</f>
        <v>282111.0086</v>
      </c>
      <c r="AB482" s="65">
        <f t="shared" si="13"/>
        <v>1018405.763</v>
      </c>
      <c r="AC482" s="66">
        <f t="array" ref="AC482">IFS(B482&lt;66, XLOOKUP(year(A482),Lookup!$K$13:$K1000,Lookup!$L$13:$L1000,"missing",,1),B482&gt;65,XLOOKUP(questions!$C$5,Lookup!$K$13:$K1000,Lookup!$L$13:$L1000,"missing",,1))</f>
        <v>393675.3633</v>
      </c>
      <c r="AD482" s="66">
        <f t="array" ref="AD482">IFS(B482&lt;66, XLOOKUP(year(A482),Lookup!$K$13:$K1000,Lookup!$M$13:$M1000,"missing",,1),B482&gt;65, XLOOKUP(questions!$C$5,Lookup!$K$13:$K1000,Lookup!$M$13:$M1000,"missing",,1))</f>
        <v>787350.7266</v>
      </c>
      <c r="AE482" s="66">
        <f t="array" ref="AE482">IFS(B482&lt;66, XLOOKUP(year(A482),Lookup!$K$13:$K1000,Lookup!$N$13:$N1000,"missing",,1),B482&gt;65,XLOOKUP(questions!$C$5,Lookup!$K$13:$K1000,Lookup!$N$13:$N1000,"missing",,1))</f>
        <v>1574701.453</v>
      </c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</row>
    <row r="483">
      <c r="A483" s="55">
        <f t="shared" si="7"/>
        <v>60722</v>
      </c>
      <c r="B483" s="56">
        <f>round(YEARFRAC(EOMONTH(questions!$C$3, 0),A483,1),2)</f>
        <v>67.33</v>
      </c>
      <c r="C483" s="58">
        <f>IF(B483&lt;questions!$C$6,if(MONTH(A483)=1,C482*(1+questions!$C$12),C482),0)</f>
        <v>0</v>
      </c>
      <c r="D483" s="58">
        <f>IF(MONTH(A483)=12,C483*questions!$C$11,0)</f>
        <v>0</v>
      </c>
      <c r="E483" s="71">
        <f t="shared" si="2"/>
        <v>0</v>
      </c>
      <c r="F483" s="71">
        <f t="shared" si="3"/>
        <v>0</v>
      </c>
      <c r="G483" s="61">
        <f t="array" ref="G483">if(YEAR(A483)=2025,XLOOKUP(B483,Lookup!$A$3:$A$7,Lookup!$D$3:$D$7,,1)*SUM(E483:F483), XLOOKUP(B483,Lookup!$A$14:$A$18,Lookup!$D$14:$D$18,,1)*SUM(E483:F483))</f>
        <v>0</v>
      </c>
      <c r="H483" s="61">
        <f t="array" ref="H483">if(YEAR(A483)=2025,XLOOKUP(B483,Lookup!$F$3:$F$10,Lookup!$G$3:$G$10,,1)*G483, XLOOKUP(B483,Lookup!$F$14:$F$21,Lookup!$G$14:$G$21,,1)*G483)</f>
        <v>0</v>
      </c>
      <c r="I483" s="61">
        <f t="array" ref="I483">if(B483&lt;55, if(YEAR(A483)=2025,XLOOKUP(B483,Lookup!$F$3:$F$10,Lookup!$H$3:$H$10,,1)*G483, XLOOKUP(B483,Lookup!$F$14:$F$21,Lookup!$H$14:$H$21,,1)*G483),0)</f>
        <v>0</v>
      </c>
      <c r="J483" s="61">
        <f t="array" ref="J483">if(YEAR(A483)=2025,XLOOKUP(B483,Lookup!$F$3:$F$10,Lookup!$I$3:$I$10,,1)*G483, XLOOKUP(B483,Lookup!$F$14:$F$21,Lookup!$I$14:$I$21,,1)*G483)</f>
        <v>0</v>
      </c>
      <c r="K483" s="61">
        <f t="array" ref="K483">if(B483&gt;54, if(YEAR(A483)=2025,XLOOKUP(B483,Lookup!$F$3:$F$10,Lookup!$H$3:$H$10,,1)*G483, XLOOKUP(B483,Lookup!$F$14:$F$21,Lookup!$H$14:$H$21,,1)*G483),0)</f>
        <v>0</v>
      </c>
      <c r="L483" s="62">
        <f>IF(and(A483&lt;questions!$C$19,questions!$C$18="yes"),questions!$C$20,0)</f>
        <v>0</v>
      </c>
      <c r="M483" s="63">
        <f>(Y482+H483)*Lookup!A$26/12</f>
        <v>2146.183819</v>
      </c>
      <c r="N483" s="63">
        <f>if(B483&lt;55, (Z482+I483)*Lookup!B$26/12, (AB482+K483)*Lookup!B$26/12)</f>
        <v>3394.685877</v>
      </c>
      <c r="O483" s="63">
        <f>(AA482+J483)*Lookup!C$26/12</f>
        <v>940.3700287</v>
      </c>
      <c r="P483" s="63">
        <f t="shared" si="8"/>
        <v>6438.551456</v>
      </c>
      <c r="Q483" s="63">
        <f t="shared" si="4"/>
        <v>10184.05763</v>
      </c>
      <c r="R483" s="63">
        <f t="shared" si="5"/>
        <v>2821.110086</v>
      </c>
      <c r="S483" s="64">
        <f t="shared" si="9"/>
        <v>33.33333333</v>
      </c>
      <c r="T483" s="64">
        <f t="shared" si="10"/>
        <v>41.66666667</v>
      </c>
      <c r="U483" s="64">
        <f t="shared" si="11"/>
        <v>0</v>
      </c>
      <c r="V483" s="64">
        <f t="shared" ref="V483:X483" si="491">IF(year($A483)=year($A482), V482+S483, S483)</f>
        <v>100</v>
      </c>
      <c r="W483" s="64">
        <f t="shared" si="491"/>
        <v>125</v>
      </c>
      <c r="X483" s="64">
        <f t="shared" si="491"/>
        <v>0</v>
      </c>
      <c r="Y483" s="65">
        <f>IFS(
  B483&lt;55,
    MAX(
      Y482 + IF(MONTH(A483)=12, P483+V483, 0) + H483 - L483
      + MAX(0,
          IF(AA482 &gt;= VLOOKUP(YEAR(A483), Lookup!$Q:$R, 2),
            Z482 + IF(MONTH(A483)=12, Q483+W483, 0) + I483
              + AA482 + IF(MONTH(A483)=12, R483+X483, 0)
              - VLOOKUP(YEAR(A483), Lookup!$Q:$R, 2) + J483,
            Z482 + IF(MONTH(A483)=12, Q483+W483, 0) + I483
          ) - VLOOKUP(YEAR(A483), Lookup!$K:$M, 3)
        ),
    0),
  B483=55,
    IF(Z482&gt;=AD483,
      MAX(Y482 + IF(MONTH(A483)=12, P483+V483, 0) + H483 - L483, 0),
      MAX(MAX(0, Y482-(AD483-Z482)) + IF(MONTH(A483)=12, P483+V483, 0) + H483 - L483, 0)
    ),
  B483&gt;55,
    IF(AB482&gt;=$AH$7,
      MAX(Y482 + IF(MONTH(A483)=12, P483+V483, 0) + H483 - L483 + K483 + Z482, 0),
      MAX(Y482 + IF(MONTH(A483)=12, P483+V483, 0) + H483 - L483, 0)
    )
)</f>
        <v>1030168.233</v>
      </c>
      <c r="Z483" s="65">
        <f>IFS(
  B483&lt;55,
    MIN(
      IF(AA482 &gt;= VLOOKUP(YEAR(A483), Lookup!$Q:$R, 2),
        Z482 + IF(MONTH(A483)=12, Q483+W483, 0) + I483
          + AA482 + IF(MONTH(A483)=12, R483+X483, 0) - VLOOKUP(YEAR(A483), Lookup!$Q:$R, 2) + J483,
        Z482 + IF(MONTH(A483)=12, Q483+W483, 0) + I483
      ),
      VLOOKUP(YEAR(A483), Lookup!$K:$M, 3)
    ),
  B483=55,
    IF(Z482 &gt;= AD483, Z482 - AD483, 0),
  B483&gt;55, 0
)</f>
        <v>0</v>
      </c>
      <c r="AA483" s="65">
        <f>IFS(
  B483&lt;65,
    IF(AA482+J483 &lt; VLOOKUP(YEAR(A483), Lookup!$Q:$R, 2),
      AA482 + IF(MONTH(A483)=12, R482+X482, 0) + J483,
      MIN(
        AA482 + IF(MONTH(A483)=12, R482+X482, 0) + J483 ,
        VLOOKUP(YEAR(A483), Lookup!$Q:$R, 2)
      )
    ),
  B483&gt;=65,
    IF(AA482+J483 &lt; VLOOKUP(questions!$C$5, Lookup!$Q:$R, 2),
      AA482 + IF(MONTH(A483)=12, R482+X482, 0) + J483 ,
      MIN(
        AA482 + IF(MONTH(A483)=12, R482+X482, 0) + J483,
        VLOOKUP(questions!$C$5, Lookup!$Q:$R, 2)
      )
    )
)</f>
        <v>282111.0086</v>
      </c>
      <c r="AB483" s="65">
        <f t="shared" si="13"/>
        <v>1018405.763</v>
      </c>
      <c r="AC483" s="66">
        <f t="array" ref="AC483">IFS(B483&lt;66, XLOOKUP(year(A483),Lookup!$K$13:$K1000,Lookup!$L$13:$L1000,"missing",,1),B483&gt;65,XLOOKUP(questions!$C$5,Lookup!$K$13:$K1000,Lookup!$L$13:$L1000,"missing",,1))</f>
        <v>393675.3633</v>
      </c>
      <c r="AD483" s="66">
        <f t="array" ref="AD483">IFS(B483&lt;66, XLOOKUP(year(A483),Lookup!$K$13:$K1000,Lookup!$M$13:$M1000,"missing",,1),B483&gt;65, XLOOKUP(questions!$C$5,Lookup!$K$13:$K1000,Lookup!$M$13:$M1000,"missing",,1))</f>
        <v>787350.7266</v>
      </c>
      <c r="AE483" s="66">
        <f t="array" ref="AE483">IFS(B483&lt;66, XLOOKUP(year(A483),Lookup!$K$13:$K1000,Lookup!$N$13:$N1000,"missing",,1),B483&gt;65,XLOOKUP(questions!$C$5,Lookup!$K$13:$K1000,Lookup!$N$13:$N1000,"missing",,1))</f>
        <v>1574701.453</v>
      </c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</row>
    <row r="484">
      <c r="A484" s="55">
        <f t="shared" si="7"/>
        <v>60752</v>
      </c>
      <c r="B484" s="56">
        <f>round(YEARFRAC(EOMONTH(questions!$C$3, 0),A484,1),2)</f>
        <v>67.41</v>
      </c>
      <c r="C484" s="58">
        <f>IF(B484&lt;questions!$C$6,if(MONTH(A484)=1,C483*(1+questions!$C$12),C483),0)</f>
        <v>0</v>
      </c>
      <c r="D484" s="58">
        <f>IF(MONTH(A484)=12,C484*questions!$C$11,0)</f>
        <v>0</v>
      </c>
      <c r="E484" s="71">
        <f t="shared" si="2"/>
        <v>0</v>
      </c>
      <c r="F484" s="71">
        <f t="shared" si="3"/>
        <v>0</v>
      </c>
      <c r="G484" s="61">
        <f t="array" ref="G484">if(YEAR(A484)=2025,XLOOKUP(B484,Lookup!$A$3:$A$7,Lookup!$D$3:$D$7,,1)*SUM(E484:F484), XLOOKUP(B484,Lookup!$A$14:$A$18,Lookup!$D$14:$D$18,,1)*SUM(E484:F484))</f>
        <v>0</v>
      </c>
      <c r="H484" s="61">
        <f t="array" ref="H484">if(YEAR(A484)=2025,XLOOKUP(B484,Lookup!$F$3:$F$10,Lookup!$G$3:$G$10,,1)*G484, XLOOKUP(B484,Lookup!$F$14:$F$21,Lookup!$G$14:$G$21,,1)*G484)</f>
        <v>0</v>
      </c>
      <c r="I484" s="61">
        <f t="array" ref="I484">if(B484&lt;55, if(YEAR(A484)=2025,XLOOKUP(B484,Lookup!$F$3:$F$10,Lookup!$H$3:$H$10,,1)*G484, XLOOKUP(B484,Lookup!$F$14:$F$21,Lookup!$H$14:$H$21,,1)*G484),0)</f>
        <v>0</v>
      </c>
      <c r="J484" s="61">
        <f t="array" ref="J484">if(YEAR(A484)=2025,XLOOKUP(B484,Lookup!$F$3:$F$10,Lookup!$I$3:$I$10,,1)*G484, XLOOKUP(B484,Lookup!$F$14:$F$21,Lookup!$I$14:$I$21,,1)*G484)</f>
        <v>0</v>
      </c>
      <c r="K484" s="61">
        <f t="array" ref="K484">if(B484&gt;54, if(YEAR(A484)=2025,XLOOKUP(B484,Lookup!$F$3:$F$10,Lookup!$H$3:$H$10,,1)*G484, XLOOKUP(B484,Lookup!$F$14:$F$21,Lookup!$H$14:$H$21,,1)*G484),0)</f>
        <v>0</v>
      </c>
      <c r="L484" s="62">
        <f>IF(and(A484&lt;questions!$C$19,questions!$C$18="yes"),questions!$C$20,0)</f>
        <v>0</v>
      </c>
      <c r="M484" s="63">
        <f>(Y483+H484)*Lookup!A$26/12</f>
        <v>2146.183819</v>
      </c>
      <c r="N484" s="63">
        <f>if(B484&lt;55, (Z483+I484)*Lookup!B$26/12, (AB483+K484)*Lookup!B$26/12)</f>
        <v>3394.685877</v>
      </c>
      <c r="O484" s="63">
        <f>(AA483+J484)*Lookup!C$26/12</f>
        <v>940.3700287</v>
      </c>
      <c r="P484" s="63">
        <f t="shared" si="8"/>
        <v>8584.735275</v>
      </c>
      <c r="Q484" s="63">
        <f t="shared" si="4"/>
        <v>13578.74351</v>
      </c>
      <c r="R484" s="63">
        <f t="shared" si="5"/>
        <v>3761.480115</v>
      </c>
      <c r="S484" s="64">
        <f t="shared" si="9"/>
        <v>33.33333333</v>
      </c>
      <c r="T484" s="64">
        <f t="shared" si="10"/>
        <v>41.66666667</v>
      </c>
      <c r="U484" s="64">
        <f t="shared" si="11"/>
        <v>0</v>
      </c>
      <c r="V484" s="64">
        <f t="shared" ref="V484:X484" si="492">IF(year($A484)=year($A483), V483+S484, S484)</f>
        <v>133.3333333</v>
      </c>
      <c r="W484" s="64">
        <f t="shared" si="492"/>
        <v>166.6666667</v>
      </c>
      <c r="X484" s="64">
        <f t="shared" si="492"/>
        <v>0</v>
      </c>
      <c r="Y484" s="65">
        <f>IFS(
  B484&lt;55,
    MAX(
      Y483 + IF(MONTH(A484)=12, P484+V484, 0) + H484 - L484
      + MAX(0,
          IF(AA483 &gt;= VLOOKUP(YEAR(A484), Lookup!$Q:$R, 2),
            Z483 + IF(MONTH(A484)=12, Q484+W484, 0) + I484
              + AA483 + IF(MONTH(A484)=12, R484+X484, 0)
              - VLOOKUP(YEAR(A484), Lookup!$Q:$R, 2) + J484,
            Z483 + IF(MONTH(A484)=12, Q484+W484, 0) + I484
          ) - VLOOKUP(YEAR(A484), Lookup!$K:$M, 3)
        ),
    0),
  B484=55,
    IF(Z483&gt;=AD484,
      MAX(Y483 + IF(MONTH(A484)=12, P484+V484, 0) + H484 - L484, 0),
      MAX(MAX(0, Y483-(AD484-Z483)) + IF(MONTH(A484)=12, P484+V484, 0) + H484 - L484, 0)
    ),
  B484&gt;55,
    IF(AB483&gt;=$AH$7,
      MAX(Y483 + IF(MONTH(A484)=12, P484+V484, 0) + H484 - L484 + K484 + Z483, 0),
      MAX(Y483 + IF(MONTH(A484)=12, P484+V484, 0) + H484 - L484, 0)
    )
)</f>
        <v>1030168.233</v>
      </c>
      <c r="Z484" s="65">
        <f>IFS(
  B484&lt;55,
    MIN(
      IF(AA483 &gt;= VLOOKUP(YEAR(A484), Lookup!$Q:$R, 2),
        Z483 + IF(MONTH(A484)=12, Q484+W484, 0) + I484
          + AA483 + IF(MONTH(A484)=12, R484+X484, 0) - VLOOKUP(YEAR(A484), Lookup!$Q:$R, 2) + J484,
        Z483 + IF(MONTH(A484)=12, Q484+W484, 0) + I484
      ),
      VLOOKUP(YEAR(A484), Lookup!$K:$M, 3)
    ),
  B484=55,
    IF(Z483 &gt;= AD484, Z483 - AD484, 0),
  B484&gt;55, 0
)</f>
        <v>0</v>
      </c>
      <c r="AA484" s="65">
        <f>IFS(
  B484&lt;65,
    IF(AA483+J484 &lt; VLOOKUP(YEAR(A484), Lookup!$Q:$R, 2),
      AA483 + IF(MONTH(A484)=12, R483+X483, 0) + J484,
      MIN(
        AA483 + IF(MONTH(A484)=12, R483+X483, 0) + J484 ,
        VLOOKUP(YEAR(A484), Lookup!$Q:$R, 2)
      )
    ),
  B484&gt;=65,
    IF(AA483+J484 &lt; VLOOKUP(questions!$C$5, Lookup!$Q:$R, 2),
      AA483 + IF(MONTH(A484)=12, R483+X483, 0) + J484 ,
      MIN(
        AA483 + IF(MONTH(A484)=12, R483+X483, 0) + J484,
        VLOOKUP(questions!$C$5, Lookup!$Q:$R, 2)
      )
    )
)</f>
        <v>282111.0086</v>
      </c>
      <c r="AB484" s="65">
        <f t="shared" si="13"/>
        <v>1018405.763</v>
      </c>
      <c r="AC484" s="66">
        <f t="array" ref="AC484">IFS(B484&lt;66, XLOOKUP(year(A484),Lookup!$K$13:$K1000,Lookup!$L$13:$L1000,"missing",,1),B484&gt;65,XLOOKUP(questions!$C$5,Lookup!$K$13:$K1000,Lookup!$L$13:$L1000,"missing",,1))</f>
        <v>393675.3633</v>
      </c>
      <c r="AD484" s="66">
        <f t="array" ref="AD484">IFS(B484&lt;66, XLOOKUP(year(A484),Lookup!$K$13:$K1000,Lookup!$M$13:$M1000,"missing",,1),B484&gt;65, XLOOKUP(questions!$C$5,Lookup!$K$13:$K1000,Lookup!$M$13:$M1000,"missing",,1))</f>
        <v>787350.7266</v>
      </c>
      <c r="AE484" s="66">
        <f t="array" ref="AE484">IFS(B484&lt;66, XLOOKUP(year(A484),Lookup!$K$13:$K1000,Lookup!$N$13:$N1000,"missing",,1),B484&gt;65,XLOOKUP(questions!$C$5,Lookup!$K$13:$K1000,Lookup!$N$13:$N1000,"missing",,1))</f>
        <v>1574701.453</v>
      </c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</row>
    <row r="485">
      <c r="A485" s="55">
        <f t="shared" si="7"/>
        <v>60783</v>
      </c>
      <c r="B485" s="56">
        <f>round(YEARFRAC(EOMONTH(questions!$C$3, 0),A485,1),2)</f>
        <v>67.5</v>
      </c>
      <c r="C485" s="58">
        <f>IF(B485&lt;questions!$C$6,if(MONTH(A485)=1,C484*(1+questions!$C$12),C484),0)</f>
        <v>0</v>
      </c>
      <c r="D485" s="58">
        <f>IF(MONTH(A485)=12,C485*questions!$C$11,0)</f>
        <v>0</v>
      </c>
      <c r="E485" s="71">
        <f t="shared" si="2"/>
        <v>0</v>
      </c>
      <c r="F485" s="71">
        <f t="shared" si="3"/>
        <v>0</v>
      </c>
      <c r="G485" s="61">
        <f t="array" ref="G485">if(YEAR(A485)=2025,XLOOKUP(B485,Lookup!$A$3:$A$7,Lookup!$D$3:$D$7,,1)*SUM(E485:F485), XLOOKUP(B485,Lookup!$A$14:$A$18,Lookup!$D$14:$D$18,,1)*SUM(E485:F485))</f>
        <v>0</v>
      </c>
      <c r="H485" s="61">
        <f t="array" ref="H485">if(YEAR(A485)=2025,XLOOKUP(B485,Lookup!$F$3:$F$10,Lookup!$G$3:$G$10,,1)*G485, XLOOKUP(B485,Lookup!$F$14:$F$21,Lookup!$G$14:$G$21,,1)*G485)</f>
        <v>0</v>
      </c>
      <c r="I485" s="61">
        <f t="array" ref="I485">if(B485&lt;55, if(YEAR(A485)=2025,XLOOKUP(B485,Lookup!$F$3:$F$10,Lookup!$H$3:$H$10,,1)*G485, XLOOKUP(B485,Lookup!$F$14:$F$21,Lookup!$H$14:$H$21,,1)*G485),0)</f>
        <v>0</v>
      </c>
      <c r="J485" s="61">
        <f t="array" ref="J485">if(YEAR(A485)=2025,XLOOKUP(B485,Lookup!$F$3:$F$10,Lookup!$I$3:$I$10,,1)*G485, XLOOKUP(B485,Lookup!$F$14:$F$21,Lookup!$I$14:$I$21,,1)*G485)</f>
        <v>0</v>
      </c>
      <c r="K485" s="61">
        <f t="array" ref="K485">if(B485&gt;54, if(YEAR(A485)=2025,XLOOKUP(B485,Lookup!$F$3:$F$10,Lookup!$H$3:$H$10,,1)*G485, XLOOKUP(B485,Lookup!$F$14:$F$21,Lookup!$H$14:$H$21,,1)*G485),0)</f>
        <v>0</v>
      </c>
      <c r="L485" s="62">
        <f>IF(and(A485&lt;questions!$C$19,questions!$C$18="yes"),questions!$C$20,0)</f>
        <v>0</v>
      </c>
      <c r="M485" s="63">
        <f>(Y484+H485)*Lookup!A$26/12</f>
        <v>2146.183819</v>
      </c>
      <c r="N485" s="63">
        <f>if(B485&lt;55, (Z484+I485)*Lookup!B$26/12, (AB484+K485)*Lookup!B$26/12)</f>
        <v>3394.685877</v>
      </c>
      <c r="O485" s="63">
        <f>(AA484+J485)*Lookup!C$26/12</f>
        <v>940.3700287</v>
      </c>
      <c r="P485" s="63">
        <f t="shared" si="8"/>
        <v>10730.91909</v>
      </c>
      <c r="Q485" s="63">
        <f t="shared" si="4"/>
        <v>16973.42938</v>
      </c>
      <c r="R485" s="63">
        <f t="shared" si="5"/>
        <v>4701.850143</v>
      </c>
      <c r="S485" s="64">
        <f t="shared" si="9"/>
        <v>33.33333333</v>
      </c>
      <c r="T485" s="64">
        <f t="shared" si="10"/>
        <v>41.66666667</v>
      </c>
      <c r="U485" s="64">
        <f t="shared" si="11"/>
        <v>0</v>
      </c>
      <c r="V485" s="64">
        <f t="shared" ref="V485:X485" si="493">IF(year($A485)=year($A484), V484+S485, S485)</f>
        <v>166.6666667</v>
      </c>
      <c r="W485" s="64">
        <f t="shared" si="493"/>
        <v>208.3333333</v>
      </c>
      <c r="X485" s="64">
        <f t="shared" si="493"/>
        <v>0</v>
      </c>
      <c r="Y485" s="65">
        <f>IFS(
  B485&lt;55,
    MAX(
      Y484 + IF(MONTH(A485)=12, P485+V485, 0) + H485 - L485
      + MAX(0,
          IF(AA484 &gt;= VLOOKUP(YEAR(A485), Lookup!$Q:$R, 2),
            Z484 + IF(MONTH(A485)=12, Q485+W485, 0) + I485
              + AA484 + IF(MONTH(A485)=12, R485+X485, 0)
              - VLOOKUP(YEAR(A485), Lookup!$Q:$R, 2) + J485,
            Z484 + IF(MONTH(A485)=12, Q485+W485, 0) + I485
          ) - VLOOKUP(YEAR(A485), Lookup!$K:$M, 3)
        ),
    0),
  B485=55,
    IF(Z484&gt;=AD485,
      MAX(Y484 + IF(MONTH(A485)=12, P485+V485, 0) + H485 - L485, 0),
      MAX(MAX(0, Y484-(AD485-Z484)) + IF(MONTH(A485)=12, P485+V485, 0) + H485 - L485, 0)
    ),
  B485&gt;55,
    IF(AB484&gt;=$AH$7,
      MAX(Y484 + IF(MONTH(A485)=12, P485+V485, 0) + H485 - L485 + K485 + Z484, 0),
      MAX(Y484 + IF(MONTH(A485)=12, P485+V485, 0) + H485 - L485, 0)
    )
)</f>
        <v>1030168.233</v>
      </c>
      <c r="Z485" s="65">
        <f>IFS(
  B485&lt;55,
    MIN(
      IF(AA484 &gt;= VLOOKUP(YEAR(A485), Lookup!$Q:$R, 2),
        Z484 + IF(MONTH(A485)=12, Q485+W485, 0) + I485
          + AA484 + IF(MONTH(A485)=12, R485+X485, 0) - VLOOKUP(YEAR(A485), Lookup!$Q:$R, 2) + J485,
        Z484 + IF(MONTH(A485)=12, Q485+W485, 0) + I485
      ),
      VLOOKUP(YEAR(A485), Lookup!$K:$M, 3)
    ),
  B485=55,
    IF(Z484 &gt;= AD485, Z484 - AD485, 0),
  B485&gt;55, 0
)</f>
        <v>0</v>
      </c>
      <c r="AA485" s="65">
        <f>IFS(
  B485&lt;65,
    IF(AA484+J485 &lt; VLOOKUP(YEAR(A485), Lookup!$Q:$R, 2),
      AA484 + IF(MONTH(A485)=12, R484+X484, 0) + J485,
      MIN(
        AA484 + IF(MONTH(A485)=12, R484+X484, 0) + J485 ,
        VLOOKUP(YEAR(A485), Lookup!$Q:$R, 2)
      )
    ),
  B485&gt;=65,
    IF(AA484+J485 &lt; VLOOKUP(questions!$C$5, Lookup!$Q:$R, 2),
      AA484 + IF(MONTH(A485)=12, R484+X484, 0) + J485 ,
      MIN(
        AA484 + IF(MONTH(A485)=12, R484+X484, 0) + J485,
        VLOOKUP(questions!$C$5, Lookup!$Q:$R, 2)
      )
    )
)</f>
        <v>282111.0086</v>
      </c>
      <c r="AB485" s="65">
        <f t="shared" si="13"/>
        <v>1018405.763</v>
      </c>
      <c r="AC485" s="66">
        <f t="array" ref="AC485">IFS(B485&lt;66, XLOOKUP(year(A485),Lookup!$K$13:$K1000,Lookup!$L$13:$L1000,"missing",,1),B485&gt;65,XLOOKUP(questions!$C$5,Lookup!$K$13:$K1000,Lookup!$L$13:$L1000,"missing",,1))</f>
        <v>393675.3633</v>
      </c>
      <c r="AD485" s="66">
        <f t="array" ref="AD485">IFS(B485&lt;66, XLOOKUP(year(A485),Lookup!$K$13:$K1000,Lookup!$M$13:$M1000,"missing",,1),B485&gt;65, XLOOKUP(questions!$C$5,Lookup!$K$13:$K1000,Lookup!$M$13:$M1000,"missing",,1))</f>
        <v>787350.7266</v>
      </c>
      <c r="AE485" s="66">
        <f t="array" ref="AE485">IFS(B485&lt;66, XLOOKUP(year(A485),Lookup!$K$13:$K1000,Lookup!$N$13:$N1000,"missing",,1),B485&gt;65,XLOOKUP(questions!$C$5,Lookup!$K$13:$K1000,Lookup!$N$13:$N1000,"missing",,1))</f>
        <v>1574701.453</v>
      </c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</row>
    <row r="486">
      <c r="A486" s="55">
        <f t="shared" si="7"/>
        <v>60813</v>
      </c>
      <c r="B486" s="56">
        <f>round(YEARFRAC(EOMONTH(questions!$C$3, 0),A486,1),2)</f>
        <v>67.58</v>
      </c>
      <c r="C486" s="58">
        <f>IF(B486&lt;questions!$C$6,if(MONTH(A486)=1,C485*(1+questions!$C$12),C485),0)</f>
        <v>0</v>
      </c>
      <c r="D486" s="58">
        <f>IF(MONTH(A486)=12,C486*questions!$C$11,0)</f>
        <v>0</v>
      </c>
      <c r="E486" s="71">
        <f t="shared" si="2"/>
        <v>0</v>
      </c>
      <c r="F486" s="71">
        <f t="shared" si="3"/>
        <v>0</v>
      </c>
      <c r="G486" s="61">
        <f t="array" ref="G486">if(YEAR(A486)=2025,XLOOKUP(B486,Lookup!$A$3:$A$7,Lookup!$D$3:$D$7,,1)*SUM(E486:F486), XLOOKUP(B486,Lookup!$A$14:$A$18,Lookup!$D$14:$D$18,,1)*SUM(E486:F486))</f>
        <v>0</v>
      </c>
      <c r="H486" s="61">
        <f t="array" ref="H486">if(YEAR(A486)=2025,XLOOKUP(B486,Lookup!$F$3:$F$10,Lookup!$G$3:$G$10,,1)*G486, XLOOKUP(B486,Lookup!$F$14:$F$21,Lookup!$G$14:$G$21,,1)*G486)</f>
        <v>0</v>
      </c>
      <c r="I486" s="61">
        <f t="array" ref="I486">if(B486&lt;55, if(YEAR(A486)=2025,XLOOKUP(B486,Lookup!$F$3:$F$10,Lookup!$H$3:$H$10,,1)*G486, XLOOKUP(B486,Lookup!$F$14:$F$21,Lookup!$H$14:$H$21,,1)*G486),0)</f>
        <v>0</v>
      </c>
      <c r="J486" s="61">
        <f t="array" ref="J486">if(YEAR(A486)=2025,XLOOKUP(B486,Lookup!$F$3:$F$10,Lookup!$I$3:$I$10,,1)*G486, XLOOKUP(B486,Lookup!$F$14:$F$21,Lookup!$I$14:$I$21,,1)*G486)</f>
        <v>0</v>
      </c>
      <c r="K486" s="61">
        <f t="array" ref="K486">if(B486&gt;54, if(YEAR(A486)=2025,XLOOKUP(B486,Lookup!$F$3:$F$10,Lookup!$H$3:$H$10,,1)*G486, XLOOKUP(B486,Lookup!$F$14:$F$21,Lookup!$H$14:$H$21,,1)*G486),0)</f>
        <v>0</v>
      </c>
      <c r="L486" s="62">
        <f>IF(and(A486&lt;questions!$C$19,questions!$C$18="yes"),questions!$C$20,0)</f>
        <v>0</v>
      </c>
      <c r="M486" s="63">
        <f>(Y485+H486)*Lookup!A$26/12</f>
        <v>2146.183819</v>
      </c>
      <c r="N486" s="63">
        <f>if(B486&lt;55, (Z485+I486)*Lookup!B$26/12, (AB485+K486)*Lookup!B$26/12)</f>
        <v>3394.685877</v>
      </c>
      <c r="O486" s="63">
        <f>(AA485+J486)*Lookup!C$26/12</f>
        <v>940.3700287</v>
      </c>
      <c r="P486" s="63">
        <f t="shared" si="8"/>
        <v>12877.10291</v>
      </c>
      <c r="Q486" s="63">
        <f t="shared" si="4"/>
        <v>20368.11526</v>
      </c>
      <c r="R486" s="63">
        <f t="shared" si="5"/>
        <v>5642.220172</v>
      </c>
      <c r="S486" s="64">
        <f t="shared" si="9"/>
        <v>33.33333333</v>
      </c>
      <c r="T486" s="64">
        <f t="shared" si="10"/>
        <v>41.66666667</v>
      </c>
      <c r="U486" s="64">
        <f t="shared" si="11"/>
        <v>0</v>
      </c>
      <c r="V486" s="64">
        <f t="shared" ref="V486:X486" si="494">IF(year($A486)=year($A485), V485+S486, S486)</f>
        <v>200</v>
      </c>
      <c r="W486" s="64">
        <f t="shared" si="494"/>
        <v>250</v>
      </c>
      <c r="X486" s="64">
        <f t="shared" si="494"/>
        <v>0</v>
      </c>
      <c r="Y486" s="65">
        <f>IFS(
  B486&lt;55,
    MAX(
      Y485 + IF(MONTH(A486)=12, P486+V486, 0) + H486 - L486
      + MAX(0,
          IF(AA485 &gt;= VLOOKUP(YEAR(A486), Lookup!$Q:$R, 2),
            Z485 + IF(MONTH(A486)=12, Q486+W486, 0) + I486
              + AA485 + IF(MONTH(A486)=12, R486+X486, 0)
              - VLOOKUP(YEAR(A486), Lookup!$Q:$R, 2) + J486,
            Z485 + IF(MONTH(A486)=12, Q486+W486, 0) + I486
          ) - VLOOKUP(YEAR(A486), Lookup!$K:$M, 3)
        ),
    0),
  B486=55,
    IF(Z485&gt;=AD486,
      MAX(Y485 + IF(MONTH(A486)=12, P486+V486, 0) + H486 - L486, 0),
      MAX(MAX(0, Y485-(AD486-Z485)) + IF(MONTH(A486)=12, P486+V486, 0) + H486 - L486, 0)
    ),
  B486&gt;55,
    IF(AB485&gt;=$AH$7,
      MAX(Y485 + IF(MONTH(A486)=12, P486+V486, 0) + H486 - L486 + K486 + Z485, 0),
      MAX(Y485 + IF(MONTH(A486)=12, P486+V486, 0) + H486 - L486, 0)
    )
)</f>
        <v>1030168.233</v>
      </c>
      <c r="Z486" s="65">
        <f>IFS(
  B486&lt;55,
    MIN(
      IF(AA485 &gt;= VLOOKUP(YEAR(A486), Lookup!$Q:$R, 2),
        Z485 + IF(MONTH(A486)=12, Q486+W486, 0) + I486
          + AA485 + IF(MONTH(A486)=12, R486+X486, 0) - VLOOKUP(YEAR(A486), Lookup!$Q:$R, 2) + J486,
        Z485 + IF(MONTH(A486)=12, Q486+W486, 0) + I486
      ),
      VLOOKUP(YEAR(A486), Lookup!$K:$M, 3)
    ),
  B486=55,
    IF(Z485 &gt;= AD486, Z485 - AD486, 0),
  B486&gt;55, 0
)</f>
        <v>0</v>
      </c>
      <c r="AA486" s="65">
        <f>IFS(
  B486&lt;65,
    IF(AA485+J486 &lt; VLOOKUP(YEAR(A486), Lookup!$Q:$R, 2),
      AA485 + IF(MONTH(A486)=12, R485+X485, 0) + J486,
      MIN(
        AA485 + IF(MONTH(A486)=12, R485+X485, 0) + J486 ,
        VLOOKUP(YEAR(A486), Lookup!$Q:$R, 2)
      )
    ),
  B486&gt;=65,
    IF(AA485+J486 &lt; VLOOKUP(questions!$C$5, Lookup!$Q:$R, 2),
      AA485 + IF(MONTH(A486)=12, R485+X485, 0) + J486 ,
      MIN(
        AA485 + IF(MONTH(A486)=12, R485+X485, 0) + J486,
        VLOOKUP(questions!$C$5, Lookup!$Q:$R, 2)
      )
    )
)</f>
        <v>282111.0086</v>
      </c>
      <c r="AB486" s="65">
        <f t="shared" si="13"/>
        <v>1018405.763</v>
      </c>
      <c r="AC486" s="66">
        <f t="array" ref="AC486">IFS(B486&lt;66, XLOOKUP(year(A486),Lookup!$K$13:$K1000,Lookup!$L$13:$L1000,"missing",,1),B486&gt;65,XLOOKUP(questions!$C$5,Lookup!$K$13:$K1000,Lookup!$L$13:$L1000,"missing",,1))</f>
        <v>393675.3633</v>
      </c>
      <c r="AD486" s="66">
        <f t="array" ref="AD486">IFS(B486&lt;66, XLOOKUP(year(A486),Lookup!$K$13:$K1000,Lookup!$M$13:$M1000,"missing",,1),B486&gt;65, XLOOKUP(questions!$C$5,Lookup!$K$13:$K1000,Lookup!$M$13:$M1000,"missing",,1))</f>
        <v>787350.7266</v>
      </c>
      <c r="AE486" s="66">
        <f t="array" ref="AE486">IFS(B486&lt;66, XLOOKUP(year(A486),Lookup!$K$13:$K1000,Lookup!$N$13:$N1000,"missing",,1),B486&gt;65,XLOOKUP(questions!$C$5,Lookup!$K$13:$K1000,Lookup!$N$13:$N1000,"missing",,1))</f>
        <v>1574701.453</v>
      </c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</row>
    <row r="487">
      <c r="A487" s="55">
        <f t="shared" si="7"/>
        <v>60844</v>
      </c>
      <c r="B487" s="56">
        <f>round(YEARFRAC(EOMONTH(questions!$C$3, 0),A487,1),2)</f>
        <v>67.67</v>
      </c>
      <c r="C487" s="58">
        <f>IF(B487&lt;questions!$C$6,if(MONTH(A487)=1,C486*(1+questions!$C$12),C486),0)</f>
        <v>0</v>
      </c>
      <c r="D487" s="58">
        <f>IF(MONTH(A487)=12,C487*questions!$C$11,0)</f>
        <v>0</v>
      </c>
      <c r="E487" s="71">
        <f t="shared" si="2"/>
        <v>0</v>
      </c>
      <c r="F487" s="71">
        <f t="shared" si="3"/>
        <v>0</v>
      </c>
      <c r="G487" s="61">
        <f t="array" ref="G487">if(YEAR(A487)=2025,XLOOKUP(B487,Lookup!$A$3:$A$7,Lookup!$D$3:$D$7,,1)*SUM(E487:F487), XLOOKUP(B487,Lookup!$A$14:$A$18,Lookup!$D$14:$D$18,,1)*SUM(E487:F487))</f>
        <v>0</v>
      </c>
      <c r="H487" s="61">
        <f t="array" ref="H487">if(YEAR(A487)=2025,XLOOKUP(B487,Lookup!$F$3:$F$10,Lookup!$G$3:$G$10,,1)*G487, XLOOKUP(B487,Lookup!$F$14:$F$21,Lookup!$G$14:$G$21,,1)*G487)</f>
        <v>0</v>
      </c>
      <c r="I487" s="61">
        <f t="array" ref="I487">if(B487&lt;55, if(YEAR(A487)=2025,XLOOKUP(B487,Lookup!$F$3:$F$10,Lookup!$H$3:$H$10,,1)*G487, XLOOKUP(B487,Lookup!$F$14:$F$21,Lookup!$H$14:$H$21,,1)*G487),0)</f>
        <v>0</v>
      </c>
      <c r="J487" s="61">
        <f t="array" ref="J487">if(YEAR(A487)=2025,XLOOKUP(B487,Lookup!$F$3:$F$10,Lookup!$I$3:$I$10,,1)*G487, XLOOKUP(B487,Lookup!$F$14:$F$21,Lookup!$I$14:$I$21,,1)*G487)</f>
        <v>0</v>
      </c>
      <c r="K487" s="61">
        <f t="array" ref="K487">if(B487&gt;54, if(YEAR(A487)=2025,XLOOKUP(B487,Lookup!$F$3:$F$10,Lookup!$H$3:$H$10,,1)*G487, XLOOKUP(B487,Lookup!$F$14:$F$21,Lookup!$H$14:$H$21,,1)*G487),0)</f>
        <v>0</v>
      </c>
      <c r="L487" s="62">
        <f>IF(and(A487&lt;questions!$C$19,questions!$C$18="yes"),questions!$C$20,0)</f>
        <v>0</v>
      </c>
      <c r="M487" s="63">
        <f>(Y486+H487)*Lookup!A$26/12</f>
        <v>2146.183819</v>
      </c>
      <c r="N487" s="63">
        <f>if(B487&lt;55, (Z486+I487)*Lookup!B$26/12, (AB486+K487)*Lookup!B$26/12)</f>
        <v>3394.685877</v>
      </c>
      <c r="O487" s="63">
        <f>(AA486+J487)*Lookup!C$26/12</f>
        <v>940.3700287</v>
      </c>
      <c r="P487" s="63">
        <f t="shared" si="8"/>
        <v>15023.28673</v>
      </c>
      <c r="Q487" s="63">
        <f t="shared" si="4"/>
        <v>23762.80114</v>
      </c>
      <c r="R487" s="63">
        <f t="shared" si="5"/>
        <v>6582.590201</v>
      </c>
      <c r="S487" s="64">
        <f t="shared" si="9"/>
        <v>33.33333333</v>
      </c>
      <c r="T487" s="64">
        <f t="shared" si="10"/>
        <v>41.66666667</v>
      </c>
      <c r="U487" s="64">
        <f t="shared" si="11"/>
        <v>0</v>
      </c>
      <c r="V487" s="64">
        <f t="shared" ref="V487:X487" si="495">IF(year($A487)=year($A486), V486+S487, S487)</f>
        <v>233.3333333</v>
      </c>
      <c r="W487" s="64">
        <f t="shared" si="495"/>
        <v>291.6666667</v>
      </c>
      <c r="X487" s="64">
        <f t="shared" si="495"/>
        <v>0</v>
      </c>
      <c r="Y487" s="65">
        <f>IFS(
  B487&lt;55,
    MAX(
      Y486 + IF(MONTH(A487)=12, P487+V487, 0) + H487 - L487
      + MAX(0,
          IF(AA486 &gt;= VLOOKUP(YEAR(A487), Lookup!$Q:$R, 2),
            Z486 + IF(MONTH(A487)=12, Q487+W487, 0) + I487
              + AA486 + IF(MONTH(A487)=12, R487+X487, 0)
              - VLOOKUP(YEAR(A487), Lookup!$Q:$R, 2) + J487,
            Z486 + IF(MONTH(A487)=12, Q487+W487, 0) + I487
          ) - VLOOKUP(YEAR(A487), Lookup!$K:$M, 3)
        ),
    0),
  B487=55,
    IF(Z486&gt;=AD487,
      MAX(Y486 + IF(MONTH(A487)=12, P487+V487, 0) + H487 - L487, 0),
      MAX(MAX(0, Y486-(AD487-Z486)) + IF(MONTH(A487)=12, P487+V487, 0) + H487 - L487, 0)
    ),
  B487&gt;55,
    IF(AB486&gt;=$AH$7,
      MAX(Y486 + IF(MONTH(A487)=12, P487+V487, 0) + H487 - L487 + K487 + Z486, 0),
      MAX(Y486 + IF(MONTH(A487)=12, P487+V487, 0) + H487 - L487, 0)
    )
)</f>
        <v>1030168.233</v>
      </c>
      <c r="Z487" s="65">
        <f>IFS(
  B487&lt;55,
    MIN(
      IF(AA486 &gt;= VLOOKUP(YEAR(A487), Lookup!$Q:$R, 2),
        Z486 + IF(MONTH(A487)=12, Q487+W487, 0) + I487
          + AA486 + IF(MONTH(A487)=12, R487+X487, 0) - VLOOKUP(YEAR(A487), Lookup!$Q:$R, 2) + J487,
        Z486 + IF(MONTH(A487)=12, Q487+W487, 0) + I487
      ),
      VLOOKUP(YEAR(A487), Lookup!$K:$M, 3)
    ),
  B487=55,
    IF(Z486 &gt;= AD487, Z486 - AD487, 0),
  B487&gt;55, 0
)</f>
        <v>0</v>
      </c>
      <c r="AA487" s="65">
        <f>IFS(
  B487&lt;65,
    IF(AA486+J487 &lt; VLOOKUP(YEAR(A487), Lookup!$Q:$R, 2),
      AA486 + IF(MONTH(A487)=12, R486+X486, 0) + J487,
      MIN(
        AA486 + IF(MONTH(A487)=12, R486+X486, 0) + J487 ,
        VLOOKUP(YEAR(A487), Lookup!$Q:$R, 2)
      )
    ),
  B487&gt;=65,
    IF(AA486+J487 &lt; VLOOKUP(questions!$C$5, Lookup!$Q:$R, 2),
      AA486 + IF(MONTH(A487)=12, R486+X486, 0) + J487 ,
      MIN(
        AA486 + IF(MONTH(A487)=12, R486+X486, 0) + J487,
        VLOOKUP(questions!$C$5, Lookup!$Q:$R, 2)
      )
    )
)</f>
        <v>282111.0086</v>
      </c>
      <c r="AB487" s="65">
        <f t="shared" si="13"/>
        <v>1018405.763</v>
      </c>
      <c r="AC487" s="66">
        <f t="array" ref="AC487">IFS(B487&lt;66, XLOOKUP(year(A487),Lookup!$K$13:$K1000,Lookup!$L$13:$L1000,"missing",,1),B487&gt;65,XLOOKUP(questions!$C$5,Lookup!$K$13:$K1000,Lookup!$L$13:$L1000,"missing",,1))</f>
        <v>393675.3633</v>
      </c>
      <c r="AD487" s="66">
        <f t="array" ref="AD487">IFS(B487&lt;66, XLOOKUP(year(A487),Lookup!$K$13:$K1000,Lookup!$M$13:$M1000,"missing",,1),B487&gt;65, XLOOKUP(questions!$C$5,Lookup!$K$13:$K1000,Lookup!$M$13:$M1000,"missing",,1))</f>
        <v>787350.7266</v>
      </c>
      <c r="AE487" s="66">
        <f t="array" ref="AE487">IFS(B487&lt;66, XLOOKUP(year(A487),Lookup!$K$13:$K1000,Lookup!$N$13:$N1000,"missing",,1),B487&gt;65,XLOOKUP(questions!$C$5,Lookup!$K$13:$K1000,Lookup!$N$13:$N1000,"missing",,1))</f>
        <v>1574701.453</v>
      </c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</row>
    <row r="488">
      <c r="A488" s="55">
        <f t="shared" si="7"/>
        <v>60875</v>
      </c>
      <c r="B488" s="56">
        <f>round(YEARFRAC(EOMONTH(questions!$C$3, 0),A488,1),2)</f>
        <v>67.75</v>
      </c>
      <c r="C488" s="58">
        <f>IF(B488&lt;questions!$C$6,if(MONTH(A488)=1,C487*(1+questions!$C$12),C487),0)</f>
        <v>0</v>
      </c>
      <c r="D488" s="58">
        <f>IF(MONTH(A488)=12,C488*questions!$C$11,0)</f>
        <v>0</v>
      </c>
      <c r="E488" s="71">
        <f t="shared" si="2"/>
        <v>0</v>
      </c>
      <c r="F488" s="71">
        <f t="shared" si="3"/>
        <v>0</v>
      </c>
      <c r="G488" s="61">
        <f t="array" ref="G488">if(YEAR(A488)=2025,XLOOKUP(B488,Lookup!$A$3:$A$7,Lookup!$D$3:$D$7,,1)*SUM(E488:F488), XLOOKUP(B488,Lookup!$A$14:$A$18,Lookup!$D$14:$D$18,,1)*SUM(E488:F488))</f>
        <v>0</v>
      </c>
      <c r="H488" s="61">
        <f t="array" ref="H488">if(YEAR(A488)=2025,XLOOKUP(B488,Lookup!$F$3:$F$10,Lookup!$G$3:$G$10,,1)*G488, XLOOKUP(B488,Lookup!$F$14:$F$21,Lookup!$G$14:$G$21,,1)*G488)</f>
        <v>0</v>
      </c>
      <c r="I488" s="61">
        <f t="array" ref="I488">if(B488&lt;55, if(YEAR(A488)=2025,XLOOKUP(B488,Lookup!$F$3:$F$10,Lookup!$H$3:$H$10,,1)*G488, XLOOKUP(B488,Lookup!$F$14:$F$21,Lookup!$H$14:$H$21,,1)*G488),0)</f>
        <v>0</v>
      </c>
      <c r="J488" s="61">
        <f t="array" ref="J488">if(YEAR(A488)=2025,XLOOKUP(B488,Lookup!$F$3:$F$10,Lookup!$I$3:$I$10,,1)*G488, XLOOKUP(B488,Lookup!$F$14:$F$21,Lookup!$I$14:$I$21,,1)*G488)</f>
        <v>0</v>
      </c>
      <c r="K488" s="61">
        <f t="array" ref="K488">if(B488&gt;54, if(YEAR(A488)=2025,XLOOKUP(B488,Lookup!$F$3:$F$10,Lookup!$H$3:$H$10,,1)*G488, XLOOKUP(B488,Lookup!$F$14:$F$21,Lookup!$H$14:$H$21,,1)*G488),0)</f>
        <v>0</v>
      </c>
      <c r="L488" s="62">
        <f>IF(and(A488&lt;questions!$C$19,questions!$C$18="yes"),questions!$C$20,0)</f>
        <v>0</v>
      </c>
      <c r="M488" s="63">
        <f>(Y487+H488)*Lookup!A$26/12</f>
        <v>2146.183819</v>
      </c>
      <c r="N488" s="63">
        <f>if(B488&lt;55, (Z487+I488)*Lookup!B$26/12, (AB487+K488)*Lookup!B$26/12)</f>
        <v>3394.685877</v>
      </c>
      <c r="O488" s="63">
        <f>(AA487+J488)*Lookup!C$26/12</f>
        <v>940.3700287</v>
      </c>
      <c r="P488" s="63">
        <f t="shared" si="8"/>
        <v>17169.47055</v>
      </c>
      <c r="Q488" s="63">
        <f t="shared" si="4"/>
        <v>27157.48701</v>
      </c>
      <c r="R488" s="63">
        <f t="shared" si="5"/>
        <v>7522.960229</v>
      </c>
      <c r="S488" s="64">
        <f t="shared" si="9"/>
        <v>33.33333333</v>
      </c>
      <c r="T488" s="64">
        <f t="shared" si="10"/>
        <v>41.66666667</v>
      </c>
      <c r="U488" s="64">
        <f t="shared" si="11"/>
        <v>0</v>
      </c>
      <c r="V488" s="64">
        <f t="shared" ref="V488:X488" si="496">IF(year($A488)=year($A487), V487+S488, S488)</f>
        <v>266.6666667</v>
      </c>
      <c r="W488" s="64">
        <f t="shared" si="496"/>
        <v>333.3333333</v>
      </c>
      <c r="X488" s="64">
        <f t="shared" si="496"/>
        <v>0</v>
      </c>
      <c r="Y488" s="65">
        <f>IFS(
  B488&lt;55,
    MAX(
      Y487 + IF(MONTH(A488)=12, P488+V488, 0) + H488 - L488
      + MAX(0,
          IF(AA487 &gt;= VLOOKUP(YEAR(A488), Lookup!$Q:$R, 2),
            Z487 + IF(MONTH(A488)=12, Q488+W488, 0) + I488
              + AA487 + IF(MONTH(A488)=12, R488+X488, 0)
              - VLOOKUP(YEAR(A488), Lookup!$Q:$R, 2) + J488,
            Z487 + IF(MONTH(A488)=12, Q488+W488, 0) + I488
          ) - VLOOKUP(YEAR(A488), Lookup!$K:$M, 3)
        ),
    0),
  B488=55,
    IF(Z487&gt;=AD488,
      MAX(Y487 + IF(MONTH(A488)=12, P488+V488, 0) + H488 - L488, 0),
      MAX(MAX(0, Y487-(AD488-Z487)) + IF(MONTH(A488)=12, P488+V488, 0) + H488 - L488, 0)
    ),
  B488&gt;55,
    IF(AB487&gt;=$AH$7,
      MAX(Y487 + IF(MONTH(A488)=12, P488+V488, 0) + H488 - L488 + K488 + Z487, 0),
      MAX(Y487 + IF(MONTH(A488)=12, P488+V488, 0) + H488 - L488, 0)
    )
)</f>
        <v>1030168.233</v>
      </c>
      <c r="Z488" s="65">
        <f>IFS(
  B488&lt;55,
    MIN(
      IF(AA487 &gt;= VLOOKUP(YEAR(A488), Lookup!$Q:$R, 2),
        Z487 + IF(MONTH(A488)=12, Q488+W488, 0) + I488
          + AA487 + IF(MONTH(A488)=12, R488+X488, 0) - VLOOKUP(YEAR(A488), Lookup!$Q:$R, 2) + J488,
        Z487 + IF(MONTH(A488)=12, Q488+W488, 0) + I488
      ),
      VLOOKUP(YEAR(A488), Lookup!$K:$M, 3)
    ),
  B488=55,
    IF(Z487 &gt;= AD488, Z487 - AD488, 0),
  B488&gt;55, 0
)</f>
        <v>0</v>
      </c>
      <c r="AA488" s="65">
        <f>IFS(
  B488&lt;65,
    IF(AA487+J488 &lt; VLOOKUP(YEAR(A488), Lookup!$Q:$R, 2),
      AA487 + IF(MONTH(A488)=12, R487+X487, 0) + J488,
      MIN(
        AA487 + IF(MONTH(A488)=12, R487+X487, 0) + J488 ,
        VLOOKUP(YEAR(A488), Lookup!$Q:$R, 2)
      )
    ),
  B488&gt;=65,
    IF(AA487+J488 &lt; VLOOKUP(questions!$C$5, Lookup!$Q:$R, 2),
      AA487 + IF(MONTH(A488)=12, R487+X487, 0) + J488 ,
      MIN(
        AA487 + IF(MONTH(A488)=12, R487+X487, 0) + J488,
        VLOOKUP(questions!$C$5, Lookup!$Q:$R, 2)
      )
    )
)</f>
        <v>282111.0086</v>
      </c>
      <c r="AB488" s="65">
        <f t="shared" si="13"/>
        <v>1018405.763</v>
      </c>
      <c r="AC488" s="66">
        <f t="array" ref="AC488">IFS(B488&lt;66, XLOOKUP(year(A488),Lookup!$K$13:$K1000,Lookup!$L$13:$L1000,"missing",,1),B488&gt;65,XLOOKUP(questions!$C$5,Lookup!$K$13:$K1000,Lookup!$L$13:$L1000,"missing",,1))</f>
        <v>393675.3633</v>
      </c>
      <c r="AD488" s="66">
        <f t="array" ref="AD488">IFS(B488&lt;66, XLOOKUP(year(A488),Lookup!$K$13:$K1000,Lookup!$M$13:$M1000,"missing",,1),B488&gt;65, XLOOKUP(questions!$C$5,Lookup!$K$13:$K1000,Lookup!$M$13:$M1000,"missing",,1))</f>
        <v>787350.7266</v>
      </c>
      <c r="AE488" s="66">
        <f t="array" ref="AE488">IFS(B488&lt;66, XLOOKUP(year(A488),Lookup!$K$13:$K1000,Lookup!$N$13:$N1000,"missing",,1),B488&gt;65,XLOOKUP(questions!$C$5,Lookup!$K$13:$K1000,Lookup!$N$13:$N1000,"missing",,1))</f>
        <v>1574701.453</v>
      </c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</row>
    <row r="489">
      <c r="A489" s="55">
        <f t="shared" si="7"/>
        <v>60905</v>
      </c>
      <c r="B489" s="56">
        <f>round(YEARFRAC(EOMONTH(questions!$C$3, 0),A489,1),2)</f>
        <v>67.83</v>
      </c>
      <c r="C489" s="58">
        <f>IF(B489&lt;questions!$C$6,if(MONTH(A489)=1,C488*(1+questions!$C$12),C488),0)</f>
        <v>0</v>
      </c>
      <c r="D489" s="58">
        <f>IF(MONTH(A489)=12,C489*questions!$C$11,0)</f>
        <v>0</v>
      </c>
      <c r="E489" s="71">
        <f t="shared" si="2"/>
        <v>0</v>
      </c>
      <c r="F489" s="71">
        <f t="shared" si="3"/>
        <v>0</v>
      </c>
      <c r="G489" s="61">
        <f t="array" ref="G489">if(YEAR(A489)=2025,XLOOKUP(B489,Lookup!$A$3:$A$7,Lookup!$D$3:$D$7,,1)*SUM(E489:F489), XLOOKUP(B489,Lookup!$A$14:$A$18,Lookup!$D$14:$D$18,,1)*SUM(E489:F489))</f>
        <v>0</v>
      </c>
      <c r="H489" s="61">
        <f t="array" ref="H489">if(YEAR(A489)=2025,XLOOKUP(B489,Lookup!$F$3:$F$10,Lookup!$G$3:$G$10,,1)*G489, XLOOKUP(B489,Lookup!$F$14:$F$21,Lookup!$G$14:$G$21,,1)*G489)</f>
        <v>0</v>
      </c>
      <c r="I489" s="61">
        <f t="array" ref="I489">if(B489&lt;55, if(YEAR(A489)=2025,XLOOKUP(B489,Lookup!$F$3:$F$10,Lookup!$H$3:$H$10,,1)*G489, XLOOKUP(B489,Lookup!$F$14:$F$21,Lookup!$H$14:$H$21,,1)*G489),0)</f>
        <v>0</v>
      </c>
      <c r="J489" s="61">
        <f t="array" ref="J489">if(YEAR(A489)=2025,XLOOKUP(B489,Lookup!$F$3:$F$10,Lookup!$I$3:$I$10,,1)*G489, XLOOKUP(B489,Lookup!$F$14:$F$21,Lookup!$I$14:$I$21,,1)*G489)</f>
        <v>0</v>
      </c>
      <c r="K489" s="61">
        <f t="array" ref="K489">if(B489&gt;54, if(YEAR(A489)=2025,XLOOKUP(B489,Lookup!$F$3:$F$10,Lookup!$H$3:$H$10,,1)*G489, XLOOKUP(B489,Lookup!$F$14:$F$21,Lookup!$H$14:$H$21,,1)*G489),0)</f>
        <v>0</v>
      </c>
      <c r="L489" s="62">
        <f>IF(and(A489&lt;questions!$C$19,questions!$C$18="yes"),questions!$C$20,0)</f>
        <v>0</v>
      </c>
      <c r="M489" s="63">
        <f>(Y488+H489)*Lookup!A$26/12</f>
        <v>2146.183819</v>
      </c>
      <c r="N489" s="63">
        <f>if(B489&lt;55, (Z488+I489)*Lookup!B$26/12, (AB488+K489)*Lookup!B$26/12)</f>
        <v>3394.685877</v>
      </c>
      <c r="O489" s="63">
        <f>(AA488+J489)*Lookup!C$26/12</f>
        <v>940.3700287</v>
      </c>
      <c r="P489" s="63">
        <f t="shared" si="8"/>
        <v>19315.65437</v>
      </c>
      <c r="Q489" s="63">
        <f t="shared" si="4"/>
        <v>30552.17289</v>
      </c>
      <c r="R489" s="63">
        <f t="shared" si="5"/>
        <v>8463.330258</v>
      </c>
      <c r="S489" s="64">
        <f t="shared" si="9"/>
        <v>33.33333333</v>
      </c>
      <c r="T489" s="64">
        <f t="shared" si="10"/>
        <v>41.66666667</v>
      </c>
      <c r="U489" s="64">
        <f t="shared" si="11"/>
        <v>0</v>
      </c>
      <c r="V489" s="64">
        <f t="shared" ref="V489:X489" si="497">IF(year($A489)=year($A488), V488+S489, S489)</f>
        <v>300</v>
      </c>
      <c r="W489" s="64">
        <f t="shared" si="497"/>
        <v>375</v>
      </c>
      <c r="X489" s="64">
        <f t="shared" si="497"/>
        <v>0</v>
      </c>
      <c r="Y489" s="65">
        <f>IFS(
  B489&lt;55,
    MAX(
      Y488 + IF(MONTH(A489)=12, P489+V489, 0) + H489 - L489
      + MAX(0,
          IF(AA488 &gt;= VLOOKUP(YEAR(A489), Lookup!$Q:$R, 2),
            Z488 + IF(MONTH(A489)=12, Q489+W489, 0) + I489
              + AA488 + IF(MONTH(A489)=12, R489+X489, 0)
              - VLOOKUP(YEAR(A489), Lookup!$Q:$R, 2) + J489,
            Z488 + IF(MONTH(A489)=12, Q489+W489, 0) + I489
          ) - VLOOKUP(YEAR(A489), Lookup!$K:$M, 3)
        ),
    0),
  B489=55,
    IF(Z488&gt;=AD489,
      MAX(Y488 + IF(MONTH(A489)=12, P489+V489, 0) + H489 - L489, 0),
      MAX(MAX(0, Y488-(AD489-Z488)) + IF(MONTH(A489)=12, P489+V489, 0) + H489 - L489, 0)
    ),
  B489&gt;55,
    IF(AB488&gt;=$AH$7,
      MAX(Y488 + IF(MONTH(A489)=12, P489+V489, 0) + H489 - L489 + K489 + Z488, 0),
      MAX(Y488 + IF(MONTH(A489)=12, P489+V489, 0) + H489 - L489, 0)
    )
)</f>
        <v>1030168.233</v>
      </c>
      <c r="Z489" s="65">
        <f>IFS(
  B489&lt;55,
    MIN(
      IF(AA488 &gt;= VLOOKUP(YEAR(A489), Lookup!$Q:$R, 2),
        Z488 + IF(MONTH(A489)=12, Q489+W489, 0) + I489
          + AA488 + IF(MONTH(A489)=12, R489+X489, 0) - VLOOKUP(YEAR(A489), Lookup!$Q:$R, 2) + J489,
        Z488 + IF(MONTH(A489)=12, Q489+W489, 0) + I489
      ),
      VLOOKUP(YEAR(A489), Lookup!$K:$M, 3)
    ),
  B489=55,
    IF(Z488 &gt;= AD489, Z488 - AD489, 0),
  B489&gt;55, 0
)</f>
        <v>0</v>
      </c>
      <c r="AA489" s="65">
        <f>IFS(
  B489&lt;65,
    IF(AA488+J489 &lt; VLOOKUP(YEAR(A489), Lookup!$Q:$R, 2),
      AA488 + IF(MONTH(A489)=12, R488+X488, 0) + J489,
      MIN(
        AA488 + IF(MONTH(A489)=12, R488+X488, 0) + J489 ,
        VLOOKUP(YEAR(A489), Lookup!$Q:$R, 2)
      )
    ),
  B489&gt;=65,
    IF(AA488+J489 &lt; VLOOKUP(questions!$C$5, Lookup!$Q:$R, 2),
      AA488 + IF(MONTH(A489)=12, R488+X488, 0) + J489 ,
      MIN(
        AA488 + IF(MONTH(A489)=12, R488+X488, 0) + J489,
        VLOOKUP(questions!$C$5, Lookup!$Q:$R, 2)
      )
    )
)</f>
        <v>282111.0086</v>
      </c>
      <c r="AB489" s="65">
        <f t="shared" si="13"/>
        <v>1018405.763</v>
      </c>
      <c r="AC489" s="66">
        <f t="array" ref="AC489">IFS(B489&lt;66, XLOOKUP(year(A489),Lookup!$K$13:$K1000,Lookup!$L$13:$L1000,"missing",,1),B489&gt;65,XLOOKUP(questions!$C$5,Lookup!$K$13:$K1000,Lookup!$L$13:$L1000,"missing",,1))</f>
        <v>393675.3633</v>
      </c>
      <c r="AD489" s="66">
        <f t="array" ref="AD489">IFS(B489&lt;66, XLOOKUP(year(A489),Lookup!$K$13:$K1000,Lookup!$M$13:$M1000,"missing",,1),B489&gt;65, XLOOKUP(questions!$C$5,Lookup!$K$13:$K1000,Lookup!$M$13:$M1000,"missing",,1))</f>
        <v>787350.7266</v>
      </c>
      <c r="AE489" s="66">
        <f t="array" ref="AE489">IFS(B489&lt;66, XLOOKUP(year(A489),Lookup!$K$13:$K1000,Lookup!$N$13:$N1000,"missing",,1),B489&gt;65,XLOOKUP(questions!$C$5,Lookup!$K$13:$K1000,Lookup!$N$13:$N1000,"missing",,1))</f>
        <v>1574701.453</v>
      </c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</row>
    <row r="490">
      <c r="A490" s="55">
        <f t="shared" si="7"/>
        <v>60936</v>
      </c>
      <c r="B490" s="56">
        <f>round(YEARFRAC(EOMONTH(questions!$C$3, 0),A490,1),2)</f>
        <v>67.92</v>
      </c>
      <c r="C490" s="58">
        <f>IF(B490&lt;questions!$C$6,if(MONTH(A490)=1,C489*(1+questions!$C$12),C489),0)</f>
        <v>0</v>
      </c>
      <c r="D490" s="58">
        <f>IF(MONTH(A490)=12,C490*questions!$C$11,0)</f>
        <v>0</v>
      </c>
      <c r="E490" s="71">
        <f t="shared" si="2"/>
        <v>0</v>
      </c>
      <c r="F490" s="71">
        <f t="shared" si="3"/>
        <v>0</v>
      </c>
      <c r="G490" s="61">
        <f t="array" ref="G490">if(YEAR(A490)=2025,XLOOKUP(B490,Lookup!$A$3:$A$7,Lookup!$D$3:$D$7,,1)*SUM(E490:F490), XLOOKUP(B490,Lookup!$A$14:$A$18,Lookup!$D$14:$D$18,,1)*SUM(E490:F490))</f>
        <v>0</v>
      </c>
      <c r="H490" s="61">
        <f t="array" ref="H490">if(YEAR(A490)=2025,XLOOKUP(B490,Lookup!$F$3:$F$10,Lookup!$G$3:$G$10,,1)*G490, XLOOKUP(B490,Lookup!$F$14:$F$21,Lookup!$G$14:$G$21,,1)*G490)</f>
        <v>0</v>
      </c>
      <c r="I490" s="61">
        <f t="array" ref="I490">if(B490&lt;55, if(YEAR(A490)=2025,XLOOKUP(B490,Lookup!$F$3:$F$10,Lookup!$H$3:$H$10,,1)*G490, XLOOKUP(B490,Lookup!$F$14:$F$21,Lookup!$H$14:$H$21,,1)*G490),0)</f>
        <v>0</v>
      </c>
      <c r="J490" s="61">
        <f t="array" ref="J490">if(YEAR(A490)=2025,XLOOKUP(B490,Lookup!$F$3:$F$10,Lookup!$I$3:$I$10,,1)*G490, XLOOKUP(B490,Lookup!$F$14:$F$21,Lookup!$I$14:$I$21,,1)*G490)</f>
        <v>0</v>
      </c>
      <c r="K490" s="61">
        <f t="array" ref="K490">if(B490&gt;54, if(YEAR(A490)=2025,XLOOKUP(B490,Lookup!$F$3:$F$10,Lookup!$H$3:$H$10,,1)*G490, XLOOKUP(B490,Lookup!$F$14:$F$21,Lookup!$H$14:$H$21,,1)*G490),0)</f>
        <v>0</v>
      </c>
      <c r="L490" s="62">
        <f>IF(and(A490&lt;questions!$C$19,questions!$C$18="yes"),questions!$C$20,0)</f>
        <v>0</v>
      </c>
      <c r="M490" s="63">
        <f>(Y489+H490)*Lookup!A$26/12</f>
        <v>2146.183819</v>
      </c>
      <c r="N490" s="63">
        <f>if(B490&lt;55, (Z489+I490)*Lookup!B$26/12, (AB489+K490)*Lookup!B$26/12)</f>
        <v>3394.685877</v>
      </c>
      <c r="O490" s="63">
        <f>(AA489+J490)*Lookup!C$26/12</f>
        <v>940.3700287</v>
      </c>
      <c r="P490" s="63">
        <f t="shared" si="8"/>
        <v>21461.83819</v>
      </c>
      <c r="Q490" s="63">
        <f t="shared" si="4"/>
        <v>33946.85877</v>
      </c>
      <c r="R490" s="63">
        <f t="shared" si="5"/>
        <v>9403.700287</v>
      </c>
      <c r="S490" s="64">
        <f t="shared" si="9"/>
        <v>33.33333333</v>
      </c>
      <c r="T490" s="64">
        <f t="shared" si="10"/>
        <v>41.66666667</v>
      </c>
      <c r="U490" s="64">
        <f t="shared" si="11"/>
        <v>0</v>
      </c>
      <c r="V490" s="64">
        <f t="shared" ref="V490:X490" si="498">IF(year($A490)=year($A489), V489+S490, S490)</f>
        <v>333.3333333</v>
      </c>
      <c r="W490" s="64">
        <f t="shared" si="498"/>
        <v>416.6666667</v>
      </c>
      <c r="X490" s="64">
        <f t="shared" si="498"/>
        <v>0</v>
      </c>
      <c r="Y490" s="65">
        <f>IFS(
  B490&lt;55,
    MAX(
      Y489 + IF(MONTH(A490)=12, P490+V490, 0) + H490 - L490
      + MAX(0,
          IF(AA489 &gt;= VLOOKUP(YEAR(A490), Lookup!$Q:$R, 2),
            Z489 + IF(MONTH(A490)=12, Q490+W490, 0) + I490
              + AA489 + IF(MONTH(A490)=12, R490+X490, 0)
              - VLOOKUP(YEAR(A490), Lookup!$Q:$R, 2) + J490,
            Z489 + IF(MONTH(A490)=12, Q490+W490, 0) + I490
          ) - VLOOKUP(YEAR(A490), Lookup!$K:$M, 3)
        ),
    0),
  B490=55,
    IF(Z489&gt;=AD490,
      MAX(Y489 + IF(MONTH(A490)=12, P490+V490, 0) + H490 - L490, 0),
      MAX(MAX(0, Y489-(AD490-Z489)) + IF(MONTH(A490)=12, P490+V490, 0) + H490 - L490, 0)
    ),
  B490&gt;55,
    IF(AB489&gt;=$AH$7,
      MAX(Y489 + IF(MONTH(A490)=12, P490+V490, 0) + H490 - L490 + K490 + Z489, 0),
      MAX(Y489 + IF(MONTH(A490)=12, P490+V490, 0) + H490 - L490, 0)
    )
)</f>
        <v>1030168.233</v>
      </c>
      <c r="Z490" s="65">
        <f>IFS(
  B490&lt;55,
    MIN(
      IF(AA489 &gt;= VLOOKUP(YEAR(A490), Lookup!$Q:$R, 2),
        Z489 + IF(MONTH(A490)=12, Q490+W490, 0) + I490
          + AA489 + IF(MONTH(A490)=12, R490+X490, 0) - VLOOKUP(YEAR(A490), Lookup!$Q:$R, 2) + J490,
        Z489 + IF(MONTH(A490)=12, Q490+W490, 0) + I490
      ),
      VLOOKUP(YEAR(A490), Lookup!$K:$M, 3)
    ),
  B490=55,
    IF(Z489 &gt;= AD490, Z489 - AD490, 0),
  B490&gt;55, 0
)</f>
        <v>0</v>
      </c>
      <c r="AA490" s="65">
        <f>IFS(
  B490&lt;65,
    IF(AA489+J490 &lt; VLOOKUP(YEAR(A490), Lookup!$Q:$R, 2),
      AA489 + IF(MONTH(A490)=12, R489+X489, 0) + J490,
      MIN(
        AA489 + IF(MONTH(A490)=12, R489+X489, 0) + J490 ,
        VLOOKUP(YEAR(A490), Lookup!$Q:$R, 2)
      )
    ),
  B490&gt;=65,
    IF(AA489+J490 &lt; VLOOKUP(questions!$C$5, Lookup!$Q:$R, 2),
      AA489 + IF(MONTH(A490)=12, R489+X489, 0) + J490 ,
      MIN(
        AA489 + IF(MONTH(A490)=12, R489+X489, 0) + J490,
        VLOOKUP(questions!$C$5, Lookup!$Q:$R, 2)
      )
    )
)</f>
        <v>282111.0086</v>
      </c>
      <c r="AB490" s="65">
        <f t="shared" si="13"/>
        <v>1018405.763</v>
      </c>
      <c r="AC490" s="66">
        <f t="array" ref="AC490">IFS(B490&lt;66, XLOOKUP(year(A490),Lookup!$K$13:$K1000,Lookup!$L$13:$L1000,"missing",,1),B490&gt;65,XLOOKUP(questions!$C$5,Lookup!$K$13:$K1000,Lookup!$L$13:$L1000,"missing",,1))</f>
        <v>393675.3633</v>
      </c>
      <c r="AD490" s="66">
        <f t="array" ref="AD490">IFS(B490&lt;66, XLOOKUP(year(A490),Lookup!$K$13:$K1000,Lookup!$M$13:$M1000,"missing",,1),B490&gt;65, XLOOKUP(questions!$C$5,Lookup!$K$13:$K1000,Lookup!$M$13:$M1000,"missing",,1))</f>
        <v>787350.7266</v>
      </c>
      <c r="AE490" s="66">
        <f t="array" ref="AE490">IFS(B490&lt;66, XLOOKUP(year(A490),Lookup!$K$13:$K1000,Lookup!$N$13:$N1000,"missing",,1),B490&gt;65,XLOOKUP(questions!$C$5,Lookup!$K$13:$K1000,Lookup!$N$13:$N1000,"missing",,1))</f>
        <v>1574701.453</v>
      </c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</row>
    <row r="491">
      <c r="A491" s="55">
        <f t="shared" si="7"/>
        <v>60966</v>
      </c>
      <c r="B491" s="56">
        <f>round(YEARFRAC(EOMONTH(questions!$C$3, 0),A491,1),2)</f>
        <v>68</v>
      </c>
      <c r="C491" s="58">
        <f>IF(B491&lt;questions!$C$6,if(MONTH(A491)=1,C490*(1+questions!$C$12),C490),0)</f>
        <v>0</v>
      </c>
      <c r="D491" s="58">
        <f>IF(MONTH(A491)=12,C491*questions!$C$11,0)</f>
        <v>0</v>
      </c>
      <c r="E491" s="71">
        <f t="shared" si="2"/>
        <v>0</v>
      </c>
      <c r="F491" s="71">
        <f t="shared" si="3"/>
        <v>0</v>
      </c>
      <c r="G491" s="61">
        <f t="array" ref="G491">if(YEAR(A491)=2025,XLOOKUP(B491,Lookup!$A$3:$A$7,Lookup!$D$3:$D$7,,1)*SUM(E491:F491), XLOOKUP(B491,Lookup!$A$14:$A$18,Lookup!$D$14:$D$18,,1)*SUM(E491:F491))</f>
        <v>0</v>
      </c>
      <c r="H491" s="61">
        <f t="array" ref="H491">if(YEAR(A491)=2025,XLOOKUP(B491,Lookup!$F$3:$F$10,Lookup!$G$3:$G$10,,1)*G491, XLOOKUP(B491,Lookup!$F$14:$F$21,Lookup!$G$14:$G$21,,1)*G491)</f>
        <v>0</v>
      </c>
      <c r="I491" s="61">
        <f t="array" ref="I491">if(B491&lt;55, if(YEAR(A491)=2025,XLOOKUP(B491,Lookup!$F$3:$F$10,Lookup!$H$3:$H$10,,1)*G491, XLOOKUP(B491,Lookup!$F$14:$F$21,Lookup!$H$14:$H$21,,1)*G491),0)</f>
        <v>0</v>
      </c>
      <c r="J491" s="61">
        <f t="array" ref="J491">if(YEAR(A491)=2025,XLOOKUP(B491,Lookup!$F$3:$F$10,Lookup!$I$3:$I$10,,1)*G491, XLOOKUP(B491,Lookup!$F$14:$F$21,Lookup!$I$14:$I$21,,1)*G491)</f>
        <v>0</v>
      </c>
      <c r="K491" s="61">
        <f t="array" ref="K491">if(B491&gt;54, if(YEAR(A491)=2025,XLOOKUP(B491,Lookup!$F$3:$F$10,Lookup!$H$3:$H$10,,1)*G491, XLOOKUP(B491,Lookup!$F$14:$F$21,Lookup!$H$14:$H$21,,1)*G491),0)</f>
        <v>0</v>
      </c>
      <c r="L491" s="62">
        <f>IF(and(A491&lt;questions!$C$19,questions!$C$18="yes"),questions!$C$20,0)</f>
        <v>0</v>
      </c>
      <c r="M491" s="63">
        <f>(Y490+H491)*Lookup!A$26/12</f>
        <v>2146.183819</v>
      </c>
      <c r="N491" s="63">
        <f>if(B491&lt;55, (Z490+I491)*Lookup!B$26/12, (AB490+K491)*Lookup!B$26/12)</f>
        <v>3394.685877</v>
      </c>
      <c r="O491" s="63">
        <f>(AA490+J491)*Lookup!C$26/12</f>
        <v>940.3700287</v>
      </c>
      <c r="P491" s="63">
        <f t="shared" si="8"/>
        <v>23608.02201</v>
      </c>
      <c r="Q491" s="63">
        <f t="shared" si="4"/>
        <v>37341.54464</v>
      </c>
      <c r="R491" s="63">
        <f t="shared" si="5"/>
        <v>10344.07032</v>
      </c>
      <c r="S491" s="64">
        <f t="shared" si="9"/>
        <v>33.33333333</v>
      </c>
      <c r="T491" s="64">
        <f t="shared" si="10"/>
        <v>41.66666667</v>
      </c>
      <c r="U491" s="64">
        <f t="shared" si="11"/>
        <v>0</v>
      </c>
      <c r="V491" s="64">
        <f t="shared" ref="V491:X491" si="499">IF(year($A491)=year($A490), V490+S491, S491)</f>
        <v>366.6666667</v>
      </c>
      <c r="W491" s="64">
        <f t="shared" si="499"/>
        <v>458.3333333</v>
      </c>
      <c r="X491" s="64">
        <f t="shared" si="499"/>
        <v>0</v>
      </c>
      <c r="Y491" s="65">
        <f>IFS(
  B491&lt;55,
    MAX(
      Y490 + IF(MONTH(A491)=12, P491+V491, 0) + H491 - L491
      + MAX(0,
          IF(AA490 &gt;= VLOOKUP(YEAR(A491), Lookup!$Q:$R, 2),
            Z490 + IF(MONTH(A491)=12, Q491+W491, 0) + I491
              + AA490 + IF(MONTH(A491)=12, R491+X491, 0)
              - VLOOKUP(YEAR(A491), Lookup!$Q:$R, 2) + J491,
            Z490 + IF(MONTH(A491)=12, Q491+W491, 0) + I491
          ) - VLOOKUP(YEAR(A491), Lookup!$K:$M, 3)
        ),
    0),
  B491=55,
    IF(Z490&gt;=AD491,
      MAX(Y490 + IF(MONTH(A491)=12, P491+V491, 0) + H491 - L491, 0),
      MAX(MAX(0, Y490-(AD491-Z490)) + IF(MONTH(A491)=12, P491+V491, 0) + H491 - L491, 0)
    ),
  B491&gt;55,
    IF(AB490&gt;=$AH$7,
      MAX(Y490 + IF(MONTH(A491)=12, P491+V491, 0) + H491 - L491 + K491 + Z490, 0),
      MAX(Y490 + IF(MONTH(A491)=12, P491+V491, 0) + H491 - L491, 0)
    )
)</f>
        <v>1030168.233</v>
      </c>
      <c r="Z491" s="65">
        <f>IFS(
  B491&lt;55,
    MIN(
      IF(AA490 &gt;= VLOOKUP(YEAR(A491), Lookup!$Q:$R, 2),
        Z490 + IF(MONTH(A491)=12, Q491+W491, 0) + I491
          + AA490 + IF(MONTH(A491)=12, R491+X491, 0) - VLOOKUP(YEAR(A491), Lookup!$Q:$R, 2) + J491,
        Z490 + IF(MONTH(A491)=12, Q491+W491, 0) + I491
      ),
      VLOOKUP(YEAR(A491), Lookup!$K:$M, 3)
    ),
  B491=55,
    IF(Z490 &gt;= AD491, Z490 - AD491, 0),
  B491&gt;55, 0
)</f>
        <v>0</v>
      </c>
      <c r="AA491" s="65">
        <f>IFS(
  B491&lt;65,
    IF(AA490+J491 &lt; VLOOKUP(YEAR(A491), Lookup!$Q:$R, 2),
      AA490 + IF(MONTH(A491)=12, R490+X490, 0) + J491,
      MIN(
        AA490 + IF(MONTH(A491)=12, R490+X490, 0) + J491 ,
        VLOOKUP(YEAR(A491), Lookup!$Q:$R, 2)
      )
    ),
  B491&gt;=65,
    IF(AA490+J491 &lt; VLOOKUP(questions!$C$5, Lookup!$Q:$R, 2),
      AA490 + IF(MONTH(A491)=12, R490+X490, 0) + J491 ,
      MIN(
        AA490 + IF(MONTH(A491)=12, R490+X490, 0) + J491,
        VLOOKUP(questions!$C$5, Lookup!$Q:$R, 2)
      )
    )
)</f>
        <v>282111.0086</v>
      </c>
      <c r="AB491" s="65">
        <f t="shared" si="13"/>
        <v>1018405.763</v>
      </c>
      <c r="AC491" s="66">
        <f t="array" ref="AC491">IFS(B491&lt;66, XLOOKUP(year(A491),Lookup!$K$13:$K1000,Lookup!$L$13:$L1000,"missing",,1),B491&gt;65,XLOOKUP(questions!$C$5,Lookup!$K$13:$K1000,Lookup!$L$13:$L1000,"missing",,1))</f>
        <v>393675.3633</v>
      </c>
      <c r="AD491" s="66">
        <f t="array" ref="AD491">IFS(B491&lt;66, XLOOKUP(year(A491),Lookup!$K$13:$K1000,Lookup!$M$13:$M1000,"missing",,1),B491&gt;65, XLOOKUP(questions!$C$5,Lookup!$K$13:$K1000,Lookup!$M$13:$M1000,"missing",,1))</f>
        <v>787350.7266</v>
      </c>
      <c r="AE491" s="66">
        <f t="array" ref="AE491">IFS(B491&lt;66, XLOOKUP(year(A491),Lookup!$K$13:$K1000,Lookup!$N$13:$N1000,"missing",,1),B491&gt;65,XLOOKUP(questions!$C$5,Lookup!$K$13:$K1000,Lookup!$N$13:$N1000,"missing",,1))</f>
        <v>1574701.453</v>
      </c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</row>
    <row r="492">
      <c r="A492" s="55">
        <f t="shared" si="7"/>
        <v>60997</v>
      </c>
      <c r="B492" s="56">
        <f>round(YEARFRAC(EOMONTH(questions!$C$3, 0),A492,1),2)</f>
        <v>68.08</v>
      </c>
      <c r="C492" s="58">
        <f>IF(B492&lt;questions!$C$6,if(MONTH(A492)=1,C491*(1+questions!$C$12),C491),0)</f>
        <v>0</v>
      </c>
      <c r="D492" s="58">
        <f>IF(MONTH(A492)=12,C492*questions!$C$11,0)</f>
        <v>0</v>
      </c>
      <c r="E492" s="71">
        <f t="shared" si="2"/>
        <v>0</v>
      </c>
      <c r="F492" s="71">
        <f t="shared" si="3"/>
        <v>0</v>
      </c>
      <c r="G492" s="61">
        <f t="array" ref="G492">if(YEAR(A492)=2025,XLOOKUP(B492,Lookup!$A$3:$A$7,Lookup!$D$3:$D$7,,1)*SUM(E492:F492), XLOOKUP(B492,Lookup!$A$14:$A$18,Lookup!$D$14:$D$18,,1)*SUM(E492:F492))</f>
        <v>0</v>
      </c>
      <c r="H492" s="61">
        <f t="array" ref="H492">if(YEAR(A492)=2025,XLOOKUP(B492,Lookup!$F$3:$F$10,Lookup!$G$3:$G$10,,1)*G492, XLOOKUP(B492,Lookup!$F$14:$F$21,Lookup!$G$14:$G$21,,1)*G492)</f>
        <v>0</v>
      </c>
      <c r="I492" s="61">
        <f t="array" ref="I492">if(B492&lt;55, if(YEAR(A492)=2025,XLOOKUP(B492,Lookup!$F$3:$F$10,Lookup!$H$3:$H$10,,1)*G492, XLOOKUP(B492,Lookup!$F$14:$F$21,Lookup!$H$14:$H$21,,1)*G492),0)</f>
        <v>0</v>
      </c>
      <c r="J492" s="61">
        <f t="array" ref="J492">if(YEAR(A492)=2025,XLOOKUP(B492,Lookup!$F$3:$F$10,Lookup!$I$3:$I$10,,1)*G492, XLOOKUP(B492,Lookup!$F$14:$F$21,Lookup!$I$14:$I$21,,1)*G492)</f>
        <v>0</v>
      </c>
      <c r="K492" s="61">
        <f t="array" ref="K492">if(B492&gt;54, if(YEAR(A492)=2025,XLOOKUP(B492,Lookup!$F$3:$F$10,Lookup!$H$3:$H$10,,1)*G492, XLOOKUP(B492,Lookup!$F$14:$F$21,Lookup!$H$14:$H$21,,1)*G492),0)</f>
        <v>0</v>
      </c>
      <c r="L492" s="62">
        <f>IF(and(A492&lt;questions!$C$19,questions!$C$18="yes"),questions!$C$20,0)</f>
        <v>0</v>
      </c>
      <c r="M492" s="63">
        <f>(Y491+H492)*Lookup!A$26/12</f>
        <v>2146.183819</v>
      </c>
      <c r="N492" s="63">
        <f>if(B492&lt;55, (Z491+I492)*Lookup!B$26/12, (AB491+K492)*Lookup!B$26/12)</f>
        <v>3394.685877</v>
      </c>
      <c r="O492" s="63">
        <f>(AA491+J492)*Lookup!C$26/12</f>
        <v>940.3700287</v>
      </c>
      <c r="P492" s="63">
        <f t="shared" si="8"/>
        <v>25754.20582</v>
      </c>
      <c r="Q492" s="63">
        <f t="shared" si="4"/>
        <v>40736.23052</v>
      </c>
      <c r="R492" s="63">
        <f t="shared" si="5"/>
        <v>11284.44034</v>
      </c>
      <c r="S492" s="64">
        <f t="shared" si="9"/>
        <v>33.33333333</v>
      </c>
      <c r="T492" s="64">
        <f t="shared" si="10"/>
        <v>41.66666667</v>
      </c>
      <c r="U492" s="64">
        <f t="shared" si="11"/>
        <v>0</v>
      </c>
      <c r="V492" s="64">
        <f t="shared" ref="V492:X492" si="500">IF(year($A492)=year($A491), V491+S492, S492)</f>
        <v>400</v>
      </c>
      <c r="W492" s="64">
        <f t="shared" si="500"/>
        <v>500</v>
      </c>
      <c r="X492" s="64">
        <f t="shared" si="500"/>
        <v>0</v>
      </c>
      <c r="Y492" s="65">
        <f>IFS(
  B492&lt;55,
    MAX(
      Y491 + IF(MONTH(A492)=12, P492+V492, 0) + H492 - L492
      + MAX(0,
          IF(AA491 &gt;= VLOOKUP(YEAR(A492), Lookup!$Q:$R, 2),
            Z491 + IF(MONTH(A492)=12, Q492+W492, 0) + I492
              + AA491 + IF(MONTH(A492)=12, R492+X492, 0)
              - VLOOKUP(YEAR(A492), Lookup!$Q:$R, 2) + J492,
            Z491 + IF(MONTH(A492)=12, Q492+W492, 0) + I492
          ) - VLOOKUP(YEAR(A492), Lookup!$K:$M, 3)
        ),
    0),
  B492=55,
    IF(Z491&gt;=AD492,
      MAX(Y491 + IF(MONTH(A492)=12, P492+V492, 0) + H492 - L492, 0),
      MAX(MAX(0, Y491-(AD492-Z491)) + IF(MONTH(A492)=12, P492+V492, 0) + H492 - L492, 0)
    ),
  B492&gt;55,
    IF(AB491&gt;=$AH$7,
      MAX(Y491 + IF(MONTH(A492)=12, P492+V492, 0) + H492 - L492 + K492 + Z491, 0),
      MAX(Y491 + IF(MONTH(A492)=12, P492+V492, 0) + H492 - L492, 0)
    )
)</f>
        <v>1056322.439</v>
      </c>
      <c r="Z492" s="65">
        <f>IFS(
  B492&lt;55,
    MIN(
      IF(AA491 &gt;= VLOOKUP(YEAR(A492), Lookup!$Q:$R, 2),
        Z491 + IF(MONTH(A492)=12, Q492+W492, 0) + I492
          + AA491 + IF(MONTH(A492)=12, R492+X492, 0) - VLOOKUP(YEAR(A492), Lookup!$Q:$R, 2) + J492,
        Z491 + IF(MONTH(A492)=12, Q492+W492, 0) + I492
      ),
      VLOOKUP(YEAR(A492), Lookup!$K:$M, 3)
    ),
  B492=55,
    IF(Z491 &gt;= AD492, Z491 - AD492, 0),
  B492&gt;55, 0
)</f>
        <v>0</v>
      </c>
      <c r="AA492" s="65">
        <f>IFS(
  B492&lt;65,
    IF(AA491+J492 &lt; VLOOKUP(YEAR(A492), Lookup!$Q:$R, 2),
      AA491 + IF(MONTH(A492)=12, R491+X491, 0) + J492,
      MIN(
        AA491 + IF(MONTH(A492)=12, R491+X491, 0) + J492 ,
        VLOOKUP(YEAR(A492), Lookup!$Q:$R, 2)
      )
    ),
  B492&gt;=65,
    IF(AA491+J492 &lt; VLOOKUP(questions!$C$5, Lookup!$Q:$R, 2),
      AA491 + IF(MONTH(A492)=12, R491+X491, 0) + J492 ,
      MIN(
        AA491 + IF(MONTH(A492)=12, R491+X491, 0) + J492,
        VLOOKUP(questions!$C$5, Lookup!$Q:$R, 2)
      )
    )
)</f>
        <v>282111.0086</v>
      </c>
      <c r="AB492" s="65">
        <f t="shared" si="13"/>
        <v>1059641.993</v>
      </c>
      <c r="AC492" s="66">
        <f t="array" ref="AC492">IFS(B492&lt;66, XLOOKUP(year(A492),Lookup!$K$13:$K1000,Lookup!$L$13:$L1000,"missing",,1),B492&gt;65,XLOOKUP(questions!$C$5,Lookup!$K$13:$K1000,Lookup!$L$13:$L1000,"missing",,1))</f>
        <v>393675.3633</v>
      </c>
      <c r="AD492" s="66">
        <f t="array" ref="AD492">IFS(B492&lt;66, XLOOKUP(year(A492),Lookup!$K$13:$K1000,Lookup!$M$13:$M1000,"missing",,1),B492&gt;65, XLOOKUP(questions!$C$5,Lookup!$K$13:$K1000,Lookup!$M$13:$M1000,"missing",,1))</f>
        <v>787350.7266</v>
      </c>
      <c r="AE492" s="66">
        <f t="array" ref="AE492">IFS(B492&lt;66, XLOOKUP(year(A492),Lookup!$K$13:$K1000,Lookup!$N$13:$N1000,"missing",,1),B492&gt;65,XLOOKUP(questions!$C$5,Lookup!$K$13:$K1000,Lookup!$N$13:$N1000,"missing",,1))</f>
        <v>1574701.453</v>
      </c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</row>
    <row r="493">
      <c r="A493" s="55">
        <f t="shared" si="7"/>
        <v>61028</v>
      </c>
      <c r="B493" s="56">
        <f>round(YEARFRAC(EOMONTH(questions!$C$3, 0),A493,1),2)</f>
        <v>68.17</v>
      </c>
      <c r="C493" s="58">
        <f>IF(B493&lt;questions!$C$6,if(MONTH(A493)=1,C492*(1+questions!$C$12),C492),0)</f>
        <v>0</v>
      </c>
      <c r="D493" s="58">
        <f>IF(MONTH(A493)=12,C493*questions!$C$11,0)</f>
        <v>0</v>
      </c>
      <c r="E493" s="71">
        <f t="shared" si="2"/>
        <v>0</v>
      </c>
      <c r="F493" s="71">
        <f t="shared" si="3"/>
        <v>0</v>
      </c>
      <c r="G493" s="61">
        <f t="array" ref="G493">if(YEAR(A493)=2025,XLOOKUP(B493,Lookup!$A$3:$A$7,Lookup!$D$3:$D$7,,1)*SUM(E493:F493), XLOOKUP(B493,Lookup!$A$14:$A$18,Lookup!$D$14:$D$18,,1)*SUM(E493:F493))</f>
        <v>0</v>
      </c>
      <c r="H493" s="61">
        <f t="array" ref="H493">if(YEAR(A493)=2025,XLOOKUP(B493,Lookup!$F$3:$F$10,Lookup!$G$3:$G$10,,1)*G493, XLOOKUP(B493,Lookup!$F$14:$F$21,Lookup!$G$14:$G$21,,1)*G493)</f>
        <v>0</v>
      </c>
      <c r="I493" s="61">
        <f t="array" ref="I493">if(B493&lt;55, if(YEAR(A493)=2025,XLOOKUP(B493,Lookup!$F$3:$F$10,Lookup!$H$3:$H$10,,1)*G493, XLOOKUP(B493,Lookup!$F$14:$F$21,Lookup!$H$14:$H$21,,1)*G493),0)</f>
        <v>0</v>
      </c>
      <c r="J493" s="61">
        <f t="array" ref="J493">if(YEAR(A493)=2025,XLOOKUP(B493,Lookup!$F$3:$F$10,Lookup!$I$3:$I$10,,1)*G493, XLOOKUP(B493,Lookup!$F$14:$F$21,Lookup!$I$14:$I$21,,1)*G493)</f>
        <v>0</v>
      </c>
      <c r="K493" s="61">
        <f t="array" ref="K493">if(B493&gt;54, if(YEAR(A493)=2025,XLOOKUP(B493,Lookup!$F$3:$F$10,Lookup!$H$3:$H$10,,1)*G493, XLOOKUP(B493,Lookup!$F$14:$F$21,Lookup!$H$14:$H$21,,1)*G493),0)</f>
        <v>0</v>
      </c>
      <c r="L493" s="62">
        <f>IF(and(A493&lt;questions!$C$19,questions!$C$18="yes"),questions!$C$20,0)</f>
        <v>0</v>
      </c>
      <c r="M493" s="63">
        <f>(Y492+H493)*Lookup!A$26/12</f>
        <v>2200.671747</v>
      </c>
      <c r="N493" s="63">
        <f>if(B493&lt;55, (Z492+I493)*Lookup!B$26/12, (AB492+K493)*Lookup!B$26/12)</f>
        <v>3532.139978</v>
      </c>
      <c r="O493" s="63">
        <f>(AA492+J493)*Lookup!C$26/12</f>
        <v>940.3700287</v>
      </c>
      <c r="P493" s="63">
        <f t="shared" si="8"/>
        <v>2200.671747</v>
      </c>
      <c r="Q493" s="63">
        <f t="shared" si="4"/>
        <v>3532.139978</v>
      </c>
      <c r="R493" s="63">
        <f t="shared" si="5"/>
        <v>940.3700287</v>
      </c>
      <c r="S493" s="64">
        <f t="shared" si="9"/>
        <v>33.33333333</v>
      </c>
      <c r="T493" s="64">
        <f t="shared" si="10"/>
        <v>41.66666667</v>
      </c>
      <c r="U493" s="64">
        <f t="shared" si="11"/>
        <v>0</v>
      </c>
      <c r="V493" s="64">
        <f t="shared" ref="V493:X493" si="501">IF(year($A493)=year($A492), V492+S493, S493)</f>
        <v>33.33333333</v>
      </c>
      <c r="W493" s="64">
        <f t="shared" si="501"/>
        <v>41.66666667</v>
      </c>
      <c r="X493" s="64">
        <f t="shared" si="501"/>
        <v>0</v>
      </c>
      <c r="Y493" s="65">
        <f>IFS(
  B493&lt;55,
    MAX(
      Y492 + IF(MONTH(A493)=12, P493+V493, 0) + H493 - L493
      + MAX(0,
          IF(AA492 &gt;= VLOOKUP(YEAR(A493), Lookup!$Q:$R, 2),
            Z492 + IF(MONTH(A493)=12, Q493+W493, 0) + I493
              + AA492 + IF(MONTH(A493)=12, R493+X493, 0)
              - VLOOKUP(YEAR(A493), Lookup!$Q:$R, 2) + J493,
            Z492 + IF(MONTH(A493)=12, Q493+W493, 0) + I493
          ) - VLOOKUP(YEAR(A493), Lookup!$K:$M, 3)
        ),
    0),
  B493=55,
    IF(Z492&gt;=AD493,
      MAX(Y492 + IF(MONTH(A493)=12, P493+V493, 0) + H493 - L493, 0),
      MAX(MAX(0, Y492-(AD493-Z492)) + IF(MONTH(A493)=12, P493+V493, 0) + H493 - L493, 0)
    ),
  B493&gt;55,
    IF(AB492&gt;=$AH$7,
      MAX(Y492 + IF(MONTH(A493)=12, P493+V493, 0) + H493 - L493 + K493 + Z492, 0),
      MAX(Y492 + IF(MONTH(A493)=12, P493+V493, 0) + H493 - L493, 0)
    )
)</f>
        <v>1056322.439</v>
      </c>
      <c r="Z493" s="65">
        <f>IFS(
  B493&lt;55,
    MIN(
      IF(AA492 &gt;= VLOOKUP(YEAR(A493), Lookup!$Q:$R, 2),
        Z492 + IF(MONTH(A493)=12, Q493+W493, 0) + I493
          + AA492 + IF(MONTH(A493)=12, R493+X493, 0) - VLOOKUP(YEAR(A493), Lookup!$Q:$R, 2) + J493,
        Z492 + IF(MONTH(A493)=12, Q493+W493, 0) + I493
      ),
      VLOOKUP(YEAR(A493), Lookup!$K:$M, 3)
    ),
  B493=55,
    IF(Z492 &gt;= AD493, Z492 - AD493, 0),
  B493&gt;55, 0
)</f>
        <v>0</v>
      </c>
      <c r="AA493" s="65">
        <f>IFS(
  B493&lt;65,
    IF(AA492+J493 &lt; VLOOKUP(YEAR(A493), Lookup!$Q:$R, 2),
      AA492 + IF(MONTH(A493)=12, R492+X492, 0) + J493,
      MIN(
        AA492 + IF(MONTH(A493)=12, R492+X492, 0) + J493 ,
        VLOOKUP(YEAR(A493), Lookup!$Q:$R, 2)
      )
    ),
  B493&gt;=65,
    IF(AA492+J493 &lt; VLOOKUP(questions!$C$5, Lookup!$Q:$R, 2),
      AA492 + IF(MONTH(A493)=12, R492+X492, 0) + J493 ,
      MIN(
        AA492 + IF(MONTH(A493)=12, R492+X492, 0) + J493,
        VLOOKUP(questions!$C$5, Lookup!$Q:$R, 2)
      )
    )
)</f>
        <v>282111.0086</v>
      </c>
      <c r="AB493" s="65">
        <f t="shared" si="13"/>
        <v>1059641.993</v>
      </c>
      <c r="AC493" s="66">
        <f t="array" ref="AC493">IFS(B493&lt;66, XLOOKUP(year(A493),Lookup!$K$13:$K1000,Lookup!$L$13:$L1000,"missing",,1),B493&gt;65,XLOOKUP(questions!$C$5,Lookup!$K$13:$K1000,Lookup!$L$13:$L1000,"missing",,1))</f>
        <v>393675.3633</v>
      </c>
      <c r="AD493" s="66">
        <f t="array" ref="AD493">IFS(B493&lt;66, XLOOKUP(year(A493),Lookup!$K$13:$K1000,Lookup!$M$13:$M1000,"missing",,1),B493&gt;65, XLOOKUP(questions!$C$5,Lookup!$K$13:$K1000,Lookup!$M$13:$M1000,"missing",,1))</f>
        <v>787350.7266</v>
      </c>
      <c r="AE493" s="66">
        <f t="array" ref="AE493">IFS(B493&lt;66, XLOOKUP(year(A493),Lookup!$K$13:$K1000,Lookup!$N$13:$N1000,"missing",,1),B493&gt;65,XLOOKUP(questions!$C$5,Lookup!$K$13:$K1000,Lookup!$N$13:$N1000,"missing",,1))</f>
        <v>1574701.453</v>
      </c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</row>
    <row r="494">
      <c r="A494" s="55">
        <f t="shared" si="7"/>
        <v>61056</v>
      </c>
      <c r="B494" s="56">
        <f>round(YEARFRAC(EOMONTH(questions!$C$3, 0),A494,1),2)</f>
        <v>68.25</v>
      </c>
      <c r="C494" s="58">
        <f>IF(B494&lt;questions!$C$6,if(MONTH(A494)=1,C493*(1+questions!$C$12),C493),0)</f>
        <v>0</v>
      </c>
      <c r="D494" s="58">
        <f>IF(MONTH(A494)=12,C494*questions!$C$11,0)</f>
        <v>0</v>
      </c>
      <c r="E494" s="71">
        <f t="shared" si="2"/>
        <v>0</v>
      </c>
      <c r="F494" s="71">
        <f t="shared" si="3"/>
        <v>0</v>
      </c>
      <c r="G494" s="61">
        <f t="array" ref="G494">if(YEAR(A494)=2025,XLOOKUP(B494,Lookup!$A$3:$A$7,Lookup!$D$3:$D$7,,1)*SUM(E494:F494), XLOOKUP(B494,Lookup!$A$14:$A$18,Lookup!$D$14:$D$18,,1)*SUM(E494:F494))</f>
        <v>0</v>
      </c>
      <c r="H494" s="61">
        <f t="array" ref="H494">if(YEAR(A494)=2025,XLOOKUP(B494,Lookup!$F$3:$F$10,Lookup!$G$3:$G$10,,1)*G494, XLOOKUP(B494,Lookup!$F$14:$F$21,Lookup!$G$14:$G$21,,1)*G494)</f>
        <v>0</v>
      </c>
      <c r="I494" s="61">
        <f t="array" ref="I494">if(B494&lt;55, if(YEAR(A494)=2025,XLOOKUP(B494,Lookup!$F$3:$F$10,Lookup!$H$3:$H$10,,1)*G494, XLOOKUP(B494,Lookup!$F$14:$F$21,Lookup!$H$14:$H$21,,1)*G494),0)</f>
        <v>0</v>
      </c>
      <c r="J494" s="61">
        <f t="array" ref="J494">if(YEAR(A494)=2025,XLOOKUP(B494,Lookup!$F$3:$F$10,Lookup!$I$3:$I$10,,1)*G494, XLOOKUP(B494,Lookup!$F$14:$F$21,Lookup!$I$14:$I$21,,1)*G494)</f>
        <v>0</v>
      </c>
      <c r="K494" s="61">
        <f t="array" ref="K494">if(B494&gt;54, if(YEAR(A494)=2025,XLOOKUP(B494,Lookup!$F$3:$F$10,Lookup!$H$3:$H$10,,1)*G494, XLOOKUP(B494,Lookup!$F$14:$F$21,Lookup!$H$14:$H$21,,1)*G494),0)</f>
        <v>0</v>
      </c>
      <c r="L494" s="62">
        <f>IF(and(A494&lt;questions!$C$19,questions!$C$18="yes"),questions!$C$20,0)</f>
        <v>0</v>
      </c>
      <c r="M494" s="63">
        <f>(Y493+H494)*Lookup!A$26/12</f>
        <v>2200.671747</v>
      </c>
      <c r="N494" s="63">
        <f>if(B494&lt;55, (Z493+I494)*Lookup!B$26/12, (AB493+K494)*Lookup!B$26/12)</f>
        <v>3532.139978</v>
      </c>
      <c r="O494" s="63">
        <f>(AA493+J494)*Lookup!C$26/12</f>
        <v>940.3700287</v>
      </c>
      <c r="P494" s="63">
        <f t="shared" si="8"/>
        <v>4401.343495</v>
      </c>
      <c r="Q494" s="63">
        <f t="shared" si="4"/>
        <v>7064.279957</v>
      </c>
      <c r="R494" s="63">
        <f t="shared" si="5"/>
        <v>1880.740057</v>
      </c>
      <c r="S494" s="64">
        <f t="shared" si="9"/>
        <v>33.33333333</v>
      </c>
      <c r="T494" s="64">
        <f t="shared" si="10"/>
        <v>41.66666667</v>
      </c>
      <c r="U494" s="64">
        <f t="shared" si="11"/>
        <v>0</v>
      </c>
      <c r="V494" s="64">
        <f t="shared" ref="V494:X494" si="502">IF(year($A494)=year($A493), V493+S494, S494)</f>
        <v>66.66666667</v>
      </c>
      <c r="W494" s="64">
        <f t="shared" si="502"/>
        <v>83.33333333</v>
      </c>
      <c r="X494" s="64">
        <f t="shared" si="502"/>
        <v>0</v>
      </c>
      <c r="Y494" s="65">
        <f>IFS(
  B494&lt;55,
    MAX(
      Y493 + IF(MONTH(A494)=12, P494+V494, 0) + H494 - L494
      + MAX(0,
          IF(AA493 &gt;= VLOOKUP(YEAR(A494), Lookup!$Q:$R, 2),
            Z493 + IF(MONTH(A494)=12, Q494+W494, 0) + I494
              + AA493 + IF(MONTH(A494)=12, R494+X494, 0)
              - VLOOKUP(YEAR(A494), Lookup!$Q:$R, 2) + J494,
            Z493 + IF(MONTH(A494)=12, Q494+W494, 0) + I494
          ) - VLOOKUP(YEAR(A494), Lookup!$K:$M, 3)
        ),
    0),
  B494=55,
    IF(Z493&gt;=AD494,
      MAX(Y493 + IF(MONTH(A494)=12, P494+V494, 0) + H494 - L494, 0),
      MAX(MAX(0, Y493-(AD494-Z493)) + IF(MONTH(A494)=12, P494+V494, 0) + H494 - L494, 0)
    ),
  B494&gt;55,
    IF(AB493&gt;=$AH$7,
      MAX(Y493 + IF(MONTH(A494)=12, P494+V494, 0) + H494 - L494 + K494 + Z493, 0),
      MAX(Y493 + IF(MONTH(A494)=12, P494+V494, 0) + H494 - L494, 0)
    )
)</f>
        <v>1056322.439</v>
      </c>
      <c r="Z494" s="65">
        <f>IFS(
  B494&lt;55,
    MIN(
      IF(AA493 &gt;= VLOOKUP(YEAR(A494), Lookup!$Q:$R, 2),
        Z493 + IF(MONTH(A494)=12, Q494+W494, 0) + I494
          + AA493 + IF(MONTH(A494)=12, R494+X494, 0) - VLOOKUP(YEAR(A494), Lookup!$Q:$R, 2) + J494,
        Z493 + IF(MONTH(A494)=12, Q494+W494, 0) + I494
      ),
      VLOOKUP(YEAR(A494), Lookup!$K:$M, 3)
    ),
  B494=55,
    IF(Z493 &gt;= AD494, Z493 - AD494, 0),
  B494&gt;55, 0
)</f>
        <v>0</v>
      </c>
      <c r="AA494" s="65">
        <f>IFS(
  B494&lt;65,
    IF(AA493+J494 &lt; VLOOKUP(YEAR(A494), Lookup!$Q:$R, 2),
      AA493 + IF(MONTH(A494)=12, R493+X493, 0) + J494,
      MIN(
        AA493 + IF(MONTH(A494)=12, R493+X493, 0) + J494 ,
        VLOOKUP(YEAR(A494), Lookup!$Q:$R, 2)
      )
    ),
  B494&gt;=65,
    IF(AA493+J494 &lt; VLOOKUP(questions!$C$5, Lookup!$Q:$R, 2),
      AA493 + IF(MONTH(A494)=12, R493+X493, 0) + J494 ,
      MIN(
        AA493 + IF(MONTH(A494)=12, R493+X493, 0) + J494,
        VLOOKUP(questions!$C$5, Lookup!$Q:$R, 2)
      )
    )
)</f>
        <v>282111.0086</v>
      </c>
      <c r="AB494" s="65">
        <f t="shared" si="13"/>
        <v>1059641.993</v>
      </c>
      <c r="AC494" s="66">
        <f t="array" ref="AC494">IFS(B494&lt;66, XLOOKUP(year(A494),Lookup!$K$13:$K1000,Lookup!$L$13:$L1000,"missing",,1),B494&gt;65,XLOOKUP(questions!$C$5,Lookup!$K$13:$K1000,Lookup!$L$13:$L1000,"missing",,1))</f>
        <v>393675.3633</v>
      </c>
      <c r="AD494" s="66">
        <f t="array" ref="AD494">IFS(B494&lt;66, XLOOKUP(year(A494),Lookup!$K$13:$K1000,Lookup!$M$13:$M1000,"missing",,1),B494&gt;65, XLOOKUP(questions!$C$5,Lookup!$K$13:$K1000,Lookup!$M$13:$M1000,"missing",,1))</f>
        <v>787350.7266</v>
      </c>
      <c r="AE494" s="66">
        <f t="array" ref="AE494">IFS(B494&lt;66, XLOOKUP(year(A494),Lookup!$K$13:$K1000,Lookup!$N$13:$N1000,"missing",,1),B494&gt;65,XLOOKUP(questions!$C$5,Lookup!$K$13:$K1000,Lookup!$N$13:$N1000,"missing",,1))</f>
        <v>1574701.453</v>
      </c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</row>
    <row r="495">
      <c r="A495" s="55">
        <f t="shared" si="7"/>
        <v>61087</v>
      </c>
      <c r="B495" s="56">
        <f>round(YEARFRAC(EOMONTH(questions!$C$3, 0),A495,1),2)</f>
        <v>68.33</v>
      </c>
      <c r="C495" s="58">
        <f>IF(B495&lt;questions!$C$6,if(MONTH(A495)=1,C494*(1+questions!$C$12),C494),0)</f>
        <v>0</v>
      </c>
      <c r="D495" s="58">
        <f>IF(MONTH(A495)=12,C495*questions!$C$11,0)</f>
        <v>0</v>
      </c>
      <c r="E495" s="71">
        <f t="shared" si="2"/>
        <v>0</v>
      </c>
      <c r="F495" s="71">
        <f t="shared" si="3"/>
        <v>0</v>
      </c>
      <c r="G495" s="61">
        <f t="array" ref="G495">if(YEAR(A495)=2025,XLOOKUP(B495,Lookup!$A$3:$A$7,Lookup!$D$3:$D$7,,1)*SUM(E495:F495), XLOOKUP(B495,Lookup!$A$14:$A$18,Lookup!$D$14:$D$18,,1)*SUM(E495:F495))</f>
        <v>0</v>
      </c>
      <c r="H495" s="61">
        <f t="array" ref="H495">if(YEAR(A495)=2025,XLOOKUP(B495,Lookup!$F$3:$F$10,Lookup!$G$3:$G$10,,1)*G495, XLOOKUP(B495,Lookup!$F$14:$F$21,Lookup!$G$14:$G$21,,1)*G495)</f>
        <v>0</v>
      </c>
      <c r="I495" s="61">
        <f t="array" ref="I495">if(B495&lt;55, if(YEAR(A495)=2025,XLOOKUP(B495,Lookup!$F$3:$F$10,Lookup!$H$3:$H$10,,1)*G495, XLOOKUP(B495,Lookup!$F$14:$F$21,Lookup!$H$14:$H$21,,1)*G495),0)</f>
        <v>0</v>
      </c>
      <c r="J495" s="61">
        <f t="array" ref="J495">if(YEAR(A495)=2025,XLOOKUP(B495,Lookup!$F$3:$F$10,Lookup!$I$3:$I$10,,1)*G495, XLOOKUP(B495,Lookup!$F$14:$F$21,Lookup!$I$14:$I$21,,1)*G495)</f>
        <v>0</v>
      </c>
      <c r="K495" s="61">
        <f t="array" ref="K495">if(B495&gt;54, if(YEAR(A495)=2025,XLOOKUP(B495,Lookup!$F$3:$F$10,Lookup!$H$3:$H$10,,1)*G495, XLOOKUP(B495,Lookup!$F$14:$F$21,Lookup!$H$14:$H$21,,1)*G495),0)</f>
        <v>0</v>
      </c>
      <c r="L495" s="62">
        <f>IF(and(A495&lt;questions!$C$19,questions!$C$18="yes"),questions!$C$20,0)</f>
        <v>0</v>
      </c>
      <c r="M495" s="63">
        <f>(Y494+H495)*Lookup!A$26/12</f>
        <v>2200.671747</v>
      </c>
      <c r="N495" s="63">
        <f>if(B495&lt;55, (Z494+I495)*Lookup!B$26/12, (AB494+K495)*Lookup!B$26/12)</f>
        <v>3532.139978</v>
      </c>
      <c r="O495" s="63">
        <f>(AA494+J495)*Lookup!C$26/12</f>
        <v>940.3700287</v>
      </c>
      <c r="P495" s="63">
        <f t="shared" si="8"/>
        <v>6602.015242</v>
      </c>
      <c r="Q495" s="63">
        <f t="shared" si="4"/>
        <v>10596.41993</v>
      </c>
      <c r="R495" s="63">
        <f t="shared" si="5"/>
        <v>2821.110086</v>
      </c>
      <c r="S495" s="64">
        <f t="shared" si="9"/>
        <v>33.33333333</v>
      </c>
      <c r="T495" s="64">
        <f t="shared" si="10"/>
        <v>41.66666667</v>
      </c>
      <c r="U495" s="64">
        <f t="shared" si="11"/>
        <v>0</v>
      </c>
      <c r="V495" s="64">
        <f t="shared" ref="V495:X495" si="503">IF(year($A495)=year($A494), V494+S495, S495)</f>
        <v>100</v>
      </c>
      <c r="W495" s="64">
        <f t="shared" si="503"/>
        <v>125</v>
      </c>
      <c r="X495" s="64">
        <f t="shared" si="503"/>
        <v>0</v>
      </c>
      <c r="Y495" s="65">
        <f>IFS(
  B495&lt;55,
    MAX(
      Y494 + IF(MONTH(A495)=12, P495+V495, 0) + H495 - L495
      + MAX(0,
          IF(AA494 &gt;= VLOOKUP(YEAR(A495), Lookup!$Q:$R, 2),
            Z494 + IF(MONTH(A495)=12, Q495+W495, 0) + I495
              + AA494 + IF(MONTH(A495)=12, R495+X495, 0)
              - VLOOKUP(YEAR(A495), Lookup!$Q:$R, 2) + J495,
            Z494 + IF(MONTH(A495)=12, Q495+W495, 0) + I495
          ) - VLOOKUP(YEAR(A495), Lookup!$K:$M, 3)
        ),
    0),
  B495=55,
    IF(Z494&gt;=AD495,
      MAX(Y494 + IF(MONTH(A495)=12, P495+V495, 0) + H495 - L495, 0),
      MAX(MAX(0, Y494-(AD495-Z494)) + IF(MONTH(A495)=12, P495+V495, 0) + H495 - L495, 0)
    ),
  B495&gt;55,
    IF(AB494&gt;=$AH$7,
      MAX(Y494 + IF(MONTH(A495)=12, P495+V495, 0) + H495 - L495 + K495 + Z494, 0),
      MAX(Y494 + IF(MONTH(A495)=12, P495+V495, 0) + H495 - L495, 0)
    )
)</f>
        <v>1056322.439</v>
      </c>
      <c r="Z495" s="65">
        <f>IFS(
  B495&lt;55,
    MIN(
      IF(AA494 &gt;= VLOOKUP(YEAR(A495), Lookup!$Q:$R, 2),
        Z494 + IF(MONTH(A495)=12, Q495+W495, 0) + I495
          + AA494 + IF(MONTH(A495)=12, R495+X495, 0) - VLOOKUP(YEAR(A495), Lookup!$Q:$R, 2) + J495,
        Z494 + IF(MONTH(A495)=12, Q495+W495, 0) + I495
      ),
      VLOOKUP(YEAR(A495), Lookup!$K:$M, 3)
    ),
  B495=55,
    IF(Z494 &gt;= AD495, Z494 - AD495, 0),
  B495&gt;55, 0
)</f>
        <v>0</v>
      </c>
      <c r="AA495" s="65">
        <f>IFS(
  B495&lt;65,
    IF(AA494+J495 &lt; VLOOKUP(YEAR(A495), Lookup!$Q:$R, 2),
      AA494 + IF(MONTH(A495)=12, R494+X494, 0) + J495,
      MIN(
        AA494 + IF(MONTH(A495)=12, R494+X494, 0) + J495 ,
        VLOOKUP(YEAR(A495), Lookup!$Q:$R, 2)
      )
    ),
  B495&gt;=65,
    IF(AA494+J495 &lt; VLOOKUP(questions!$C$5, Lookup!$Q:$R, 2),
      AA494 + IF(MONTH(A495)=12, R494+X494, 0) + J495 ,
      MIN(
        AA494 + IF(MONTH(A495)=12, R494+X494, 0) + J495,
        VLOOKUP(questions!$C$5, Lookup!$Q:$R, 2)
      )
    )
)</f>
        <v>282111.0086</v>
      </c>
      <c r="AB495" s="65">
        <f t="shared" si="13"/>
        <v>1059641.993</v>
      </c>
      <c r="AC495" s="66">
        <f t="array" ref="AC495">IFS(B495&lt;66, XLOOKUP(year(A495),Lookup!$K$13:$K1000,Lookup!$L$13:$L1000,"missing",,1),B495&gt;65,XLOOKUP(questions!$C$5,Lookup!$K$13:$K1000,Lookup!$L$13:$L1000,"missing",,1))</f>
        <v>393675.3633</v>
      </c>
      <c r="AD495" s="66">
        <f t="array" ref="AD495">IFS(B495&lt;66, XLOOKUP(year(A495),Lookup!$K$13:$K1000,Lookup!$M$13:$M1000,"missing",,1),B495&gt;65, XLOOKUP(questions!$C$5,Lookup!$K$13:$K1000,Lookup!$M$13:$M1000,"missing",,1))</f>
        <v>787350.7266</v>
      </c>
      <c r="AE495" s="66">
        <f t="array" ref="AE495">IFS(B495&lt;66, XLOOKUP(year(A495),Lookup!$K$13:$K1000,Lookup!$N$13:$N1000,"missing",,1),B495&gt;65,XLOOKUP(questions!$C$5,Lookup!$K$13:$K1000,Lookup!$N$13:$N1000,"missing",,1))</f>
        <v>1574701.453</v>
      </c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</row>
    <row r="496">
      <c r="A496" s="55">
        <f t="shared" si="7"/>
        <v>61117</v>
      </c>
      <c r="B496" s="56">
        <f>round(YEARFRAC(EOMONTH(questions!$C$3, 0),A496,1),2)</f>
        <v>68.41</v>
      </c>
      <c r="C496" s="58">
        <f>IF(B496&lt;questions!$C$6,if(MONTH(A496)=1,C495*(1+questions!$C$12),C495),0)</f>
        <v>0</v>
      </c>
      <c r="D496" s="58">
        <f>IF(MONTH(A496)=12,C496*questions!$C$11,0)</f>
        <v>0</v>
      </c>
      <c r="E496" s="71">
        <f t="shared" si="2"/>
        <v>0</v>
      </c>
      <c r="F496" s="71">
        <f t="shared" si="3"/>
        <v>0</v>
      </c>
      <c r="G496" s="61">
        <f t="array" ref="G496">if(YEAR(A496)=2025,XLOOKUP(B496,Lookup!$A$3:$A$7,Lookup!$D$3:$D$7,,1)*SUM(E496:F496), XLOOKUP(B496,Lookup!$A$14:$A$18,Lookup!$D$14:$D$18,,1)*SUM(E496:F496))</f>
        <v>0</v>
      </c>
      <c r="H496" s="61">
        <f t="array" ref="H496">if(YEAR(A496)=2025,XLOOKUP(B496,Lookup!$F$3:$F$10,Lookup!$G$3:$G$10,,1)*G496, XLOOKUP(B496,Lookup!$F$14:$F$21,Lookup!$G$14:$G$21,,1)*G496)</f>
        <v>0</v>
      </c>
      <c r="I496" s="61">
        <f t="array" ref="I496">if(B496&lt;55, if(YEAR(A496)=2025,XLOOKUP(B496,Lookup!$F$3:$F$10,Lookup!$H$3:$H$10,,1)*G496, XLOOKUP(B496,Lookup!$F$14:$F$21,Lookup!$H$14:$H$21,,1)*G496),0)</f>
        <v>0</v>
      </c>
      <c r="J496" s="61">
        <f t="array" ref="J496">if(YEAR(A496)=2025,XLOOKUP(B496,Lookup!$F$3:$F$10,Lookup!$I$3:$I$10,,1)*G496, XLOOKUP(B496,Lookup!$F$14:$F$21,Lookup!$I$14:$I$21,,1)*G496)</f>
        <v>0</v>
      </c>
      <c r="K496" s="61">
        <f t="array" ref="K496">if(B496&gt;54, if(YEAR(A496)=2025,XLOOKUP(B496,Lookup!$F$3:$F$10,Lookup!$H$3:$H$10,,1)*G496, XLOOKUP(B496,Lookup!$F$14:$F$21,Lookup!$H$14:$H$21,,1)*G496),0)</f>
        <v>0</v>
      </c>
      <c r="L496" s="62">
        <f>IF(and(A496&lt;questions!$C$19,questions!$C$18="yes"),questions!$C$20,0)</f>
        <v>0</v>
      </c>
      <c r="M496" s="63">
        <f>(Y495+H496)*Lookup!A$26/12</f>
        <v>2200.671747</v>
      </c>
      <c r="N496" s="63">
        <f>if(B496&lt;55, (Z495+I496)*Lookup!B$26/12, (AB495+K496)*Lookup!B$26/12)</f>
        <v>3532.139978</v>
      </c>
      <c r="O496" s="63">
        <f>(AA495+J496)*Lookup!C$26/12</f>
        <v>940.3700287</v>
      </c>
      <c r="P496" s="63">
        <f t="shared" si="8"/>
        <v>8802.68699</v>
      </c>
      <c r="Q496" s="63">
        <f t="shared" si="4"/>
        <v>14128.55991</v>
      </c>
      <c r="R496" s="63">
        <f t="shared" si="5"/>
        <v>3761.480115</v>
      </c>
      <c r="S496" s="64">
        <f t="shared" si="9"/>
        <v>33.33333333</v>
      </c>
      <c r="T496" s="64">
        <f t="shared" si="10"/>
        <v>41.66666667</v>
      </c>
      <c r="U496" s="64">
        <f t="shared" si="11"/>
        <v>0</v>
      </c>
      <c r="V496" s="64">
        <f t="shared" ref="V496:X496" si="504">IF(year($A496)=year($A495), V495+S496, S496)</f>
        <v>133.3333333</v>
      </c>
      <c r="W496" s="64">
        <f t="shared" si="504"/>
        <v>166.6666667</v>
      </c>
      <c r="X496" s="64">
        <f t="shared" si="504"/>
        <v>0</v>
      </c>
      <c r="Y496" s="65">
        <f>IFS(
  B496&lt;55,
    MAX(
      Y495 + IF(MONTH(A496)=12, P496+V496, 0) + H496 - L496
      + MAX(0,
          IF(AA495 &gt;= VLOOKUP(YEAR(A496), Lookup!$Q:$R, 2),
            Z495 + IF(MONTH(A496)=12, Q496+W496, 0) + I496
              + AA495 + IF(MONTH(A496)=12, R496+X496, 0)
              - VLOOKUP(YEAR(A496), Lookup!$Q:$R, 2) + J496,
            Z495 + IF(MONTH(A496)=12, Q496+W496, 0) + I496
          ) - VLOOKUP(YEAR(A496), Lookup!$K:$M, 3)
        ),
    0),
  B496=55,
    IF(Z495&gt;=AD496,
      MAX(Y495 + IF(MONTH(A496)=12, P496+V496, 0) + H496 - L496, 0),
      MAX(MAX(0, Y495-(AD496-Z495)) + IF(MONTH(A496)=12, P496+V496, 0) + H496 - L496, 0)
    ),
  B496&gt;55,
    IF(AB495&gt;=$AH$7,
      MAX(Y495 + IF(MONTH(A496)=12, P496+V496, 0) + H496 - L496 + K496 + Z495, 0),
      MAX(Y495 + IF(MONTH(A496)=12, P496+V496, 0) + H496 - L496, 0)
    )
)</f>
        <v>1056322.439</v>
      </c>
      <c r="Z496" s="65">
        <f>IFS(
  B496&lt;55,
    MIN(
      IF(AA495 &gt;= VLOOKUP(YEAR(A496), Lookup!$Q:$R, 2),
        Z495 + IF(MONTH(A496)=12, Q496+W496, 0) + I496
          + AA495 + IF(MONTH(A496)=12, R496+X496, 0) - VLOOKUP(YEAR(A496), Lookup!$Q:$R, 2) + J496,
        Z495 + IF(MONTH(A496)=12, Q496+W496, 0) + I496
      ),
      VLOOKUP(YEAR(A496), Lookup!$K:$M, 3)
    ),
  B496=55,
    IF(Z495 &gt;= AD496, Z495 - AD496, 0),
  B496&gt;55, 0
)</f>
        <v>0</v>
      </c>
      <c r="AA496" s="65">
        <f>IFS(
  B496&lt;65,
    IF(AA495+J496 &lt; VLOOKUP(YEAR(A496), Lookup!$Q:$R, 2),
      AA495 + IF(MONTH(A496)=12, R495+X495, 0) + J496,
      MIN(
        AA495 + IF(MONTH(A496)=12, R495+X495, 0) + J496 ,
        VLOOKUP(YEAR(A496), Lookup!$Q:$R, 2)
      )
    ),
  B496&gt;=65,
    IF(AA495+J496 &lt; VLOOKUP(questions!$C$5, Lookup!$Q:$R, 2),
      AA495 + IF(MONTH(A496)=12, R495+X495, 0) + J496 ,
      MIN(
        AA495 + IF(MONTH(A496)=12, R495+X495, 0) + J496,
        VLOOKUP(questions!$C$5, Lookup!$Q:$R, 2)
      )
    )
)</f>
        <v>282111.0086</v>
      </c>
      <c r="AB496" s="65">
        <f t="shared" si="13"/>
        <v>1059641.993</v>
      </c>
      <c r="AC496" s="66">
        <f t="array" ref="AC496">IFS(B496&lt;66, XLOOKUP(year(A496),Lookup!$K$13:$K1000,Lookup!$L$13:$L1000,"missing",,1),B496&gt;65,XLOOKUP(questions!$C$5,Lookup!$K$13:$K1000,Lookup!$L$13:$L1000,"missing",,1))</f>
        <v>393675.3633</v>
      </c>
      <c r="AD496" s="66">
        <f t="array" ref="AD496">IFS(B496&lt;66, XLOOKUP(year(A496),Lookup!$K$13:$K1000,Lookup!$M$13:$M1000,"missing",,1),B496&gt;65, XLOOKUP(questions!$C$5,Lookup!$K$13:$K1000,Lookup!$M$13:$M1000,"missing",,1))</f>
        <v>787350.7266</v>
      </c>
      <c r="AE496" s="66">
        <f t="array" ref="AE496">IFS(B496&lt;66, XLOOKUP(year(A496),Lookup!$K$13:$K1000,Lookup!$N$13:$N1000,"missing",,1),B496&gt;65,XLOOKUP(questions!$C$5,Lookup!$K$13:$K1000,Lookup!$N$13:$N1000,"missing",,1))</f>
        <v>1574701.453</v>
      </c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</row>
    <row r="497">
      <c r="A497" s="55">
        <f t="shared" si="7"/>
        <v>61148</v>
      </c>
      <c r="B497" s="56">
        <f>round(YEARFRAC(EOMONTH(questions!$C$3, 0),A497,1),2)</f>
        <v>68.5</v>
      </c>
      <c r="C497" s="58">
        <f>IF(B497&lt;questions!$C$6,if(MONTH(A497)=1,C496*(1+questions!$C$12),C496),0)</f>
        <v>0</v>
      </c>
      <c r="D497" s="58">
        <f>IF(MONTH(A497)=12,C497*questions!$C$11,0)</f>
        <v>0</v>
      </c>
      <c r="E497" s="71">
        <f t="shared" si="2"/>
        <v>0</v>
      </c>
      <c r="F497" s="71">
        <f t="shared" si="3"/>
        <v>0</v>
      </c>
      <c r="G497" s="61">
        <f t="array" ref="G497">if(YEAR(A497)=2025,XLOOKUP(B497,Lookup!$A$3:$A$7,Lookup!$D$3:$D$7,,1)*SUM(E497:F497), XLOOKUP(B497,Lookup!$A$14:$A$18,Lookup!$D$14:$D$18,,1)*SUM(E497:F497))</f>
        <v>0</v>
      </c>
      <c r="H497" s="61">
        <f t="array" ref="H497">if(YEAR(A497)=2025,XLOOKUP(B497,Lookup!$F$3:$F$10,Lookup!$G$3:$G$10,,1)*G497, XLOOKUP(B497,Lookup!$F$14:$F$21,Lookup!$G$14:$G$21,,1)*G497)</f>
        <v>0</v>
      </c>
      <c r="I497" s="61">
        <f t="array" ref="I497">if(B497&lt;55, if(YEAR(A497)=2025,XLOOKUP(B497,Lookup!$F$3:$F$10,Lookup!$H$3:$H$10,,1)*G497, XLOOKUP(B497,Lookup!$F$14:$F$21,Lookup!$H$14:$H$21,,1)*G497),0)</f>
        <v>0</v>
      </c>
      <c r="J497" s="61">
        <f t="array" ref="J497">if(YEAR(A497)=2025,XLOOKUP(B497,Lookup!$F$3:$F$10,Lookup!$I$3:$I$10,,1)*G497, XLOOKUP(B497,Lookup!$F$14:$F$21,Lookup!$I$14:$I$21,,1)*G497)</f>
        <v>0</v>
      </c>
      <c r="K497" s="61">
        <f t="array" ref="K497">if(B497&gt;54, if(YEAR(A497)=2025,XLOOKUP(B497,Lookup!$F$3:$F$10,Lookup!$H$3:$H$10,,1)*G497, XLOOKUP(B497,Lookup!$F$14:$F$21,Lookup!$H$14:$H$21,,1)*G497),0)</f>
        <v>0</v>
      </c>
      <c r="L497" s="62">
        <f>IF(and(A497&lt;questions!$C$19,questions!$C$18="yes"),questions!$C$20,0)</f>
        <v>0</v>
      </c>
      <c r="M497" s="63">
        <f>(Y496+H497)*Lookup!A$26/12</f>
        <v>2200.671747</v>
      </c>
      <c r="N497" s="63">
        <f>if(B497&lt;55, (Z496+I497)*Lookup!B$26/12, (AB496+K497)*Lookup!B$26/12)</f>
        <v>3532.139978</v>
      </c>
      <c r="O497" s="63">
        <f>(AA496+J497)*Lookup!C$26/12</f>
        <v>940.3700287</v>
      </c>
      <c r="P497" s="63">
        <f t="shared" si="8"/>
        <v>11003.35874</v>
      </c>
      <c r="Q497" s="63">
        <f t="shared" si="4"/>
        <v>17660.69989</v>
      </c>
      <c r="R497" s="63">
        <f t="shared" si="5"/>
        <v>4701.850143</v>
      </c>
      <c r="S497" s="64">
        <f t="shared" si="9"/>
        <v>33.33333333</v>
      </c>
      <c r="T497" s="64">
        <f t="shared" si="10"/>
        <v>41.66666667</v>
      </c>
      <c r="U497" s="64">
        <f t="shared" si="11"/>
        <v>0</v>
      </c>
      <c r="V497" s="64">
        <f t="shared" ref="V497:X497" si="505">IF(year($A497)=year($A496), V496+S497, S497)</f>
        <v>166.6666667</v>
      </c>
      <c r="W497" s="64">
        <f t="shared" si="505"/>
        <v>208.3333333</v>
      </c>
      <c r="X497" s="64">
        <f t="shared" si="505"/>
        <v>0</v>
      </c>
      <c r="Y497" s="65">
        <f>IFS(
  B497&lt;55,
    MAX(
      Y496 + IF(MONTH(A497)=12, P497+V497, 0) + H497 - L497
      + MAX(0,
          IF(AA496 &gt;= VLOOKUP(YEAR(A497), Lookup!$Q:$R, 2),
            Z496 + IF(MONTH(A497)=12, Q497+W497, 0) + I497
              + AA496 + IF(MONTH(A497)=12, R497+X497, 0)
              - VLOOKUP(YEAR(A497), Lookup!$Q:$R, 2) + J497,
            Z496 + IF(MONTH(A497)=12, Q497+W497, 0) + I497
          ) - VLOOKUP(YEAR(A497), Lookup!$K:$M, 3)
        ),
    0),
  B497=55,
    IF(Z496&gt;=AD497,
      MAX(Y496 + IF(MONTH(A497)=12, P497+V497, 0) + H497 - L497, 0),
      MAX(MAX(0, Y496-(AD497-Z496)) + IF(MONTH(A497)=12, P497+V497, 0) + H497 - L497, 0)
    ),
  B497&gt;55,
    IF(AB496&gt;=$AH$7,
      MAX(Y496 + IF(MONTH(A497)=12, P497+V497, 0) + H497 - L497 + K497 + Z496, 0),
      MAX(Y496 + IF(MONTH(A497)=12, P497+V497, 0) + H497 - L497, 0)
    )
)</f>
        <v>1056322.439</v>
      </c>
      <c r="Z497" s="65">
        <f>IFS(
  B497&lt;55,
    MIN(
      IF(AA496 &gt;= VLOOKUP(YEAR(A497), Lookup!$Q:$R, 2),
        Z496 + IF(MONTH(A497)=12, Q497+W497, 0) + I497
          + AA496 + IF(MONTH(A497)=12, R497+X497, 0) - VLOOKUP(YEAR(A497), Lookup!$Q:$R, 2) + J497,
        Z496 + IF(MONTH(A497)=12, Q497+W497, 0) + I497
      ),
      VLOOKUP(YEAR(A497), Lookup!$K:$M, 3)
    ),
  B497=55,
    IF(Z496 &gt;= AD497, Z496 - AD497, 0),
  B497&gt;55, 0
)</f>
        <v>0</v>
      </c>
      <c r="AA497" s="65">
        <f>IFS(
  B497&lt;65,
    IF(AA496+J497 &lt; VLOOKUP(YEAR(A497), Lookup!$Q:$R, 2),
      AA496 + IF(MONTH(A497)=12, R496+X496, 0) + J497,
      MIN(
        AA496 + IF(MONTH(A497)=12, R496+X496, 0) + J497 ,
        VLOOKUP(YEAR(A497), Lookup!$Q:$R, 2)
      )
    ),
  B497&gt;=65,
    IF(AA496+J497 &lt; VLOOKUP(questions!$C$5, Lookup!$Q:$R, 2),
      AA496 + IF(MONTH(A497)=12, R496+X496, 0) + J497 ,
      MIN(
        AA496 + IF(MONTH(A497)=12, R496+X496, 0) + J497,
        VLOOKUP(questions!$C$5, Lookup!$Q:$R, 2)
      )
    )
)</f>
        <v>282111.0086</v>
      </c>
      <c r="AB497" s="65">
        <f t="shared" si="13"/>
        <v>1059641.993</v>
      </c>
      <c r="AC497" s="66">
        <f t="array" ref="AC497">IFS(B497&lt;66, XLOOKUP(year(A497),Lookup!$K$13:$K1000,Lookup!$L$13:$L1000,"missing",,1),B497&gt;65,XLOOKUP(questions!$C$5,Lookup!$K$13:$K1000,Lookup!$L$13:$L1000,"missing",,1))</f>
        <v>393675.3633</v>
      </c>
      <c r="AD497" s="66">
        <f t="array" ref="AD497">IFS(B497&lt;66, XLOOKUP(year(A497),Lookup!$K$13:$K1000,Lookup!$M$13:$M1000,"missing",,1),B497&gt;65, XLOOKUP(questions!$C$5,Lookup!$K$13:$K1000,Lookup!$M$13:$M1000,"missing",,1))</f>
        <v>787350.7266</v>
      </c>
      <c r="AE497" s="66">
        <f t="array" ref="AE497">IFS(B497&lt;66, XLOOKUP(year(A497),Lookup!$K$13:$K1000,Lookup!$N$13:$N1000,"missing",,1),B497&gt;65,XLOOKUP(questions!$C$5,Lookup!$K$13:$K1000,Lookup!$N$13:$N1000,"missing",,1))</f>
        <v>1574701.453</v>
      </c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</row>
    <row r="498">
      <c r="A498" s="55">
        <f t="shared" si="7"/>
        <v>61178</v>
      </c>
      <c r="B498" s="56">
        <f>round(YEARFRAC(EOMONTH(questions!$C$3, 0),A498,1),2)</f>
        <v>68.58</v>
      </c>
      <c r="C498" s="58">
        <f>IF(B498&lt;questions!$C$6,if(MONTH(A498)=1,C497*(1+questions!$C$12),C497),0)</f>
        <v>0</v>
      </c>
      <c r="D498" s="58">
        <f>IF(MONTH(A498)=12,C498*questions!$C$11,0)</f>
        <v>0</v>
      </c>
      <c r="E498" s="71">
        <f t="shared" si="2"/>
        <v>0</v>
      </c>
      <c r="F498" s="71">
        <f t="shared" si="3"/>
        <v>0</v>
      </c>
      <c r="G498" s="61">
        <f t="array" ref="G498">if(YEAR(A498)=2025,XLOOKUP(B498,Lookup!$A$3:$A$7,Lookup!$D$3:$D$7,,1)*SUM(E498:F498), XLOOKUP(B498,Lookup!$A$14:$A$18,Lookup!$D$14:$D$18,,1)*SUM(E498:F498))</f>
        <v>0</v>
      </c>
      <c r="H498" s="61">
        <f t="array" ref="H498">if(YEAR(A498)=2025,XLOOKUP(B498,Lookup!$F$3:$F$10,Lookup!$G$3:$G$10,,1)*G498, XLOOKUP(B498,Lookup!$F$14:$F$21,Lookup!$G$14:$G$21,,1)*G498)</f>
        <v>0</v>
      </c>
      <c r="I498" s="61">
        <f t="array" ref="I498">if(B498&lt;55, if(YEAR(A498)=2025,XLOOKUP(B498,Lookup!$F$3:$F$10,Lookup!$H$3:$H$10,,1)*G498, XLOOKUP(B498,Lookup!$F$14:$F$21,Lookup!$H$14:$H$21,,1)*G498),0)</f>
        <v>0</v>
      </c>
      <c r="J498" s="61">
        <f t="array" ref="J498">if(YEAR(A498)=2025,XLOOKUP(B498,Lookup!$F$3:$F$10,Lookup!$I$3:$I$10,,1)*G498, XLOOKUP(B498,Lookup!$F$14:$F$21,Lookup!$I$14:$I$21,,1)*G498)</f>
        <v>0</v>
      </c>
      <c r="K498" s="61">
        <f t="array" ref="K498">if(B498&gt;54, if(YEAR(A498)=2025,XLOOKUP(B498,Lookup!$F$3:$F$10,Lookup!$H$3:$H$10,,1)*G498, XLOOKUP(B498,Lookup!$F$14:$F$21,Lookup!$H$14:$H$21,,1)*G498),0)</f>
        <v>0</v>
      </c>
      <c r="L498" s="62">
        <f>IF(and(A498&lt;questions!$C$19,questions!$C$18="yes"),questions!$C$20,0)</f>
        <v>0</v>
      </c>
      <c r="M498" s="63">
        <f>(Y497+H498)*Lookup!A$26/12</f>
        <v>2200.671747</v>
      </c>
      <c r="N498" s="63">
        <f>if(B498&lt;55, (Z497+I498)*Lookup!B$26/12, (AB497+K498)*Lookup!B$26/12)</f>
        <v>3532.139978</v>
      </c>
      <c r="O498" s="63">
        <f>(AA497+J498)*Lookup!C$26/12</f>
        <v>940.3700287</v>
      </c>
      <c r="P498" s="63">
        <f t="shared" si="8"/>
        <v>13204.03048</v>
      </c>
      <c r="Q498" s="63">
        <f t="shared" si="4"/>
        <v>21192.83987</v>
      </c>
      <c r="R498" s="63">
        <f t="shared" si="5"/>
        <v>5642.220172</v>
      </c>
      <c r="S498" s="64">
        <f t="shared" si="9"/>
        <v>33.33333333</v>
      </c>
      <c r="T498" s="64">
        <f t="shared" si="10"/>
        <v>41.66666667</v>
      </c>
      <c r="U498" s="64">
        <f t="shared" si="11"/>
        <v>0</v>
      </c>
      <c r="V498" s="64">
        <f t="shared" ref="V498:X498" si="506">IF(year($A498)=year($A497), V497+S498, S498)</f>
        <v>200</v>
      </c>
      <c r="W498" s="64">
        <f t="shared" si="506"/>
        <v>250</v>
      </c>
      <c r="X498" s="64">
        <f t="shared" si="506"/>
        <v>0</v>
      </c>
      <c r="Y498" s="65">
        <f>IFS(
  B498&lt;55,
    MAX(
      Y497 + IF(MONTH(A498)=12, P498+V498, 0) + H498 - L498
      + MAX(0,
          IF(AA497 &gt;= VLOOKUP(YEAR(A498), Lookup!$Q:$R, 2),
            Z497 + IF(MONTH(A498)=12, Q498+W498, 0) + I498
              + AA497 + IF(MONTH(A498)=12, R498+X498, 0)
              - VLOOKUP(YEAR(A498), Lookup!$Q:$R, 2) + J498,
            Z497 + IF(MONTH(A498)=12, Q498+W498, 0) + I498
          ) - VLOOKUP(YEAR(A498), Lookup!$K:$M, 3)
        ),
    0),
  B498=55,
    IF(Z497&gt;=AD498,
      MAX(Y497 + IF(MONTH(A498)=12, P498+V498, 0) + H498 - L498, 0),
      MAX(MAX(0, Y497-(AD498-Z497)) + IF(MONTH(A498)=12, P498+V498, 0) + H498 - L498, 0)
    ),
  B498&gt;55,
    IF(AB497&gt;=$AH$7,
      MAX(Y497 + IF(MONTH(A498)=12, P498+V498, 0) + H498 - L498 + K498 + Z497, 0),
      MAX(Y497 + IF(MONTH(A498)=12, P498+V498, 0) + H498 - L498, 0)
    )
)</f>
        <v>1056322.439</v>
      </c>
      <c r="Z498" s="65">
        <f>IFS(
  B498&lt;55,
    MIN(
      IF(AA497 &gt;= VLOOKUP(YEAR(A498), Lookup!$Q:$R, 2),
        Z497 + IF(MONTH(A498)=12, Q498+W498, 0) + I498
          + AA497 + IF(MONTH(A498)=12, R498+X498, 0) - VLOOKUP(YEAR(A498), Lookup!$Q:$R, 2) + J498,
        Z497 + IF(MONTH(A498)=12, Q498+W498, 0) + I498
      ),
      VLOOKUP(YEAR(A498), Lookup!$K:$M, 3)
    ),
  B498=55,
    IF(Z497 &gt;= AD498, Z497 - AD498, 0),
  B498&gt;55, 0
)</f>
        <v>0</v>
      </c>
      <c r="AA498" s="65">
        <f>IFS(
  B498&lt;65,
    IF(AA497+J498 &lt; VLOOKUP(YEAR(A498), Lookup!$Q:$R, 2),
      AA497 + IF(MONTH(A498)=12, R497+X497, 0) + J498,
      MIN(
        AA497 + IF(MONTH(A498)=12, R497+X497, 0) + J498 ,
        VLOOKUP(YEAR(A498), Lookup!$Q:$R, 2)
      )
    ),
  B498&gt;=65,
    IF(AA497+J498 &lt; VLOOKUP(questions!$C$5, Lookup!$Q:$R, 2),
      AA497 + IF(MONTH(A498)=12, R497+X497, 0) + J498 ,
      MIN(
        AA497 + IF(MONTH(A498)=12, R497+X497, 0) + J498,
        VLOOKUP(questions!$C$5, Lookup!$Q:$R, 2)
      )
    )
)</f>
        <v>282111.0086</v>
      </c>
      <c r="AB498" s="65">
        <f t="shared" si="13"/>
        <v>1059641.993</v>
      </c>
      <c r="AC498" s="66">
        <f t="array" ref="AC498">IFS(B498&lt;66, XLOOKUP(year(A498),Lookup!$K$13:$K1000,Lookup!$L$13:$L1000,"missing",,1),B498&gt;65,XLOOKUP(questions!$C$5,Lookup!$K$13:$K1000,Lookup!$L$13:$L1000,"missing",,1))</f>
        <v>393675.3633</v>
      </c>
      <c r="AD498" s="66">
        <f t="array" ref="AD498">IFS(B498&lt;66, XLOOKUP(year(A498),Lookup!$K$13:$K1000,Lookup!$M$13:$M1000,"missing",,1),B498&gt;65, XLOOKUP(questions!$C$5,Lookup!$K$13:$K1000,Lookup!$M$13:$M1000,"missing",,1))</f>
        <v>787350.7266</v>
      </c>
      <c r="AE498" s="66">
        <f t="array" ref="AE498">IFS(B498&lt;66, XLOOKUP(year(A498),Lookup!$K$13:$K1000,Lookup!$N$13:$N1000,"missing",,1),B498&gt;65,XLOOKUP(questions!$C$5,Lookup!$K$13:$K1000,Lookup!$N$13:$N1000,"missing",,1))</f>
        <v>1574701.453</v>
      </c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</row>
    <row r="499">
      <c r="A499" s="55">
        <f t="shared" si="7"/>
        <v>61209</v>
      </c>
      <c r="B499" s="56">
        <f>round(YEARFRAC(EOMONTH(questions!$C$3, 0),A499,1),2)</f>
        <v>68.67</v>
      </c>
      <c r="C499" s="58">
        <f>IF(B499&lt;questions!$C$6,if(MONTH(A499)=1,C498*(1+questions!$C$12),C498),0)</f>
        <v>0</v>
      </c>
      <c r="D499" s="58">
        <f>IF(MONTH(A499)=12,C499*questions!$C$11,0)</f>
        <v>0</v>
      </c>
      <c r="E499" s="71">
        <f t="shared" si="2"/>
        <v>0</v>
      </c>
      <c r="F499" s="71">
        <f t="shared" si="3"/>
        <v>0</v>
      </c>
      <c r="G499" s="61">
        <f t="array" ref="G499">if(YEAR(A499)=2025,XLOOKUP(B499,Lookup!$A$3:$A$7,Lookup!$D$3:$D$7,,1)*SUM(E499:F499), XLOOKUP(B499,Lookup!$A$14:$A$18,Lookup!$D$14:$D$18,,1)*SUM(E499:F499))</f>
        <v>0</v>
      </c>
      <c r="H499" s="61">
        <f t="array" ref="H499">if(YEAR(A499)=2025,XLOOKUP(B499,Lookup!$F$3:$F$10,Lookup!$G$3:$G$10,,1)*G499, XLOOKUP(B499,Lookup!$F$14:$F$21,Lookup!$G$14:$G$21,,1)*G499)</f>
        <v>0</v>
      </c>
      <c r="I499" s="61">
        <f t="array" ref="I499">if(B499&lt;55, if(YEAR(A499)=2025,XLOOKUP(B499,Lookup!$F$3:$F$10,Lookup!$H$3:$H$10,,1)*G499, XLOOKUP(B499,Lookup!$F$14:$F$21,Lookup!$H$14:$H$21,,1)*G499),0)</f>
        <v>0</v>
      </c>
      <c r="J499" s="61">
        <f t="array" ref="J499">if(YEAR(A499)=2025,XLOOKUP(B499,Lookup!$F$3:$F$10,Lookup!$I$3:$I$10,,1)*G499, XLOOKUP(B499,Lookup!$F$14:$F$21,Lookup!$I$14:$I$21,,1)*G499)</f>
        <v>0</v>
      </c>
      <c r="K499" s="61">
        <f t="array" ref="K499">if(B499&gt;54, if(YEAR(A499)=2025,XLOOKUP(B499,Lookup!$F$3:$F$10,Lookup!$H$3:$H$10,,1)*G499, XLOOKUP(B499,Lookup!$F$14:$F$21,Lookup!$H$14:$H$21,,1)*G499),0)</f>
        <v>0</v>
      </c>
      <c r="L499" s="62">
        <f>IF(and(A499&lt;questions!$C$19,questions!$C$18="yes"),questions!$C$20,0)</f>
        <v>0</v>
      </c>
      <c r="M499" s="63">
        <f>(Y498+H499)*Lookup!A$26/12</f>
        <v>2200.671747</v>
      </c>
      <c r="N499" s="63">
        <f>if(B499&lt;55, (Z498+I499)*Lookup!B$26/12, (AB498+K499)*Lookup!B$26/12)</f>
        <v>3532.139978</v>
      </c>
      <c r="O499" s="63">
        <f>(AA498+J499)*Lookup!C$26/12</f>
        <v>940.3700287</v>
      </c>
      <c r="P499" s="63">
        <f t="shared" si="8"/>
        <v>15404.70223</v>
      </c>
      <c r="Q499" s="63">
        <f t="shared" si="4"/>
        <v>24724.97985</v>
      </c>
      <c r="R499" s="63">
        <f t="shared" si="5"/>
        <v>6582.590201</v>
      </c>
      <c r="S499" s="64">
        <f t="shared" si="9"/>
        <v>33.33333333</v>
      </c>
      <c r="T499" s="64">
        <f t="shared" si="10"/>
        <v>41.66666667</v>
      </c>
      <c r="U499" s="64">
        <f t="shared" si="11"/>
        <v>0</v>
      </c>
      <c r="V499" s="64">
        <f t="shared" ref="V499:X499" si="507">IF(year($A499)=year($A498), V498+S499, S499)</f>
        <v>233.3333333</v>
      </c>
      <c r="W499" s="64">
        <f t="shared" si="507"/>
        <v>291.6666667</v>
      </c>
      <c r="X499" s="64">
        <f t="shared" si="507"/>
        <v>0</v>
      </c>
      <c r="Y499" s="65">
        <f>IFS(
  B499&lt;55,
    MAX(
      Y498 + IF(MONTH(A499)=12, P499+V499, 0) + H499 - L499
      + MAX(0,
          IF(AA498 &gt;= VLOOKUP(YEAR(A499), Lookup!$Q:$R, 2),
            Z498 + IF(MONTH(A499)=12, Q499+W499, 0) + I499
              + AA498 + IF(MONTH(A499)=12, R499+X499, 0)
              - VLOOKUP(YEAR(A499), Lookup!$Q:$R, 2) + J499,
            Z498 + IF(MONTH(A499)=12, Q499+W499, 0) + I499
          ) - VLOOKUP(YEAR(A499), Lookup!$K:$M, 3)
        ),
    0),
  B499=55,
    IF(Z498&gt;=AD499,
      MAX(Y498 + IF(MONTH(A499)=12, P499+V499, 0) + H499 - L499, 0),
      MAX(MAX(0, Y498-(AD499-Z498)) + IF(MONTH(A499)=12, P499+V499, 0) + H499 - L499, 0)
    ),
  B499&gt;55,
    IF(AB498&gt;=$AH$7,
      MAX(Y498 + IF(MONTH(A499)=12, P499+V499, 0) + H499 - L499 + K499 + Z498, 0),
      MAX(Y498 + IF(MONTH(A499)=12, P499+V499, 0) + H499 - L499, 0)
    )
)</f>
        <v>1056322.439</v>
      </c>
      <c r="Z499" s="65">
        <f>IFS(
  B499&lt;55,
    MIN(
      IF(AA498 &gt;= VLOOKUP(YEAR(A499), Lookup!$Q:$R, 2),
        Z498 + IF(MONTH(A499)=12, Q499+W499, 0) + I499
          + AA498 + IF(MONTH(A499)=12, R499+X499, 0) - VLOOKUP(YEAR(A499), Lookup!$Q:$R, 2) + J499,
        Z498 + IF(MONTH(A499)=12, Q499+W499, 0) + I499
      ),
      VLOOKUP(YEAR(A499), Lookup!$K:$M, 3)
    ),
  B499=55,
    IF(Z498 &gt;= AD499, Z498 - AD499, 0),
  B499&gt;55, 0
)</f>
        <v>0</v>
      </c>
      <c r="AA499" s="65">
        <f>IFS(
  B499&lt;65,
    IF(AA498+J499 &lt; VLOOKUP(YEAR(A499), Lookup!$Q:$R, 2),
      AA498 + IF(MONTH(A499)=12, R498+X498, 0) + J499,
      MIN(
        AA498 + IF(MONTH(A499)=12, R498+X498, 0) + J499 ,
        VLOOKUP(YEAR(A499), Lookup!$Q:$R, 2)
      )
    ),
  B499&gt;=65,
    IF(AA498+J499 &lt; VLOOKUP(questions!$C$5, Lookup!$Q:$R, 2),
      AA498 + IF(MONTH(A499)=12, R498+X498, 0) + J499 ,
      MIN(
        AA498 + IF(MONTH(A499)=12, R498+X498, 0) + J499,
        VLOOKUP(questions!$C$5, Lookup!$Q:$R, 2)
      )
    )
)</f>
        <v>282111.0086</v>
      </c>
      <c r="AB499" s="65">
        <f t="shared" si="13"/>
        <v>1059641.993</v>
      </c>
      <c r="AC499" s="66">
        <f t="array" ref="AC499">IFS(B499&lt;66, XLOOKUP(year(A499),Lookup!$K$13:$K1000,Lookup!$L$13:$L1000,"missing",,1),B499&gt;65,XLOOKUP(questions!$C$5,Lookup!$K$13:$K1000,Lookup!$L$13:$L1000,"missing",,1))</f>
        <v>393675.3633</v>
      </c>
      <c r="AD499" s="66">
        <f t="array" ref="AD499">IFS(B499&lt;66, XLOOKUP(year(A499),Lookup!$K$13:$K1000,Lookup!$M$13:$M1000,"missing",,1),B499&gt;65, XLOOKUP(questions!$C$5,Lookup!$K$13:$K1000,Lookup!$M$13:$M1000,"missing",,1))</f>
        <v>787350.7266</v>
      </c>
      <c r="AE499" s="66">
        <f t="array" ref="AE499">IFS(B499&lt;66, XLOOKUP(year(A499),Lookup!$K$13:$K1000,Lookup!$N$13:$N1000,"missing",,1),B499&gt;65,XLOOKUP(questions!$C$5,Lookup!$K$13:$K1000,Lookup!$N$13:$N1000,"missing",,1))</f>
        <v>1574701.453</v>
      </c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</row>
    <row r="500">
      <c r="A500" s="55">
        <f t="shared" si="7"/>
        <v>61240</v>
      </c>
      <c r="B500" s="56">
        <f>round(YEARFRAC(EOMONTH(questions!$C$3, 0),A500,1),2)</f>
        <v>68.75</v>
      </c>
      <c r="C500" s="58">
        <f>IF(B500&lt;questions!$C$6,if(MONTH(A500)=1,C499*(1+questions!$C$12),C499),0)</f>
        <v>0</v>
      </c>
      <c r="D500" s="58">
        <f>IF(MONTH(A500)=12,C500*questions!$C$11,0)</f>
        <v>0</v>
      </c>
      <c r="E500" s="71">
        <f t="shared" si="2"/>
        <v>0</v>
      </c>
      <c r="F500" s="71">
        <f t="shared" si="3"/>
        <v>0</v>
      </c>
      <c r="G500" s="61">
        <f t="array" ref="G500">if(YEAR(A500)=2025,XLOOKUP(B500,Lookup!$A$3:$A$7,Lookup!$D$3:$D$7,,1)*SUM(E500:F500), XLOOKUP(B500,Lookup!$A$14:$A$18,Lookup!$D$14:$D$18,,1)*SUM(E500:F500))</f>
        <v>0</v>
      </c>
      <c r="H500" s="61">
        <f t="array" ref="H500">if(YEAR(A500)=2025,XLOOKUP(B500,Lookup!$F$3:$F$10,Lookup!$G$3:$G$10,,1)*G500, XLOOKUP(B500,Lookup!$F$14:$F$21,Lookup!$G$14:$G$21,,1)*G500)</f>
        <v>0</v>
      </c>
      <c r="I500" s="61">
        <f t="array" ref="I500">if(B500&lt;55, if(YEAR(A500)=2025,XLOOKUP(B500,Lookup!$F$3:$F$10,Lookup!$H$3:$H$10,,1)*G500, XLOOKUP(B500,Lookup!$F$14:$F$21,Lookup!$H$14:$H$21,,1)*G500),0)</f>
        <v>0</v>
      </c>
      <c r="J500" s="61">
        <f t="array" ref="J500">if(YEAR(A500)=2025,XLOOKUP(B500,Lookup!$F$3:$F$10,Lookup!$I$3:$I$10,,1)*G500, XLOOKUP(B500,Lookup!$F$14:$F$21,Lookup!$I$14:$I$21,,1)*G500)</f>
        <v>0</v>
      </c>
      <c r="K500" s="61">
        <f t="array" ref="K500">if(B500&gt;54, if(YEAR(A500)=2025,XLOOKUP(B500,Lookup!$F$3:$F$10,Lookup!$H$3:$H$10,,1)*G500, XLOOKUP(B500,Lookup!$F$14:$F$21,Lookup!$H$14:$H$21,,1)*G500),0)</f>
        <v>0</v>
      </c>
      <c r="L500" s="62">
        <f>IF(and(A500&lt;questions!$C$19,questions!$C$18="yes"),questions!$C$20,0)</f>
        <v>0</v>
      </c>
      <c r="M500" s="63">
        <f>(Y499+H500)*Lookup!A$26/12</f>
        <v>2200.671747</v>
      </c>
      <c r="N500" s="63">
        <f>if(B500&lt;55, (Z499+I500)*Lookup!B$26/12, (AB499+K500)*Lookup!B$26/12)</f>
        <v>3532.139978</v>
      </c>
      <c r="O500" s="63">
        <f>(AA499+J500)*Lookup!C$26/12</f>
        <v>940.3700287</v>
      </c>
      <c r="P500" s="63">
        <f t="shared" si="8"/>
        <v>17605.37398</v>
      </c>
      <c r="Q500" s="63">
        <f t="shared" si="4"/>
        <v>28257.11983</v>
      </c>
      <c r="R500" s="63">
        <f t="shared" si="5"/>
        <v>7522.960229</v>
      </c>
      <c r="S500" s="64">
        <f t="shared" si="9"/>
        <v>33.33333333</v>
      </c>
      <c r="T500" s="64">
        <f t="shared" si="10"/>
        <v>41.66666667</v>
      </c>
      <c r="U500" s="64">
        <f t="shared" si="11"/>
        <v>0</v>
      </c>
      <c r="V500" s="64">
        <f t="shared" ref="V500:X500" si="508">IF(year($A500)=year($A499), V499+S500, S500)</f>
        <v>266.6666667</v>
      </c>
      <c r="W500" s="64">
        <f t="shared" si="508"/>
        <v>333.3333333</v>
      </c>
      <c r="X500" s="64">
        <f t="shared" si="508"/>
        <v>0</v>
      </c>
      <c r="Y500" s="65">
        <f>IFS(
  B500&lt;55,
    MAX(
      Y499 + IF(MONTH(A500)=12, P500+V500, 0) + H500 - L500
      + MAX(0,
          IF(AA499 &gt;= VLOOKUP(YEAR(A500), Lookup!$Q:$R, 2),
            Z499 + IF(MONTH(A500)=12, Q500+W500, 0) + I500
              + AA499 + IF(MONTH(A500)=12, R500+X500, 0)
              - VLOOKUP(YEAR(A500), Lookup!$Q:$R, 2) + J500,
            Z499 + IF(MONTH(A500)=12, Q500+W500, 0) + I500
          ) - VLOOKUP(YEAR(A500), Lookup!$K:$M, 3)
        ),
    0),
  B500=55,
    IF(Z499&gt;=AD500,
      MAX(Y499 + IF(MONTH(A500)=12, P500+V500, 0) + H500 - L500, 0),
      MAX(MAX(0, Y499-(AD500-Z499)) + IF(MONTH(A500)=12, P500+V500, 0) + H500 - L500, 0)
    ),
  B500&gt;55,
    IF(AB499&gt;=$AH$7,
      MAX(Y499 + IF(MONTH(A500)=12, P500+V500, 0) + H500 - L500 + K500 + Z499, 0),
      MAX(Y499 + IF(MONTH(A500)=12, P500+V500, 0) + H500 - L500, 0)
    )
)</f>
        <v>1056322.439</v>
      </c>
      <c r="Z500" s="65">
        <f>IFS(
  B500&lt;55,
    MIN(
      IF(AA499 &gt;= VLOOKUP(YEAR(A500), Lookup!$Q:$R, 2),
        Z499 + IF(MONTH(A500)=12, Q500+W500, 0) + I500
          + AA499 + IF(MONTH(A500)=12, R500+X500, 0) - VLOOKUP(YEAR(A500), Lookup!$Q:$R, 2) + J500,
        Z499 + IF(MONTH(A500)=12, Q500+W500, 0) + I500
      ),
      VLOOKUP(YEAR(A500), Lookup!$K:$M, 3)
    ),
  B500=55,
    IF(Z499 &gt;= AD500, Z499 - AD500, 0),
  B500&gt;55, 0
)</f>
        <v>0</v>
      </c>
      <c r="AA500" s="65">
        <f>IFS(
  B500&lt;65,
    IF(AA499+J500 &lt; VLOOKUP(YEAR(A500), Lookup!$Q:$R, 2),
      AA499 + IF(MONTH(A500)=12, R499+X499, 0) + J500,
      MIN(
        AA499 + IF(MONTH(A500)=12, R499+X499, 0) + J500 ,
        VLOOKUP(YEAR(A500), Lookup!$Q:$R, 2)
      )
    ),
  B500&gt;=65,
    IF(AA499+J500 &lt; VLOOKUP(questions!$C$5, Lookup!$Q:$R, 2),
      AA499 + IF(MONTH(A500)=12, R499+X499, 0) + J500 ,
      MIN(
        AA499 + IF(MONTH(A500)=12, R499+X499, 0) + J500,
        VLOOKUP(questions!$C$5, Lookup!$Q:$R, 2)
      )
    )
)</f>
        <v>282111.0086</v>
      </c>
      <c r="AB500" s="65">
        <f t="shared" si="13"/>
        <v>1059641.993</v>
      </c>
      <c r="AC500" s="66">
        <f t="array" ref="AC500">IFS(B500&lt;66, XLOOKUP(year(A500),Lookup!$K$13:$K1000,Lookup!$L$13:$L1000,"missing",,1),B500&gt;65,XLOOKUP(questions!$C$5,Lookup!$K$13:$K1000,Lookup!$L$13:$L1000,"missing",,1))</f>
        <v>393675.3633</v>
      </c>
      <c r="AD500" s="66">
        <f t="array" ref="AD500">IFS(B500&lt;66, XLOOKUP(year(A500),Lookup!$K$13:$K1000,Lookup!$M$13:$M1000,"missing",,1),B500&gt;65, XLOOKUP(questions!$C$5,Lookup!$K$13:$K1000,Lookup!$M$13:$M1000,"missing",,1))</f>
        <v>787350.7266</v>
      </c>
      <c r="AE500" s="66">
        <f t="array" ref="AE500">IFS(B500&lt;66, XLOOKUP(year(A500),Lookup!$K$13:$K1000,Lookup!$N$13:$N1000,"missing",,1),B500&gt;65,XLOOKUP(questions!$C$5,Lookup!$K$13:$K1000,Lookup!$N$13:$N1000,"missing",,1))</f>
        <v>1574701.453</v>
      </c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</row>
    <row r="501">
      <c r="A501" s="55">
        <f t="shared" si="7"/>
        <v>61270</v>
      </c>
      <c r="B501" s="56">
        <f>round(YEARFRAC(EOMONTH(questions!$C$3, 0),A501,1),2)</f>
        <v>68.83</v>
      </c>
      <c r="C501" s="58">
        <f>IF(B501&lt;questions!$C$6,if(MONTH(A501)=1,C500*(1+questions!$C$12),C500),0)</f>
        <v>0</v>
      </c>
      <c r="D501" s="58">
        <f>IF(MONTH(A501)=12,C501*questions!$C$11,0)</f>
        <v>0</v>
      </c>
      <c r="E501" s="71">
        <f t="shared" si="2"/>
        <v>0</v>
      </c>
      <c r="F501" s="71">
        <f t="shared" si="3"/>
        <v>0</v>
      </c>
      <c r="G501" s="61">
        <f t="array" ref="G501">if(YEAR(A501)=2025,XLOOKUP(B501,Lookup!$A$3:$A$7,Lookup!$D$3:$D$7,,1)*SUM(E501:F501), XLOOKUP(B501,Lookup!$A$14:$A$18,Lookup!$D$14:$D$18,,1)*SUM(E501:F501))</f>
        <v>0</v>
      </c>
      <c r="H501" s="61">
        <f t="array" ref="H501">if(YEAR(A501)=2025,XLOOKUP(B501,Lookup!$F$3:$F$10,Lookup!$G$3:$G$10,,1)*G501, XLOOKUP(B501,Lookup!$F$14:$F$21,Lookup!$G$14:$G$21,,1)*G501)</f>
        <v>0</v>
      </c>
      <c r="I501" s="61">
        <f t="array" ref="I501">if(B501&lt;55, if(YEAR(A501)=2025,XLOOKUP(B501,Lookup!$F$3:$F$10,Lookup!$H$3:$H$10,,1)*G501, XLOOKUP(B501,Lookup!$F$14:$F$21,Lookup!$H$14:$H$21,,1)*G501),0)</f>
        <v>0</v>
      </c>
      <c r="J501" s="61">
        <f t="array" ref="J501">if(YEAR(A501)=2025,XLOOKUP(B501,Lookup!$F$3:$F$10,Lookup!$I$3:$I$10,,1)*G501, XLOOKUP(B501,Lookup!$F$14:$F$21,Lookup!$I$14:$I$21,,1)*G501)</f>
        <v>0</v>
      </c>
      <c r="K501" s="61">
        <f t="array" ref="K501">if(B501&gt;54, if(YEAR(A501)=2025,XLOOKUP(B501,Lookup!$F$3:$F$10,Lookup!$H$3:$H$10,,1)*G501, XLOOKUP(B501,Lookup!$F$14:$F$21,Lookup!$H$14:$H$21,,1)*G501),0)</f>
        <v>0</v>
      </c>
      <c r="L501" s="62">
        <f>IF(and(A501&lt;questions!$C$19,questions!$C$18="yes"),questions!$C$20,0)</f>
        <v>0</v>
      </c>
      <c r="M501" s="63">
        <f>(Y500+H501)*Lookup!A$26/12</f>
        <v>2200.671747</v>
      </c>
      <c r="N501" s="63">
        <f>if(B501&lt;55, (Z500+I501)*Lookup!B$26/12, (AB500+K501)*Lookup!B$26/12)</f>
        <v>3532.139978</v>
      </c>
      <c r="O501" s="63">
        <f>(AA500+J501)*Lookup!C$26/12</f>
        <v>940.3700287</v>
      </c>
      <c r="P501" s="63">
        <f t="shared" si="8"/>
        <v>19806.04573</v>
      </c>
      <c r="Q501" s="63">
        <f t="shared" si="4"/>
        <v>31789.2598</v>
      </c>
      <c r="R501" s="63">
        <f t="shared" si="5"/>
        <v>8463.330258</v>
      </c>
      <c r="S501" s="64">
        <f t="shared" si="9"/>
        <v>33.33333333</v>
      </c>
      <c r="T501" s="64">
        <f t="shared" si="10"/>
        <v>41.66666667</v>
      </c>
      <c r="U501" s="64">
        <f t="shared" si="11"/>
        <v>0</v>
      </c>
      <c r="V501" s="64">
        <f t="shared" ref="V501:X501" si="509">IF(year($A501)=year($A500), V500+S501, S501)</f>
        <v>300</v>
      </c>
      <c r="W501" s="64">
        <f t="shared" si="509"/>
        <v>375</v>
      </c>
      <c r="X501" s="64">
        <f t="shared" si="509"/>
        <v>0</v>
      </c>
      <c r="Y501" s="65">
        <f>IFS(
  B501&lt;55,
    MAX(
      Y500 + IF(MONTH(A501)=12, P501+V501, 0) + H501 - L501
      + MAX(0,
          IF(AA500 &gt;= VLOOKUP(YEAR(A501), Lookup!$Q:$R, 2),
            Z500 + IF(MONTH(A501)=12, Q501+W501, 0) + I501
              + AA500 + IF(MONTH(A501)=12, R501+X501, 0)
              - VLOOKUP(YEAR(A501), Lookup!$Q:$R, 2) + J501,
            Z500 + IF(MONTH(A501)=12, Q501+W501, 0) + I501
          ) - VLOOKUP(YEAR(A501), Lookup!$K:$M, 3)
        ),
    0),
  B501=55,
    IF(Z500&gt;=AD501,
      MAX(Y500 + IF(MONTH(A501)=12, P501+V501, 0) + H501 - L501, 0),
      MAX(MAX(0, Y500-(AD501-Z500)) + IF(MONTH(A501)=12, P501+V501, 0) + H501 - L501, 0)
    ),
  B501&gt;55,
    IF(AB500&gt;=$AH$7,
      MAX(Y500 + IF(MONTH(A501)=12, P501+V501, 0) + H501 - L501 + K501 + Z500, 0),
      MAX(Y500 + IF(MONTH(A501)=12, P501+V501, 0) + H501 - L501, 0)
    )
)</f>
        <v>1056322.439</v>
      </c>
      <c r="Z501" s="65">
        <f>IFS(
  B501&lt;55,
    MIN(
      IF(AA500 &gt;= VLOOKUP(YEAR(A501), Lookup!$Q:$R, 2),
        Z500 + IF(MONTH(A501)=12, Q501+W501, 0) + I501
          + AA500 + IF(MONTH(A501)=12, R501+X501, 0) - VLOOKUP(YEAR(A501), Lookup!$Q:$R, 2) + J501,
        Z500 + IF(MONTH(A501)=12, Q501+W501, 0) + I501
      ),
      VLOOKUP(YEAR(A501), Lookup!$K:$M, 3)
    ),
  B501=55,
    IF(Z500 &gt;= AD501, Z500 - AD501, 0),
  B501&gt;55, 0
)</f>
        <v>0</v>
      </c>
      <c r="AA501" s="65">
        <f>IFS(
  B501&lt;65,
    IF(AA500+J501 &lt; VLOOKUP(YEAR(A501), Lookup!$Q:$R, 2),
      AA500 + IF(MONTH(A501)=12, R500+X500, 0) + J501,
      MIN(
        AA500 + IF(MONTH(A501)=12, R500+X500, 0) + J501 ,
        VLOOKUP(YEAR(A501), Lookup!$Q:$R, 2)
      )
    ),
  B501&gt;=65,
    IF(AA500+J501 &lt; VLOOKUP(questions!$C$5, Lookup!$Q:$R, 2),
      AA500 + IF(MONTH(A501)=12, R500+X500, 0) + J501 ,
      MIN(
        AA500 + IF(MONTH(A501)=12, R500+X500, 0) + J501,
        VLOOKUP(questions!$C$5, Lookup!$Q:$R, 2)
      )
    )
)</f>
        <v>282111.0086</v>
      </c>
      <c r="AB501" s="65">
        <f t="shared" si="13"/>
        <v>1059641.993</v>
      </c>
      <c r="AC501" s="66">
        <f t="array" ref="AC501">IFS(B501&lt;66, XLOOKUP(year(A501),Lookup!$K$13:$K1000,Lookup!$L$13:$L1000,"missing",,1),B501&gt;65,XLOOKUP(questions!$C$5,Lookup!$K$13:$K1000,Lookup!$L$13:$L1000,"missing",,1))</f>
        <v>393675.3633</v>
      </c>
      <c r="AD501" s="66">
        <f t="array" ref="AD501">IFS(B501&lt;66, XLOOKUP(year(A501),Lookup!$K$13:$K1000,Lookup!$M$13:$M1000,"missing",,1),B501&gt;65, XLOOKUP(questions!$C$5,Lookup!$K$13:$K1000,Lookup!$M$13:$M1000,"missing",,1))</f>
        <v>787350.7266</v>
      </c>
      <c r="AE501" s="66">
        <f t="array" ref="AE501">IFS(B501&lt;66, XLOOKUP(year(A501),Lookup!$K$13:$K1000,Lookup!$N$13:$N1000,"missing",,1),B501&gt;65,XLOOKUP(questions!$C$5,Lookup!$K$13:$K1000,Lookup!$N$13:$N1000,"missing",,1))</f>
        <v>1574701.453</v>
      </c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</row>
    <row r="502">
      <c r="A502" s="55">
        <f t="shared" si="7"/>
        <v>61301</v>
      </c>
      <c r="B502" s="56">
        <f>round(YEARFRAC(EOMONTH(questions!$C$3, 0),A502,1),2)</f>
        <v>68.92</v>
      </c>
      <c r="C502" s="58">
        <f>IF(B502&lt;questions!$C$6,if(MONTH(A502)=1,C501*(1+questions!$C$12),C501),0)</f>
        <v>0</v>
      </c>
      <c r="D502" s="58">
        <f>IF(MONTH(A502)=12,C502*questions!$C$11,0)</f>
        <v>0</v>
      </c>
      <c r="E502" s="71">
        <f t="shared" si="2"/>
        <v>0</v>
      </c>
      <c r="F502" s="71">
        <f t="shared" si="3"/>
        <v>0</v>
      </c>
      <c r="G502" s="61">
        <f t="array" ref="G502">if(YEAR(A502)=2025,XLOOKUP(B502,Lookup!$A$3:$A$7,Lookup!$D$3:$D$7,,1)*SUM(E502:F502), XLOOKUP(B502,Lookup!$A$14:$A$18,Lookup!$D$14:$D$18,,1)*SUM(E502:F502))</f>
        <v>0</v>
      </c>
      <c r="H502" s="61">
        <f t="array" ref="H502">if(YEAR(A502)=2025,XLOOKUP(B502,Lookup!$F$3:$F$10,Lookup!$G$3:$G$10,,1)*G502, XLOOKUP(B502,Lookup!$F$14:$F$21,Lookup!$G$14:$G$21,,1)*G502)</f>
        <v>0</v>
      </c>
      <c r="I502" s="61">
        <f t="array" ref="I502">if(B502&lt;55, if(YEAR(A502)=2025,XLOOKUP(B502,Lookup!$F$3:$F$10,Lookup!$H$3:$H$10,,1)*G502, XLOOKUP(B502,Lookup!$F$14:$F$21,Lookup!$H$14:$H$21,,1)*G502),0)</f>
        <v>0</v>
      </c>
      <c r="J502" s="61">
        <f t="array" ref="J502">if(YEAR(A502)=2025,XLOOKUP(B502,Lookup!$F$3:$F$10,Lookup!$I$3:$I$10,,1)*G502, XLOOKUP(B502,Lookup!$F$14:$F$21,Lookup!$I$14:$I$21,,1)*G502)</f>
        <v>0</v>
      </c>
      <c r="K502" s="61">
        <f t="array" ref="K502">if(B502&gt;54, if(YEAR(A502)=2025,XLOOKUP(B502,Lookup!$F$3:$F$10,Lookup!$H$3:$H$10,,1)*G502, XLOOKUP(B502,Lookup!$F$14:$F$21,Lookup!$H$14:$H$21,,1)*G502),0)</f>
        <v>0</v>
      </c>
      <c r="L502" s="62">
        <f>IF(and(A502&lt;questions!$C$19,questions!$C$18="yes"),questions!$C$20,0)</f>
        <v>0</v>
      </c>
      <c r="M502" s="63">
        <f>(Y501+H502)*Lookup!A$26/12</f>
        <v>2200.671747</v>
      </c>
      <c r="N502" s="63">
        <f>if(B502&lt;55, (Z501+I502)*Lookup!B$26/12, (AB501+K502)*Lookup!B$26/12)</f>
        <v>3532.139978</v>
      </c>
      <c r="O502" s="63">
        <f>(AA501+J502)*Lookup!C$26/12</f>
        <v>940.3700287</v>
      </c>
      <c r="P502" s="63">
        <f t="shared" si="8"/>
        <v>22006.71747</v>
      </c>
      <c r="Q502" s="63">
        <f t="shared" si="4"/>
        <v>35321.39978</v>
      </c>
      <c r="R502" s="63">
        <f t="shared" si="5"/>
        <v>9403.700287</v>
      </c>
      <c r="S502" s="64">
        <f t="shared" si="9"/>
        <v>33.33333333</v>
      </c>
      <c r="T502" s="64">
        <f t="shared" si="10"/>
        <v>41.66666667</v>
      </c>
      <c r="U502" s="64">
        <f t="shared" si="11"/>
        <v>0</v>
      </c>
      <c r="V502" s="64">
        <f t="shared" ref="V502:X502" si="510">IF(year($A502)=year($A501), V501+S502, S502)</f>
        <v>333.3333333</v>
      </c>
      <c r="W502" s="64">
        <f t="shared" si="510"/>
        <v>416.6666667</v>
      </c>
      <c r="X502" s="64">
        <f t="shared" si="510"/>
        <v>0</v>
      </c>
      <c r="Y502" s="65">
        <f>IFS(
  B502&lt;55,
    MAX(
      Y501 + IF(MONTH(A502)=12, P502+V502, 0) + H502 - L502
      + MAX(0,
          IF(AA501 &gt;= VLOOKUP(YEAR(A502), Lookup!$Q:$R, 2),
            Z501 + IF(MONTH(A502)=12, Q502+W502, 0) + I502
              + AA501 + IF(MONTH(A502)=12, R502+X502, 0)
              - VLOOKUP(YEAR(A502), Lookup!$Q:$R, 2) + J502,
            Z501 + IF(MONTH(A502)=12, Q502+W502, 0) + I502
          ) - VLOOKUP(YEAR(A502), Lookup!$K:$M, 3)
        ),
    0),
  B502=55,
    IF(Z501&gt;=AD502,
      MAX(Y501 + IF(MONTH(A502)=12, P502+V502, 0) + H502 - L502, 0),
      MAX(MAX(0, Y501-(AD502-Z501)) + IF(MONTH(A502)=12, P502+V502, 0) + H502 - L502, 0)
    ),
  B502&gt;55,
    IF(AB501&gt;=$AH$7,
      MAX(Y501 + IF(MONTH(A502)=12, P502+V502, 0) + H502 - L502 + K502 + Z501, 0),
      MAX(Y501 + IF(MONTH(A502)=12, P502+V502, 0) + H502 - L502, 0)
    )
)</f>
        <v>1056322.439</v>
      </c>
      <c r="Z502" s="65">
        <f>IFS(
  B502&lt;55,
    MIN(
      IF(AA501 &gt;= VLOOKUP(YEAR(A502), Lookup!$Q:$R, 2),
        Z501 + IF(MONTH(A502)=12, Q502+W502, 0) + I502
          + AA501 + IF(MONTH(A502)=12, R502+X502, 0) - VLOOKUP(YEAR(A502), Lookup!$Q:$R, 2) + J502,
        Z501 + IF(MONTH(A502)=12, Q502+W502, 0) + I502
      ),
      VLOOKUP(YEAR(A502), Lookup!$K:$M, 3)
    ),
  B502=55,
    IF(Z501 &gt;= AD502, Z501 - AD502, 0),
  B502&gt;55, 0
)</f>
        <v>0</v>
      </c>
      <c r="AA502" s="65">
        <f>IFS(
  B502&lt;65,
    IF(AA501+J502 &lt; VLOOKUP(YEAR(A502), Lookup!$Q:$R, 2),
      AA501 + IF(MONTH(A502)=12, R501+X501, 0) + J502,
      MIN(
        AA501 + IF(MONTH(A502)=12, R501+X501, 0) + J502 ,
        VLOOKUP(YEAR(A502), Lookup!$Q:$R, 2)
      )
    ),
  B502&gt;=65,
    IF(AA501+J502 &lt; VLOOKUP(questions!$C$5, Lookup!$Q:$R, 2),
      AA501 + IF(MONTH(A502)=12, R501+X501, 0) + J502 ,
      MIN(
        AA501 + IF(MONTH(A502)=12, R501+X501, 0) + J502,
        VLOOKUP(questions!$C$5, Lookup!$Q:$R, 2)
      )
    )
)</f>
        <v>282111.0086</v>
      </c>
      <c r="AB502" s="65">
        <f t="shared" si="13"/>
        <v>1059641.993</v>
      </c>
      <c r="AC502" s="66">
        <f t="array" ref="AC502">IFS(B502&lt;66, XLOOKUP(year(A502),Lookup!$K$13:$K1000,Lookup!$L$13:$L1000,"missing",,1),B502&gt;65,XLOOKUP(questions!$C$5,Lookup!$K$13:$K1000,Lookup!$L$13:$L1000,"missing",,1))</f>
        <v>393675.3633</v>
      </c>
      <c r="AD502" s="66">
        <f t="array" ref="AD502">IFS(B502&lt;66, XLOOKUP(year(A502),Lookup!$K$13:$K1000,Lookup!$M$13:$M1000,"missing",,1),B502&gt;65, XLOOKUP(questions!$C$5,Lookup!$K$13:$K1000,Lookup!$M$13:$M1000,"missing",,1))</f>
        <v>787350.7266</v>
      </c>
      <c r="AE502" s="66">
        <f t="array" ref="AE502">IFS(B502&lt;66, XLOOKUP(year(A502),Lookup!$K$13:$K1000,Lookup!$N$13:$N1000,"missing",,1),B502&gt;65,XLOOKUP(questions!$C$5,Lookup!$K$13:$K1000,Lookup!$N$13:$N1000,"missing",,1))</f>
        <v>1574701.453</v>
      </c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  <c r="AQ502" s="37"/>
    </row>
    <row r="503">
      <c r="A503" s="55">
        <f t="shared" si="7"/>
        <v>61331</v>
      </c>
      <c r="B503" s="56">
        <f>round(YEARFRAC(EOMONTH(questions!$C$3, 0),A503,1),2)</f>
        <v>69</v>
      </c>
      <c r="C503" s="58">
        <f>IF(B503&lt;questions!$C$6,if(MONTH(A503)=1,C502*(1+questions!$C$12),C502),0)</f>
        <v>0</v>
      </c>
      <c r="D503" s="58">
        <f>IF(MONTH(A503)=12,C503*questions!$C$11,0)</f>
        <v>0</v>
      </c>
      <c r="E503" s="71">
        <f t="shared" si="2"/>
        <v>0</v>
      </c>
      <c r="F503" s="71">
        <f t="shared" si="3"/>
        <v>0</v>
      </c>
      <c r="G503" s="61">
        <f t="array" ref="G503">if(YEAR(A503)=2025,XLOOKUP(B503,Lookup!$A$3:$A$7,Lookup!$D$3:$D$7,,1)*SUM(E503:F503), XLOOKUP(B503,Lookup!$A$14:$A$18,Lookup!$D$14:$D$18,,1)*SUM(E503:F503))</f>
        <v>0</v>
      </c>
      <c r="H503" s="61">
        <f t="array" ref="H503">if(YEAR(A503)=2025,XLOOKUP(B503,Lookup!$F$3:$F$10,Lookup!$G$3:$G$10,,1)*G503, XLOOKUP(B503,Lookup!$F$14:$F$21,Lookup!$G$14:$G$21,,1)*G503)</f>
        <v>0</v>
      </c>
      <c r="I503" s="61">
        <f t="array" ref="I503">if(B503&lt;55, if(YEAR(A503)=2025,XLOOKUP(B503,Lookup!$F$3:$F$10,Lookup!$H$3:$H$10,,1)*G503, XLOOKUP(B503,Lookup!$F$14:$F$21,Lookup!$H$14:$H$21,,1)*G503),0)</f>
        <v>0</v>
      </c>
      <c r="J503" s="61">
        <f t="array" ref="J503">if(YEAR(A503)=2025,XLOOKUP(B503,Lookup!$F$3:$F$10,Lookup!$I$3:$I$10,,1)*G503, XLOOKUP(B503,Lookup!$F$14:$F$21,Lookup!$I$14:$I$21,,1)*G503)</f>
        <v>0</v>
      </c>
      <c r="K503" s="61">
        <f t="array" ref="K503">if(B503&gt;54, if(YEAR(A503)=2025,XLOOKUP(B503,Lookup!$F$3:$F$10,Lookup!$H$3:$H$10,,1)*G503, XLOOKUP(B503,Lookup!$F$14:$F$21,Lookup!$H$14:$H$21,,1)*G503),0)</f>
        <v>0</v>
      </c>
      <c r="L503" s="62">
        <f>IF(and(A503&lt;questions!$C$19,questions!$C$18="yes"),questions!$C$20,0)</f>
        <v>0</v>
      </c>
      <c r="M503" s="63">
        <f>(Y502+H503)*Lookup!A$26/12</f>
        <v>2200.671747</v>
      </c>
      <c r="N503" s="63">
        <f>if(B503&lt;55, (Z502+I503)*Lookup!B$26/12, (AB502+K503)*Lookup!B$26/12)</f>
        <v>3532.139978</v>
      </c>
      <c r="O503" s="63">
        <f>(AA502+J503)*Lookup!C$26/12</f>
        <v>940.3700287</v>
      </c>
      <c r="P503" s="63">
        <f t="shared" si="8"/>
        <v>24207.38922</v>
      </c>
      <c r="Q503" s="63">
        <f t="shared" si="4"/>
        <v>38853.53976</v>
      </c>
      <c r="R503" s="63">
        <f t="shared" si="5"/>
        <v>10344.07032</v>
      </c>
      <c r="S503" s="64">
        <f t="shared" si="9"/>
        <v>33.33333333</v>
      </c>
      <c r="T503" s="64">
        <f t="shared" si="10"/>
        <v>41.66666667</v>
      </c>
      <c r="U503" s="64">
        <f t="shared" si="11"/>
        <v>0</v>
      </c>
      <c r="V503" s="64">
        <f t="shared" ref="V503:X503" si="511">IF(year($A503)=year($A502), V502+S503, S503)</f>
        <v>366.6666667</v>
      </c>
      <c r="W503" s="64">
        <f t="shared" si="511"/>
        <v>458.3333333</v>
      </c>
      <c r="X503" s="64">
        <f t="shared" si="511"/>
        <v>0</v>
      </c>
      <c r="Y503" s="65">
        <f>IFS(
  B503&lt;55,
    MAX(
      Y502 + IF(MONTH(A503)=12, P503+V503, 0) + H503 - L503
      + MAX(0,
          IF(AA502 &gt;= VLOOKUP(YEAR(A503), Lookup!$Q:$R, 2),
            Z502 + IF(MONTH(A503)=12, Q503+W503, 0) + I503
              + AA502 + IF(MONTH(A503)=12, R503+X503, 0)
              - VLOOKUP(YEAR(A503), Lookup!$Q:$R, 2) + J503,
            Z502 + IF(MONTH(A503)=12, Q503+W503, 0) + I503
          ) - VLOOKUP(YEAR(A503), Lookup!$K:$M, 3)
        ),
    0),
  B503=55,
    IF(Z502&gt;=AD503,
      MAX(Y502 + IF(MONTH(A503)=12, P503+V503, 0) + H503 - L503, 0),
      MAX(MAX(0, Y502-(AD503-Z502)) + IF(MONTH(A503)=12, P503+V503, 0) + H503 - L503, 0)
    ),
  B503&gt;55,
    IF(AB502&gt;=$AH$7,
      MAX(Y502 + IF(MONTH(A503)=12, P503+V503, 0) + H503 - L503 + K503 + Z502, 0),
      MAX(Y502 + IF(MONTH(A503)=12, P503+V503, 0) + H503 - L503, 0)
    )
)</f>
        <v>1056322.439</v>
      </c>
      <c r="Z503" s="65">
        <f>IFS(
  B503&lt;55,
    MIN(
      IF(AA502 &gt;= VLOOKUP(YEAR(A503), Lookup!$Q:$R, 2),
        Z502 + IF(MONTH(A503)=12, Q503+W503, 0) + I503
          + AA502 + IF(MONTH(A503)=12, R503+X503, 0) - VLOOKUP(YEAR(A503), Lookup!$Q:$R, 2) + J503,
        Z502 + IF(MONTH(A503)=12, Q503+W503, 0) + I503
      ),
      VLOOKUP(YEAR(A503), Lookup!$K:$M, 3)
    ),
  B503=55,
    IF(Z502 &gt;= AD503, Z502 - AD503, 0),
  B503&gt;55, 0
)</f>
        <v>0</v>
      </c>
      <c r="AA503" s="65">
        <f>IFS(
  B503&lt;65,
    IF(AA502+J503 &lt; VLOOKUP(YEAR(A503), Lookup!$Q:$R, 2),
      AA502 + IF(MONTH(A503)=12, R502+X502, 0) + J503,
      MIN(
        AA502 + IF(MONTH(A503)=12, R502+X502, 0) + J503 ,
        VLOOKUP(YEAR(A503), Lookup!$Q:$R, 2)
      )
    ),
  B503&gt;=65,
    IF(AA502+J503 &lt; VLOOKUP(questions!$C$5, Lookup!$Q:$R, 2),
      AA502 + IF(MONTH(A503)=12, R502+X502, 0) + J503 ,
      MIN(
        AA502 + IF(MONTH(A503)=12, R502+X502, 0) + J503,
        VLOOKUP(questions!$C$5, Lookup!$Q:$R, 2)
      )
    )
)</f>
        <v>282111.0086</v>
      </c>
      <c r="AB503" s="65">
        <f t="shared" si="13"/>
        <v>1059641.993</v>
      </c>
      <c r="AC503" s="66">
        <f t="array" ref="AC503">IFS(B503&lt;66, XLOOKUP(year(A503),Lookup!$K$13:$K1000,Lookup!$L$13:$L1000,"missing",,1),B503&gt;65,XLOOKUP(questions!$C$5,Lookup!$K$13:$K1000,Lookup!$L$13:$L1000,"missing",,1))</f>
        <v>393675.3633</v>
      </c>
      <c r="AD503" s="66">
        <f t="array" ref="AD503">IFS(B503&lt;66, XLOOKUP(year(A503),Lookup!$K$13:$K1000,Lookup!$M$13:$M1000,"missing",,1),B503&gt;65, XLOOKUP(questions!$C$5,Lookup!$K$13:$K1000,Lookup!$M$13:$M1000,"missing",,1))</f>
        <v>787350.7266</v>
      </c>
      <c r="AE503" s="66">
        <f t="array" ref="AE503">IFS(B503&lt;66, XLOOKUP(year(A503),Lookup!$K$13:$K1000,Lookup!$N$13:$N1000,"missing",,1),B503&gt;65,XLOOKUP(questions!$C$5,Lookup!$K$13:$K1000,Lookup!$N$13:$N1000,"missing",,1))</f>
        <v>1574701.453</v>
      </c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/>
    </row>
    <row r="504">
      <c r="A504" s="55">
        <f t="shared" si="7"/>
        <v>61362</v>
      </c>
      <c r="B504" s="56">
        <f>round(YEARFRAC(EOMONTH(questions!$C$3, 0),A504,1),2)</f>
        <v>69.08</v>
      </c>
      <c r="C504" s="58">
        <f>IF(B504&lt;questions!$C$6,if(MONTH(A504)=1,C503*(1+questions!$C$12),C503),0)</f>
        <v>0</v>
      </c>
      <c r="D504" s="58">
        <f>IF(MONTH(A504)=12,C504*questions!$C$11,0)</f>
        <v>0</v>
      </c>
      <c r="E504" s="71">
        <f t="shared" si="2"/>
        <v>0</v>
      </c>
      <c r="F504" s="71">
        <f t="shared" si="3"/>
        <v>0</v>
      </c>
      <c r="G504" s="61">
        <f t="array" ref="G504">if(YEAR(A504)=2025,XLOOKUP(B504,Lookup!$A$3:$A$7,Lookup!$D$3:$D$7,,1)*SUM(E504:F504), XLOOKUP(B504,Lookup!$A$14:$A$18,Lookup!$D$14:$D$18,,1)*SUM(E504:F504))</f>
        <v>0</v>
      </c>
      <c r="H504" s="61">
        <f t="array" ref="H504">if(YEAR(A504)=2025,XLOOKUP(B504,Lookup!$F$3:$F$10,Lookup!$G$3:$G$10,,1)*G504, XLOOKUP(B504,Lookup!$F$14:$F$21,Lookup!$G$14:$G$21,,1)*G504)</f>
        <v>0</v>
      </c>
      <c r="I504" s="61">
        <f t="array" ref="I504">if(B504&lt;55, if(YEAR(A504)=2025,XLOOKUP(B504,Lookup!$F$3:$F$10,Lookup!$H$3:$H$10,,1)*G504, XLOOKUP(B504,Lookup!$F$14:$F$21,Lookup!$H$14:$H$21,,1)*G504),0)</f>
        <v>0</v>
      </c>
      <c r="J504" s="61">
        <f t="array" ref="J504">if(YEAR(A504)=2025,XLOOKUP(B504,Lookup!$F$3:$F$10,Lookup!$I$3:$I$10,,1)*G504, XLOOKUP(B504,Lookup!$F$14:$F$21,Lookup!$I$14:$I$21,,1)*G504)</f>
        <v>0</v>
      </c>
      <c r="K504" s="61">
        <f t="array" ref="K504">if(B504&gt;54, if(YEAR(A504)=2025,XLOOKUP(B504,Lookup!$F$3:$F$10,Lookup!$H$3:$H$10,,1)*G504, XLOOKUP(B504,Lookup!$F$14:$F$21,Lookup!$H$14:$H$21,,1)*G504),0)</f>
        <v>0</v>
      </c>
      <c r="L504" s="62">
        <f>IF(and(A504&lt;questions!$C$19,questions!$C$18="yes"),questions!$C$20,0)</f>
        <v>0</v>
      </c>
      <c r="M504" s="63">
        <f>(Y503+H504)*Lookup!A$26/12</f>
        <v>2200.671747</v>
      </c>
      <c r="N504" s="63">
        <f>if(B504&lt;55, (Z503+I504)*Lookup!B$26/12, (AB503+K504)*Lookup!B$26/12)</f>
        <v>3532.139978</v>
      </c>
      <c r="O504" s="63">
        <f>(AA503+J504)*Lookup!C$26/12</f>
        <v>940.3700287</v>
      </c>
      <c r="P504" s="63">
        <f t="shared" si="8"/>
        <v>26408.06097</v>
      </c>
      <c r="Q504" s="63">
        <f t="shared" si="4"/>
        <v>42385.67974</v>
      </c>
      <c r="R504" s="63">
        <f t="shared" si="5"/>
        <v>11284.44034</v>
      </c>
      <c r="S504" s="64">
        <f t="shared" si="9"/>
        <v>33.33333333</v>
      </c>
      <c r="T504" s="64">
        <f t="shared" si="10"/>
        <v>41.66666667</v>
      </c>
      <c r="U504" s="64">
        <f t="shared" si="11"/>
        <v>0</v>
      </c>
      <c r="V504" s="64">
        <f t="shared" ref="V504:X504" si="512">IF(year($A504)=year($A503), V503+S504, S504)</f>
        <v>400</v>
      </c>
      <c r="W504" s="64">
        <f t="shared" si="512"/>
        <v>500</v>
      </c>
      <c r="X504" s="64">
        <f t="shared" si="512"/>
        <v>0</v>
      </c>
      <c r="Y504" s="65">
        <f>IFS(
  B504&lt;55,
    MAX(
      Y503 + IF(MONTH(A504)=12, P504+V504, 0) + H504 - L504
      + MAX(0,
          IF(AA503 &gt;= VLOOKUP(YEAR(A504), Lookup!$Q:$R, 2),
            Z503 + IF(MONTH(A504)=12, Q504+W504, 0) + I504
              + AA503 + IF(MONTH(A504)=12, R504+X504, 0)
              - VLOOKUP(YEAR(A504), Lookup!$Q:$R, 2) + J504,
            Z503 + IF(MONTH(A504)=12, Q504+W504, 0) + I504
          ) - VLOOKUP(YEAR(A504), Lookup!$K:$M, 3)
        ),
    0),
  B504=55,
    IF(Z503&gt;=AD504,
      MAX(Y503 + IF(MONTH(A504)=12, P504+V504, 0) + H504 - L504, 0),
      MAX(MAX(0, Y503-(AD504-Z503)) + IF(MONTH(A504)=12, P504+V504, 0) + H504 - L504, 0)
    ),
  B504&gt;55,
    IF(AB503&gt;=$AH$7,
      MAX(Y503 + IF(MONTH(A504)=12, P504+V504, 0) + H504 - L504 + K504 + Z503, 0),
      MAX(Y503 + IF(MONTH(A504)=12, P504+V504, 0) + H504 - L504, 0)
    )
)</f>
        <v>1083130.5</v>
      </c>
      <c r="Z504" s="65">
        <f>IFS(
  B504&lt;55,
    MIN(
      IF(AA503 &gt;= VLOOKUP(YEAR(A504), Lookup!$Q:$R, 2),
        Z503 + IF(MONTH(A504)=12, Q504+W504, 0) + I504
          + AA503 + IF(MONTH(A504)=12, R504+X504, 0) - VLOOKUP(YEAR(A504), Lookup!$Q:$R, 2) + J504,
        Z503 + IF(MONTH(A504)=12, Q504+W504, 0) + I504
      ),
      VLOOKUP(YEAR(A504), Lookup!$K:$M, 3)
    ),
  B504=55,
    IF(Z503 &gt;= AD504, Z503 - AD504, 0),
  B504&gt;55, 0
)</f>
        <v>0</v>
      </c>
      <c r="AA504" s="65">
        <f>IFS(
  B504&lt;65,
    IF(AA503+J504 &lt; VLOOKUP(YEAR(A504), Lookup!$Q:$R, 2),
      AA503 + IF(MONTH(A504)=12, R503+X503, 0) + J504,
      MIN(
        AA503 + IF(MONTH(A504)=12, R503+X503, 0) + J504 ,
        VLOOKUP(YEAR(A504), Lookup!$Q:$R, 2)
      )
    ),
  B504&gt;=65,
    IF(AA503+J504 &lt; VLOOKUP(questions!$C$5, Lookup!$Q:$R, 2),
      AA503 + IF(MONTH(A504)=12, R503+X503, 0) + J504 ,
      MIN(
        AA503 + IF(MONTH(A504)=12, R503+X503, 0) + J504,
        VLOOKUP(questions!$C$5, Lookup!$Q:$R, 2)
      )
    )
)</f>
        <v>282111.0086</v>
      </c>
      <c r="AB504" s="65">
        <f t="shared" si="13"/>
        <v>1102527.673</v>
      </c>
      <c r="AC504" s="66">
        <f t="array" ref="AC504">IFS(B504&lt;66, XLOOKUP(year(A504),Lookup!$K$13:$K1000,Lookup!$L$13:$L1000,"missing",,1),B504&gt;65,XLOOKUP(questions!$C$5,Lookup!$K$13:$K1000,Lookup!$L$13:$L1000,"missing",,1))</f>
        <v>393675.3633</v>
      </c>
      <c r="AD504" s="66">
        <f t="array" ref="AD504">IFS(B504&lt;66, XLOOKUP(year(A504),Lookup!$K$13:$K1000,Lookup!$M$13:$M1000,"missing",,1),B504&gt;65, XLOOKUP(questions!$C$5,Lookup!$K$13:$K1000,Lookup!$M$13:$M1000,"missing",,1))</f>
        <v>787350.7266</v>
      </c>
      <c r="AE504" s="66">
        <f t="array" ref="AE504">IFS(B504&lt;66, XLOOKUP(year(A504),Lookup!$K$13:$K1000,Lookup!$N$13:$N1000,"missing",,1),B504&gt;65,XLOOKUP(questions!$C$5,Lookup!$K$13:$K1000,Lookup!$N$13:$N1000,"missing",,1))</f>
        <v>1574701.453</v>
      </c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</row>
    <row r="505">
      <c r="A505" s="55">
        <f t="shared" si="7"/>
        <v>61393</v>
      </c>
      <c r="B505" s="56">
        <f>round(YEARFRAC(EOMONTH(questions!$C$3, 0),A505,1),2)</f>
        <v>69.17</v>
      </c>
      <c r="C505" s="58">
        <f>IF(B505&lt;questions!$C$6,if(MONTH(A505)=1,C504*(1+questions!$C$12),C504),0)</f>
        <v>0</v>
      </c>
      <c r="D505" s="58">
        <f>IF(MONTH(A505)=12,C505*questions!$C$11,0)</f>
        <v>0</v>
      </c>
      <c r="E505" s="71">
        <f t="shared" si="2"/>
        <v>0</v>
      </c>
      <c r="F505" s="71">
        <f t="shared" si="3"/>
        <v>0</v>
      </c>
      <c r="G505" s="61">
        <f t="array" ref="G505">if(YEAR(A505)=2025,XLOOKUP(B505,Lookup!$A$3:$A$7,Lookup!$D$3:$D$7,,1)*SUM(E505:F505), XLOOKUP(B505,Lookup!$A$14:$A$18,Lookup!$D$14:$D$18,,1)*SUM(E505:F505))</f>
        <v>0</v>
      </c>
      <c r="H505" s="61">
        <f t="array" ref="H505">if(YEAR(A505)=2025,XLOOKUP(B505,Lookup!$F$3:$F$10,Lookup!$G$3:$G$10,,1)*G505, XLOOKUP(B505,Lookup!$F$14:$F$21,Lookup!$G$14:$G$21,,1)*G505)</f>
        <v>0</v>
      </c>
      <c r="I505" s="61">
        <f t="array" ref="I505">if(B505&lt;55, if(YEAR(A505)=2025,XLOOKUP(B505,Lookup!$F$3:$F$10,Lookup!$H$3:$H$10,,1)*G505, XLOOKUP(B505,Lookup!$F$14:$F$21,Lookup!$H$14:$H$21,,1)*G505),0)</f>
        <v>0</v>
      </c>
      <c r="J505" s="61">
        <f t="array" ref="J505">if(YEAR(A505)=2025,XLOOKUP(B505,Lookup!$F$3:$F$10,Lookup!$I$3:$I$10,,1)*G505, XLOOKUP(B505,Lookup!$F$14:$F$21,Lookup!$I$14:$I$21,,1)*G505)</f>
        <v>0</v>
      </c>
      <c r="K505" s="61">
        <f t="array" ref="K505">if(B505&gt;54, if(YEAR(A505)=2025,XLOOKUP(B505,Lookup!$F$3:$F$10,Lookup!$H$3:$H$10,,1)*G505, XLOOKUP(B505,Lookup!$F$14:$F$21,Lookup!$H$14:$H$21,,1)*G505),0)</f>
        <v>0</v>
      </c>
      <c r="L505" s="62">
        <f>IF(and(A505&lt;questions!$C$19,questions!$C$18="yes"),questions!$C$20,0)</f>
        <v>0</v>
      </c>
      <c r="M505" s="63">
        <f>(Y504+H505)*Lookup!A$26/12</f>
        <v>2256.521874</v>
      </c>
      <c r="N505" s="63">
        <f>if(B505&lt;55, (Z504+I505)*Lookup!B$26/12, (AB504+K505)*Lookup!B$26/12)</f>
        <v>3675.092244</v>
      </c>
      <c r="O505" s="63">
        <f>(AA504+J505)*Lookup!C$26/12</f>
        <v>940.3700287</v>
      </c>
      <c r="P505" s="63">
        <f t="shared" si="8"/>
        <v>2256.521874</v>
      </c>
      <c r="Q505" s="63">
        <f t="shared" si="4"/>
        <v>3675.092244</v>
      </c>
      <c r="R505" s="63">
        <f t="shared" si="5"/>
        <v>940.3700287</v>
      </c>
      <c r="S505" s="64">
        <f t="shared" si="9"/>
        <v>33.33333333</v>
      </c>
      <c r="T505" s="64">
        <f t="shared" si="10"/>
        <v>41.66666667</v>
      </c>
      <c r="U505" s="64">
        <f t="shared" si="11"/>
        <v>0</v>
      </c>
      <c r="V505" s="64">
        <f t="shared" ref="V505:X505" si="513">IF(year($A505)=year($A504), V504+S505, S505)</f>
        <v>33.33333333</v>
      </c>
      <c r="W505" s="64">
        <f t="shared" si="513"/>
        <v>41.66666667</v>
      </c>
      <c r="X505" s="64">
        <f t="shared" si="513"/>
        <v>0</v>
      </c>
      <c r="Y505" s="65">
        <f>IFS(
  B505&lt;55,
    MAX(
      Y504 + IF(MONTH(A505)=12, P505+V505, 0) + H505 - L505
      + MAX(0,
          IF(AA504 &gt;= VLOOKUP(YEAR(A505), Lookup!$Q:$R, 2),
            Z504 + IF(MONTH(A505)=12, Q505+W505, 0) + I505
              + AA504 + IF(MONTH(A505)=12, R505+X505, 0)
              - VLOOKUP(YEAR(A505), Lookup!$Q:$R, 2) + J505,
            Z504 + IF(MONTH(A505)=12, Q505+W505, 0) + I505
          ) - VLOOKUP(YEAR(A505), Lookup!$K:$M, 3)
        ),
    0),
  B505=55,
    IF(Z504&gt;=AD505,
      MAX(Y504 + IF(MONTH(A505)=12, P505+V505, 0) + H505 - L505, 0),
      MAX(MAX(0, Y504-(AD505-Z504)) + IF(MONTH(A505)=12, P505+V505, 0) + H505 - L505, 0)
    ),
  B505&gt;55,
    IF(AB504&gt;=$AH$7,
      MAX(Y504 + IF(MONTH(A505)=12, P505+V505, 0) + H505 - L505 + K505 + Z504, 0),
      MAX(Y504 + IF(MONTH(A505)=12, P505+V505, 0) + H505 - L505, 0)
    )
)</f>
        <v>1083130.5</v>
      </c>
      <c r="Z505" s="65">
        <f>IFS(
  B505&lt;55,
    MIN(
      IF(AA504 &gt;= VLOOKUP(YEAR(A505), Lookup!$Q:$R, 2),
        Z504 + IF(MONTH(A505)=12, Q505+W505, 0) + I505
          + AA504 + IF(MONTH(A505)=12, R505+X505, 0) - VLOOKUP(YEAR(A505), Lookup!$Q:$R, 2) + J505,
        Z504 + IF(MONTH(A505)=12, Q505+W505, 0) + I505
      ),
      VLOOKUP(YEAR(A505), Lookup!$K:$M, 3)
    ),
  B505=55,
    IF(Z504 &gt;= AD505, Z504 - AD505, 0),
  B505&gt;55, 0
)</f>
        <v>0</v>
      </c>
      <c r="AA505" s="65">
        <f>IFS(
  B505&lt;65,
    IF(AA504+J505 &lt; VLOOKUP(YEAR(A505), Lookup!$Q:$R, 2),
      AA504 + IF(MONTH(A505)=12, R504+X504, 0) + J505,
      MIN(
        AA504 + IF(MONTH(A505)=12, R504+X504, 0) + J505 ,
        VLOOKUP(YEAR(A505), Lookup!$Q:$R, 2)
      )
    ),
  B505&gt;=65,
    IF(AA504+J505 &lt; VLOOKUP(questions!$C$5, Lookup!$Q:$R, 2),
      AA504 + IF(MONTH(A505)=12, R504+X504, 0) + J505 ,
      MIN(
        AA504 + IF(MONTH(A505)=12, R504+X504, 0) + J505,
        VLOOKUP(questions!$C$5, Lookup!$Q:$R, 2)
      )
    )
)</f>
        <v>282111.0086</v>
      </c>
      <c r="AB505" s="65">
        <f t="shared" si="13"/>
        <v>1102527.673</v>
      </c>
      <c r="AC505" s="66">
        <f t="array" ref="AC505">IFS(B505&lt;66, XLOOKUP(year(A505),Lookup!$K$13:$K1000,Lookup!$L$13:$L1000,"missing",,1),B505&gt;65,XLOOKUP(questions!$C$5,Lookup!$K$13:$K1000,Lookup!$L$13:$L1000,"missing",,1))</f>
        <v>393675.3633</v>
      </c>
      <c r="AD505" s="66">
        <f t="array" ref="AD505">IFS(B505&lt;66, XLOOKUP(year(A505),Lookup!$K$13:$K1000,Lookup!$M$13:$M1000,"missing",,1),B505&gt;65, XLOOKUP(questions!$C$5,Lookup!$K$13:$K1000,Lookup!$M$13:$M1000,"missing",,1))</f>
        <v>787350.7266</v>
      </c>
      <c r="AE505" s="66">
        <f t="array" ref="AE505">IFS(B505&lt;66, XLOOKUP(year(A505),Lookup!$K$13:$K1000,Lookup!$N$13:$N1000,"missing",,1),B505&gt;65,XLOOKUP(questions!$C$5,Lookup!$K$13:$K1000,Lookup!$N$13:$N1000,"missing",,1))</f>
        <v>1574701.453</v>
      </c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</row>
    <row r="506">
      <c r="A506" s="55">
        <f t="shared" si="7"/>
        <v>61422</v>
      </c>
      <c r="B506" s="56">
        <f>round(YEARFRAC(EOMONTH(questions!$C$3, 0),A506,1),2)</f>
        <v>69.25</v>
      </c>
      <c r="C506" s="58">
        <f>IF(B506&lt;questions!$C$6,if(MONTH(A506)=1,C505*(1+questions!$C$12),C505),0)</f>
        <v>0</v>
      </c>
      <c r="D506" s="58">
        <f>IF(MONTH(A506)=12,C506*questions!$C$11,0)</f>
        <v>0</v>
      </c>
      <c r="E506" s="71">
        <f t="shared" si="2"/>
        <v>0</v>
      </c>
      <c r="F506" s="71">
        <f t="shared" si="3"/>
        <v>0</v>
      </c>
      <c r="G506" s="61">
        <f t="array" ref="G506">if(YEAR(A506)=2025,XLOOKUP(B506,Lookup!$A$3:$A$7,Lookup!$D$3:$D$7,,1)*SUM(E506:F506), XLOOKUP(B506,Lookup!$A$14:$A$18,Lookup!$D$14:$D$18,,1)*SUM(E506:F506))</f>
        <v>0</v>
      </c>
      <c r="H506" s="61">
        <f t="array" ref="H506">if(YEAR(A506)=2025,XLOOKUP(B506,Lookup!$F$3:$F$10,Lookup!$G$3:$G$10,,1)*G506, XLOOKUP(B506,Lookup!$F$14:$F$21,Lookup!$G$14:$G$21,,1)*G506)</f>
        <v>0</v>
      </c>
      <c r="I506" s="61">
        <f t="array" ref="I506">if(B506&lt;55, if(YEAR(A506)=2025,XLOOKUP(B506,Lookup!$F$3:$F$10,Lookup!$H$3:$H$10,,1)*G506, XLOOKUP(B506,Lookup!$F$14:$F$21,Lookup!$H$14:$H$21,,1)*G506),0)</f>
        <v>0</v>
      </c>
      <c r="J506" s="61">
        <f t="array" ref="J506">if(YEAR(A506)=2025,XLOOKUP(B506,Lookup!$F$3:$F$10,Lookup!$I$3:$I$10,,1)*G506, XLOOKUP(B506,Lookup!$F$14:$F$21,Lookup!$I$14:$I$21,,1)*G506)</f>
        <v>0</v>
      </c>
      <c r="K506" s="61">
        <f t="array" ref="K506">if(B506&gt;54, if(YEAR(A506)=2025,XLOOKUP(B506,Lookup!$F$3:$F$10,Lookup!$H$3:$H$10,,1)*G506, XLOOKUP(B506,Lookup!$F$14:$F$21,Lookup!$H$14:$H$21,,1)*G506),0)</f>
        <v>0</v>
      </c>
      <c r="L506" s="62">
        <f>IF(and(A506&lt;questions!$C$19,questions!$C$18="yes"),questions!$C$20,0)</f>
        <v>0</v>
      </c>
      <c r="M506" s="63">
        <f>(Y505+H506)*Lookup!A$26/12</f>
        <v>2256.521874</v>
      </c>
      <c r="N506" s="63">
        <f>if(B506&lt;55, (Z505+I506)*Lookup!B$26/12, (AB505+K506)*Lookup!B$26/12)</f>
        <v>3675.092244</v>
      </c>
      <c r="O506" s="63">
        <f>(AA505+J506)*Lookup!C$26/12</f>
        <v>940.3700287</v>
      </c>
      <c r="P506" s="63">
        <f t="shared" si="8"/>
        <v>4513.043749</v>
      </c>
      <c r="Q506" s="63">
        <f t="shared" si="4"/>
        <v>7350.184488</v>
      </c>
      <c r="R506" s="63">
        <f t="shared" si="5"/>
        <v>1880.740057</v>
      </c>
      <c r="S506" s="64">
        <f t="shared" si="9"/>
        <v>33.33333333</v>
      </c>
      <c r="T506" s="64">
        <f t="shared" si="10"/>
        <v>41.66666667</v>
      </c>
      <c r="U506" s="64">
        <f t="shared" si="11"/>
        <v>0</v>
      </c>
      <c r="V506" s="64">
        <f t="shared" ref="V506:X506" si="514">IF(year($A506)=year($A505), V505+S506, S506)</f>
        <v>66.66666667</v>
      </c>
      <c r="W506" s="64">
        <f t="shared" si="514"/>
        <v>83.33333333</v>
      </c>
      <c r="X506" s="64">
        <f t="shared" si="514"/>
        <v>0</v>
      </c>
      <c r="Y506" s="65">
        <f>IFS(
  B506&lt;55,
    MAX(
      Y505 + IF(MONTH(A506)=12, P506+V506, 0) + H506 - L506
      + MAX(0,
          IF(AA505 &gt;= VLOOKUP(YEAR(A506), Lookup!$Q:$R, 2),
            Z505 + IF(MONTH(A506)=12, Q506+W506, 0) + I506
              + AA505 + IF(MONTH(A506)=12, R506+X506, 0)
              - VLOOKUP(YEAR(A506), Lookup!$Q:$R, 2) + J506,
            Z505 + IF(MONTH(A506)=12, Q506+W506, 0) + I506
          ) - VLOOKUP(YEAR(A506), Lookup!$K:$M, 3)
        ),
    0),
  B506=55,
    IF(Z505&gt;=AD506,
      MAX(Y505 + IF(MONTH(A506)=12, P506+V506, 0) + H506 - L506, 0),
      MAX(MAX(0, Y505-(AD506-Z505)) + IF(MONTH(A506)=12, P506+V506, 0) + H506 - L506, 0)
    ),
  B506&gt;55,
    IF(AB505&gt;=$AH$7,
      MAX(Y505 + IF(MONTH(A506)=12, P506+V506, 0) + H506 - L506 + K506 + Z505, 0),
      MAX(Y505 + IF(MONTH(A506)=12, P506+V506, 0) + H506 - L506, 0)
    )
)</f>
        <v>1083130.5</v>
      </c>
      <c r="Z506" s="65">
        <f>IFS(
  B506&lt;55,
    MIN(
      IF(AA505 &gt;= VLOOKUP(YEAR(A506), Lookup!$Q:$R, 2),
        Z505 + IF(MONTH(A506)=12, Q506+W506, 0) + I506
          + AA505 + IF(MONTH(A506)=12, R506+X506, 0) - VLOOKUP(YEAR(A506), Lookup!$Q:$R, 2) + J506,
        Z505 + IF(MONTH(A506)=12, Q506+W506, 0) + I506
      ),
      VLOOKUP(YEAR(A506), Lookup!$K:$M, 3)
    ),
  B506=55,
    IF(Z505 &gt;= AD506, Z505 - AD506, 0),
  B506&gt;55, 0
)</f>
        <v>0</v>
      </c>
      <c r="AA506" s="65">
        <f>IFS(
  B506&lt;65,
    IF(AA505+J506 &lt; VLOOKUP(YEAR(A506), Lookup!$Q:$R, 2),
      AA505 + IF(MONTH(A506)=12, R505+X505, 0) + J506,
      MIN(
        AA505 + IF(MONTH(A506)=12, R505+X505, 0) + J506 ,
        VLOOKUP(YEAR(A506), Lookup!$Q:$R, 2)
      )
    ),
  B506&gt;=65,
    IF(AA505+J506 &lt; VLOOKUP(questions!$C$5, Lookup!$Q:$R, 2),
      AA505 + IF(MONTH(A506)=12, R505+X505, 0) + J506 ,
      MIN(
        AA505 + IF(MONTH(A506)=12, R505+X505, 0) + J506,
        VLOOKUP(questions!$C$5, Lookup!$Q:$R, 2)
      )
    )
)</f>
        <v>282111.0086</v>
      </c>
      <c r="AB506" s="65">
        <f t="shared" si="13"/>
        <v>1102527.673</v>
      </c>
      <c r="AC506" s="66">
        <f t="array" ref="AC506">IFS(B506&lt;66, XLOOKUP(year(A506),Lookup!$K$13:$K1000,Lookup!$L$13:$L1000,"missing",,1),B506&gt;65,XLOOKUP(questions!$C$5,Lookup!$K$13:$K1000,Lookup!$L$13:$L1000,"missing",,1))</f>
        <v>393675.3633</v>
      </c>
      <c r="AD506" s="66">
        <f t="array" ref="AD506">IFS(B506&lt;66, XLOOKUP(year(A506),Lookup!$K$13:$K1000,Lookup!$M$13:$M1000,"missing",,1),B506&gt;65, XLOOKUP(questions!$C$5,Lookup!$K$13:$K1000,Lookup!$M$13:$M1000,"missing",,1))</f>
        <v>787350.7266</v>
      </c>
      <c r="AE506" s="66">
        <f t="array" ref="AE506">IFS(B506&lt;66, XLOOKUP(year(A506),Lookup!$K$13:$K1000,Lookup!$N$13:$N1000,"missing",,1),B506&gt;65,XLOOKUP(questions!$C$5,Lookup!$K$13:$K1000,Lookup!$N$13:$N1000,"missing",,1))</f>
        <v>1574701.453</v>
      </c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</row>
    <row r="507">
      <c r="A507" s="55">
        <f t="shared" si="7"/>
        <v>61453</v>
      </c>
      <c r="B507" s="56">
        <f>round(YEARFRAC(EOMONTH(questions!$C$3, 0),A507,1),2)</f>
        <v>69.33</v>
      </c>
      <c r="C507" s="58">
        <f>IF(B507&lt;questions!$C$6,if(MONTH(A507)=1,C506*(1+questions!$C$12),C506),0)</f>
        <v>0</v>
      </c>
      <c r="D507" s="58">
        <f>IF(MONTH(A507)=12,C507*questions!$C$11,0)</f>
        <v>0</v>
      </c>
      <c r="E507" s="71">
        <f t="shared" si="2"/>
        <v>0</v>
      </c>
      <c r="F507" s="71">
        <f t="shared" si="3"/>
        <v>0</v>
      </c>
      <c r="G507" s="61">
        <f t="array" ref="G507">if(YEAR(A507)=2025,XLOOKUP(B507,Lookup!$A$3:$A$7,Lookup!$D$3:$D$7,,1)*SUM(E507:F507), XLOOKUP(B507,Lookup!$A$14:$A$18,Lookup!$D$14:$D$18,,1)*SUM(E507:F507))</f>
        <v>0</v>
      </c>
      <c r="H507" s="61">
        <f t="array" ref="H507">if(YEAR(A507)=2025,XLOOKUP(B507,Lookup!$F$3:$F$10,Lookup!$G$3:$G$10,,1)*G507, XLOOKUP(B507,Lookup!$F$14:$F$21,Lookup!$G$14:$G$21,,1)*G507)</f>
        <v>0</v>
      </c>
      <c r="I507" s="61">
        <f t="array" ref="I507">if(B507&lt;55, if(YEAR(A507)=2025,XLOOKUP(B507,Lookup!$F$3:$F$10,Lookup!$H$3:$H$10,,1)*G507, XLOOKUP(B507,Lookup!$F$14:$F$21,Lookup!$H$14:$H$21,,1)*G507),0)</f>
        <v>0</v>
      </c>
      <c r="J507" s="61">
        <f t="array" ref="J507">if(YEAR(A507)=2025,XLOOKUP(B507,Lookup!$F$3:$F$10,Lookup!$I$3:$I$10,,1)*G507, XLOOKUP(B507,Lookup!$F$14:$F$21,Lookup!$I$14:$I$21,,1)*G507)</f>
        <v>0</v>
      </c>
      <c r="K507" s="61">
        <f t="array" ref="K507">if(B507&gt;54, if(YEAR(A507)=2025,XLOOKUP(B507,Lookup!$F$3:$F$10,Lookup!$H$3:$H$10,,1)*G507, XLOOKUP(B507,Lookup!$F$14:$F$21,Lookup!$H$14:$H$21,,1)*G507),0)</f>
        <v>0</v>
      </c>
      <c r="L507" s="62">
        <f>IF(and(A507&lt;questions!$C$19,questions!$C$18="yes"),questions!$C$20,0)</f>
        <v>0</v>
      </c>
      <c r="M507" s="63">
        <f>(Y506+H507)*Lookup!A$26/12</f>
        <v>2256.521874</v>
      </c>
      <c r="N507" s="63">
        <f>if(B507&lt;55, (Z506+I507)*Lookup!B$26/12, (AB506+K507)*Lookup!B$26/12)</f>
        <v>3675.092244</v>
      </c>
      <c r="O507" s="63">
        <f>(AA506+J507)*Lookup!C$26/12</f>
        <v>940.3700287</v>
      </c>
      <c r="P507" s="63">
        <f t="shared" si="8"/>
        <v>6769.565623</v>
      </c>
      <c r="Q507" s="63">
        <f t="shared" si="4"/>
        <v>11025.27673</v>
      </c>
      <c r="R507" s="63">
        <f t="shared" si="5"/>
        <v>2821.110086</v>
      </c>
      <c r="S507" s="64">
        <f t="shared" si="9"/>
        <v>33.33333333</v>
      </c>
      <c r="T507" s="64">
        <f t="shared" si="10"/>
        <v>41.66666667</v>
      </c>
      <c r="U507" s="64">
        <f t="shared" si="11"/>
        <v>0</v>
      </c>
      <c r="V507" s="64">
        <f t="shared" ref="V507:X507" si="515">IF(year($A507)=year($A506), V506+S507, S507)</f>
        <v>100</v>
      </c>
      <c r="W507" s="64">
        <f t="shared" si="515"/>
        <v>125</v>
      </c>
      <c r="X507" s="64">
        <f t="shared" si="515"/>
        <v>0</v>
      </c>
      <c r="Y507" s="65">
        <f>IFS(
  B507&lt;55,
    MAX(
      Y506 + IF(MONTH(A507)=12, P507+V507, 0) + H507 - L507
      + MAX(0,
          IF(AA506 &gt;= VLOOKUP(YEAR(A507), Lookup!$Q:$R, 2),
            Z506 + IF(MONTH(A507)=12, Q507+W507, 0) + I507
              + AA506 + IF(MONTH(A507)=12, R507+X507, 0)
              - VLOOKUP(YEAR(A507), Lookup!$Q:$R, 2) + J507,
            Z506 + IF(MONTH(A507)=12, Q507+W507, 0) + I507
          ) - VLOOKUP(YEAR(A507), Lookup!$K:$M, 3)
        ),
    0),
  B507=55,
    IF(Z506&gt;=AD507,
      MAX(Y506 + IF(MONTH(A507)=12, P507+V507, 0) + H507 - L507, 0),
      MAX(MAX(0, Y506-(AD507-Z506)) + IF(MONTH(A507)=12, P507+V507, 0) + H507 - L507, 0)
    ),
  B507&gt;55,
    IF(AB506&gt;=$AH$7,
      MAX(Y506 + IF(MONTH(A507)=12, P507+V507, 0) + H507 - L507 + K507 + Z506, 0),
      MAX(Y506 + IF(MONTH(A507)=12, P507+V507, 0) + H507 - L507, 0)
    )
)</f>
        <v>1083130.5</v>
      </c>
      <c r="Z507" s="65">
        <f>IFS(
  B507&lt;55,
    MIN(
      IF(AA506 &gt;= VLOOKUP(YEAR(A507), Lookup!$Q:$R, 2),
        Z506 + IF(MONTH(A507)=12, Q507+W507, 0) + I507
          + AA506 + IF(MONTH(A507)=12, R507+X507, 0) - VLOOKUP(YEAR(A507), Lookup!$Q:$R, 2) + J507,
        Z506 + IF(MONTH(A507)=12, Q507+W507, 0) + I507
      ),
      VLOOKUP(YEAR(A507), Lookup!$K:$M, 3)
    ),
  B507=55,
    IF(Z506 &gt;= AD507, Z506 - AD507, 0),
  B507&gt;55, 0
)</f>
        <v>0</v>
      </c>
      <c r="AA507" s="65">
        <f>IFS(
  B507&lt;65,
    IF(AA506+J507 &lt; VLOOKUP(YEAR(A507), Lookup!$Q:$R, 2),
      AA506 + IF(MONTH(A507)=12, R506+X506, 0) + J507,
      MIN(
        AA506 + IF(MONTH(A507)=12, R506+X506, 0) + J507 ,
        VLOOKUP(YEAR(A507), Lookup!$Q:$R, 2)
      )
    ),
  B507&gt;=65,
    IF(AA506+J507 &lt; VLOOKUP(questions!$C$5, Lookup!$Q:$R, 2),
      AA506 + IF(MONTH(A507)=12, R506+X506, 0) + J507 ,
      MIN(
        AA506 + IF(MONTH(A507)=12, R506+X506, 0) + J507,
        VLOOKUP(questions!$C$5, Lookup!$Q:$R, 2)
      )
    )
)</f>
        <v>282111.0086</v>
      </c>
      <c r="AB507" s="65">
        <f t="shared" si="13"/>
        <v>1102527.673</v>
      </c>
      <c r="AC507" s="66">
        <f t="array" ref="AC507">IFS(B507&lt;66, XLOOKUP(year(A507),Lookup!$K$13:$K1000,Lookup!$L$13:$L1000,"missing",,1),B507&gt;65,XLOOKUP(questions!$C$5,Lookup!$K$13:$K1000,Lookup!$L$13:$L1000,"missing",,1))</f>
        <v>393675.3633</v>
      </c>
      <c r="AD507" s="66">
        <f t="array" ref="AD507">IFS(B507&lt;66, XLOOKUP(year(A507),Lookup!$K$13:$K1000,Lookup!$M$13:$M1000,"missing",,1),B507&gt;65, XLOOKUP(questions!$C$5,Lookup!$K$13:$K1000,Lookup!$M$13:$M1000,"missing",,1))</f>
        <v>787350.7266</v>
      </c>
      <c r="AE507" s="66">
        <f t="array" ref="AE507">IFS(B507&lt;66, XLOOKUP(year(A507),Lookup!$K$13:$K1000,Lookup!$N$13:$N1000,"missing",,1),B507&gt;65,XLOOKUP(questions!$C$5,Lookup!$K$13:$K1000,Lookup!$N$13:$N1000,"missing",,1))</f>
        <v>1574701.453</v>
      </c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</row>
    <row r="508">
      <c r="A508" s="55">
        <f t="shared" si="7"/>
        <v>61483</v>
      </c>
      <c r="B508" s="56">
        <f>round(YEARFRAC(EOMONTH(questions!$C$3, 0),A508,1),2)</f>
        <v>69.42</v>
      </c>
      <c r="C508" s="58">
        <f>IF(B508&lt;questions!$C$6,if(MONTH(A508)=1,C507*(1+questions!$C$12),C507),0)</f>
        <v>0</v>
      </c>
      <c r="D508" s="58">
        <f>IF(MONTH(A508)=12,C508*questions!$C$11,0)</f>
        <v>0</v>
      </c>
      <c r="E508" s="71">
        <f t="shared" si="2"/>
        <v>0</v>
      </c>
      <c r="F508" s="71">
        <f t="shared" si="3"/>
        <v>0</v>
      </c>
      <c r="G508" s="61">
        <f t="array" ref="G508">if(YEAR(A508)=2025,XLOOKUP(B508,Lookup!$A$3:$A$7,Lookup!$D$3:$D$7,,1)*SUM(E508:F508), XLOOKUP(B508,Lookup!$A$14:$A$18,Lookup!$D$14:$D$18,,1)*SUM(E508:F508))</f>
        <v>0</v>
      </c>
      <c r="H508" s="61">
        <f t="array" ref="H508">if(YEAR(A508)=2025,XLOOKUP(B508,Lookup!$F$3:$F$10,Lookup!$G$3:$G$10,,1)*G508, XLOOKUP(B508,Lookup!$F$14:$F$21,Lookup!$G$14:$G$21,,1)*G508)</f>
        <v>0</v>
      </c>
      <c r="I508" s="61">
        <f t="array" ref="I508">if(B508&lt;55, if(YEAR(A508)=2025,XLOOKUP(B508,Lookup!$F$3:$F$10,Lookup!$H$3:$H$10,,1)*G508, XLOOKUP(B508,Lookup!$F$14:$F$21,Lookup!$H$14:$H$21,,1)*G508),0)</f>
        <v>0</v>
      </c>
      <c r="J508" s="61">
        <f t="array" ref="J508">if(YEAR(A508)=2025,XLOOKUP(B508,Lookup!$F$3:$F$10,Lookup!$I$3:$I$10,,1)*G508, XLOOKUP(B508,Lookup!$F$14:$F$21,Lookup!$I$14:$I$21,,1)*G508)</f>
        <v>0</v>
      </c>
      <c r="K508" s="61">
        <f t="array" ref="K508">if(B508&gt;54, if(YEAR(A508)=2025,XLOOKUP(B508,Lookup!$F$3:$F$10,Lookup!$H$3:$H$10,,1)*G508, XLOOKUP(B508,Lookup!$F$14:$F$21,Lookup!$H$14:$H$21,,1)*G508),0)</f>
        <v>0</v>
      </c>
      <c r="L508" s="62">
        <f>IF(and(A508&lt;questions!$C$19,questions!$C$18="yes"),questions!$C$20,0)</f>
        <v>0</v>
      </c>
      <c r="M508" s="63">
        <f>(Y507+H508)*Lookup!A$26/12</f>
        <v>2256.521874</v>
      </c>
      <c r="N508" s="63">
        <f>if(B508&lt;55, (Z507+I508)*Lookup!B$26/12, (AB507+K508)*Lookup!B$26/12)</f>
        <v>3675.092244</v>
      </c>
      <c r="O508" s="63">
        <f>(AA507+J508)*Lookup!C$26/12</f>
        <v>940.3700287</v>
      </c>
      <c r="P508" s="63">
        <f t="shared" si="8"/>
        <v>9026.087498</v>
      </c>
      <c r="Q508" s="63">
        <f t="shared" si="4"/>
        <v>14700.36898</v>
      </c>
      <c r="R508" s="63">
        <f t="shared" si="5"/>
        <v>3761.480115</v>
      </c>
      <c r="S508" s="64">
        <f t="shared" si="9"/>
        <v>33.33333333</v>
      </c>
      <c r="T508" s="64">
        <f t="shared" si="10"/>
        <v>41.66666667</v>
      </c>
      <c r="U508" s="64">
        <f t="shared" si="11"/>
        <v>0</v>
      </c>
      <c r="V508" s="64">
        <f t="shared" ref="V508:X508" si="516">IF(year($A508)=year($A507), V507+S508, S508)</f>
        <v>133.3333333</v>
      </c>
      <c r="W508" s="64">
        <f t="shared" si="516"/>
        <v>166.6666667</v>
      </c>
      <c r="X508" s="64">
        <f t="shared" si="516"/>
        <v>0</v>
      </c>
      <c r="Y508" s="65">
        <f>IFS(
  B508&lt;55,
    MAX(
      Y507 + IF(MONTH(A508)=12, P508+V508, 0) + H508 - L508
      + MAX(0,
          IF(AA507 &gt;= VLOOKUP(YEAR(A508), Lookup!$Q:$R, 2),
            Z507 + IF(MONTH(A508)=12, Q508+W508, 0) + I508
              + AA507 + IF(MONTH(A508)=12, R508+X508, 0)
              - VLOOKUP(YEAR(A508), Lookup!$Q:$R, 2) + J508,
            Z507 + IF(MONTH(A508)=12, Q508+W508, 0) + I508
          ) - VLOOKUP(YEAR(A508), Lookup!$K:$M, 3)
        ),
    0),
  B508=55,
    IF(Z507&gt;=AD508,
      MAX(Y507 + IF(MONTH(A508)=12, P508+V508, 0) + H508 - L508, 0),
      MAX(MAX(0, Y507-(AD508-Z507)) + IF(MONTH(A508)=12, P508+V508, 0) + H508 - L508, 0)
    ),
  B508&gt;55,
    IF(AB507&gt;=$AH$7,
      MAX(Y507 + IF(MONTH(A508)=12, P508+V508, 0) + H508 - L508 + K508 + Z507, 0),
      MAX(Y507 + IF(MONTH(A508)=12, P508+V508, 0) + H508 - L508, 0)
    )
)</f>
        <v>1083130.5</v>
      </c>
      <c r="Z508" s="65">
        <f>IFS(
  B508&lt;55,
    MIN(
      IF(AA507 &gt;= VLOOKUP(YEAR(A508), Lookup!$Q:$R, 2),
        Z507 + IF(MONTH(A508)=12, Q508+W508, 0) + I508
          + AA507 + IF(MONTH(A508)=12, R508+X508, 0) - VLOOKUP(YEAR(A508), Lookup!$Q:$R, 2) + J508,
        Z507 + IF(MONTH(A508)=12, Q508+W508, 0) + I508
      ),
      VLOOKUP(YEAR(A508), Lookup!$K:$M, 3)
    ),
  B508=55,
    IF(Z507 &gt;= AD508, Z507 - AD508, 0),
  B508&gt;55, 0
)</f>
        <v>0</v>
      </c>
      <c r="AA508" s="65">
        <f>IFS(
  B508&lt;65,
    IF(AA507+J508 &lt; VLOOKUP(YEAR(A508), Lookup!$Q:$R, 2),
      AA507 + IF(MONTH(A508)=12, R507+X507, 0) + J508,
      MIN(
        AA507 + IF(MONTH(A508)=12, R507+X507, 0) + J508 ,
        VLOOKUP(YEAR(A508), Lookup!$Q:$R, 2)
      )
    ),
  B508&gt;=65,
    IF(AA507+J508 &lt; VLOOKUP(questions!$C$5, Lookup!$Q:$R, 2),
      AA507 + IF(MONTH(A508)=12, R507+X507, 0) + J508 ,
      MIN(
        AA507 + IF(MONTH(A508)=12, R507+X507, 0) + J508,
        VLOOKUP(questions!$C$5, Lookup!$Q:$R, 2)
      )
    )
)</f>
        <v>282111.0086</v>
      </c>
      <c r="AB508" s="65">
        <f t="shared" si="13"/>
        <v>1102527.673</v>
      </c>
      <c r="AC508" s="66">
        <f t="array" ref="AC508">IFS(B508&lt;66, XLOOKUP(year(A508),Lookup!$K$13:$K1000,Lookup!$L$13:$L1000,"missing",,1),B508&gt;65,XLOOKUP(questions!$C$5,Lookup!$K$13:$K1000,Lookup!$L$13:$L1000,"missing",,1))</f>
        <v>393675.3633</v>
      </c>
      <c r="AD508" s="66">
        <f t="array" ref="AD508">IFS(B508&lt;66, XLOOKUP(year(A508),Lookup!$K$13:$K1000,Lookup!$M$13:$M1000,"missing",,1),B508&gt;65, XLOOKUP(questions!$C$5,Lookup!$K$13:$K1000,Lookup!$M$13:$M1000,"missing",,1))</f>
        <v>787350.7266</v>
      </c>
      <c r="AE508" s="66">
        <f t="array" ref="AE508">IFS(B508&lt;66, XLOOKUP(year(A508),Lookup!$K$13:$K1000,Lookup!$N$13:$N1000,"missing",,1),B508&gt;65,XLOOKUP(questions!$C$5,Lookup!$K$13:$K1000,Lookup!$N$13:$N1000,"missing",,1))</f>
        <v>1574701.453</v>
      </c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</row>
    <row r="509">
      <c r="A509" s="55">
        <f t="shared" si="7"/>
        <v>61514</v>
      </c>
      <c r="B509" s="56">
        <f>round(YEARFRAC(EOMONTH(questions!$C$3, 0),A509,1),2)</f>
        <v>69.5</v>
      </c>
      <c r="C509" s="58">
        <f>IF(B509&lt;questions!$C$6,if(MONTH(A509)=1,C508*(1+questions!$C$12),C508),0)</f>
        <v>0</v>
      </c>
      <c r="D509" s="58">
        <f>IF(MONTH(A509)=12,C509*questions!$C$11,0)</f>
        <v>0</v>
      </c>
      <c r="E509" s="71">
        <f t="shared" si="2"/>
        <v>0</v>
      </c>
      <c r="F509" s="71">
        <f t="shared" si="3"/>
        <v>0</v>
      </c>
      <c r="G509" s="61">
        <f t="array" ref="G509">if(YEAR(A509)=2025,XLOOKUP(B509,Lookup!$A$3:$A$7,Lookup!$D$3:$D$7,,1)*SUM(E509:F509), XLOOKUP(B509,Lookup!$A$14:$A$18,Lookup!$D$14:$D$18,,1)*SUM(E509:F509))</f>
        <v>0</v>
      </c>
      <c r="H509" s="61">
        <f t="array" ref="H509">if(YEAR(A509)=2025,XLOOKUP(B509,Lookup!$F$3:$F$10,Lookup!$G$3:$G$10,,1)*G509, XLOOKUP(B509,Lookup!$F$14:$F$21,Lookup!$G$14:$G$21,,1)*G509)</f>
        <v>0</v>
      </c>
      <c r="I509" s="61">
        <f t="array" ref="I509">if(B509&lt;55, if(YEAR(A509)=2025,XLOOKUP(B509,Lookup!$F$3:$F$10,Lookup!$H$3:$H$10,,1)*G509, XLOOKUP(B509,Lookup!$F$14:$F$21,Lookup!$H$14:$H$21,,1)*G509),0)</f>
        <v>0</v>
      </c>
      <c r="J509" s="61">
        <f t="array" ref="J509">if(YEAR(A509)=2025,XLOOKUP(B509,Lookup!$F$3:$F$10,Lookup!$I$3:$I$10,,1)*G509, XLOOKUP(B509,Lookup!$F$14:$F$21,Lookup!$I$14:$I$21,,1)*G509)</f>
        <v>0</v>
      </c>
      <c r="K509" s="61">
        <f t="array" ref="K509">if(B509&gt;54, if(YEAR(A509)=2025,XLOOKUP(B509,Lookup!$F$3:$F$10,Lookup!$H$3:$H$10,,1)*G509, XLOOKUP(B509,Lookup!$F$14:$F$21,Lookup!$H$14:$H$21,,1)*G509),0)</f>
        <v>0</v>
      </c>
      <c r="L509" s="62">
        <f>IF(and(A509&lt;questions!$C$19,questions!$C$18="yes"),questions!$C$20,0)</f>
        <v>0</v>
      </c>
      <c r="M509" s="63">
        <f>(Y508+H509)*Lookup!A$26/12</f>
        <v>2256.521874</v>
      </c>
      <c r="N509" s="63">
        <f>if(B509&lt;55, (Z508+I509)*Lookup!B$26/12, (AB508+K509)*Lookup!B$26/12)</f>
        <v>3675.092244</v>
      </c>
      <c r="O509" s="63">
        <f>(AA508+J509)*Lookup!C$26/12</f>
        <v>940.3700287</v>
      </c>
      <c r="P509" s="63">
        <f t="shared" si="8"/>
        <v>11282.60937</v>
      </c>
      <c r="Q509" s="63">
        <f t="shared" si="4"/>
        <v>18375.46122</v>
      </c>
      <c r="R509" s="63">
        <f t="shared" si="5"/>
        <v>4701.850143</v>
      </c>
      <c r="S509" s="64">
        <f t="shared" si="9"/>
        <v>33.33333333</v>
      </c>
      <c r="T509" s="64">
        <f t="shared" si="10"/>
        <v>41.66666667</v>
      </c>
      <c r="U509" s="64">
        <f t="shared" si="11"/>
        <v>0</v>
      </c>
      <c r="V509" s="64">
        <f t="shared" ref="V509:X509" si="517">IF(year($A509)=year($A508), V508+S509, S509)</f>
        <v>166.6666667</v>
      </c>
      <c r="W509" s="64">
        <f t="shared" si="517"/>
        <v>208.3333333</v>
      </c>
      <c r="X509" s="64">
        <f t="shared" si="517"/>
        <v>0</v>
      </c>
      <c r="Y509" s="65">
        <f>IFS(
  B509&lt;55,
    MAX(
      Y508 + IF(MONTH(A509)=12, P509+V509, 0) + H509 - L509
      + MAX(0,
          IF(AA508 &gt;= VLOOKUP(YEAR(A509), Lookup!$Q:$R, 2),
            Z508 + IF(MONTH(A509)=12, Q509+W509, 0) + I509
              + AA508 + IF(MONTH(A509)=12, R509+X509, 0)
              - VLOOKUP(YEAR(A509), Lookup!$Q:$R, 2) + J509,
            Z508 + IF(MONTH(A509)=12, Q509+W509, 0) + I509
          ) - VLOOKUP(YEAR(A509), Lookup!$K:$M, 3)
        ),
    0),
  B509=55,
    IF(Z508&gt;=AD509,
      MAX(Y508 + IF(MONTH(A509)=12, P509+V509, 0) + H509 - L509, 0),
      MAX(MAX(0, Y508-(AD509-Z508)) + IF(MONTH(A509)=12, P509+V509, 0) + H509 - L509, 0)
    ),
  B509&gt;55,
    IF(AB508&gt;=$AH$7,
      MAX(Y508 + IF(MONTH(A509)=12, P509+V509, 0) + H509 - L509 + K509 + Z508, 0),
      MAX(Y508 + IF(MONTH(A509)=12, P509+V509, 0) + H509 - L509, 0)
    )
)</f>
        <v>1083130.5</v>
      </c>
      <c r="Z509" s="65">
        <f>IFS(
  B509&lt;55,
    MIN(
      IF(AA508 &gt;= VLOOKUP(YEAR(A509), Lookup!$Q:$R, 2),
        Z508 + IF(MONTH(A509)=12, Q509+W509, 0) + I509
          + AA508 + IF(MONTH(A509)=12, R509+X509, 0) - VLOOKUP(YEAR(A509), Lookup!$Q:$R, 2) + J509,
        Z508 + IF(MONTH(A509)=12, Q509+W509, 0) + I509
      ),
      VLOOKUP(YEAR(A509), Lookup!$K:$M, 3)
    ),
  B509=55,
    IF(Z508 &gt;= AD509, Z508 - AD509, 0),
  B509&gt;55, 0
)</f>
        <v>0</v>
      </c>
      <c r="AA509" s="65">
        <f>IFS(
  B509&lt;65,
    IF(AA508+J509 &lt; VLOOKUP(YEAR(A509), Lookup!$Q:$R, 2),
      AA508 + IF(MONTH(A509)=12, R508+X508, 0) + J509,
      MIN(
        AA508 + IF(MONTH(A509)=12, R508+X508, 0) + J509 ,
        VLOOKUP(YEAR(A509), Lookup!$Q:$R, 2)
      )
    ),
  B509&gt;=65,
    IF(AA508+J509 &lt; VLOOKUP(questions!$C$5, Lookup!$Q:$R, 2),
      AA508 + IF(MONTH(A509)=12, R508+X508, 0) + J509 ,
      MIN(
        AA508 + IF(MONTH(A509)=12, R508+X508, 0) + J509,
        VLOOKUP(questions!$C$5, Lookup!$Q:$R, 2)
      )
    )
)</f>
        <v>282111.0086</v>
      </c>
      <c r="AB509" s="65">
        <f t="shared" si="13"/>
        <v>1102527.673</v>
      </c>
      <c r="AC509" s="66">
        <f t="array" ref="AC509">IFS(B509&lt;66, XLOOKUP(year(A509),Lookup!$K$13:$K1000,Lookup!$L$13:$L1000,"missing",,1),B509&gt;65,XLOOKUP(questions!$C$5,Lookup!$K$13:$K1000,Lookup!$L$13:$L1000,"missing",,1))</f>
        <v>393675.3633</v>
      </c>
      <c r="AD509" s="66">
        <f t="array" ref="AD509">IFS(B509&lt;66, XLOOKUP(year(A509),Lookup!$K$13:$K1000,Lookup!$M$13:$M1000,"missing",,1),B509&gt;65, XLOOKUP(questions!$C$5,Lookup!$K$13:$K1000,Lookup!$M$13:$M1000,"missing",,1))</f>
        <v>787350.7266</v>
      </c>
      <c r="AE509" s="66">
        <f t="array" ref="AE509">IFS(B509&lt;66, XLOOKUP(year(A509),Lookup!$K$13:$K1000,Lookup!$N$13:$N1000,"missing",,1),B509&gt;65,XLOOKUP(questions!$C$5,Lookup!$K$13:$K1000,Lookup!$N$13:$N1000,"missing",,1))</f>
        <v>1574701.453</v>
      </c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</row>
    <row r="510">
      <c r="A510" s="55">
        <f t="shared" si="7"/>
        <v>61544</v>
      </c>
      <c r="B510" s="56">
        <f>round(YEARFRAC(EOMONTH(questions!$C$3, 0),A510,1),2)</f>
        <v>69.58</v>
      </c>
      <c r="C510" s="58">
        <f>IF(B510&lt;questions!$C$6,if(MONTH(A510)=1,C509*(1+questions!$C$12),C509),0)</f>
        <v>0</v>
      </c>
      <c r="D510" s="58">
        <f>IF(MONTH(A510)=12,C510*questions!$C$11,0)</f>
        <v>0</v>
      </c>
      <c r="E510" s="71">
        <f t="shared" si="2"/>
        <v>0</v>
      </c>
      <c r="F510" s="71">
        <f t="shared" si="3"/>
        <v>0</v>
      </c>
      <c r="G510" s="61">
        <f t="array" ref="G510">if(YEAR(A510)=2025,XLOOKUP(B510,Lookup!$A$3:$A$7,Lookup!$D$3:$D$7,,1)*SUM(E510:F510), XLOOKUP(B510,Lookup!$A$14:$A$18,Lookup!$D$14:$D$18,,1)*SUM(E510:F510))</f>
        <v>0</v>
      </c>
      <c r="H510" s="61">
        <f t="array" ref="H510">if(YEAR(A510)=2025,XLOOKUP(B510,Lookup!$F$3:$F$10,Lookup!$G$3:$G$10,,1)*G510, XLOOKUP(B510,Lookup!$F$14:$F$21,Lookup!$G$14:$G$21,,1)*G510)</f>
        <v>0</v>
      </c>
      <c r="I510" s="61">
        <f t="array" ref="I510">if(B510&lt;55, if(YEAR(A510)=2025,XLOOKUP(B510,Lookup!$F$3:$F$10,Lookup!$H$3:$H$10,,1)*G510, XLOOKUP(B510,Lookup!$F$14:$F$21,Lookup!$H$14:$H$21,,1)*G510),0)</f>
        <v>0</v>
      </c>
      <c r="J510" s="61">
        <f t="array" ref="J510">if(YEAR(A510)=2025,XLOOKUP(B510,Lookup!$F$3:$F$10,Lookup!$I$3:$I$10,,1)*G510, XLOOKUP(B510,Lookup!$F$14:$F$21,Lookup!$I$14:$I$21,,1)*G510)</f>
        <v>0</v>
      </c>
      <c r="K510" s="61">
        <f t="array" ref="K510">if(B510&gt;54, if(YEAR(A510)=2025,XLOOKUP(B510,Lookup!$F$3:$F$10,Lookup!$H$3:$H$10,,1)*G510, XLOOKUP(B510,Lookup!$F$14:$F$21,Lookup!$H$14:$H$21,,1)*G510),0)</f>
        <v>0</v>
      </c>
      <c r="L510" s="62">
        <f>IF(and(A510&lt;questions!$C$19,questions!$C$18="yes"),questions!$C$20,0)</f>
        <v>0</v>
      </c>
      <c r="M510" s="63">
        <f>(Y509+H510)*Lookup!A$26/12</f>
        <v>2256.521874</v>
      </c>
      <c r="N510" s="63">
        <f>if(B510&lt;55, (Z509+I510)*Lookup!B$26/12, (AB509+K510)*Lookup!B$26/12)</f>
        <v>3675.092244</v>
      </c>
      <c r="O510" s="63">
        <f>(AA509+J510)*Lookup!C$26/12</f>
        <v>940.3700287</v>
      </c>
      <c r="P510" s="63">
        <f t="shared" si="8"/>
        <v>13539.13125</v>
      </c>
      <c r="Q510" s="63">
        <f t="shared" si="4"/>
        <v>22050.55346</v>
      </c>
      <c r="R510" s="63">
        <f t="shared" si="5"/>
        <v>5642.220172</v>
      </c>
      <c r="S510" s="64">
        <f t="shared" si="9"/>
        <v>33.33333333</v>
      </c>
      <c r="T510" s="64">
        <f t="shared" si="10"/>
        <v>41.66666667</v>
      </c>
      <c r="U510" s="64">
        <f t="shared" si="11"/>
        <v>0</v>
      </c>
      <c r="V510" s="64">
        <f t="shared" ref="V510:X510" si="518">IF(year($A510)=year($A509), V509+S510, S510)</f>
        <v>200</v>
      </c>
      <c r="W510" s="64">
        <f t="shared" si="518"/>
        <v>250</v>
      </c>
      <c r="X510" s="64">
        <f t="shared" si="518"/>
        <v>0</v>
      </c>
      <c r="Y510" s="65">
        <f>IFS(
  B510&lt;55,
    MAX(
      Y509 + IF(MONTH(A510)=12, P510+V510, 0) + H510 - L510
      + MAX(0,
          IF(AA509 &gt;= VLOOKUP(YEAR(A510), Lookup!$Q:$R, 2),
            Z509 + IF(MONTH(A510)=12, Q510+W510, 0) + I510
              + AA509 + IF(MONTH(A510)=12, R510+X510, 0)
              - VLOOKUP(YEAR(A510), Lookup!$Q:$R, 2) + J510,
            Z509 + IF(MONTH(A510)=12, Q510+W510, 0) + I510
          ) - VLOOKUP(YEAR(A510), Lookup!$K:$M, 3)
        ),
    0),
  B510=55,
    IF(Z509&gt;=AD510,
      MAX(Y509 + IF(MONTH(A510)=12, P510+V510, 0) + H510 - L510, 0),
      MAX(MAX(0, Y509-(AD510-Z509)) + IF(MONTH(A510)=12, P510+V510, 0) + H510 - L510, 0)
    ),
  B510&gt;55,
    IF(AB509&gt;=$AH$7,
      MAX(Y509 + IF(MONTH(A510)=12, P510+V510, 0) + H510 - L510 + K510 + Z509, 0),
      MAX(Y509 + IF(MONTH(A510)=12, P510+V510, 0) + H510 - L510, 0)
    )
)</f>
        <v>1083130.5</v>
      </c>
      <c r="Z510" s="65">
        <f>IFS(
  B510&lt;55,
    MIN(
      IF(AA509 &gt;= VLOOKUP(YEAR(A510), Lookup!$Q:$R, 2),
        Z509 + IF(MONTH(A510)=12, Q510+W510, 0) + I510
          + AA509 + IF(MONTH(A510)=12, R510+X510, 0) - VLOOKUP(YEAR(A510), Lookup!$Q:$R, 2) + J510,
        Z509 + IF(MONTH(A510)=12, Q510+W510, 0) + I510
      ),
      VLOOKUP(YEAR(A510), Lookup!$K:$M, 3)
    ),
  B510=55,
    IF(Z509 &gt;= AD510, Z509 - AD510, 0),
  B510&gt;55, 0
)</f>
        <v>0</v>
      </c>
      <c r="AA510" s="65">
        <f>IFS(
  B510&lt;65,
    IF(AA509+J510 &lt; VLOOKUP(YEAR(A510), Lookup!$Q:$R, 2),
      AA509 + IF(MONTH(A510)=12, R509+X509, 0) + J510,
      MIN(
        AA509 + IF(MONTH(A510)=12, R509+X509, 0) + J510 ,
        VLOOKUP(YEAR(A510), Lookup!$Q:$R, 2)
      )
    ),
  B510&gt;=65,
    IF(AA509+J510 &lt; VLOOKUP(questions!$C$5, Lookup!$Q:$R, 2),
      AA509 + IF(MONTH(A510)=12, R509+X509, 0) + J510 ,
      MIN(
        AA509 + IF(MONTH(A510)=12, R509+X509, 0) + J510,
        VLOOKUP(questions!$C$5, Lookup!$Q:$R, 2)
      )
    )
)</f>
        <v>282111.0086</v>
      </c>
      <c r="AB510" s="65">
        <f t="shared" si="13"/>
        <v>1102527.673</v>
      </c>
      <c r="AC510" s="66">
        <f t="array" ref="AC510">IFS(B510&lt;66, XLOOKUP(year(A510),Lookup!$K$13:$K1000,Lookup!$L$13:$L1000,"missing",,1),B510&gt;65,XLOOKUP(questions!$C$5,Lookup!$K$13:$K1000,Lookup!$L$13:$L1000,"missing",,1))</f>
        <v>393675.3633</v>
      </c>
      <c r="AD510" s="66">
        <f t="array" ref="AD510">IFS(B510&lt;66, XLOOKUP(year(A510),Lookup!$K$13:$K1000,Lookup!$M$13:$M1000,"missing",,1),B510&gt;65, XLOOKUP(questions!$C$5,Lookup!$K$13:$K1000,Lookup!$M$13:$M1000,"missing",,1))</f>
        <v>787350.7266</v>
      </c>
      <c r="AE510" s="66">
        <f t="array" ref="AE510">IFS(B510&lt;66, XLOOKUP(year(A510),Lookup!$K$13:$K1000,Lookup!$N$13:$N1000,"missing",,1),B510&gt;65,XLOOKUP(questions!$C$5,Lookup!$K$13:$K1000,Lookup!$N$13:$N1000,"missing",,1))</f>
        <v>1574701.453</v>
      </c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  <c r="AQ510" s="37"/>
    </row>
    <row r="511">
      <c r="A511" s="55">
        <f t="shared" si="7"/>
        <v>61575</v>
      </c>
      <c r="B511" s="56">
        <f>round(YEARFRAC(EOMONTH(questions!$C$3, 0),A511,1),2)</f>
        <v>69.67</v>
      </c>
      <c r="C511" s="58">
        <f>IF(B511&lt;questions!$C$6,if(MONTH(A511)=1,C510*(1+questions!$C$12),C510),0)</f>
        <v>0</v>
      </c>
      <c r="D511" s="58">
        <f>IF(MONTH(A511)=12,C511*questions!$C$11,0)</f>
        <v>0</v>
      </c>
      <c r="E511" s="71">
        <f t="shared" si="2"/>
        <v>0</v>
      </c>
      <c r="F511" s="71">
        <f t="shared" si="3"/>
        <v>0</v>
      </c>
      <c r="G511" s="61">
        <f t="array" ref="G511">if(YEAR(A511)=2025,XLOOKUP(B511,Lookup!$A$3:$A$7,Lookup!$D$3:$D$7,,1)*SUM(E511:F511), XLOOKUP(B511,Lookup!$A$14:$A$18,Lookup!$D$14:$D$18,,1)*SUM(E511:F511))</f>
        <v>0</v>
      </c>
      <c r="H511" s="61">
        <f t="array" ref="H511">if(YEAR(A511)=2025,XLOOKUP(B511,Lookup!$F$3:$F$10,Lookup!$G$3:$G$10,,1)*G511, XLOOKUP(B511,Lookup!$F$14:$F$21,Lookup!$G$14:$G$21,,1)*G511)</f>
        <v>0</v>
      </c>
      <c r="I511" s="61">
        <f t="array" ref="I511">if(B511&lt;55, if(YEAR(A511)=2025,XLOOKUP(B511,Lookup!$F$3:$F$10,Lookup!$H$3:$H$10,,1)*G511, XLOOKUP(B511,Lookup!$F$14:$F$21,Lookup!$H$14:$H$21,,1)*G511),0)</f>
        <v>0</v>
      </c>
      <c r="J511" s="61">
        <f t="array" ref="J511">if(YEAR(A511)=2025,XLOOKUP(B511,Lookup!$F$3:$F$10,Lookup!$I$3:$I$10,,1)*G511, XLOOKUP(B511,Lookup!$F$14:$F$21,Lookup!$I$14:$I$21,,1)*G511)</f>
        <v>0</v>
      </c>
      <c r="K511" s="61">
        <f t="array" ref="K511">if(B511&gt;54, if(YEAR(A511)=2025,XLOOKUP(B511,Lookup!$F$3:$F$10,Lookup!$H$3:$H$10,,1)*G511, XLOOKUP(B511,Lookup!$F$14:$F$21,Lookup!$H$14:$H$21,,1)*G511),0)</f>
        <v>0</v>
      </c>
      <c r="L511" s="62">
        <f>IF(and(A511&lt;questions!$C$19,questions!$C$18="yes"),questions!$C$20,0)</f>
        <v>0</v>
      </c>
      <c r="M511" s="63">
        <f>(Y510+H511)*Lookup!A$26/12</f>
        <v>2256.521874</v>
      </c>
      <c r="N511" s="63">
        <f>if(B511&lt;55, (Z510+I511)*Lookup!B$26/12, (AB510+K511)*Lookup!B$26/12)</f>
        <v>3675.092244</v>
      </c>
      <c r="O511" s="63">
        <f>(AA510+J511)*Lookup!C$26/12</f>
        <v>940.3700287</v>
      </c>
      <c r="P511" s="63">
        <f t="shared" si="8"/>
        <v>15795.65312</v>
      </c>
      <c r="Q511" s="63">
        <f t="shared" si="4"/>
        <v>25725.64571</v>
      </c>
      <c r="R511" s="63">
        <f t="shared" si="5"/>
        <v>6582.590201</v>
      </c>
      <c r="S511" s="64">
        <f t="shared" si="9"/>
        <v>33.33333333</v>
      </c>
      <c r="T511" s="64">
        <f t="shared" si="10"/>
        <v>41.66666667</v>
      </c>
      <c r="U511" s="64">
        <f t="shared" si="11"/>
        <v>0</v>
      </c>
      <c r="V511" s="64">
        <f t="shared" ref="V511:X511" si="519">IF(year($A511)=year($A510), V510+S511, S511)</f>
        <v>233.3333333</v>
      </c>
      <c r="W511" s="64">
        <f t="shared" si="519"/>
        <v>291.6666667</v>
      </c>
      <c r="X511" s="64">
        <f t="shared" si="519"/>
        <v>0</v>
      </c>
      <c r="Y511" s="65">
        <f>IFS(
  B511&lt;55,
    MAX(
      Y510 + IF(MONTH(A511)=12, P511+V511, 0) + H511 - L511
      + MAX(0,
          IF(AA510 &gt;= VLOOKUP(YEAR(A511), Lookup!$Q:$R, 2),
            Z510 + IF(MONTH(A511)=12, Q511+W511, 0) + I511
              + AA510 + IF(MONTH(A511)=12, R511+X511, 0)
              - VLOOKUP(YEAR(A511), Lookup!$Q:$R, 2) + J511,
            Z510 + IF(MONTH(A511)=12, Q511+W511, 0) + I511
          ) - VLOOKUP(YEAR(A511), Lookup!$K:$M, 3)
        ),
    0),
  B511=55,
    IF(Z510&gt;=AD511,
      MAX(Y510 + IF(MONTH(A511)=12, P511+V511, 0) + H511 - L511, 0),
      MAX(MAX(0, Y510-(AD511-Z510)) + IF(MONTH(A511)=12, P511+V511, 0) + H511 - L511, 0)
    ),
  B511&gt;55,
    IF(AB510&gt;=$AH$7,
      MAX(Y510 + IF(MONTH(A511)=12, P511+V511, 0) + H511 - L511 + K511 + Z510, 0),
      MAX(Y510 + IF(MONTH(A511)=12, P511+V511, 0) + H511 - L511, 0)
    )
)</f>
        <v>1083130.5</v>
      </c>
      <c r="Z511" s="65">
        <f>IFS(
  B511&lt;55,
    MIN(
      IF(AA510 &gt;= VLOOKUP(YEAR(A511), Lookup!$Q:$R, 2),
        Z510 + IF(MONTH(A511)=12, Q511+W511, 0) + I511
          + AA510 + IF(MONTH(A511)=12, R511+X511, 0) - VLOOKUP(YEAR(A511), Lookup!$Q:$R, 2) + J511,
        Z510 + IF(MONTH(A511)=12, Q511+W511, 0) + I511
      ),
      VLOOKUP(YEAR(A511), Lookup!$K:$M, 3)
    ),
  B511=55,
    IF(Z510 &gt;= AD511, Z510 - AD511, 0),
  B511&gt;55, 0
)</f>
        <v>0</v>
      </c>
      <c r="AA511" s="65">
        <f>IFS(
  B511&lt;65,
    IF(AA510+J511 &lt; VLOOKUP(YEAR(A511), Lookup!$Q:$R, 2),
      AA510 + IF(MONTH(A511)=12, R510+X510, 0) + J511,
      MIN(
        AA510 + IF(MONTH(A511)=12, R510+X510, 0) + J511 ,
        VLOOKUP(YEAR(A511), Lookup!$Q:$R, 2)
      )
    ),
  B511&gt;=65,
    IF(AA510+J511 &lt; VLOOKUP(questions!$C$5, Lookup!$Q:$R, 2),
      AA510 + IF(MONTH(A511)=12, R510+X510, 0) + J511 ,
      MIN(
        AA510 + IF(MONTH(A511)=12, R510+X510, 0) + J511,
        VLOOKUP(questions!$C$5, Lookup!$Q:$R, 2)
      )
    )
)</f>
        <v>282111.0086</v>
      </c>
      <c r="AB511" s="65">
        <f t="shared" si="13"/>
        <v>1102527.673</v>
      </c>
      <c r="AC511" s="66">
        <f t="array" ref="AC511">IFS(B511&lt;66, XLOOKUP(year(A511),Lookup!$K$13:$K1000,Lookup!$L$13:$L1000,"missing",,1),B511&gt;65,XLOOKUP(questions!$C$5,Lookup!$K$13:$K1000,Lookup!$L$13:$L1000,"missing",,1))</f>
        <v>393675.3633</v>
      </c>
      <c r="AD511" s="66">
        <f t="array" ref="AD511">IFS(B511&lt;66, XLOOKUP(year(A511),Lookup!$K$13:$K1000,Lookup!$M$13:$M1000,"missing",,1),B511&gt;65, XLOOKUP(questions!$C$5,Lookup!$K$13:$K1000,Lookup!$M$13:$M1000,"missing",,1))</f>
        <v>787350.7266</v>
      </c>
      <c r="AE511" s="66">
        <f t="array" ref="AE511">IFS(B511&lt;66, XLOOKUP(year(A511),Lookup!$K$13:$K1000,Lookup!$N$13:$N1000,"missing",,1),B511&gt;65,XLOOKUP(questions!$C$5,Lookup!$K$13:$K1000,Lookup!$N$13:$N1000,"missing",,1))</f>
        <v>1574701.453</v>
      </c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  <c r="AQ511" s="37"/>
    </row>
    <row r="512">
      <c r="A512" s="55">
        <f t="shared" si="7"/>
        <v>61606</v>
      </c>
      <c r="B512" s="56">
        <f>round(YEARFRAC(EOMONTH(questions!$C$3, 0),A512,1),2)</f>
        <v>69.75</v>
      </c>
      <c r="C512" s="58">
        <f>IF(B512&lt;questions!$C$6,if(MONTH(A512)=1,C511*(1+questions!$C$12),C511),0)</f>
        <v>0</v>
      </c>
      <c r="D512" s="58">
        <f>IF(MONTH(A512)=12,C512*questions!$C$11,0)</f>
        <v>0</v>
      </c>
      <c r="E512" s="71">
        <f t="shared" si="2"/>
        <v>0</v>
      </c>
      <c r="F512" s="71">
        <f t="shared" si="3"/>
        <v>0</v>
      </c>
      <c r="G512" s="61">
        <f t="array" ref="G512">if(YEAR(A512)=2025,XLOOKUP(B512,Lookup!$A$3:$A$7,Lookup!$D$3:$D$7,,1)*SUM(E512:F512), XLOOKUP(B512,Lookup!$A$14:$A$18,Lookup!$D$14:$D$18,,1)*SUM(E512:F512))</f>
        <v>0</v>
      </c>
      <c r="H512" s="61">
        <f t="array" ref="H512">if(YEAR(A512)=2025,XLOOKUP(B512,Lookup!$F$3:$F$10,Lookup!$G$3:$G$10,,1)*G512, XLOOKUP(B512,Lookup!$F$14:$F$21,Lookup!$G$14:$G$21,,1)*G512)</f>
        <v>0</v>
      </c>
      <c r="I512" s="61">
        <f t="array" ref="I512">if(B512&lt;55, if(YEAR(A512)=2025,XLOOKUP(B512,Lookup!$F$3:$F$10,Lookup!$H$3:$H$10,,1)*G512, XLOOKUP(B512,Lookup!$F$14:$F$21,Lookup!$H$14:$H$21,,1)*G512),0)</f>
        <v>0</v>
      </c>
      <c r="J512" s="61">
        <f t="array" ref="J512">if(YEAR(A512)=2025,XLOOKUP(B512,Lookup!$F$3:$F$10,Lookup!$I$3:$I$10,,1)*G512, XLOOKUP(B512,Lookup!$F$14:$F$21,Lookup!$I$14:$I$21,,1)*G512)</f>
        <v>0</v>
      </c>
      <c r="K512" s="61">
        <f t="array" ref="K512">if(B512&gt;54, if(YEAR(A512)=2025,XLOOKUP(B512,Lookup!$F$3:$F$10,Lookup!$H$3:$H$10,,1)*G512, XLOOKUP(B512,Lookup!$F$14:$F$21,Lookup!$H$14:$H$21,,1)*G512),0)</f>
        <v>0</v>
      </c>
      <c r="L512" s="62">
        <f>IF(and(A512&lt;questions!$C$19,questions!$C$18="yes"),questions!$C$20,0)</f>
        <v>0</v>
      </c>
      <c r="M512" s="63">
        <f>(Y511+H512)*Lookup!A$26/12</f>
        <v>2256.521874</v>
      </c>
      <c r="N512" s="63">
        <f>if(B512&lt;55, (Z511+I512)*Lookup!B$26/12, (AB511+K512)*Lookup!B$26/12)</f>
        <v>3675.092244</v>
      </c>
      <c r="O512" s="63">
        <f>(AA511+J512)*Lookup!C$26/12</f>
        <v>940.3700287</v>
      </c>
      <c r="P512" s="63">
        <f t="shared" si="8"/>
        <v>18052.175</v>
      </c>
      <c r="Q512" s="63">
        <f t="shared" si="4"/>
        <v>29400.73795</v>
      </c>
      <c r="R512" s="63">
        <f t="shared" si="5"/>
        <v>7522.960229</v>
      </c>
      <c r="S512" s="64">
        <f t="shared" si="9"/>
        <v>33.33333333</v>
      </c>
      <c r="T512" s="64">
        <f t="shared" si="10"/>
        <v>41.66666667</v>
      </c>
      <c r="U512" s="64">
        <f t="shared" si="11"/>
        <v>0</v>
      </c>
      <c r="V512" s="64">
        <f t="shared" ref="V512:X512" si="520">IF(year($A512)=year($A511), V511+S512, S512)</f>
        <v>266.6666667</v>
      </c>
      <c r="W512" s="64">
        <f t="shared" si="520"/>
        <v>333.3333333</v>
      </c>
      <c r="X512" s="64">
        <f t="shared" si="520"/>
        <v>0</v>
      </c>
      <c r="Y512" s="65">
        <f>IFS(
  B512&lt;55,
    MAX(
      Y511 + IF(MONTH(A512)=12, P512+V512, 0) + H512 - L512
      + MAX(0,
          IF(AA511 &gt;= VLOOKUP(YEAR(A512), Lookup!$Q:$R, 2),
            Z511 + IF(MONTH(A512)=12, Q512+W512, 0) + I512
              + AA511 + IF(MONTH(A512)=12, R512+X512, 0)
              - VLOOKUP(YEAR(A512), Lookup!$Q:$R, 2) + J512,
            Z511 + IF(MONTH(A512)=12, Q512+W512, 0) + I512
          ) - VLOOKUP(YEAR(A512), Lookup!$K:$M, 3)
        ),
    0),
  B512=55,
    IF(Z511&gt;=AD512,
      MAX(Y511 + IF(MONTH(A512)=12, P512+V512, 0) + H512 - L512, 0),
      MAX(MAX(0, Y511-(AD512-Z511)) + IF(MONTH(A512)=12, P512+V512, 0) + H512 - L512, 0)
    ),
  B512&gt;55,
    IF(AB511&gt;=$AH$7,
      MAX(Y511 + IF(MONTH(A512)=12, P512+V512, 0) + H512 - L512 + K512 + Z511, 0),
      MAX(Y511 + IF(MONTH(A512)=12, P512+V512, 0) + H512 - L512, 0)
    )
)</f>
        <v>1083130.5</v>
      </c>
      <c r="Z512" s="65">
        <f>IFS(
  B512&lt;55,
    MIN(
      IF(AA511 &gt;= VLOOKUP(YEAR(A512), Lookup!$Q:$R, 2),
        Z511 + IF(MONTH(A512)=12, Q512+W512, 0) + I512
          + AA511 + IF(MONTH(A512)=12, R512+X512, 0) - VLOOKUP(YEAR(A512), Lookup!$Q:$R, 2) + J512,
        Z511 + IF(MONTH(A512)=12, Q512+W512, 0) + I512
      ),
      VLOOKUP(YEAR(A512), Lookup!$K:$M, 3)
    ),
  B512=55,
    IF(Z511 &gt;= AD512, Z511 - AD512, 0),
  B512&gt;55, 0
)</f>
        <v>0</v>
      </c>
      <c r="AA512" s="65">
        <f>IFS(
  B512&lt;65,
    IF(AA511+J512 &lt; VLOOKUP(YEAR(A512), Lookup!$Q:$R, 2),
      AA511 + IF(MONTH(A512)=12, R511+X511, 0) + J512,
      MIN(
        AA511 + IF(MONTH(A512)=12, R511+X511, 0) + J512 ,
        VLOOKUP(YEAR(A512), Lookup!$Q:$R, 2)
      )
    ),
  B512&gt;=65,
    IF(AA511+J512 &lt; VLOOKUP(questions!$C$5, Lookup!$Q:$R, 2),
      AA511 + IF(MONTH(A512)=12, R511+X511, 0) + J512 ,
      MIN(
        AA511 + IF(MONTH(A512)=12, R511+X511, 0) + J512,
        VLOOKUP(questions!$C$5, Lookup!$Q:$R, 2)
      )
    )
)</f>
        <v>282111.0086</v>
      </c>
      <c r="AB512" s="65">
        <f t="shared" si="13"/>
        <v>1102527.673</v>
      </c>
      <c r="AC512" s="66">
        <f t="array" ref="AC512">IFS(B512&lt;66, XLOOKUP(year(A512),Lookup!$K$13:$K1000,Lookup!$L$13:$L1000,"missing",,1),B512&gt;65,XLOOKUP(questions!$C$5,Lookup!$K$13:$K1000,Lookup!$L$13:$L1000,"missing",,1))</f>
        <v>393675.3633</v>
      </c>
      <c r="AD512" s="66">
        <f t="array" ref="AD512">IFS(B512&lt;66, XLOOKUP(year(A512),Lookup!$K$13:$K1000,Lookup!$M$13:$M1000,"missing",,1),B512&gt;65, XLOOKUP(questions!$C$5,Lookup!$K$13:$K1000,Lookup!$M$13:$M1000,"missing",,1))</f>
        <v>787350.7266</v>
      </c>
      <c r="AE512" s="66">
        <f t="array" ref="AE512">IFS(B512&lt;66, XLOOKUP(year(A512),Lookup!$K$13:$K1000,Lookup!$N$13:$N1000,"missing",,1),B512&gt;65,XLOOKUP(questions!$C$5,Lookup!$K$13:$K1000,Lookup!$N$13:$N1000,"missing",,1))</f>
        <v>1574701.453</v>
      </c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</row>
    <row r="513">
      <c r="A513" s="55">
        <f t="shared" si="7"/>
        <v>61636</v>
      </c>
      <c r="B513" s="56">
        <f>round(YEARFRAC(EOMONTH(questions!$C$3, 0),A513,1),2)</f>
        <v>69.83</v>
      </c>
      <c r="C513" s="58">
        <f>IF(B513&lt;questions!$C$6,if(MONTH(A513)=1,C512*(1+questions!$C$12),C512),0)</f>
        <v>0</v>
      </c>
      <c r="D513" s="58">
        <f>IF(MONTH(A513)=12,C513*questions!$C$11,0)</f>
        <v>0</v>
      </c>
      <c r="E513" s="71">
        <f t="shared" si="2"/>
        <v>0</v>
      </c>
      <c r="F513" s="71">
        <f t="shared" si="3"/>
        <v>0</v>
      </c>
      <c r="G513" s="61">
        <f t="array" ref="G513">if(YEAR(A513)=2025,XLOOKUP(B513,Lookup!$A$3:$A$7,Lookup!$D$3:$D$7,,1)*SUM(E513:F513), XLOOKUP(B513,Lookup!$A$14:$A$18,Lookup!$D$14:$D$18,,1)*SUM(E513:F513))</f>
        <v>0</v>
      </c>
      <c r="H513" s="61">
        <f t="array" ref="H513">if(YEAR(A513)=2025,XLOOKUP(B513,Lookup!$F$3:$F$10,Lookup!$G$3:$G$10,,1)*G513, XLOOKUP(B513,Lookup!$F$14:$F$21,Lookup!$G$14:$G$21,,1)*G513)</f>
        <v>0</v>
      </c>
      <c r="I513" s="61">
        <f t="array" ref="I513">if(B513&lt;55, if(YEAR(A513)=2025,XLOOKUP(B513,Lookup!$F$3:$F$10,Lookup!$H$3:$H$10,,1)*G513, XLOOKUP(B513,Lookup!$F$14:$F$21,Lookup!$H$14:$H$21,,1)*G513),0)</f>
        <v>0</v>
      </c>
      <c r="J513" s="61">
        <f t="array" ref="J513">if(YEAR(A513)=2025,XLOOKUP(B513,Lookup!$F$3:$F$10,Lookup!$I$3:$I$10,,1)*G513, XLOOKUP(B513,Lookup!$F$14:$F$21,Lookup!$I$14:$I$21,,1)*G513)</f>
        <v>0</v>
      </c>
      <c r="K513" s="61">
        <f t="array" ref="K513">if(B513&gt;54, if(YEAR(A513)=2025,XLOOKUP(B513,Lookup!$F$3:$F$10,Lookup!$H$3:$H$10,,1)*G513, XLOOKUP(B513,Lookup!$F$14:$F$21,Lookup!$H$14:$H$21,,1)*G513),0)</f>
        <v>0</v>
      </c>
      <c r="L513" s="62">
        <f>IF(and(A513&lt;questions!$C$19,questions!$C$18="yes"),questions!$C$20,0)</f>
        <v>0</v>
      </c>
      <c r="M513" s="63">
        <f>(Y512+H513)*Lookup!A$26/12</f>
        <v>2256.521874</v>
      </c>
      <c r="N513" s="63">
        <f>if(B513&lt;55, (Z512+I513)*Lookup!B$26/12, (AB512+K513)*Lookup!B$26/12)</f>
        <v>3675.092244</v>
      </c>
      <c r="O513" s="63">
        <f>(AA512+J513)*Lookup!C$26/12</f>
        <v>940.3700287</v>
      </c>
      <c r="P513" s="63">
        <f t="shared" si="8"/>
        <v>20308.69687</v>
      </c>
      <c r="Q513" s="63">
        <f t="shared" si="4"/>
        <v>33075.8302</v>
      </c>
      <c r="R513" s="63">
        <f t="shared" si="5"/>
        <v>8463.330258</v>
      </c>
      <c r="S513" s="64">
        <f t="shared" si="9"/>
        <v>33.33333333</v>
      </c>
      <c r="T513" s="64">
        <f t="shared" si="10"/>
        <v>41.66666667</v>
      </c>
      <c r="U513" s="64">
        <f t="shared" si="11"/>
        <v>0</v>
      </c>
      <c r="V513" s="64">
        <f t="shared" ref="V513:X513" si="521">IF(year($A513)=year($A512), V512+S513, S513)</f>
        <v>300</v>
      </c>
      <c r="W513" s="64">
        <f t="shared" si="521"/>
        <v>375</v>
      </c>
      <c r="X513" s="64">
        <f t="shared" si="521"/>
        <v>0</v>
      </c>
      <c r="Y513" s="65">
        <f>IFS(
  B513&lt;55,
    MAX(
      Y512 + IF(MONTH(A513)=12, P513+V513, 0) + H513 - L513
      + MAX(0,
          IF(AA512 &gt;= VLOOKUP(YEAR(A513), Lookup!$Q:$R, 2),
            Z512 + IF(MONTH(A513)=12, Q513+W513, 0) + I513
              + AA512 + IF(MONTH(A513)=12, R513+X513, 0)
              - VLOOKUP(YEAR(A513), Lookup!$Q:$R, 2) + J513,
            Z512 + IF(MONTH(A513)=12, Q513+W513, 0) + I513
          ) - VLOOKUP(YEAR(A513), Lookup!$K:$M, 3)
        ),
    0),
  B513=55,
    IF(Z512&gt;=AD513,
      MAX(Y512 + IF(MONTH(A513)=12, P513+V513, 0) + H513 - L513, 0),
      MAX(MAX(0, Y512-(AD513-Z512)) + IF(MONTH(A513)=12, P513+V513, 0) + H513 - L513, 0)
    ),
  B513&gt;55,
    IF(AB512&gt;=$AH$7,
      MAX(Y512 + IF(MONTH(A513)=12, P513+V513, 0) + H513 - L513 + K513 + Z512, 0),
      MAX(Y512 + IF(MONTH(A513)=12, P513+V513, 0) + H513 - L513, 0)
    )
)</f>
        <v>1083130.5</v>
      </c>
      <c r="Z513" s="65">
        <f>IFS(
  B513&lt;55,
    MIN(
      IF(AA512 &gt;= VLOOKUP(YEAR(A513), Lookup!$Q:$R, 2),
        Z512 + IF(MONTH(A513)=12, Q513+W513, 0) + I513
          + AA512 + IF(MONTH(A513)=12, R513+X513, 0) - VLOOKUP(YEAR(A513), Lookup!$Q:$R, 2) + J513,
        Z512 + IF(MONTH(A513)=12, Q513+W513, 0) + I513
      ),
      VLOOKUP(YEAR(A513), Lookup!$K:$M, 3)
    ),
  B513=55,
    IF(Z512 &gt;= AD513, Z512 - AD513, 0),
  B513&gt;55, 0
)</f>
        <v>0</v>
      </c>
      <c r="AA513" s="65">
        <f>IFS(
  B513&lt;65,
    IF(AA512+J513 &lt; VLOOKUP(YEAR(A513), Lookup!$Q:$R, 2),
      AA512 + IF(MONTH(A513)=12, R512+X512, 0) + J513,
      MIN(
        AA512 + IF(MONTH(A513)=12, R512+X512, 0) + J513 ,
        VLOOKUP(YEAR(A513), Lookup!$Q:$R, 2)
      )
    ),
  B513&gt;=65,
    IF(AA512+J513 &lt; VLOOKUP(questions!$C$5, Lookup!$Q:$R, 2),
      AA512 + IF(MONTH(A513)=12, R512+X512, 0) + J513 ,
      MIN(
        AA512 + IF(MONTH(A513)=12, R512+X512, 0) + J513,
        VLOOKUP(questions!$C$5, Lookup!$Q:$R, 2)
      )
    )
)</f>
        <v>282111.0086</v>
      </c>
      <c r="AB513" s="65">
        <f t="shared" si="13"/>
        <v>1102527.673</v>
      </c>
      <c r="AC513" s="66">
        <f t="array" ref="AC513">IFS(B513&lt;66, XLOOKUP(year(A513),Lookup!$K$13:$K1000,Lookup!$L$13:$L1000,"missing",,1),B513&gt;65,XLOOKUP(questions!$C$5,Lookup!$K$13:$K1000,Lookup!$L$13:$L1000,"missing",,1))</f>
        <v>393675.3633</v>
      </c>
      <c r="AD513" s="66">
        <f t="array" ref="AD513">IFS(B513&lt;66, XLOOKUP(year(A513),Lookup!$K$13:$K1000,Lookup!$M$13:$M1000,"missing",,1),B513&gt;65, XLOOKUP(questions!$C$5,Lookup!$K$13:$K1000,Lookup!$M$13:$M1000,"missing",,1))</f>
        <v>787350.7266</v>
      </c>
      <c r="AE513" s="66">
        <f t="array" ref="AE513">IFS(B513&lt;66, XLOOKUP(year(A513),Lookup!$K$13:$K1000,Lookup!$N$13:$N1000,"missing",,1),B513&gt;65,XLOOKUP(questions!$C$5,Lookup!$K$13:$K1000,Lookup!$N$13:$N1000,"missing",,1))</f>
        <v>1574701.453</v>
      </c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  <c r="AQ513" s="37"/>
    </row>
    <row r="514">
      <c r="A514" s="55">
        <f t="shared" si="7"/>
        <v>61667</v>
      </c>
      <c r="B514" s="56">
        <f>round(YEARFRAC(EOMONTH(questions!$C$3, 0),A514,1),2)</f>
        <v>69.92</v>
      </c>
      <c r="C514" s="58">
        <f>IF(B514&lt;questions!$C$6,if(MONTH(A514)=1,C513*(1+questions!$C$12),C513),0)</f>
        <v>0</v>
      </c>
      <c r="D514" s="58">
        <f>IF(MONTH(A514)=12,C514*questions!$C$11,0)</f>
        <v>0</v>
      </c>
      <c r="E514" s="71">
        <f t="shared" si="2"/>
        <v>0</v>
      </c>
      <c r="F514" s="71">
        <f t="shared" si="3"/>
        <v>0</v>
      </c>
      <c r="G514" s="61">
        <f t="array" ref="G514">if(YEAR(A514)=2025,XLOOKUP(B514,Lookup!$A$3:$A$7,Lookup!$D$3:$D$7,,1)*SUM(E514:F514), XLOOKUP(B514,Lookup!$A$14:$A$18,Lookup!$D$14:$D$18,,1)*SUM(E514:F514))</f>
        <v>0</v>
      </c>
      <c r="H514" s="61">
        <f t="array" ref="H514">if(YEAR(A514)=2025,XLOOKUP(B514,Lookup!$F$3:$F$10,Lookup!$G$3:$G$10,,1)*G514, XLOOKUP(B514,Lookup!$F$14:$F$21,Lookup!$G$14:$G$21,,1)*G514)</f>
        <v>0</v>
      </c>
      <c r="I514" s="61">
        <f t="array" ref="I514">if(B514&lt;55, if(YEAR(A514)=2025,XLOOKUP(B514,Lookup!$F$3:$F$10,Lookup!$H$3:$H$10,,1)*G514, XLOOKUP(B514,Lookup!$F$14:$F$21,Lookup!$H$14:$H$21,,1)*G514),0)</f>
        <v>0</v>
      </c>
      <c r="J514" s="61">
        <f t="array" ref="J514">if(YEAR(A514)=2025,XLOOKUP(B514,Lookup!$F$3:$F$10,Lookup!$I$3:$I$10,,1)*G514, XLOOKUP(B514,Lookup!$F$14:$F$21,Lookup!$I$14:$I$21,,1)*G514)</f>
        <v>0</v>
      </c>
      <c r="K514" s="61">
        <f t="array" ref="K514">if(B514&gt;54, if(YEAR(A514)=2025,XLOOKUP(B514,Lookup!$F$3:$F$10,Lookup!$H$3:$H$10,,1)*G514, XLOOKUP(B514,Lookup!$F$14:$F$21,Lookup!$H$14:$H$21,,1)*G514),0)</f>
        <v>0</v>
      </c>
      <c r="L514" s="62">
        <f>IF(and(A514&lt;questions!$C$19,questions!$C$18="yes"),questions!$C$20,0)</f>
        <v>0</v>
      </c>
      <c r="M514" s="63">
        <f>(Y513+H514)*Lookup!A$26/12</f>
        <v>2256.521874</v>
      </c>
      <c r="N514" s="63">
        <f>if(B514&lt;55, (Z513+I514)*Lookup!B$26/12, (AB513+K514)*Lookup!B$26/12)</f>
        <v>3675.092244</v>
      </c>
      <c r="O514" s="63">
        <f>(AA513+J514)*Lookup!C$26/12</f>
        <v>940.3700287</v>
      </c>
      <c r="P514" s="63">
        <f t="shared" si="8"/>
        <v>22565.21874</v>
      </c>
      <c r="Q514" s="63">
        <f t="shared" si="4"/>
        <v>36750.92244</v>
      </c>
      <c r="R514" s="63">
        <f t="shared" si="5"/>
        <v>9403.700287</v>
      </c>
      <c r="S514" s="64">
        <f t="shared" si="9"/>
        <v>33.33333333</v>
      </c>
      <c r="T514" s="64">
        <f t="shared" si="10"/>
        <v>41.66666667</v>
      </c>
      <c r="U514" s="64">
        <f t="shared" si="11"/>
        <v>0</v>
      </c>
      <c r="V514" s="64">
        <f t="shared" ref="V514:X514" si="522">IF(year($A514)=year($A513), V513+S514, S514)</f>
        <v>333.3333333</v>
      </c>
      <c r="W514" s="64">
        <f t="shared" si="522"/>
        <v>416.6666667</v>
      </c>
      <c r="X514" s="64">
        <f t="shared" si="522"/>
        <v>0</v>
      </c>
      <c r="Y514" s="65">
        <f>IFS(
  B514&lt;55,
    MAX(
      Y513 + IF(MONTH(A514)=12, P514+V514, 0) + H514 - L514
      + MAX(0,
          IF(AA513 &gt;= VLOOKUP(YEAR(A514), Lookup!$Q:$R, 2),
            Z513 + IF(MONTH(A514)=12, Q514+W514, 0) + I514
              + AA513 + IF(MONTH(A514)=12, R514+X514, 0)
              - VLOOKUP(YEAR(A514), Lookup!$Q:$R, 2) + J514,
            Z513 + IF(MONTH(A514)=12, Q514+W514, 0) + I514
          ) - VLOOKUP(YEAR(A514), Lookup!$K:$M, 3)
        ),
    0),
  B514=55,
    IF(Z513&gt;=AD514,
      MAX(Y513 + IF(MONTH(A514)=12, P514+V514, 0) + H514 - L514, 0),
      MAX(MAX(0, Y513-(AD514-Z513)) + IF(MONTH(A514)=12, P514+V514, 0) + H514 - L514, 0)
    ),
  B514&gt;55,
    IF(AB513&gt;=$AH$7,
      MAX(Y513 + IF(MONTH(A514)=12, P514+V514, 0) + H514 - L514 + K514 + Z513, 0),
      MAX(Y513 + IF(MONTH(A514)=12, P514+V514, 0) + H514 - L514, 0)
    )
)</f>
        <v>1083130.5</v>
      </c>
      <c r="Z514" s="65">
        <f>IFS(
  B514&lt;55,
    MIN(
      IF(AA513 &gt;= VLOOKUP(YEAR(A514), Lookup!$Q:$R, 2),
        Z513 + IF(MONTH(A514)=12, Q514+W514, 0) + I514
          + AA513 + IF(MONTH(A514)=12, R514+X514, 0) - VLOOKUP(YEAR(A514), Lookup!$Q:$R, 2) + J514,
        Z513 + IF(MONTH(A514)=12, Q514+W514, 0) + I514
      ),
      VLOOKUP(YEAR(A514), Lookup!$K:$M, 3)
    ),
  B514=55,
    IF(Z513 &gt;= AD514, Z513 - AD514, 0),
  B514&gt;55, 0
)</f>
        <v>0</v>
      </c>
      <c r="AA514" s="65">
        <f>IFS(
  B514&lt;65,
    IF(AA513+J514 &lt; VLOOKUP(YEAR(A514), Lookup!$Q:$R, 2),
      AA513 + IF(MONTH(A514)=12, R513+X513, 0) + J514,
      MIN(
        AA513 + IF(MONTH(A514)=12, R513+X513, 0) + J514 ,
        VLOOKUP(YEAR(A514), Lookup!$Q:$R, 2)
      )
    ),
  B514&gt;=65,
    IF(AA513+J514 &lt; VLOOKUP(questions!$C$5, Lookup!$Q:$R, 2),
      AA513 + IF(MONTH(A514)=12, R513+X513, 0) + J514 ,
      MIN(
        AA513 + IF(MONTH(A514)=12, R513+X513, 0) + J514,
        VLOOKUP(questions!$C$5, Lookup!$Q:$R, 2)
      )
    )
)</f>
        <v>282111.0086</v>
      </c>
      <c r="AB514" s="65">
        <f t="shared" si="13"/>
        <v>1102527.673</v>
      </c>
      <c r="AC514" s="66">
        <f t="array" ref="AC514">IFS(B514&lt;66, XLOOKUP(year(A514),Lookup!$K$13:$K1000,Lookup!$L$13:$L1000,"missing",,1),B514&gt;65,XLOOKUP(questions!$C$5,Lookup!$K$13:$K1000,Lookup!$L$13:$L1000,"missing",,1))</f>
        <v>393675.3633</v>
      </c>
      <c r="AD514" s="66">
        <f t="array" ref="AD514">IFS(B514&lt;66, XLOOKUP(year(A514),Lookup!$K$13:$K1000,Lookup!$M$13:$M1000,"missing",,1),B514&gt;65, XLOOKUP(questions!$C$5,Lookup!$K$13:$K1000,Lookup!$M$13:$M1000,"missing",,1))</f>
        <v>787350.7266</v>
      </c>
      <c r="AE514" s="66">
        <f t="array" ref="AE514">IFS(B514&lt;66, XLOOKUP(year(A514),Lookup!$K$13:$K1000,Lookup!$N$13:$N1000,"missing",,1),B514&gt;65,XLOOKUP(questions!$C$5,Lookup!$K$13:$K1000,Lookup!$N$13:$N1000,"missing",,1))</f>
        <v>1574701.453</v>
      </c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7"/>
      <c r="AQ514" s="37"/>
    </row>
    <row r="515">
      <c r="A515" s="55">
        <f t="shared" si="7"/>
        <v>61697</v>
      </c>
      <c r="B515" s="56">
        <f>round(YEARFRAC(EOMONTH(questions!$C$3, 0),A515,1),2)</f>
        <v>70</v>
      </c>
      <c r="C515" s="58">
        <f>IF(B515&lt;questions!$C$6,if(MONTH(A515)=1,C514*(1+questions!$C$12),C514),0)</f>
        <v>0</v>
      </c>
      <c r="D515" s="58">
        <f>IF(MONTH(A515)=12,C515*questions!$C$11,0)</f>
        <v>0</v>
      </c>
      <c r="E515" s="71">
        <f t="shared" si="2"/>
        <v>0</v>
      </c>
      <c r="F515" s="71">
        <f t="shared" si="3"/>
        <v>0</v>
      </c>
      <c r="G515" s="61">
        <f t="array" ref="G515">if(YEAR(A515)=2025,XLOOKUP(B515,Lookup!$A$3:$A$7,Lookup!$D$3:$D$7,,1)*SUM(E515:F515), XLOOKUP(B515,Lookup!$A$14:$A$18,Lookup!$D$14:$D$18,,1)*SUM(E515:F515))</f>
        <v>0</v>
      </c>
      <c r="H515" s="61">
        <f t="array" ref="H515">if(YEAR(A515)=2025,XLOOKUP(B515,Lookup!$F$3:$F$10,Lookup!$G$3:$G$10,,1)*G515, XLOOKUP(B515,Lookup!$F$14:$F$21,Lookup!$G$14:$G$21,,1)*G515)</f>
        <v>0</v>
      </c>
      <c r="I515" s="61">
        <f t="array" ref="I515">if(B515&lt;55, if(YEAR(A515)=2025,XLOOKUP(B515,Lookup!$F$3:$F$10,Lookup!$H$3:$H$10,,1)*G515, XLOOKUP(B515,Lookup!$F$14:$F$21,Lookup!$H$14:$H$21,,1)*G515),0)</f>
        <v>0</v>
      </c>
      <c r="J515" s="61">
        <f t="array" ref="J515">if(YEAR(A515)=2025,XLOOKUP(B515,Lookup!$F$3:$F$10,Lookup!$I$3:$I$10,,1)*G515, XLOOKUP(B515,Lookup!$F$14:$F$21,Lookup!$I$14:$I$21,,1)*G515)</f>
        <v>0</v>
      </c>
      <c r="K515" s="61">
        <f t="array" ref="K515">if(B515&gt;54, if(YEAR(A515)=2025,XLOOKUP(B515,Lookup!$F$3:$F$10,Lookup!$H$3:$H$10,,1)*G515, XLOOKUP(B515,Lookup!$F$14:$F$21,Lookup!$H$14:$H$21,,1)*G515),0)</f>
        <v>0</v>
      </c>
      <c r="L515" s="62">
        <f>IF(and(A515&lt;questions!$C$19,questions!$C$18="yes"),questions!$C$20,0)</f>
        <v>0</v>
      </c>
      <c r="M515" s="63">
        <f>(Y514+H515)*Lookup!A$26/12</f>
        <v>2256.521874</v>
      </c>
      <c r="N515" s="63">
        <f>if(B515&lt;55, (Z514+I515)*Lookup!B$26/12, (AB514+K515)*Lookup!B$26/12)</f>
        <v>3675.092244</v>
      </c>
      <c r="O515" s="63">
        <f>(AA514+J515)*Lookup!C$26/12</f>
        <v>940.3700287</v>
      </c>
      <c r="P515" s="63">
        <f t="shared" si="8"/>
        <v>24821.74062</v>
      </c>
      <c r="Q515" s="63">
        <f t="shared" si="4"/>
        <v>40426.01468</v>
      </c>
      <c r="R515" s="63">
        <f t="shared" si="5"/>
        <v>10344.07032</v>
      </c>
      <c r="S515" s="64">
        <f t="shared" si="9"/>
        <v>33.33333333</v>
      </c>
      <c r="T515" s="64">
        <f t="shared" si="10"/>
        <v>41.66666667</v>
      </c>
      <c r="U515" s="64">
        <f t="shared" si="11"/>
        <v>0</v>
      </c>
      <c r="V515" s="64">
        <f t="shared" ref="V515:X515" si="523">IF(year($A515)=year($A514), V514+S515, S515)</f>
        <v>366.6666667</v>
      </c>
      <c r="W515" s="64">
        <f t="shared" si="523"/>
        <v>458.3333333</v>
      </c>
      <c r="X515" s="64">
        <f t="shared" si="523"/>
        <v>0</v>
      </c>
      <c r="Y515" s="65">
        <f>IFS(
  B515&lt;55,
    MAX(
      Y514 + IF(MONTH(A515)=12, P515+V515, 0) + H515 - L515
      + MAX(0,
          IF(AA514 &gt;= VLOOKUP(YEAR(A515), Lookup!$Q:$R, 2),
            Z514 + IF(MONTH(A515)=12, Q515+W515, 0) + I515
              + AA514 + IF(MONTH(A515)=12, R515+X515, 0)
              - VLOOKUP(YEAR(A515), Lookup!$Q:$R, 2) + J515,
            Z514 + IF(MONTH(A515)=12, Q515+W515, 0) + I515
          ) - VLOOKUP(YEAR(A515), Lookup!$K:$M, 3)
        ),
    0),
  B515=55,
    IF(Z514&gt;=AD515,
      MAX(Y514 + IF(MONTH(A515)=12, P515+V515, 0) + H515 - L515, 0),
      MAX(MAX(0, Y514-(AD515-Z514)) + IF(MONTH(A515)=12, P515+V515, 0) + H515 - L515, 0)
    ),
  B515&gt;55,
    IF(AB514&gt;=$AH$7,
      MAX(Y514 + IF(MONTH(A515)=12, P515+V515, 0) + H515 - L515 + K515 + Z514, 0),
      MAX(Y514 + IF(MONTH(A515)=12, P515+V515, 0) + H515 - L515, 0)
    )
)</f>
        <v>1083130.5</v>
      </c>
      <c r="Z515" s="65">
        <f>IFS(
  B515&lt;55,
    MIN(
      IF(AA514 &gt;= VLOOKUP(YEAR(A515), Lookup!$Q:$R, 2),
        Z514 + IF(MONTH(A515)=12, Q515+W515, 0) + I515
          + AA514 + IF(MONTH(A515)=12, R515+X515, 0) - VLOOKUP(YEAR(A515), Lookup!$Q:$R, 2) + J515,
        Z514 + IF(MONTH(A515)=12, Q515+W515, 0) + I515
      ),
      VLOOKUP(YEAR(A515), Lookup!$K:$M, 3)
    ),
  B515=55,
    IF(Z514 &gt;= AD515, Z514 - AD515, 0),
  B515&gt;55, 0
)</f>
        <v>0</v>
      </c>
      <c r="AA515" s="65">
        <f>IFS(
  B515&lt;65,
    IF(AA514+J515 &lt; VLOOKUP(YEAR(A515), Lookup!$Q:$R, 2),
      AA514 + IF(MONTH(A515)=12, R514+X514, 0) + J515,
      MIN(
        AA514 + IF(MONTH(A515)=12, R514+X514, 0) + J515 ,
        VLOOKUP(YEAR(A515), Lookup!$Q:$R, 2)
      )
    ),
  B515&gt;=65,
    IF(AA514+J515 &lt; VLOOKUP(questions!$C$5, Lookup!$Q:$R, 2),
      AA514 + IF(MONTH(A515)=12, R514+X514, 0) + J515 ,
      MIN(
        AA514 + IF(MONTH(A515)=12, R514+X514, 0) + J515,
        VLOOKUP(questions!$C$5, Lookup!$Q:$R, 2)
      )
    )
)</f>
        <v>282111.0086</v>
      </c>
      <c r="AB515" s="65">
        <f t="shared" si="13"/>
        <v>1102527.673</v>
      </c>
      <c r="AC515" s="66">
        <f t="array" ref="AC515">IFS(B515&lt;66, XLOOKUP(year(A515),Lookup!$K$13:$K1000,Lookup!$L$13:$L1000,"missing",,1),B515&gt;65,XLOOKUP(questions!$C$5,Lookup!$K$13:$K1000,Lookup!$L$13:$L1000,"missing",,1))</f>
        <v>393675.3633</v>
      </c>
      <c r="AD515" s="66">
        <f t="array" ref="AD515">IFS(B515&lt;66, XLOOKUP(year(A515),Lookup!$K$13:$K1000,Lookup!$M$13:$M1000,"missing",,1),B515&gt;65, XLOOKUP(questions!$C$5,Lookup!$K$13:$K1000,Lookup!$M$13:$M1000,"missing",,1))</f>
        <v>787350.7266</v>
      </c>
      <c r="AE515" s="66">
        <f t="array" ref="AE515">IFS(B515&lt;66, XLOOKUP(year(A515),Lookup!$K$13:$K1000,Lookup!$N$13:$N1000,"missing",,1),B515&gt;65,XLOOKUP(questions!$C$5,Lookup!$K$13:$K1000,Lookup!$N$13:$N1000,"missing",,1))</f>
        <v>1574701.453</v>
      </c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</row>
    <row r="516">
      <c r="A516" s="55">
        <f t="shared" si="7"/>
        <v>61728</v>
      </c>
      <c r="B516" s="56">
        <f>round(YEARFRAC(EOMONTH(questions!$C$3, 0),A516,1),2)</f>
        <v>70.08</v>
      </c>
      <c r="C516" s="58">
        <f>IF(B516&lt;questions!$C$6,if(MONTH(A516)=1,C515*(1+questions!$C$12),C515),0)</f>
        <v>0</v>
      </c>
      <c r="D516" s="58">
        <f>IF(MONTH(A516)=12,C516*questions!$C$11,0)</f>
        <v>0</v>
      </c>
      <c r="E516" s="71">
        <f t="shared" si="2"/>
        <v>0</v>
      </c>
      <c r="F516" s="71">
        <f t="shared" si="3"/>
        <v>0</v>
      </c>
      <c r="G516" s="61">
        <f t="array" ref="G516">if(YEAR(A516)=2025,XLOOKUP(B516,Lookup!$A$3:$A$7,Lookup!$D$3:$D$7,,1)*SUM(E516:F516), XLOOKUP(B516,Lookup!$A$14:$A$18,Lookup!$D$14:$D$18,,1)*SUM(E516:F516))</f>
        <v>0</v>
      </c>
      <c r="H516" s="61">
        <f t="array" ref="H516">if(YEAR(A516)=2025,XLOOKUP(B516,Lookup!$F$3:$F$10,Lookup!$G$3:$G$10,,1)*G516, XLOOKUP(B516,Lookup!$F$14:$F$21,Lookup!$G$14:$G$21,,1)*G516)</f>
        <v>0</v>
      </c>
      <c r="I516" s="61">
        <f t="array" ref="I516">if(B516&lt;55, if(YEAR(A516)=2025,XLOOKUP(B516,Lookup!$F$3:$F$10,Lookup!$H$3:$H$10,,1)*G516, XLOOKUP(B516,Lookup!$F$14:$F$21,Lookup!$H$14:$H$21,,1)*G516),0)</f>
        <v>0</v>
      </c>
      <c r="J516" s="61">
        <f t="array" ref="J516">if(YEAR(A516)=2025,XLOOKUP(B516,Lookup!$F$3:$F$10,Lookup!$I$3:$I$10,,1)*G516, XLOOKUP(B516,Lookup!$F$14:$F$21,Lookup!$I$14:$I$21,,1)*G516)</f>
        <v>0</v>
      </c>
      <c r="K516" s="61">
        <f t="array" ref="K516">if(B516&gt;54, if(YEAR(A516)=2025,XLOOKUP(B516,Lookup!$F$3:$F$10,Lookup!$H$3:$H$10,,1)*G516, XLOOKUP(B516,Lookup!$F$14:$F$21,Lookup!$H$14:$H$21,,1)*G516),0)</f>
        <v>0</v>
      </c>
      <c r="L516" s="62">
        <f>IF(and(A516&lt;questions!$C$19,questions!$C$18="yes"),questions!$C$20,0)</f>
        <v>0</v>
      </c>
      <c r="M516" s="63">
        <f>(Y515+H516)*Lookup!A$26/12</f>
        <v>2256.521874</v>
      </c>
      <c r="N516" s="63">
        <f>if(B516&lt;55, (Z515+I516)*Lookup!B$26/12, (AB515+K516)*Lookup!B$26/12)</f>
        <v>3675.092244</v>
      </c>
      <c r="O516" s="63">
        <f>(AA515+J516)*Lookup!C$26/12</f>
        <v>940.3700287</v>
      </c>
      <c r="P516" s="63">
        <f t="shared" si="8"/>
        <v>27078.26249</v>
      </c>
      <c r="Q516" s="63">
        <f t="shared" si="4"/>
        <v>44101.10693</v>
      </c>
      <c r="R516" s="63">
        <f t="shared" si="5"/>
        <v>11284.44034</v>
      </c>
      <c r="S516" s="64">
        <f t="shared" si="9"/>
        <v>33.33333333</v>
      </c>
      <c r="T516" s="64">
        <f t="shared" si="10"/>
        <v>41.66666667</v>
      </c>
      <c r="U516" s="64">
        <f t="shared" si="11"/>
        <v>0</v>
      </c>
      <c r="V516" s="64">
        <f t="shared" ref="V516:X516" si="524">IF(year($A516)=year($A515), V515+S516, S516)</f>
        <v>400</v>
      </c>
      <c r="W516" s="64">
        <f t="shared" si="524"/>
        <v>500</v>
      </c>
      <c r="X516" s="64">
        <f t="shared" si="524"/>
        <v>0</v>
      </c>
      <c r="Y516" s="65">
        <f>IFS(
  B516&lt;55,
    MAX(
      Y515 + IF(MONTH(A516)=12, P516+V516, 0) + H516 - L516
      + MAX(0,
          IF(AA515 &gt;= VLOOKUP(YEAR(A516), Lookup!$Q:$R, 2),
            Z515 + IF(MONTH(A516)=12, Q516+W516, 0) + I516
              + AA515 + IF(MONTH(A516)=12, R516+X516, 0)
              - VLOOKUP(YEAR(A516), Lookup!$Q:$R, 2) + J516,
            Z515 + IF(MONTH(A516)=12, Q516+W516, 0) + I516
          ) - VLOOKUP(YEAR(A516), Lookup!$K:$M, 3)
        ),
    0),
  B516=55,
    IF(Z515&gt;=AD516,
      MAX(Y515 + IF(MONTH(A516)=12, P516+V516, 0) + H516 - L516, 0),
      MAX(MAX(0, Y515-(AD516-Z515)) + IF(MONTH(A516)=12, P516+V516, 0) + H516 - L516, 0)
    ),
  B516&gt;55,
    IF(AB515&gt;=$AH$7,
      MAX(Y515 + IF(MONTH(A516)=12, P516+V516, 0) + H516 - L516 + K516 + Z515, 0),
      MAX(Y515 + IF(MONTH(A516)=12, P516+V516, 0) + H516 - L516, 0)
    )
)</f>
        <v>1110608.762</v>
      </c>
      <c r="Z516" s="65">
        <f>IFS(
  B516&lt;55,
    MIN(
      IF(AA515 &gt;= VLOOKUP(YEAR(A516), Lookup!$Q:$R, 2),
        Z515 + IF(MONTH(A516)=12, Q516+W516, 0) + I516
          + AA515 + IF(MONTH(A516)=12, R516+X516, 0) - VLOOKUP(YEAR(A516), Lookup!$Q:$R, 2) + J516,
        Z515 + IF(MONTH(A516)=12, Q516+W516, 0) + I516
      ),
      VLOOKUP(YEAR(A516), Lookup!$K:$M, 3)
    ),
  B516=55,
    IF(Z515 &gt;= AD516, Z515 - AD516, 0),
  B516&gt;55, 0
)</f>
        <v>0</v>
      </c>
      <c r="AA516" s="65">
        <f>IFS(
  B516&lt;65,
    IF(AA515+J516 &lt; VLOOKUP(YEAR(A516), Lookup!$Q:$R, 2),
      AA515 + IF(MONTH(A516)=12, R515+X515, 0) + J516,
      MIN(
        AA515 + IF(MONTH(A516)=12, R515+X515, 0) + J516 ,
        VLOOKUP(YEAR(A516), Lookup!$Q:$R, 2)
      )
    ),
  B516&gt;=65,
    IF(AA515+J516 &lt; VLOOKUP(questions!$C$5, Lookup!$Q:$R, 2),
      AA515 + IF(MONTH(A516)=12, R515+X515, 0) + J516 ,
      MIN(
        AA515 + IF(MONTH(A516)=12, R515+X515, 0) + J516,
        VLOOKUP(questions!$C$5, Lookup!$Q:$R, 2)
      )
    )
)</f>
        <v>282111.0086</v>
      </c>
      <c r="AB516" s="65">
        <f t="shared" si="13"/>
        <v>1147128.78</v>
      </c>
      <c r="AC516" s="66">
        <f t="array" ref="AC516">IFS(B516&lt;66, XLOOKUP(year(A516),Lookup!$K$13:$K1000,Lookup!$L$13:$L1000,"missing",,1),B516&gt;65,XLOOKUP(questions!$C$5,Lookup!$K$13:$K1000,Lookup!$L$13:$L1000,"missing",,1))</f>
        <v>393675.3633</v>
      </c>
      <c r="AD516" s="66">
        <f t="array" ref="AD516">IFS(B516&lt;66, XLOOKUP(year(A516),Lookup!$K$13:$K1000,Lookup!$M$13:$M1000,"missing",,1),B516&gt;65, XLOOKUP(questions!$C$5,Lookup!$K$13:$K1000,Lookup!$M$13:$M1000,"missing",,1))</f>
        <v>787350.7266</v>
      </c>
      <c r="AE516" s="66">
        <f t="array" ref="AE516">IFS(B516&lt;66, XLOOKUP(year(A516),Lookup!$K$13:$K1000,Lookup!$N$13:$N1000,"missing",,1),B516&gt;65,XLOOKUP(questions!$C$5,Lookup!$K$13:$K1000,Lookup!$N$13:$N1000,"missing",,1))</f>
        <v>1574701.453</v>
      </c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</row>
    <row r="517">
      <c r="A517" s="55">
        <f t="shared" si="7"/>
        <v>61759</v>
      </c>
      <c r="B517" s="56">
        <f>round(YEARFRAC(EOMONTH(questions!$C$3, 0),A517,1),2)</f>
        <v>70.17</v>
      </c>
      <c r="C517" s="58">
        <f>IF(B517&lt;questions!$C$6,if(MONTH(A517)=1,C516*(1+questions!$C$12),C516),0)</f>
        <v>0</v>
      </c>
      <c r="D517" s="58">
        <f>IF(MONTH(A517)=12,C517*questions!$C$11,0)</f>
        <v>0</v>
      </c>
      <c r="E517" s="71">
        <f t="shared" si="2"/>
        <v>0</v>
      </c>
      <c r="F517" s="71">
        <f t="shared" si="3"/>
        <v>0</v>
      </c>
      <c r="G517" s="61">
        <f t="array" ref="G517">if(YEAR(A517)=2025,XLOOKUP(B517,Lookup!$A$3:$A$7,Lookup!$D$3:$D$7,,1)*SUM(E517:F517), XLOOKUP(B517,Lookup!$A$14:$A$18,Lookup!$D$14:$D$18,,1)*SUM(E517:F517))</f>
        <v>0</v>
      </c>
      <c r="H517" s="61">
        <f t="array" ref="H517">if(YEAR(A517)=2025,XLOOKUP(B517,Lookup!$F$3:$F$10,Lookup!$G$3:$G$10,,1)*G517, XLOOKUP(B517,Lookup!$F$14:$F$21,Lookup!$G$14:$G$21,,1)*G517)</f>
        <v>0</v>
      </c>
      <c r="I517" s="61">
        <f t="array" ref="I517">if(B517&lt;55, if(YEAR(A517)=2025,XLOOKUP(B517,Lookup!$F$3:$F$10,Lookup!$H$3:$H$10,,1)*G517, XLOOKUP(B517,Lookup!$F$14:$F$21,Lookup!$H$14:$H$21,,1)*G517),0)</f>
        <v>0</v>
      </c>
      <c r="J517" s="61">
        <f t="array" ref="J517">if(YEAR(A517)=2025,XLOOKUP(B517,Lookup!$F$3:$F$10,Lookup!$I$3:$I$10,,1)*G517, XLOOKUP(B517,Lookup!$F$14:$F$21,Lookup!$I$14:$I$21,,1)*G517)</f>
        <v>0</v>
      </c>
      <c r="K517" s="61">
        <f t="array" ref="K517">if(B517&gt;54, if(YEAR(A517)=2025,XLOOKUP(B517,Lookup!$F$3:$F$10,Lookup!$H$3:$H$10,,1)*G517, XLOOKUP(B517,Lookup!$F$14:$F$21,Lookup!$H$14:$H$21,,1)*G517),0)</f>
        <v>0</v>
      </c>
      <c r="L517" s="62">
        <f>IF(and(A517&lt;questions!$C$19,questions!$C$18="yes"),questions!$C$20,0)</f>
        <v>0</v>
      </c>
      <c r="M517" s="63">
        <f>(Y516+H517)*Lookup!A$26/12</f>
        <v>2313.768255</v>
      </c>
      <c r="N517" s="63">
        <f>if(B517&lt;55, (Z516+I517)*Lookup!B$26/12, (AB516+K517)*Lookup!B$26/12)</f>
        <v>3823.762601</v>
      </c>
      <c r="O517" s="63">
        <f>(AA516+J517)*Lookup!C$26/12</f>
        <v>940.3700287</v>
      </c>
      <c r="P517" s="63">
        <f t="shared" si="8"/>
        <v>2313.768255</v>
      </c>
      <c r="Q517" s="63">
        <f t="shared" si="4"/>
        <v>3823.762601</v>
      </c>
      <c r="R517" s="63">
        <f t="shared" si="5"/>
        <v>940.3700287</v>
      </c>
      <c r="S517" s="64">
        <f t="shared" si="9"/>
        <v>33.33333333</v>
      </c>
      <c r="T517" s="64">
        <f t="shared" si="10"/>
        <v>41.66666667</v>
      </c>
      <c r="U517" s="64">
        <f t="shared" si="11"/>
        <v>0</v>
      </c>
      <c r="V517" s="64">
        <f t="shared" ref="V517:X517" si="525">IF(year($A517)=year($A516), V516+S517, S517)</f>
        <v>33.33333333</v>
      </c>
      <c r="W517" s="64">
        <f t="shared" si="525"/>
        <v>41.66666667</v>
      </c>
      <c r="X517" s="64">
        <f t="shared" si="525"/>
        <v>0</v>
      </c>
      <c r="Y517" s="65">
        <f>IFS(
  B517&lt;55,
    MAX(
      Y516 + IF(MONTH(A517)=12, P517+V517, 0) + H517 - L517
      + MAX(0,
          IF(AA516 &gt;= VLOOKUP(YEAR(A517), Lookup!$Q:$R, 2),
            Z516 + IF(MONTH(A517)=12, Q517+W517, 0) + I517
              + AA516 + IF(MONTH(A517)=12, R517+X517, 0)
              - VLOOKUP(YEAR(A517), Lookup!$Q:$R, 2) + J517,
            Z516 + IF(MONTH(A517)=12, Q517+W517, 0) + I517
          ) - VLOOKUP(YEAR(A517), Lookup!$K:$M, 3)
        ),
    0),
  B517=55,
    IF(Z516&gt;=AD517,
      MAX(Y516 + IF(MONTH(A517)=12, P517+V517, 0) + H517 - L517, 0),
      MAX(MAX(0, Y516-(AD517-Z516)) + IF(MONTH(A517)=12, P517+V517, 0) + H517 - L517, 0)
    ),
  B517&gt;55,
    IF(AB516&gt;=$AH$7,
      MAX(Y516 + IF(MONTH(A517)=12, P517+V517, 0) + H517 - L517 + K517 + Z516, 0),
      MAX(Y516 + IF(MONTH(A517)=12, P517+V517, 0) + H517 - L517, 0)
    )
)</f>
        <v>1110608.762</v>
      </c>
      <c r="Z517" s="65">
        <f>IFS(
  B517&lt;55,
    MIN(
      IF(AA516 &gt;= VLOOKUP(YEAR(A517), Lookup!$Q:$R, 2),
        Z516 + IF(MONTH(A517)=12, Q517+W517, 0) + I517
          + AA516 + IF(MONTH(A517)=12, R517+X517, 0) - VLOOKUP(YEAR(A517), Lookup!$Q:$R, 2) + J517,
        Z516 + IF(MONTH(A517)=12, Q517+W517, 0) + I517
      ),
      VLOOKUP(YEAR(A517), Lookup!$K:$M, 3)
    ),
  B517=55,
    IF(Z516 &gt;= AD517, Z516 - AD517, 0),
  B517&gt;55, 0
)</f>
        <v>0</v>
      </c>
      <c r="AA517" s="65">
        <f>IFS(
  B517&lt;65,
    IF(AA516+J517 &lt; VLOOKUP(YEAR(A517), Lookup!$Q:$R, 2),
      AA516 + IF(MONTH(A517)=12, R516+X516, 0) + J517,
      MIN(
        AA516 + IF(MONTH(A517)=12, R516+X516, 0) + J517 ,
        VLOOKUP(YEAR(A517), Lookup!$Q:$R, 2)
      )
    ),
  B517&gt;=65,
    IF(AA516+J517 &lt; VLOOKUP(questions!$C$5, Lookup!$Q:$R, 2),
      AA516 + IF(MONTH(A517)=12, R516+X516, 0) + J517 ,
      MIN(
        AA516 + IF(MONTH(A517)=12, R516+X516, 0) + J517,
        VLOOKUP(questions!$C$5, Lookup!$Q:$R, 2)
      )
    )
)</f>
        <v>282111.0086</v>
      </c>
      <c r="AB517" s="65">
        <f t="shared" si="13"/>
        <v>1147128.78</v>
      </c>
      <c r="AC517" s="66">
        <f t="array" ref="AC517">IFS(B517&lt;66, XLOOKUP(year(A517),Lookup!$K$13:$K1000,Lookup!$L$13:$L1000,"missing",,1),B517&gt;65,XLOOKUP(questions!$C$5,Lookup!$K$13:$K1000,Lookup!$L$13:$L1000,"missing",,1))</f>
        <v>393675.3633</v>
      </c>
      <c r="AD517" s="66">
        <f t="array" ref="AD517">IFS(B517&lt;66, XLOOKUP(year(A517),Lookup!$K$13:$K1000,Lookup!$M$13:$M1000,"missing",,1),B517&gt;65, XLOOKUP(questions!$C$5,Lookup!$K$13:$K1000,Lookup!$M$13:$M1000,"missing",,1))</f>
        <v>787350.7266</v>
      </c>
      <c r="AE517" s="66">
        <f t="array" ref="AE517">IFS(B517&lt;66, XLOOKUP(year(A517),Lookup!$K$13:$K1000,Lookup!$N$13:$N1000,"missing",,1),B517&gt;65,XLOOKUP(questions!$C$5,Lookup!$K$13:$K1000,Lookup!$N$13:$N1000,"missing",,1))</f>
        <v>1574701.453</v>
      </c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  <c r="AQ517" s="37"/>
    </row>
    <row r="518">
      <c r="A518" s="55">
        <f t="shared" si="7"/>
        <v>61787</v>
      </c>
      <c r="B518" s="56">
        <f>round(YEARFRAC(EOMONTH(questions!$C$3, 0),A518,1),2)</f>
        <v>70.25</v>
      </c>
      <c r="C518" s="58">
        <f>IF(B518&lt;questions!$C$6,if(MONTH(A518)=1,C517*(1+questions!$C$12),C517),0)</f>
        <v>0</v>
      </c>
      <c r="D518" s="58">
        <f>IF(MONTH(A518)=12,C518*questions!$C$11,0)</f>
        <v>0</v>
      </c>
      <c r="E518" s="71">
        <f t="shared" si="2"/>
        <v>0</v>
      </c>
      <c r="F518" s="71">
        <f t="shared" si="3"/>
        <v>0</v>
      </c>
      <c r="G518" s="61">
        <f t="array" ref="G518">if(YEAR(A518)=2025,XLOOKUP(B518,Lookup!$A$3:$A$7,Lookup!$D$3:$D$7,,1)*SUM(E518:F518), XLOOKUP(B518,Lookup!$A$14:$A$18,Lookup!$D$14:$D$18,,1)*SUM(E518:F518))</f>
        <v>0</v>
      </c>
      <c r="H518" s="61">
        <f t="array" ref="H518">if(YEAR(A518)=2025,XLOOKUP(B518,Lookup!$F$3:$F$10,Lookup!$G$3:$G$10,,1)*G518, XLOOKUP(B518,Lookup!$F$14:$F$21,Lookup!$G$14:$G$21,,1)*G518)</f>
        <v>0</v>
      </c>
      <c r="I518" s="61">
        <f t="array" ref="I518">if(B518&lt;55, if(YEAR(A518)=2025,XLOOKUP(B518,Lookup!$F$3:$F$10,Lookup!$H$3:$H$10,,1)*G518, XLOOKUP(B518,Lookup!$F$14:$F$21,Lookup!$H$14:$H$21,,1)*G518),0)</f>
        <v>0</v>
      </c>
      <c r="J518" s="61">
        <f t="array" ref="J518">if(YEAR(A518)=2025,XLOOKUP(B518,Lookup!$F$3:$F$10,Lookup!$I$3:$I$10,,1)*G518, XLOOKUP(B518,Lookup!$F$14:$F$21,Lookup!$I$14:$I$21,,1)*G518)</f>
        <v>0</v>
      </c>
      <c r="K518" s="61">
        <f t="array" ref="K518">if(B518&gt;54, if(YEAR(A518)=2025,XLOOKUP(B518,Lookup!$F$3:$F$10,Lookup!$H$3:$H$10,,1)*G518, XLOOKUP(B518,Lookup!$F$14:$F$21,Lookup!$H$14:$H$21,,1)*G518),0)</f>
        <v>0</v>
      </c>
      <c r="L518" s="62">
        <f>IF(and(A518&lt;questions!$C$19,questions!$C$18="yes"),questions!$C$20,0)</f>
        <v>0</v>
      </c>
      <c r="M518" s="63">
        <f>(Y517+H518)*Lookup!A$26/12</f>
        <v>2313.768255</v>
      </c>
      <c r="N518" s="63">
        <f>if(B518&lt;55, (Z517+I518)*Lookup!B$26/12, (AB517+K518)*Lookup!B$26/12)</f>
        <v>3823.762601</v>
      </c>
      <c r="O518" s="63">
        <f>(AA517+J518)*Lookup!C$26/12</f>
        <v>940.3700287</v>
      </c>
      <c r="P518" s="63">
        <f t="shared" si="8"/>
        <v>4627.536509</v>
      </c>
      <c r="Q518" s="63">
        <f t="shared" si="4"/>
        <v>7647.525201</v>
      </c>
      <c r="R518" s="63">
        <f t="shared" si="5"/>
        <v>1880.740057</v>
      </c>
      <c r="S518" s="64">
        <f t="shared" si="9"/>
        <v>33.33333333</v>
      </c>
      <c r="T518" s="64">
        <f t="shared" si="10"/>
        <v>41.66666667</v>
      </c>
      <c r="U518" s="64">
        <f t="shared" si="11"/>
        <v>0</v>
      </c>
      <c r="V518" s="64">
        <f t="shared" ref="V518:X518" si="526">IF(year($A518)=year($A517), V517+S518, S518)</f>
        <v>66.66666667</v>
      </c>
      <c r="W518" s="64">
        <f t="shared" si="526"/>
        <v>83.33333333</v>
      </c>
      <c r="X518" s="64">
        <f t="shared" si="526"/>
        <v>0</v>
      </c>
      <c r="Y518" s="65">
        <f>IFS(
  B518&lt;55,
    MAX(
      Y517 + IF(MONTH(A518)=12, P518+V518, 0) + H518 - L518
      + MAX(0,
          IF(AA517 &gt;= VLOOKUP(YEAR(A518), Lookup!$Q:$R, 2),
            Z517 + IF(MONTH(A518)=12, Q518+W518, 0) + I518
              + AA517 + IF(MONTH(A518)=12, R518+X518, 0)
              - VLOOKUP(YEAR(A518), Lookup!$Q:$R, 2) + J518,
            Z517 + IF(MONTH(A518)=12, Q518+W518, 0) + I518
          ) - VLOOKUP(YEAR(A518), Lookup!$K:$M, 3)
        ),
    0),
  B518=55,
    IF(Z517&gt;=AD518,
      MAX(Y517 + IF(MONTH(A518)=12, P518+V518, 0) + H518 - L518, 0),
      MAX(MAX(0, Y517-(AD518-Z517)) + IF(MONTH(A518)=12, P518+V518, 0) + H518 - L518, 0)
    ),
  B518&gt;55,
    IF(AB517&gt;=$AH$7,
      MAX(Y517 + IF(MONTH(A518)=12, P518+V518, 0) + H518 - L518 + K518 + Z517, 0),
      MAX(Y517 + IF(MONTH(A518)=12, P518+V518, 0) + H518 - L518, 0)
    )
)</f>
        <v>1110608.762</v>
      </c>
      <c r="Z518" s="65">
        <f>IFS(
  B518&lt;55,
    MIN(
      IF(AA517 &gt;= VLOOKUP(YEAR(A518), Lookup!$Q:$R, 2),
        Z517 + IF(MONTH(A518)=12, Q518+W518, 0) + I518
          + AA517 + IF(MONTH(A518)=12, R518+X518, 0) - VLOOKUP(YEAR(A518), Lookup!$Q:$R, 2) + J518,
        Z517 + IF(MONTH(A518)=12, Q518+W518, 0) + I518
      ),
      VLOOKUP(YEAR(A518), Lookup!$K:$M, 3)
    ),
  B518=55,
    IF(Z517 &gt;= AD518, Z517 - AD518, 0),
  B518&gt;55, 0
)</f>
        <v>0</v>
      </c>
      <c r="AA518" s="65">
        <f>IFS(
  B518&lt;65,
    IF(AA517+J518 &lt; VLOOKUP(YEAR(A518), Lookup!$Q:$R, 2),
      AA517 + IF(MONTH(A518)=12, R517+X517, 0) + J518,
      MIN(
        AA517 + IF(MONTH(A518)=12, R517+X517, 0) + J518 ,
        VLOOKUP(YEAR(A518), Lookup!$Q:$R, 2)
      )
    ),
  B518&gt;=65,
    IF(AA517+J518 &lt; VLOOKUP(questions!$C$5, Lookup!$Q:$R, 2),
      AA517 + IF(MONTH(A518)=12, R517+X517, 0) + J518 ,
      MIN(
        AA517 + IF(MONTH(A518)=12, R517+X517, 0) + J518,
        VLOOKUP(questions!$C$5, Lookup!$Q:$R, 2)
      )
    )
)</f>
        <v>282111.0086</v>
      </c>
      <c r="AB518" s="65">
        <f t="shared" si="13"/>
        <v>1147128.78</v>
      </c>
      <c r="AC518" s="66">
        <f t="array" ref="AC518">IFS(B518&lt;66, XLOOKUP(year(A518),Lookup!$K$13:$K1000,Lookup!$L$13:$L1000,"missing",,1),B518&gt;65,XLOOKUP(questions!$C$5,Lookup!$K$13:$K1000,Lookup!$L$13:$L1000,"missing",,1))</f>
        <v>393675.3633</v>
      </c>
      <c r="AD518" s="66">
        <f t="array" ref="AD518">IFS(B518&lt;66, XLOOKUP(year(A518),Lookup!$K$13:$K1000,Lookup!$M$13:$M1000,"missing",,1),B518&gt;65, XLOOKUP(questions!$C$5,Lookup!$K$13:$K1000,Lookup!$M$13:$M1000,"missing",,1))</f>
        <v>787350.7266</v>
      </c>
      <c r="AE518" s="66">
        <f t="array" ref="AE518">IFS(B518&lt;66, XLOOKUP(year(A518),Lookup!$K$13:$K1000,Lookup!$N$13:$N1000,"missing",,1),B518&gt;65,XLOOKUP(questions!$C$5,Lookup!$K$13:$K1000,Lookup!$N$13:$N1000,"missing",,1))</f>
        <v>1574701.453</v>
      </c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  <c r="AQ518" s="37"/>
    </row>
    <row r="519">
      <c r="A519" s="55">
        <f t="shared" si="7"/>
        <v>61818</v>
      </c>
      <c r="B519" s="56">
        <f>round(YEARFRAC(EOMONTH(questions!$C$3, 0),A519,1),2)</f>
        <v>70.33</v>
      </c>
      <c r="C519" s="58">
        <f>IF(B519&lt;questions!$C$6,if(MONTH(A519)=1,C518*(1+questions!$C$12),C518),0)</f>
        <v>0</v>
      </c>
      <c r="D519" s="58">
        <f>IF(MONTH(A519)=12,C519*questions!$C$11,0)</f>
        <v>0</v>
      </c>
      <c r="E519" s="71">
        <f t="shared" si="2"/>
        <v>0</v>
      </c>
      <c r="F519" s="71">
        <f t="shared" si="3"/>
        <v>0</v>
      </c>
      <c r="G519" s="61">
        <f t="array" ref="G519">if(YEAR(A519)=2025,XLOOKUP(B519,Lookup!$A$3:$A$7,Lookup!$D$3:$D$7,,1)*SUM(E519:F519), XLOOKUP(B519,Lookup!$A$14:$A$18,Lookup!$D$14:$D$18,,1)*SUM(E519:F519))</f>
        <v>0</v>
      </c>
      <c r="H519" s="61">
        <f t="array" ref="H519">if(YEAR(A519)=2025,XLOOKUP(B519,Lookup!$F$3:$F$10,Lookup!$G$3:$G$10,,1)*G519, XLOOKUP(B519,Lookup!$F$14:$F$21,Lookup!$G$14:$G$21,,1)*G519)</f>
        <v>0</v>
      </c>
      <c r="I519" s="61">
        <f t="array" ref="I519">if(B519&lt;55, if(YEAR(A519)=2025,XLOOKUP(B519,Lookup!$F$3:$F$10,Lookup!$H$3:$H$10,,1)*G519, XLOOKUP(B519,Lookup!$F$14:$F$21,Lookup!$H$14:$H$21,,1)*G519),0)</f>
        <v>0</v>
      </c>
      <c r="J519" s="61">
        <f t="array" ref="J519">if(YEAR(A519)=2025,XLOOKUP(B519,Lookup!$F$3:$F$10,Lookup!$I$3:$I$10,,1)*G519, XLOOKUP(B519,Lookup!$F$14:$F$21,Lookup!$I$14:$I$21,,1)*G519)</f>
        <v>0</v>
      </c>
      <c r="K519" s="61">
        <f t="array" ref="K519">if(B519&gt;54, if(YEAR(A519)=2025,XLOOKUP(B519,Lookup!$F$3:$F$10,Lookup!$H$3:$H$10,,1)*G519, XLOOKUP(B519,Lookup!$F$14:$F$21,Lookup!$H$14:$H$21,,1)*G519),0)</f>
        <v>0</v>
      </c>
      <c r="L519" s="62">
        <f>IF(and(A519&lt;questions!$C$19,questions!$C$18="yes"),questions!$C$20,0)</f>
        <v>0</v>
      </c>
      <c r="M519" s="63">
        <f>(Y518+H519)*Lookup!A$26/12</f>
        <v>2313.768255</v>
      </c>
      <c r="N519" s="63">
        <f>if(B519&lt;55, (Z518+I519)*Lookup!B$26/12, (AB518+K519)*Lookup!B$26/12)</f>
        <v>3823.762601</v>
      </c>
      <c r="O519" s="63">
        <f>(AA518+J519)*Lookup!C$26/12</f>
        <v>940.3700287</v>
      </c>
      <c r="P519" s="63">
        <f t="shared" si="8"/>
        <v>6941.304764</v>
      </c>
      <c r="Q519" s="63">
        <f t="shared" si="4"/>
        <v>11471.2878</v>
      </c>
      <c r="R519" s="63">
        <f t="shared" si="5"/>
        <v>2821.110086</v>
      </c>
      <c r="S519" s="64">
        <f t="shared" si="9"/>
        <v>33.33333333</v>
      </c>
      <c r="T519" s="64">
        <f t="shared" si="10"/>
        <v>41.66666667</v>
      </c>
      <c r="U519" s="64">
        <f t="shared" si="11"/>
        <v>0</v>
      </c>
      <c r="V519" s="64">
        <f t="shared" ref="V519:X519" si="527">IF(year($A519)=year($A518), V518+S519, S519)</f>
        <v>100</v>
      </c>
      <c r="W519" s="64">
        <f t="shared" si="527"/>
        <v>125</v>
      </c>
      <c r="X519" s="64">
        <f t="shared" si="527"/>
        <v>0</v>
      </c>
      <c r="Y519" s="65">
        <f>IFS(
  B519&lt;55,
    MAX(
      Y518 + IF(MONTH(A519)=12, P519+V519, 0) + H519 - L519
      + MAX(0,
          IF(AA518 &gt;= VLOOKUP(YEAR(A519), Lookup!$Q:$R, 2),
            Z518 + IF(MONTH(A519)=12, Q519+W519, 0) + I519
              + AA518 + IF(MONTH(A519)=12, R519+X519, 0)
              - VLOOKUP(YEAR(A519), Lookup!$Q:$R, 2) + J519,
            Z518 + IF(MONTH(A519)=12, Q519+W519, 0) + I519
          ) - VLOOKUP(YEAR(A519), Lookup!$K:$M, 3)
        ),
    0),
  B519=55,
    IF(Z518&gt;=AD519,
      MAX(Y518 + IF(MONTH(A519)=12, P519+V519, 0) + H519 - L519, 0),
      MAX(MAX(0, Y518-(AD519-Z518)) + IF(MONTH(A519)=12, P519+V519, 0) + H519 - L519, 0)
    ),
  B519&gt;55,
    IF(AB518&gt;=$AH$7,
      MAX(Y518 + IF(MONTH(A519)=12, P519+V519, 0) + H519 - L519 + K519 + Z518, 0),
      MAX(Y518 + IF(MONTH(A519)=12, P519+V519, 0) + H519 - L519, 0)
    )
)</f>
        <v>1110608.762</v>
      </c>
      <c r="Z519" s="65">
        <f>IFS(
  B519&lt;55,
    MIN(
      IF(AA518 &gt;= VLOOKUP(YEAR(A519), Lookup!$Q:$R, 2),
        Z518 + IF(MONTH(A519)=12, Q519+W519, 0) + I519
          + AA518 + IF(MONTH(A519)=12, R519+X519, 0) - VLOOKUP(YEAR(A519), Lookup!$Q:$R, 2) + J519,
        Z518 + IF(MONTH(A519)=12, Q519+W519, 0) + I519
      ),
      VLOOKUP(YEAR(A519), Lookup!$K:$M, 3)
    ),
  B519=55,
    IF(Z518 &gt;= AD519, Z518 - AD519, 0),
  B519&gt;55, 0
)</f>
        <v>0</v>
      </c>
      <c r="AA519" s="65">
        <f>IFS(
  B519&lt;65,
    IF(AA518+J519 &lt; VLOOKUP(YEAR(A519), Lookup!$Q:$R, 2),
      AA518 + IF(MONTH(A519)=12, R518+X518, 0) + J519,
      MIN(
        AA518 + IF(MONTH(A519)=12, R518+X518, 0) + J519 ,
        VLOOKUP(YEAR(A519), Lookup!$Q:$R, 2)
      )
    ),
  B519&gt;=65,
    IF(AA518+J519 &lt; VLOOKUP(questions!$C$5, Lookup!$Q:$R, 2),
      AA518 + IF(MONTH(A519)=12, R518+X518, 0) + J519 ,
      MIN(
        AA518 + IF(MONTH(A519)=12, R518+X518, 0) + J519,
        VLOOKUP(questions!$C$5, Lookup!$Q:$R, 2)
      )
    )
)</f>
        <v>282111.0086</v>
      </c>
      <c r="AB519" s="65">
        <f t="shared" si="13"/>
        <v>1147128.78</v>
      </c>
      <c r="AC519" s="66">
        <f t="array" ref="AC519">IFS(B519&lt;66, XLOOKUP(year(A519),Lookup!$K$13:$K1000,Lookup!$L$13:$L1000,"missing",,1),B519&gt;65,XLOOKUP(questions!$C$5,Lookup!$K$13:$K1000,Lookup!$L$13:$L1000,"missing",,1))</f>
        <v>393675.3633</v>
      </c>
      <c r="AD519" s="66">
        <f t="array" ref="AD519">IFS(B519&lt;66, XLOOKUP(year(A519),Lookup!$K$13:$K1000,Lookup!$M$13:$M1000,"missing",,1),B519&gt;65, XLOOKUP(questions!$C$5,Lookup!$K$13:$K1000,Lookup!$M$13:$M1000,"missing",,1))</f>
        <v>787350.7266</v>
      </c>
      <c r="AE519" s="66">
        <f t="array" ref="AE519">IFS(B519&lt;66, XLOOKUP(year(A519),Lookup!$K$13:$K1000,Lookup!$N$13:$N1000,"missing",,1),B519&gt;65,XLOOKUP(questions!$C$5,Lookup!$K$13:$K1000,Lookup!$N$13:$N1000,"missing",,1))</f>
        <v>1574701.453</v>
      </c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  <c r="AQ519" s="37"/>
    </row>
    <row r="520">
      <c r="A520" s="55">
        <f t="shared" si="7"/>
        <v>61848</v>
      </c>
      <c r="B520" s="56">
        <f>round(YEARFRAC(EOMONTH(questions!$C$3, 0),A520,1),2)</f>
        <v>70.41</v>
      </c>
      <c r="C520" s="58">
        <f>IF(B520&lt;questions!$C$6,if(MONTH(A520)=1,C519*(1+questions!$C$12),C519),0)</f>
        <v>0</v>
      </c>
      <c r="D520" s="58">
        <f>IF(MONTH(A520)=12,C520*questions!$C$11,0)</f>
        <v>0</v>
      </c>
      <c r="E520" s="71">
        <f t="shared" si="2"/>
        <v>0</v>
      </c>
      <c r="F520" s="71">
        <f t="shared" si="3"/>
        <v>0</v>
      </c>
      <c r="G520" s="61">
        <f t="array" ref="G520">if(YEAR(A520)=2025,XLOOKUP(B520,Lookup!$A$3:$A$7,Lookup!$D$3:$D$7,,1)*SUM(E520:F520), XLOOKUP(B520,Lookup!$A$14:$A$18,Lookup!$D$14:$D$18,,1)*SUM(E520:F520))</f>
        <v>0</v>
      </c>
      <c r="H520" s="61">
        <f t="array" ref="H520">if(YEAR(A520)=2025,XLOOKUP(B520,Lookup!$F$3:$F$10,Lookup!$G$3:$G$10,,1)*G520, XLOOKUP(B520,Lookup!$F$14:$F$21,Lookup!$G$14:$G$21,,1)*G520)</f>
        <v>0</v>
      </c>
      <c r="I520" s="61">
        <f t="array" ref="I520">if(B520&lt;55, if(YEAR(A520)=2025,XLOOKUP(B520,Lookup!$F$3:$F$10,Lookup!$H$3:$H$10,,1)*G520, XLOOKUP(B520,Lookup!$F$14:$F$21,Lookup!$H$14:$H$21,,1)*G520),0)</f>
        <v>0</v>
      </c>
      <c r="J520" s="61">
        <f t="array" ref="J520">if(YEAR(A520)=2025,XLOOKUP(B520,Lookup!$F$3:$F$10,Lookup!$I$3:$I$10,,1)*G520, XLOOKUP(B520,Lookup!$F$14:$F$21,Lookup!$I$14:$I$21,,1)*G520)</f>
        <v>0</v>
      </c>
      <c r="K520" s="61">
        <f t="array" ref="K520">if(B520&gt;54, if(YEAR(A520)=2025,XLOOKUP(B520,Lookup!$F$3:$F$10,Lookup!$H$3:$H$10,,1)*G520, XLOOKUP(B520,Lookup!$F$14:$F$21,Lookup!$H$14:$H$21,,1)*G520),0)</f>
        <v>0</v>
      </c>
      <c r="L520" s="62">
        <f>IF(and(A520&lt;questions!$C$19,questions!$C$18="yes"),questions!$C$20,0)</f>
        <v>0</v>
      </c>
      <c r="M520" s="63">
        <f>(Y519+H520)*Lookup!A$26/12</f>
        <v>2313.768255</v>
      </c>
      <c r="N520" s="63">
        <f>if(B520&lt;55, (Z519+I520)*Lookup!B$26/12, (AB519+K520)*Lookup!B$26/12)</f>
        <v>3823.762601</v>
      </c>
      <c r="O520" s="63">
        <f>(AA519+J520)*Lookup!C$26/12</f>
        <v>940.3700287</v>
      </c>
      <c r="P520" s="63">
        <f t="shared" si="8"/>
        <v>9255.073019</v>
      </c>
      <c r="Q520" s="63">
        <f t="shared" si="4"/>
        <v>15295.0504</v>
      </c>
      <c r="R520" s="63">
        <f t="shared" si="5"/>
        <v>3761.480115</v>
      </c>
      <c r="S520" s="64">
        <f t="shared" si="9"/>
        <v>33.33333333</v>
      </c>
      <c r="T520" s="64">
        <f t="shared" si="10"/>
        <v>41.66666667</v>
      </c>
      <c r="U520" s="64">
        <f t="shared" si="11"/>
        <v>0</v>
      </c>
      <c r="V520" s="64">
        <f t="shared" ref="V520:X520" si="528">IF(year($A520)=year($A519), V519+S520, S520)</f>
        <v>133.3333333</v>
      </c>
      <c r="W520" s="64">
        <f t="shared" si="528"/>
        <v>166.6666667</v>
      </c>
      <c r="X520" s="64">
        <f t="shared" si="528"/>
        <v>0</v>
      </c>
      <c r="Y520" s="65">
        <f>IFS(
  B520&lt;55,
    MAX(
      Y519 + IF(MONTH(A520)=12, P520+V520, 0) + H520 - L520
      + MAX(0,
          IF(AA519 &gt;= VLOOKUP(YEAR(A520), Lookup!$Q:$R, 2),
            Z519 + IF(MONTH(A520)=12, Q520+W520, 0) + I520
              + AA519 + IF(MONTH(A520)=12, R520+X520, 0)
              - VLOOKUP(YEAR(A520), Lookup!$Q:$R, 2) + J520,
            Z519 + IF(MONTH(A520)=12, Q520+W520, 0) + I520
          ) - VLOOKUP(YEAR(A520), Lookup!$K:$M, 3)
        ),
    0),
  B520=55,
    IF(Z519&gt;=AD520,
      MAX(Y519 + IF(MONTH(A520)=12, P520+V520, 0) + H520 - L520, 0),
      MAX(MAX(0, Y519-(AD520-Z519)) + IF(MONTH(A520)=12, P520+V520, 0) + H520 - L520, 0)
    ),
  B520&gt;55,
    IF(AB519&gt;=$AH$7,
      MAX(Y519 + IF(MONTH(A520)=12, P520+V520, 0) + H520 - L520 + K520 + Z519, 0),
      MAX(Y519 + IF(MONTH(A520)=12, P520+V520, 0) + H520 - L520, 0)
    )
)</f>
        <v>1110608.762</v>
      </c>
      <c r="Z520" s="65">
        <f>IFS(
  B520&lt;55,
    MIN(
      IF(AA519 &gt;= VLOOKUP(YEAR(A520), Lookup!$Q:$R, 2),
        Z519 + IF(MONTH(A520)=12, Q520+W520, 0) + I520
          + AA519 + IF(MONTH(A520)=12, R520+X520, 0) - VLOOKUP(YEAR(A520), Lookup!$Q:$R, 2) + J520,
        Z519 + IF(MONTH(A520)=12, Q520+W520, 0) + I520
      ),
      VLOOKUP(YEAR(A520), Lookup!$K:$M, 3)
    ),
  B520=55,
    IF(Z519 &gt;= AD520, Z519 - AD520, 0),
  B520&gt;55, 0
)</f>
        <v>0</v>
      </c>
      <c r="AA520" s="65">
        <f>IFS(
  B520&lt;65,
    IF(AA519+J520 &lt; VLOOKUP(YEAR(A520), Lookup!$Q:$R, 2),
      AA519 + IF(MONTH(A520)=12, R519+X519, 0) + J520,
      MIN(
        AA519 + IF(MONTH(A520)=12, R519+X519, 0) + J520 ,
        VLOOKUP(YEAR(A520), Lookup!$Q:$R, 2)
      )
    ),
  B520&gt;=65,
    IF(AA519+J520 &lt; VLOOKUP(questions!$C$5, Lookup!$Q:$R, 2),
      AA519 + IF(MONTH(A520)=12, R519+X519, 0) + J520 ,
      MIN(
        AA519 + IF(MONTH(A520)=12, R519+X519, 0) + J520,
        VLOOKUP(questions!$C$5, Lookup!$Q:$R, 2)
      )
    )
)</f>
        <v>282111.0086</v>
      </c>
      <c r="AB520" s="65">
        <f t="shared" si="13"/>
        <v>1147128.78</v>
      </c>
      <c r="AC520" s="66">
        <f t="array" ref="AC520">IFS(B520&lt;66, XLOOKUP(year(A520),Lookup!$K$13:$K1000,Lookup!$L$13:$L1000,"missing",,1),B520&gt;65,XLOOKUP(questions!$C$5,Lookup!$K$13:$K1000,Lookup!$L$13:$L1000,"missing",,1))</f>
        <v>393675.3633</v>
      </c>
      <c r="AD520" s="66">
        <f t="array" ref="AD520">IFS(B520&lt;66, XLOOKUP(year(A520),Lookup!$K$13:$K1000,Lookup!$M$13:$M1000,"missing",,1),B520&gt;65, XLOOKUP(questions!$C$5,Lookup!$K$13:$K1000,Lookup!$M$13:$M1000,"missing",,1))</f>
        <v>787350.7266</v>
      </c>
      <c r="AE520" s="66">
        <f t="array" ref="AE520">IFS(B520&lt;66, XLOOKUP(year(A520),Lookup!$K$13:$K1000,Lookup!$N$13:$N1000,"missing",,1),B520&gt;65,XLOOKUP(questions!$C$5,Lookup!$K$13:$K1000,Lookup!$N$13:$N1000,"missing",,1))</f>
        <v>1574701.453</v>
      </c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</row>
    <row r="521">
      <c r="A521" s="55">
        <f t="shared" si="7"/>
        <v>61879</v>
      </c>
      <c r="B521" s="56">
        <f>round(YEARFRAC(EOMONTH(questions!$C$3, 0),A521,1),2)</f>
        <v>70.5</v>
      </c>
      <c r="C521" s="58">
        <f>IF(B521&lt;questions!$C$6,if(MONTH(A521)=1,C520*(1+questions!$C$12),C520),0)</f>
        <v>0</v>
      </c>
      <c r="D521" s="58">
        <f>IF(MONTH(A521)=12,C521*questions!$C$11,0)</f>
        <v>0</v>
      </c>
      <c r="E521" s="71">
        <f t="shared" si="2"/>
        <v>0</v>
      </c>
      <c r="F521" s="71">
        <f t="shared" si="3"/>
        <v>0</v>
      </c>
      <c r="G521" s="61">
        <f t="array" ref="G521">if(YEAR(A521)=2025,XLOOKUP(B521,Lookup!$A$3:$A$7,Lookup!$D$3:$D$7,,1)*SUM(E521:F521), XLOOKUP(B521,Lookup!$A$14:$A$18,Lookup!$D$14:$D$18,,1)*SUM(E521:F521))</f>
        <v>0</v>
      </c>
      <c r="H521" s="61">
        <f t="array" ref="H521">if(YEAR(A521)=2025,XLOOKUP(B521,Lookup!$F$3:$F$10,Lookup!$G$3:$G$10,,1)*G521, XLOOKUP(B521,Lookup!$F$14:$F$21,Lookup!$G$14:$G$21,,1)*G521)</f>
        <v>0</v>
      </c>
      <c r="I521" s="61">
        <f t="array" ref="I521">if(B521&lt;55, if(YEAR(A521)=2025,XLOOKUP(B521,Lookup!$F$3:$F$10,Lookup!$H$3:$H$10,,1)*G521, XLOOKUP(B521,Lookup!$F$14:$F$21,Lookup!$H$14:$H$21,,1)*G521),0)</f>
        <v>0</v>
      </c>
      <c r="J521" s="61">
        <f t="array" ref="J521">if(YEAR(A521)=2025,XLOOKUP(B521,Lookup!$F$3:$F$10,Lookup!$I$3:$I$10,,1)*G521, XLOOKUP(B521,Lookup!$F$14:$F$21,Lookup!$I$14:$I$21,,1)*G521)</f>
        <v>0</v>
      </c>
      <c r="K521" s="61">
        <f t="array" ref="K521">if(B521&gt;54, if(YEAR(A521)=2025,XLOOKUP(B521,Lookup!$F$3:$F$10,Lookup!$H$3:$H$10,,1)*G521, XLOOKUP(B521,Lookup!$F$14:$F$21,Lookup!$H$14:$H$21,,1)*G521),0)</f>
        <v>0</v>
      </c>
      <c r="L521" s="62">
        <f>IF(and(A521&lt;questions!$C$19,questions!$C$18="yes"),questions!$C$20,0)</f>
        <v>0</v>
      </c>
      <c r="M521" s="63">
        <f>(Y520+H521)*Lookup!A$26/12</f>
        <v>2313.768255</v>
      </c>
      <c r="N521" s="63">
        <f>if(B521&lt;55, (Z520+I521)*Lookup!B$26/12, (AB520+K521)*Lookup!B$26/12)</f>
        <v>3823.762601</v>
      </c>
      <c r="O521" s="63">
        <f>(AA520+J521)*Lookup!C$26/12</f>
        <v>940.3700287</v>
      </c>
      <c r="P521" s="63">
        <f t="shared" si="8"/>
        <v>11568.84127</v>
      </c>
      <c r="Q521" s="63">
        <f t="shared" si="4"/>
        <v>19118.813</v>
      </c>
      <c r="R521" s="63">
        <f t="shared" si="5"/>
        <v>4701.850143</v>
      </c>
      <c r="S521" s="64">
        <f t="shared" si="9"/>
        <v>33.33333333</v>
      </c>
      <c r="T521" s="64">
        <f t="shared" si="10"/>
        <v>41.66666667</v>
      </c>
      <c r="U521" s="64">
        <f t="shared" si="11"/>
        <v>0</v>
      </c>
      <c r="V521" s="64">
        <f t="shared" ref="V521:X521" si="529">IF(year($A521)=year($A520), V520+S521, S521)</f>
        <v>166.6666667</v>
      </c>
      <c r="W521" s="64">
        <f t="shared" si="529"/>
        <v>208.3333333</v>
      </c>
      <c r="X521" s="64">
        <f t="shared" si="529"/>
        <v>0</v>
      </c>
      <c r="Y521" s="65">
        <f>IFS(
  B521&lt;55,
    MAX(
      Y520 + IF(MONTH(A521)=12, P521+V521, 0) + H521 - L521
      + MAX(0,
          IF(AA520 &gt;= VLOOKUP(YEAR(A521), Lookup!$Q:$R, 2),
            Z520 + IF(MONTH(A521)=12, Q521+W521, 0) + I521
              + AA520 + IF(MONTH(A521)=12, R521+X521, 0)
              - VLOOKUP(YEAR(A521), Lookup!$Q:$R, 2) + J521,
            Z520 + IF(MONTH(A521)=12, Q521+W521, 0) + I521
          ) - VLOOKUP(YEAR(A521), Lookup!$K:$M, 3)
        ),
    0),
  B521=55,
    IF(Z520&gt;=AD521,
      MAX(Y520 + IF(MONTH(A521)=12, P521+V521, 0) + H521 - L521, 0),
      MAX(MAX(0, Y520-(AD521-Z520)) + IF(MONTH(A521)=12, P521+V521, 0) + H521 - L521, 0)
    ),
  B521&gt;55,
    IF(AB520&gt;=$AH$7,
      MAX(Y520 + IF(MONTH(A521)=12, P521+V521, 0) + H521 - L521 + K521 + Z520, 0),
      MAX(Y520 + IF(MONTH(A521)=12, P521+V521, 0) + H521 - L521, 0)
    )
)</f>
        <v>1110608.762</v>
      </c>
      <c r="Z521" s="65">
        <f>IFS(
  B521&lt;55,
    MIN(
      IF(AA520 &gt;= VLOOKUP(YEAR(A521), Lookup!$Q:$R, 2),
        Z520 + IF(MONTH(A521)=12, Q521+W521, 0) + I521
          + AA520 + IF(MONTH(A521)=12, R521+X521, 0) - VLOOKUP(YEAR(A521), Lookup!$Q:$R, 2) + J521,
        Z520 + IF(MONTH(A521)=12, Q521+W521, 0) + I521
      ),
      VLOOKUP(YEAR(A521), Lookup!$K:$M, 3)
    ),
  B521=55,
    IF(Z520 &gt;= AD521, Z520 - AD521, 0),
  B521&gt;55, 0
)</f>
        <v>0</v>
      </c>
      <c r="AA521" s="65">
        <f>IFS(
  B521&lt;65,
    IF(AA520+J521 &lt; VLOOKUP(YEAR(A521), Lookup!$Q:$R, 2),
      AA520 + IF(MONTH(A521)=12, R520+X520, 0) + J521,
      MIN(
        AA520 + IF(MONTH(A521)=12, R520+X520, 0) + J521 ,
        VLOOKUP(YEAR(A521), Lookup!$Q:$R, 2)
      )
    ),
  B521&gt;=65,
    IF(AA520+J521 &lt; VLOOKUP(questions!$C$5, Lookup!$Q:$R, 2),
      AA520 + IF(MONTH(A521)=12, R520+X520, 0) + J521 ,
      MIN(
        AA520 + IF(MONTH(A521)=12, R520+X520, 0) + J521,
        VLOOKUP(questions!$C$5, Lookup!$Q:$R, 2)
      )
    )
)</f>
        <v>282111.0086</v>
      </c>
      <c r="AB521" s="65">
        <f t="shared" si="13"/>
        <v>1147128.78</v>
      </c>
      <c r="AC521" s="66">
        <f t="array" ref="AC521">IFS(B521&lt;66, XLOOKUP(year(A521),Lookup!$K$13:$K1000,Lookup!$L$13:$L1000,"missing",,1),B521&gt;65,XLOOKUP(questions!$C$5,Lookup!$K$13:$K1000,Lookup!$L$13:$L1000,"missing",,1))</f>
        <v>393675.3633</v>
      </c>
      <c r="AD521" s="66">
        <f t="array" ref="AD521">IFS(B521&lt;66, XLOOKUP(year(A521),Lookup!$K$13:$K1000,Lookup!$M$13:$M1000,"missing",,1),B521&gt;65, XLOOKUP(questions!$C$5,Lookup!$K$13:$K1000,Lookup!$M$13:$M1000,"missing",,1))</f>
        <v>787350.7266</v>
      </c>
      <c r="AE521" s="66">
        <f t="array" ref="AE521">IFS(B521&lt;66, XLOOKUP(year(A521),Lookup!$K$13:$K1000,Lookup!$N$13:$N1000,"missing",,1),B521&gt;65,XLOOKUP(questions!$C$5,Lookup!$K$13:$K1000,Lookup!$N$13:$N1000,"missing",,1))</f>
        <v>1574701.453</v>
      </c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</row>
    <row r="522">
      <c r="A522" s="55">
        <f t="shared" si="7"/>
        <v>61909</v>
      </c>
      <c r="B522" s="56">
        <f>round(YEARFRAC(EOMONTH(questions!$C$3, 0),A522,1),2)</f>
        <v>70.58</v>
      </c>
      <c r="C522" s="58">
        <f>IF(B522&lt;questions!$C$6,if(MONTH(A522)=1,C521*(1+questions!$C$12),C521),0)</f>
        <v>0</v>
      </c>
      <c r="D522" s="58">
        <f>IF(MONTH(A522)=12,C522*questions!$C$11,0)</f>
        <v>0</v>
      </c>
      <c r="E522" s="71">
        <f t="shared" si="2"/>
        <v>0</v>
      </c>
      <c r="F522" s="71">
        <f t="shared" si="3"/>
        <v>0</v>
      </c>
      <c r="G522" s="61">
        <f t="array" ref="G522">if(YEAR(A522)=2025,XLOOKUP(B522,Lookup!$A$3:$A$7,Lookup!$D$3:$D$7,,1)*SUM(E522:F522), XLOOKUP(B522,Lookup!$A$14:$A$18,Lookup!$D$14:$D$18,,1)*SUM(E522:F522))</f>
        <v>0</v>
      </c>
      <c r="H522" s="61">
        <f t="array" ref="H522">if(YEAR(A522)=2025,XLOOKUP(B522,Lookup!$F$3:$F$10,Lookup!$G$3:$G$10,,1)*G522, XLOOKUP(B522,Lookup!$F$14:$F$21,Lookup!$G$14:$G$21,,1)*G522)</f>
        <v>0</v>
      </c>
      <c r="I522" s="61">
        <f t="array" ref="I522">if(B522&lt;55, if(YEAR(A522)=2025,XLOOKUP(B522,Lookup!$F$3:$F$10,Lookup!$H$3:$H$10,,1)*G522, XLOOKUP(B522,Lookup!$F$14:$F$21,Lookup!$H$14:$H$21,,1)*G522),0)</f>
        <v>0</v>
      </c>
      <c r="J522" s="61">
        <f t="array" ref="J522">if(YEAR(A522)=2025,XLOOKUP(B522,Lookup!$F$3:$F$10,Lookup!$I$3:$I$10,,1)*G522, XLOOKUP(B522,Lookup!$F$14:$F$21,Lookup!$I$14:$I$21,,1)*G522)</f>
        <v>0</v>
      </c>
      <c r="K522" s="61">
        <f t="array" ref="K522">if(B522&gt;54, if(YEAR(A522)=2025,XLOOKUP(B522,Lookup!$F$3:$F$10,Lookup!$H$3:$H$10,,1)*G522, XLOOKUP(B522,Lookup!$F$14:$F$21,Lookup!$H$14:$H$21,,1)*G522),0)</f>
        <v>0</v>
      </c>
      <c r="L522" s="62">
        <f>IF(and(A522&lt;questions!$C$19,questions!$C$18="yes"),questions!$C$20,0)</f>
        <v>0</v>
      </c>
      <c r="M522" s="63">
        <f>(Y521+H522)*Lookup!A$26/12</f>
        <v>2313.768255</v>
      </c>
      <c r="N522" s="63">
        <f>if(B522&lt;55, (Z521+I522)*Lookup!B$26/12, (AB521+K522)*Lookup!B$26/12)</f>
        <v>3823.762601</v>
      </c>
      <c r="O522" s="63">
        <f>(AA521+J522)*Lookup!C$26/12</f>
        <v>940.3700287</v>
      </c>
      <c r="P522" s="63">
        <f t="shared" si="8"/>
        <v>13882.60953</v>
      </c>
      <c r="Q522" s="63">
        <f t="shared" si="4"/>
        <v>22942.5756</v>
      </c>
      <c r="R522" s="63">
        <f t="shared" si="5"/>
        <v>5642.220172</v>
      </c>
      <c r="S522" s="64">
        <f t="shared" si="9"/>
        <v>33.33333333</v>
      </c>
      <c r="T522" s="64">
        <f t="shared" si="10"/>
        <v>41.66666667</v>
      </c>
      <c r="U522" s="64">
        <f t="shared" si="11"/>
        <v>0</v>
      </c>
      <c r="V522" s="64">
        <f t="shared" ref="V522:X522" si="530">IF(year($A522)=year($A521), V521+S522, S522)</f>
        <v>200</v>
      </c>
      <c r="W522" s="64">
        <f t="shared" si="530"/>
        <v>250</v>
      </c>
      <c r="X522" s="64">
        <f t="shared" si="530"/>
        <v>0</v>
      </c>
      <c r="Y522" s="65">
        <f>IFS(
  B522&lt;55,
    MAX(
      Y521 + IF(MONTH(A522)=12, P522+V522, 0) + H522 - L522
      + MAX(0,
          IF(AA521 &gt;= VLOOKUP(YEAR(A522), Lookup!$Q:$R, 2),
            Z521 + IF(MONTH(A522)=12, Q522+W522, 0) + I522
              + AA521 + IF(MONTH(A522)=12, R522+X522, 0)
              - VLOOKUP(YEAR(A522), Lookup!$Q:$R, 2) + J522,
            Z521 + IF(MONTH(A522)=12, Q522+W522, 0) + I522
          ) - VLOOKUP(YEAR(A522), Lookup!$K:$M, 3)
        ),
    0),
  B522=55,
    IF(Z521&gt;=AD522,
      MAX(Y521 + IF(MONTH(A522)=12, P522+V522, 0) + H522 - L522, 0),
      MAX(MAX(0, Y521-(AD522-Z521)) + IF(MONTH(A522)=12, P522+V522, 0) + H522 - L522, 0)
    ),
  B522&gt;55,
    IF(AB521&gt;=$AH$7,
      MAX(Y521 + IF(MONTH(A522)=12, P522+V522, 0) + H522 - L522 + K522 + Z521, 0),
      MAX(Y521 + IF(MONTH(A522)=12, P522+V522, 0) + H522 - L522, 0)
    )
)</f>
        <v>1110608.762</v>
      </c>
      <c r="Z522" s="65">
        <f>IFS(
  B522&lt;55,
    MIN(
      IF(AA521 &gt;= VLOOKUP(YEAR(A522), Lookup!$Q:$R, 2),
        Z521 + IF(MONTH(A522)=12, Q522+W522, 0) + I522
          + AA521 + IF(MONTH(A522)=12, R522+X522, 0) - VLOOKUP(YEAR(A522), Lookup!$Q:$R, 2) + J522,
        Z521 + IF(MONTH(A522)=12, Q522+W522, 0) + I522
      ),
      VLOOKUP(YEAR(A522), Lookup!$K:$M, 3)
    ),
  B522=55,
    IF(Z521 &gt;= AD522, Z521 - AD522, 0),
  B522&gt;55, 0
)</f>
        <v>0</v>
      </c>
      <c r="AA522" s="65">
        <f>IFS(
  B522&lt;65,
    IF(AA521+J522 &lt; VLOOKUP(YEAR(A522), Lookup!$Q:$R, 2),
      AA521 + IF(MONTH(A522)=12, R521+X521, 0) + J522,
      MIN(
        AA521 + IF(MONTH(A522)=12, R521+X521, 0) + J522 ,
        VLOOKUP(YEAR(A522), Lookup!$Q:$R, 2)
      )
    ),
  B522&gt;=65,
    IF(AA521+J522 &lt; VLOOKUP(questions!$C$5, Lookup!$Q:$R, 2),
      AA521 + IF(MONTH(A522)=12, R521+X521, 0) + J522 ,
      MIN(
        AA521 + IF(MONTH(A522)=12, R521+X521, 0) + J522,
        VLOOKUP(questions!$C$5, Lookup!$Q:$R, 2)
      )
    )
)</f>
        <v>282111.0086</v>
      </c>
      <c r="AB522" s="65">
        <f t="shared" si="13"/>
        <v>1147128.78</v>
      </c>
      <c r="AC522" s="66">
        <f t="array" ref="AC522">IFS(B522&lt;66, XLOOKUP(year(A522),Lookup!$K$13:$K1000,Lookup!$L$13:$L1000,"missing",,1),B522&gt;65,XLOOKUP(questions!$C$5,Lookup!$K$13:$K1000,Lookup!$L$13:$L1000,"missing",,1))</f>
        <v>393675.3633</v>
      </c>
      <c r="AD522" s="66">
        <f t="array" ref="AD522">IFS(B522&lt;66, XLOOKUP(year(A522),Lookup!$K$13:$K1000,Lookup!$M$13:$M1000,"missing",,1),B522&gt;65, XLOOKUP(questions!$C$5,Lookup!$K$13:$K1000,Lookup!$M$13:$M1000,"missing",,1))</f>
        <v>787350.7266</v>
      </c>
      <c r="AE522" s="66">
        <f t="array" ref="AE522">IFS(B522&lt;66, XLOOKUP(year(A522),Lookup!$K$13:$K1000,Lookup!$N$13:$N1000,"missing",,1),B522&gt;65,XLOOKUP(questions!$C$5,Lookup!$K$13:$K1000,Lookup!$N$13:$N1000,"missing",,1))</f>
        <v>1574701.453</v>
      </c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</row>
    <row r="523">
      <c r="A523" s="55">
        <f t="shared" si="7"/>
        <v>61940</v>
      </c>
      <c r="B523" s="56">
        <f>round(YEARFRAC(EOMONTH(questions!$C$3, 0),A523,1),2)</f>
        <v>70.67</v>
      </c>
      <c r="C523" s="58">
        <f>IF(B523&lt;questions!$C$6,if(MONTH(A523)=1,C522*(1+questions!$C$12),C522),0)</f>
        <v>0</v>
      </c>
      <c r="D523" s="58">
        <f>IF(MONTH(A523)=12,C523*questions!$C$11,0)</f>
        <v>0</v>
      </c>
      <c r="E523" s="71">
        <f t="shared" si="2"/>
        <v>0</v>
      </c>
      <c r="F523" s="71">
        <f t="shared" si="3"/>
        <v>0</v>
      </c>
      <c r="G523" s="61">
        <f t="array" ref="G523">if(YEAR(A523)=2025,XLOOKUP(B523,Lookup!$A$3:$A$7,Lookup!$D$3:$D$7,,1)*SUM(E523:F523), XLOOKUP(B523,Lookup!$A$14:$A$18,Lookup!$D$14:$D$18,,1)*SUM(E523:F523))</f>
        <v>0</v>
      </c>
      <c r="H523" s="61">
        <f t="array" ref="H523">if(YEAR(A523)=2025,XLOOKUP(B523,Lookup!$F$3:$F$10,Lookup!$G$3:$G$10,,1)*G523, XLOOKUP(B523,Lookup!$F$14:$F$21,Lookup!$G$14:$G$21,,1)*G523)</f>
        <v>0</v>
      </c>
      <c r="I523" s="61">
        <f t="array" ref="I523">if(B523&lt;55, if(YEAR(A523)=2025,XLOOKUP(B523,Lookup!$F$3:$F$10,Lookup!$H$3:$H$10,,1)*G523, XLOOKUP(B523,Lookup!$F$14:$F$21,Lookup!$H$14:$H$21,,1)*G523),0)</f>
        <v>0</v>
      </c>
      <c r="J523" s="61">
        <f t="array" ref="J523">if(YEAR(A523)=2025,XLOOKUP(B523,Lookup!$F$3:$F$10,Lookup!$I$3:$I$10,,1)*G523, XLOOKUP(B523,Lookup!$F$14:$F$21,Lookup!$I$14:$I$21,,1)*G523)</f>
        <v>0</v>
      </c>
      <c r="K523" s="61">
        <f t="array" ref="K523">if(B523&gt;54, if(YEAR(A523)=2025,XLOOKUP(B523,Lookup!$F$3:$F$10,Lookup!$H$3:$H$10,,1)*G523, XLOOKUP(B523,Lookup!$F$14:$F$21,Lookup!$H$14:$H$21,,1)*G523),0)</f>
        <v>0</v>
      </c>
      <c r="L523" s="62">
        <f>IF(and(A523&lt;questions!$C$19,questions!$C$18="yes"),questions!$C$20,0)</f>
        <v>0</v>
      </c>
      <c r="M523" s="63">
        <f>(Y522+H523)*Lookup!A$26/12</f>
        <v>2313.768255</v>
      </c>
      <c r="N523" s="63">
        <f>if(B523&lt;55, (Z522+I523)*Lookup!B$26/12, (AB522+K523)*Lookup!B$26/12)</f>
        <v>3823.762601</v>
      </c>
      <c r="O523" s="63">
        <f>(AA522+J523)*Lookup!C$26/12</f>
        <v>940.3700287</v>
      </c>
      <c r="P523" s="63">
        <f t="shared" si="8"/>
        <v>16196.37778</v>
      </c>
      <c r="Q523" s="63">
        <f t="shared" si="4"/>
        <v>26766.3382</v>
      </c>
      <c r="R523" s="63">
        <f t="shared" si="5"/>
        <v>6582.590201</v>
      </c>
      <c r="S523" s="64">
        <f t="shared" si="9"/>
        <v>33.33333333</v>
      </c>
      <c r="T523" s="64">
        <f t="shared" si="10"/>
        <v>41.66666667</v>
      </c>
      <c r="U523" s="64">
        <f t="shared" si="11"/>
        <v>0</v>
      </c>
      <c r="V523" s="64">
        <f t="shared" ref="V523:X523" si="531">IF(year($A523)=year($A522), V522+S523, S523)</f>
        <v>233.3333333</v>
      </c>
      <c r="W523" s="64">
        <f t="shared" si="531"/>
        <v>291.6666667</v>
      </c>
      <c r="X523" s="64">
        <f t="shared" si="531"/>
        <v>0</v>
      </c>
      <c r="Y523" s="65">
        <f>IFS(
  B523&lt;55,
    MAX(
      Y522 + IF(MONTH(A523)=12, P523+V523, 0) + H523 - L523
      + MAX(0,
          IF(AA522 &gt;= VLOOKUP(YEAR(A523), Lookup!$Q:$R, 2),
            Z522 + IF(MONTH(A523)=12, Q523+W523, 0) + I523
              + AA522 + IF(MONTH(A523)=12, R523+X523, 0)
              - VLOOKUP(YEAR(A523), Lookup!$Q:$R, 2) + J523,
            Z522 + IF(MONTH(A523)=12, Q523+W523, 0) + I523
          ) - VLOOKUP(YEAR(A523), Lookup!$K:$M, 3)
        ),
    0),
  B523=55,
    IF(Z522&gt;=AD523,
      MAX(Y522 + IF(MONTH(A523)=12, P523+V523, 0) + H523 - L523, 0),
      MAX(MAX(0, Y522-(AD523-Z522)) + IF(MONTH(A523)=12, P523+V523, 0) + H523 - L523, 0)
    ),
  B523&gt;55,
    IF(AB522&gt;=$AH$7,
      MAX(Y522 + IF(MONTH(A523)=12, P523+V523, 0) + H523 - L523 + K523 + Z522, 0),
      MAX(Y522 + IF(MONTH(A523)=12, P523+V523, 0) + H523 - L523, 0)
    )
)</f>
        <v>1110608.762</v>
      </c>
      <c r="Z523" s="65">
        <f>IFS(
  B523&lt;55,
    MIN(
      IF(AA522 &gt;= VLOOKUP(YEAR(A523), Lookup!$Q:$R, 2),
        Z522 + IF(MONTH(A523)=12, Q523+W523, 0) + I523
          + AA522 + IF(MONTH(A523)=12, R523+X523, 0) - VLOOKUP(YEAR(A523), Lookup!$Q:$R, 2) + J523,
        Z522 + IF(MONTH(A523)=12, Q523+W523, 0) + I523
      ),
      VLOOKUP(YEAR(A523), Lookup!$K:$M, 3)
    ),
  B523=55,
    IF(Z522 &gt;= AD523, Z522 - AD523, 0),
  B523&gt;55, 0
)</f>
        <v>0</v>
      </c>
      <c r="AA523" s="65">
        <f>IFS(
  B523&lt;65,
    IF(AA522+J523 &lt; VLOOKUP(YEAR(A523), Lookup!$Q:$R, 2),
      AA522 + IF(MONTH(A523)=12, R522+X522, 0) + J523,
      MIN(
        AA522 + IF(MONTH(A523)=12, R522+X522, 0) + J523 ,
        VLOOKUP(YEAR(A523), Lookup!$Q:$R, 2)
      )
    ),
  B523&gt;=65,
    IF(AA522+J523 &lt; VLOOKUP(questions!$C$5, Lookup!$Q:$R, 2),
      AA522 + IF(MONTH(A523)=12, R522+X522, 0) + J523 ,
      MIN(
        AA522 + IF(MONTH(A523)=12, R522+X522, 0) + J523,
        VLOOKUP(questions!$C$5, Lookup!$Q:$R, 2)
      )
    )
)</f>
        <v>282111.0086</v>
      </c>
      <c r="AB523" s="65">
        <f t="shared" si="13"/>
        <v>1147128.78</v>
      </c>
      <c r="AC523" s="66">
        <f t="array" ref="AC523">IFS(B523&lt;66, XLOOKUP(year(A523),Lookup!$K$13:$K1000,Lookup!$L$13:$L1000,"missing",,1),B523&gt;65,XLOOKUP(questions!$C$5,Lookup!$K$13:$K1000,Lookup!$L$13:$L1000,"missing",,1))</f>
        <v>393675.3633</v>
      </c>
      <c r="AD523" s="66">
        <f t="array" ref="AD523">IFS(B523&lt;66, XLOOKUP(year(A523),Lookup!$K$13:$K1000,Lookup!$M$13:$M1000,"missing",,1),B523&gt;65, XLOOKUP(questions!$C$5,Lookup!$K$13:$K1000,Lookup!$M$13:$M1000,"missing",,1))</f>
        <v>787350.7266</v>
      </c>
      <c r="AE523" s="66">
        <f t="array" ref="AE523">IFS(B523&lt;66, XLOOKUP(year(A523),Lookup!$K$13:$K1000,Lookup!$N$13:$N1000,"missing",,1),B523&gt;65,XLOOKUP(questions!$C$5,Lookup!$K$13:$K1000,Lookup!$N$13:$N1000,"missing",,1))</f>
        <v>1574701.453</v>
      </c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</row>
    <row r="524">
      <c r="A524" s="55">
        <f t="shared" si="7"/>
        <v>61971</v>
      </c>
      <c r="B524" s="56">
        <f>round(YEARFRAC(EOMONTH(questions!$C$3, 0),A524,1),2)</f>
        <v>70.75</v>
      </c>
      <c r="C524" s="58">
        <f>IF(B524&lt;questions!$C$6,if(MONTH(A524)=1,C523*(1+questions!$C$12),C523),0)</f>
        <v>0</v>
      </c>
      <c r="D524" s="58">
        <f>IF(MONTH(A524)=12,C524*questions!$C$11,0)</f>
        <v>0</v>
      </c>
      <c r="E524" s="71">
        <f t="shared" si="2"/>
        <v>0</v>
      </c>
      <c r="F524" s="71">
        <f t="shared" si="3"/>
        <v>0</v>
      </c>
      <c r="G524" s="61">
        <f t="array" ref="G524">if(YEAR(A524)=2025,XLOOKUP(B524,Lookup!$A$3:$A$7,Lookup!$D$3:$D$7,,1)*SUM(E524:F524), XLOOKUP(B524,Lookup!$A$14:$A$18,Lookup!$D$14:$D$18,,1)*SUM(E524:F524))</f>
        <v>0</v>
      </c>
      <c r="H524" s="61">
        <f t="array" ref="H524">if(YEAR(A524)=2025,XLOOKUP(B524,Lookup!$F$3:$F$10,Lookup!$G$3:$G$10,,1)*G524, XLOOKUP(B524,Lookup!$F$14:$F$21,Lookup!$G$14:$G$21,,1)*G524)</f>
        <v>0</v>
      </c>
      <c r="I524" s="61">
        <f t="array" ref="I524">if(B524&lt;55, if(YEAR(A524)=2025,XLOOKUP(B524,Lookup!$F$3:$F$10,Lookup!$H$3:$H$10,,1)*G524, XLOOKUP(B524,Lookup!$F$14:$F$21,Lookup!$H$14:$H$21,,1)*G524),0)</f>
        <v>0</v>
      </c>
      <c r="J524" s="61">
        <f t="array" ref="J524">if(YEAR(A524)=2025,XLOOKUP(B524,Lookup!$F$3:$F$10,Lookup!$I$3:$I$10,,1)*G524, XLOOKUP(B524,Lookup!$F$14:$F$21,Lookup!$I$14:$I$21,,1)*G524)</f>
        <v>0</v>
      </c>
      <c r="K524" s="61">
        <f t="array" ref="K524">if(B524&gt;54, if(YEAR(A524)=2025,XLOOKUP(B524,Lookup!$F$3:$F$10,Lookup!$H$3:$H$10,,1)*G524, XLOOKUP(B524,Lookup!$F$14:$F$21,Lookup!$H$14:$H$21,,1)*G524),0)</f>
        <v>0</v>
      </c>
      <c r="L524" s="62">
        <f>IF(and(A524&lt;questions!$C$19,questions!$C$18="yes"),questions!$C$20,0)</f>
        <v>0</v>
      </c>
      <c r="M524" s="63">
        <f>(Y523+H524)*Lookup!A$26/12</f>
        <v>2313.768255</v>
      </c>
      <c r="N524" s="63">
        <f>if(B524&lt;55, (Z523+I524)*Lookup!B$26/12, (AB523+K524)*Lookup!B$26/12)</f>
        <v>3823.762601</v>
      </c>
      <c r="O524" s="63">
        <f>(AA523+J524)*Lookup!C$26/12</f>
        <v>940.3700287</v>
      </c>
      <c r="P524" s="63">
        <f t="shared" si="8"/>
        <v>18510.14604</v>
      </c>
      <c r="Q524" s="63">
        <f t="shared" si="4"/>
        <v>30590.1008</v>
      </c>
      <c r="R524" s="63">
        <f t="shared" si="5"/>
        <v>7522.960229</v>
      </c>
      <c r="S524" s="64">
        <f t="shared" si="9"/>
        <v>33.33333333</v>
      </c>
      <c r="T524" s="64">
        <f t="shared" si="10"/>
        <v>41.66666667</v>
      </c>
      <c r="U524" s="64">
        <f t="shared" si="11"/>
        <v>0</v>
      </c>
      <c r="V524" s="64">
        <f t="shared" ref="V524:X524" si="532">IF(year($A524)=year($A523), V523+S524, S524)</f>
        <v>266.6666667</v>
      </c>
      <c r="W524" s="64">
        <f t="shared" si="532"/>
        <v>333.3333333</v>
      </c>
      <c r="X524" s="64">
        <f t="shared" si="532"/>
        <v>0</v>
      </c>
      <c r="Y524" s="65">
        <f>IFS(
  B524&lt;55,
    MAX(
      Y523 + IF(MONTH(A524)=12, P524+V524, 0) + H524 - L524
      + MAX(0,
          IF(AA523 &gt;= VLOOKUP(YEAR(A524), Lookup!$Q:$R, 2),
            Z523 + IF(MONTH(A524)=12, Q524+W524, 0) + I524
              + AA523 + IF(MONTH(A524)=12, R524+X524, 0)
              - VLOOKUP(YEAR(A524), Lookup!$Q:$R, 2) + J524,
            Z523 + IF(MONTH(A524)=12, Q524+W524, 0) + I524
          ) - VLOOKUP(YEAR(A524), Lookup!$K:$M, 3)
        ),
    0),
  B524=55,
    IF(Z523&gt;=AD524,
      MAX(Y523 + IF(MONTH(A524)=12, P524+V524, 0) + H524 - L524, 0),
      MAX(MAX(0, Y523-(AD524-Z523)) + IF(MONTH(A524)=12, P524+V524, 0) + H524 - L524, 0)
    ),
  B524&gt;55,
    IF(AB523&gt;=$AH$7,
      MAX(Y523 + IF(MONTH(A524)=12, P524+V524, 0) + H524 - L524 + K524 + Z523, 0),
      MAX(Y523 + IF(MONTH(A524)=12, P524+V524, 0) + H524 - L524, 0)
    )
)</f>
        <v>1110608.762</v>
      </c>
      <c r="Z524" s="65">
        <f>IFS(
  B524&lt;55,
    MIN(
      IF(AA523 &gt;= VLOOKUP(YEAR(A524), Lookup!$Q:$R, 2),
        Z523 + IF(MONTH(A524)=12, Q524+W524, 0) + I524
          + AA523 + IF(MONTH(A524)=12, R524+X524, 0) - VLOOKUP(YEAR(A524), Lookup!$Q:$R, 2) + J524,
        Z523 + IF(MONTH(A524)=12, Q524+W524, 0) + I524
      ),
      VLOOKUP(YEAR(A524), Lookup!$K:$M, 3)
    ),
  B524=55,
    IF(Z523 &gt;= AD524, Z523 - AD524, 0),
  B524&gt;55, 0
)</f>
        <v>0</v>
      </c>
      <c r="AA524" s="65">
        <f>IFS(
  B524&lt;65,
    IF(AA523+J524 &lt; VLOOKUP(YEAR(A524), Lookup!$Q:$R, 2),
      AA523 + IF(MONTH(A524)=12, R523+X523, 0) + J524,
      MIN(
        AA523 + IF(MONTH(A524)=12, R523+X523, 0) + J524 ,
        VLOOKUP(YEAR(A524), Lookup!$Q:$R, 2)
      )
    ),
  B524&gt;=65,
    IF(AA523+J524 &lt; VLOOKUP(questions!$C$5, Lookup!$Q:$R, 2),
      AA523 + IF(MONTH(A524)=12, R523+X523, 0) + J524 ,
      MIN(
        AA523 + IF(MONTH(A524)=12, R523+X523, 0) + J524,
        VLOOKUP(questions!$C$5, Lookup!$Q:$R, 2)
      )
    )
)</f>
        <v>282111.0086</v>
      </c>
      <c r="AB524" s="65">
        <f t="shared" si="13"/>
        <v>1147128.78</v>
      </c>
      <c r="AC524" s="66">
        <f t="array" ref="AC524">IFS(B524&lt;66, XLOOKUP(year(A524),Lookup!$K$13:$K1000,Lookup!$L$13:$L1000,"missing",,1),B524&gt;65,XLOOKUP(questions!$C$5,Lookup!$K$13:$K1000,Lookup!$L$13:$L1000,"missing",,1))</f>
        <v>393675.3633</v>
      </c>
      <c r="AD524" s="66">
        <f t="array" ref="AD524">IFS(B524&lt;66, XLOOKUP(year(A524),Lookup!$K$13:$K1000,Lookup!$M$13:$M1000,"missing",,1),B524&gt;65, XLOOKUP(questions!$C$5,Lookup!$K$13:$K1000,Lookup!$M$13:$M1000,"missing",,1))</f>
        <v>787350.7266</v>
      </c>
      <c r="AE524" s="66">
        <f t="array" ref="AE524">IFS(B524&lt;66, XLOOKUP(year(A524),Lookup!$K$13:$K1000,Lookup!$N$13:$N1000,"missing",,1),B524&gt;65,XLOOKUP(questions!$C$5,Lookup!$K$13:$K1000,Lookup!$N$13:$N1000,"missing",,1))</f>
        <v>1574701.453</v>
      </c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</row>
    <row r="525">
      <c r="A525" s="55">
        <f t="shared" si="7"/>
        <v>62001</v>
      </c>
      <c r="B525" s="56">
        <f>round(YEARFRAC(EOMONTH(questions!$C$3, 0),A525,1),2)</f>
        <v>70.83</v>
      </c>
      <c r="C525" s="58">
        <f>IF(B525&lt;questions!$C$6,if(MONTH(A525)=1,C524*(1+questions!$C$12),C524),0)</f>
        <v>0</v>
      </c>
      <c r="D525" s="58">
        <f>IF(MONTH(A525)=12,C525*questions!$C$11,0)</f>
        <v>0</v>
      </c>
      <c r="E525" s="71">
        <f t="shared" si="2"/>
        <v>0</v>
      </c>
      <c r="F525" s="71">
        <f t="shared" si="3"/>
        <v>0</v>
      </c>
      <c r="G525" s="61">
        <f t="array" ref="G525">if(YEAR(A525)=2025,XLOOKUP(B525,Lookup!$A$3:$A$7,Lookup!$D$3:$D$7,,1)*SUM(E525:F525), XLOOKUP(B525,Lookup!$A$14:$A$18,Lookup!$D$14:$D$18,,1)*SUM(E525:F525))</f>
        <v>0</v>
      </c>
      <c r="H525" s="61">
        <f t="array" ref="H525">if(YEAR(A525)=2025,XLOOKUP(B525,Lookup!$F$3:$F$10,Lookup!$G$3:$G$10,,1)*G525, XLOOKUP(B525,Lookup!$F$14:$F$21,Lookup!$G$14:$G$21,,1)*G525)</f>
        <v>0</v>
      </c>
      <c r="I525" s="61">
        <f t="array" ref="I525">if(B525&lt;55, if(YEAR(A525)=2025,XLOOKUP(B525,Lookup!$F$3:$F$10,Lookup!$H$3:$H$10,,1)*G525, XLOOKUP(B525,Lookup!$F$14:$F$21,Lookup!$H$14:$H$21,,1)*G525),0)</f>
        <v>0</v>
      </c>
      <c r="J525" s="61">
        <f t="array" ref="J525">if(YEAR(A525)=2025,XLOOKUP(B525,Lookup!$F$3:$F$10,Lookup!$I$3:$I$10,,1)*G525, XLOOKUP(B525,Lookup!$F$14:$F$21,Lookup!$I$14:$I$21,,1)*G525)</f>
        <v>0</v>
      </c>
      <c r="K525" s="61">
        <f t="array" ref="K525">if(B525&gt;54, if(YEAR(A525)=2025,XLOOKUP(B525,Lookup!$F$3:$F$10,Lookup!$H$3:$H$10,,1)*G525, XLOOKUP(B525,Lookup!$F$14:$F$21,Lookup!$H$14:$H$21,,1)*G525),0)</f>
        <v>0</v>
      </c>
      <c r="L525" s="62">
        <f>IF(and(A525&lt;questions!$C$19,questions!$C$18="yes"),questions!$C$20,0)</f>
        <v>0</v>
      </c>
      <c r="M525" s="63">
        <f>(Y524+H525)*Lookup!A$26/12</f>
        <v>2313.768255</v>
      </c>
      <c r="N525" s="63">
        <f>if(B525&lt;55, (Z524+I525)*Lookup!B$26/12, (AB524+K525)*Lookup!B$26/12)</f>
        <v>3823.762601</v>
      </c>
      <c r="O525" s="63">
        <f>(AA524+J525)*Lookup!C$26/12</f>
        <v>940.3700287</v>
      </c>
      <c r="P525" s="63">
        <f t="shared" si="8"/>
        <v>20823.91429</v>
      </c>
      <c r="Q525" s="63">
        <f t="shared" si="4"/>
        <v>34413.8634</v>
      </c>
      <c r="R525" s="63">
        <f t="shared" si="5"/>
        <v>8463.330258</v>
      </c>
      <c r="S525" s="64">
        <f t="shared" si="9"/>
        <v>33.33333333</v>
      </c>
      <c r="T525" s="64">
        <f t="shared" si="10"/>
        <v>41.66666667</v>
      </c>
      <c r="U525" s="64">
        <f t="shared" si="11"/>
        <v>0</v>
      </c>
      <c r="V525" s="64">
        <f t="shared" ref="V525:X525" si="533">IF(year($A525)=year($A524), V524+S525, S525)</f>
        <v>300</v>
      </c>
      <c r="W525" s="64">
        <f t="shared" si="533"/>
        <v>375</v>
      </c>
      <c r="X525" s="64">
        <f t="shared" si="533"/>
        <v>0</v>
      </c>
      <c r="Y525" s="65">
        <f>IFS(
  B525&lt;55,
    MAX(
      Y524 + IF(MONTH(A525)=12, P525+V525, 0) + H525 - L525
      + MAX(0,
          IF(AA524 &gt;= VLOOKUP(YEAR(A525), Lookup!$Q:$R, 2),
            Z524 + IF(MONTH(A525)=12, Q525+W525, 0) + I525
              + AA524 + IF(MONTH(A525)=12, R525+X525, 0)
              - VLOOKUP(YEAR(A525), Lookup!$Q:$R, 2) + J525,
            Z524 + IF(MONTH(A525)=12, Q525+W525, 0) + I525
          ) - VLOOKUP(YEAR(A525), Lookup!$K:$M, 3)
        ),
    0),
  B525=55,
    IF(Z524&gt;=AD525,
      MAX(Y524 + IF(MONTH(A525)=12, P525+V525, 0) + H525 - L525, 0),
      MAX(MAX(0, Y524-(AD525-Z524)) + IF(MONTH(A525)=12, P525+V525, 0) + H525 - L525, 0)
    ),
  B525&gt;55,
    IF(AB524&gt;=$AH$7,
      MAX(Y524 + IF(MONTH(A525)=12, P525+V525, 0) + H525 - L525 + K525 + Z524, 0),
      MAX(Y524 + IF(MONTH(A525)=12, P525+V525, 0) + H525 - L525, 0)
    )
)</f>
        <v>1110608.762</v>
      </c>
      <c r="Z525" s="65">
        <f>IFS(
  B525&lt;55,
    MIN(
      IF(AA524 &gt;= VLOOKUP(YEAR(A525), Lookup!$Q:$R, 2),
        Z524 + IF(MONTH(A525)=12, Q525+W525, 0) + I525
          + AA524 + IF(MONTH(A525)=12, R525+X525, 0) - VLOOKUP(YEAR(A525), Lookup!$Q:$R, 2) + J525,
        Z524 + IF(MONTH(A525)=12, Q525+W525, 0) + I525
      ),
      VLOOKUP(YEAR(A525), Lookup!$K:$M, 3)
    ),
  B525=55,
    IF(Z524 &gt;= AD525, Z524 - AD525, 0),
  B525&gt;55, 0
)</f>
        <v>0</v>
      </c>
      <c r="AA525" s="65">
        <f>IFS(
  B525&lt;65,
    IF(AA524+J525 &lt; VLOOKUP(YEAR(A525), Lookup!$Q:$R, 2),
      AA524 + IF(MONTH(A525)=12, R524+X524, 0) + J525,
      MIN(
        AA524 + IF(MONTH(A525)=12, R524+X524, 0) + J525 ,
        VLOOKUP(YEAR(A525), Lookup!$Q:$R, 2)
      )
    ),
  B525&gt;=65,
    IF(AA524+J525 &lt; VLOOKUP(questions!$C$5, Lookup!$Q:$R, 2),
      AA524 + IF(MONTH(A525)=12, R524+X524, 0) + J525 ,
      MIN(
        AA524 + IF(MONTH(A525)=12, R524+X524, 0) + J525,
        VLOOKUP(questions!$C$5, Lookup!$Q:$R, 2)
      )
    )
)</f>
        <v>282111.0086</v>
      </c>
      <c r="AB525" s="65">
        <f t="shared" si="13"/>
        <v>1147128.78</v>
      </c>
      <c r="AC525" s="66">
        <f t="array" ref="AC525">IFS(B525&lt;66, XLOOKUP(year(A525),Lookup!$K$13:$K1000,Lookup!$L$13:$L1000,"missing",,1),B525&gt;65,XLOOKUP(questions!$C$5,Lookup!$K$13:$K1000,Lookup!$L$13:$L1000,"missing",,1))</f>
        <v>393675.3633</v>
      </c>
      <c r="AD525" s="66">
        <f t="array" ref="AD525">IFS(B525&lt;66, XLOOKUP(year(A525),Lookup!$K$13:$K1000,Lookup!$M$13:$M1000,"missing",,1),B525&gt;65, XLOOKUP(questions!$C$5,Lookup!$K$13:$K1000,Lookup!$M$13:$M1000,"missing",,1))</f>
        <v>787350.7266</v>
      </c>
      <c r="AE525" s="66">
        <f t="array" ref="AE525">IFS(B525&lt;66, XLOOKUP(year(A525),Lookup!$K$13:$K1000,Lookup!$N$13:$N1000,"missing",,1),B525&gt;65,XLOOKUP(questions!$C$5,Lookup!$K$13:$K1000,Lookup!$N$13:$N1000,"missing",,1))</f>
        <v>1574701.453</v>
      </c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  <c r="AQ525" s="37"/>
    </row>
    <row r="526">
      <c r="A526" s="55">
        <f t="shared" si="7"/>
        <v>62032</v>
      </c>
      <c r="B526" s="56">
        <f>round(YEARFRAC(EOMONTH(questions!$C$3, 0),A526,1),2)</f>
        <v>70.92</v>
      </c>
      <c r="C526" s="58">
        <f>IF(B526&lt;questions!$C$6,if(MONTH(A526)=1,C525*(1+questions!$C$12),C525),0)</f>
        <v>0</v>
      </c>
      <c r="D526" s="58">
        <f>IF(MONTH(A526)=12,C526*questions!$C$11,0)</f>
        <v>0</v>
      </c>
      <c r="E526" s="71">
        <f t="shared" si="2"/>
        <v>0</v>
      </c>
      <c r="F526" s="71">
        <f t="shared" si="3"/>
        <v>0</v>
      </c>
      <c r="G526" s="61">
        <f t="array" ref="G526">if(YEAR(A526)=2025,XLOOKUP(B526,Lookup!$A$3:$A$7,Lookup!$D$3:$D$7,,1)*SUM(E526:F526), XLOOKUP(B526,Lookup!$A$14:$A$18,Lookup!$D$14:$D$18,,1)*SUM(E526:F526))</f>
        <v>0</v>
      </c>
      <c r="H526" s="61">
        <f t="array" ref="H526">if(YEAR(A526)=2025,XLOOKUP(B526,Lookup!$F$3:$F$10,Lookup!$G$3:$G$10,,1)*G526, XLOOKUP(B526,Lookup!$F$14:$F$21,Lookup!$G$14:$G$21,,1)*G526)</f>
        <v>0</v>
      </c>
      <c r="I526" s="61">
        <f t="array" ref="I526">if(B526&lt;55, if(YEAR(A526)=2025,XLOOKUP(B526,Lookup!$F$3:$F$10,Lookup!$H$3:$H$10,,1)*G526, XLOOKUP(B526,Lookup!$F$14:$F$21,Lookup!$H$14:$H$21,,1)*G526),0)</f>
        <v>0</v>
      </c>
      <c r="J526" s="61">
        <f t="array" ref="J526">if(YEAR(A526)=2025,XLOOKUP(B526,Lookup!$F$3:$F$10,Lookup!$I$3:$I$10,,1)*G526, XLOOKUP(B526,Lookup!$F$14:$F$21,Lookup!$I$14:$I$21,,1)*G526)</f>
        <v>0</v>
      </c>
      <c r="K526" s="61">
        <f t="array" ref="K526">if(B526&gt;54, if(YEAR(A526)=2025,XLOOKUP(B526,Lookup!$F$3:$F$10,Lookup!$H$3:$H$10,,1)*G526, XLOOKUP(B526,Lookup!$F$14:$F$21,Lookup!$H$14:$H$21,,1)*G526),0)</f>
        <v>0</v>
      </c>
      <c r="L526" s="62">
        <f>IF(and(A526&lt;questions!$C$19,questions!$C$18="yes"),questions!$C$20,0)</f>
        <v>0</v>
      </c>
      <c r="M526" s="63">
        <f>(Y525+H526)*Lookup!A$26/12</f>
        <v>2313.768255</v>
      </c>
      <c r="N526" s="63">
        <f>if(B526&lt;55, (Z525+I526)*Lookup!B$26/12, (AB525+K526)*Lookup!B$26/12)</f>
        <v>3823.762601</v>
      </c>
      <c r="O526" s="63">
        <f>(AA525+J526)*Lookup!C$26/12</f>
        <v>940.3700287</v>
      </c>
      <c r="P526" s="63">
        <f t="shared" si="8"/>
        <v>23137.68255</v>
      </c>
      <c r="Q526" s="63">
        <f t="shared" si="4"/>
        <v>38237.62601</v>
      </c>
      <c r="R526" s="63">
        <f t="shared" si="5"/>
        <v>9403.700287</v>
      </c>
      <c r="S526" s="64">
        <f t="shared" si="9"/>
        <v>33.33333333</v>
      </c>
      <c r="T526" s="64">
        <f t="shared" si="10"/>
        <v>41.66666667</v>
      </c>
      <c r="U526" s="64">
        <f t="shared" si="11"/>
        <v>0</v>
      </c>
      <c r="V526" s="64">
        <f t="shared" ref="V526:X526" si="534">IF(year($A526)=year($A525), V525+S526, S526)</f>
        <v>333.3333333</v>
      </c>
      <c r="W526" s="64">
        <f t="shared" si="534"/>
        <v>416.6666667</v>
      </c>
      <c r="X526" s="64">
        <f t="shared" si="534"/>
        <v>0</v>
      </c>
      <c r="Y526" s="65">
        <f>IFS(
  B526&lt;55,
    MAX(
      Y525 + IF(MONTH(A526)=12, P526+V526, 0) + H526 - L526
      + MAX(0,
          IF(AA525 &gt;= VLOOKUP(YEAR(A526), Lookup!$Q:$R, 2),
            Z525 + IF(MONTH(A526)=12, Q526+W526, 0) + I526
              + AA525 + IF(MONTH(A526)=12, R526+X526, 0)
              - VLOOKUP(YEAR(A526), Lookup!$Q:$R, 2) + J526,
            Z525 + IF(MONTH(A526)=12, Q526+W526, 0) + I526
          ) - VLOOKUP(YEAR(A526), Lookup!$K:$M, 3)
        ),
    0),
  B526=55,
    IF(Z525&gt;=AD526,
      MAX(Y525 + IF(MONTH(A526)=12, P526+V526, 0) + H526 - L526, 0),
      MAX(MAX(0, Y525-(AD526-Z525)) + IF(MONTH(A526)=12, P526+V526, 0) + H526 - L526, 0)
    ),
  B526&gt;55,
    IF(AB525&gt;=$AH$7,
      MAX(Y525 + IF(MONTH(A526)=12, P526+V526, 0) + H526 - L526 + K526 + Z525, 0),
      MAX(Y525 + IF(MONTH(A526)=12, P526+V526, 0) + H526 - L526, 0)
    )
)</f>
        <v>1110608.762</v>
      </c>
      <c r="Z526" s="65">
        <f>IFS(
  B526&lt;55,
    MIN(
      IF(AA525 &gt;= VLOOKUP(YEAR(A526), Lookup!$Q:$R, 2),
        Z525 + IF(MONTH(A526)=12, Q526+W526, 0) + I526
          + AA525 + IF(MONTH(A526)=12, R526+X526, 0) - VLOOKUP(YEAR(A526), Lookup!$Q:$R, 2) + J526,
        Z525 + IF(MONTH(A526)=12, Q526+W526, 0) + I526
      ),
      VLOOKUP(YEAR(A526), Lookup!$K:$M, 3)
    ),
  B526=55,
    IF(Z525 &gt;= AD526, Z525 - AD526, 0),
  B526&gt;55, 0
)</f>
        <v>0</v>
      </c>
      <c r="AA526" s="65">
        <f>IFS(
  B526&lt;65,
    IF(AA525+J526 &lt; VLOOKUP(YEAR(A526), Lookup!$Q:$R, 2),
      AA525 + IF(MONTH(A526)=12, R525+X525, 0) + J526,
      MIN(
        AA525 + IF(MONTH(A526)=12, R525+X525, 0) + J526 ,
        VLOOKUP(YEAR(A526), Lookup!$Q:$R, 2)
      )
    ),
  B526&gt;=65,
    IF(AA525+J526 &lt; VLOOKUP(questions!$C$5, Lookup!$Q:$R, 2),
      AA525 + IF(MONTH(A526)=12, R525+X525, 0) + J526 ,
      MIN(
        AA525 + IF(MONTH(A526)=12, R525+X525, 0) + J526,
        VLOOKUP(questions!$C$5, Lookup!$Q:$R, 2)
      )
    )
)</f>
        <v>282111.0086</v>
      </c>
      <c r="AB526" s="65">
        <f t="shared" si="13"/>
        <v>1147128.78</v>
      </c>
      <c r="AC526" s="66">
        <f t="array" ref="AC526">IFS(B526&lt;66, XLOOKUP(year(A526),Lookup!$K$13:$K1000,Lookup!$L$13:$L1000,"missing",,1),B526&gt;65,XLOOKUP(questions!$C$5,Lookup!$K$13:$K1000,Lookup!$L$13:$L1000,"missing",,1))</f>
        <v>393675.3633</v>
      </c>
      <c r="AD526" s="66">
        <f t="array" ref="AD526">IFS(B526&lt;66, XLOOKUP(year(A526),Lookup!$K$13:$K1000,Lookup!$M$13:$M1000,"missing",,1),B526&gt;65, XLOOKUP(questions!$C$5,Lookup!$K$13:$K1000,Lookup!$M$13:$M1000,"missing",,1))</f>
        <v>787350.7266</v>
      </c>
      <c r="AE526" s="66">
        <f t="array" ref="AE526">IFS(B526&lt;66, XLOOKUP(year(A526),Lookup!$K$13:$K1000,Lookup!$N$13:$N1000,"missing",,1),B526&gt;65,XLOOKUP(questions!$C$5,Lookup!$K$13:$K1000,Lookup!$N$13:$N1000,"missing",,1))</f>
        <v>1574701.453</v>
      </c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  <c r="AQ526" s="37"/>
    </row>
    <row r="527">
      <c r="A527" s="55">
        <f t="shared" si="7"/>
        <v>62062</v>
      </c>
      <c r="B527" s="56">
        <f>round(YEARFRAC(EOMONTH(questions!$C$3, 0),A527,1),2)</f>
        <v>71</v>
      </c>
      <c r="C527" s="58">
        <f>IF(B527&lt;questions!$C$6,if(MONTH(A527)=1,C526*(1+questions!$C$12),C526),0)</f>
        <v>0</v>
      </c>
      <c r="D527" s="58">
        <f>IF(MONTH(A527)=12,C527*questions!$C$11,0)</f>
        <v>0</v>
      </c>
      <c r="E527" s="71">
        <f t="shared" si="2"/>
        <v>0</v>
      </c>
      <c r="F527" s="71">
        <f t="shared" si="3"/>
        <v>0</v>
      </c>
      <c r="G527" s="61">
        <f t="array" ref="G527">if(YEAR(A527)=2025,XLOOKUP(B527,Lookup!$A$3:$A$7,Lookup!$D$3:$D$7,,1)*SUM(E527:F527), XLOOKUP(B527,Lookup!$A$14:$A$18,Lookup!$D$14:$D$18,,1)*SUM(E527:F527))</f>
        <v>0</v>
      </c>
      <c r="H527" s="61">
        <f t="array" ref="H527">if(YEAR(A527)=2025,XLOOKUP(B527,Lookup!$F$3:$F$10,Lookup!$G$3:$G$10,,1)*G527, XLOOKUP(B527,Lookup!$F$14:$F$21,Lookup!$G$14:$G$21,,1)*G527)</f>
        <v>0</v>
      </c>
      <c r="I527" s="61">
        <f t="array" ref="I527">if(B527&lt;55, if(YEAR(A527)=2025,XLOOKUP(B527,Lookup!$F$3:$F$10,Lookup!$H$3:$H$10,,1)*G527, XLOOKUP(B527,Lookup!$F$14:$F$21,Lookup!$H$14:$H$21,,1)*G527),0)</f>
        <v>0</v>
      </c>
      <c r="J527" s="61">
        <f t="array" ref="J527">if(YEAR(A527)=2025,XLOOKUP(B527,Lookup!$F$3:$F$10,Lookup!$I$3:$I$10,,1)*G527, XLOOKUP(B527,Lookup!$F$14:$F$21,Lookup!$I$14:$I$21,,1)*G527)</f>
        <v>0</v>
      </c>
      <c r="K527" s="61">
        <f t="array" ref="K527">if(B527&gt;54, if(YEAR(A527)=2025,XLOOKUP(B527,Lookup!$F$3:$F$10,Lookup!$H$3:$H$10,,1)*G527, XLOOKUP(B527,Lookup!$F$14:$F$21,Lookup!$H$14:$H$21,,1)*G527),0)</f>
        <v>0</v>
      </c>
      <c r="L527" s="62">
        <f>IF(and(A527&lt;questions!$C$19,questions!$C$18="yes"),questions!$C$20,0)</f>
        <v>0</v>
      </c>
      <c r="M527" s="63">
        <f>(Y526+H527)*Lookup!A$26/12</f>
        <v>2313.768255</v>
      </c>
      <c r="N527" s="63">
        <f>if(B527&lt;55, (Z526+I527)*Lookup!B$26/12, (AB526+K527)*Lookup!B$26/12)</f>
        <v>3823.762601</v>
      </c>
      <c r="O527" s="63">
        <f>(AA526+J527)*Lookup!C$26/12</f>
        <v>940.3700287</v>
      </c>
      <c r="P527" s="63">
        <f t="shared" si="8"/>
        <v>25451.4508</v>
      </c>
      <c r="Q527" s="63">
        <f t="shared" si="4"/>
        <v>42061.38861</v>
      </c>
      <c r="R527" s="63">
        <f t="shared" si="5"/>
        <v>10344.07032</v>
      </c>
      <c r="S527" s="64">
        <f t="shared" si="9"/>
        <v>33.33333333</v>
      </c>
      <c r="T527" s="64">
        <f t="shared" si="10"/>
        <v>41.66666667</v>
      </c>
      <c r="U527" s="64">
        <f t="shared" si="11"/>
        <v>0</v>
      </c>
      <c r="V527" s="64">
        <f t="shared" ref="V527:X527" si="535">IF(year($A527)=year($A526), V526+S527, S527)</f>
        <v>366.6666667</v>
      </c>
      <c r="W527" s="64">
        <f t="shared" si="535"/>
        <v>458.3333333</v>
      </c>
      <c r="X527" s="64">
        <f t="shared" si="535"/>
        <v>0</v>
      </c>
      <c r="Y527" s="65">
        <f>IFS(
  B527&lt;55,
    MAX(
      Y526 + IF(MONTH(A527)=12, P527+V527, 0) + H527 - L527
      + MAX(0,
          IF(AA526 &gt;= VLOOKUP(YEAR(A527), Lookup!$Q:$R, 2),
            Z526 + IF(MONTH(A527)=12, Q527+W527, 0) + I527
              + AA526 + IF(MONTH(A527)=12, R527+X527, 0)
              - VLOOKUP(YEAR(A527), Lookup!$Q:$R, 2) + J527,
            Z526 + IF(MONTH(A527)=12, Q527+W527, 0) + I527
          ) - VLOOKUP(YEAR(A527), Lookup!$K:$M, 3)
        ),
    0),
  B527=55,
    IF(Z526&gt;=AD527,
      MAX(Y526 + IF(MONTH(A527)=12, P527+V527, 0) + H527 - L527, 0),
      MAX(MAX(0, Y526-(AD527-Z526)) + IF(MONTH(A527)=12, P527+V527, 0) + H527 - L527, 0)
    ),
  B527&gt;55,
    IF(AB526&gt;=$AH$7,
      MAX(Y526 + IF(MONTH(A527)=12, P527+V527, 0) + H527 - L527 + K527 + Z526, 0),
      MAX(Y526 + IF(MONTH(A527)=12, P527+V527, 0) + H527 - L527, 0)
    )
)</f>
        <v>1110608.762</v>
      </c>
      <c r="Z527" s="65">
        <f>IFS(
  B527&lt;55,
    MIN(
      IF(AA526 &gt;= VLOOKUP(YEAR(A527), Lookup!$Q:$R, 2),
        Z526 + IF(MONTH(A527)=12, Q527+W527, 0) + I527
          + AA526 + IF(MONTH(A527)=12, R527+X527, 0) - VLOOKUP(YEAR(A527), Lookup!$Q:$R, 2) + J527,
        Z526 + IF(MONTH(A527)=12, Q527+W527, 0) + I527
      ),
      VLOOKUP(YEAR(A527), Lookup!$K:$M, 3)
    ),
  B527=55,
    IF(Z526 &gt;= AD527, Z526 - AD527, 0),
  B527&gt;55, 0
)</f>
        <v>0</v>
      </c>
      <c r="AA527" s="65">
        <f>IFS(
  B527&lt;65,
    IF(AA526+J527 &lt; VLOOKUP(YEAR(A527), Lookup!$Q:$R, 2),
      AA526 + IF(MONTH(A527)=12, R526+X526, 0) + J527,
      MIN(
        AA526 + IF(MONTH(A527)=12, R526+X526, 0) + J527 ,
        VLOOKUP(YEAR(A527), Lookup!$Q:$R, 2)
      )
    ),
  B527&gt;=65,
    IF(AA526+J527 &lt; VLOOKUP(questions!$C$5, Lookup!$Q:$R, 2),
      AA526 + IF(MONTH(A527)=12, R526+X526, 0) + J527 ,
      MIN(
        AA526 + IF(MONTH(A527)=12, R526+X526, 0) + J527,
        VLOOKUP(questions!$C$5, Lookup!$Q:$R, 2)
      )
    )
)</f>
        <v>282111.0086</v>
      </c>
      <c r="AB527" s="65">
        <f t="shared" si="13"/>
        <v>1147128.78</v>
      </c>
      <c r="AC527" s="66">
        <f t="array" ref="AC527">IFS(B527&lt;66, XLOOKUP(year(A527),Lookup!$K$13:$K1000,Lookup!$L$13:$L1000,"missing",,1),B527&gt;65,XLOOKUP(questions!$C$5,Lookup!$K$13:$K1000,Lookup!$L$13:$L1000,"missing",,1))</f>
        <v>393675.3633</v>
      </c>
      <c r="AD527" s="66">
        <f t="array" ref="AD527">IFS(B527&lt;66, XLOOKUP(year(A527),Lookup!$K$13:$K1000,Lookup!$M$13:$M1000,"missing",,1),B527&gt;65, XLOOKUP(questions!$C$5,Lookup!$K$13:$K1000,Lookup!$M$13:$M1000,"missing",,1))</f>
        <v>787350.7266</v>
      </c>
      <c r="AE527" s="66">
        <f t="array" ref="AE527">IFS(B527&lt;66, XLOOKUP(year(A527),Lookup!$K$13:$K1000,Lookup!$N$13:$N1000,"missing",,1),B527&gt;65,XLOOKUP(questions!$C$5,Lookup!$K$13:$K1000,Lookup!$N$13:$N1000,"missing",,1))</f>
        <v>1574701.453</v>
      </c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</row>
    <row r="528">
      <c r="A528" s="55">
        <f t="shared" si="7"/>
        <v>62093</v>
      </c>
      <c r="B528" s="56">
        <f>round(YEARFRAC(EOMONTH(questions!$C$3, 0),A528,1),2)</f>
        <v>71.08</v>
      </c>
      <c r="C528" s="58">
        <f>IF(B528&lt;questions!$C$6,if(MONTH(A528)=1,C527*(1+questions!$C$12),C527),0)</f>
        <v>0</v>
      </c>
      <c r="D528" s="58">
        <f>IF(MONTH(A528)=12,C528*questions!$C$11,0)</f>
        <v>0</v>
      </c>
      <c r="E528" s="71">
        <f t="shared" si="2"/>
        <v>0</v>
      </c>
      <c r="F528" s="71">
        <f t="shared" si="3"/>
        <v>0</v>
      </c>
      <c r="G528" s="61">
        <f t="array" ref="G528">if(YEAR(A528)=2025,XLOOKUP(B528,Lookup!$A$3:$A$7,Lookup!$D$3:$D$7,,1)*SUM(E528:F528), XLOOKUP(B528,Lookup!$A$14:$A$18,Lookup!$D$14:$D$18,,1)*SUM(E528:F528))</f>
        <v>0</v>
      </c>
      <c r="H528" s="61">
        <f t="array" ref="H528">if(YEAR(A528)=2025,XLOOKUP(B528,Lookup!$F$3:$F$10,Lookup!$G$3:$G$10,,1)*G528, XLOOKUP(B528,Lookup!$F$14:$F$21,Lookup!$G$14:$G$21,,1)*G528)</f>
        <v>0</v>
      </c>
      <c r="I528" s="61">
        <f t="array" ref="I528">if(B528&lt;55, if(YEAR(A528)=2025,XLOOKUP(B528,Lookup!$F$3:$F$10,Lookup!$H$3:$H$10,,1)*G528, XLOOKUP(B528,Lookup!$F$14:$F$21,Lookup!$H$14:$H$21,,1)*G528),0)</f>
        <v>0</v>
      </c>
      <c r="J528" s="61">
        <f t="array" ref="J528">if(YEAR(A528)=2025,XLOOKUP(B528,Lookup!$F$3:$F$10,Lookup!$I$3:$I$10,,1)*G528, XLOOKUP(B528,Lookup!$F$14:$F$21,Lookup!$I$14:$I$21,,1)*G528)</f>
        <v>0</v>
      </c>
      <c r="K528" s="61">
        <f t="array" ref="K528">if(B528&gt;54, if(YEAR(A528)=2025,XLOOKUP(B528,Lookup!$F$3:$F$10,Lookup!$H$3:$H$10,,1)*G528, XLOOKUP(B528,Lookup!$F$14:$F$21,Lookup!$H$14:$H$21,,1)*G528),0)</f>
        <v>0</v>
      </c>
      <c r="L528" s="62">
        <f>IF(and(A528&lt;questions!$C$19,questions!$C$18="yes"),questions!$C$20,0)</f>
        <v>0</v>
      </c>
      <c r="M528" s="63">
        <f>(Y527+H528)*Lookup!A$26/12</f>
        <v>2313.768255</v>
      </c>
      <c r="N528" s="63">
        <f>if(B528&lt;55, (Z527+I528)*Lookup!B$26/12, (AB527+K528)*Lookup!B$26/12)</f>
        <v>3823.762601</v>
      </c>
      <c r="O528" s="63">
        <f>(AA527+J528)*Lookup!C$26/12</f>
        <v>940.3700287</v>
      </c>
      <c r="P528" s="63">
        <f t="shared" si="8"/>
        <v>27765.21906</v>
      </c>
      <c r="Q528" s="63">
        <f t="shared" si="4"/>
        <v>45885.15121</v>
      </c>
      <c r="R528" s="63">
        <f t="shared" si="5"/>
        <v>11284.44034</v>
      </c>
      <c r="S528" s="64">
        <f t="shared" si="9"/>
        <v>33.33333333</v>
      </c>
      <c r="T528" s="64">
        <f t="shared" si="10"/>
        <v>41.66666667</v>
      </c>
      <c r="U528" s="64">
        <f t="shared" si="11"/>
        <v>0</v>
      </c>
      <c r="V528" s="64">
        <f t="shared" ref="V528:X528" si="536">IF(year($A528)=year($A527), V527+S528, S528)</f>
        <v>400</v>
      </c>
      <c r="W528" s="64">
        <f t="shared" si="536"/>
        <v>500</v>
      </c>
      <c r="X528" s="64">
        <f t="shared" si="536"/>
        <v>0</v>
      </c>
      <c r="Y528" s="65">
        <f>IFS(
  B528&lt;55,
    MAX(
      Y527 + IF(MONTH(A528)=12, P528+V528, 0) + H528 - L528
      + MAX(0,
          IF(AA527 &gt;= VLOOKUP(YEAR(A528), Lookup!$Q:$R, 2),
            Z527 + IF(MONTH(A528)=12, Q528+W528, 0) + I528
              + AA527 + IF(MONTH(A528)=12, R528+X528, 0)
              - VLOOKUP(YEAR(A528), Lookup!$Q:$R, 2) + J528,
            Z527 + IF(MONTH(A528)=12, Q528+W528, 0) + I528
          ) - VLOOKUP(YEAR(A528), Lookup!$K:$M, 3)
        ),
    0),
  B528=55,
    IF(Z527&gt;=AD528,
      MAX(Y527 + IF(MONTH(A528)=12, P528+V528, 0) + H528 - L528, 0),
      MAX(MAX(0, Y527-(AD528-Z527)) + IF(MONTH(A528)=12, P528+V528, 0) + H528 - L528, 0)
    ),
  B528&gt;55,
    IF(AB527&gt;=$AH$7,
      MAX(Y527 + IF(MONTH(A528)=12, P528+V528, 0) + H528 - L528 + K528 + Z527, 0),
      MAX(Y527 + IF(MONTH(A528)=12, P528+V528, 0) + H528 - L528, 0)
    )
)</f>
        <v>1138773.981</v>
      </c>
      <c r="Z528" s="65">
        <f>IFS(
  B528&lt;55,
    MIN(
      IF(AA527 &gt;= VLOOKUP(YEAR(A528), Lookup!$Q:$R, 2),
        Z527 + IF(MONTH(A528)=12, Q528+W528, 0) + I528
          + AA527 + IF(MONTH(A528)=12, R528+X528, 0) - VLOOKUP(YEAR(A528), Lookup!$Q:$R, 2) + J528,
        Z527 + IF(MONTH(A528)=12, Q528+W528, 0) + I528
      ),
      VLOOKUP(YEAR(A528), Lookup!$K:$M, 3)
    ),
  B528=55,
    IF(Z527 &gt;= AD528, Z527 - AD528, 0),
  B528&gt;55, 0
)</f>
        <v>0</v>
      </c>
      <c r="AA528" s="65">
        <f>IFS(
  B528&lt;65,
    IF(AA527+J528 &lt; VLOOKUP(YEAR(A528), Lookup!$Q:$R, 2),
      AA527 + IF(MONTH(A528)=12, R527+X527, 0) + J528,
      MIN(
        AA527 + IF(MONTH(A528)=12, R527+X527, 0) + J528 ,
        VLOOKUP(YEAR(A528), Lookup!$Q:$R, 2)
      )
    ),
  B528&gt;=65,
    IF(AA527+J528 &lt; VLOOKUP(questions!$C$5, Lookup!$Q:$R, 2),
      AA527 + IF(MONTH(A528)=12, R527+X527, 0) + J528 ,
      MIN(
        AA527 + IF(MONTH(A528)=12, R527+X527, 0) + J528,
        VLOOKUP(questions!$C$5, Lookup!$Q:$R, 2)
      )
    )
)</f>
        <v>282111.0086</v>
      </c>
      <c r="AB528" s="65">
        <f t="shared" si="13"/>
        <v>1193513.931</v>
      </c>
      <c r="AC528" s="66">
        <f t="array" ref="AC528">IFS(B528&lt;66, XLOOKUP(year(A528),Lookup!$K$13:$K1000,Lookup!$L$13:$L1000,"missing",,1),B528&gt;65,XLOOKUP(questions!$C$5,Lookup!$K$13:$K1000,Lookup!$L$13:$L1000,"missing",,1))</f>
        <v>393675.3633</v>
      </c>
      <c r="AD528" s="66">
        <f t="array" ref="AD528">IFS(B528&lt;66, XLOOKUP(year(A528),Lookup!$K$13:$K1000,Lookup!$M$13:$M1000,"missing",,1),B528&gt;65, XLOOKUP(questions!$C$5,Lookup!$K$13:$K1000,Lookup!$M$13:$M1000,"missing",,1))</f>
        <v>787350.7266</v>
      </c>
      <c r="AE528" s="66">
        <f t="array" ref="AE528">IFS(B528&lt;66, XLOOKUP(year(A528),Lookup!$K$13:$K1000,Lookup!$N$13:$N1000,"missing",,1),B528&gt;65,XLOOKUP(questions!$C$5,Lookup!$K$13:$K1000,Lookup!$N$13:$N1000,"missing",,1))</f>
        <v>1574701.453</v>
      </c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</row>
    <row r="529">
      <c r="A529" s="55">
        <f t="shared" si="7"/>
        <v>62124</v>
      </c>
      <c r="B529" s="56">
        <f>round(YEARFRAC(EOMONTH(questions!$C$3, 0),A529,1),2)</f>
        <v>71.17</v>
      </c>
      <c r="C529" s="58">
        <f>IF(B529&lt;questions!$C$6,if(MONTH(A529)=1,C528*(1+questions!$C$12),C528),0)</f>
        <v>0</v>
      </c>
      <c r="D529" s="58">
        <f>IF(MONTH(A529)=12,C529*questions!$C$11,0)</f>
        <v>0</v>
      </c>
      <c r="E529" s="71">
        <f t="shared" si="2"/>
        <v>0</v>
      </c>
      <c r="F529" s="71">
        <f t="shared" si="3"/>
        <v>0</v>
      </c>
      <c r="G529" s="61">
        <f t="array" ref="G529">if(YEAR(A529)=2025,XLOOKUP(B529,Lookup!$A$3:$A$7,Lookup!$D$3:$D$7,,1)*SUM(E529:F529), XLOOKUP(B529,Lookup!$A$14:$A$18,Lookup!$D$14:$D$18,,1)*SUM(E529:F529))</f>
        <v>0</v>
      </c>
      <c r="H529" s="61">
        <f t="array" ref="H529">if(YEAR(A529)=2025,XLOOKUP(B529,Lookup!$F$3:$F$10,Lookup!$G$3:$G$10,,1)*G529, XLOOKUP(B529,Lookup!$F$14:$F$21,Lookup!$G$14:$G$21,,1)*G529)</f>
        <v>0</v>
      </c>
      <c r="I529" s="61">
        <f t="array" ref="I529">if(B529&lt;55, if(YEAR(A529)=2025,XLOOKUP(B529,Lookup!$F$3:$F$10,Lookup!$H$3:$H$10,,1)*G529, XLOOKUP(B529,Lookup!$F$14:$F$21,Lookup!$H$14:$H$21,,1)*G529),0)</f>
        <v>0</v>
      </c>
      <c r="J529" s="61">
        <f t="array" ref="J529">if(YEAR(A529)=2025,XLOOKUP(B529,Lookup!$F$3:$F$10,Lookup!$I$3:$I$10,,1)*G529, XLOOKUP(B529,Lookup!$F$14:$F$21,Lookup!$I$14:$I$21,,1)*G529)</f>
        <v>0</v>
      </c>
      <c r="K529" s="61">
        <f t="array" ref="K529">if(B529&gt;54, if(YEAR(A529)=2025,XLOOKUP(B529,Lookup!$F$3:$F$10,Lookup!$H$3:$H$10,,1)*G529, XLOOKUP(B529,Lookup!$F$14:$F$21,Lookup!$H$14:$H$21,,1)*G529),0)</f>
        <v>0</v>
      </c>
      <c r="L529" s="62">
        <f>IF(and(A529&lt;questions!$C$19,questions!$C$18="yes"),questions!$C$20,0)</f>
        <v>0</v>
      </c>
      <c r="M529" s="63">
        <f>(Y528+H529)*Lookup!A$26/12</f>
        <v>2372.445794</v>
      </c>
      <c r="N529" s="63">
        <f>if(B529&lt;55, (Z528+I529)*Lookup!B$26/12, (AB528+K529)*Lookup!B$26/12)</f>
        <v>3978.379771</v>
      </c>
      <c r="O529" s="63">
        <f>(AA528+J529)*Lookup!C$26/12</f>
        <v>940.3700287</v>
      </c>
      <c r="P529" s="63">
        <f t="shared" si="8"/>
        <v>2372.445794</v>
      </c>
      <c r="Q529" s="63">
        <f t="shared" si="4"/>
        <v>3978.379771</v>
      </c>
      <c r="R529" s="63">
        <f t="shared" si="5"/>
        <v>940.3700287</v>
      </c>
      <c r="S529" s="64">
        <f t="shared" si="9"/>
        <v>33.33333333</v>
      </c>
      <c r="T529" s="64">
        <f t="shared" si="10"/>
        <v>41.66666667</v>
      </c>
      <c r="U529" s="64">
        <f t="shared" si="11"/>
        <v>0</v>
      </c>
      <c r="V529" s="64">
        <f t="shared" ref="V529:X529" si="537">IF(year($A529)=year($A528), V528+S529, S529)</f>
        <v>33.33333333</v>
      </c>
      <c r="W529" s="64">
        <f t="shared" si="537"/>
        <v>41.66666667</v>
      </c>
      <c r="X529" s="64">
        <f t="shared" si="537"/>
        <v>0</v>
      </c>
      <c r="Y529" s="65">
        <f>IFS(
  B529&lt;55,
    MAX(
      Y528 + IF(MONTH(A529)=12, P529+V529, 0) + H529 - L529
      + MAX(0,
          IF(AA528 &gt;= VLOOKUP(YEAR(A529), Lookup!$Q:$R, 2),
            Z528 + IF(MONTH(A529)=12, Q529+W529, 0) + I529
              + AA528 + IF(MONTH(A529)=12, R529+X529, 0)
              - VLOOKUP(YEAR(A529), Lookup!$Q:$R, 2) + J529,
            Z528 + IF(MONTH(A529)=12, Q529+W529, 0) + I529
          ) - VLOOKUP(YEAR(A529), Lookup!$K:$M, 3)
        ),
    0),
  B529=55,
    IF(Z528&gt;=AD529,
      MAX(Y528 + IF(MONTH(A529)=12, P529+V529, 0) + H529 - L529, 0),
      MAX(MAX(0, Y528-(AD529-Z528)) + IF(MONTH(A529)=12, P529+V529, 0) + H529 - L529, 0)
    ),
  B529&gt;55,
    IF(AB528&gt;=$AH$7,
      MAX(Y528 + IF(MONTH(A529)=12, P529+V529, 0) + H529 - L529 + K529 + Z528, 0),
      MAX(Y528 + IF(MONTH(A529)=12, P529+V529, 0) + H529 - L529, 0)
    )
)</f>
        <v>1138773.981</v>
      </c>
      <c r="Z529" s="65">
        <f>IFS(
  B529&lt;55,
    MIN(
      IF(AA528 &gt;= VLOOKUP(YEAR(A529), Lookup!$Q:$R, 2),
        Z528 + IF(MONTH(A529)=12, Q529+W529, 0) + I529
          + AA528 + IF(MONTH(A529)=12, R529+X529, 0) - VLOOKUP(YEAR(A529), Lookup!$Q:$R, 2) + J529,
        Z528 + IF(MONTH(A529)=12, Q529+W529, 0) + I529
      ),
      VLOOKUP(YEAR(A529), Lookup!$K:$M, 3)
    ),
  B529=55,
    IF(Z528 &gt;= AD529, Z528 - AD529, 0),
  B529&gt;55, 0
)</f>
        <v>0</v>
      </c>
      <c r="AA529" s="65">
        <f>IFS(
  B529&lt;65,
    IF(AA528+J529 &lt; VLOOKUP(YEAR(A529), Lookup!$Q:$R, 2),
      AA528 + IF(MONTH(A529)=12, R528+X528, 0) + J529,
      MIN(
        AA528 + IF(MONTH(A529)=12, R528+X528, 0) + J529 ,
        VLOOKUP(YEAR(A529), Lookup!$Q:$R, 2)
      )
    ),
  B529&gt;=65,
    IF(AA528+J529 &lt; VLOOKUP(questions!$C$5, Lookup!$Q:$R, 2),
      AA528 + IF(MONTH(A529)=12, R528+X528, 0) + J529 ,
      MIN(
        AA528 + IF(MONTH(A529)=12, R528+X528, 0) + J529,
        VLOOKUP(questions!$C$5, Lookup!$Q:$R, 2)
      )
    )
)</f>
        <v>282111.0086</v>
      </c>
      <c r="AB529" s="65">
        <f t="shared" si="13"/>
        <v>1193513.931</v>
      </c>
      <c r="AC529" s="66">
        <f t="array" ref="AC529">IFS(B529&lt;66, XLOOKUP(year(A529),Lookup!$K$13:$K1000,Lookup!$L$13:$L1000,"missing",,1),B529&gt;65,XLOOKUP(questions!$C$5,Lookup!$K$13:$K1000,Lookup!$L$13:$L1000,"missing",,1))</f>
        <v>393675.3633</v>
      </c>
      <c r="AD529" s="66">
        <f t="array" ref="AD529">IFS(B529&lt;66, XLOOKUP(year(A529),Lookup!$K$13:$K1000,Lookup!$M$13:$M1000,"missing",,1),B529&gt;65, XLOOKUP(questions!$C$5,Lookup!$K$13:$K1000,Lookup!$M$13:$M1000,"missing",,1))</f>
        <v>787350.7266</v>
      </c>
      <c r="AE529" s="66">
        <f t="array" ref="AE529">IFS(B529&lt;66, XLOOKUP(year(A529),Lookup!$K$13:$K1000,Lookup!$N$13:$N1000,"missing",,1),B529&gt;65,XLOOKUP(questions!$C$5,Lookup!$K$13:$K1000,Lookup!$N$13:$N1000,"missing",,1))</f>
        <v>1574701.453</v>
      </c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  <c r="AQ529" s="37"/>
    </row>
    <row r="530">
      <c r="A530" s="55">
        <f t="shared" si="7"/>
        <v>62152</v>
      </c>
      <c r="B530" s="56">
        <f>round(YEARFRAC(EOMONTH(questions!$C$3, 0),A530,1),2)</f>
        <v>71.25</v>
      </c>
      <c r="C530" s="58">
        <f>IF(B530&lt;questions!$C$6,if(MONTH(A530)=1,C529*(1+questions!$C$12),C529),0)</f>
        <v>0</v>
      </c>
      <c r="D530" s="58">
        <f>IF(MONTH(A530)=12,C530*questions!$C$11,0)</f>
        <v>0</v>
      </c>
      <c r="E530" s="71">
        <f t="shared" si="2"/>
        <v>0</v>
      </c>
      <c r="F530" s="71">
        <f t="shared" si="3"/>
        <v>0</v>
      </c>
      <c r="G530" s="61">
        <f t="array" ref="G530">if(YEAR(A530)=2025,XLOOKUP(B530,Lookup!$A$3:$A$7,Lookup!$D$3:$D$7,,1)*SUM(E530:F530), XLOOKUP(B530,Lookup!$A$14:$A$18,Lookup!$D$14:$D$18,,1)*SUM(E530:F530))</f>
        <v>0</v>
      </c>
      <c r="H530" s="61">
        <f t="array" ref="H530">if(YEAR(A530)=2025,XLOOKUP(B530,Lookup!$F$3:$F$10,Lookup!$G$3:$G$10,,1)*G530, XLOOKUP(B530,Lookup!$F$14:$F$21,Lookup!$G$14:$G$21,,1)*G530)</f>
        <v>0</v>
      </c>
      <c r="I530" s="61">
        <f t="array" ref="I530">if(B530&lt;55, if(YEAR(A530)=2025,XLOOKUP(B530,Lookup!$F$3:$F$10,Lookup!$H$3:$H$10,,1)*G530, XLOOKUP(B530,Lookup!$F$14:$F$21,Lookup!$H$14:$H$21,,1)*G530),0)</f>
        <v>0</v>
      </c>
      <c r="J530" s="61">
        <f t="array" ref="J530">if(YEAR(A530)=2025,XLOOKUP(B530,Lookup!$F$3:$F$10,Lookup!$I$3:$I$10,,1)*G530, XLOOKUP(B530,Lookup!$F$14:$F$21,Lookup!$I$14:$I$21,,1)*G530)</f>
        <v>0</v>
      </c>
      <c r="K530" s="61">
        <f t="array" ref="K530">if(B530&gt;54, if(YEAR(A530)=2025,XLOOKUP(B530,Lookup!$F$3:$F$10,Lookup!$H$3:$H$10,,1)*G530, XLOOKUP(B530,Lookup!$F$14:$F$21,Lookup!$H$14:$H$21,,1)*G530),0)</f>
        <v>0</v>
      </c>
      <c r="L530" s="62">
        <f>IF(and(A530&lt;questions!$C$19,questions!$C$18="yes"),questions!$C$20,0)</f>
        <v>0</v>
      </c>
      <c r="M530" s="63">
        <f>(Y529+H530)*Lookup!A$26/12</f>
        <v>2372.445794</v>
      </c>
      <c r="N530" s="63">
        <f>if(B530&lt;55, (Z529+I530)*Lookup!B$26/12, (AB529+K530)*Lookup!B$26/12)</f>
        <v>3978.379771</v>
      </c>
      <c r="O530" s="63">
        <f>(AA529+J530)*Lookup!C$26/12</f>
        <v>940.3700287</v>
      </c>
      <c r="P530" s="63">
        <f t="shared" si="8"/>
        <v>4744.891589</v>
      </c>
      <c r="Q530" s="63">
        <f t="shared" si="4"/>
        <v>7956.759542</v>
      </c>
      <c r="R530" s="63">
        <f t="shared" si="5"/>
        <v>1880.740057</v>
      </c>
      <c r="S530" s="64">
        <f t="shared" si="9"/>
        <v>33.33333333</v>
      </c>
      <c r="T530" s="64">
        <f t="shared" si="10"/>
        <v>41.66666667</v>
      </c>
      <c r="U530" s="64">
        <f t="shared" si="11"/>
        <v>0</v>
      </c>
      <c r="V530" s="64">
        <f t="shared" ref="V530:X530" si="538">IF(year($A530)=year($A529), V529+S530, S530)</f>
        <v>66.66666667</v>
      </c>
      <c r="W530" s="64">
        <f t="shared" si="538"/>
        <v>83.33333333</v>
      </c>
      <c r="X530" s="64">
        <f t="shared" si="538"/>
        <v>0</v>
      </c>
      <c r="Y530" s="65">
        <f>IFS(
  B530&lt;55,
    MAX(
      Y529 + IF(MONTH(A530)=12, P530+V530, 0) + H530 - L530
      + MAX(0,
          IF(AA529 &gt;= VLOOKUP(YEAR(A530), Lookup!$Q:$R, 2),
            Z529 + IF(MONTH(A530)=12, Q530+W530, 0) + I530
              + AA529 + IF(MONTH(A530)=12, R530+X530, 0)
              - VLOOKUP(YEAR(A530), Lookup!$Q:$R, 2) + J530,
            Z529 + IF(MONTH(A530)=12, Q530+W530, 0) + I530
          ) - VLOOKUP(YEAR(A530), Lookup!$K:$M, 3)
        ),
    0),
  B530=55,
    IF(Z529&gt;=AD530,
      MAX(Y529 + IF(MONTH(A530)=12, P530+V530, 0) + H530 - L530, 0),
      MAX(MAX(0, Y529-(AD530-Z529)) + IF(MONTH(A530)=12, P530+V530, 0) + H530 - L530, 0)
    ),
  B530&gt;55,
    IF(AB529&gt;=$AH$7,
      MAX(Y529 + IF(MONTH(A530)=12, P530+V530, 0) + H530 - L530 + K530 + Z529, 0),
      MAX(Y529 + IF(MONTH(A530)=12, P530+V530, 0) + H530 - L530, 0)
    )
)</f>
        <v>1138773.981</v>
      </c>
      <c r="Z530" s="65">
        <f>IFS(
  B530&lt;55,
    MIN(
      IF(AA529 &gt;= VLOOKUP(YEAR(A530), Lookup!$Q:$R, 2),
        Z529 + IF(MONTH(A530)=12, Q530+W530, 0) + I530
          + AA529 + IF(MONTH(A530)=12, R530+X530, 0) - VLOOKUP(YEAR(A530), Lookup!$Q:$R, 2) + J530,
        Z529 + IF(MONTH(A530)=12, Q530+W530, 0) + I530
      ),
      VLOOKUP(YEAR(A530), Lookup!$K:$M, 3)
    ),
  B530=55,
    IF(Z529 &gt;= AD530, Z529 - AD530, 0),
  B530&gt;55, 0
)</f>
        <v>0</v>
      </c>
      <c r="AA530" s="65">
        <f>IFS(
  B530&lt;65,
    IF(AA529+J530 &lt; VLOOKUP(YEAR(A530), Lookup!$Q:$R, 2),
      AA529 + IF(MONTH(A530)=12, R529+X529, 0) + J530,
      MIN(
        AA529 + IF(MONTH(A530)=12, R529+X529, 0) + J530 ,
        VLOOKUP(YEAR(A530), Lookup!$Q:$R, 2)
      )
    ),
  B530&gt;=65,
    IF(AA529+J530 &lt; VLOOKUP(questions!$C$5, Lookup!$Q:$R, 2),
      AA529 + IF(MONTH(A530)=12, R529+X529, 0) + J530 ,
      MIN(
        AA529 + IF(MONTH(A530)=12, R529+X529, 0) + J530,
        VLOOKUP(questions!$C$5, Lookup!$Q:$R, 2)
      )
    )
)</f>
        <v>282111.0086</v>
      </c>
      <c r="AB530" s="65">
        <f t="shared" si="13"/>
        <v>1193513.931</v>
      </c>
      <c r="AC530" s="66">
        <f t="array" ref="AC530">IFS(B530&lt;66, XLOOKUP(year(A530),Lookup!$K$13:$K1000,Lookup!$L$13:$L1000,"missing",,1),B530&gt;65,XLOOKUP(questions!$C$5,Lookup!$K$13:$K1000,Lookup!$L$13:$L1000,"missing",,1))</f>
        <v>393675.3633</v>
      </c>
      <c r="AD530" s="66">
        <f t="array" ref="AD530">IFS(B530&lt;66, XLOOKUP(year(A530),Lookup!$K$13:$K1000,Lookup!$M$13:$M1000,"missing",,1),B530&gt;65, XLOOKUP(questions!$C$5,Lookup!$K$13:$K1000,Lookup!$M$13:$M1000,"missing",,1))</f>
        <v>787350.7266</v>
      </c>
      <c r="AE530" s="66">
        <f t="array" ref="AE530">IFS(B530&lt;66, XLOOKUP(year(A530),Lookup!$K$13:$K1000,Lookup!$N$13:$N1000,"missing",,1),B530&gt;65,XLOOKUP(questions!$C$5,Lookup!$K$13:$K1000,Lookup!$N$13:$N1000,"missing",,1))</f>
        <v>1574701.453</v>
      </c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7"/>
      <c r="AQ530" s="37"/>
    </row>
    <row r="531">
      <c r="A531" s="55">
        <f t="shared" si="7"/>
        <v>62183</v>
      </c>
      <c r="B531" s="56">
        <f>round(YEARFRAC(EOMONTH(questions!$C$3, 0),A531,1),2)</f>
        <v>71.33</v>
      </c>
      <c r="C531" s="58">
        <f>IF(B531&lt;questions!$C$6,if(MONTH(A531)=1,C530*(1+questions!$C$12),C530),0)</f>
        <v>0</v>
      </c>
      <c r="D531" s="58">
        <f>IF(MONTH(A531)=12,C531*questions!$C$11,0)</f>
        <v>0</v>
      </c>
      <c r="E531" s="71">
        <f t="shared" si="2"/>
        <v>0</v>
      </c>
      <c r="F531" s="71">
        <f t="shared" si="3"/>
        <v>0</v>
      </c>
      <c r="G531" s="61">
        <f t="array" ref="G531">if(YEAR(A531)=2025,XLOOKUP(B531,Lookup!$A$3:$A$7,Lookup!$D$3:$D$7,,1)*SUM(E531:F531), XLOOKUP(B531,Lookup!$A$14:$A$18,Lookup!$D$14:$D$18,,1)*SUM(E531:F531))</f>
        <v>0</v>
      </c>
      <c r="H531" s="61">
        <f t="array" ref="H531">if(YEAR(A531)=2025,XLOOKUP(B531,Lookup!$F$3:$F$10,Lookup!$G$3:$G$10,,1)*G531, XLOOKUP(B531,Lookup!$F$14:$F$21,Lookup!$G$14:$G$21,,1)*G531)</f>
        <v>0</v>
      </c>
      <c r="I531" s="61">
        <f t="array" ref="I531">if(B531&lt;55, if(YEAR(A531)=2025,XLOOKUP(B531,Lookup!$F$3:$F$10,Lookup!$H$3:$H$10,,1)*G531, XLOOKUP(B531,Lookup!$F$14:$F$21,Lookup!$H$14:$H$21,,1)*G531),0)</f>
        <v>0</v>
      </c>
      <c r="J531" s="61">
        <f t="array" ref="J531">if(YEAR(A531)=2025,XLOOKUP(B531,Lookup!$F$3:$F$10,Lookup!$I$3:$I$10,,1)*G531, XLOOKUP(B531,Lookup!$F$14:$F$21,Lookup!$I$14:$I$21,,1)*G531)</f>
        <v>0</v>
      </c>
      <c r="K531" s="61">
        <f t="array" ref="K531">if(B531&gt;54, if(YEAR(A531)=2025,XLOOKUP(B531,Lookup!$F$3:$F$10,Lookup!$H$3:$H$10,,1)*G531, XLOOKUP(B531,Lookup!$F$14:$F$21,Lookup!$H$14:$H$21,,1)*G531),0)</f>
        <v>0</v>
      </c>
      <c r="L531" s="62">
        <f>IF(and(A531&lt;questions!$C$19,questions!$C$18="yes"),questions!$C$20,0)</f>
        <v>0</v>
      </c>
      <c r="M531" s="63">
        <f>(Y530+H531)*Lookup!A$26/12</f>
        <v>2372.445794</v>
      </c>
      <c r="N531" s="63">
        <f>if(B531&lt;55, (Z530+I531)*Lookup!B$26/12, (AB530+K531)*Lookup!B$26/12)</f>
        <v>3978.379771</v>
      </c>
      <c r="O531" s="63">
        <f>(AA530+J531)*Lookup!C$26/12</f>
        <v>940.3700287</v>
      </c>
      <c r="P531" s="63">
        <f t="shared" si="8"/>
        <v>7117.337383</v>
      </c>
      <c r="Q531" s="63">
        <f t="shared" si="4"/>
        <v>11935.13931</v>
      </c>
      <c r="R531" s="63">
        <f t="shared" si="5"/>
        <v>2821.110086</v>
      </c>
      <c r="S531" s="64">
        <f t="shared" si="9"/>
        <v>33.33333333</v>
      </c>
      <c r="T531" s="64">
        <f t="shared" si="10"/>
        <v>41.66666667</v>
      </c>
      <c r="U531" s="64">
        <f t="shared" si="11"/>
        <v>0</v>
      </c>
      <c r="V531" s="64">
        <f t="shared" ref="V531:X531" si="539">IF(year($A531)=year($A530), V530+S531, S531)</f>
        <v>100</v>
      </c>
      <c r="W531" s="64">
        <f t="shared" si="539"/>
        <v>125</v>
      </c>
      <c r="X531" s="64">
        <f t="shared" si="539"/>
        <v>0</v>
      </c>
      <c r="Y531" s="65">
        <f>IFS(
  B531&lt;55,
    MAX(
      Y530 + IF(MONTH(A531)=12, P531+V531, 0) + H531 - L531
      + MAX(0,
          IF(AA530 &gt;= VLOOKUP(YEAR(A531), Lookup!$Q:$R, 2),
            Z530 + IF(MONTH(A531)=12, Q531+W531, 0) + I531
              + AA530 + IF(MONTH(A531)=12, R531+X531, 0)
              - VLOOKUP(YEAR(A531), Lookup!$Q:$R, 2) + J531,
            Z530 + IF(MONTH(A531)=12, Q531+W531, 0) + I531
          ) - VLOOKUP(YEAR(A531), Lookup!$K:$M, 3)
        ),
    0),
  B531=55,
    IF(Z530&gt;=AD531,
      MAX(Y530 + IF(MONTH(A531)=12, P531+V531, 0) + H531 - L531, 0),
      MAX(MAX(0, Y530-(AD531-Z530)) + IF(MONTH(A531)=12, P531+V531, 0) + H531 - L531, 0)
    ),
  B531&gt;55,
    IF(AB530&gt;=$AH$7,
      MAX(Y530 + IF(MONTH(A531)=12, P531+V531, 0) + H531 - L531 + K531 + Z530, 0),
      MAX(Y530 + IF(MONTH(A531)=12, P531+V531, 0) + H531 - L531, 0)
    )
)</f>
        <v>1138773.981</v>
      </c>
      <c r="Z531" s="65">
        <f>IFS(
  B531&lt;55,
    MIN(
      IF(AA530 &gt;= VLOOKUP(YEAR(A531), Lookup!$Q:$R, 2),
        Z530 + IF(MONTH(A531)=12, Q531+W531, 0) + I531
          + AA530 + IF(MONTH(A531)=12, R531+X531, 0) - VLOOKUP(YEAR(A531), Lookup!$Q:$R, 2) + J531,
        Z530 + IF(MONTH(A531)=12, Q531+W531, 0) + I531
      ),
      VLOOKUP(YEAR(A531), Lookup!$K:$M, 3)
    ),
  B531=55,
    IF(Z530 &gt;= AD531, Z530 - AD531, 0),
  B531&gt;55, 0
)</f>
        <v>0</v>
      </c>
      <c r="AA531" s="65">
        <f>IFS(
  B531&lt;65,
    IF(AA530+J531 &lt; VLOOKUP(YEAR(A531), Lookup!$Q:$R, 2),
      AA530 + IF(MONTH(A531)=12, R530+X530, 0) + J531,
      MIN(
        AA530 + IF(MONTH(A531)=12, R530+X530, 0) + J531 ,
        VLOOKUP(YEAR(A531), Lookup!$Q:$R, 2)
      )
    ),
  B531&gt;=65,
    IF(AA530+J531 &lt; VLOOKUP(questions!$C$5, Lookup!$Q:$R, 2),
      AA530 + IF(MONTH(A531)=12, R530+X530, 0) + J531 ,
      MIN(
        AA530 + IF(MONTH(A531)=12, R530+X530, 0) + J531,
        VLOOKUP(questions!$C$5, Lookup!$Q:$R, 2)
      )
    )
)</f>
        <v>282111.0086</v>
      </c>
      <c r="AB531" s="65">
        <f t="shared" si="13"/>
        <v>1193513.931</v>
      </c>
      <c r="AC531" s="66">
        <f t="array" ref="AC531">IFS(B531&lt;66, XLOOKUP(year(A531),Lookup!$K$13:$K1000,Lookup!$L$13:$L1000,"missing",,1),B531&gt;65,XLOOKUP(questions!$C$5,Lookup!$K$13:$K1000,Lookup!$L$13:$L1000,"missing",,1))</f>
        <v>393675.3633</v>
      </c>
      <c r="AD531" s="66">
        <f t="array" ref="AD531">IFS(B531&lt;66, XLOOKUP(year(A531),Lookup!$K$13:$K1000,Lookup!$M$13:$M1000,"missing",,1),B531&gt;65, XLOOKUP(questions!$C$5,Lookup!$K$13:$K1000,Lookup!$M$13:$M1000,"missing",,1))</f>
        <v>787350.7266</v>
      </c>
      <c r="AE531" s="66">
        <f t="array" ref="AE531">IFS(B531&lt;66, XLOOKUP(year(A531),Lookup!$K$13:$K1000,Lookup!$N$13:$N1000,"missing",,1),B531&gt;65,XLOOKUP(questions!$C$5,Lookup!$K$13:$K1000,Lookup!$N$13:$N1000,"missing",,1))</f>
        <v>1574701.453</v>
      </c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  <c r="AQ531" s="37"/>
    </row>
    <row r="532">
      <c r="A532" s="55">
        <f t="shared" si="7"/>
        <v>62213</v>
      </c>
      <c r="B532" s="56">
        <f>round(YEARFRAC(EOMONTH(questions!$C$3, 0),A532,1),2)</f>
        <v>71.41</v>
      </c>
      <c r="C532" s="58">
        <f>IF(B532&lt;questions!$C$6,if(MONTH(A532)=1,C531*(1+questions!$C$12),C531),0)</f>
        <v>0</v>
      </c>
      <c r="D532" s="58">
        <f>IF(MONTH(A532)=12,C532*questions!$C$11,0)</f>
        <v>0</v>
      </c>
      <c r="E532" s="71">
        <f t="shared" si="2"/>
        <v>0</v>
      </c>
      <c r="F532" s="71">
        <f t="shared" si="3"/>
        <v>0</v>
      </c>
      <c r="G532" s="61">
        <f t="array" ref="G532">if(YEAR(A532)=2025,XLOOKUP(B532,Lookup!$A$3:$A$7,Lookup!$D$3:$D$7,,1)*SUM(E532:F532), XLOOKUP(B532,Lookup!$A$14:$A$18,Lookup!$D$14:$D$18,,1)*SUM(E532:F532))</f>
        <v>0</v>
      </c>
      <c r="H532" s="61">
        <f t="array" ref="H532">if(YEAR(A532)=2025,XLOOKUP(B532,Lookup!$F$3:$F$10,Lookup!$G$3:$G$10,,1)*G532, XLOOKUP(B532,Lookup!$F$14:$F$21,Lookup!$G$14:$G$21,,1)*G532)</f>
        <v>0</v>
      </c>
      <c r="I532" s="61">
        <f t="array" ref="I532">if(B532&lt;55, if(YEAR(A532)=2025,XLOOKUP(B532,Lookup!$F$3:$F$10,Lookup!$H$3:$H$10,,1)*G532, XLOOKUP(B532,Lookup!$F$14:$F$21,Lookup!$H$14:$H$21,,1)*G532),0)</f>
        <v>0</v>
      </c>
      <c r="J532" s="61">
        <f t="array" ref="J532">if(YEAR(A532)=2025,XLOOKUP(B532,Lookup!$F$3:$F$10,Lookup!$I$3:$I$10,,1)*G532, XLOOKUP(B532,Lookup!$F$14:$F$21,Lookup!$I$14:$I$21,,1)*G532)</f>
        <v>0</v>
      </c>
      <c r="K532" s="61">
        <f t="array" ref="K532">if(B532&gt;54, if(YEAR(A532)=2025,XLOOKUP(B532,Lookup!$F$3:$F$10,Lookup!$H$3:$H$10,,1)*G532, XLOOKUP(B532,Lookup!$F$14:$F$21,Lookup!$H$14:$H$21,,1)*G532),0)</f>
        <v>0</v>
      </c>
      <c r="L532" s="62">
        <f>IF(and(A532&lt;questions!$C$19,questions!$C$18="yes"),questions!$C$20,0)</f>
        <v>0</v>
      </c>
      <c r="M532" s="63">
        <f>(Y531+H532)*Lookup!A$26/12</f>
        <v>2372.445794</v>
      </c>
      <c r="N532" s="63">
        <f>if(B532&lt;55, (Z531+I532)*Lookup!B$26/12, (AB531+K532)*Lookup!B$26/12)</f>
        <v>3978.379771</v>
      </c>
      <c r="O532" s="63">
        <f>(AA531+J532)*Lookup!C$26/12</f>
        <v>940.3700287</v>
      </c>
      <c r="P532" s="63">
        <f t="shared" si="8"/>
        <v>9489.783178</v>
      </c>
      <c r="Q532" s="63">
        <f t="shared" si="4"/>
        <v>15913.51908</v>
      </c>
      <c r="R532" s="63">
        <f t="shared" si="5"/>
        <v>3761.480115</v>
      </c>
      <c r="S532" s="64">
        <f t="shared" si="9"/>
        <v>33.33333333</v>
      </c>
      <c r="T532" s="64">
        <f t="shared" si="10"/>
        <v>41.66666667</v>
      </c>
      <c r="U532" s="64">
        <f t="shared" si="11"/>
        <v>0</v>
      </c>
      <c r="V532" s="64">
        <f t="shared" ref="V532:X532" si="540">IF(year($A532)=year($A531), V531+S532, S532)</f>
        <v>133.3333333</v>
      </c>
      <c r="W532" s="64">
        <f t="shared" si="540"/>
        <v>166.6666667</v>
      </c>
      <c r="X532" s="64">
        <f t="shared" si="540"/>
        <v>0</v>
      </c>
      <c r="Y532" s="65">
        <f>IFS(
  B532&lt;55,
    MAX(
      Y531 + IF(MONTH(A532)=12, P532+V532, 0) + H532 - L532
      + MAX(0,
          IF(AA531 &gt;= VLOOKUP(YEAR(A532), Lookup!$Q:$R, 2),
            Z531 + IF(MONTH(A532)=12, Q532+W532, 0) + I532
              + AA531 + IF(MONTH(A532)=12, R532+X532, 0)
              - VLOOKUP(YEAR(A532), Lookup!$Q:$R, 2) + J532,
            Z531 + IF(MONTH(A532)=12, Q532+W532, 0) + I532
          ) - VLOOKUP(YEAR(A532), Lookup!$K:$M, 3)
        ),
    0),
  B532=55,
    IF(Z531&gt;=AD532,
      MAX(Y531 + IF(MONTH(A532)=12, P532+V532, 0) + H532 - L532, 0),
      MAX(MAX(0, Y531-(AD532-Z531)) + IF(MONTH(A532)=12, P532+V532, 0) + H532 - L532, 0)
    ),
  B532&gt;55,
    IF(AB531&gt;=$AH$7,
      MAX(Y531 + IF(MONTH(A532)=12, P532+V532, 0) + H532 - L532 + K532 + Z531, 0),
      MAX(Y531 + IF(MONTH(A532)=12, P532+V532, 0) + H532 - L532, 0)
    )
)</f>
        <v>1138773.981</v>
      </c>
      <c r="Z532" s="65">
        <f>IFS(
  B532&lt;55,
    MIN(
      IF(AA531 &gt;= VLOOKUP(YEAR(A532), Lookup!$Q:$R, 2),
        Z531 + IF(MONTH(A532)=12, Q532+W532, 0) + I532
          + AA531 + IF(MONTH(A532)=12, R532+X532, 0) - VLOOKUP(YEAR(A532), Lookup!$Q:$R, 2) + J532,
        Z531 + IF(MONTH(A532)=12, Q532+W532, 0) + I532
      ),
      VLOOKUP(YEAR(A532), Lookup!$K:$M, 3)
    ),
  B532=55,
    IF(Z531 &gt;= AD532, Z531 - AD532, 0),
  B532&gt;55, 0
)</f>
        <v>0</v>
      </c>
      <c r="AA532" s="65">
        <f>IFS(
  B532&lt;65,
    IF(AA531+J532 &lt; VLOOKUP(YEAR(A532), Lookup!$Q:$R, 2),
      AA531 + IF(MONTH(A532)=12, R531+X531, 0) + J532,
      MIN(
        AA531 + IF(MONTH(A532)=12, R531+X531, 0) + J532 ,
        VLOOKUP(YEAR(A532), Lookup!$Q:$R, 2)
      )
    ),
  B532&gt;=65,
    IF(AA531+J532 &lt; VLOOKUP(questions!$C$5, Lookup!$Q:$R, 2),
      AA531 + IF(MONTH(A532)=12, R531+X531, 0) + J532 ,
      MIN(
        AA531 + IF(MONTH(A532)=12, R531+X531, 0) + J532,
        VLOOKUP(questions!$C$5, Lookup!$Q:$R, 2)
      )
    )
)</f>
        <v>282111.0086</v>
      </c>
      <c r="AB532" s="65">
        <f t="shared" si="13"/>
        <v>1193513.931</v>
      </c>
      <c r="AC532" s="66">
        <f t="array" ref="AC532">IFS(B532&lt;66, XLOOKUP(year(A532),Lookup!$K$13:$K1000,Lookup!$L$13:$L1000,"missing",,1),B532&gt;65,XLOOKUP(questions!$C$5,Lookup!$K$13:$K1000,Lookup!$L$13:$L1000,"missing",,1))</f>
        <v>393675.3633</v>
      </c>
      <c r="AD532" s="66">
        <f t="array" ref="AD532">IFS(B532&lt;66, XLOOKUP(year(A532),Lookup!$K$13:$K1000,Lookup!$M$13:$M1000,"missing",,1),B532&gt;65, XLOOKUP(questions!$C$5,Lookup!$K$13:$K1000,Lookup!$M$13:$M1000,"missing",,1))</f>
        <v>787350.7266</v>
      </c>
      <c r="AE532" s="66">
        <f t="array" ref="AE532">IFS(B532&lt;66, XLOOKUP(year(A532),Lookup!$K$13:$K1000,Lookup!$N$13:$N1000,"missing",,1),B532&gt;65,XLOOKUP(questions!$C$5,Lookup!$K$13:$K1000,Lookup!$N$13:$N1000,"missing",,1))</f>
        <v>1574701.453</v>
      </c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</row>
    <row r="533">
      <c r="A533" s="55">
        <f t="shared" si="7"/>
        <v>62244</v>
      </c>
      <c r="B533" s="56">
        <f>round(YEARFRAC(EOMONTH(questions!$C$3, 0),A533,1),2)</f>
        <v>71.5</v>
      </c>
      <c r="C533" s="58">
        <f>IF(B533&lt;questions!$C$6,if(MONTH(A533)=1,C532*(1+questions!$C$12),C532),0)</f>
        <v>0</v>
      </c>
      <c r="D533" s="58">
        <f>IF(MONTH(A533)=12,C533*questions!$C$11,0)</f>
        <v>0</v>
      </c>
      <c r="E533" s="71">
        <f t="shared" si="2"/>
        <v>0</v>
      </c>
      <c r="F533" s="71">
        <f t="shared" si="3"/>
        <v>0</v>
      </c>
      <c r="G533" s="61">
        <f t="array" ref="G533">if(YEAR(A533)=2025,XLOOKUP(B533,Lookup!$A$3:$A$7,Lookup!$D$3:$D$7,,1)*SUM(E533:F533), XLOOKUP(B533,Lookup!$A$14:$A$18,Lookup!$D$14:$D$18,,1)*SUM(E533:F533))</f>
        <v>0</v>
      </c>
      <c r="H533" s="61">
        <f t="array" ref="H533">if(YEAR(A533)=2025,XLOOKUP(B533,Lookup!$F$3:$F$10,Lookup!$G$3:$G$10,,1)*G533, XLOOKUP(B533,Lookup!$F$14:$F$21,Lookup!$G$14:$G$21,,1)*G533)</f>
        <v>0</v>
      </c>
      <c r="I533" s="61">
        <f t="array" ref="I533">if(B533&lt;55, if(YEAR(A533)=2025,XLOOKUP(B533,Lookup!$F$3:$F$10,Lookup!$H$3:$H$10,,1)*G533, XLOOKUP(B533,Lookup!$F$14:$F$21,Lookup!$H$14:$H$21,,1)*G533),0)</f>
        <v>0</v>
      </c>
      <c r="J533" s="61">
        <f t="array" ref="J533">if(YEAR(A533)=2025,XLOOKUP(B533,Lookup!$F$3:$F$10,Lookup!$I$3:$I$10,,1)*G533, XLOOKUP(B533,Lookup!$F$14:$F$21,Lookup!$I$14:$I$21,,1)*G533)</f>
        <v>0</v>
      </c>
      <c r="K533" s="61">
        <f t="array" ref="K533">if(B533&gt;54, if(YEAR(A533)=2025,XLOOKUP(B533,Lookup!$F$3:$F$10,Lookup!$H$3:$H$10,,1)*G533, XLOOKUP(B533,Lookup!$F$14:$F$21,Lookup!$H$14:$H$21,,1)*G533),0)</f>
        <v>0</v>
      </c>
      <c r="L533" s="62">
        <f>IF(and(A533&lt;questions!$C$19,questions!$C$18="yes"),questions!$C$20,0)</f>
        <v>0</v>
      </c>
      <c r="M533" s="63">
        <f>(Y532+H533)*Lookup!A$26/12</f>
        <v>2372.445794</v>
      </c>
      <c r="N533" s="63">
        <f>if(B533&lt;55, (Z532+I533)*Lookup!B$26/12, (AB532+K533)*Lookup!B$26/12)</f>
        <v>3978.379771</v>
      </c>
      <c r="O533" s="63">
        <f>(AA532+J533)*Lookup!C$26/12</f>
        <v>940.3700287</v>
      </c>
      <c r="P533" s="63">
        <f t="shared" si="8"/>
        <v>11862.22897</v>
      </c>
      <c r="Q533" s="63">
        <f t="shared" si="4"/>
        <v>19891.89886</v>
      </c>
      <c r="R533" s="63">
        <f t="shared" si="5"/>
        <v>4701.850143</v>
      </c>
      <c r="S533" s="64">
        <f t="shared" si="9"/>
        <v>33.33333333</v>
      </c>
      <c r="T533" s="64">
        <f t="shared" si="10"/>
        <v>41.66666667</v>
      </c>
      <c r="U533" s="64">
        <f t="shared" si="11"/>
        <v>0</v>
      </c>
      <c r="V533" s="64">
        <f t="shared" ref="V533:X533" si="541">IF(year($A533)=year($A532), V532+S533, S533)</f>
        <v>166.6666667</v>
      </c>
      <c r="W533" s="64">
        <f t="shared" si="541"/>
        <v>208.3333333</v>
      </c>
      <c r="X533" s="64">
        <f t="shared" si="541"/>
        <v>0</v>
      </c>
      <c r="Y533" s="65">
        <f>IFS(
  B533&lt;55,
    MAX(
      Y532 + IF(MONTH(A533)=12, P533+V533, 0) + H533 - L533
      + MAX(0,
          IF(AA532 &gt;= VLOOKUP(YEAR(A533), Lookup!$Q:$R, 2),
            Z532 + IF(MONTH(A533)=12, Q533+W533, 0) + I533
              + AA532 + IF(MONTH(A533)=12, R533+X533, 0)
              - VLOOKUP(YEAR(A533), Lookup!$Q:$R, 2) + J533,
            Z532 + IF(MONTH(A533)=12, Q533+W533, 0) + I533
          ) - VLOOKUP(YEAR(A533), Lookup!$K:$M, 3)
        ),
    0),
  B533=55,
    IF(Z532&gt;=AD533,
      MAX(Y532 + IF(MONTH(A533)=12, P533+V533, 0) + H533 - L533, 0),
      MAX(MAX(0, Y532-(AD533-Z532)) + IF(MONTH(A533)=12, P533+V533, 0) + H533 - L533, 0)
    ),
  B533&gt;55,
    IF(AB532&gt;=$AH$7,
      MAX(Y532 + IF(MONTH(A533)=12, P533+V533, 0) + H533 - L533 + K533 + Z532, 0),
      MAX(Y532 + IF(MONTH(A533)=12, P533+V533, 0) + H533 - L533, 0)
    )
)</f>
        <v>1138773.981</v>
      </c>
      <c r="Z533" s="65">
        <f>IFS(
  B533&lt;55,
    MIN(
      IF(AA532 &gt;= VLOOKUP(YEAR(A533), Lookup!$Q:$R, 2),
        Z532 + IF(MONTH(A533)=12, Q533+W533, 0) + I533
          + AA532 + IF(MONTH(A533)=12, R533+X533, 0) - VLOOKUP(YEAR(A533), Lookup!$Q:$R, 2) + J533,
        Z532 + IF(MONTH(A533)=12, Q533+W533, 0) + I533
      ),
      VLOOKUP(YEAR(A533), Lookup!$K:$M, 3)
    ),
  B533=55,
    IF(Z532 &gt;= AD533, Z532 - AD533, 0),
  B533&gt;55, 0
)</f>
        <v>0</v>
      </c>
      <c r="AA533" s="65">
        <f>IFS(
  B533&lt;65,
    IF(AA532+J533 &lt; VLOOKUP(YEAR(A533), Lookup!$Q:$R, 2),
      AA532 + IF(MONTH(A533)=12, R532+X532, 0) + J533,
      MIN(
        AA532 + IF(MONTH(A533)=12, R532+X532, 0) + J533 ,
        VLOOKUP(YEAR(A533), Lookup!$Q:$R, 2)
      )
    ),
  B533&gt;=65,
    IF(AA532+J533 &lt; VLOOKUP(questions!$C$5, Lookup!$Q:$R, 2),
      AA532 + IF(MONTH(A533)=12, R532+X532, 0) + J533 ,
      MIN(
        AA532 + IF(MONTH(A533)=12, R532+X532, 0) + J533,
        VLOOKUP(questions!$C$5, Lookup!$Q:$R, 2)
      )
    )
)</f>
        <v>282111.0086</v>
      </c>
      <c r="AB533" s="65">
        <f t="shared" si="13"/>
        <v>1193513.931</v>
      </c>
      <c r="AC533" s="66">
        <f t="array" ref="AC533">IFS(B533&lt;66, XLOOKUP(year(A533),Lookup!$K$13:$K1000,Lookup!$L$13:$L1000,"missing",,1),B533&gt;65,XLOOKUP(questions!$C$5,Lookup!$K$13:$K1000,Lookup!$L$13:$L1000,"missing",,1))</f>
        <v>393675.3633</v>
      </c>
      <c r="AD533" s="66">
        <f t="array" ref="AD533">IFS(B533&lt;66, XLOOKUP(year(A533),Lookup!$K$13:$K1000,Lookup!$M$13:$M1000,"missing",,1),B533&gt;65, XLOOKUP(questions!$C$5,Lookup!$K$13:$K1000,Lookup!$M$13:$M1000,"missing",,1))</f>
        <v>787350.7266</v>
      </c>
      <c r="AE533" s="66">
        <f t="array" ref="AE533">IFS(B533&lt;66, XLOOKUP(year(A533),Lookup!$K$13:$K1000,Lookup!$N$13:$N1000,"missing",,1),B533&gt;65,XLOOKUP(questions!$C$5,Lookup!$K$13:$K1000,Lookup!$N$13:$N1000,"missing",,1))</f>
        <v>1574701.453</v>
      </c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7"/>
      <c r="AQ533" s="37"/>
    </row>
    <row r="534">
      <c r="A534" s="55">
        <f t="shared" si="7"/>
        <v>62274</v>
      </c>
      <c r="B534" s="56">
        <f>round(YEARFRAC(EOMONTH(questions!$C$3, 0),A534,1),2)</f>
        <v>71.58</v>
      </c>
      <c r="C534" s="58">
        <f>IF(B534&lt;questions!$C$6,if(MONTH(A534)=1,C533*(1+questions!$C$12),C533),0)</f>
        <v>0</v>
      </c>
      <c r="D534" s="58">
        <f>IF(MONTH(A534)=12,C534*questions!$C$11,0)</f>
        <v>0</v>
      </c>
      <c r="E534" s="71">
        <f t="shared" si="2"/>
        <v>0</v>
      </c>
      <c r="F534" s="71">
        <f t="shared" si="3"/>
        <v>0</v>
      </c>
      <c r="G534" s="61">
        <f t="array" ref="G534">if(YEAR(A534)=2025,XLOOKUP(B534,Lookup!$A$3:$A$7,Lookup!$D$3:$D$7,,1)*SUM(E534:F534), XLOOKUP(B534,Lookup!$A$14:$A$18,Lookup!$D$14:$D$18,,1)*SUM(E534:F534))</f>
        <v>0</v>
      </c>
      <c r="H534" s="61">
        <f t="array" ref="H534">if(YEAR(A534)=2025,XLOOKUP(B534,Lookup!$F$3:$F$10,Lookup!$G$3:$G$10,,1)*G534, XLOOKUP(B534,Lookup!$F$14:$F$21,Lookup!$G$14:$G$21,,1)*G534)</f>
        <v>0</v>
      </c>
      <c r="I534" s="61">
        <f t="array" ref="I534">if(B534&lt;55, if(YEAR(A534)=2025,XLOOKUP(B534,Lookup!$F$3:$F$10,Lookup!$H$3:$H$10,,1)*G534, XLOOKUP(B534,Lookup!$F$14:$F$21,Lookup!$H$14:$H$21,,1)*G534),0)</f>
        <v>0</v>
      </c>
      <c r="J534" s="61">
        <f t="array" ref="J534">if(YEAR(A534)=2025,XLOOKUP(B534,Lookup!$F$3:$F$10,Lookup!$I$3:$I$10,,1)*G534, XLOOKUP(B534,Lookup!$F$14:$F$21,Lookup!$I$14:$I$21,,1)*G534)</f>
        <v>0</v>
      </c>
      <c r="K534" s="61">
        <f t="array" ref="K534">if(B534&gt;54, if(YEAR(A534)=2025,XLOOKUP(B534,Lookup!$F$3:$F$10,Lookup!$H$3:$H$10,,1)*G534, XLOOKUP(B534,Lookup!$F$14:$F$21,Lookup!$H$14:$H$21,,1)*G534),0)</f>
        <v>0</v>
      </c>
      <c r="L534" s="62">
        <f>IF(and(A534&lt;questions!$C$19,questions!$C$18="yes"),questions!$C$20,0)</f>
        <v>0</v>
      </c>
      <c r="M534" s="63">
        <f>(Y533+H534)*Lookup!A$26/12</f>
        <v>2372.445794</v>
      </c>
      <c r="N534" s="63">
        <f>if(B534&lt;55, (Z533+I534)*Lookup!B$26/12, (AB533+K534)*Lookup!B$26/12)</f>
        <v>3978.379771</v>
      </c>
      <c r="O534" s="63">
        <f>(AA533+J534)*Lookup!C$26/12</f>
        <v>940.3700287</v>
      </c>
      <c r="P534" s="63">
        <f t="shared" si="8"/>
        <v>14234.67477</v>
      </c>
      <c r="Q534" s="63">
        <f t="shared" si="4"/>
        <v>23870.27863</v>
      </c>
      <c r="R534" s="63">
        <f t="shared" si="5"/>
        <v>5642.220172</v>
      </c>
      <c r="S534" s="64">
        <f t="shared" si="9"/>
        <v>33.33333333</v>
      </c>
      <c r="T534" s="64">
        <f t="shared" si="10"/>
        <v>41.66666667</v>
      </c>
      <c r="U534" s="64">
        <f t="shared" si="11"/>
        <v>0</v>
      </c>
      <c r="V534" s="64">
        <f t="shared" ref="V534:X534" si="542">IF(year($A534)=year($A533), V533+S534, S534)</f>
        <v>200</v>
      </c>
      <c r="W534" s="64">
        <f t="shared" si="542"/>
        <v>250</v>
      </c>
      <c r="X534" s="64">
        <f t="shared" si="542"/>
        <v>0</v>
      </c>
      <c r="Y534" s="65">
        <f>IFS(
  B534&lt;55,
    MAX(
      Y533 + IF(MONTH(A534)=12, P534+V534, 0) + H534 - L534
      + MAX(0,
          IF(AA533 &gt;= VLOOKUP(YEAR(A534), Lookup!$Q:$R, 2),
            Z533 + IF(MONTH(A534)=12, Q534+W534, 0) + I534
              + AA533 + IF(MONTH(A534)=12, R534+X534, 0)
              - VLOOKUP(YEAR(A534), Lookup!$Q:$R, 2) + J534,
            Z533 + IF(MONTH(A534)=12, Q534+W534, 0) + I534
          ) - VLOOKUP(YEAR(A534), Lookup!$K:$M, 3)
        ),
    0),
  B534=55,
    IF(Z533&gt;=AD534,
      MAX(Y533 + IF(MONTH(A534)=12, P534+V534, 0) + H534 - L534, 0),
      MAX(MAX(0, Y533-(AD534-Z533)) + IF(MONTH(A534)=12, P534+V534, 0) + H534 - L534, 0)
    ),
  B534&gt;55,
    IF(AB533&gt;=$AH$7,
      MAX(Y533 + IF(MONTH(A534)=12, P534+V534, 0) + H534 - L534 + K534 + Z533, 0),
      MAX(Y533 + IF(MONTH(A534)=12, P534+V534, 0) + H534 - L534, 0)
    )
)</f>
        <v>1138773.981</v>
      </c>
      <c r="Z534" s="65">
        <f>IFS(
  B534&lt;55,
    MIN(
      IF(AA533 &gt;= VLOOKUP(YEAR(A534), Lookup!$Q:$R, 2),
        Z533 + IF(MONTH(A534)=12, Q534+W534, 0) + I534
          + AA533 + IF(MONTH(A534)=12, R534+X534, 0) - VLOOKUP(YEAR(A534), Lookup!$Q:$R, 2) + J534,
        Z533 + IF(MONTH(A534)=12, Q534+W534, 0) + I534
      ),
      VLOOKUP(YEAR(A534), Lookup!$K:$M, 3)
    ),
  B534=55,
    IF(Z533 &gt;= AD534, Z533 - AD534, 0),
  B534&gt;55, 0
)</f>
        <v>0</v>
      </c>
      <c r="AA534" s="65">
        <f>IFS(
  B534&lt;65,
    IF(AA533+J534 &lt; VLOOKUP(YEAR(A534), Lookup!$Q:$R, 2),
      AA533 + IF(MONTH(A534)=12, R533+X533, 0) + J534,
      MIN(
        AA533 + IF(MONTH(A534)=12, R533+X533, 0) + J534 ,
        VLOOKUP(YEAR(A534), Lookup!$Q:$R, 2)
      )
    ),
  B534&gt;=65,
    IF(AA533+J534 &lt; VLOOKUP(questions!$C$5, Lookup!$Q:$R, 2),
      AA533 + IF(MONTH(A534)=12, R533+X533, 0) + J534 ,
      MIN(
        AA533 + IF(MONTH(A534)=12, R533+X533, 0) + J534,
        VLOOKUP(questions!$C$5, Lookup!$Q:$R, 2)
      )
    )
)</f>
        <v>282111.0086</v>
      </c>
      <c r="AB534" s="65">
        <f t="shared" si="13"/>
        <v>1193513.931</v>
      </c>
      <c r="AC534" s="66">
        <f t="array" ref="AC534">IFS(B534&lt;66, XLOOKUP(year(A534),Lookup!$K$13:$K1000,Lookup!$L$13:$L1000,"missing",,1),B534&gt;65,XLOOKUP(questions!$C$5,Lookup!$K$13:$K1000,Lookup!$L$13:$L1000,"missing",,1))</f>
        <v>393675.3633</v>
      </c>
      <c r="AD534" s="66">
        <f t="array" ref="AD534">IFS(B534&lt;66, XLOOKUP(year(A534),Lookup!$K$13:$K1000,Lookup!$M$13:$M1000,"missing",,1),B534&gt;65, XLOOKUP(questions!$C$5,Lookup!$K$13:$K1000,Lookup!$M$13:$M1000,"missing",,1))</f>
        <v>787350.7266</v>
      </c>
      <c r="AE534" s="66">
        <f t="array" ref="AE534">IFS(B534&lt;66, XLOOKUP(year(A534),Lookup!$K$13:$K1000,Lookup!$N$13:$N1000,"missing",,1),B534&gt;65,XLOOKUP(questions!$C$5,Lookup!$K$13:$K1000,Lookup!$N$13:$N1000,"missing",,1))</f>
        <v>1574701.453</v>
      </c>
      <c r="AF534" s="37"/>
      <c r="AG534" s="37"/>
      <c r="AH534" s="37"/>
      <c r="AI534" s="37"/>
      <c r="AJ534" s="37"/>
      <c r="AK534" s="37"/>
      <c r="AL534" s="37"/>
      <c r="AM534" s="37"/>
      <c r="AN534" s="37"/>
      <c r="AO534" s="37"/>
      <c r="AP534" s="37"/>
      <c r="AQ534" s="37"/>
    </row>
    <row r="535">
      <c r="A535" s="55">
        <f t="shared" si="7"/>
        <v>62305</v>
      </c>
      <c r="B535" s="56">
        <f>round(YEARFRAC(EOMONTH(questions!$C$3, 0),A535,1),2)</f>
        <v>71.67</v>
      </c>
      <c r="C535" s="58">
        <f>IF(B535&lt;questions!$C$6,if(MONTH(A535)=1,C534*(1+questions!$C$12),C534),0)</f>
        <v>0</v>
      </c>
      <c r="D535" s="58">
        <f>IF(MONTH(A535)=12,C535*questions!$C$11,0)</f>
        <v>0</v>
      </c>
      <c r="E535" s="71">
        <f t="shared" si="2"/>
        <v>0</v>
      </c>
      <c r="F535" s="71">
        <f t="shared" si="3"/>
        <v>0</v>
      </c>
      <c r="G535" s="61">
        <f t="array" ref="G535">if(YEAR(A535)=2025,XLOOKUP(B535,Lookup!$A$3:$A$7,Lookup!$D$3:$D$7,,1)*SUM(E535:F535), XLOOKUP(B535,Lookup!$A$14:$A$18,Lookup!$D$14:$D$18,,1)*SUM(E535:F535))</f>
        <v>0</v>
      </c>
      <c r="H535" s="61">
        <f t="array" ref="H535">if(YEAR(A535)=2025,XLOOKUP(B535,Lookup!$F$3:$F$10,Lookup!$G$3:$G$10,,1)*G535, XLOOKUP(B535,Lookup!$F$14:$F$21,Lookup!$G$14:$G$21,,1)*G535)</f>
        <v>0</v>
      </c>
      <c r="I535" s="61">
        <f t="array" ref="I535">if(B535&lt;55, if(YEAR(A535)=2025,XLOOKUP(B535,Lookup!$F$3:$F$10,Lookup!$H$3:$H$10,,1)*G535, XLOOKUP(B535,Lookup!$F$14:$F$21,Lookup!$H$14:$H$21,,1)*G535),0)</f>
        <v>0</v>
      </c>
      <c r="J535" s="61">
        <f t="array" ref="J535">if(YEAR(A535)=2025,XLOOKUP(B535,Lookup!$F$3:$F$10,Lookup!$I$3:$I$10,,1)*G535, XLOOKUP(B535,Lookup!$F$14:$F$21,Lookup!$I$14:$I$21,,1)*G535)</f>
        <v>0</v>
      </c>
      <c r="K535" s="61">
        <f t="array" ref="K535">if(B535&gt;54, if(YEAR(A535)=2025,XLOOKUP(B535,Lookup!$F$3:$F$10,Lookup!$H$3:$H$10,,1)*G535, XLOOKUP(B535,Lookup!$F$14:$F$21,Lookup!$H$14:$H$21,,1)*G535),0)</f>
        <v>0</v>
      </c>
      <c r="L535" s="62">
        <f>IF(and(A535&lt;questions!$C$19,questions!$C$18="yes"),questions!$C$20,0)</f>
        <v>0</v>
      </c>
      <c r="M535" s="63">
        <f>(Y534+H535)*Lookup!A$26/12</f>
        <v>2372.445794</v>
      </c>
      <c r="N535" s="63">
        <f>if(B535&lt;55, (Z534+I535)*Lookup!B$26/12, (AB534+K535)*Lookup!B$26/12)</f>
        <v>3978.379771</v>
      </c>
      <c r="O535" s="63">
        <f>(AA534+J535)*Lookup!C$26/12</f>
        <v>940.3700287</v>
      </c>
      <c r="P535" s="63">
        <f t="shared" si="8"/>
        <v>16607.12056</v>
      </c>
      <c r="Q535" s="63">
        <f t="shared" si="4"/>
        <v>27848.6584</v>
      </c>
      <c r="R535" s="63">
        <f t="shared" si="5"/>
        <v>6582.590201</v>
      </c>
      <c r="S535" s="64">
        <f t="shared" si="9"/>
        <v>33.33333333</v>
      </c>
      <c r="T535" s="64">
        <f t="shared" si="10"/>
        <v>41.66666667</v>
      </c>
      <c r="U535" s="64">
        <f t="shared" si="11"/>
        <v>0</v>
      </c>
      <c r="V535" s="64">
        <f t="shared" ref="V535:X535" si="543">IF(year($A535)=year($A534), V534+S535, S535)</f>
        <v>233.3333333</v>
      </c>
      <c r="W535" s="64">
        <f t="shared" si="543"/>
        <v>291.6666667</v>
      </c>
      <c r="X535" s="64">
        <f t="shared" si="543"/>
        <v>0</v>
      </c>
      <c r="Y535" s="65">
        <f>IFS(
  B535&lt;55,
    MAX(
      Y534 + IF(MONTH(A535)=12, P535+V535, 0) + H535 - L535
      + MAX(0,
          IF(AA534 &gt;= VLOOKUP(YEAR(A535), Lookup!$Q:$R, 2),
            Z534 + IF(MONTH(A535)=12, Q535+W535, 0) + I535
              + AA534 + IF(MONTH(A535)=12, R535+X535, 0)
              - VLOOKUP(YEAR(A535), Lookup!$Q:$R, 2) + J535,
            Z534 + IF(MONTH(A535)=12, Q535+W535, 0) + I535
          ) - VLOOKUP(YEAR(A535), Lookup!$K:$M, 3)
        ),
    0),
  B535=55,
    IF(Z534&gt;=AD535,
      MAX(Y534 + IF(MONTH(A535)=12, P535+V535, 0) + H535 - L535, 0),
      MAX(MAX(0, Y534-(AD535-Z534)) + IF(MONTH(A535)=12, P535+V535, 0) + H535 - L535, 0)
    ),
  B535&gt;55,
    IF(AB534&gt;=$AH$7,
      MAX(Y534 + IF(MONTH(A535)=12, P535+V535, 0) + H535 - L535 + K535 + Z534, 0),
      MAX(Y534 + IF(MONTH(A535)=12, P535+V535, 0) + H535 - L535, 0)
    )
)</f>
        <v>1138773.981</v>
      </c>
      <c r="Z535" s="65">
        <f>IFS(
  B535&lt;55,
    MIN(
      IF(AA534 &gt;= VLOOKUP(YEAR(A535), Lookup!$Q:$R, 2),
        Z534 + IF(MONTH(A535)=12, Q535+W535, 0) + I535
          + AA534 + IF(MONTH(A535)=12, R535+X535, 0) - VLOOKUP(YEAR(A535), Lookup!$Q:$R, 2) + J535,
        Z534 + IF(MONTH(A535)=12, Q535+W535, 0) + I535
      ),
      VLOOKUP(YEAR(A535), Lookup!$K:$M, 3)
    ),
  B535=55,
    IF(Z534 &gt;= AD535, Z534 - AD535, 0),
  B535&gt;55, 0
)</f>
        <v>0</v>
      </c>
      <c r="AA535" s="65">
        <f>IFS(
  B535&lt;65,
    IF(AA534+J535 &lt; VLOOKUP(YEAR(A535), Lookup!$Q:$R, 2),
      AA534 + IF(MONTH(A535)=12, R534+X534, 0) + J535,
      MIN(
        AA534 + IF(MONTH(A535)=12, R534+X534, 0) + J535 ,
        VLOOKUP(YEAR(A535), Lookup!$Q:$R, 2)
      )
    ),
  B535&gt;=65,
    IF(AA534+J535 &lt; VLOOKUP(questions!$C$5, Lookup!$Q:$R, 2),
      AA534 + IF(MONTH(A535)=12, R534+X534, 0) + J535 ,
      MIN(
        AA534 + IF(MONTH(A535)=12, R534+X534, 0) + J535,
        VLOOKUP(questions!$C$5, Lookup!$Q:$R, 2)
      )
    )
)</f>
        <v>282111.0086</v>
      </c>
      <c r="AB535" s="65">
        <f t="shared" si="13"/>
        <v>1193513.931</v>
      </c>
      <c r="AC535" s="66">
        <f t="array" ref="AC535">IFS(B535&lt;66, XLOOKUP(year(A535),Lookup!$K$13:$K1000,Lookup!$L$13:$L1000,"missing",,1),B535&gt;65,XLOOKUP(questions!$C$5,Lookup!$K$13:$K1000,Lookup!$L$13:$L1000,"missing",,1))</f>
        <v>393675.3633</v>
      </c>
      <c r="AD535" s="66">
        <f t="array" ref="AD535">IFS(B535&lt;66, XLOOKUP(year(A535),Lookup!$K$13:$K1000,Lookup!$M$13:$M1000,"missing",,1),B535&gt;65, XLOOKUP(questions!$C$5,Lookup!$K$13:$K1000,Lookup!$M$13:$M1000,"missing",,1))</f>
        <v>787350.7266</v>
      </c>
      <c r="AE535" s="66">
        <f t="array" ref="AE535">IFS(B535&lt;66, XLOOKUP(year(A535),Lookup!$K$13:$K1000,Lookup!$N$13:$N1000,"missing",,1),B535&gt;65,XLOOKUP(questions!$C$5,Lookup!$K$13:$K1000,Lookup!$N$13:$N1000,"missing",,1))</f>
        <v>1574701.453</v>
      </c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  <c r="AQ535" s="37"/>
    </row>
    <row r="536">
      <c r="A536" s="55">
        <f t="shared" si="7"/>
        <v>62336</v>
      </c>
      <c r="B536" s="56">
        <f>round(YEARFRAC(EOMONTH(questions!$C$3, 0),A536,1),2)</f>
        <v>71.75</v>
      </c>
      <c r="C536" s="58">
        <f>IF(B536&lt;questions!$C$6,if(MONTH(A536)=1,C535*(1+questions!$C$12),C535),0)</f>
        <v>0</v>
      </c>
      <c r="D536" s="58">
        <f>IF(MONTH(A536)=12,C536*questions!$C$11,0)</f>
        <v>0</v>
      </c>
      <c r="E536" s="71">
        <f t="shared" si="2"/>
        <v>0</v>
      </c>
      <c r="F536" s="71">
        <f t="shared" si="3"/>
        <v>0</v>
      </c>
      <c r="G536" s="61">
        <f t="array" ref="G536">if(YEAR(A536)=2025,XLOOKUP(B536,Lookup!$A$3:$A$7,Lookup!$D$3:$D$7,,1)*SUM(E536:F536), XLOOKUP(B536,Lookup!$A$14:$A$18,Lookup!$D$14:$D$18,,1)*SUM(E536:F536))</f>
        <v>0</v>
      </c>
      <c r="H536" s="61">
        <f t="array" ref="H536">if(YEAR(A536)=2025,XLOOKUP(B536,Lookup!$F$3:$F$10,Lookup!$G$3:$G$10,,1)*G536, XLOOKUP(B536,Lookup!$F$14:$F$21,Lookup!$G$14:$G$21,,1)*G536)</f>
        <v>0</v>
      </c>
      <c r="I536" s="61">
        <f t="array" ref="I536">if(B536&lt;55, if(YEAR(A536)=2025,XLOOKUP(B536,Lookup!$F$3:$F$10,Lookup!$H$3:$H$10,,1)*G536, XLOOKUP(B536,Lookup!$F$14:$F$21,Lookup!$H$14:$H$21,,1)*G536),0)</f>
        <v>0</v>
      </c>
      <c r="J536" s="61">
        <f t="array" ref="J536">if(YEAR(A536)=2025,XLOOKUP(B536,Lookup!$F$3:$F$10,Lookup!$I$3:$I$10,,1)*G536, XLOOKUP(B536,Lookup!$F$14:$F$21,Lookup!$I$14:$I$21,,1)*G536)</f>
        <v>0</v>
      </c>
      <c r="K536" s="61">
        <f t="array" ref="K536">if(B536&gt;54, if(YEAR(A536)=2025,XLOOKUP(B536,Lookup!$F$3:$F$10,Lookup!$H$3:$H$10,,1)*G536, XLOOKUP(B536,Lookup!$F$14:$F$21,Lookup!$H$14:$H$21,,1)*G536),0)</f>
        <v>0</v>
      </c>
      <c r="L536" s="62">
        <f>IF(and(A536&lt;questions!$C$19,questions!$C$18="yes"),questions!$C$20,0)</f>
        <v>0</v>
      </c>
      <c r="M536" s="63">
        <f>(Y535+H536)*Lookup!A$26/12</f>
        <v>2372.445794</v>
      </c>
      <c r="N536" s="63">
        <f>if(B536&lt;55, (Z535+I536)*Lookup!B$26/12, (AB535+K536)*Lookup!B$26/12)</f>
        <v>3978.379771</v>
      </c>
      <c r="O536" s="63">
        <f>(AA535+J536)*Lookup!C$26/12</f>
        <v>940.3700287</v>
      </c>
      <c r="P536" s="63">
        <f t="shared" si="8"/>
        <v>18979.56636</v>
      </c>
      <c r="Q536" s="63">
        <f t="shared" si="4"/>
        <v>31827.03817</v>
      </c>
      <c r="R536" s="63">
        <f t="shared" si="5"/>
        <v>7522.960229</v>
      </c>
      <c r="S536" s="64">
        <f t="shared" si="9"/>
        <v>33.33333333</v>
      </c>
      <c r="T536" s="64">
        <f t="shared" si="10"/>
        <v>41.66666667</v>
      </c>
      <c r="U536" s="64">
        <f t="shared" si="11"/>
        <v>0</v>
      </c>
      <c r="V536" s="64">
        <f t="shared" ref="V536:X536" si="544">IF(year($A536)=year($A535), V535+S536, S536)</f>
        <v>266.6666667</v>
      </c>
      <c r="W536" s="64">
        <f t="shared" si="544"/>
        <v>333.3333333</v>
      </c>
      <c r="X536" s="64">
        <f t="shared" si="544"/>
        <v>0</v>
      </c>
      <c r="Y536" s="65">
        <f>IFS(
  B536&lt;55,
    MAX(
      Y535 + IF(MONTH(A536)=12, P536+V536, 0) + H536 - L536
      + MAX(0,
          IF(AA535 &gt;= VLOOKUP(YEAR(A536), Lookup!$Q:$R, 2),
            Z535 + IF(MONTH(A536)=12, Q536+W536, 0) + I536
              + AA535 + IF(MONTH(A536)=12, R536+X536, 0)
              - VLOOKUP(YEAR(A536), Lookup!$Q:$R, 2) + J536,
            Z535 + IF(MONTH(A536)=12, Q536+W536, 0) + I536
          ) - VLOOKUP(YEAR(A536), Lookup!$K:$M, 3)
        ),
    0),
  B536=55,
    IF(Z535&gt;=AD536,
      MAX(Y535 + IF(MONTH(A536)=12, P536+V536, 0) + H536 - L536, 0),
      MAX(MAX(0, Y535-(AD536-Z535)) + IF(MONTH(A536)=12, P536+V536, 0) + H536 - L536, 0)
    ),
  B536&gt;55,
    IF(AB535&gt;=$AH$7,
      MAX(Y535 + IF(MONTH(A536)=12, P536+V536, 0) + H536 - L536 + K536 + Z535, 0),
      MAX(Y535 + IF(MONTH(A536)=12, P536+V536, 0) + H536 - L536, 0)
    )
)</f>
        <v>1138773.981</v>
      </c>
      <c r="Z536" s="65">
        <f>IFS(
  B536&lt;55,
    MIN(
      IF(AA535 &gt;= VLOOKUP(YEAR(A536), Lookup!$Q:$R, 2),
        Z535 + IF(MONTH(A536)=12, Q536+W536, 0) + I536
          + AA535 + IF(MONTH(A536)=12, R536+X536, 0) - VLOOKUP(YEAR(A536), Lookup!$Q:$R, 2) + J536,
        Z535 + IF(MONTH(A536)=12, Q536+W536, 0) + I536
      ),
      VLOOKUP(YEAR(A536), Lookup!$K:$M, 3)
    ),
  B536=55,
    IF(Z535 &gt;= AD536, Z535 - AD536, 0),
  B536&gt;55, 0
)</f>
        <v>0</v>
      </c>
      <c r="AA536" s="65">
        <f>IFS(
  B536&lt;65,
    IF(AA535+J536 &lt; VLOOKUP(YEAR(A536), Lookup!$Q:$R, 2),
      AA535 + IF(MONTH(A536)=12, R535+X535, 0) + J536,
      MIN(
        AA535 + IF(MONTH(A536)=12, R535+X535, 0) + J536 ,
        VLOOKUP(YEAR(A536), Lookup!$Q:$R, 2)
      )
    ),
  B536&gt;=65,
    IF(AA535+J536 &lt; VLOOKUP(questions!$C$5, Lookup!$Q:$R, 2),
      AA535 + IF(MONTH(A536)=12, R535+X535, 0) + J536 ,
      MIN(
        AA535 + IF(MONTH(A536)=12, R535+X535, 0) + J536,
        VLOOKUP(questions!$C$5, Lookup!$Q:$R, 2)
      )
    )
)</f>
        <v>282111.0086</v>
      </c>
      <c r="AB536" s="65">
        <f t="shared" si="13"/>
        <v>1193513.931</v>
      </c>
      <c r="AC536" s="66">
        <f t="array" ref="AC536">IFS(B536&lt;66, XLOOKUP(year(A536),Lookup!$K$13:$K1000,Lookup!$L$13:$L1000,"missing",,1),B536&gt;65,XLOOKUP(questions!$C$5,Lookup!$K$13:$K1000,Lookup!$L$13:$L1000,"missing",,1))</f>
        <v>393675.3633</v>
      </c>
      <c r="AD536" s="66">
        <f t="array" ref="AD536">IFS(B536&lt;66, XLOOKUP(year(A536),Lookup!$K$13:$K1000,Lookup!$M$13:$M1000,"missing",,1),B536&gt;65, XLOOKUP(questions!$C$5,Lookup!$K$13:$K1000,Lookup!$M$13:$M1000,"missing",,1))</f>
        <v>787350.7266</v>
      </c>
      <c r="AE536" s="66">
        <f t="array" ref="AE536">IFS(B536&lt;66, XLOOKUP(year(A536),Lookup!$K$13:$K1000,Lookup!$N$13:$N1000,"missing",,1),B536&gt;65,XLOOKUP(questions!$C$5,Lookup!$K$13:$K1000,Lookup!$N$13:$N1000,"missing",,1))</f>
        <v>1574701.453</v>
      </c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  <c r="AQ536" s="37"/>
    </row>
    <row r="537">
      <c r="A537" s="55">
        <f t="shared" si="7"/>
        <v>62366</v>
      </c>
      <c r="B537" s="56">
        <f>round(YEARFRAC(EOMONTH(questions!$C$3, 0),A537,1),2)</f>
        <v>71.83</v>
      </c>
      <c r="C537" s="58">
        <f>IF(B537&lt;questions!$C$6,if(MONTH(A537)=1,C536*(1+questions!$C$12),C536),0)</f>
        <v>0</v>
      </c>
      <c r="D537" s="58">
        <f>IF(MONTH(A537)=12,C537*questions!$C$11,0)</f>
        <v>0</v>
      </c>
      <c r="E537" s="71">
        <f t="shared" si="2"/>
        <v>0</v>
      </c>
      <c r="F537" s="71">
        <f t="shared" si="3"/>
        <v>0</v>
      </c>
      <c r="G537" s="61">
        <f t="array" ref="G537">if(YEAR(A537)=2025,XLOOKUP(B537,Lookup!$A$3:$A$7,Lookup!$D$3:$D$7,,1)*SUM(E537:F537), XLOOKUP(B537,Lookup!$A$14:$A$18,Lookup!$D$14:$D$18,,1)*SUM(E537:F537))</f>
        <v>0</v>
      </c>
      <c r="H537" s="61">
        <f t="array" ref="H537">if(YEAR(A537)=2025,XLOOKUP(B537,Lookup!$F$3:$F$10,Lookup!$G$3:$G$10,,1)*G537, XLOOKUP(B537,Lookup!$F$14:$F$21,Lookup!$G$14:$G$21,,1)*G537)</f>
        <v>0</v>
      </c>
      <c r="I537" s="61">
        <f t="array" ref="I537">if(B537&lt;55, if(YEAR(A537)=2025,XLOOKUP(B537,Lookup!$F$3:$F$10,Lookup!$H$3:$H$10,,1)*G537, XLOOKUP(B537,Lookup!$F$14:$F$21,Lookup!$H$14:$H$21,,1)*G537),0)</f>
        <v>0</v>
      </c>
      <c r="J537" s="61">
        <f t="array" ref="J537">if(YEAR(A537)=2025,XLOOKUP(B537,Lookup!$F$3:$F$10,Lookup!$I$3:$I$10,,1)*G537, XLOOKUP(B537,Lookup!$F$14:$F$21,Lookup!$I$14:$I$21,,1)*G537)</f>
        <v>0</v>
      </c>
      <c r="K537" s="61">
        <f t="array" ref="K537">if(B537&gt;54, if(YEAR(A537)=2025,XLOOKUP(B537,Lookup!$F$3:$F$10,Lookup!$H$3:$H$10,,1)*G537, XLOOKUP(B537,Lookup!$F$14:$F$21,Lookup!$H$14:$H$21,,1)*G537),0)</f>
        <v>0</v>
      </c>
      <c r="L537" s="62">
        <f>IF(and(A537&lt;questions!$C$19,questions!$C$18="yes"),questions!$C$20,0)</f>
        <v>0</v>
      </c>
      <c r="M537" s="63">
        <f>(Y536+H537)*Lookup!A$26/12</f>
        <v>2372.445794</v>
      </c>
      <c r="N537" s="63">
        <f>if(B537&lt;55, (Z536+I537)*Lookup!B$26/12, (AB536+K537)*Lookup!B$26/12)</f>
        <v>3978.379771</v>
      </c>
      <c r="O537" s="63">
        <f>(AA536+J537)*Lookup!C$26/12</f>
        <v>940.3700287</v>
      </c>
      <c r="P537" s="63">
        <f t="shared" si="8"/>
        <v>21352.01215</v>
      </c>
      <c r="Q537" s="63">
        <f t="shared" si="4"/>
        <v>35805.41794</v>
      </c>
      <c r="R537" s="63">
        <f t="shared" si="5"/>
        <v>8463.330258</v>
      </c>
      <c r="S537" s="64">
        <f t="shared" si="9"/>
        <v>33.33333333</v>
      </c>
      <c r="T537" s="64">
        <f t="shared" si="10"/>
        <v>41.66666667</v>
      </c>
      <c r="U537" s="64">
        <f t="shared" si="11"/>
        <v>0</v>
      </c>
      <c r="V537" s="64">
        <f t="shared" ref="V537:X537" si="545">IF(year($A537)=year($A536), V536+S537, S537)</f>
        <v>300</v>
      </c>
      <c r="W537" s="64">
        <f t="shared" si="545"/>
        <v>375</v>
      </c>
      <c r="X537" s="64">
        <f t="shared" si="545"/>
        <v>0</v>
      </c>
      <c r="Y537" s="65">
        <f>IFS(
  B537&lt;55,
    MAX(
      Y536 + IF(MONTH(A537)=12, P537+V537, 0) + H537 - L537
      + MAX(0,
          IF(AA536 &gt;= VLOOKUP(YEAR(A537), Lookup!$Q:$R, 2),
            Z536 + IF(MONTH(A537)=12, Q537+W537, 0) + I537
              + AA536 + IF(MONTH(A537)=12, R537+X537, 0)
              - VLOOKUP(YEAR(A537), Lookup!$Q:$R, 2) + J537,
            Z536 + IF(MONTH(A537)=12, Q537+W537, 0) + I537
          ) - VLOOKUP(YEAR(A537), Lookup!$K:$M, 3)
        ),
    0),
  B537=55,
    IF(Z536&gt;=AD537,
      MAX(Y536 + IF(MONTH(A537)=12, P537+V537, 0) + H537 - L537, 0),
      MAX(MAX(0, Y536-(AD537-Z536)) + IF(MONTH(A537)=12, P537+V537, 0) + H537 - L537, 0)
    ),
  B537&gt;55,
    IF(AB536&gt;=$AH$7,
      MAX(Y536 + IF(MONTH(A537)=12, P537+V537, 0) + H537 - L537 + K537 + Z536, 0),
      MAX(Y536 + IF(MONTH(A537)=12, P537+V537, 0) + H537 - L537, 0)
    )
)</f>
        <v>1138773.981</v>
      </c>
      <c r="Z537" s="65">
        <f>IFS(
  B537&lt;55,
    MIN(
      IF(AA536 &gt;= VLOOKUP(YEAR(A537), Lookup!$Q:$R, 2),
        Z536 + IF(MONTH(A537)=12, Q537+W537, 0) + I537
          + AA536 + IF(MONTH(A537)=12, R537+X537, 0) - VLOOKUP(YEAR(A537), Lookup!$Q:$R, 2) + J537,
        Z536 + IF(MONTH(A537)=12, Q537+W537, 0) + I537
      ),
      VLOOKUP(YEAR(A537), Lookup!$K:$M, 3)
    ),
  B537=55,
    IF(Z536 &gt;= AD537, Z536 - AD537, 0),
  B537&gt;55, 0
)</f>
        <v>0</v>
      </c>
      <c r="AA537" s="65">
        <f>IFS(
  B537&lt;65,
    IF(AA536+J537 &lt; VLOOKUP(YEAR(A537), Lookup!$Q:$R, 2),
      AA536 + IF(MONTH(A537)=12, R536+X536, 0) + J537,
      MIN(
        AA536 + IF(MONTH(A537)=12, R536+X536, 0) + J537 ,
        VLOOKUP(YEAR(A537), Lookup!$Q:$R, 2)
      )
    ),
  B537&gt;=65,
    IF(AA536+J537 &lt; VLOOKUP(questions!$C$5, Lookup!$Q:$R, 2),
      AA536 + IF(MONTH(A537)=12, R536+X536, 0) + J537 ,
      MIN(
        AA536 + IF(MONTH(A537)=12, R536+X536, 0) + J537,
        VLOOKUP(questions!$C$5, Lookup!$Q:$R, 2)
      )
    )
)</f>
        <v>282111.0086</v>
      </c>
      <c r="AB537" s="65">
        <f t="shared" si="13"/>
        <v>1193513.931</v>
      </c>
      <c r="AC537" s="66">
        <f t="array" ref="AC537">IFS(B537&lt;66, XLOOKUP(year(A537),Lookup!$K$13:$K1000,Lookup!$L$13:$L1000,"missing",,1),B537&gt;65,XLOOKUP(questions!$C$5,Lookup!$K$13:$K1000,Lookup!$L$13:$L1000,"missing",,1))</f>
        <v>393675.3633</v>
      </c>
      <c r="AD537" s="66">
        <f t="array" ref="AD537">IFS(B537&lt;66, XLOOKUP(year(A537),Lookup!$K$13:$K1000,Lookup!$M$13:$M1000,"missing",,1),B537&gt;65, XLOOKUP(questions!$C$5,Lookup!$K$13:$K1000,Lookup!$M$13:$M1000,"missing",,1))</f>
        <v>787350.7266</v>
      </c>
      <c r="AE537" s="66">
        <f t="array" ref="AE537">IFS(B537&lt;66, XLOOKUP(year(A537),Lookup!$K$13:$K1000,Lookup!$N$13:$N1000,"missing",,1),B537&gt;65,XLOOKUP(questions!$C$5,Lookup!$K$13:$K1000,Lookup!$N$13:$N1000,"missing",,1))</f>
        <v>1574701.453</v>
      </c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  <c r="AQ537" s="37"/>
    </row>
    <row r="538">
      <c r="A538" s="55">
        <f t="shared" si="7"/>
        <v>62397</v>
      </c>
      <c r="B538" s="56">
        <f>round(YEARFRAC(EOMONTH(questions!$C$3, 0),A538,1),2)</f>
        <v>71.92</v>
      </c>
      <c r="C538" s="58">
        <f>IF(B538&lt;questions!$C$6,if(MONTH(A538)=1,C537*(1+questions!$C$12),C537),0)</f>
        <v>0</v>
      </c>
      <c r="D538" s="58">
        <f>IF(MONTH(A538)=12,C538*questions!$C$11,0)</f>
        <v>0</v>
      </c>
      <c r="E538" s="71">
        <f t="shared" si="2"/>
        <v>0</v>
      </c>
      <c r="F538" s="71">
        <f t="shared" si="3"/>
        <v>0</v>
      </c>
      <c r="G538" s="61">
        <f t="array" ref="G538">if(YEAR(A538)=2025,XLOOKUP(B538,Lookup!$A$3:$A$7,Lookup!$D$3:$D$7,,1)*SUM(E538:F538), XLOOKUP(B538,Lookup!$A$14:$A$18,Lookup!$D$14:$D$18,,1)*SUM(E538:F538))</f>
        <v>0</v>
      </c>
      <c r="H538" s="61">
        <f t="array" ref="H538">if(YEAR(A538)=2025,XLOOKUP(B538,Lookup!$F$3:$F$10,Lookup!$G$3:$G$10,,1)*G538, XLOOKUP(B538,Lookup!$F$14:$F$21,Lookup!$G$14:$G$21,,1)*G538)</f>
        <v>0</v>
      </c>
      <c r="I538" s="61">
        <f t="array" ref="I538">if(B538&lt;55, if(YEAR(A538)=2025,XLOOKUP(B538,Lookup!$F$3:$F$10,Lookup!$H$3:$H$10,,1)*G538, XLOOKUP(B538,Lookup!$F$14:$F$21,Lookup!$H$14:$H$21,,1)*G538),0)</f>
        <v>0</v>
      </c>
      <c r="J538" s="61">
        <f t="array" ref="J538">if(YEAR(A538)=2025,XLOOKUP(B538,Lookup!$F$3:$F$10,Lookup!$I$3:$I$10,,1)*G538, XLOOKUP(B538,Lookup!$F$14:$F$21,Lookup!$I$14:$I$21,,1)*G538)</f>
        <v>0</v>
      </c>
      <c r="K538" s="61">
        <f t="array" ref="K538">if(B538&gt;54, if(YEAR(A538)=2025,XLOOKUP(B538,Lookup!$F$3:$F$10,Lookup!$H$3:$H$10,,1)*G538, XLOOKUP(B538,Lookup!$F$14:$F$21,Lookup!$H$14:$H$21,,1)*G538),0)</f>
        <v>0</v>
      </c>
      <c r="L538" s="62">
        <f>IF(and(A538&lt;questions!$C$19,questions!$C$18="yes"),questions!$C$20,0)</f>
        <v>0</v>
      </c>
      <c r="M538" s="63">
        <f>(Y537+H538)*Lookup!A$26/12</f>
        <v>2372.445794</v>
      </c>
      <c r="N538" s="63">
        <f>if(B538&lt;55, (Z537+I538)*Lookup!B$26/12, (AB537+K538)*Lookup!B$26/12)</f>
        <v>3978.379771</v>
      </c>
      <c r="O538" s="63">
        <f>(AA537+J538)*Lookup!C$26/12</f>
        <v>940.3700287</v>
      </c>
      <c r="P538" s="63">
        <f t="shared" si="8"/>
        <v>23724.45794</v>
      </c>
      <c r="Q538" s="63">
        <f t="shared" si="4"/>
        <v>39783.79771</v>
      </c>
      <c r="R538" s="63">
        <f t="shared" si="5"/>
        <v>9403.700287</v>
      </c>
      <c r="S538" s="64">
        <f t="shared" si="9"/>
        <v>33.33333333</v>
      </c>
      <c r="T538" s="64">
        <f t="shared" si="10"/>
        <v>41.66666667</v>
      </c>
      <c r="U538" s="64">
        <f t="shared" si="11"/>
        <v>0</v>
      </c>
      <c r="V538" s="64">
        <f t="shared" ref="V538:X538" si="546">IF(year($A538)=year($A537), V537+S538, S538)</f>
        <v>333.3333333</v>
      </c>
      <c r="W538" s="64">
        <f t="shared" si="546"/>
        <v>416.6666667</v>
      </c>
      <c r="X538" s="64">
        <f t="shared" si="546"/>
        <v>0</v>
      </c>
      <c r="Y538" s="65">
        <f>IFS(
  B538&lt;55,
    MAX(
      Y537 + IF(MONTH(A538)=12, P538+V538, 0) + H538 - L538
      + MAX(0,
          IF(AA537 &gt;= VLOOKUP(YEAR(A538), Lookup!$Q:$R, 2),
            Z537 + IF(MONTH(A538)=12, Q538+W538, 0) + I538
              + AA537 + IF(MONTH(A538)=12, R538+X538, 0)
              - VLOOKUP(YEAR(A538), Lookup!$Q:$R, 2) + J538,
            Z537 + IF(MONTH(A538)=12, Q538+W538, 0) + I538
          ) - VLOOKUP(YEAR(A538), Lookup!$K:$M, 3)
        ),
    0),
  B538=55,
    IF(Z537&gt;=AD538,
      MAX(Y537 + IF(MONTH(A538)=12, P538+V538, 0) + H538 - L538, 0),
      MAX(MAX(0, Y537-(AD538-Z537)) + IF(MONTH(A538)=12, P538+V538, 0) + H538 - L538, 0)
    ),
  B538&gt;55,
    IF(AB537&gt;=$AH$7,
      MAX(Y537 + IF(MONTH(A538)=12, P538+V538, 0) + H538 - L538 + K538 + Z537, 0),
      MAX(Y537 + IF(MONTH(A538)=12, P538+V538, 0) + H538 - L538, 0)
    )
)</f>
        <v>1138773.981</v>
      </c>
      <c r="Z538" s="65">
        <f>IFS(
  B538&lt;55,
    MIN(
      IF(AA537 &gt;= VLOOKUP(YEAR(A538), Lookup!$Q:$R, 2),
        Z537 + IF(MONTH(A538)=12, Q538+W538, 0) + I538
          + AA537 + IF(MONTH(A538)=12, R538+X538, 0) - VLOOKUP(YEAR(A538), Lookup!$Q:$R, 2) + J538,
        Z537 + IF(MONTH(A538)=12, Q538+W538, 0) + I538
      ),
      VLOOKUP(YEAR(A538), Lookup!$K:$M, 3)
    ),
  B538=55,
    IF(Z537 &gt;= AD538, Z537 - AD538, 0),
  B538&gt;55, 0
)</f>
        <v>0</v>
      </c>
      <c r="AA538" s="65">
        <f>IFS(
  B538&lt;65,
    IF(AA537+J538 &lt; VLOOKUP(YEAR(A538), Lookup!$Q:$R, 2),
      AA537 + IF(MONTH(A538)=12, R537+X537, 0) + J538,
      MIN(
        AA537 + IF(MONTH(A538)=12, R537+X537, 0) + J538 ,
        VLOOKUP(YEAR(A538), Lookup!$Q:$R, 2)
      )
    ),
  B538&gt;=65,
    IF(AA537+J538 &lt; VLOOKUP(questions!$C$5, Lookup!$Q:$R, 2),
      AA537 + IF(MONTH(A538)=12, R537+X537, 0) + J538 ,
      MIN(
        AA537 + IF(MONTH(A538)=12, R537+X537, 0) + J538,
        VLOOKUP(questions!$C$5, Lookup!$Q:$R, 2)
      )
    )
)</f>
        <v>282111.0086</v>
      </c>
      <c r="AB538" s="65">
        <f t="shared" si="13"/>
        <v>1193513.931</v>
      </c>
      <c r="AC538" s="66">
        <f t="array" ref="AC538">IFS(B538&lt;66, XLOOKUP(year(A538),Lookup!$K$13:$K1000,Lookup!$L$13:$L1000,"missing",,1),B538&gt;65,XLOOKUP(questions!$C$5,Lookup!$K$13:$K1000,Lookup!$L$13:$L1000,"missing",,1))</f>
        <v>393675.3633</v>
      </c>
      <c r="AD538" s="66">
        <f t="array" ref="AD538">IFS(B538&lt;66, XLOOKUP(year(A538),Lookup!$K$13:$K1000,Lookup!$M$13:$M1000,"missing",,1),B538&gt;65, XLOOKUP(questions!$C$5,Lookup!$K$13:$K1000,Lookup!$M$13:$M1000,"missing",,1))</f>
        <v>787350.7266</v>
      </c>
      <c r="AE538" s="66">
        <f t="array" ref="AE538">IFS(B538&lt;66, XLOOKUP(year(A538),Lookup!$K$13:$K1000,Lookup!$N$13:$N1000,"missing",,1),B538&gt;65,XLOOKUP(questions!$C$5,Lookup!$K$13:$K1000,Lookup!$N$13:$N1000,"missing",,1))</f>
        <v>1574701.453</v>
      </c>
      <c r="AF538" s="37"/>
      <c r="AG538" s="37"/>
      <c r="AH538" s="37"/>
      <c r="AI538" s="37"/>
      <c r="AJ538" s="37"/>
      <c r="AK538" s="37"/>
      <c r="AL538" s="37"/>
      <c r="AM538" s="37"/>
      <c r="AN538" s="37"/>
      <c r="AO538" s="37"/>
      <c r="AP538" s="37"/>
      <c r="AQ538" s="37"/>
    </row>
    <row r="539">
      <c r="A539" s="55">
        <f t="shared" si="7"/>
        <v>62427</v>
      </c>
      <c r="B539" s="56">
        <f>round(YEARFRAC(EOMONTH(questions!$C$3, 0),A539,1),2)</f>
        <v>72</v>
      </c>
      <c r="C539" s="58">
        <f>IF(B539&lt;questions!$C$6,if(MONTH(A539)=1,C538*(1+questions!$C$12),C538),0)</f>
        <v>0</v>
      </c>
      <c r="D539" s="58">
        <f>IF(MONTH(A539)=12,C539*questions!$C$11,0)</f>
        <v>0</v>
      </c>
      <c r="E539" s="71">
        <f t="shared" si="2"/>
        <v>0</v>
      </c>
      <c r="F539" s="71">
        <f t="shared" si="3"/>
        <v>0</v>
      </c>
      <c r="G539" s="61">
        <f t="array" ref="G539">if(YEAR(A539)=2025,XLOOKUP(B539,Lookup!$A$3:$A$7,Lookup!$D$3:$D$7,,1)*SUM(E539:F539), XLOOKUP(B539,Lookup!$A$14:$A$18,Lookup!$D$14:$D$18,,1)*SUM(E539:F539))</f>
        <v>0</v>
      </c>
      <c r="H539" s="61">
        <f t="array" ref="H539">if(YEAR(A539)=2025,XLOOKUP(B539,Lookup!$F$3:$F$10,Lookup!$G$3:$G$10,,1)*G539, XLOOKUP(B539,Lookup!$F$14:$F$21,Lookup!$G$14:$G$21,,1)*G539)</f>
        <v>0</v>
      </c>
      <c r="I539" s="61">
        <f t="array" ref="I539">if(B539&lt;55, if(YEAR(A539)=2025,XLOOKUP(B539,Lookup!$F$3:$F$10,Lookup!$H$3:$H$10,,1)*G539, XLOOKUP(B539,Lookup!$F$14:$F$21,Lookup!$H$14:$H$21,,1)*G539),0)</f>
        <v>0</v>
      </c>
      <c r="J539" s="61">
        <f t="array" ref="J539">if(YEAR(A539)=2025,XLOOKUP(B539,Lookup!$F$3:$F$10,Lookup!$I$3:$I$10,,1)*G539, XLOOKUP(B539,Lookup!$F$14:$F$21,Lookup!$I$14:$I$21,,1)*G539)</f>
        <v>0</v>
      </c>
      <c r="K539" s="61">
        <f t="array" ref="K539">if(B539&gt;54, if(YEAR(A539)=2025,XLOOKUP(B539,Lookup!$F$3:$F$10,Lookup!$H$3:$H$10,,1)*G539, XLOOKUP(B539,Lookup!$F$14:$F$21,Lookup!$H$14:$H$21,,1)*G539),0)</f>
        <v>0</v>
      </c>
      <c r="L539" s="62">
        <f>IF(and(A539&lt;questions!$C$19,questions!$C$18="yes"),questions!$C$20,0)</f>
        <v>0</v>
      </c>
      <c r="M539" s="63">
        <f>(Y538+H539)*Lookup!A$26/12</f>
        <v>2372.445794</v>
      </c>
      <c r="N539" s="63">
        <f>if(B539&lt;55, (Z538+I539)*Lookup!B$26/12, (AB538+K539)*Lookup!B$26/12)</f>
        <v>3978.379771</v>
      </c>
      <c r="O539" s="63">
        <f>(AA538+J539)*Lookup!C$26/12</f>
        <v>940.3700287</v>
      </c>
      <c r="P539" s="63">
        <f t="shared" si="8"/>
        <v>26096.90374</v>
      </c>
      <c r="Q539" s="63">
        <f t="shared" si="4"/>
        <v>43762.17748</v>
      </c>
      <c r="R539" s="63">
        <f t="shared" si="5"/>
        <v>10344.07032</v>
      </c>
      <c r="S539" s="64">
        <f t="shared" si="9"/>
        <v>33.33333333</v>
      </c>
      <c r="T539" s="64">
        <f t="shared" si="10"/>
        <v>41.66666667</v>
      </c>
      <c r="U539" s="64">
        <f t="shared" si="11"/>
        <v>0</v>
      </c>
      <c r="V539" s="64">
        <f t="shared" ref="V539:X539" si="547">IF(year($A539)=year($A538), V538+S539, S539)</f>
        <v>366.6666667</v>
      </c>
      <c r="W539" s="64">
        <f t="shared" si="547"/>
        <v>458.3333333</v>
      </c>
      <c r="X539" s="64">
        <f t="shared" si="547"/>
        <v>0</v>
      </c>
      <c r="Y539" s="65">
        <f>IFS(
  B539&lt;55,
    MAX(
      Y538 + IF(MONTH(A539)=12, P539+V539, 0) + H539 - L539
      + MAX(0,
          IF(AA538 &gt;= VLOOKUP(YEAR(A539), Lookup!$Q:$R, 2),
            Z538 + IF(MONTH(A539)=12, Q539+W539, 0) + I539
              + AA538 + IF(MONTH(A539)=12, R539+X539, 0)
              - VLOOKUP(YEAR(A539), Lookup!$Q:$R, 2) + J539,
            Z538 + IF(MONTH(A539)=12, Q539+W539, 0) + I539
          ) - VLOOKUP(YEAR(A539), Lookup!$K:$M, 3)
        ),
    0),
  B539=55,
    IF(Z538&gt;=AD539,
      MAX(Y538 + IF(MONTH(A539)=12, P539+V539, 0) + H539 - L539, 0),
      MAX(MAX(0, Y538-(AD539-Z538)) + IF(MONTH(A539)=12, P539+V539, 0) + H539 - L539, 0)
    ),
  B539&gt;55,
    IF(AB538&gt;=$AH$7,
      MAX(Y538 + IF(MONTH(A539)=12, P539+V539, 0) + H539 - L539 + K539 + Z538, 0),
      MAX(Y538 + IF(MONTH(A539)=12, P539+V539, 0) + H539 - L539, 0)
    )
)</f>
        <v>1138773.981</v>
      </c>
      <c r="Z539" s="65">
        <f>IFS(
  B539&lt;55,
    MIN(
      IF(AA538 &gt;= VLOOKUP(YEAR(A539), Lookup!$Q:$R, 2),
        Z538 + IF(MONTH(A539)=12, Q539+W539, 0) + I539
          + AA538 + IF(MONTH(A539)=12, R539+X539, 0) - VLOOKUP(YEAR(A539), Lookup!$Q:$R, 2) + J539,
        Z538 + IF(MONTH(A539)=12, Q539+W539, 0) + I539
      ),
      VLOOKUP(YEAR(A539), Lookup!$K:$M, 3)
    ),
  B539=55,
    IF(Z538 &gt;= AD539, Z538 - AD539, 0),
  B539&gt;55, 0
)</f>
        <v>0</v>
      </c>
      <c r="AA539" s="65">
        <f>IFS(
  B539&lt;65,
    IF(AA538+J539 &lt; VLOOKUP(YEAR(A539), Lookup!$Q:$R, 2),
      AA538 + IF(MONTH(A539)=12, R538+X538, 0) + J539,
      MIN(
        AA538 + IF(MONTH(A539)=12, R538+X538, 0) + J539 ,
        VLOOKUP(YEAR(A539), Lookup!$Q:$R, 2)
      )
    ),
  B539&gt;=65,
    IF(AA538+J539 &lt; VLOOKUP(questions!$C$5, Lookup!$Q:$R, 2),
      AA538 + IF(MONTH(A539)=12, R538+X538, 0) + J539 ,
      MIN(
        AA538 + IF(MONTH(A539)=12, R538+X538, 0) + J539,
        VLOOKUP(questions!$C$5, Lookup!$Q:$R, 2)
      )
    )
)</f>
        <v>282111.0086</v>
      </c>
      <c r="AB539" s="65">
        <f t="shared" si="13"/>
        <v>1193513.931</v>
      </c>
      <c r="AC539" s="66">
        <f t="array" ref="AC539">IFS(B539&lt;66, XLOOKUP(year(A539),Lookup!$K$13:$K1000,Lookup!$L$13:$L1000,"missing",,1),B539&gt;65,XLOOKUP(questions!$C$5,Lookup!$K$13:$K1000,Lookup!$L$13:$L1000,"missing",,1))</f>
        <v>393675.3633</v>
      </c>
      <c r="AD539" s="66">
        <f t="array" ref="AD539">IFS(B539&lt;66, XLOOKUP(year(A539),Lookup!$K$13:$K1000,Lookup!$M$13:$M1000,"missing",,1),B539&gt;65, XLOOKUP(questions!$C$5,Lookup!$K$13:$K1000,Lookup!$M$13:$M1000,"missing",,1))</f>
        <v>787350.7266</v>
      </c>
      <c r="AE539" s="66">
        <f t="array" ref="AE539">IFS(B539&lt;66, XLOOKUP(year(A539),Lookup!$K$13:$K1000,Lookup!$N$13:$N1000,"missing",,1),B539&gt;65,XLOOKUP(questions!$C$5,Lookup!$K$13:$K1000,Lookup!$N$13:$N1000,"missing",,1))</f>
        <v>1574701.453</v>
      </c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7"/>
      <c r="AQ539" s="37"/>
    </row>
    <row r="540">
      <c r="A540" s="55">
        <f t="shared" si="7"/>
        <v>62458</v>
      </c>
      <c r="B540" s="56">
        <f>round(YEARFRAC(EOMONTH(questions!$C$3, 0),A540,1),2)</f>
        <v>72.08</v>
      </c>
      <c r="C540" s="58">
        <f>IF(B540&lt;questions!$C$6,if(MONTH(A540)=1,C539*(1+questions!$C$12),C539),0)</f>
        <v>0</v>
      </c>
      <c r="D540" s="58">
        <f>IF(MONTH(A540)=12,C540*questions!$C$11,0)</f>
        <v>0</v>
      </c>
      <c r="E540" s="71">
        <f t="shared" si="2"/>
        <v>0</v>
      </c>
      <c r="F540" s="71">
        <f t="shared" si="3"/>
        <v>0</v>
      </c>
      <c r="G540" s="61">
        <f t="array" ref="G540">if(YEAR(A540)=2025,XLOOKUP(B540,Lookup!$A$3:$A$7,Lookup!$D$3:$D$7,,1)*SUM(E540:F540), XLOOKUP(B540,Lookup!$A$14:$A$18,Lookup!$D$14:$D$18,,1)*SUM(E540:F540))</f>
        <v>0</v>
      </c>
      <c r="H540" s="61">
        <f t="array" ref="H540">if(YEAR(A540)=2025,XLOOKUP(B540,Lookup!$F$3:$F$10,Lookup!$G$3:$G$10,,1)*G540, XLOOKUP(B540,Lookup!$F$14:$F$21,Lookup!$G$14:$G$21,,1)*G540)</f>
        <v>0</v>
      </c>
      <c r="I540" s="61">
        <f t="array" ref="I540">if(B540&lt;55, if(YEAR(A540)=2025,XLOOKUP(B540,Lookup!$F$3:$F$10,Lookup!$H$3:$H$10,,1)*G540, XLOOKUP(B540,Lookup!$F$14:$F$21,Lookup!$H$14:$H$21,,1)*G540),0)</f>
        <v>0</v>
      </c>
      <c r="J540" s="61">
        <f t="array" ref="J540">if(YEAR(A540)=2025,XLOOKUP(B540,Lookup!$F$3:$F$10,Lookup!$I$3:$I$10,,1)*G540, XLOOKUP(B540,Lookup!$F$14:$F$21,Lookup!$I$14:$I$21,,1)*G540)</f>
        <v>0</v>
      </c>
      <c r="K540" s="61">
        <f t="array" ref="K540">if(B540&gt;54, if(YEAR(A540)=2025,XLOOKUP(B540,Lookup!$F$3:$F$10,Lookup!$H$3:$H$10,,1)*G540, XLOOKUP(B540,Lookup!$F$14:$F$21,Lookup!$H$14:$H$21,,1)*G540),0)</f>
        <v>0</v>
      </c>
      <c r="L540" s="62">
        <f>IF(and(A540&lt;questions!$C$19,questions!$C$18="yes"),questions!$C$20,0)</f>
        <v>0</v>
      </c>
      <c r="M540" s="63">
        <f>(Y539+H540)*Lookup!A$26/12</f>
        <v>2372.445794</v>
      </c>
      <c r="N540" s="63">
        <f>if(B540&lt;55, (Z539+I540)*Lookup!B$26/12, (AB539+K540)*Lookup!B$26/12)</f>
        <v>3978.379771</v>
      </c>
      <c r="O540" s="63">
        <f>(AA539+J540)*Lookup!C$26/12</f>
        <v>940.3700287</v>
      </c>
      <c r="P540" s="63">
        <f t="shared" si="8"/>
        <v>28469.34953</v>
      </c>
      <c r="Q540" s="63">
        <f t="shared" si="4"/>
        <v>47740.55725</v>
      </c>
      <c r="R540" s="63">
        <f t="shared" si="5"/>
        <v>11284.44034</v>
      </c>
      <c r="S540" s="64">
        <f t="shared" si="9"/>
        <v>33.33333333</v>
      </c>
      <c r="T540" s="64">
        <f t="shared" si="10"/>
        <v>41.66666667</v>
      </c>
      <c r="U540" s="64">
        <f t="shared" si="11"/>
        <v>0</v>
      </c>
      <c r="V540" s="64">
        <f t="shared" ref="V540:X540" si="548">IF(year($A540)=year($A539), V539+S540, S540)</f>
        <v>400</v>
      </c>
      <c r="W540" s="64">
        <f t="shared" si="548"/>
        <v>500</v>
      </c>
      <c r="X540" s="64">
        <f t="shared" si="548"/>
        <v>0</v>
      </c>
      <c r="Y540" s="65">
        <f>IFS(
  B540&lt;55,
    MAX(
      Y539 + IF(MONTH(A540)=12, P540+V540, 0) + H540 - L540
      + MAX(0,
          IF(AA539 &gt;= VLOOKUP(YEAR(A540), Lookup!$Q:$R, 2),
            Z539 + IF(MONTH(A540)=12, Q540+W540, 0) + I540
              + AA539 + IF(MONTH(A540)=12, R540+X540, 0)
              - VLOOKUP(YEAR(A540), Lookup!$Q:$R, 2) + J540,
            Z539 + IF(MONTH(A540)=12, Q540+W540, 0) + I540
          ) - VLOOKUP(YEAR(A540), Lookup!$K:$M, 3)
        ),
    0),
  B540=55,
    IF(Z539&gt;=AD540,
      MAX(Y539 + IF(MONTH(A540)=12, P540+V540, 0) + H540 - L540, 0),
      MAX(MAX(0, Y539-(AD540-Z539)) + IF(MONTH(A540)=12, P540+V540, 0) + H540 - L540, 0)
    ),
  B540&gt;55,
    IF(AB539&gt;=$AH$7,
      MAX(Y539 + IF(MONTH(A540)=12, P540+V540, 0) + H540 - L540 + K540 + Z539, 0),
      MAX(Y539 + IF(MONTH(A540)=12, P540+V540, 0) + H540 - L540, 0)
    )
)</f>
        <v>1167643.331</v>
      </c>
      <c r="Z540" s="65">
        <f>IFS(
  B540&lt;55,
    MIN(
      IF(AA539 &gt;= VLOOKUP(YEAR(A540), Lookup!$Q:$R, 2),
        Z539 + IF(MONTH(A540)=12, Q540+W540, 0) + I540
          + AA539 + IF(MONTH(A540)=12, R540+X540, 0) - VLOOKUP(YEAR(A540), Lookup!$Q:$R, 2) + J540,
        Z539 + IF(MONTH(A540)=12, Q540+W540, 0) + I540
      ),
      VLOOKUP(YEAR(A540), Lookup!$K:$M, 3)
    ),
  B540=55,
    IF(Z539 &gt;= AD540, Z539 - AD540, 0),
  B540&gt;55, 0
)</f>
        <v>0</v>
      </c>
      <c r="AA540" s="65">
        <f>IFS(
  B540&lt;65,
    IF(AA539+J540 &lt; VLOOKUP(YEAR(A540), Lookup!$Q:$R, 2),
      AA539 + IF(MONTH(A540)=12, R539+X539, 0) + J540,
      MIN(
        AA539 + IF(MONTH(A540)=12, R539+X539, 0) + J540 ,
        VLOOKUP(YEAR(A540), Lookup!$Q:$R, 2)
      )
    ),
  B540&gt;=65,
    IF(AA539+J540 &lt; VLOOKUP(questions!$C$5, Lookup!$Q:$R, 2),
      AA539 + IF(MONTH(A540)=12, R539+X539, 0) + J540 ,
      MIN(
        AA539 + IF(MONTH(A540)=12, R539+X539, 0) + J540,
        VLOOKUP(questions!$C$5, Lookup!$Q:$R, 2)
      )
    )
)</f>
        <v>282111.0086</v>
      </c>
      <c r="AB540" s="65">
        <f t="shared" si="13"/>
        <v>1241754.489</v>
      </c>
      <c r="AC540" s="66">
        <f t="array" ref="AC540">IFS(B540&lt;66, XLOOKUP(year(A540),Lookup!$K$13:$K1000,Lookup!$L$13:$L1000,"missing",,1),B540&gt;65,XLOOKUP(questions!$C$5,Lookup!$K$13:$K1000,Lookup!$L$13:$L1000,"missing",,1))</f>
        <v>393675.3633</v>
      </c>
      <c r="AD540" s="66">
        <f t="array" ref="AD540">IFS(B540&lt;66, XLOOKUP(year(A540),Lookup!$K$13:$K1000,Lookup!$M$13:$M1000,"missing",,1),B540&gt;65, XLOOKUP(questions!$C$5,Lookup!$K$13:$K1000,Lookup!$M$13:$M1000,"missing",,1))</f>
        <v>787350.7266</v>
      </c>
      <c r="AE540" s="66">
        <f t="array" ref="AE540">IFS(B540&lt;66, XLOOKUP(year(A540),Lookup!$K$13:$K1000,Lookup!$N$13:$N1000,"missing",,1),B540&gt;65,XLOOKUP(questions!$C$5,Lookup!$K$13:$K1000,Lookup!$N$13:$N1000,"missing",,1))</f>
        <v>1574701.453</v>
      </c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  <c r="AQ540" s="37"/>
    </row>
    <row r="541">
      <c r="A541" s="55">
        <f t="shared" si="7"/>
        <v>62489</v>
      </c>
      <c r="B541" s="56">
        <f>round(YEARFRAC(EOMONTH(questions!$C$3, 0),A541,1),2)</f>
        <v>72.17</v>
      </c>
      <c r="C541" s="58">
        <f>IF(B541&lt;questions!$C$6,if(MONTH(A541)=1,C540*(1+questions!$C$12),C540),0)</f>
        <v>0</v>
      </c>
      <c r="D541" s="58">
        <f>IF(MONTH(A541)=12,C541*questions!$C$11,0)</f>
        <v>0</v>
      </c>
      <c r="E541" s="71">
        <f t="shared" si="2"/>
        <v>0</v>
      </c>
      <c r="F541" s="71">
        <f t="shared" si="3"/>
        <v>0</v>
      </c>
      <c r="G541" s="61">
        <f t="array" ref="G541">if(YEAR(A541)=2025,XLOOKUP(B541,Lookup!$A$3:$A$7,Lookup!$D$3:$D$7,,1)*SUM(E541:F541), XLOOKUP(B541,Lookup!$A$14:$A$18,Lookup!$D$14:$D$18,,1)*SUM(E541:F541))</f>
        <v>0</v>
      </c>
      <c r="H541" s="61">
        <f t="array" ref="H541">if(YEAR(A541)=2025,XLOOKUP(B541,Lookup!$F$3:$F$10,Lookup!$G$3:$G$10,,1)*G541, XLOOKUP(B541,Lookup!$F$14:$F$21,Lookup!$G$14:$G$21,,1)*G541)</f>
        <v>0</v>
      </c>
      <c r="I541" s="61">
        <f t="array" ref="I541">if(B541&lt;55, if(YEAR(A541)=2025,XLOOKUP(B541,Lookup!$F$3:$F$10,Lookup!$H$3:$H$10,,1)*G541, XLOOKUP(B541,Lookup!$F$14:$F$21,Lookup!$H$14:$H$21,,1)*G541),0)</f>
        <v>0</v>
      </c>
      <c r="J541" s="61">
        <f t="array" ref="J541">if(YEAR(A541)=2025,XLOOKUP(B541,Lookup!$F$3:$F$10,Lookup!$I$3:$I$10,,1)*G541, XLOOKUP(B541,Lookup!$F$14:$F$21,Lookup!$I$14:$I$21,,1)*G541)</f>
        <v>0</v>
      </c>
      <c r="K541" s="61">
        <f t="array" ref="K541">if(B541&gt;54, if(YEAR(A541)=2025,XLOOKUP(B541,Lookup!$F$3:$F$10,Lookup!$H$3:$H$10,,1)*G541, XLOOKUP(B541,Lookup!$F$14:$F$21,Lookup!$H$14:$H$21,,1)*G541),0)</f>
        <v>0</v>
      </c>
      <c r="L541" s="62">
        <f>IF(and(A541&lt;questions!$C$19,questions!$C$18="yes"),questions!$C$20,0)</f>
        <v>0</v>
      </c>
      <c r="M541" s="63">
        <f>(Y540+H541)*Lookup!A$26/12</f>
        <v>2432.590273</v>
      </c>
      <c r="N541" s="63">
        <f>if(B541&lt;55, (Z540+I541)*Lookup!B$26/12, (AB540+K541)*Lookup!B$26/12)</f>
        <v>4139.181629</v>
      </c>
      <c r="O541" s="63">
        <f>(AA540+J541)*Lookup!C$26/12</f>
        <v>940.3700287</v>
      </c>
      <c r="P541" s="63">
        <f t="shared" si="8"/>
        <v>2432.590273</v>
      </c>
      <c r="Q541" s="63">
        <f t="shared" si="4"/>
        <v>4139.181629</v>
      </c>
      <c r="R541" s="63">
        <f t="shared" si="5"/>
        <v>940.3700287</v>
      </c>
      <c r="S541" s="64">
        <f t="shared" si="9"/>
        <v>33.33333333</v>
      </c>
      <c r="T541" s="64">
        <f t="shared" si="10"/>
        <v>41.66666667</v>
      </c>
      <c r="U541" s="64">
        <f t="shared" si="11"/>
        <v>0</v>
      </c>
      <c r="V541" s="64">
        <f t="shared" ref="V541:X541" si="549">IF(year($A541)=year($A540), V540+S541, S541)</f>
        <v>33.33333333</v>
      </c>
      <c r="W541" s="64">
        <f t="shared" si="549"/>
        <v>41.66666667</v>
      </c>
      <c r="X541" s="64">
        <f t="shared" si="549"/>
        <v>0</v>
      </c>
      <c r="Y541" s="65">
        <f>IFS(
  B541&lt;55,
    MAX(
      Y540 + IF(MONTH(A541)=12, P541+V541, 0) + H541 - L541
      + MAX(0,
          IF(AA540 &gt;= VLOOKUP(YEAR(A541), Lookup!$Q:$R, 2),
            Z540 + IF(MONTH(A541)=12, Q541+W541, 0) + I541
              + AA540 + IF(MONTH(A541)=12, R541+X541, 0)
              - VLOOKUP(YEAR(A541), Lookup!$Q:$R, 2) + J541,
            Z540 + IF(MONTH(A541)=12, Q541+W541, 0) + I541
          ) - VLOOKUP(YEAR(A541), Lookup!$K:$M, 3)
        ),
    0),
  B541=55,
    IF(Z540&gt;=AD541,
      MAX(Y540 + IF(MONTH(A541)=12, P541+V541, 0) + H541 - L541, 0),
      MAX(MAX(0, Y540-(AD541-Z540)) + IF(MONTH(A541)=12, P541+V541, 0) + H541 - L541, 0)
    ),
  B541&gt;55,
    IF(AB540&gt;=$AH$7,
      MAX(Y540 + IF(MONTH(A541)=12, P541+V541, 0) + H541 - L541 + K541 + Z540, 0),
      MAX(Y540 + IF(MONTH(A541)=12, P541+V541, 0) + H541 - L541, 0)
    )
)</f>
        <v>1167643.331</v>
      </c>
      <c r="Z541" s="65">
        <f>IFS(
  B541&lt;55,
    MIN(
      IF(AA540 &gt;= VLOOKUP(YEAR(A541), Lookup!$Q:$R, 2),
        Z540 + IF(MONTH(A541)=12, Q541+W541, 0) + I541
          + AA540 + IF(MONTH(A541)=12, R541+X541, 0) - VLOOKUP(YEAR(A541), Lookup!$Q:$R, 2) + J541,
        Z540 + IF(MONTH(A541)=12, Q541+W541, 0) + I541
      ),
      VLOOKUP(YEAR(A541), Lookup!$K:$M, 3)
    ),
  B541=55,
    IF(Z540 &gt;= AD541, Z540 - AD541, 0),
  B541&gt;55, 0
)</f>
        <v>0</v>
      </c>
      <c r="AA541" s="65">
        <f>IFS(
  B541&lt;65,
    IF(AA540+J541 &lt; VLOOKUP(YEAR(A541), Lookup!$Q:$R, 2),
      AA540 + IF(MONTH(A541)=12, R540+X540, 0) + J541,
      MIN(
        AA540 + IF(MONTH(A541)=12, R540+X540, 0) + J541 ,
        VLOOKUP(YEAR(A541), Lookup!$Q:$R, 2)
      )
    ),
  B541&gt;=65,
    IF(AA540+J541 &lt; VLOOKUP(questions!$C$5, Lookup!$Q:$R, 2),
      AA540 + IF(MONTH(A541)=12, R540+X540, 0) + J541 ,
      MIN(
        AA540 + IF(MONTH(A541)=12, R540+X540, 0) + J541,
        VLOOKUP(questions!$C$5, Lookup!$Q:$R, 2)
      )
    )
)</f>
        <v>282111.0086</v>
      </c>
      <c r="AB541" s="65">
        <f t="shared" si="13"/>
        <v>1241754.489</v>
      </c>
      <c r="AC541" s="66">
        <f t="array" ref="AC541">IFS(B541&lt;66, XLOOKUP(year(A541),Lookup!$K$13:$K1000,Lookup!$L$13:$L1000,"missing",,1),B541&gt;65,XLOOKUP(questions!$C$5,Lookup!$K$13:$K1000,Lookup!$L$13:$L1000,"missing",,1))</f>
        <v>393675.3633</v>
      </c>
      <c r="AD541" s="66">
        <f t="array" ref="AD541">IFS(B541&lt;66, XLOOKUP(year(A541),Lookup!$K$13:$K1000,Lookup!$M$13:$M1000,"missing",,1),B541&gt;65, XLOOKUP(questions!$C$5,Lookup!$K$13:$K1000,Lookup!$M$13:$M1000,"missing",,1))</f>
        <v>787350.7266</v>
      </c>
      <c r="AE541" s="66">
        <f t="array" ref="AE541">IFS(B541&lt;66, XLOOKUP(year(A541),Lookup!$K$13:$K1000,Lookup!$N$13:$N1000,"missing",,1),B541&gt;65,XLOOKUP(questions!$C$5,Lookup!$K$13:$K1000,Lookup!$N$13:$N1000,"missing",,1))</f>
        <v>1574701.453</v>
      </c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</row>
    <row r="542">
      <c r="A542" s="55">
        <f t="shared" si="7"/>
        <v>62517</v>
      </c>
      <c r="B542" s="56">
        <f>round(YEARFRAC(EOMONTH(questions!$C$3, 0),A542,1),2)</f>
        <v>72.25</v>
      </c>
      <c r="C542" s="58">
        <f>IF(B542&lt;questions!$C$6,if(MONTH(A542)=1,C541*(1+questions!$C$12),C541),0)</f>
        <v>0</v>
      </c>
      <c r="D542" s="58">
        <f>IF(MONTH(A542)=12,C542*questions!$C$11,0)</f>
        <v>0</v>
      </c>
      <c r="E542" s="71">
        <f t="shared" si="2"/>
        <v>0</v>
      </c>
      <c r="F542" s="71">
        <f t="shared" si="3"/>
        <v>0</v>
      </c>
      <c r="G542" s="61">
        <f t="array" ref="G542">if(YEAR(A542)=2025,XLOOKUP(B542,Lookup!$A$3:$A$7,Lookup!$D$3:$D$7,,1)*SUM(E542:F542), XLOOKUP(B542,Lookup!$A$14:$A$18,Lookup!$D$14:$D$18,,1)*SUM(E542:F542))</f>
        <v>0</v>
      </c>
      <c r="H542" s="61">
        <f t="array" ref="H542">if(YEAR(A542)=2025,XLOOKUP(B542,Lookup!$F$3:$F$10,Lookup!$G$3:$G$10,,1)*G542, XLOOKUP(B542,Lookup!$F$14:$F$21,Lookup!$G$14:$G$21,,1)*G542)</f>
        <v>0</v>
      </c>
      <c r="I542" s="61">
        <f t="array" ref="I542">if(B542&lt;55, if(YEAR(A542)=2025,XLOOKUP(B542,Lookup!$F$3:$F$10,Lookup!$H$3:$H$10,,1)*G542, XLOOKUP(B542,Lookup!$F$14:$F$21,Lookup!$H$14:$H$21,,1)*G542),0)</f>
        <v>0</v>
      </c>
      <c r="J542" s="61">
        <f t="array" ref="J542">if(YEAR(A542)=2025,XLOOKUP(B542,Lookup!$F$3:$F$10,Lookup!$I$3:$I$10,,1)*G542, XLOOKUP(B542,Lookup!$F$14:$F$21,Lookup!$I$14:$I$21,,1)*G542)</f>
        <v>0</v>
      </c>
      <c r="K542" s="61">
        <f t="array" ref="K542">if(B542&gt;54, if(YEAR(A542)=2025,XLOOKUP(B542,Lookup!$F$3:$F$10,Lookup!$H$3:$H$10,,1)*G542, XLOOKUP(B542,Lookup!$F$14:$F$21,Lookup!$H$14:$H$21,,1)*G542),0)</f>
        <v>0</v>
      </c>
      <c r="L542" s="62">
        <f>IF(and(A542&lt;questions!$C$19,questions!$C$18="yes"),questions!$C$20,0)</f>
        <v>0</v>
      </c>
      <c r="M542" s="63">
        <f>(Y541+H542)*Lookup!A$26/12</f>
        <v>2432.590273</v>
      </c>
      <c r="N542" s="63">
        <f>if(B542&lt;55, (Z541+I542)*Lookup!B$26/12, (AB541+K542)*Lookup!B$26/12)</f>
        <v>4139.181629</v>
      </c>
      <c r="O542" s="63">
        <f>(AA541+J542)*Lookup!C$26/12</f>
        <v>940.3700287</v>
      </c>
      <c r="P542" s="63">
        <f t="shared" si="8"/>
        <v>4865.180545</v>
      </c>
      <c r="Q542" s="63">
        <f t="shared" si="4"/>
        <v>8278.363257</v>
      </c>
      <c r="R542" s="63">
        <f t="shared" si="5"/>
        <v>1880.740057</v>
      </c>
      <c r="S542" s="64">
        <f t="shared" si="9"/>
        <v>33.33333333</v>
      </c>
      <c r="T542" s="64">
        <f t="shared" si="10"/>
        <v>41.66666667</v>
      </c>
      <c r="U542" s="64">
        <f t="shared" si="11"/>
        <v>0</v>
      </c>
      <c r="V542" s="64">
        <f t="shared" ref="V542:X542" si="550">IF(year($A542)=year($A541), V541+S542, S542)</f>
        <v>66.66666667</v>
      </c>
      <c r="W542" s="64">
        <f t="shared" si="550"/>
        <v>83.33333333</v>
      </c>
      <c r="X542" s="64">
        <f t="shared" si="550"/>
        <v>0</v>
      </c>
      <c r="Y542" s="65">
        <f>IFS(
  B542&lt;55,
    MAX(
      Y541 + IF(MONTH(A542)=12, P542+V542, 0) + H542 - L542
      + MAX(0,
          IF(AA541 &gt;= VLOOKUP(YEAR(A542), Lookup!$Q:$R, 2),
            Z541 + IF(MONTH(A542)=12, Q542+W542, 0) + I542
              + AA541 + IF(MONTH(A542)=12, R542+X542, 0)
              - VLOOKUP(YEAR(A542), Lookup!$Q:$R, 2) + J542,
            Z541 + IF(MONTH(A542)=12, Q542+W542, 0) + I542
          ) - VLOOKUP(YEAR(A542), Lookup!$K:$M, 3)
        ),
    0),
  B542=55,
    IF(Z541&gt;=AD542,
      MAX(Y541 + IF(MONTH(A542)=12, P542+V542, 0) + H542 - L542, 0),
      MAX(MAX(0, Y541-(AD542-Z541)) + IF(MONTH(A542)=12, P542+V542, 0) + H542 - L542, 0)
    ),
  B542&gt;55,
    IF(AB541&gt;=$AH$7,
      MAX(Y541 + IF(MONTH(A542)=12, P542+V542, 0) + H542 - L542 + K542 + Z541, 0),
      MAX(Y541 + IF(MONTH(A542)=12, P542+V542, 0) + H542 - L542, 0)
    )
)</f>
        <v>1167643.331</v>
      </c>
      <c r="Z542" s="65">
        <f>IFS(
  B542&lt;55,
    MIN(
      IF(AA541 &gt;= VLOOKUP(YEAR(A542), Lookup!$Q:$R, 2),
        Z541 + IF(MONTH(A542)=12, Q542+W542, 0) + I542
          + AA541 + IF(MONTH(A542)=12, R542+X542, 0) - VLOOKUP(YEAR(A542), Lookup!$Q:$R, 2) + J542,
        Z541 + IF(MONTH(A542)=12, Q542+W542, 0) + I542
      ),
      VLOOKUP(YEAR(A542), Lookup!$K:$M, 3)
    ),
  B542=55,
    IF(Z541 &gt;= AD542, Z541 - AD542, 0),
  B542&gt;55, 0
)</f>
        <v>0</v>
      </c>
      <c r="AA542" s="65">
        <f>IFS(
  B542&lt;65,
    IF(AA541+J542 &lt; VLOOKUP(YEAR(A542), Lookup!$Q:$R, 2),
      AA541 + IF(MONTH(A542)=12, R541+X541, 0) + J542,
      MIN(
        AA541 + IF(MONTH(A542)=12, R541+X541, 0) + J542 ,
        VLOOKUP(YEAR(A542), Lookup!$Q:$R, 2)
      )
    ),
  B542&gt;=65,
    IF(AA541+J542 &lt; VLOOKUP(questions!$C$5, Lookup!$Q:$R, 2),
      AA541 + IF(MONTH(A542)=12, R541+X541, 0) + J542 ,
      MIN(
        AA541 + IF(MONTH(A542)=12, R541+X541, 0) + J542,
        VLOOKUP(questions!$C$5, Lookup!$Q:$R, 2)
      )
    )
)</f>
        <v>282111.0086</v>
      </c>
      <c r="AB542" s="65">
        <f t="shared" si="13"/>
        <v>1241754.489</v>
      </c>
      <c r="AC542" s="66">
        <f t="array" ref="AC542">IFS(B542&lt;66, XLOOKUP(year(A542),Lookup!$K$13:$K1000,Lookup!$L$13:$L1000,"missing",,1),B542&gt;65,XLOOKUP(questions!$C$5,Lookup!$K$13:$K1000,Lookup!$L$13:$L1000,"missing",,1))</f>
        <v>393675.3633</v>
      </c>
      <c r="AD542" s="66">
        <f t="array" ref="AD542">IFS(B542&lt;66, XLOOKUP(year(A542),Lookup!$K$13:$K1000,Lookup!$M$13:$M1000,"missing",,1),B542&gt;65, XLOOKUP(questions!$C$5,Lookup!$K$13:$K1000,Lookup!$M$13:$M1000,"missing",,1))</f>
        <v>787350.7266</v>
      </c>
      <c r="AE542" s="66">
        <f t="array" ref="AE542">IFS(B542&lt;66, XLOOKUP(year(A542),Lookup!$K$13:$K1000,Lookup!$N$13:$N1000,"missing",,1),B542&gt;65,XLOOKUP(questions!$C$5,Lookup!$K$13:$K1000,Lookup!$N$13:$N1000,"missing",,1))</f>
        <v>1574701.453</v>
      </c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</row>
    <row r="543">
      <c r="A543" s="55">
        <f t="shared" si="7"/>
        <v>62548</v>
      </c>
      <c r="B543" s="56">
        <f>round(YEARFRAC(EOMONTH(questions!$C$3, 0),A543,1),2)</f>
        <v>72.33</v>
      </c>
      <c r="C543" s="58">
        <f>IF(B543&lt;questions!$C$6,if(MONTH(A543)=1,C542*(1+questions!$C$12),C542),0)</f>
        <v>0</v>
      </c>
      <c r="D543" s="58">
        <f>IF(MONTH(A543)=12,C543*questions!$C$11,0)</f>
        <v>0</v>
      </c>
      <c r="E543" s="71">
        <f t="shared" si="2"/>
        <v>0</v>
      </c>
      <c r="F543" s="71">
        <f t="shared" si="3"/>
        <v>0</v>
      </c>
      <c r="G543" s="61">
        <f t="array" ref="G543">if(YEAR(A543)=2025,XLOOKUP(B543,Lookup!$A$3:$A$7,Lookup!$D$3:$D$7,,1)*SUM(E543:F543), XLOOKUP(B543,Lookup!$A$14:$A$18,Lookup!$D$14:$D$18,,1)*SUM(E543:F543))</f>
        <v>0</v>
      </c>
      <c r="H543" s="61">
        <f t="array" ref="H543">if(YEAR(A543)=2025,XLOOKUP(B543,Lookup!$F$3:$F$10,Lookup!$G$3:$G$10,,1)*G543, XLOOKUP(B543,Lookup!$F$14:$F$21,Lookup!$G$14:$G$21,,1)*G543)</f>
        <v>0</v>
      </c>
      <c r="I543" s="61">
        <f t="array" ref="I543">if(B543&lt;55, if(YEAR(A543)=2025,XLOOKUP(B543,Lookup!$F$3:$F$10,Lookup!$H$3:$H$10,,1)*G543, XLOOKUP(B543,Lookup!$F$14:$F$21,Lookup!$H$14:$H$21,,1)*G543),0)</f>
        <v>0</v>
      </c>
      <c r="J543" s="61">
        <f t="array" ref="J543">if(YEAR(A543)=2025,XLOOKUP(B543,Lookup!$F$3:$F$10,Lookup!$I$3:$I$10,,1)*G543, XLOOKUP(B543,Lookup!$F$14:$F$21,Lookup!$I$14:$I$21,,1)*G543)</f>
        <v>0</v>
      </c>
      <c r="K543" s="61">
        <f t="array" ref="K543">if(B543&gt;54, if(YEAR(A543)=2025,XLOOKUP(B543,Lookup!$F$3:$F$10,Lookup!$H$3:$H$10,,1)*G543, XLOOKUP(B543,Lookup!$F$14:$F$21,Lookup!$H$14:$H$21,,1)*G543),0)</f>
        <v>0</v>
      </c>
      <c r="L543" s="62">
        <f>IF(and(A543&lt;questions!$C$19,questions!$C$18="yes"),questions!$C$20,0)</f>
        <v>0</v>
      </c>
      <c r="M543" s="63">
        <f>(Y542+H543)*Lookup!A$26/12</f>
        <v>2432.590273</v>
      </c>
      <c r="N543" s="63">
        <f>if(B543&lt;55, (Z542+I543)*Lookup!B$26/12, (AB542+K543)*Lookup!B$26/12)</f>
        <v>4139.181629</v>
      </c>
      <c r="O543" s="63">
        <f>(AA542+J543)*Lookup!C$26/12</f>
        <v>940.3700287</v>
      </c>
      <c r="P543" s="63">
        <f t="shared" si="8"/>
        <v>7297.770818</v>
      </c>
      <c r="Q543" s="63">
        <f t="shared" si="4"/>
        <v>12417.54489</v>
      </c>
      <c r="R543" s="63">
        <f t="shared" si="5"/>
        <v>2821.110086</v>
      </c>
      <c r="S543" s="64">
        <f t="shared" si="9"/>
        <v>33.33333333</v>
      </c>
      <c r="T543" s="64">
        <f t="shared" si="10"/>
        <v>41.66666667</v>
      </c>
      <c r="U543" s="64">
        <f t="shared" si="11"/>
        <v>0</v>
      </c>
      <c r="V543" s="64">
        <f t="shared" ref="V543:X543" si="551">IF(year($A543)=year($A542), V542+S543, S543)</f>
        <v>100</v>
      </c>
      <c r="W543" s="64">
        <f t="shared" si="551"/>
        <v>125</v>
      </c>
      <c r="X543" s="64">
        <f t="shared" si="551"/>
        <v>0</v>
      </c>
      <c r="Y543" s="65">
        <f>IFS(
  B543&lt;55,
    MAX(
      Y542 + IF(MONTH(A543)=12, P543+V543, 0) + H543 - L543
      + MAX(0,
          IF(AA542 &gt;= VLOOKUP(YEAR(A543), Lookup!$Q:$R, 2),
            Z542 + IF(MONTH(A543)=12, Q543+W543, 0) + I543
              + AA542 + IF(MONTH(A543)=12, R543+X543, 0)
              - VLOOKUP(YEAR(A543), Lookup!$Q:$R, 2) + J543,
            Z542 + IF(MONTH(A543)=12, Q543+W543, 0) + I543
          ) - VLOOKUP(YEAR(A543), Lookup!$K:$M, 3)
        ),
    0),
  B543=55,
    IF(Z542&gt;=AD543,
      MAX(Y542 + IF(MONTH(A543)=12, P543+V543, 0) + H543 - L543, 0),
      MAX(MAX(0, Y542-(AD543-Z542)) + IF(MONTH(A543)=12, P543+V543, 0) + H543 - L543, 0)
    ),
  B543&gt;55,
    IF(AB542&gt;=$AH$7,
      MAX(Y542 + IF(MONTH(A543)=12, P543+V543, 0) + H543 - L543 + K543 + Z542, 0),
      MAX(Y542 + IF(MONTH(A543)=12, P543+V543, 0) + H543 - L543, 0)
    )
)</f>
        <v>1167643.331</v>
      </c>
      <c r="Z543" s="65">
        <f>IFS(
  B543&lt;55,
    MIN(
      IF(AA542 &gt;= VLOOKUP(YEAR(A543), Lookup!$Q:$R, 2),
        Z542 + IF(MONTH(A543)=12, Q543+W543, 0) + I543
          + AA542 + IF(MONTH(A543)=12, R543+X543, 0) - VLOOKUP(YEAR(A543), Lookup!$Q:$R, 2) + J543,
        Z542 + IF(MONTH(A543)=12, Q543+W543, 0) + I543
      ),
      VLOOKUP(YEAR(A543), Lookup!$K:$M, 3)
    ),
  B543=55,
    IF(Z542 &gt;= AD543, Z542 - AD543, 0),
  B543&gt;55, 0
)</f>
        <v>0</v>
      </c>
      <c r="AA543" s="65">
        <f>IFS(
  B543&lt;65,
    IF(AA542+J543 &lt; VLOOKUP(YEAR(A543), Lookup!$Q:$R, 2),
      AA542 + IF(MONTH(A543)=12, R542+X542, 0) + J543,
      MIN(
        AA542 + IF(MONTH(A543)=12, R542+X542, 0) + J543 ,
        VLOOKUP(YEAR(A543), Lookup!$Q:$R, 2)
      )
    ),
  B543&gt;=65,
    IF(AA542+J543 &lt; VLOOKUP(questions!$C$5, Lookup!$Q:$R, 2),
      AA542 + IF(MONTH(A543)=12, R542+X542, 0) + J543 ,
      MIN(
        AA542 + IF(MONTH(A543)=12, R542+X542, 0) + J543,
        VLOOKUP(questions!$C$5, Lookup!$Q:$R, 2)
      )
    )
)</f>
        <v>282111.0086</v>
      </c>
      <c r="AB543" s="65">
        <f t="shared" si="13"/>
        <v>1241754.489</v>
      </c>
      <c r="AC543" s="66">
        <f t="array" ref="AC543">IFS(B543&lt;66, XLOOKUP(year(A543),Lookup!$K$13:$K1000,Lookup!$L$13:$L1000,"missing",,1),B543&gt;65,XLOOKUP(questions!$C$5,Lookup!$K$13:$K1000,Lookup!$L$13:$L1000,"missing",,1))</f>
        <v>393675.3633</v>
      </c>
      <c r="AD543" s="66">
        <f t="array" ref="AD543">IFS(B543&lt;66, XLOOKUP(year(A543),Lookup!$K$13:$K1000,Lookup!$M$13:$M1000,"missing",,1),B543&gt;65, XLOOKUP(questions!$C$5,Lookup!$K$13:$K1000,Lookup!$M$13:$M1000,"missing",,1))</f>
        <v>787350.7266</v>
      </c>
      <c r="AE543" s="66">
        <f t="array" ref="AE543">IFS(B543&lt;66, XLOOKUP(year(A543),Lookup!$K$13:$K1000,Lookup!$N$13:$N1000,"missing",,1),B543&gt;65,XLOOKUP(questions!$C$5,Lookup!$K$13:$K1000,Lookup!$N$13:$N1000,"missing",,1))</f>
        <v>1574701.453</v>
      </c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  <c r="AQ543" s="37"/>
    </row>
    <row r="544">
      <c r="A544" s="55">
        <f t="shared" si="7"/>
        <v>62578</v>
      </c>
      <c r="B544" s="56">
        <f>round(YEARFRAC(EOMONTH(questions!$C$3, 0),A544,1),2)</f>
        <v>72.41</v>
      </c>
      <c r="C544" s="58">
        <f>IF(B544&lt;questions!$C$6,if(MONTH(A544)=1,C543*(1+questions!$C$12),C543),0)</f>
        <v>0</v>
      </c>
      <c r="D544" s="58">
        <f>IF(MONTH(A544)=12,C544*questions!$C$11,0)</f>
        <v>0</v>
      </c>
      <c r="E544" s="71">
        <f t="shared" si="2"/>
        <v>0</v>
      </c>
      <c r="F544" s="71">
        <f t="shared" si="3"/>
        <v>0</v>
      </c>
      <c r="G544" s="61">
        <f t="array" ref="G544">if(YEAR(A544)=2025,XLOOKUP(B544,Lookup!$A$3:$A$7,Lookup!$D$3:$D$7,,1)*SUM(E544:F544), XLOOKUP(B544,Lookup!$A$14:$A$18,Lookup!$D$14:$D$18,,1)*SUM(E544:F544))</f>
        <v>0</v>
      </c>
      <c r="H544" s="61">
        <f t="array" ref="H544">if(YEAR(A544)=2025,XLOOKUP(B544,Lookup!$F$3:$F$10,Lookup!$G$3:$G$10,,1)*G544, XLOOKUP(B544,Lookup!$F$14:$F$21,Lookup!$G$14:$G$21,,1)*G544)</f>
        <v>0</v>
      </c>
      <c r="I544" s="61">
        <f t="array" ref="I544">if(B544&lt;55, if(YEAR(A544)=2025,XLOOKUP(B544,Lookup!$F$3:$F$10,Lookup!$H$3:$H$10,,1)*G544, XLOOKUP(B544,Lookup!$F$14:$F$21,Lookup!$H$14:$H$21,,1)*G544),0)</f>
        <v>0</v>
      </c>
      <c r="J544" s="61">
        <f t="array" ref="J544">if(YEAR(A544)=2025,XLOOKUP(B544,Lookup!$F$3:$F$10,Lookup!$I$3:$I$10,,1)*G544, XLOOKUP(B544,Lookup!$F$14:$F$21,Lookup!$I$14:$I$21,,1)*G544)</f>
        <v>0</v>
      </c>
      <c r="K544" s="61">
        <f t="array" ref="K544">if(B544&gt;54, if(YEAR(A544)=2025,XLOOKUP(B544,Lookup!$F$3:$F$10,Lookup!$H$3:$H$10,,1)*G544, XLOOKUP(B544,Lookup!$F$14:$F$21,Lookup!$H$14:$H$21,,1)*G544),0)</f>
        <v>0</v>
      </c>
      <c r="L544" s="62">
        <f>IF(and(A544&lt;questions!$C$19,questions!$C$18="yes"),questions!$C$20,0)</f>
        <v>0</v>
      </c>
      <c r="M544" s="63">
        <f>(Y543+H544)*Lookup!A$26/12</f>
        <v>2432.590273</v>
      </c>
      <c r="N544" s="63">
        <f>if(B544&lt;55, (Z543+I544)*Lookup!B$26/12, (AB543+K544)*Lookup!B$26/12)</f>
        <v>4139.181629</v>
      </c>
      <c r="O544" s="63">
        <f>(AA543+J544)*Lookup!C$26/12</f>
        <v>940.3700287</v>
      </c>
      <c r="P544" s="63">
        <f t="shared" si="8"/>
        <v>9730.36109</v>
      </c>
      <c r="Q544" s="63">
        <f t="shared" si="4"/>
        <v>16556.72651</v>
      </c>
      <c r="R544" s="63">
        <f t="shared" si="5"/>
        <v>3761.480115</v>
      </c>
      <c r="S544" s="64">
        <f t="shared" si="9"/>
        <v>33.33333333</v>
      </c>
      <c r="T544" s="64">
        <f t="shared" si="10"/>
        <v>41.66666667</v>
      </c>
      <c r="U544" s="64">
        <f t="shared" si="11"/>
        <v>0</v>
      </c>
      <c r="V544" s="64">
        <f t="shared" ref="V544:X544" si="552">IF(year($A544)=year($A543), V543+S544, S544)</f>
        <v>133.3333333</v>
      </c>
      <c r="W544" s="64">
        <f t="shared" si="552"/>
        <v>166.6666667</v>
      </c>
      <c r="X544" s="64">
        <f t="shared" si="552"/>
        <v>0</v>
      </c>
      <c r="Y544" s="65">
        <f>IFS(
  B544&lt;55,
    MAX(
      Y543 + IF(MONTH(A544)=12, P544+V544, 0) + H544 - L544
      + MAX(0,
          IF(AA543 &gt;= VLOOKUP(YEAR(A544), Lookup!$Q:$R, 2),
            Z543 + IF(MONTH(A544)=12, Q544+W544, 0) + I544
              + AA543 + IF(MONTH(A544)=12, R544+X544, 0)
              - VLOOKUP(YEAR(A544), Lookup!$Q:$R, 2) + J544,
            Z543 + IF(MONTH(A544)=12, Q544+W544, 0) + I544
          ) - VLOOKUP(YEAR(A544), Lookup!$K:$M, 3)
        ),
    0),
  B544=55,
    IF(Z543&gt;=AD544,
      MAX(Y543 + IF(MONTH(A544)=12, P544+V544, 0) + H544 - L544, 0),
      MAX(MAX(0, Y543-(AD544-Z543)) + IF(MONTH(A544)=12, P544+V544, 0) + H544 - L544, 0)
    ),
  B544&gt;55,
    IF(AB543&gt;=$AH$7,
      MAX(Y543 + IF(MONTH(A544)=12, P544+V544, 0) + H544 - L544 + K544 + Z543, 0),
      MAX(Y543 + IF(MONTH(A544)=12, P544+V544, 0) + H544 - L544, 0)
    )
)</f>
        <v>1167643.331</v>
      </c>
      <c r="Z544" s="65">
        <f>IFS(
  B544&lt;55,
    MIN(
      IF(AA543 &gt;= VLOOKUP(YEAR(A544), Lookup!$Q:$R, 2),
        Z543 + IF(MONTH(A544)=12, Q544+W544, 0) + I544
          + AA543 + IF(MONTH(A544)=12, R544+X544, 0) - VLOOKUP(YEAR(A544), Lookup!$Q:$R, 2) + J544,
        Z543 + IF(MONTH(A544)=12, Q544+W544, 0) + I544
      ),
      VLOOKUP(YEAR(A544), Lookup!$K:$M, 3)
    ),
  B544=55,
    IF(Z543 &gt;= AD544, Z543 - AD544, 0),
  B544&gt;55, 0
)</f>
        <v>0</v>
      </c>
      <c r="AA544" s="65">
        <f>IFS(
  B544&lt;65,
    IF(AA543+J544 &lt; VLOOKUP(YEAR(A544), Lookup!$Q:$R, 2),
      AA543 + IF(MONTH(A544)=12, R543+X543, 0) + J544,
      MIN(
        AA543 + IF(MONTH(A544)=12, R543+X543, 0) + J544 ,
        VLOOKUP(YEAR(A544), Lookup!$Q:$R, 2)
      )
    ),
  B544&gt;=65,
    IF(AA543+J544 &lt; VLOOKUP(questions!$C$5, Lookup!$Q:$R, 2),
      AA543 + IF(MONTH(A544)=12, R543+X543, 0) + J544 ,
      MIN(
        AA543 + IF(MONTH(A544)=12, R543+X543, 0) + J544,
        VLOOKUP(questions!$C$5, Lookup!$Q:$R, 2)
      )
    )
)</f>
        <v>282111.0086</v>
      </c>
      <c r="AB544" s="65">
        <f t="shared" si="13"/>
        <v>1241754.489</v>
      </c>
      <c r="AC544" s="66">
        <f t="array" ref="AC544">IFS(B544&lt;66, XLOOKUP(year(A544),Lookup!$K$13:$K1000,Lookup!$L$13:$L1000,"missing",,1),B544&gt;65,XLOOKUP(questions!$C$5,Lookup!$K$13:$K1000,Lookup!$L$13:$L1000,"missing",,1))</f>
        <v>393675.3633</v>
      </c>
      <c r="AD544" s="66">
        <f t="array" ref="AD544">IFS(B544&lt;66, XLOOKUP(year(A544),Lookup!$K$13:$K1000,Lookup!$M$13:$M1000,"missing",,1),B544&gt;65, XLOOKUP(questions!$C$5,Lookup!$K$13:$K1000,Lookup!$M$13:$M1000,"missing",,1))</f>
        <v>787350.7266</v>
      </c>
      <c r="AE544" s="66">
        <f t="array" ref="AE544">IFS(B544&lt;66, XLOOKUP(year(A544),Lookup!$K$13:$K1000,Lookup!$N$13:$N1000,"missing",,1),B544&gt;65,XLOOKUP(questions!$C$5,Lookup!$K$13:$K1000,Lookup!$N$13:$N1000,"missing",,1))</f>
        <v>1574701.453</v>
      </c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  <c r="AQ544" s="37"/>
    </row>
    <row r="545">
      <c r="A545" s="55">
        <f t="shared" si="7"/>
        <v>62609</v>
      </c>
      <c r="B545" s="56">
        <f>round(YEARFRAC(EOMONTH(questions!$C$3, 0),A545,1),2)</f>
        <v>72.5</v>
      </c>
      <c r="C545" s="58">
        <f>IF(B545&lt;questions!$C$6,if(MONTH(A545)=1,C544*(1+questions!$C$12),C544),0)</f>
        <v>0</v>
      </c>
      <c r="D545" s="58">
        <f>IF(MONTH(A545)=12,C545*questions!$C$11,0)</f>
        <v>0</v>
      </c>
      <c r="E545" s="71">
        <f t="shared" si="2"/>
        <v>0</v>
      </c>
      <c r="F545" s="71">
        <f t="shared" si="3"/>
        <v>0</v>
      </c>
      <c r="G545" s="61">
        <f t="array" ref="G545">if(YEAR(A545)=2025,XLOOKUP(B545,Lookup!$A$3:$A$7,Lookup!$D$3:$D$7,,1)*SUM(E545:F545), XLOOKUP(B545,Lookup!$A$14:$A$18,Lookup!$D$14:$D$18,,1)*SUM(E545:F545))</f>
        <v>0</v>
      </c>
      <c r="H545" s="61">
        <f t="array" ref="H545">if(YEAR(A545)=2025,XLOOKUP(B545,Lookup!$F$3:$F$10,Lookup!$G$3:$G$10,,1)*G545, XLOOKUP(B545,Lookup!$F$14:$F$21,Lookup!$G$14:$G$21,,1)*G545)</f>
        <v>0</v>
      </c>
      <c r="I545" s="61">
        <f t="array" ref="I545">if(B545&lt;55, if(YEAR(A545)=2025,XLOOKUP(B545,Lookup!$F$3:$F$10,Lookup!$H$3:$H$10,,1)*G545, XLOOKUP(B545,Lookup!$F$14:$F$21,Lookup!$H$14:$H$21,,1)*G545),0)</f>
        <v>0</v>
      </c>
      <c r="J545" s="61">
        <f t="array" ref="J545">if(YEAR(A545)=2025,XLOOKUP(B545,Lookup!$F$3:$F$10,Lookup!$I$3:$I$10,,1)*G545, XLOOKUP(B545,Lookup!$F$14:$F$21,Lookup!$I$14:$I$21,,1)*G545)</f>
        <v>0</v>
      </c>
      <c r="K545" s="61">
        <f t="array" ref="K545">if(B545&gt;54, if(YEAR(A545)=2025,XLOOKUP(B545,Lookup!$F$3:$F$10,Lookup!$H$3:$H$10,,1)*G545, XLOOKUP(B545,Lookup!$F$14:$F$21,Lookup!$H$14:$H$21,,1)*G545),0)</f>
        <v>0</v>
      </c>
      <c r="L545" s="62">
        <f>IF(and(A545&lt;questions!$C$19,questions!$C$18="yes"),questions!$C$20,0)</f>
        <v>0</v>
      </c>
      <c r="M545" s="63">
        <f>(Y544+H545)*Lookup!A$26/12</f>
        <v>2432.590273</v>
      </c>
      <c r="N545" s="63">
        <f>if(B545&lt;55, (Z544+I545)*Lookup!B$26/12, (AB544+K545)*Lookup!B$26/12)</f>
        <v>4139.181629</v>
      </c>
      <c r="O545" s="63">
        <f>(AA544+J545)*Lookup!C$26/12</f>
        <v>940.3700287</v>
      </c>
      <c r="P545" s="63">
        <f t="shared" si="8"/>
        <v>12162.95136</v>
      </c>
      <c r="Q545" s="63">
        <f t="shared" si="4"/>
        <v>20695.90814</v>
      </c>
      <c r="R545" s="63">
        <f t="shared" si="5"/>
        <v>4701.850143</v>
      </c>
      <c r="S545" s="64">
        <f t="shared" si="9"/>
        <v>33.33333333</v>
      </c>
      <c r="T545" s="64">
        <f t="shared" si="10"/>
        <v>41.66666667</v>
      </c>
      <c r="U545" s="64">
        <f t="shared" si="11"/>
        <v>0</v>
      </c>
      <c r="V545" s="64">
        <f t="shared" ref="V545:X545" si="553">IF(year($A545)=year($A544), V544+S545, S545)</f>
        <v>166.6666667</v>
      </c>
      <c r="W545" s="64">
        <f t="shared" si="553"/>
        <v>208.3333333</v>
      </c>
      <c r="X545" s="64">
        <f t="shared" si="553"/>
        <v>0</v>
      </c>
      <c r="Y545" s="65">
        <f>IFS(
  B545&lt;55,
    MAX(
      Y544 + IF(MONTH(A545)=12, P545+V545, 0) + H545 - L545
      + MAX(0,
          IF(AA544 &gt;= VLOOKUP(YEAR(A545), Lookup!$Q:$R, 2),
            Z544 + IF(MONTH(A545)=12, Q545+W545, 0) + I545
              + AA544 + IF(MONTH(A545)=12, R545+X545, 0)
              - VLOOKUP(YEAR(A545), Lookup!$Q:$R, 2) + J545,
            Z544 + IF(MONTH(A545)=12, Q545+W545, 0) + I545
          ) - VLOOKUP(YEAR(A545), Lookup!$K:$M, 3)
        ),
    0),
  B545=55,
    IF(Z544&gt;=AD545,
      MAX(Y544 + IF(MONTH(A545)=12, P545+V545, 0) + H545 - L545, 0),
      MAX(MAX(0, Y544-(AD545-Z544)) + IF(MONTH(A545)=12, P545+V545, 0) + H545 - L545, 0)
    ),
  B545&gt;55,
    IF(AB544&gt;=$AH$7,
      MAX(Y544 + IF(MONTH(A545)=12, P545+V545, 0) + H545 - L545 + K545 + Z544, 0),
      MAX(Y544 + IF(MONTH(A545)=12, P545+V545, 0) + H545 - L545, 0)
    )
)</f>
        <v>1167643.331</v>
      </c>
      <c r="Z545" s="65">
        <f>IFS(
  B545&lt;55,
    MIN(
      IF(AA544 &gt;= VLOOKUP(YEAR(A545), Lookup!$Q:$R, 2),
        Z544 + IF(MONTH(A545)=12, Q545+W545, 0) + I545
          + AA544 + IF(MONTH(A545)=12, R545+X545, 0) - VLOOKUP(YEAR(A545), Lookup!$Q:$R, 2) + J545,
        Z544 + IF(MONTH(A545)=12, Q545+W545, 0) + I545
      ),
      VLOOKUP(YEAR(A545), Lookup!$K:$M, 3)
    ),
  B545=55,
    IF(Z544 &gt;= AD545, Z544 - AD545, 0),
  B545&gt;55, 0
)</f>
        <v>0</v>
      </c>
      <c r="AA545" s="65">
        <f>IFS(
  B545&lt;65,
    IF(AA544+J545 &lt; VLOOKUP(YEAR(A545), Lookup!$Q:$R, 2),
      AA544 + IF(MONTH(A545)=12, R544+X544, 0) + J545,
      MIN(
        AA544 + IF(MONTH(A545)=12, R544+X544, 0) + J545 ,
        VLOOKUP(YEAR(A545), Lookup!$Q:$R, 2)
      )
    ),
  B545&gt;=65,
    IF(AA544+J545 &lt; VLOOKUP(questions!$C$5, Lookup!$Q:$R, 2),
      AA544 + IF(MONTH(A545)=12, R544+X544, 0) + J545 ,
      MIN(
        AA544 + IF(MONTH(A545)=12, R544+X544, 0) + J545,
        VLOOKUP(questions!$C$5, Lookup!$Q:$R, 2)
      )
    )
)</f>
        <v>282111.0086</v>
      </c>
      <c r="AB545" s="65">
        <f t="shared" si="13"/>
        <v>1241754.489</v>
      </c>
      <c r="AC545" s="66">
        <f t="array" ref="AC545">IFS(B545&lt;66, XLOOKUP(year(A545),Lookup!$K$13:$K1000,Lookup!$L$13:$L1000,"missing",,1),B545&gt;65,XLOOKUP(questions!$C$5,Lookup!$K$13:$K1000,Lookup!$L$13:$L1000,"missing",,1))</f>
        <v>393675.3633</v>
      </c>
      <c r="AD545" s="66">
        <f t="array" ref="AD545">IFS(B545&lt;66, XLOOKUP(year(A545),Lookup!$K$13:$K1000,Lookup!$M$13:$M1000,"missing",,1),B545&gt;65, XLOOKUP(questions!$C$5,Lookup!$K$13:$K1000,Lookup!$M$13:$M1000,"missing",,1))</f>
        <v>787350.7266</v>
      </c>
      <c r="AE545" s="66">
        <f t="array" ref="AE545">IFS(B545&lt;66, XLOOKUP(year(A545),Lookup!$K$13:$K1000,Lookup!$N$13:$N1000,"missing",,1),B545&gt;65,XLOOKUP(questions!$C$5,Lookup!$K$13:$K1000,Lookup!$N$13:$N1000,"missing",,1))</f>
        <v>1574701.453</v>
      </c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7"/>
      <c r="AQ545" s="37"/>
    </row>
    <row r="546">
      <c r="A546" s="55">
        <f t="shared" si="7"/>
        <v>62639</v>
      </c>
      <c r="B546" s="56">
        <f>round(YEARFRAC(EOMONTH(questions!$C$3, 0),A546,1),2)</f>
        <v>72.58</v>
      </c>
      <c r="C546" s="58">
        <f>IF(B546&lt;questions!$C$6,if(MONTH(A546)=1,C545*(1+questions!$C$12),C545),0)</f>
        <v>0</v>
      </c>
      <c r="D546" s="58">
        <f>IF(MONTH(A546)=12,C546*questions!$C$11,0)</f>
        <v>0</v>
      </c>
      <c r="E546" s="71">
        <f t="shared" si="2"/>
        <v>0</v>
      </c>
      <c r="F546" s="71">
        <f t="shared" si="3"/>
        <v>0</v>
      </c>
      <c r="G546" s="61">
        <f t="array" ref="G546">if(YEAR(A546)=2025,XLOOKUP(B546,Lookup!$A$3:$A$7,Lookup!$D$3:$D$7,,1)*SUM(E546:F546), XLOOKUP(B546,Lookup!$A$14:$A$18,Lookup!$D$14:$D$18,,1)*SUM(E546:F546))</f>
        <v>0</v>
      </c>
      <c r="H546" s="61">
        <f t="array" ref="H546">if(YEAR(A546)=2025,XLOOKUP(B546,Lookup!$F$3:$F$10,Lookup!$G$3:$G$10,,1)*G546, XLOOKUP(B546,Lookup!$F$14:$F$21,Lookup!$G$14:$G$21,,1)*G546)</f>
        <v>0</v>
      </c>
      <c r="I546" s="61">
        <f t="array" ref="I546">if(B546&lt;55, if(YEAR(A546)=2025,XLOOKUP(B546,Lookup!$F$3:$F$10,Lookup!$H$3:$H$10,,1)*G546, XLOOKUP(B546,Lookup!$F$14:$F$21,Lookup!$H$14:$H$21,,1)*G546),0)</f>
        <v>0</v>
      </c>
      <c r="J546" s="61">
        <f t="array" ref="J546">if(YEAR(A546)=2025,XLOOKUP(B546,Lookup!$F$3:$F$10,Lookup!$I$3:$I$10,,1)*G546, XLOOKUP(B546,Lookup!$F$14:$F$21,Lookup!$I$14:$I$21,,1)*G546)</f>
        <v>0</v>
      </c>
      <c r="K546" s="61">
        <f t="array" ref="K546">if(B546&gt;54, if(YEAR(A546)=2025,XLOOKUP(B546,Lookup!$F$3:$F$10,Lookup!$H$3:$H$10,,1)*G546, XLOOKUP(B546,Lookup!$F$14:$F$21,Lookup!$H$14:$H$21,,1)*G546),0)</f>
        <v>0</v>
      </c>
      <c r="L546" s="62">
        <f>IF(and(A546&lt;questions!$C$19,questions!$C$18="yes"),questions!$C$20,0)</f>
        <v>0</v>
      </c>
      <c r="M546" s="63">
        <f>(Y545+H546)*Lookup!A$26/12</f>
        <v>2432.590273</v>
      </c>
      <c r="N546" s="63">
        <f>if(B546&lt;55, (Z545+I546)*Lookup!B$26/12, (AB545+K546)*Lookup!B$26/12)</f>
        <v>4139.181629</v>
      </c>
      <c r="O546" s="63">
        <f>(AA545+J546)*Lookup!C$26/12</f>
        <v>940.3700287</v>
      </c>
      <c r="P546" s="63">
        <f t="shared" si="8"/>
        <v>14595.54164</v>
      </c>
      <c r="Q546" s="63">
        <f t="shared" si="4"/>
        <v>24835.08977</v>
      </c>
      <c r="R546" s="63">
        <f t="shared" si="5"/>
        <v>5642.220172</v>
      </c>
      <c r="S546" s="64">
        <f t="shared" si="9"/>
        <v>33.33333333</v>
      </c>
      <c r="T546" s="64">
        <f t="shared" si="10"/>
        <v>41.66666667</v>
      </c>
      <c r="U546" s="64">
        <f t="shared" si="11"/>
        <v>0</v>
      </c>
      <c r="V546" s="64">
        <f t="shared" ref="V546:X546" si="554">IF(year($A546)=year($A545), V545+S546, S546)</f>
        <v>200</v>
      </c>
      <c r="W546" s="64">
        <f t="shared" si="554"/>
        <v>250</v>
      </c>
      <c r="X546" s="64">
        <f t="shared" si="554"/>
        <v>0</v>
      </c>
      <c r="Y546" s="65">
        <f>IFS(
  B546&lt;55,
    MAX(
      Y545 + IF(MONTH(A546)=12, P546+V546, 0) + H546 - L546
      + MAX(0,
          IF(AA545 &gt;= VLOOKUP(YEAR(A546), Lookup!$Q:$R, 2),
            Z545 + IF(MONTH(A546)=12, Q546+W546, 0) + I546
              + AA545 + IF(MONTH(A546)=12, R546+X546, 0)
              - VLOOKUP(YEAR(A546), Lookup!$Q:$R, 2) + J546,
            Z545 + IF(MONTH(A546)=12, Q546+W546, 0) + I546
          ) - VLOOKUP(YEAR(A546), Lookup!$K:$M, 3)
        ),
    0),
  B546=55,
    IF(Z545&gt;=AD546,
      MAX(Y545 + IF(MONTH(A546)=12, P546+V546, 0) + H546 - L546, 0),
      MAX(MAX(0, Y545-(AD546-Z545)) + IF(MONTH(A546)=12, P546+V546, 0) + H546 - L546, 0)
    ),
  B546&gt;55,
    IF(AB545&gt;=$AH$7,
      MAX(Y545 + IF(MONTH(A546)=12, P546+V546, 0) + H546 - L546 + K546 + Z545, 0),
      MAX(Y545 + IF(MONTH(A546)=12, P546+V546, 0) + H546 - L546, 0)
    )
)</f>
        <v>1167643.331</v>
      </c>
      <c r="Z546" s="65">
        <f>IFS(
  B546&lt;55,
    MIN(
      IF(AA545 &gt;= VLOOKUP(YEAR(A546), Lookup!$Q:$R, 2),
        Z545 + IF(MONTH(A546)=12, Q546+W546, 0) + I546
          + AA545 + IF(MONTH(A546)=12, R546+X546, 0) - VLOOKUP(YEAR(A546), Lookup!$Q:$R, 2) + J546,
        Z545 + IF(MONTH(A546)=12, Q546+W546, 0) + I546
      ),
      VLOOKUP(YEAR(A546), Lookup!$K:$M, 3)
    ),
  B546=55,
    IF(Z545 &gt;= AD546, Z545 - AD546, 0),
  B546&gt;55, 0
)</f>
        <v>0</v>
      </c>
      <c r="AA546" s="65">
        <f>IFS(
  B546&lt;65,
    IF(AA545+J546 &lt; VLOOKUP(YEAR(A546), Lookup!$Q:$R, 2),
      AA545 + IF(MONTH(A546)=12, R545+X545, 0) + J546,
      MIN(
        AA545 + IF(MONTH(A546)=12, R545+X545, 0) + J546 ,
        VLOOKUP(YEAR(A546), Lookup!$Q:$R, 2)
      )
    ),
  B546&gt;=65,
    IF(AA545+J546 &lt; VLOOKUP(questions!$C$5, Lookup!$Q:$R, 2),
      AA545 + IF(MONTH(A546)=12, R545+X545, 0) + J546 ,
      MIN(
        AA545 + IF(MONTH(A546)=12, R545+X545, 0) + J546,
        VLOOKUP(questions!$C$5, Lookup!$Q:$R, 2)
      )
    )
)</f>
        <v>282111.0086</v>
      </c>
      <c r="AB546" s="65">
        <f t="shared" si="13"/>
        <v>1241754.489</v>
      </c>
      <c r="AC546" s="66">
        <f t="array" ref="AC546">IFS(B546&lt;66, XLOOKUP(year(A546),Lookup!$K$13:$K1000,Lookup!$L$13:$L1000,"missing",,1),B546&gt;65,XLOOKUP(questions!$C$5,Lookup!$K$13:$K1000,Lookup!$L$13:$L1000,"missing",,1))</f>
        <v>393675.3633</v>
      </c>
      <c r="AD546" s="66">
        <f t="array" ref="AD546">IFS(B546&lt;66, XLOOKUP(year(A546),Lookup!$K$13:$K1000,Lookup!$M$13:$M1000,"missing",,1),B546&gt;65, XLOOKUP(questions!$C$5,Lookup!$K$13:$K1000,Lookup!$M$13:$M1000,"missing",,1))</f>
        <v>787350.7266</v>
      </c>
      <c r="AE546" s="66">
        <f t="array" ref="AE546">IFS(B546&lt;66, XLOOKUP(year(A546),Lookup!$K$13:$K1000,Lookup!$N$13:$N1000,"missing",,1),B546&gt;65,XLOOKUP(questions!$C$5,Lookup!$K$13:$K1000,Lookup!$N$13:$N1000,"missing",,1))</f>
        <v>1574701.453</v>
      </c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  <c r="AQ546" s="37"/>
    </row>
    <row r="547">
      <c r="A547" s="55">
        <f t="shared" si="7"/>
        <v>62670</v>
      </c>
      <c r="B547" s="56">
        <f>round(YEARFRAC(EOMONTH(questions!$C$3, 0),A547,1),2)</f>
        <v>72.67</v>
      </c>
      <c r="C547" s="58">
        <f>IF(B547&lt;questions!$C$6,if(MONTH(A547)=1,C546*(1+questions!$C$12),C546),0)</f>
        <v>0</v>
      </c>
      <c r="D547" s="58">
        <f>IF(MONTH(A547)=12,C547*questions!$C$11,0)</f>
        <v>0</v>
      </c>
      <c r="E547" s="71">
        <f t="shared" si="2"/>
        <v>0</v>
      </c>
      <c r="F547" s="71">
        <f t="shared" si="3"/>
        <v>0</v>
      </c>
      <c r="G547" s="61">
        <f t="array" ref="G547">if(YEAR(A547)=2025,XLOOKUP(B547,Lookup!$A$3:$A$7,Lookup!$D$3:$D$7,,1)*SUM(E547:F547), XLOOKUP(B547,Lookup!$A$14:$A$18,Lookup!$D$14:$D$18,,1)*SUM(E547:F547))</f>
        <v>0</v>
      </c>
      <c r="H547" s="61">
        <f t="array" ref="H547">if(YEAR(A547)=2025,XLOOKUP(B547,Lookup!$F$3:$F$10,Lookup!$G$3:$G$10,,1)*G547, XLOOKUP(B547,Lookup!$F$14:$F$21,Lookup!$G$14:$G$21,,1)*G547)</f>
        <v>0</v>
      </c>
      <c r="I547" s="61">
        <f t="array" ref="I547">if(B547&lt;55, if(YEAR(A547)=2025,XLOOKUP(B547,Lookup!$F$3:$F$10,Lookup!$H$3:$H$10,,1)*G547, XLOOKUP(B547,Lookup!$F$14:$F$21,Lookup!$H$14:$H$21,,1)*G547),0)</f>
        <v>0</v>
      </c>
      <c r="J547" s="61">
        <f t="array" ref="J547">if(YEAR(A547)=2025,XLOOKUP(B547,Lookup!$F$3:$F$10,Lookup!$I$3:$I$10,,1)*G547, XLOOKUP(B547,Lookup!$F$14:$F$21,Lookup!$I$14:$I$21,,1)*G547)</f>
        <v>0</v>
      </c>
      <c r="K547" s="61">
        <f t="array" ref="K547">if(B547&gt;54, if(YEAR(A547)=2025,XLOOKUP(B547,Lookup!$F$3:$F$10,Lookup!$H$3:$H$10,,1)*G547, XLOOKUP(B547,Lookup!$F$14:$F$21,Lookup!$H$14:$H$21,,1)*G547),0)</f>
        <v>0</v>
      </c>
      <c r="L547" s="62">
        <f>IF(and(A547&lt;questions!$C$19,questions!$C$18="yes"),questions!$C$20,0)</f>
        <v>0</v>
      </c>
      <c r="M547" s="63">
        <f>(Y546+H547)*Lookup!A$26/12</f>
        <v>2432.590273</v>
      </c>
      <c r="N547" s="63">
        <f>if(B547&lt;55, (Z546+I547)*Lookup!B$26/12, (AB546+K547)*Lookup!B$26/12)</f>
        <v>4139.181629</v>
      </c>
      <c r="O547" s="63">
        <f>(AA546+J547)*Lookup!C$26/12</f>
        <v>940.3700287</v>
      </c>
      <c r="P547" s="63">
        <f t="shared" si="8"/>
        <v>17028.13191</v>
      </c>
      <c r="Q547" s="63">
        <f t="shared" si="4"/>
        <v>28974.2714</v>
      </c>
      <c r="R547" s="63">
        <f t="shared" si="5"/>
        <v>6582.590201</v>
      </c>
      <c r="S547" s="64">
        <f t="shared" si="9"/>
        <v>33.33333333</v>
      </c>
      <c r="T547" s="64">
        <f t="shared" si="10"/>
        <v>41.66666667</v>
      </c>
      <c r="U547" s="64">
        <f t="shared" si="11"/>
        <v>0</v>
      </c>
      <c r="V547" s="64">
        <f t="shared" ref="V547:X547" si="555">IF(year($A547)=year($A546), V546+S547, S547)</f>
        <v>233.3333333</v>
      </c>
      <c r="W547" s="64">
        <f t="shared" si="555"/>
        <v>291.6666667</v>
      </c>
      <c r="X547" s="64">
        <f t="shared" si="555"/>
        <v>0</v>
      </c>
      <c r="Y547" s="65">
        <f>IFS(
  B547&lt;55,
    MAX(
      Y546 + IF(MONTH(A547)=12, P547+V547, 0) + H547 - L547
      + MAX(0,
          IF(AA546 &gt;= VLOOKUP(YEAR(A547), Lookup!$Q:$R, 2),
            Z546 + IF(MONTH(A547)=12, Q547+W547, 0) + I547
              + AA546 + IF(MONTH(A547)=12, R547+X547, 0)
              - VLOOKUP(YEAR(A547), Lookup!$Q:$R, 2) + J547,
            Z546 + IF(MONTH(A547)=12, Q547+W547, 0) + I547
          ) - VLOOKUP(YEAR(A547), Lookup!$K:$M, 3)
        ),
    0),
  B547=55,
    IF(Z546&gt;=AD547,
      MAX(Y546 + IF(MONTH(A547)=12, P547+V547, 0) + H547 - L547, 0),
      MAX(MAX(0, Y546-(AD547-Z546)) + IF(MONTH(A547)=12, P547+V547, 0) + H547 - L547, 0)
    ),
  B547&gt;55,
    IF(AB546&gt;=$AH$7,
      MAX(Y546 + IF(MONTH(A547)=12, P547+V547, 0) + H547 - L547 + K547 + Z546, 0),
      MAX(Y546 + IF(MONTH(A547)=12, P547+V547, 0) + H547 - L547, 0)
    )
)</f>
        <v>1167643.331</v>
      </c>
      <c r="Z547" s="65">
        <f>IFS(
  B547&lt;55,
    MIN(
      IF(AA546 &gt;= VLOOKUP(YEAR(A547), Lookup!$Q:$R, 2),
        Z546 + IF(MONTH(A547)=12, Q547+W547, 0) + I547
          + AA546 + IF(MONTH(A547)=12, R547+X547, 0) - VLOOKUP(YEAR(A547), Lookup!$Q:$R, 2) + J547,
        Z546 + IF(MONTH(A547)=12, Q547+W547, 0) + I547
      ),
      VLOOKUP(YEAR(A547), Lookup!$K:$M, 3)
    ),
  B547=55,
    IF(Z546 &gt;= AD547, Z546 - AD547, 0),
  B547&gt;55, 0
)</f>
        <v>0</v>
      </c>
      <c r="AA547" s="65">
        <f>IFS(
  B547&lt;65,
    IF(AA546+J547 &lt; VLOOKUP(YEAR(A547), Lookup!$Q:$R, 2),
      AA546 + IF(MONTH(A547)=12, R546+X546, 0) + J547,
      MIN(
        AA546 + IF(MONTH(A547)=12, R546+X546, 0) + J547 ,
        VLOOKUP(YEAR(A547), Lookup!$Q:$R, 2)
      )
    ),
  B547&gt;=65,
    IF(AA546+J547 &lt; VLOOKUP(questions!$C$5, Lookup!$Q:$R, 2),
      AA546 + IF(MONTH(A547)=12, R546+X546, 0) + J547 ,
      MIN(
        AA546 + IF(MONTH(A547)=12, R546+X546, 0) + J547,
        VLOOKUP(questions!$C$5, Lookup!$Q:$R, 2)
      )
    )
)</f>
        <v>282111.0086</v>
      </c>
      <c r="AB547" s="65">
        <f t="shared" si="13"/>
        <v>1241754.489</v>
      </c>
      <c r="AC547" s="66">
        <f t="array" ref="AC547">IFS(B547&lt;66, XLOOKUP(year(A547),Lookup!$K$13:$K1000,Lookup!$L$13:$L1000,"missing",,1),B547&gt;65,XLOOKUP(questions!$C$5,Lookup!$K$13:$K1000,Lookup!$L$13:$L1000,"missing",,1))</f>
        <v>393675.3633</v>
      </c>
      <c r="AD547" s="66">
        <f t="array" ref="AD547">IFS(B547&lt;66, XLOOKUP(year(A547),Lookup!$K$13:$K1000,Lookup!$M$13:$M1000,"missing",,1),B547&gt;65, XLOOKUP(questions!$C$5,Lookup!$K$13:$K1000,Lookup!$M$13:$M1000,"missing",,1))</f>
        <v>787350.7266</v>
      </c>
      <c r="AE547" s="66">
        <f t="array" ref="AE547">IFS(B547&lt;66, XLOOKUP(year(A547),Lookup!$K$13:$K1000,Lookup!$N$13:$N1000,"missing",,1),B547&gt;65,XLOOKUP(questions!$C$5,Lookup!$K$13:$K1000,Lookup!$N$13:$N1000,"missing",,1))</f>
        <v>1574701.453</v>
      </c>
      <c r="AF547" s="37"/>
      <c r="AG547" s="37"/>
      <c r="AH547" s="37"/>
      <c r="AI547" s="37"/>
      <c r="AJ547" s="37"/>
      <c r="AK547" s="37"/>
      <c r="AL547" s="37"/>
      <c r="AM547" s="37"/>
      <c r="AN547" s="37"/>
      <c r="AO547" s="37"/>
      <c r="AP547" s="37"/>
      <c r="AQ547" s="37"/>
    </row>
    <row r="548">
      <c r="A548" s="55">
        <f t="shared" si="7"/>
        <v>62701</v>
      </c>
      <c r="B548" s="56">
        <f>round(YEARFRAC(EOMONTH(questions!$C$3, 0),A548,1),2)</f>
        <v>72.75</v>
      </c>
      <c r="C548" s="58">
        <f>IF(B548&lt;questions!$C$6,if(MONTH(A548)=1,C547*(1+questions!$C$12),C547),0)</f>
        <v>0</v>
      </c>
      <c r="D548" s="58">
        <f>IF(MONTH(A548)=12,C548*questions!$C$11,0)</f>
        <v>0</v>
      </c>
      <c r="E548" s="71">
        <f t="shared" si="2"/>
        <v>0</v>
      </c>
      <c r="F548" s="71">
        <f t="shared" si="3"/>
        <v>0</v>
      </c>
      <c r="G548" s="61">
        <f t="array" ref="G548">if(YEAR(A548)=2025,XLOOKUP(B548,Lookup!$A$3:$A$7,Lookup!$D$3:$D$7,,1)*SUM(E548:F548), XLOOKUP(B548,Lookup!$A$14:$A$18,Lookup!$D$14:$D$18,,1)*SUM(E548:F548))</f>
        <v>0</v>
      </c>
      <c r="H548" s="61">
        <f t="array" ref="H548">if(YEAR(A548)=2025,XLOOKUP(B548,Lookup!$F$3:$F$10,Lookup!$G$3:$G$10,,1)*G548, XLOOKUP(B548,Lookup!$F$14:$F$21,Lookup!$G$14:$G$21,,1)*G548)</f>
        <v>0</v>
      </c>
      <c r="I548" s="61">
        <f t="array" ref="I548">if(B548&lt;55, if(YEAR(A548)=2025,XLOOKUP(B548,Lookup!$F$3:$F$10,Lookup!$H$3:$H$10,,1)*G548, XLOOKUP(B548,Lookup!$F$14:$F$21,Lookup!$H$14:$H$21,,1)*G548),0)</f>
        <v>0</v>
      </c>
      <c r="J548" s="61">
        <f t="array" ref="J548">if(YEAR(A548)=2025,XLOOKUP(B548,Lookup!$F$3:$F$10,Lookup!$I$3:$I$10,,1)*G548, XLOOKUP(B548,Lookup!$F$14:$F$21,Lookup!$I$14:$I$21,,1)*G548)</f>
        <v>0</v>
      </c>
      <c r="K548" s="61">
        <f t="array" ref="K548">if(B548&gt;54, if(YEAR(A548)=2025,XLOOKUP(B548,Lookup!$F$3:$F$10,Lookup!$H$3:$H$10,,1)*G548, XLOOKUP(B548,Lookup!$F$14:$F$21,Lookup!$H$14:$H$21,,1)*G548),0)</f>
        <v>0</v>
      </c>
      <c r="L548" s="62">
        <f>IF(and(A548&lt;questions!$C$19,questions!$C$18="yes"),questions!$C$20,0)</f>
        <v>0</v>
      </c>
      <c r="M548" s="63">
        <f>(Y547+H548)*Lookup!A$26/12</f>
        <v>2432.590273</v>
      </c>
      <c r="N548" s="63">
        <f>if(B548&lt;55, (Z547+I548)*Lookup!B$26/12, (AB547+K548)*Lookup!B$26/12)</f>
        <v>4139.181629</v>
      </c>
      <c r="O548" s="63">
        <f>(AA547+J548)*Lookup!C$26/12</f>
        <v>940.3700287</v>
      </c>
      <c r="P548" s="63">
        <f t="shared" si="8"/>
        <v>19460.72218</v>
      </c>
      <c r="Q548" s="63">
        <f t="shared" si="4"/>
        <v>33113.45303</v>
      </c>
      <c r="R548" s="63">
        <f t="shared" si="5"/>
        <v>7522.960229</v>
      </c>
      <c r="S548" s="64">
        <f t="shared" si="9"/>
        <v>33.33333333</v>
      </c>
      <c r="T548" s="64">
        <f t="shared" si="10"/>
        <v>41.66666667</v>
      </c>
      <c r="U548" s="64">
        <f t="shared" si="11"/>
        <v>0</v>
      </c>
      <c r="V548" s="64">
        <f t="shared" ref="V548:X548" si="556">IF(year($A548)=year($A547), V547+S548, S548)</f>
        <v>266.6666667</v>
      </c>
      <c r="W548" s="64">
        <f t="shared" si="556"/>
        <v>333.3333333</v>
      </c>
      <c r="X548" s="64">
        <f t="shared" si="556"/>
        <v>0</v>
      </c>
      <c r="Y548" s="65">
        <f>IFS(
  B548&lt;55,
    MAX(
      Y547 + IF(MONTH(A548)=12, P548+V548, 0) + H548 - L548
      + MAX(0,
          IF(AA547 &gt;= VLOOKUP(YEAR(A548), Lookup!$Q:$R, 2),
            Z547 + IF(MONTH(A548)=12, Q548+W548, 0) + I548
              + AA547 + IF(MONTH(A548)=12, R548+X548, 0)
              - VLOOKUP(YEAR(A548), Lookup!$Q:$R, 2) + J548,
            Z547 + IF(MONTH(A548)=12, Q548+W548, 0) + I548
          ) - VLOOKUP(YEAR(A548), Lookup!$K:$M, 3)
        ),
    0),
  B548=55,
    IF(Z547&gt;=AD548,
      MAX(Y547 + IF(MONTH(A548)=12, P548+V548, 0) + H548 - L548, 0),
      MAX(MAX(0, Y547-(AD548-Z547)) + IF(MONTH(A548)=12, P548+V548, 0) + H548 - L548, 0)
    ),
  B548&gt;55,
    IF(AB547&gt;=$AH$7,
      MAX(Y547 + IF(MONTH(A548)=12, P548+V548, 0) + H548 - L548 + K548 + Z547, 0),
      MAX(Y547 + IF(MONTH(A548)=12, P548+V548, 0) + H548 - L548, 0)
    )
)</f>
        <v>1167643.331</v>
      </c>
      <c r="Z548" s="65">
        <f>IFS(
  B548&lt;55,
    MIN(
      IF(AA547 &gt;= VLOOKUP(YEAR(A548), Lookup!$Q:$R, 2),
        Z547 + IF(MONTH(A548)=12, Q548+W548, 0) + I548
          + AA547 + IF(MONTH(A548)=12, R548+X548, 0) - VLOOKUP(YEAR(A548), Lookup!$Q:$R, 2) + J548,
        Z547 + IF(MONTH(A548)=12, Q548+W548, 0) + I548
      ),
      VLOOKUP(YEAR(A548), Lookup!$K:$M, 3)
    ),
  B548=55,
    IF(Z547 &gt;= AD548, Z547 - AD548, 0),
  B548&gt;55, 0
)</f>
        <v>0</v>
      </c>
      <c r="AA548" s="65">
        <f>IFS(
  B548&lt;65,
    IF(AA547+J548 &lt; VLOOKUP(YEAR(A548), Lookup!$Q:$R, 2),
      AA547 + IF(MONTH(A548)=12, R547+X547, 0) + J548,
      MIN(
        AA547 + IF(MONTH(A548)=12, R547+X547, 0) + J548 ,
        VLOOKUP(YEAR(A548), Lookup!$Q:$R, 2)
      )
    ),
  B548&gt;=65,
    IF(AA547+J548 &lt; VLOOKUP(questions!$C$5, Lookup!$Q:$R, 2),
      AA547 + IF(MONTH(A548)=12, R547+X547, 0) + J548 ,
      MIN(
        AA547 + IF(MONTH(A548)=12, R547+X547, 0) + J548,
        VLOOKUP(questions!$C$5, Lookup!$Q:$R, 2)
      )
    )
)</f>
        <v>282111.0086</v>
      </c>
      <c r="AB548" s="65">
        <f t="shared" si="13"/>
        <v>1241754.489</v>
      </c>
      <c r="AC548" s="66">
        <f t="array" ref="AC548">IFS(B548&lt;66, XLOOKUP(year(A548),Lookup!$K$13:$K1000,Lookup!$L$13:$L1000,"missing",,1),B548&gt;65,XLOOKUP(questions!$C$5,Lookup!$K$13:$K1000,Lookup!$L$13:$L1000,"missing",,1))</f>
        <v>393675.3633</v>
      </c>
      <c r="AD548" s="66">
        <f t="array" ref="AD548">IFS(B548&lt;66, XLOOKUP(year(A548),Lookup!$K$13:$K1000,Lookup!$M$13:$M1000,"missing",,1),B548&gt;65, XLOOKUP(questions!$C$5,Lookup!$K$13:$K1000,Lookup!$M$13:$M1000,"missing",,1))</f>
        <v>787350.7266</v>
      </c>
      <c r="AE548" s="66">
        <f t="array" ref="AE548">IFS(B548&lt;66, XLOOKUP(year(A548),Lookup!$K$13:$K1000,Lookup!$N$13:$N1000,"missing",,1),B548&gt;65,XLOOKUP(questions!$C$5,Lookup!$K$13:$K1000,Lookup!$N$13:$N1000,"missing",,1))</f>
        <v>1574701.453</v>
      </c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  <c r="AQ548" s="37"/>
    </row>
    <row r="549">
      <c r="A549" s="55">
        <f t="shared" si="7"/>
        <v>62731</v>
      </c>
      <c r="B549" s="56">
        <f>round(YEARFRAC(EOMONTH(questions!$C$3, 0),A549,1),2)</f>
        <v>72.83</v>
      </c>
      <c r="C549" s="58">
        <f>IF(B549&lt;questions!$C$6,if(MONTH(A549)=1,C548*(1+questions!$C$12),C548),0)</f>
        <v>0</v>
      </c>
      <c r="D549" s="58">
        <f>IF(MONTH(A549)=12,C549*questions!$C$11,0)</f>
        <v>0</v>
      </c>
      <c r="E549" s="71">
        <f t="shared" si="2"/>
        <v>0</v>
      </c>
      <c r="F549" s="71">
        <f t="shared" si="3"/>
        <v>0</v>
      </c>
      <c r="G549" s="61">
        <f t="array" ref="G549">if(YEAR(A549)=2025,XLOOKUP(B549,Lookup!$A$3:$A$7,Lookup!$D$3:$D$7,,1)*SUM(E549:F549), XLOOKUP(B549,Lookup!$A$14:$A$18,Lookup!$D$14:$D$18,,1)*SUM(E549:F549))</f>
        <v>0</v>
      </c>
      <c r="H549" s="61">
        <f t="array" ref="H549">if(YEAR(A549)=2025,XLOOKUP(B549,Lookup!$F$3:$F$10,Lookup!$G$3:$G$10,,1)*G549, XLOOKUP(B549,Lookup!$F$14:$F$21,Lookup!$G$14:$G$21,,1)*G549)</f>
        <v>0</v>
      </c>
      <c r="I549" s="61">
        <f t="array" ref="I549">if(B549&lt;55, if(YEAR(A549)=2025,XLOOKUP(B549,Lookup!$F$3:$F$10,Lookup!$H$3:$H$10,,1)*G549, XLOOKUP(B549,Lookup!$F$14:$F$21,Lookup!$H$14:$H$21,,1)*G549),0)</f>
        <v>0</v>
      </c>
      <c r="J549" s="61">
        <f t="array" ref="J549">if(YEAR(A549)=2025,XLOOKUP(B549,Lookup!$F$3:$F$10,Lookup!$I$3:$I$10,,1)*G549, XLOOKUP(B549,Lookup!$F$14:$F$21,Lookup!$I$14:$I$21,,1)*G549)</f>
        <v>0</v>
      </c>
      <c r="K549" s="61">
        <f t="array" ref="K549">if(B549&gt;54, if(YEAR(A549)=2025,XLOOKUP(B549,Lookup!$F$3:$F$10,Lookup!$H$3:$H$10,,1)*G549, XLOOKUP(B549,Lookup!$F$14:$F$21,Lookup!$H$14:$H$21,,1)*G549),0)</f>
        <v>0</v>
      </c>
      <c r="L549" s="62">
        <f>IF(and(A549&lt;questions!$C$19,questions!$C$18="yes"),questions!$C$20,0)</f>
        <v>0</v>
      </c>
      <c r="M549" s="63">
        <f>(Y548+H549)*Lookup!A$26/12</f>
        <v>2432.590273</v>
      </c>
      <c r="N549" s="63">
        <f>if(B549&lt;55, (Z548+I549)*Lookup!B$26/12, (AB548+K549)*Lookup!B$26/12)</f>
        <v>4139.181629</v>
      </c>
      <c r="O549" s="63">
        <f>(AA548+J549)*Lookup!C$26/12</f>
        <v>940.3700287</v>
      </c>
      <c r="P549" s="63">
        <f t="shared" si="8"/>
        <v>21893.31245</v>
      </c>
      <c r="Q549" s="63">
        <f t="shared" si="4"/>
        <v>37252.63466</v>
      </c>
      <c r="R549" s="63">
        <f t="shared" si="5"/>
        <v>8463.330258</v>
      </c>
      <c r="S549" s="64">
        <f t="shared" si="9"/>
        <v>33.33333333</v>
      </c>
      <c r="T549" s="64">
        <f t="shared" si="10"/>
        <v>41.66666667</v>
      </c>
      <c r="U549" s="64">
        <f t="shared" si="11"/>
        <v>0</v>
      </c>
      <c r="V549" s="64">
        <f t="shared" ref="V549:X549" si="557">IF(year($A549)=year($A548), V548+S549, S549)</f>
        <v>300</v>
      </c>
      <c r="W549" s="64">
        <f t="shared" si="557"/>
        <v>375</v>
      </c>
      <c r="X549" s="64">
        <f t="shared" si="557"/>
        <v>0</v>
      </c>
      <c r="Y549" s="65">
        <f>IFS(
  B549&lt;55,
    MAX(
      Y548 + IF(MONTH(A549)=12, P549+V549, 0) + H549 - L549
      + MAX(0,
          IF(AA548 &gt;= VLOOKUP(YEAR(A549), Lookup!$Q:$R, 2),
            Z548 + IF(MONTH(A549)=12, Q549+W549, 0) + I549
              + AA548 + IF(MONTH(A549)=12, R549+X549, 0)
              - VLOOKUP(YEAR(A549), Lookup!$Q:$R, 2) + J549,
            Z548 + IF(MONTH(A549)=12, Q549+W549, 0) + I549
          ) - VLOOKUP(YEAR(A549), Lookup!$K:$M, 3)
        ),
    0),
  B549=55,
    IF(Z548&gt;=AD549,
      MAX(Y548 + IF(MONTH(A549)=12, P549+V549, 0) + H549 - L549, 0),
      MAX(MAX(0, Y548-(AD549-Z548)) + IF(MONTH(A549)=12, P549+V549, 0) + H549 - L549, 0)
    ),
  B549&gt;55,
    IF(AB548&gt;=$AH$7,
      MAX(Y548 + IF(MONTH(A549)=12, P549+V549, 0) + H549 - L549 + K549 + Z548, 0),
      MAX(Y548 + IF(MONTH(A549)=12, P549+V549, 0) + H549 - L549, 0)
    )
)</f>
        <v>1167643.331</v>
      </c>
      <c r="Z549" s="65">
        <f>IFS(
  B549&lt;55,
    MIN(
      IF(AA548 &gt;= VLOOKUP(YEAR(A549), Lookup!$Q:$R, 2),
        Z548 + IF(MONTH(A549)=12, Q549+W549, 0) + I549
          + AA548 + IF(MONTH(A549)=12, R549+X549, 0) - VLOOKUP(YEAR(A549), Lookup!$Q:$R, 2) + J549,
        Z548 + IF(MONTH(A549)=12, Q549+W549, 0) + I549
      ),
      VLOOKUP(YEAR(A549), Lookup!$K:$M, 3)
    ),
  B549=55,
    IF(Z548 &gt;= AD549, Z548 - AD549, 0),
  B549&gt;55, 0
)</f>
        <v>0</v>
      </c>
      <c r="AA549" s="65">
        <f>IFS(
  B549&lt;65,
    IF(AA548+J549 &lt; VLOOKUP(YEAR(A549), Lookup!$Q:$R, 2),
      AA548 + IF(MONTH(A549)=12, R548+X548, 0) + J549,
      MIN(
        AA548 + IF(MONTH(A549)=12, R548+X548, 0) + J549 ,
        VLOOKUP(YEAR(A549), Lookup!$Q:$R, 2)
      )
    ),
  B549&gt;=65,
    IF(AA548+J549 &lt; VLOOKUP(questions!$C$5, Lookup!$Q:$R, 2),
      AA548 + IF(MONTH(A549)=12, R548+X548, 0) + J549 ,
      MIN(
        AA548 + IF(MONTH(A549)=12, R548+X548, 0) + J549,
        VLOOKUP(questions!$C$5, Lookup!$Q:$R, 2)
      )
    )
)</f>
        <v>282111.0086</v>
      </c>
      <c r="AB549" s="65">
        <f t="shared" si="13"/>
        <v>1241754.489</v>
      </c>
      <c r="AC549" s="66">
        <f t="array" ref="AC549">IFS(B549&lt;66, XLOOKUP(year(A549),Lookup!$K$13:$K1000,Lookup!$L$13:$L1000,"missing",,1),B549&gt;65,XLOOKUP(questions!$C$5,Lookup!$K$13:$K1000,Lookup!$L$13:$L1000,"missing",,1))</f>
        <v>393675.3633</v>
      </c>
      <c r="AD549" s="66">
        <f t="array" ref="AD549">IFS(B549&lt;66, XLOOKUP(year(A549),Lookup!$K$13:$K1000,Lookup!$M$13:$M1000,"missing",,1),B549&gt;65, XLOOKUP(questions!$C$5,Lookup!$K$13:$K1000,Lookup!$M$13:$M1000,"missing",,1))</f>
        <v>787350.7266</v>
      </c>
      <c r="AE549" s="66">
        <f t="array" ref="AE549">IFS(B549&lt;66, XLOOKUP(year(A549),Lookup!$K$13:$K1000,Lookup!$N$13:$N1000,"missing",,1),B549&gt;65,XLOOKUP(questions!$C$5,Lookup!$K$13:$K1000,Lookup!$N$13:$N1000,"missing",,1))</f>
        <v>1574701.453</v>
      </c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  <c r="AQ549" s="37"/>
    </row>
    <row r="550">
      <c r="A550" s="55">
        <f t="shared" si="7"/>
        <v>62762</v>
      </c>
      <c r="B550" s="56">
        <f>round(YEARFRAC(EOMONTH(questions!$C$3, 0),A550,1),2)</f>
        <v>72.92</v>
      </c>
      <c r="C550" s="58">
        <f>IF(B550&lt;questions!$C$6,if(MONTH(A550)=1,C549*(1+questions!$C$12),C549),0)</f>
        <v>0</v>
      </c>
      <c r="D550" s="58">
        <f>IF(MONTH(A550)=12,C550*questions!$C$11,0)</f>
        <v>0</v>
      </c>
      <c r="E550" s="71">
        <f t="shared" si="2"/>
        <v>0</v>
      </c>
      <c r="F550" s="71">
        <f t="shared" si="3"/>
        <v>0</v>
      </c>
      <c r="G550" s="61">
        <f t="array" ref="G550">if(YEAR(A550)=2025,XLOOKUP(B550,Lookup!$A$3:$A$7,Lookup!$D$3:$D$7,,1)*SUM(E550:F550), XLOOKUP(B550,Lookup!$A$14:$A$18,Lookup!$D$14:$D$18,,1)*SUM(E550:F550))</f>
        <v>0</v>
      </c>
      <c r="H550" s="61">
        <f t="array" ref="H550">if(YEAR(A550)=2025,XLOOKUP(B550,Lookup!$F$3:$F$10,Lookup!$G$3:$G$10,,1)*G550, XLOOKUP(B550,Lookup!$F$14:$F$21,Lookup!$G$14:$G$21,,1)*G550)</f>
        <v>0</v>
      </c>
      <c r="I550" s="61">
        <f t="array" ref="I550">if(B550&lt;55, if(YEAR(A550)=2025,XLOOKUP(B550,Lookup!$F$3:$F$10,Lookup!$H$3:$H$10,,1)*G550, XLOOKUP(B550,Lookup!$F$14:$F$21,Lookup!$H$14:$H$21,,1)*G550),0)</f>
        <v>0</v>
      </c>
      <c r="J550" s="61">
        <f t="array" ref="J550">if(YEAR(A550)=2025,XLOOKUP(B550,Lookup!$F$3:$F$10,Lookup!$I$3:$I$10,,1)*G550, XLOOKUP(B550,Lookup!$F$14:$F$21,Lookup!$I$14:$I$21,,1)*G550)</f>
        <v>0</v>
      </c>
      <c r="K550" s="61">
        <f t="array" ref="K550">if(B550&gt;54, if(YEAR(A550)=2025,XLOOKUP(B550,Lookup!$F$3:$F$10,Lookup!$H$3:$H$10,,1)*G550, XLOOKUP(B550,Lookup!$F$14:$F$21,Lookup!$H$14:$H$21,,1)*G550),0)</f>
        <v>0</v>
      </c>
      <c r="L550" s="62">
        <f>IF(and(A550&lt;questions!$C$19,questions!$C$18="yes"),questions!$C$20,0)</f>
        <v>0</v>
      </c>
      <c r="M550" s="63">
        <f>(Y549+H550)*Lookup!A$26/12</f>
        <v>2432.590273</v>
      </c>
      <c r="N550" s="63">
        <f>if(B550&lt;55, (Z549+I550)*Lookup!B$26/12, (AB549+K550)*Lookup!B$26/12)</f>
        <v>4139.181629</v>
      </c>
      <c r="O550" s="63">
        <f>(AA549+J550)*Lookup!C$26/12</f>
        <v>940.3700287</v>
      </c>
      <c r="P550" s="63">
        <f t="shared" si="8"/>
        <v>24325.90273</v>
      </c>
      <c r="Q550" s="63">
        <f t="shared" si="4"/>
        <v>41391.81629</v>
      </c>
      <c r="R550" s="63">
        <f t="shared" si="5"/>
        <v>9403.700287</v>
      </c>
      <c r="S550" s="64">
        <f t="shared" si="9"/>
        <v>33.33333333</v>
      </c>
      <c r="T550" s="64">
        <f t="shared" si="10"/>
        <v>41.66666667</v>
      </c>
      <c r="U550" s="64">
        <f t="shared" si="11"/>
        <v>0</v>
      </c>
      <c r="V550" s="64">
        <f t="shared" ref="V550:X550" si="558">IF(year($A550)=year($A549), V549+S550, S550)</f>
        <v>333.3333333</v>
      </c>
      <c r="W550" s="64">
        <f t="shared" si="558"/>
        <v>416.6666667</v>
      </c>
      <c r="X550" s="64">
        <f t="shared" si="558"/>
        <v>0</v>
      </c>
      <c r="Y550" s="65">
        <f>IFS(
  B550&lt;55,
    MAX(
      Y549 + IF(MONTH(A550)=12, P550+V550, 0) + H550 - L550
      + MAX(0,
          IF(AA549 &gt;= VLOOKUP(YEAR(A550), Lookup!$Q:$R, 2),
            Z549 + IF(MONTH(A550)=12, Q550+W550, 0) + I550
              + AA549 + IF(MONTH(A550)=12, R550+X550, 0)
              - VLOOKUP(YEAR(A550), Lookup!$Q:$R, 2) + J550,
            Z549 + IF(MONTH(A550)=12, Q550+W550, 0) + I550
          ) - VLOOKUP(YEAR(A550), Lookup!$K:$M, 3)
        ),
    0),
  B550=55,
    IF(Z549&gt;=AD550,
      MAX(Y549 + IF(MONTH(A550)=12, P550+V550, 0) + H550 - L550, 0),
      MAX(MAX(0, Y549-(AD550-Z549)) + IF(MONTH(A550)=12, P550+V550, 0) + H550 - L550, 0)
    ),
  B550&gt;55,
    IF(AB549&gt;=$AH$7,
      MAX(Y549 + IF(MONTH(A550)=12, P550+V550, 0) + H550 - L550 + K550 + Z549, 0),
      MAX(Y549 + IF(MONTH(A550)=12, P550+V550, 0) + H550 - L550, 0)
    )
)</f>
        <v>1167643.331</v>
      </c>
      <c r="Z550" s="65">
        <f>IFS(
  B550&lt;55,
    MIN(
      IF(AA549 &gt;= VLOOKUP(YEAR(A550), Lookup!$Q:$R, 2),
        Z549 + IF(MONTH(A550)=12, Q550+W550, 0) + I550
          + AA549 + IF(MONTH(A550)=12, R550+X550, 0) - VLOOKUP(YEAR(A550), Lookup!$Q:$R, 2) + J550,
        Z549 + IF(MONTH(A550)=12, Q550+W550, 0) + I550
      ),
      VLOOKUP(YEAR(A550), Lookup!$K:$M, 3)
    ),
  B550=55,
    IF(Z549 &gt;= AD550, Z549 - AD550, 0),
  B550&gt;55, 0
)</f>
        <v>0</v>
      </c>
      <c r="AA550" s="65">
        <f>IFS(
  B550&lt;65,
    IF(AA549+J550 &lt; VLOOKUP(YEAR(A550), Lookup!$Q:$R, 2),
      AA549 + IF(MONTH(A550)=12, R549+X549, 0) + J550,
      MIN(
        AA549 + IF(MONTH(A550)=12, R549+X549, 0) + J550 ,
        VLOOKUP(YEAR(A550), Lookup!$Q:$R, 2)
      )
    ),
  B550&gt;=65,
    IF(AA549+J550 &lt; VLOOKUP(questions!$C$5, Lookup!$Q:$R, 2),
      AA549 + IF(MONTH(A550)=12, R549+X549, 0) + J550 ,
      MIN(
        AA549 + IF(MONTH(A550)=12, R549+X549, 0) + J550,
        VLOOKUP(questions!$C$5, Lookup!$Q:$R, 2)
      )
    )
)</f>
        <v>282111.0086</v>
      </c>
      <c r="AB550" s="65">
        <f t="shared" si="13"/>
        <v>1241754.489</v>
      </c>
      <c r="AC550" s="66">
        <f t="array" ref="AC550">IFS(B550&lt;66, XLOOKUP(year(A550),Lookup!$K$13:$K1000,Lookup!$L$13:$L1000,"missing",,1),B550&gt;65,XLOOKUP(questions!$C$5,Lookup!$K$13:$K1000,Lookup!$L$13:$L1000,"missing",,1))</f>
        <v>393675.3633</v>
      </c>
      <c r="AD550" s="66">
        <f t="array" ref="AD550">IFS(B550&lt;66, XLOOKUP(year(A550),Lookup!$K$13:$K1000,Lookup!$M$13:$M1000,"missing",,1),B550&gt;65, XLOOKUP(questions!$C$5,Lookup!$K$13:$K1000,Lookup!$M$13:$M1000,"missing",,1))</f>
        <v>787350.7266</v>
      </c>
      <c r="AE550" s="66">
        <f t="array" ref="AE550">IFS(B550&lt;66, XLOOKUP(year(A550),Lookup!$K$13:$K1000,Lookup!$N$13:$N1000,"missing",,1),B550&gt;65,XLOOKUP(questions!$C$5,Lookup!$K$13:$K1000,Lookup!$N$13:$N1000,"missing",,1))</f>
        <v>1574701.453</v>
      </c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7"/>
      <c r="AQ550" s="37"/>
    </row>
    <row r="551">
      <c r="A551" s="55">
        <f t="shared" si="7"/>
        <v>62792</v>
      </c>
      <c r="B551" s="56">
        <f>round(YEARFRAC(EOMONTH(questions!$C$3, 0),A551,1),2)</f>
        <v>73</v>
      </c>
      <c r="C551" s="58">
        <f>IF(B551&lt;questions!$C$6,if(MONTH(A551)=1,C550*(1+questions!$C$12),C550),0)</f>
        <v>0</v>
      </c>
      <c r="D551" s="58">
        <f>IF(MONTH(A551)=12,C551*questions!$C$11,0)</f>
        <v>0</v>
      </c>
      <c r="E551" s="71">
        <f t="shared" si="2"/>
        <v>0</v>
      </c>
      <c r="F551" s="71">
        <f t="shared" si="3"/>
        <v>0</v>
      </c>
      <c r="G551" s="61">
        <f t="array" ref="G551">if(YEAR(A551)=2025,XLOOKUP(B551,Lookup!$A$3:$A$7,Lookup!$D$3:$D$7,,1)*SUM(E551:F551), XLOOKUP(B551,Lookup!$A$14:$A$18,Lookup!$D$14:$D$18,,1)*SUM(E551:F551))</f>
        <v>0</v>
      </c>
      <c r="H551" s="61">
        <f t="array" ref="H551">if(YEAR(A551)=2025,XLOOKUP(B551,Lookup!$F$3:$F$10,Lookup!$G$3:$G$10,,1)*G551, XLOOKUP(B551,Lookup!$F$14:$F$21,Lookup!$G$14:$G$21,,1)*G551)</f>
        <v>0</v>
      </c>
      <c r="I551" s="61">
        <f t="array" ref="I551">if(B551&lt;55, if(YEAR(A551)=2025,XLOOKUP(B551,Lookup!$F$3:$F$10,Lookup!$H$3:$H$10,,1)*G551, XLOOKUP(B551,Lookup!$F$14:$F$21,Lookup!$H$14:$H$21,,1)*G551),0)</f>
        <v>0</v>
      </c>
      <c r="J551" s="61">
        <f t="array" ref="J551">if(YEAR(A551)=2025,XLOOKUP(B551,Lookup!$F$3:$F$10,Lookup!$I$3:$I$10,,1)*G551, XLOOKUP(B551,Lookup!$F$14:$F$21,Lookup!$I$14:$I$21,,1)*G551)</f>
        <v>0</v>
      </c>
      <c r="K551" s="61">
        <f t="array" ref="K551">if(B551&gt;54, if(YEAR(A551)=2025,XLOOKUP(B551,Lookup!$F$3:$F$10,Lookup!$H$3:$H$10,,1)*G551, XLOOKUP(B551,Lookup!$F$14:$F$21,Lookup!$H$14:$H$21,,1)*G551),0)</f>
        <v>0</v>
      </c>
      <c r="L551" s="62">
        <f>IF(and(A551&lt;questions!$C$19,questions!$C$18="yes"),questions!$C$20,0)</f>
        <v>0</v>
      </c>
      <c r="M551" s="63">
        <f>(Y550+H551)*Lookup!A$26/12</f>
        <v>2432.590273</v>
      </c>
      <c r="N551" s="63">
        <f>if(B551&lt;55, (Z550+I551)*Lookup!B$26/12, (AB550+K551)*Lookup!B$26/12)</f>
        <v>4139.181629</v>
      </c>
      <c r="O551" s="63">
        <f>(AA550+J551)*Lookup!C$26/12</f>
        <v>940.3700287</v>
      </c>
      <c r="P551" s="63">
        <f t="shared" si="8"/>
        <v>26758.493</v>
      </c>
      <c r="Q551" s="63">
        <f t="shared" si="4"/>
        <v>45530.99792</v>
      </c>
      <c r="R551" s="63">
        <f t="shared" si="5"/>
        <v>10344.07032</v>
      </c>
      <c r="S551" s="64">
        <f t="shared" si="9"/>
        <v>33.33333333</v>
      </c>
      <c r="T551" s="64">
        <f t="shared" si="10"/>
        <v>41.66666667</v>
      </c>
      <c r="U551" s="64">
        <f t="shared" si="11"/>
        <v>0</v>
      </c>
      <c r="V551" s="64">
        <f t="shared" ref="V551:X551" si="559">IF(year($A551)=year($A550), V550+S551, S551)</f>
        <v>366.6666667</v>
      </c>
      <c r="W551" s="64">
        <f t="shared" si="559"/>
        <v>458.3333333</v>
      </c>
      <c r="X551" s="64">
        <f t="shared" si="559"/>
        <v>0</v>
      </c>
      <c r="Y551" s="65">
        <f>IFS(
  B551&lt;55,
    MAX(
      Y550 + IF(MONTH(A551)=12, P551+V551, 0) + H551 - L551
      + MAX(0,
          IF(AA550 &gt;= VLOOKUP(YEAR(A551), Lookup!$Q:$R, 2),
            Z550 + IF(MONTH(A551)=12, Q551+W551, 0) + I551
              + AA550 + IF(MONTH(A551)=12, R551+X551, 0)
              - VLOOKUP(YEAR(A551), Lookup!$Q:$R, 2) + J551,
            Z550 + IF(MONTH(A551)=12, Q551+W551, 0) + I551
          ) - VLOOKUP(YEAR(A551), Lookup!$K:$M, 3)
        ),
    0),
  B551=55,
    IF(Z550&gt;=AD551,
      MAX(Y550 + IF(MONTH(A551)=12, P551+V551, 0) + H551 - L551, 0),
      MAX(MAX(0, Y550-(AD551-Z550)) + IF(MONTH(A551)=12, P551+V551, 0) + H551 - L551, 0)
    ),
  B551&gt;55,
    IF(AB550&gt;=$AH$7,
      MAX(Y550 + IF(MONTH(A551)=12, P551+V551, 0) + H551 - L551 + K551 + Z550, 0),
      MAX(Y550 + IF(MONTH(A551)=12, P551+V551, 0) + H551 - L551, 0)
    )
)</f>
        <v>1167643.331</v>
      </c>
      <c r="Z551" s="65">
        <f>IFS(
  B551&lt;55,
    MIN(
      IF(AA550 &gt;= VLOOKUP(YEAR(A551), Lookup!$Q:$R, 2),
        Z550 + IF(MONTH(A551)=12, Q551+W551, 0) + I551
          + AA550 + IF(MONTH(A551)=12, R551+X551, 0) - VLOOKUP(YEAR(A551), Lookup!$Q:$R, 2) + J551,
        Z550 + IF(MONTH(A551)=12, Q551+W551, 0) + I551
      ),
      VLOOKUP(YEAR(A551), Lookup!$K:$M, 3)
    ),
  B551=55,
    IF(Z550 &gt;= AD551, Z550 - AD551, 0),
  B551&gt;55, 0
)</f>
        <v>0</v>
      </c>
      <c r="AA551" s="65">
        <f>IFS(
  B551&lt;65,
    IF(AA550+J551 &lt; VLOOKUP(YEAR(A551), Lookup!$Q:$R, 2),
      AA550 + IF(MONTH(A551)=12, R550+X550, 0) + J551,
      MIN(
        AA550 + IF(MONTH(A551)=12, R550+X550, 0) + J551 ,
        VLOOKUP(YEAR(A551), Lookup!$Q:$R, 2)
      )
    ),
  B551&gt;=65,
    IF(AA550+J551 &lt; VLOOKUP(questions!$C$5, Lookup!$Q:$R, 2),
      AA550 + IF(MONTH(A551)=12, R550+X550, 0) + J551 ,
      MIN(
        AA550 + IF(MONTH(A551)=12, R550+X550, 0) + J551,
        VLOOKUP(questions!$C$5, Lookup!$Q:$R, 2)
      )
    )
)</f>
        <v>282111.0086</v>
      </c>
      <c r="AB551" s="65">
        <f t="shared" si="13"/>
        <v>1241754.489</v>
      </c>
      <c r="AC551" s="66">
        <f t="array" ref="AC551">IFS(B551&lt;66, XLOOKUP(year(A551),Lookup!$K$13:$K1000,Lookup!$L$13:$L1000,"missing",,1),B551&gt;65,XLOOKUP(questions!$C$5,Lookup!$K$13:$K1000,Lookup!$L$13:$L1000,"missing",,1))</f>
        <v>393675.3633</v>
      </c>
      <c r="AD551" s="66">
        <f t="array" ref="AD551">IFS(B551&lt;66, XLOOKUP(year(A551),Lookup!$K$13:$K1000,Lookup!$M$13:$M1000,"missing",,1),B551&gt;65, XLOOKUP(questions!$C$5,Lookup!$K$13:$K1000,Lookup!$M$13:$M1000,"missing",,1))</f>
        <v>787350.7266</v>
      </c>
      <c r="AE551" s="66">
        <f t="array" ref="AE551">IFS(B551&lt;66, XLOOKUP(year(A551),Lookup!$K$13:$K1000,Lookup!$N$13:$N1000,"missing",,1),B551&gt;65,XLOOKUP(questions!$C$5,Lookup!$K$13:$K1000,Lookup!$N$13:$N1000,"missing",,1))</f>
        <v>1574701.453</v>
      </c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  <c r="AQ551" s="37"/>
    </row>
    <row r="552">
      <c r="A552" s="55">
        <f t="shared" si="7"/>
        <v>62823</v>
      </c>
      <c r="B552" s="56">
        <f>round(YEARFRAC(EOMONTH(questions!$C$3, 0),A552,1),2)</f>
        <v>73.08</v>
      </c>
      <c r="C552" s="58">
        <f>IF(B552&lt;questions!$C$6,if(MONTH(A552)=1,C551*(1+questions!$C$12),C551),0)</f>
        <v>0</v>
      </c>
      <c r="D552" s="58">
        <f>IF(MONTH(A552)=12,C552*questions!$C$11,0)</f>
        <v>0</v>
      </c>
      <c r="E552" s="71">
        <f t="shared" si="2"/>
        <v>0</v>
      </c>
      <c r="F552" s="71">
        <f t="shared" si="3"/>
        <v>0</v>
      </c>
      <c r="G552" s="61">
        <f t="array" ref="G552">if(YEAR(A552)=2025,XLOOKUP(B552,Lookup!$A$3:$A$7,Lookup!$D$3:$D$7,,1)*SUM(E552:F552), XLOOKUP(B552,Lookup!$A$14:$A$18,Lookup!$D$14:$D$18,,1)*SUM(E552:F552))</f>
        <v>0</v>
      </c>
      <c r="H552" s="61">
        <f t="array" ref="H552">if(YEAR(A552)=2025,XLOOKUP(B552,Lookup!$F$3:$F$10,Lookup!$G$3:$G$10,,1)*G552, XLOOKUP(B552,Lookup!$F$14:$F$21,Lookup!$G$14:$G$21,,1)*G552)</f>
        <v>0</v>
      </c>
      <c r="I552" s="61">
        <f t="array" ref="I552">if(B552&lt;55, if(YEAR(A552)=2025,XLOOKUP(B552,Lookup!$F$3:$F$10,Lookup!$H$3:$H$10,,1)*G552, XLOOKUP(B552,Lookup!$F$14:$F$21,Lookup!$H$14:$H$21,,1)*G552),0)</f>
        <v>0</v>
      </c>
      <c r="J552" s="61">
        <f t="array" ref="J552">if(YEAR(A552)=2025,XLOOKUP(B552,Lookup!$F$3:$F$10,Lookup!$I$3:$I$10,,1)*G552, XLOOKUP(B552,Lookup!$F$14:$F$21,Lookup!$I$14:$I$21,,1)*G552)</f>
        <v>0</v>
      </c>
      <c r="K552" s="61">
        <f t="array" ref="K552">if(B552&gt;54, if(YEAR(A552)=2025,XLOOKUP(B552,Lookup!$F$3:$F$10,Lookup!$H$3:$H$10,,1)*G552, XLOOKUP(B552,Lookup!$F$14:$F$21,Lookup!$H$14:$H$21,,1)*G552),0)</f>
        <v>0</v>
      </c>
      <c r="L552" s="62">
        <f>IF(and(A552&lt;questions!$C$19,questions!$C$18="yes"),questions!$C$20,0)</f>
        <v>0</v>
      </c>
      <c r="M552" s="63">
        <f>(Y551+H552)*Lookup!A$26/12</f>
        <v>2432.590273</v>
      </c>
      <c r="N552" s="63">
        <f>if(B552&lt;55, (Z551+I552)*Lookup!B$26/12, (AB551+K552)*Lookup!B$26/12)</f>
        <v>4139.181629</v>
      </c>
      <c r="O552" s="63">
        <f>(AA551+J552)*Lookup!C$26/12</f>
        <v>940.3700287</v>
      </c>
      <c r="P552" s="63">
        <f t="shared" si="8"/>
        <v>29191.08327</v>
      </c>
      <c r="Q552" s="63">
        <f t="shared" si="4"/>
        <v>49670.17954</v>
      </c>
      <c r="R552" s="63">
        <f t="shared" si="5"/>
        <v>11284.44034</v>
      </c>
      <c r="S552" s="64">
        <f t="shared" si="9"/>
        <v>33.33333333</v>
      </c>
      <c r="T552" s="64">
        <f t="shared" si="10"/>
        <v>41.66666667</v>
      </c>
      <c r="U552" s="64">
        <f t="shared" si="11"/>
        <v>0</v>
      </c>
      <c r="V552" s="64">
        <f t="shared" ref="V552:X552" si="560">IF(year($A552)=year($A551), V551+S552, S552)</f>
        <v>400</v>
      </c>
      <c r="W552" s="64">
        <f t="shared" si="560"/>
        <v>500</v>
      </c>
      <c r="X552" s="64">
        <f t="shared" si="560"/>
        <v>0</v>
      </c>
      <c r="Y552" s="65">
        <f>IFS(
  B552&lt;55,
    MAX(
      Y551 + IF(MONTH(A552)=12, P552+V552, 0) + H552 - L552
      + MAX(0,
          IF(AA551 &gt;= VLOOKUP(YEAR(A552), Lookup!$Q:$R, 2),
            Z551 + IF(MONTH(A552)=12, Q552+W552, 0) + I552
              + AA551 + IF(MONTH(A552)=12, R552+X552, 0)
              - VLOOKUP(YEAR(A552), Lookup!$Q:$R, 2) + J552,
            Z551 + IF(MONTH(A552)=12, Q552+W552, 0) + I552
          ) - VLOOKUP(YEAR(A552), Lookup!$K:$M, 3)
        ),
    0),
  B552=55,
    IF(Z551&gt;=AD552,
      MAX(Y551 + IF(MONTH(A552)=12, P552+V552, 0) + H552 - L552, 0),
      MAX(MAX(0, Y551-(AD552-Z551)) + IF(MONTH(A552)=12, P552+V552, 0) + H552 - L552, 0)
    ),
  B552&gt;55,
    IF(AB551&gt;=$AH$7,
      MAX(Y551 + IF(MONTH(A552)=12, P552+V552, 0) + H552 - L552 + K552 + Z551, 0),
      MAX(Y551 + IF(MONTH(A552)=12, P552+V552, 0) + H552 - L552, 0)
    )
)</f>
        <v>1197234.414</v>
      </c>
      <c r="Z552" s="65">
        <f>IFS(
  B552&lt;55,
    MIN(
      IF(AA551 &gt;= VLOOKUP(YEAR(A552), Lookup!$Q:$R, 2),
        Z551 + IF(MONTH(A552)=12, Q552+W552, 0) + I552
          + AA551 + IF(MONTH(A552)=12, R552+X552, 0) - VLOOKUP(YEAR(A552), Lookup!$Q:$R, 2) + J552,
        Z551 + IF(MONTH(A552)=12, Q552+W552, 0) + I552
      ),
      VLOOKUP(YEAR(A552), Lookup!$K:$M, 3)
    ),
  B552=55,
    IF(Z551 &gt;= AD552, Z551 - AD552, 0),
  B552&gt;55, 0
)</f>
        <v>0</v>
      </c>
      <c r="AA552" s="65">
        <f>IFS(
  B552&lt;65,
    IF(AA551+J552 &lt; VLOOKUP(YEAR(A552), Lookup!$Q:$R, 2),
      AA551 + IF(MONTH(A552)=12, R551+X551, 0) + J552,
      MIN(
        AA551 + IF(MONTH(A552)=12, R551+X551, 0) + J552 ,
        VLOOKUP(YEAR(A552), Lookup!$Q:$R, 2)
      )
    ),
  B552&gt;=65,
    IF(AA551+J552 &lt; VLOOKUP(questions!$C$5, Lookup!$Q:$R, 2),
      AA551 + IF(MONTH(A552)=12, R551+X551, 0) + J552 ,
      MIN(
        AA551 + IF(MONTH(A552)=12, R551+X551, 0) + J552,
        VLOOKUP(questions!$C$5, Lookup!$Q:$R, 2)
      )
    )
)</f>
        <v>282111.0086</v>
      </c>
      <c r="AB552" s="65">
        <f t="shared" si="13"/>
        <v>1291924.668</v>
      </c>
      <c r="AC552" s="66">
        <f t="array" ref="AC552">IFS(B552&lt;66, XLOOKUP(year(A552),Lookup!$K$13:$K1000,Lookup!$L$13:$L1000,"missing",,1),B552&gt;65,XLOOKUP(questions!$C$5,Lookup!$K$13:$K1000,Lookup!$L$13:$L1000,"missing",,1))</f>
        <v>393675.3633</v>
      </c>
      <c r="AD552" s="66">
        <f t="array" ref="AD552">IFS(B552&lt;66, XLOOKUP(year(A552),Lookup!$K$13:$K1000,Lookup!$M$13:$M1000,"missing",,1),B552&gt;65, XLOOKUP(questions!$C$5,Lookup!$K$13:$K1000,Lookup!$M$13:$M1000,"missing",,1))</f>
        <v>787350.7266</v>
      </c>
      <c r="AE552" s="66">
        <f t="array" ref="AE552">IFS(B552&lt;66, XLOOKUP(year(A552),Lookup!$K$13:$K1000,Lookup!$N$13:$N1000,"missing",,1),B552&gt;65,XLOOKUP(questions!$C$5,Lookup!$K$13:$K1000,Lookup!$N$13:$N1000,"missing",,1))</f>
        <v>1574701.453</v>
      </c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</row>
    <row r="553">
      <c r="A553" s="55">
        <f t="shared" si="7"/>
        <v>62854</v>
      </c>
      <c r="B553" s="56">
        <f>round(YEARFRAC(EOMONTH(questions!$C$3, 0),A553,1),2)</f>
        <v>73.17</v>
      </c>
      <c r="C553" s="58">
        <f>IF(B553&lt;questions!$C$6,if(MONTH(A553)=1,C552*(1+questions!$C$12),C552),0)</f>
        <v>0</v>
      </c>
      <c r="D553" s="58">
        <f>IF(MONTH(A553)=12,C553*questions!$C$11,0)</f>
        <v>0</v>
      </c>
      <c r="E553" s="71">
        <f t="shared" si="2"/>
        <v>0</v>
      </c>
      <c r="F553" s="71">
        <f t="shared" si="3"/>
        <v>0</v>
      </c>
      <c r="G553" s="61">
        <f t="array" ref="G553">if(YEAR(A553)=2025,XLOOKUP(B553,Lookup!$A$3:$A$7,Lookup!$D$3:$D$7,,1)*SUM(E553:F553), XLOOKUP(B553,Lookup!$A$14:$A$18,Lookup!$D$14:$D$18,,1)*SUM(E553:F553))</f>
        <v>0</v>
      </c>
      <c r="H553" s="61">
        <f t="array" ref="H553">if(YEAR(A553)=2025,XLOOKUP(B553,Lookup!$F$3:$F$10,Lookup!$G$3:$G$10,,1)*G553, XLOOKUP(B553,Lookup!$F$14:$F$21,Lookup!$G$14:$G$21,,1)*G553)</f>
        <v>0</v>
      </c>
      <c r="I553" s="61">
        <f t="array" ref="I553">if(B553&lt;55, if(YEAR(A553)=2025,XLOOKUP(B553,Lookup!$F$3:$F$10,Lookup!$H$3:$H$10,,1)*G553, XLOOKUP(B553,Lookup!$F$14:$F$21,Lookup!$H$14:$H$21,,1)*G553),0)</f>
        <v>0</v>
      </c>
      <c r="J553" s="61">
        <f t="array" ref="J553">if(YEAR(A553)=2025,XLOOKUP(B553,Lookup!$F$3:$F$10,Lookup!$I$3:$I$10,,1)*G553, XLOOKUP(B553,Lookup!$F$14:$F$21,Lookup!$I$14:$I$21,,1)*G553)</f>
        <v>0</v>
      </c>
      <c r="K553" s="61">
        <f t="array" ref="K553">if(B553&gt;54, if(YEAR(A553)=2025,XLOOKUP(B553,Lookup!$F$3:$F$10,Lookup!$H$3:$H$10,,1)*G553, XLOOKUP(B553,Lookup!$F$14:$F$21,Lookup!$H$14:$H$21,,1)*G553),0)</f>
        <v>0</v>
      </c>
      <c r="L553" s="62">
        <f>IF(and(A553&lt;questions!$C$19,questions!$C$18="yes"),questions!$C$20,0)</f>
        <v>0</v>
      </c>
      <c r="M553" s="63">
        <f>(Y552+H553)*Lookup!A$26/12</f>
        <v>2494.238363</v>
      </c>
      <c r="N553" s="63">
        <f>if(B553&lt;55, (Z552+I553)*Lookup!B$26/12, (AB552+K553)*Lookup!B$26/12)</f>
        <v>4306.415561</v>
      </c>
      <c r="O553" s="63">
        <f>(AA552+J553)*Lookup!C$26/12</f>
        <v>940.3700287</v>
      </c>
      <c r="P553" s="63">
        <f t="shared" si="8"/>
        <v>2494.238363</v>
      </c>
      <c r="Q553" s="63">
        <f t="shared" si="4"/>
        <v>4306.415561</v>
      </c>
      <c r="R553" s="63">
        <f t="shared" si="5"/>
        <v>940.3700287</v>
      </c>
      <c r="S553" s="64">
        <f t="shared" si="9"/>
        <v>33.33333333</v>
      </c>
      <c r="T553" s="64">
        <f t="shared" si="10"/>
        <v>41.66666667</v>
      </c>
      <c r="U553" s="64">
        <f t="shared" si="11"/>
        <v>0</v>
      </c>
      <c r="V553" s="64">
        <f t="shared" ref="V553:X553" si="561">IF(year($A553)=year($A552), V552+S553, S553)</f>
        <v>33.33333333</v>
      </c>
      <c r="W553" s="64">
        <f t="shared" si="561"/>
        <v>41.66666667</v>
      </c>
      <c r="X553" s="64">
        <f t="shared" si="561"/>
        <v>0</v>
      </c>
      <c r="Y553" s="65">
        <f>IFS(
  B553&lt;55,
    MAX(
      Y552 + IF(MONTH(A553)=12, P553+V553, 0) + H553 - L553
      + MAX(0,
          IF(AA552 &gt;= VLOOKUP(YEAR(A553), Lookup!$Q:$R, 2),
            Z552 + IF(MONTH(A553)=12, Q553+W553, 0) + I553
              + AA552 + IF(MONTH(A553)=12, R553+X553, 0)
              - VLOOKUP(YEAR(A553), Lookup!$Q:$R, 2) + J553,
            Z552 + IF(MONTH(A553)=12, Q553+W553, 0) + I553
          ) - VLOOKUP(YEAR(A553), Lookup!$K:$M, 3)
        ),
    0),
  B553=55,
    IF(Z552&gt;=AD553,
      MAX(Y552 + IF(MONTH(A553)=12, P553+V553, 0) + H553 - L553, 0),
      MAX(MAX(0, Y552-(AD553-Z552)) + IF(MONTH(A553)=12, P553+V553, 0) + H553 - L553, 0)
    ),
  B553&gt;55,
    IF(AB552&gt;=$AH$7,
      MAX(Y552 + IF(MONTH(A553)=12, P553+V553, 0) + H553 - L553 + K553 + Z552, 0),
      MAX(Y552 + IF(MONTH(A553)=12, P553+V553, 0) + H553 - L553, 0)
    )
)</f>
        <v>1197234.414</v>
      </c>
      <c r="Z553" s="65">
        <f>IFS(
  B553&lt;55,
    MIN(
      IF(AA552 &gt;= VLOOKUP(YEAR(A553), Lookup!$Q:$R, 2),
        Z552 + IF(MONTH(A553)=12, Q553+W553, 0) + I553
          + AA552 + IF(MONTH(A553)=12, R553+X553, 0) - VLOOKUP(YEAR(A553), Lookup!$Q:$R, 2) + J553,
        Z552 + IF(MONTH(A553)=12, Q553+W553, 0) + I553
      ),
      VLOOKUP(YEAR(A553), Lookup!$K:$M, 3)
    ),
  B553=55,
    IF(Z552 &gt;= AD553, Z552 - AD553, 0),
  B553&gt;55, 0
)</f>
        <v>0</v>
      </c>
      <c r="AA553" s="65">
        <f>IFS(
  B553&lt;65,
    IF(AA552+J553 &lt; VLOOKUP(YEAR(A553), Lookup!$Q:$R, 2),
      AA552 + IF(MONTH(A553)=12, R552+X552, 0) + J553,
      MIN(
        AA552 + IF(MONTH(A553)=12, R552+X552, 0) + J553 ,
        VLOOKUP(YEAR(A553), Lookup!$Q:$R, 2)
      )
    ),
  B553&gt;=65,
    IF(AA552+J553 &lt; VLOOKUP(questions!$C$5, Lookup!$Q:$R, 2),
      AA552 + IF(MONTH(A553)=12, R552+X552, 0) + J553 ,
      MIN(
        AA552 + IF(MONTH(A553)=12, R552+X552, 0) + J553,
        VLOOKUP(questions!$C$5, Lookup!$Q:$R, 2)
      )
    )
)</f>
        <v>282111.0086</v>
      </c>
      <c r="AB553" s="65">
        <f t="shared" si="13"/>
        <v>1291924.668</v>
      </c>
      <c r="AC553" s="66">
        <f t="array" ref="AC553">IFS(B553&lt;66, XLOOKUP(year(A553),Lookup!$K$13:$K1000,Lookup!$L$13:$L1000,"missing",,1),B553&gt;65,XLOOKUP(questions!$C$5,Lookup!$K$13:$K1000,Lookup!$L$13:$L1000,"missing",,1))</f>
        <v>393675.3633</v>
      </c>
      <c r="AD553" s="66">
        <f t="array" ref="AD553">IFS(B553&lt;66, XLOOKUP(year(A553),Lookup!$K$13:$K1000,Lookup!$M$13:$M1000,"missing",,1),B553&gt;65, XLOOKUP(questions!$C$5,Lookup!$K$13:$K1000,Lookup!$M$13:$M1000,"missing",,1))</f>
        <v>787350.7266</v>
      </c>
      <c r="AE553" s="66">
        <f t="array" ref="AE553">IFS(B553&lt;66, XLOOKUP(year(A553),Lookup!$K$13:$K1000,Lookup!$N$13:$N1000,"missing",,1),B553&gt;65,XLOOKUP(questions!$C$5,Lookup!$K$13:$K1000,Lookup!$N$13:$N1000,"missing",,1))</f>
        <v>1574701.453</v>
      </c>
      <c r="AF553" s="37"/>
      <c r="AG553" s="37"/>
      <c r="AH553" s="37"/>
      <c r="AI553" s="37"/>
      <c r="AJ553" s="37"/>
      <c r="AK553" s="37"/>
      <c r="AL553" s="37"/>
      <c r="AM553" s="37"/>
      <c r="AN553" s="37"/>
      <c r="AO553" s="37"/>
      <c r="AP553" s="37"/>
      <c r="AQ553" s="37"/>
    </row>
    <row r="554">
      <c r="A554" s="55">
        <f t="shared" si="7"/>
        <v>62883</v>
      </c>
      <c r="B554" s="56">
        <f>round(YEARFRAC(EOMONTH(questions!$C$3, 0),A554,1),2)</f>
        <v>73.25</v>
      </c>
      <c r="C554" s="58">
        <f>IF(B554&lt;questions!$C$6,if(MONTH(A554)=1,C553*(1+questions!$C$12),C553),0)</f>
        <v>0</v>
      </c>
      <c r="D554" s="58">
        <f>IF(MONTH(A554)=12,C554*questions!$C$11,0)</f>
        <v>0</v>
      </c>
      <c r="E554" s="71">
        <f t="shared" si="2"/>
        <v>0</v>
      </c>
      <c r="F554" s="71">
        <f t="shared" si="3"/>
        <v>0</v>
      </c>
      <c r="G554" s="61">
        <f t="array" ref="G554">if(YEAR(A554)=2025,XLOOKUP(B554,Lookup!$A$3:$A$7,Lookup!$D$3:$D$7,,1)*SUM(E554:F554), XLOOKUP(B554,Lookup!$A$14:$A$18,Lookup!$D$14:$D$18,,1)*SUM(E554:F554))</f>
        <v>0</v>
      </c>
      <c r="H554" s="61">
        <f t="array" ref="H554">if(YEAR(A554)=2025,XLOOKUP(B554,Lookup!$F$3:$F$10,Lookup!$G$3:$G$10,,1)*G554, XLOOKUP(B554,Lookup!$F$14:$F$21,Lookup!$G$14:$G$21,,1)*G554)</f>
        <v>0</v>
      </c>
      <c r="I554" s="61">
        <f t="array" ref="I554">if(B554&lt;55, if(YEAR(A554)=2025,XLOOKUP(B554,Lookup!$F$3:$F$10,Lookup!$H$3:$H$10,,1)*G554, XLOOKUP(B554,Lookup!$F$14:$F$21,Lookup!$H$14:$H$21,,1)*G554),0)</f>
        <v>0</v>
      </c>
      <c r="J554" s="61">
        <f t="array" ref="J554">if(YEAR(A554)=2025,XLOOKUP(B554,Lookup!$F$3:$F$10,Lookup!$I$3:$I$10,,1)*G554, XLOOKUP(B554,Lookup!$F$14:$F$21,Lookup!$I$14:$I$21,,1)*G554)</f>
        <v>0</v>
      </c>
      <c r="K554" s="61">
        <f t="array" ref="K554">if(B554&gt;54, if(YEAR(A554)=2025,XLOOKUP(B554,Lookup!$F$3:$F$10,Lookup!$H$3:$H$10,,1)*G554, XLOOKUP(B554,Lookup!$F$14:$F$21,Lookup!$H$14:$H$21,,1)*G554),0)</f>
        <v>0</v>
      </c>
      <c r="L554" s="62">
        <f>IF(and(A554&lt;questions!$C$19,questions!$C$18="yes"),questions!$C$20,0)</f>
        <v>0</v>
      </c>
      <c r="M554" s="63">
        <f>(Y553+H554)*Lookup!A$26/12</f>
        <v>2494.238363</v>
      </c>
      <c r="N554" s="63">
        <f>if(B554&lt;55, (Z553+I554)*Lookup!B$26/12, (AB553+K554)*Lookup!B$26/12)</f>
        <v>4306.415561</v>
      </c>
      <c r="O554" s="63">
        <f>(AA553+J554)*Lookup!C$26/12</f>
        <v>940.3700287</v>
      </c>
      <c r="P554" s="63">
        <f t="shared" si="8"/>
        <v>4988.476725</v>
      </c>
      <c r="Q554" s="63">
        <f t="shared" si="4"/>
        <v>8612.831121</v>
      </c>
      <c r="R554" s="63">
        <f t="shared" si="5"/>
        <v>1880.740057</v>
      </c>
      <c r="S554" s="64">
        <f t="shared" si="9"/>
        <v>33.33333333</v>
      </c>
      <c r="T554" s="64">
        <f t="shared" si="10"/>
        <v>41.66666667</v>
      </c>
      <c r="U554" s="64">
        <f t="shared" si="11"/>
        <v>0</v>
      </c>
      <c r="V554" s="64">
        <f t="shared" ref="V554:X554" si="562">IF(year($A554)=year($A553), V553+S554, S554)</f>
        <v>66.66666667</v>
      </c>
      <c r="W554" s="64">
        <f t="shared" si="562"/>
        <v>83.33333333</v>
      </c>
      <c r="X554" s="64">
        <f t="shared" si="562"/>
        <v>0</v>
      </c>
      <c r="Y554" s="65">
        <f>IFS(
  B554&lt;55,
    MAX(
      Y553 + IF(MONTH(A554)=12, P554+V554, 0) + H554 - L554
      + MAX(0,
          IF(AA553 &gt;= VLOOKUP(YEAR(A554), Lookup!$Q:$R, 2),
            Z553 + IF(MONTH(A554)=12, Q554+W554, 0) + I554
              + AA553 + IF(MONTH(A554)=12, R554+X554, 0)
              - VLOOKUP(YEAR(A554), Lookup!$Q:$R, 2) + J554,
            Z553 + IF(MONTH(A554)=12, Q554+W554, 0) + I554
          ) - VLOOKUP(YEAR(A554), Lookup!$K:$M, 3)
        ),
    0),
  B554=55,
    IF(Z553&gt;=AD554,
      MAX(Y553 + IF(MONTH(A554)=12, P554+V554, 0) + H554 - L554, 0),
      MAX(MAX(0, Y553-(AD554-Z553)) + IF(MONTH(A554)=12, P554+V554, 0) + H554 - L554, 0)
    ),
  B554&gt;55,
    IF(AB553&gt;=$AH$7,
      MAX(Y553 + IF(MONTH(A554)=12, P554+V554, 0) + H554 - L554 + K554 + Z553, 0),
      MAX(Y553 + IF(MONTH(A554)=12, P554+V554, 0) + H554 - L554, 0)
    )
)</f>
        <v>1197234.414</v>
      </c>
      <c r="Z554" s="65">
        <f>IFS(
  B554&lt;55,
    MIN(
      IF(AA553 &gt;= VLOOKUP(YEAR(A554), Lookup!$Q:$R, 2),
        Z553 + IF(MONTH(A554)=12, Q554+W554, 0) + I554
          + AA553 + IF(MONTH(A554)=12, R554+X554, 0) - VLOOKUP(YEAR(A554), Lookup!$Q:$R, 2) + J554,
        Z553 + IF(MONTH(A554)=12, Q554+W554, 0) + I554
      ),
      VLOOKUP(YEAR(A554), Lookup!$K:$M, 3)
    ),
  B554=55,
    IF(Z553 &gt;= AD554, Z553 - AD554, 0),
  B554&gt;55, 0
)</f>
        <v>0</v>
      </c>
      <c r="AA554" s="65">
        <f>IFS(
  B554&lt;65,
    IF(AA553+J554 &lt; VLOOKUP(YEAR(A554), Lookup!$Q:$R, 2),
      AA553 + IF(MONTH(A554)=12, R553+X553, 0) + J554,
      MIN(
        AA553 + IF(MONTH(A554)=12, R553+X553, 0) + J554 ,
        VLOOKUP(YEAR(A554), Lookup!$Q:$R, 2)
      )
    ),
  B554&gt;=65,
    IF(AA553+J554 &lt; VLOOKUP(questions!$C$5, Lookup!$Q:$R, 2),
      AA553 + IF(MONTH(A554)=12, R553+X553, 0) + J554 ,
      MIN(
        AA553 + IF(MONTH(A554)=12, R553+X553, 0) + J554,
        VLOOKUP(questions!$C$5, Lookup!$Q:$R, 2)
      )
    )
)</f>
        <v>282111.0086</v>
      </c>
      <c r="AB554" s="65">
        <f t="shared" si="13"/>
        <v>1291924.668</v>
      </c>
      <c r="AC554" s="66">
        <f t="array" ref="AC554">IFS(B554&lt;66, XLOOKUP(year(A554),Lookup!$K$13:$K1000,Lookup!$L$13:$L1000,"missing",,1),B554&gt;65,XLOOKUP(questions!$C$5,Lookup!$K$13:$K1000,Lookup!$L$13:$L1000,"missing",,1))</f>
        <v>393675.3633</v>
      </c>
      <c r="AD554" s="66">
        <f t="array" ref="AD554">IFS(B554&lt;66, XLOOKUP(year(A554),Lookup!$K$13:$K1000,Lookup!$M$13:$M1000,"missing",,1),B554&gt;65, XLOOKUP(questions!$C$5,Lookup!$K$13:$K1000,Lookup!$M$13:$M1000,"missing",,1))</f>
        <v>787350.7266</v>
      </c>
      <c r="AE554" s="66">
        <f t="array" ref="AE554">IFS(B554&lt;66, XLOOKUP(year(A554),Lookup!$K$13:$K1000,Lookup!$N$13:$N1000,"missing",,1),B554&gt;65,XLOOKUP(questions!$C$5,Lookup!$K$13:$K1000,Lookup!$N$13:$N1000,"missing",,1))</f>
        <v>1574701.453</v>
      </c>
      <c r="AF554" s="37"/>
      <c r="AG554" s="37"/>
      <c r="AH554" s="37"/>
      <c r="AI554" s="37"/>
      <c r="AJ554" s="37"/>
      <c r="AK554" s="37"/>
      <c r="AL554" s="37"/>
      <c r="AM554" s="37"/>
      <c r="AN554" s="37"/>
      <c r="AO554" s="37"/>
      <c r="AP554" s="37"/>
      <c r="AQ554" s="37"/>
    </row>
    <row r="555">
      <c r="A555" s="55">
        <f t="shared" si="7"/>
        <v>62914</v>
      </c>
      <c r="B555" s="56">
        <f>round(YEARFRAC(EOMONTH(questions!$C$3, 0),A555,1),2)</f>
        <v>73.33</v>
      </c>
      <c r="C555" s="58">
        <f>IF(B555&lt;questions!$C$6,if(MONTH(A555)=1,C554*(1+questions!$C$12),C554),0)</f>
        <v>0</v>
      </c>
      <c r="D555" s="58">
        <f>IF(MONTH(A555)=12,C555*questions!$C$11,0)</f>
        <v>0</v>
      </c>
      <c r="E555" s="71">
        <f t="shared" si="2"/>
        <v>0</v>
      </c>
      <c r="F555" s="71">
        <f t="shared" si="3"/>
        <v>0</v>
      </c>
      <c r="G555" s="61">
        <f t="array" ref="G555">if(YEAR(A555)=2025,XLOOKUP(B555,Lookup!$A$3:$A$7,Lookup!$D$3:$D$7,,1)*SUM(E555:F555), XLOOKUP(B555,Lookup!$A$14:$A$18,Lookup!$D$14:$D$18,,1)*SUM(E555:F555))</f>
        <v>0</v>
      </c>
      <c r="H555" s="61">
        <f t="array" ref="H555">if(YEAR(A555)=2025,XLOOKUP(B555,Lookup!$F$3:$F$10,Lookup!$G$3:$G$10,,1)*G555, XLOOKUP(B555,Lookup!$F$14:$F$21,Lookup!$G$14:$G$21,,1)*G555)</f>
        <v>0</v>
      </c>
      <c r="I555" s="61">
        <f t="array" ref="I555">if(B555&lt;55, if(YEAR(A555)=2025,XLOOKUP(B555,Lookup!$F$3:$F$10,Lookup!$H$3:$H$10,,1)*G555, XLOOKUP(B555,Lookup!$F$14:$F$21,Lookup!$H$14:$H$21,,1)*G555),0)</f>
        <v>0</v>
      </c>
      <c r="J555" s="61">
        <f t="array" ref="J555">if(YEAR(A555)=2025,XLOOKUP(B555,Lookup!$F$3:$F$10,Lookup!$I$3:$I$10,,1)*G555, XLOOKUP(B555,Lookup!$F$14:$F$21,Lookup!$I$14:$I$21,,1)*G555)</f>
        <v>0</v>
      </c>
      <c r="K555" s="61">
        <f t="array" ref="K555">if(B555&gt;54, if(YEAR(A555)=2025,XLOOKUP(B555,Lookup!$F$3:$F$10,Lookup!$H$3:$H$10,,1)*G555, XLOOKUP(B555,Lookup!$F$14:$F$21,Lookup!$H$14:$H$21,,1)*G555),0)</f>
        <v>0</v>
      </c>
      <c r="L555" s="62">
        <f>IF(and(A555&lt;questions!$C$19,questions!$C$18="yes"),questions!$C$20,0)</f>
        <v>0</v>
      </c>
      <c r="M555" s="63">
        <f>(Y554+H555)*Lookup!A$26/12</f>
        <v>2494.238363</v>
      </c>
      <c r="N555" s="63">
        <f>if(B555&lt;55, (Z554+I555)*Lookup!B$26/12, (AB554+K555)*Lookup!B$26/12)</f>
        <v>4306.415561</v>
      </c>
      <c r="O555" s="63">
        <f>(AA554+J555)*Lookup!C$26/12</f>
        <v>940.3700287</v>
      </c>
      <c r="P555" s="63">
        <f t="shared" si="8"/>
        <v>7482.715088</v>
      </c>
      <c r="Q555" s="63">
        <f t="shared" si="4"/>
        <v>12919.24668</v>
      </c>
      <c r="R555" s="63">
        <f t="shared" si="5"/>
        <v>2821.110086</v>
      </c>
      <c r="S555" s="64">
        <f t="shared" si="9"/>
        <v>33.33333333</v>
      </c>
      <c r="T555" s="64">
        <f t="shared" si="10"/>
        <v>41.66666667</v>
      </c>
      <c r="U555" s="64">
        <f t="shared" si="11"/>
        <v>0</v>
      </c>
      <c r="V555" s="64">
        <f t="shared" ref="V555:X555" si="563">IF(year($A555)=year($A554), V554+S555, S555)</f>
        <v>100</v>
      </c>
      <c r="W555" s="64">
        <f t="shared" si="563"/>
        <v>125</v>
      </c>
      <c r="X555" s="64">
        <f t="shared" si="563"/>
        <v>0</v>
      </c>
      <c r="Y555" s="65">
        <f>IFS(
  B555&lt;55,
    MAX(
      Y554 + IF(MONTH(A555)=12, P555+V555, 0) + H555 - L555
      + MAX(0,
          IF(AA554 &gt;= VLOOKUP(YEAR(A555), Lookup!$Q:$R, 2),
            Z554 + IF(MONTH(A555)=12, Q555+W555, 0) + I555
              + AA554 + IF(MONTH(A555)=12, R555+X555, 0)
              - VLOOKUP(YEAR(A555), Lookup!$Q:$R, 2) + J555,
            Z554 + IF(MONTH(A555)=12, Q555+W555, 0) + I555
          ) - VLOOKUP(YEAR(A555), Lookup!$K:$M, 3)
        ),
    0),
  B555=55,
    IF(Z554&gt;=AD555,
      MAX(Y554 + IF(MONTH(A555)=12, P555+V555, 0) + H555 - L555, 0),
      MAX(MAX(0, Y554-(AD555-Z554)) + IF(MONTH(A555)=12, P555+V555, 0) + H555 - L555, 0)
    ),
  B555&gt;55,
    IF(AB554&gt;=$AH$7,
      MAX(Y554 + IF(MONTH(A555)=12, P555+V555, 0) + H555 - L555 + K555 + Z554, 0),
      MAX(Y554 + IF(MONTH(A555)=12, P555+V555, 0) + H555 - L555, 0)
    )
)</f>
        <v>1197234.414</v>
      </c>
      <c r="Z555" s="65">
        <f>IFS(
  B555&lt;55,
    MIN(
      IF(AA554 &gt;= VLOOKUP(YEAR(A555), Lookup!$Q:$R, 2),
        Z554 + IF(MONTH(A555)=12, Q555+W555, 0) + I555
          + AA554 + IF(MONTH(A555)=12, R555+X555, 0) - VLOOKUP(YEAR(A555), Lookup!$Q:$R, 2) + J555,
        Z554 + IF(MONTH(A555)=12, Q555+W555, 0) + I555
      ),
      VLOOKUP(YEAR(A555), Lookup!$K:$M, 3)
    ),
  B555=55,
    IF(Z554 &gt;= AD555, Z554 - AD555, 0),
  B555&gt;55, 0
)</f>
        <v>0</v>
      </c>
      <c r="AA555" s="65">
        <f>IFS(
  B555&lt;65,
    IF(AA554+J555 &lt; VLOOKUP(YEAR(A555), Lookup!$Q:$R, 2),
      AA554 + IF(MONTH(A555)=12, R554+X554, 0) + J555,
      MIN(
        AA554 + IF(MONTH(A555)=12, R554+X554, 0) + J555 ,
        VLOOKUP(YEAR(A555), Lookup!$Q:$R, 2)
      )
    ),
  B555&gt;=65,
    IF(AA554+J555 &lt; VLOOKUP(questions!$C$5, Lookup!$Q:$R, 2),
      AA554 + IF(MONTH(A555)=12, R554+X554, 0) + J555 ,
      MIN(
        AA554 + IF(MONTH(A555)=12, R554+X554, 0) + J555,
        VLOOKUP(questions!$C$5, Lookup!$Q:$R, 2)
      )
    )
)</f>
        <v>282111.0086</v>
      </c>
      <c r="AB555" s="65">
        <f t="shared" si="13"/>
        <v>1291924.668</v>
      </c>
      <c r="AC555" s="66">
        <f t="array" ref="AC555">IFS(B555&lt;66, XLOOKUP(year(A555),Lookup!$K$13:$K1000,Lookup!$L$13:$L1000,"missing",,1),B555&gt;65,XLOOKUP(questions!$C$5,Lookup!$K$13:$K1000,Lookup!$L$13:$L1000,"missing",,1))</f>
        <v>393675.3633</v>
      </c>
      <c r="AD555" s="66">
        <f t="array" ref="AD555">IFS(B555&lt;66, XLOOKUP(year(A555),Lookup!$K$13:$K1000,Lookup!$M$13:$M1000,"missing",,1),B555&gt;65, XLOOKUP(questions!$C$5,Lookup!$K$13:$K1000,Lookup!$M$13:$M1000,"missing",,1))</f>
        <v>787350.7266</v>
      </c>
      <c r="AE555" s="66">
        <f t="array" ref="AE555">IFS(B555&lt;66, XLOOKUP(year(A555),Lookup!$K$13:$K1000,Lookup!$N$13:$N1000,"missing",,1),B555&gt;65,XLOOKUP(questions!$C$5,Lookup!$K$13:$K1000,Lookup!$N$13:$N1000,"missing",,1))</f>
        <v>1574701.453</v>
      </c>
      <c r="AF555" s="37"/>
      <c r="AG555" s="37"/>
      <c r="AH555" s="37"/>
      <c r="AI555" s="37"/>
      <c r="AJ555" s="37"/>
      <c r="AK555" s="37"/>
      <c r="AL555" s="37"/>
      <c r="AM555" s="37"/>
      <c r="AN555" s="37"/>
      <c r="AO555" s="37"/>
      <c r="AP555" s="37"/>
      <c r="AQ555" s="37"/>
    </row>
    <row r="556">
      <c r="A556" s="55">
        <f t="shared" si="7"/>
        <v>62944</v>
      </c>
      <c r="B556" s="56">
        <f>round(YEARFRAC(EOMONTH(questions!$C$3, 0),A556,1),2)</f>
        <v>73.42</v>
      </c>
      <c r="C556" s="58">
        <f>IF(B556&lt;questions!$C$6,if(MONTH(A556)=1,C555*(1+questions!$C$12),C555),0)</f>
        <v>0</v>
      </c>
      <c r="D556" s="58">
        <f>IF(MONTH(A556)=12,C556*questions!$C$11,0)</f>
        <v>0</v>
      </c>
      <c r="E556" s="71">
        <f t="shared" si="2"/>
        <v>0</v>
      </c>
      <c r="F556" s="71">
        <f t="shared" si="3"/>
        <v>0</v>
      </c>
      <c r="G556" s="61">
        <f t="array" ref="G556">if(YEAR(A556)=2025,XLOOKUP(B556,Lookup!$A$3:$A$7,Lookup!$D$3:$D$7,,1)*SUM(E556:F556), XLOOKUP(B556,Lookup!$A$14:$A$18,Lookup!$D$14:$D$18,,1)*SUM(E556:F556))</f>
        <v>0</v>
      </c>
      <c r="H556" s="61">
        <f t="array" ref="H556">if(YEAR(A556)=2025,XLOOKUP(B556,Lookup!$F$3:$F$10,Lookup!$G$3:$G$10,,1)*G556, XLOOKUP(B556,Lookup!$F$14:$F$21,Lookup!$G$14:$G$21,,1)*G556)</f>
        <v>0</v>
      </c>
      <c r="I556" s="61">
        <f t="array" ref="I556">if(B556&lt;55, if(YEAR(A556)=2025,XLOOKUP(B556,Lookup!$F$3:$F$10,Lookup!$H$3:$H$10,,1)*G556, XLOOKUP(B556,Lookup!$F$14:$F$21,Lookup!$H$14:$H$21,,1)*G556),0)</f>
        <v>0</v>
      </c>
      <c r="J556" s="61">
        <f t="array" ref="J556">if(YEAR(A556)=2025,XLOOKUP(B556,Lookup!$F$3:$F$10,Lookup!$I$3:$I$10,,1)*G556, XLOOKUP(B556,Lookup!$F$14:$F$21,Lookup!$I$14:$I$21,,1)*G556)</f>
        <v>0</v>
      </c>
      <c r="K556" s="61">
        <f t="array" ref="K556">if(B556&gt;54, if(YEAR(A556)=2025,XLOOKUP(B556,Lookup!$F$3:$F$10,Lookup!$H$3:$H$10,,1)*G556, XLOOKUP(B556,Lookup!$F$14:$F$21,Lookup!$H$14:$H$21,,1)*G556),0)</f>
        <v>0</v>
      </c>
      <c r="L556" s="62">
        <f>IF(and(A556&lt;questions!$C$19,questions!$C$18="yes"),questions!$C$20,0)</f>
        <v>0</v>
      </c>
      <c r="M556" s="63">
        <f>(Y555+H556)*Lookup!A$26/12</f>
        <v>2494.238363</v>
      </c>
      <c r="N556" s="63">
        <f>if(B556&lt;55, (Z555+I556)*Lookup!B$26/12, (AB555+K556)*Lookup!B$26/12)</f>
        <v>4306.415561</v>
      </c>
      <c r="O556" s="63">
        <f>(AA555+J556)*Lookup!C$26/12</f>
        <v>940.3700287</v>
      </c>
      <c r="P556" s="63">
        <f t="shared" si="8"/>
        <v>9976.953451</v>
      </c>
      <c r="Q556" s="63">
        <f t="shared" si="4"/>
        <v>17225.66224</v>
      </c>
      <c r="R556" s="63">
        <f t="shared" si="5"/>
        <v>3761.480115</v>
      </c>
      <c r="S556" s="64">
        <f t="shared" si="9"/>
        <v>33.33333333</v>
      </c>
      <c r="T556" s="64">
        <f t="shared" si="10"/>
        <v>41.66666667</v>
      </c>
      <c r="U556" s="64">
        <f t="shared" si="11"/>
        <v>0</v>
      </c>
      <c r="V556" s="64">
        <f t="shared" ref="V556:X556" si="564">IF(year($A556)=year($A555), V555+S556, S556)</f>
        <v>133.3333333</v>
      </c>
      <c r="W556" s="64">
        <f t="shared" si="564"/>
        <v>166.6666667</v>
      </c>
      <c r="X556" s="64">
        <f t="shared" si="564"/>
        <v>0</v>
      </c>
      <c r="Y556" s="65">
        <f>IFS(
  B556&lt;55,
    MAX(
      Y555 + IF(MONTH(A556)=12, P556+V556, 0) + H556 - L556
      + MAX(0,
          IF(AA555 &gt;= VLOOKUP(YEAR(A556), Lookup!$Q:$R, 2),
            Z555 + IF(MONTH(A556)=12, Q556+W556, 0) + I556
              + AA555 + IF(MONTH(A556)=12, R556+X556, 0)
              - VLOOKUP(YEAR(A556), Lookup!$Q:$R, 2) + J556,
            Z555 + IF(MONTH(A556)=12, Q556+W556, 0) + I556
          ) - VLOOKUP(YEAR(A556), Lookup!$K:$M, 3)
        ),
    0),
  B556=55,
    IF(Z555&gt;=AD556,
      MAX(Y555 + IF(MONTH(A556)=12, P556+V556, 0) + H556 - L556, 0),
      MAX(MAX(0, Y555-(AD556-Z555)) + IF(MONTH(A556)=12, P556+V556, 0) + H556 - L556, 0)
    ),
  B556&gt;55,
    IF(AB555&gt;=$AH$7,
      MAX(Y555 + IF(MONTH(A556)=12, P556+V556, 0) + H556 - L556 + K556 + Z555, 0),
      MAX(Y555 + IF(MONTH(A556)=12, P556+V556, 0) + H556 - L556, 0)
    )
)</f>
        <v>1197234.414</v>
      </c>
      <c r="Z556" s="65">
        <f>IFS(
  B556&lt;55,
    MIN(
      IF(AA555 &gt;= VLOOKUP(YEAR(A556), Lookup!$Q:$R, 2),
        Z555 + IF(MONTH(A556)=12, Q556+W556, 0) + I556
          + AA555 + IF(MONTH(A556)=12, R556+X556, 0) - VLOOKUP(YEAR(A556), Lookup!$Q:$R, 2) + J556,
        Z555 + IF(MONTH(A556)=12, Q556+W556, 0) + I556
      ),
      VLOOKUP(YEAR(A556), Lookup!$K:$M, 3)
    ),
  B556=55,
    IF(Z555 &gt;= AD556, Z555 - AD556, 0),
  B556&gt;55, 0
)</f>
        <v>0</v>
      </c>
      <c r="AA556" s="65">
        <f>IFS(
  B556&lt;65,
    IF(AA555+J556 &lt; VLOOKUP(YEAR(A556), Lookup!$Q:$R, 2),
      AA555 + IF(MONTH(A556)=12, R555+X555, 0) + J556,
      MIN(
        AA555 + IF(MONTH(A556)=12, R555+X555, 0) + J556 ,
        VLOOKUP(YEAR(A556), Lookup!$Q:$R, 2)
      )
    ),
  B556&gt;=65,
    IF(AA555+J556 &lt; VLOOKUP(questions!$C$5, Lookup!$Q:$R, 2),
      AA555 + IF(MONTH(A556)=12, R555+X555, 0) + J556 ,
      MIN(
        AA555 + IF(MONTH(A556)=12, R555+X555, 0) + J556,
        VLOOKUP(questions!$C$5, Lookup!$Q:$R, 2)
      )
    )
)</f>
        <v>282111.0086</v>
      </c>
      <c r="AB556" s="65">
        <f t="shared" si="13"/>
        <v>1291924.668</v>
      </c>
      <c r="AC556" s="66">
        <f t="array" ref="AC556">IFS(B556&lt;66, XLOOKUP(year(A556),Lookup!$K$13:$K1000,Lookup!$L$13:$L1000,"missing",,1),B556&gt;65,XLOOKUP(questions!$C$5,Lookup!$K$13:$K1000,Lookup!$L$13:$L1000,"missing",,1))</f>
        <v>393675.3633</v>
      </c>
      <c r="AD556" s="66">
        <f t="array" ref="AD556">IFS(B556&lt;66, XLOOKUP(year(A556),Lookup!$K$13:$K1000,Lookup!$M$13:$M1000,"missing",,1),B556&gt;65, XLOOKUP(questions!$C$5,Lookup!$K$13:$K1000,Lookup!$M$13:$M1000,"missing",,1))</f>
        <v>787350.7266</v>
      </c>
      <c r="AE556" s="66">
        <f t="array" ref="AE556">IFS(B556&lt;66, XLOOKUP(year(A556),Lookup!$K$13:$K1000,Lookup!$N$13:$N1000,"missing",,1),B556&gt;65,XLOOKUP(questions!$C$5,Lookup!$K$13:$K1000,Lookup!$N$13:$N1000,"missing",,1))</f>
        <v>1574701.453</v>
      </c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7"/>
      <c r="AQ556" s="37"/>
    </row>
    <row r="557">
      <c r="A557" s="55">
        <f t="shared" si="7"/>
        <v>62975</v>
      </c>
      <c r="B557" s="56">
        <f>round(YEARFRAC(EOMONTH(questions!$C$3, 0),A557,1),2)</f>
        <v>73.5</v>
      </c>
      <c r="C557" s="58">
        <f>IF(B557&lt;questions!$C$6,if(MONTH(A557)=1,C556*(1+questions!$C$12),C556),0)</f>
        <v>0</v>
      </c>
      <c r="D557" s="58">
        <f>IF(MONTH(A557)=12,C557*questions!$C$11,0)</f>
        <v>0</v>
      </c>
      <c r="E557" s="71">
        <f t="shared" si="2"/>
        <v>0</v>
      </c>
      <c r="F557" s="71">
        <f t="shared" si="3"/>
        <v>0</v>
      </c>
      <c r="G557" s="61">
        <f t="array" ref="G557">if(YEAR(A557)=2025,XLOOKUP(B557,Lookup!$A$3:$A$7,Lookup!$D$3:$D$7,,1)*SUM(E557:F557), XLOOKUP(B557,Lookup!$A$14:$A$18,Lookup!$D$14:$D$18,,1)*SUM(E557:F557))</f>
        <v>0</v>
      </c>
      <c r="H557" s="61">
        <f t="array" ref="H557">if(YEAR(A557)=2025,XLOOKUP(B557,Lookup!$F$3:$F$10,Lookup!$G$3:$G$10,,1)*G557, XLOOKUP(B557,Lookup!$F$14:$F$21,Lookup!$G$14:$G$21,,1)*G557)</f>
        <v>0</v>
      </c>
      <c r="I557" s="61">
        <f t="array" ref="I557">if(B557&lt;55, if(YEAR(A557)=2025,XLOOKUP(B557,Lookup!$F$3:$F$10,Lookup!$H$3:$H$10,,1)*G557, XLOOKUP(B557,Lookup!$F$14:$F$21,Lookup!$H$14:$H$21,,1)*G557),0)</f>
        <v>0</v>
      </c>
      <c r="J557" s="61">
        <f t="array" ref="J557">if(YEAR(A557)=2025,XLOOKUP(B557,Lookup!$F$3:$F$10,Lookup!$I$3:$I$10,,1)*G557, XLOOKUP(B557,Lookup!$F$14:$F$21,Lookup!$I$14:$I$21,,1)*G557)</f>
        <v>0</v>
      </c>
      <c r="K557" s="61">
        <f t="array" ref="K557">if(B557&gt;54, if(YEAR(A557)=2025,XLOOKUP(B557,Lookup!$F$3:$F$10,Lookup!$H$3:$H$10,,1)*G557, XLOOKUP(B557,Lookup!$F$14:$F$21,Lookup!$H$14:$H$21,,1)*G557),0)</f>
        <v>0</v>
      </c>
      <c r="L557" s="62">
        <f>IF(and(A557&lt;questions!$C$19,questions!$C$18="yes"),questions!$C$20,0)</f>
        <v>0</v>
      </c>
      <c r="M557" s="63">
        <f>(Y556+H557)*Lookup!A$26/12</f>
        <v>2494.238363</v>
      </c>
      <c r="N557" s="63">
        <f>if(B557&lt;55, (Z556+I557)*Lookup!B$26/12, (AB556+K557)*Lookup!B$26/12)</f>
        <v>4306.415561</v>
      </c>
      <c r="O557" s="63">
        <f>(AA556+J557)*Lookup!C$26/12</f>
        <v>940.3700287</v>
      </c>
      <c r="P557" s="63">
        <f t="shared" si="8"/>
        <v>12471.19181</v>
      </c>
      <c r="Q557" s="63">
        <f t="shared" si="4"/>
        <v>21532.0778</v>
      </c>
      <c r="R557" s="63">
        <f t="shared" si="5"/>
        <v>4701.850143</v>
      </c>
      <c r="S557" s="64">
        <f t="shared" si="9"/>
        <v>33.33333333</v>
      </c>
      <c r="T557" s="64">
        <f t="shared" si="10"/>
        <v>41.66666667</v>
      </c>
      <c r="U557" s="64">
        <f t="shared" si="11"/>
        <v>0</v>
      </c>
      <c r="V557" s="64">
        <f t="shared" ref="V557:X557" si="565">IF(year($A557)=year($A556), V556+S557, S557)</f>
        <v>166.6666667</v>
      </c>
      <c r="W557" s="64">
        <f t="shared" si="565"/>
        <v>208.3333333</v>
      </c>
      <c r="X557" s="64">
        <f t="shared" si="565"/>
        <v>0</v>
      </c>
      <c r="Y557" s="65">
        <f>IFS(
  B557&lt;55,
    MAX(
      Y556 + IF(MONTH(A557)=12, P557+V557, 0) + H557 - L557
      + MAX(0,
          IF(AA556 &gt;= VLOOKUP(YEAR(A557), Lookup!$Q:$R, 2),
            Z556 + IF(MONTH(A557)=12, Q557+W557, 0) + I557
              + AA556 + IF(MONTH(A557)=12, R557+X557, 0)
              - VLOOKUP(YEAR(A557), Lookup!$Q:$R, 2) + J557,
            Z556 + IF(MONTH(A557)=12, Q557+W557, 0) + I557
          ) - VLOOKUP(YEAR(A557), Lookup!$K:$M, 3)
        ),
    0),
  B557=55,
    IF(Z556&gt;=AD557,
      MAX(Y556 + IF(MONTH(A557)=12, P557+V557, 0) + H557 - L557, 0),
      MAX(MAX(0, Y556-(AD557-Z556)) + IF(MONTH(A557)=12, P557+V557, 0) + H557 - L557, 0)
    ),
  B557&gt;55,
    IF(AB556&gt;=$AH$7,
      MAX(Y556 + IF(MONTH(A557)=12, P557+V557, 0) + H557 - L557 + K557 + Z556, 0),
      MAX(Y556 + IF(MONTH(A557)=12, P557+V557, 0) + H557 - L557, 0)
    )
)</f>
        <v>1197234.414</v>
      </c>
      <c r="Z557" s="65">
        <f>IFS(
  B557&lt;55,
    MIN(
      IF(AA556 &gt;= VLOOKUP(YEAR(A557), Lookup!$Q:$R, 2),
        Z556 + IF(MONTH(A557)=12, Q557+W557, 0) + I557
          + AA556 + IF(MONTH(A557)=12, R557+X557, 0) - VLOOKUP(YEAR(A557), Lookup!$Q:$R, 2) + J557,
        Z556 + IF(MONTH(A557)=12, Q557+W557, 0) + I557
      ),
      VLOOKUP(YEAR(A557), Lookup!$K:$M, 3)
    ),
  B557=55,
    IF(Z556 &gt;= AD557, Z556 - AD557, 0),
  B557&gt;55, 0
)</f>
        <v>0</v>
      </c>
      <c r="AA557" s="65">
        <f>IFS(
  B557&lt;65,
    IF(AA556+J557 &lt; VLOOKUP(YEAR(A557), Lookup!$Q:$R, 2),
      AA556 + IF(MONTH(A557)=12, R556+X556, 0) + J557,
      MIN(
        AA556 + IF(MONTH(A557)=12, R556+X556, 0) + J557 ,
        VLOOKUP(YEAR(A557), Lookup!$Q:$R, 2)
      )
    ),
  B557&gt;=65,
    IF(AA556+J557 &lt; VLOOKUP(questions!$C$5, Lookup!$Q:$R, 2),
      AA556 + IF(MONTH(A557)=12, R556+X556, 0) + J557 ,
      MIN(
        AA556 + IF(MONTH(A557)=12, R556+X556, 0) + J557,
        VLOOKUP(questions!$C$5, Lookup!$Q:$R, 2)
      )
    )
)</f>
        <v>282111.0086</v>
      </c>
      <c r="AB557" s="65">
        <f t="shared" si="13"/>
        <v>1291924.668</v>
      </c>
      <c r="AC557" s="66">
        <f t="array" ref="AC557">IFS(B557&lt;66, XLOOKUP(year(A557),Lookup!$K$13:$K1000,Lookup!$L$13:$L1000,"missing",,1),B557&gt;65,XLOOKUP(questions!$C$5,Lookup!$K$13:$K1000,Lookup!$L$13:$L1000,"missing",,1))</f>
        <v>393675.3633</v>
      </c>
      <c r="AD557" s="66">
        <f t="array" ref="AD557">IFS(B557&lt;66, XLOOKUP(year(A557),Lookup!$K$13:$K1000,Lookup!$M$13:$M1000,"missing",,1),B557&gt;65, XLOOKUP(questions!$C$5,Lookup!$K$13:$K1000,Lookup!$M$13:$M1000,"missing",,1))</f>
        <v>787350.7266</v>
      </c>
      <c r="AE557" s="66">
        <f t="array" ref="AE557">IFS(B557&lt;66, XLOOKUP(year(A557),Lookup!$K$13:$K1000,Lookup!$N$13:$N1000,"missing",,1),B557&gt;65,XLOOKUP(questions!$C$5,Lookup!$K$13:$K1000,Lookup!$N$13:$N1000,"missing",,1))</f>
        <v>1574701.453</v>
      </c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  <c r="AQ557" s="37"/>
    </row>
    <row r="558">
      <c r="A558" s="55">
        <f t="shared" si="7"/>
        <v>63005</v>
      </c>
      <c r="B558" s="56">
        <f>round(YEARFRAC(EOMONTH(questions!$C$3, 0),A558,1),2)</f>
        <v>73.58</v>
      </c>
      <c r="C558" s="58">
        <f>IF(B558&lt;questions!$C$6,if(MONTH(A558)=1,C557*(1+questions!$C$12),C557),0)</f>
        <v>0</v>
      </c>
      <c r="D558" s="58">
        <f>IF(MONTH(A558)=12,C558*questions!$C$11,0)</f>
        <v>0</v>
      </c>
      <c r="E558" s="71">
        <f t="shared" si="2"/>
        <v>0</v>
      </c>
      <c r="F558" s="71">
        <f t="shared" si="3"/>
        <v>0</v>
      </c>
      <c r="G558" s="61">
        <f t="array" ref="G558">if(YEAR(A558)=2025,XLOOKUP(B558,Lookup!$A$3:$A$7,Lookup!$D$3:$D$7,,1)*SUM(E558:F558), XLOOKUP(B558,Lookup!$A$14:$A$18,Lookup!$D$14:$D$18,,1)*SUM(E558:F558))</f>
        <v>0</v>
      </c>
      <c r="H558" s="61">
        <f t="array" ref="H558">if(YEAR(A558)=2025,XLOOKUP(B558,Lookup!$F$3:$F$10,Lookup!$G$3:$G$10,,1)*G558, XLOOKUP(B558,Lookup!$F$14:$F$21,Lookup!$G$14:$G$21,,1)*G558)</f>
        <v>0</v>
      </c>
      <c r="I558" s="61">
        <f t="array" ref="I558">if(B558&lt;55, if(YEAR(A558)=2025,XLOOKUP(B558,Lookup!$F$3:$F$10,Lookup!$H$3:$H$10,,1)*G558, XLOOKUP(B558,Lookup!$F$14:$F$21,Lookup!$H$14:$H$21,,1)*G558),0)</f>
        <v>0</v>
      </c>
      <c r="J558" s="61">
        <f t="array" ref="J558">if(YEAR(A558)=2025,XLOOKUP(B558,Lookup!$F$3:$F$10,Lookup!$I$3:$I$10,,1)*G558, XLOOKUP(B558,Lookup!$F$14:$F$21,Lookup!$I$14:$I$21,,1)*G558)</f>
        <v>0</v>
      </c>
      <c r="K558" s="61">
        <f t="array" ref="K558">if(B558&gt;54, if(YEAR(A558)=2025,XLOOKUP(B558,Lookup!$F$3:$F$10,Lookup!$H$3:$H$10,,1)*G558, XLOOKUP(B558,Lookup!$F$14:$F$21,Lookup!$H$14:$H$21,,1)*G558),0)</f>
        <v>0</v>
      </c>
      <c r="L558" s="62">
        <f>IF(and(A558&lt;questions!$C$19,questions!$C$18="yes"),questions!$C$20,0)</f>
        <v>0</v>
      </c>
      <c r="M558" s="63">
        <f>(Y557+H558)*Lookup!A$26/12</f>
        <v>2494.238363</v>
      </c>
      <c r="N558" s="63">
        <f>if(B558&lt;55, (Z557+I558)*Lookup!B$26/12, (AB557+K558)*Lookup!B$26/12)</f>
        <v>4306.415561</v>
      </c>
      <c r="O558" s="63">
        <f>(AA557+J558)*Lookup!C$26/12</f>
        <v>940.3700287</v>
      </c>
      <c r="P558" s="63">
        <f t="shared" si="8"/>
        <v>14965.43018</v>
      </c>
      <c r="Q558" s="63">
        <f t="shared" si="4"/>
        <v>25838.49336</v>
      </c>
      <c r="R558" s="63">
        <f t="shared" si="5"/>
        <v>5642.220172</v>
      </c>
      <c r="S558" s="64">
        <f t="shared" si="9"/>
        <v>33.33333333</v>
      </c>
      <c r="T558" s="64">
        <f t="shared" si="10"/>
        <v>41.66666667</v>
      </c>
      <c r="U558" s="64">
        <f t="shared" si="11"/>
        <v>0</v>
      </c>
      <c r="V558" s="64">
        <f t="shared" ref="V558:X558" si="566">IF(year($A558)=year($A557), V557+S558, S558)</f>
        <v>200</v>
      </c>
      <c r="W558" s="64">
        <f t="shared" si="566"/>
        <v>250</v>
      </c>
      <c r="X558" s="64">
        <f t="shared" si="566"/>
        <v>0</v>
      </c>
      <c r="Y558" s="65">
        <f>IFS(
  B558&lt;55,
    MAX(
      Y557 + IF(MONTH(A558)=12, P558+V558, 0) + H558 - L558
      + MAX(0,
          IF(AA557 &gt;= VLOOKUP(YEAR(A558), Lookup!$Q:$R, 2),
            Z557 + IF(MONTH(A558)=12, Q558+W558, 0) + I558
              + AA557 + IF(MONTH(A558)=12, R558+X558, 0)
              - VLOOKUP(YEAR(A558), Lookup!$Q:$R, 2) + J558,
            Z557 + IF(MONTH(A558)=12, Q558+W558, 0) + I558
          ) - VLOOKUP(YEAR(A558), Lookup!$K:$M, 3)
        ),
    0),
  B558=55,
    IF(Z557&gt;=AD558,
      MAX(Y557 + IF(MONTH(A558)=12, P558+V558, 0) + H558 - L558, 0),
      MAX(MAX(0, Y557-(AD558-Z557)) + IF(MONTH(A558)=12, P558+V558, 0) + H558 - L558, 0)
    ),
  B558&gt;55,
    IF(AB557&gt;=$AH$7,
      MAX(Y557 + IF(MONTH(A558)=12, P558+V558, 0) + H558 - L558 + K558 + Z557, 0),
      MAX(Y557 + IF(MONTH(A558)=12, P558+V558, 0) + H558 - L558, 0)
    )
)</f>
        <v>1197234.414</v>
      </c>
      <c r="Z558" s="65">
        <f>IFS(
  B558&lt;55,
    MIN(
      IF(AA557 &gt;= VLOOKUP(YEAR(A558), Lookup!$Q:$R, 2),
        Z557 + IF(MONTH(A558)=12, Q558+W558, 0) + I558
          + AA557 + IF(MONTH(A558)=12, R558+X558, 0) - VLOOKUP(YEAR(A558), Lookup!$Q:$R, 2) + J558,
        Z557 + IF(MONTH(A558)=12, Q558+W558, 0) + I558
      ),
      VLOOKUP(YEAR(A558), Lookup!$K:$M, 3)
    ),
  B558=55,
    IF(Z557 &gt;= AD558, Z557 - AD558, 0),
  B558&gt;55, 0
)</f>
        <v>0</v>
      </c>
      <c r="AA558" s="65">
        <f>IFS(
  B558&lt;65,
    IF(AA557+J558 &lt; VLOOKUP(YEAR(A558), Lookup!$Q:$R, 2),
      AA557 + IF(MONTH(A558)=12, R557+X557, 0) + J558,
      MIN(
        AA557 + IF(MONTH(A558)=12, R557+X557, 0) + J558 ,
        VLOOKUP(YEAR(A558), Lookup!$Q:$R, 2)
      )
    ),
  B558&gt;=65,
    IF(AA557+J558 &lt; VLOOKUP(questions!$C$5, Lookup!$Q:$R, 2),
      AA557 + IF(MONTH(A558)=12, R557+X557, 0) + J558 ,
      MIN(
        AA557 + IF(MONTH(A558)=12, R557+X557, 0) + J558,
        VLOOKUP(questions!$C$5, Lookup!$Q:$R, 2)
      )
    )
)</f>
        <v>282111.0086</v>
      </c>
      <c r="AB558" s="65">
        <f t="shared" si="13"/>
        <v>1291924.668</v>
      </c>
      <c r="AC558" s="66">
        <f t="array" ref="AC558">IFS(B558&lt;66, XLOOKUP(year(A558),Lookup!$K$13:$K1000,Lookup!$L$13:$L1000,"missing",,1),B558&gt;65,XLOOKUP(questions!$C$5,Lookup!$K$13:$K1000,Lookup!$L$13:$L1000,"missing",,1))</f>
        <v>393675.3633</v>
      </c>
      <c r="AD558" s="66">
        <f t="array" ref="AD558">IFS(B558&lt;66, XLOOKUP(year(A558),Lookup!$K$13:$K1000,Lookup!$M$13:$M1000,"missing",,1),B558&gt;65, XLOOKUP(questions!$C$5,Lookup!$K$13:$K1000,Lookup!$M$13:$M1000,"missing",,1))</f>
        <v>787350.7266</v>
      </c>
      <c r="AE558" s="66">
        <f t="array" ref="AE558">IFS(B558&lt;66, XLOOKUP(year(A558),Lookup!$K$13:$K1000,Lookup!$N$13:$N1000,"missing",,1),B558&gt;65,XLOOKUP(questions!$C$5,Lookup!$K$13:$K1000,Lookup!$N$13:$N1000,"missing",,1))</f>
        <v>1574701.453</v>
      </c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  <c r="AQ558" s="37"/>
    </row>
    <row r="559">
      <c r="A559" s="55">
        <f t="shared" si="7"/>
        <v>63036</v>
      </c>
      <c r="B559" s="56">
        <f>round(YEARFRAC(EOMONTH(questions!$C$3, 0),A559,1),2)</f>
        <v>73.67</v>
      </c>
      <c r="C559" s="58">
        <f>IF(B559&lt;questions!$C$6,if(MONTH(A559)=1,C558*(1+questions!$C$12),C558),0)</f>
        <v>0</v>
      </c>
      <c r="D559" s="58">
        <f>IF(MONTH(A559)=12,C559*questions!$C$11,0)</f>
        <v>0</v>
      </c>
      <c r="E559" s="71">
        <f t="shared" si="2"/>
        <v>0</v>
      </c>
      <c r="F559" s="71">
        <f t="shared" si="3"/>
        <v>0</v>
      </c>
      <c r="G559" s="61">
        <f t="array" ref="G559">if(YEAR(A559)=2025,XLOOKUP(B559,Lookup!$A$3:$A$7,Lookup!$D$3:$D$7,,1)*SUM(E559:F559), XLOOKUP(B559,Lookup!$A$14:$A$18,Lookup!$D$14:$D$18,,1)*SUM(E559:F559))</f>
        <v>0</v>
      </c>
      <c r="H559" s="61">
        <f t="array" ref="H559">if(YEAR(A559)=2025,XLOOKUP(B559,Lookup!$F$3:$F$10,Lookup!$G$3:$G$10,,1)*G559, XLOOKUP(B559,Lookup!$F$14:$F$21,Lookup!$G$14:$G$21,,1)*G559)</f>
        <v>0</v>
      </c>
      <c r="I559" s="61">
        <f t="array" ref="I559">if(B559&lt;55, if(YEAR(A559)=2025,XLOOKUP(B559,Lookup!$F$3:$F$10,Lookup!$H$3:$H$10,,1)*G559, XLOOKUP(B559,Lookup!$F$14:$F$21,Lookup!$H$14:$H$21,,1)*G559),0)</f>
        <v>0</v>
      </c>
      <c r="J559" s="61">
        <f t="array" ref="J559">if(YEAR(A559)=2025,XLOOKUP(B559,Lookup!$F$3:$F$10,Lookup!$I$3:$I$10,,1)*G559, XLOOKUP(B559,Lookup!$F$14:$F$21,Lookup!$I$14:$I$21,,1)*G559)</f>
        <v>0</v>
      </c>
      <c r="K559" s="61">
        <f t="array" ref="K559">if(B559&gt;54, if(YEAR(A559)=2025,XLOOKUP(B559,Lookup!$F$3:$F$10,Lookup!$H$3:$H$10,,1)*G559, XLOOKUP(B559,Lookup!$F$14:$F$21,Lookup!$H$14:$H$21,,1)*G559),0)</f>
        <v>0</v>
      </c>
      <c r="L559" s="62">
        <f>IF(and(A559&lt;questions!$C$19,questions!$C$18="yes"),questions!$C$20,0)</f>
        <v>0</v>
      </c>
      <c r="M559" s="63">
        <f>(Y558+H559)*Lookup!A$26/12</f>
        <v>2494.238363</v>
      </c>
      <c r="N559" s="63">
        <f>if(B559&lt;55, (Z558+I559)*Lookup!B$26/12, (AB558+K559)*Lookup!B$26/12)</f>
        <v>4306.415561</v>
      </c>
      <c r="O559" s="63">
        <f>(AA558+J559)*Lookup!C$26/12</f>
        <v>940.3700287</v>
      </c>
      <c r="P559" s="63">
        <f t="shared" si="8"/>
        <v>17459.66854</v>
      </c>
      <c r="Q559" s="63">
        <f t="shared" si="4"/>
        <v>30144.90892</v>
      </c>
      <c r="R559" s="63">
        <f t="shared" si="5"/>
        <v>6582.590201</v>
      </c>
      <c r="S559" s="64">
        <f t="shared" si="9"/>
        <v>33.33333333</v>
      </c>
      <c r="T559" s="64">
        <f t="shared" si="10"/>
        <v>41.66666667</v>
      </c>
      <c r="U559" s="64">
        <f t="shared" si="11"/>
        <v>0</v>
      </c>
      <c r="V559" s="64">
        <f t="shared" ref="V559:X559" si="567">IF(year($A559)=year($A558), V558+S559, S559)</f>
        <v>233.3333333</v>
      </c>
      <c r="W559" s="64">
        <f t="shared" si="567"/>
        <v>291.6666667</v>
      </c>
      <c r="X559" s="64">
        <f t="shared" si="567"/>
        <v>0</v>
      </c>
      <c r="Y559" s="65">
        <f>IFS(
  B559&lt;55,
    MAX(
      Y558 + IF(MONTH(A559)=12, P559+V559, 0) + H559 - L559
      + MAX(0,
          IF(AA558 &gt;= VLOOKUP(YEAR(A559), Lookup!$Q:$R, 2),
            Z558 + IF(MONTH(A559)=12, Q559+W559, 0) + I559
              + AA558 + IF(MONTH(A559)=12, R559+X559, 0)
              - VLOOKUP(YEAR(A559), Lookup!$Q:$R, 2) + J559,
            Z558 + IF(MONTH(A559)=12, Q559+W559, 0) + I559
          ) - VLOOKUP(YEAR(A559), Lookup!$K:$M, 3)
        ),
    0),
  B559=55,
    IF(Z558&gt;=AD559,
      MAX(Y558 + IF(MONTH(A559)=12, P559+V559, 0) + H559 - L559, 0),
      MAX(MAX(0, Y558-(AD559-Z558)) + IF(MONTH(A559)=12, P559+V559, 0) + H559 - L559, 0)
    ),
  B559&gt;55,
    IF(AB558&gt;=$AH$7,
      MAX(Y558 + IF(MONTH(A559)=12, P559+V559, 0) + H559 - L559 + K559 + Z558, 0),
      MAX(Y558 + IF(MONTH(A559)=12, P559+V559, 0) + H559 - L559, 0)
    )
)</f>
        <v>1197234.414</v>
      </c>
      <c r="Z559" s="65">
        <f>IFS(
  B559&lt;55,
    MIN(
      IF(AA558 &gt;= VLOOKUP(YEAR(A559), Lookup!$Q:$R, 2),
        Z558 + IF(MONTH(A559)=12, Q559+W559, 0) + I559
          + AA558 + IF(MONTH(A559)=12, R559+X559, 0) - VLOOKUP(YEAR(A559), Lookup!$Q:$R, 2) + J559,
        Z558 + IF(MONTH(A559)=12, Q559+W559, 0) + I559
      ),
      VLOOKUP(YEAR(A559), Lookup!$K:$M, 3)
    ),
  B559=55,
    IF(Z558 &gt;= AD559, Z558 - AD559, 0),
  B559&gt;55, 0
)</f>
        <v>0</v>
      </c>
      <c r="AA559" s="65">
        <f>IFS(
  B559&lt;65,
    IF(AA558+J559 &lt; VLOOKUP(YEAR(A559), Lookup!$Q:$R, 2),
      AA558 + IF(MONTH(A559)=12, R558+X558, 0) + J559,
      MIN(
        AA558 + IF(MONTH(A559)=12, R558+X558, 0) + J559 ,
        VLOOKUP(YEAR(A559), Lookup!$Q:$R, 2)
      )
    ),
  B559&gt;=65,
    IF(AA558+J559 &lt; VLOOKUP(questions!$C$5, Lookup!$Q:$R, 2),
      AA558 + IF(MONTH(A559)=12, R558+X558, 0) + J559 ,
      MIN(
        AA558 + IF(MONTH(A559)=12, R558+X558, 0) + J559,
        VLOOKUP(questions!$C$5, Lookup!$Q:$R, 2)
      )
    )
)</f>
        <v>282111.0086</v>
      </c>
      <c r="AB559" s="65">
        <f t="shared" si="13"/>
        <v>1291924.668</v>
      </c>
      <c r="AC559" s="66">
        <f t="array" ref="AC559">IFS(B559&lt;66, XLOOKUP(year(A559),Lookup!$K$13:$K1000,Lookup!$L$13:$L1000,"missing",,1),B559&gt;65,XLOOKUP(questions!$C$5,Lookup!$K$13:$K1000,Lookup!$L$13:$L1000,"missing",,1))</f>
        <v>393675.3633</v>
      </c>
      <c r="AD559" s="66">
        <f t="array" ref="AD559">IFS(B559&lt;66, XLOOKUP(year(A559),Lookup!$K$13:$K1000,Lookup!$M$13:$M1000,"missing",,1),B559&gt;65, XLOOKUP(questions!$C$5,Lookup!$K$13:$K1000,Lookup!$M$13:$M1000,"missing",,1))</f>
        <v>787350.7266</v>
      </c>
      <c r="AE559" s="66">
        <f t="array" ref="AE559">IFS(B559&lt;66, XLOOKUP(year(A559),Lookup!$K$13:$K1000,Lookup!$N$13:$N1000,"missing",,1),B559&gt;65,XLOOKUP(questions!$C$5,Lookup!$K$13:$K1000,Lookup!$N$13:$N1000,"missing",,1))</f>
        <v>1574701.453</v>
      </c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</row>
    <row r="560">
      <c r="A560" s="55">
        <f t="shared" si="7"/>
        <v>63067</v>
      </c>
      <c r="B560" s="56">
        <f>round(YEARFRAC(EOMONTH(questions!$C$3, 0),A560,1),2)</f>
        <v>73.75</v>
      </c>
      <c r="C560" s="58">
        <f>IF(B560&lt;questions!$C$6,if(MONTH(A560)=1,C559*(1+questions!$C$12),C559),0)</f>
        <v>0</v>
      </c>
      <c r="D560" s="58">
        <f>IF(MONTH(A560)=12,C560*questions!$C$11,0)</f>
        <v>0</v>
      </c>
      <c r="E560" s="71">
        <f t="shared" si="2"/>
        <v>0</v>
      </c>
      <c r="F560" s="71">
        <f t="shared" si="3"/>
        <v>0</v>
      </c>
      <c r="G560" s="61">
        <f t="array" ref="G560">if(YEAR(A560)=2025,XLOOKUP(B560,Lookup!$A$3:$A$7,Lookup!$D$3:$D$7,,1)*SUM(E560:F560), XLOOKUP(B560,Lookup!$A$14:$A$18,Lookup!$D$14:$D$18,,1)*SUM(E560:F560))</f>
        <v>0</v>
      </c>
      <c r="H560" s="61">
        <f t="array" ref="H560">if(YEAR(A560)=2025,XLOOKUP(B560,Lookup!$F$3:$F$10,Lookup!$G$3:$G$10,,1)*G560, XLOOKUP(B560,Lookup!$F$14:$F$21,Lookup!$G$14:$G$21,,1)*G560)</f>
        <v>0</v>
      </c>
      <c r="I560" s="61">
        <f t="array" ref="I560">if(B560&lt;55, if(YEAR(A560)=2025,XLOOKUP(B560,Lookup!$F$3:$F$10,Lookup!$H$3:$H$10,,1)*G560, XLOOKUP(B560,Lookup!$F$14:$F$21,Lookup!$H$14:$H$21,,1)*G560),0)</f>
        <v>0</v>
      </c>
      <c r="J560" s="61">
        <f t="array" ref="J560">if(YEAR(A560)=2025,XLOOKUP(B560,Lookup!$F$3:$F$10,Lookup!$I$3:$I$10,,1)*G560, XLOOKUP(B560,Lookup!$F$14:$F$21,Lookup!$I$14:$I$21,,1)*G560)</f>
        <v>0</v>
      </c>
      <c r="K560" s="61">
        <f t="array" ref="K560">if(B560&gt;54, if(YEAR(A560)=2025,XLOOKUP(B560,Lookup!$F$3:$F$10,Lookup!$H$3:$H$10,,1)*G560, XLOOKUP(B560,Lookup!$F$14:$F$21,Lookup!$H$14:$H$21,,1)*G560),0)</f>
        <v>0</v>
      </c>
      <c r="L560" s="62">
        <f>IF(and(A560&lt;questions!$C$19,questions!$C$18="yes"),questions!$C$20,0)</f>
        <v>0</v>
      </c>
      <c r="M560" s="63">
        <f>(Y559+H560)*Lookup!A$26/12</f>
        <v>2494.238363</v>
      </c>
      <c r="N560" s="63">
        <f>if(B560&lt;55, (Z559+I560)*Lookup!B$26/12, (AB559+K560)*Lookup!B$26/12)</f>
        <v>4306.415561</v>
      </c>
      <c r="O560" s="63">
        <f>(AA559+J560)*Lookup!C$26/12</f>
        <v>940.3700287</v>
      </c>
      <c r="P560" s="63">
        <f t="shared" si="8"/>
        <v>19953.9069</v>
      </c>
      <c r="Q560" s="63">
        <f t="shared" si="4"/>
        <v>34451.32448</v>
      </c>
      <c r="R560" s="63">
        <f t="shared" si="5"/>
        <v>7522.960229</v>
      </c>
      <c r="S560" s="64">
        <f t="shared" si="9"/>
        <v>33.33333333</v>
      </c>
      <c r="T560" s="64">
        <f t="shared" si="10"/>
        <v>41.66666667</v>
      </c>
      <c r="U560" s="64">
        <f t="shared" si="11"/>
        <v>0</v>
      </c>
      <c r="V560" s="64">
        <f t="shared" ref="V560:X560" si="568">IF(year($A560)=year($A559), V559+S560, S560)</f>
        <v>266.6666667</v>
      </c>
      <c r="W560" s="64">
        <f t="shared" si="568"/>
        <v>333.3333333</v>
      </c>
      <c r="X560" s="64">
        <f t="shared" si="568"/>
        <v>0</v>
      </c>
      <c r="Y560" s="65">
        <f>IFS(
  B560&lt;55,
    MAX(
      Y559 + IF(MONTH(A560)=12, P560+V560, 0) + H560 - L560
      + MAX(0,
          IF(AA559 &gt;= VLOOKUP(YEAR(A560), Lookup!$Q:$R, 2),
            Z559 + IF(MONTH(A560)=12, Q560+W560, 0) + I560
              + AA559 + IF(MONTH(A560)=12, R560+X560, 0)
              - VLOOKUP(YEAR(A560), Lookup!$Q:$R, 2) + J560,
            Z559 + IF(MONTH(A560)=12, Q560+W560, 0) + I560
          ) - VLOOKUP(YEAR(A560), Lookup!$K:$M, 3)
        ),
    0),
  B560=55,
    IF(Z559&gt;=AD560,
      MAX(Y559 + IF(MONTH(A560)=12, P560+V560, 0) + H560 - L560, 0),
      MAX(MAX(0, Y559-(AD560-Z559)) + IF(MONTH(A560)=12, P560+V560, 0) + H560 - L560, 0)
    ),
  B560&gt;55,
    IF(AB559&gt;=$AH$7,
      MAX(Y559 + IF(MONTH(A560)=12, P560+V560, 0) + H560 - L560 + K560 + Z559, 0),
      MAX(Y559 + IF(MONTH(A560)=12, P560+V560, 0) + H560 - L560, 0)
    )
)</f>
        <v>1197234.414</v>
      </c>
      <c r="Z560" s="65">
        <f>IFS(
  B560&lt;55,
    MIN(
      IF(AA559 &gt;= VLOOKUP(YEAR(A560), Lookup!$Q:$R, 2),
        Z559 + IF(MONTH(A560)=12, Q560+W560, 0) + I560
          + AA559 + IF(MONTH(A560)=12, R560+X560, 0) - VLOOKUP(YEAR(A560), Lookup!$Q:$R, 2) + J560,
        Z559 + IF(MONTH(A560)=12, Q560+W560, 0) + I560
      ),
      VLOOKUP(YEAR(A560), Lookup!$K:$M, 3)
    ),
  B560=55,
    IF(Z559 &gt;= AD560, Z559 - AD560, 0),
  B560&gt;55, 0
)</f>
        <v>0</v>
      </c>
      <c r="AA560" s="65">
        <f>IFS(
  B560&lt;65,
    IF(AA559+J560 &lt; VLOOKUP(YEAR(A560), Lookup!$Q:$R, 2),
      AA559 + IF(MONTH(A560)=12, R559+X559, 0) + J560,
      MIN(
        AA559 + IF(MONTH(A560)=12, R559+X559, 0) + J560 ,
        VLOOKUP(YEAR(A560), Lookup!$Q:$R, 2)
      )
    ),
  B560&gt;=65,
    IF(AA559+J560 &lt; VLOOKUP(questions!$C$5, Lookup!$Q:$R, 2),
      AA559 + IF(MONTH(A560)=12, R559+X559, 0) + J560 ,
      MIN(
        AA559 + IF(MONTH(A560)=12, R559+X559, 0) + J560,
        VLOOKUP(questions!$C$5, Lookup!$Q:$R, 2)
      )
    )
)</f>
        <v>282111.0086</v>
      </c>
      <c r="AB560" s="65">
        <f t="shared" si="13"/>
        <v>1291924.668</v>
      </c>
      <c r="AC560" s="66">
        <f t="array" ref="AC560">IFS(B560&lt;66, XLOOKUP(year(A560),Lookup!$K$13:$K1000,Lookup!$L$13:$L1000,"missing",,1),B560&gt;65,XLOOKUP(questions!$C$5,Lookup!$K$13:$K1000,Lookup!$L$13:$L1000,"missing",,1))</f>
        <v>393675.3633</v>
      </c>
      <c r="AD560" s="66">
        <f t="array" ref="AD560">IFS(B560&lt;66, XLOOKUP(year(A560),Lookup!$K$13:$K1000,Lookup!$M$13:$M1000,"missing",,1),B560&gt;65, XLOOKUP(questions!$C$5,Lookup!$K$13:$K1000,Lookup!$M$13:$M1000,"missing",,1))</f>
        <v>787350.7266</v>
      </c>
      <c r="AE560" s="66">
        <f t="array" ref="AE560">IFS(B560&lt;66, XLOOKUP(year(A560),Lookup!$K$13:$K1000,Lookup!$N$13:$N1000,"missing",,1),B560&gt;65,XLOOKUP(questions!$C$5,Lookup!$K$13:$K1000,Lookup!$N$13:$N1000,"missing",,1))</f>
        <v>1574701.453</v>
      </c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  <c r="AQ560" s="37"/>
    </row>
    <row r="561">
      <c r="A561" s="55">
        <f t="shared" si="7"/>
        <v>63097</v>
      </c>
      <c r="B561" s="56">
        <f>round(YEARFRAC(EOMONTH(questions!$C$3, 0),A561,1),2)</f>
        <v>73.83</v>
      </c>
      <c r="C561" s="58">
        <f>IF(B561&lt;questions!$C$6,if(MONTH(A561)=1,C560*(1+questions!$C$12),C560),0)</f>
        <v>0</v>
      </c>
      <c r="D561" s="58">
        <f>IF(MONTH(A561)=12,C561*questions!$C$11,0)</f>
        <v>0</v>
      </c>
      <c r="E561" s="71">
        <f t="shared" si="2"/>
        <v>0</v>
      </c>
      <c r="F561" s="71">
        <f t="shared" si="3"/>
        <v>0</v>
      </c>
      <c r="G561" s="61">
        <f t="array" ref="G561">if(YEAR(A561)=2025,XLOOKUP(B561,Lookup!$A$3:$A$7,Lookup!$D$3:$D$7,,1)*SUM(E561:F561), XLOOKUP(B561,Lookup!$A$14:$A$18,Lookup!$D$14:$D$18,,1)*SUM(E561:F561))</f>
        <v>0</v>
      </c>
      <c r="H561" s="61">
        <f t="array" ref="H561">if(YEAR(A561)=2025,XLOOKUP(B561,Lookup!$F$3:$F$10,Lookup!$G$3:$G$10,,1)*G561, XLOOKUP(B561,Lookup!$F$14:$F$21,Lookup!$G$14:$G$21,,1)*G561)</f>
        <v>0</v>
      </c>
      <c r="I561" s="61">
        <f t="array" ref="I561">if(B561&lt;55, if(YEAR(A561)=2025,XLOOKUP(B561,Lookup!$F$3:$F$10,Lookup!$H$3:$H$10,,1)*G561, XLOOKUP(B561,Lookup!$F$14:$F$21,Lookup!$H$14:$H$21,,1)*G561),0)</f>
        <v>0</v>
      </c>
      <c r="J561" s="61">
        <f t="array" ref="J561">if(YEAR(A561)=2025,XLOOKUP(B561,Lookup!$F$3:$F$10,Lookup!$I$3:$I$10,,1)*G561, XLOOKUP(B561,Lookup!$F$14:$F$21,Lookup!$I$14:$I$21,,1)*G561)</f>
        <v>0</v>
      </c>
      <c r="K561" s="61">
        <f t="array" ref="K561">if(B561&gt;54, if(YEAR(A561)=2025,XLOOKUP(B561,Lookup!$F$3:$F$10,Lookup!$H$3:$H$10,,1)*G561, XLOOKUP(B561,Lookup!$F$14:$F$21,Lookup!$H$14:$H$21,,1)*G561),0)</f>
        <v>0</v>
      </c>
      <c r="L561" s="62">
        <f>IF(and(A561&lt;questions!$C$19,questions!$C$18="yes"),questions!$C$20,0)</f>
        <v>0</v>
      </c>
      <c r="M561" s="63">
        <f>(Y560+H561)*Lookup!A$26/12</f>
        <v>2494.238363</v>
      </c>
      <c r="N561" s="63">
        <f>if(B561&lt;55, (Z560+I561)*Lookup!B$26/12, (AB560+K561)*Lookup!B$26/12)</f>
        <v>4306.415561</v>
      </c>
      <c r="O561" s="63">
        <f>(AA560+J561)*Lookup!C$26/12</f>
        <v>940.3700287</v>
      </c>
      <c r="P561" s="63">
        <f t="shared" si="8"/>
        <v>22448.14526</v>
      </c>
      <c r="Q561" s="63">
        <f t="shared" si="4"/>
        <v>38757.74004</v>
      </c>
      <c r="R561" s="63">
        <f t="shared" si="5"/>
        <v>8463.330258</v>
      </c>
      <c r="S561" s="64">
        <f t="shared" si="9"/>
        <v>33.33333333</v>
      </c>
      <c r="T561" s="64">
        <f t="shared" si="10"/>
        <v>41.66666667</v>
      </c>
      <c r="U561" s="64">
        <f t="shared" si="11"/>
        <v>0</v>
      </c>
      <c r="V561" s="64">
        <f t="shared" ref="V561:X561" si="569">IF(year($A561)=year($A560), V560+S561, S561)</f>
        <v>300</v>
      </c>
      <c r="W561" s="64">
        <f t="shared" si="569"/>
        <v>375</v>
      </c>
      <c r="X561" s="64">
        <f t="shared" si="569"/>
        <v>0</v>
      </c>
      <c r="Y561" s="65">
        <f>IFS(
  B561&lt;55,
    MAX(
      Y560 + IF(MONTH(A561)=12, P561+V561, 0) + H561 - L561
      + MAX(0,
          IF(AA560 &gt;= VLOOKUP(YEAR(A561), Lookup!$Q:$R, 2),
            Z560 + IF(MONTH(A561)=12, Q561+W561, 0) + I561
              + AA560 + IF(MONTH(A561)=12, R561+X561, 0)
              - VLOOKUP(YEAR(A561), Lookup!$Q:$R, 2) + J561,
            Z560 + IF(MONTH(A561)=12, Q561+W561, 0) + I561
          ) - VLOOKUP(YEAR(A561), Lookup!$K:$M, 3)
        ),
    0),
  B561=55,
    IF(Z560&gt;=AD561,
      MAX(Y560 + IF(MONTH(A561)=12, P561+V561, 0) + H561 - L561, 0),
      MAX(MAX(0, Y560-(AD561-Z560)) + IF(MONTH(A561)=12, P561+V561, 0) + H561 - L561, 0)
    ),
  B561&gt;55,
    IF(AB560&gt;=$AH$7,
      MAX(Y560 + IF(MONTH(A561)=12, P561+V561, 0) + H561 - L561 + K561 + Z560, 0),
      MAX(Y560 + IF(MONTH(A561)=12, P561+V561, 0) + H561 - L561, 0)
    )
)</f>
        <v>1197234.414</v>
      </c>
      <c r="Z561" s="65">
        <f>IFS(
  B561&lt;55,
    MIN(
      IF(AA560 &gt;= VLOOKUP(YEAR(A561), Lookup!$Q:$R, 2),
        Z560 + IF(MONTH(A561)=12, Q561+W561, 0) + I561
          + AA560 + IF(MONTH(A561)=12, R561+X561, 0) - VLOOKUP(YEAR(A561), Lookup!$Q:$R, 2) + J561,
        Z560 + IF(MONTH(A561)=12, Q561+W561, 0) + I561
      ),
      VLOOKUP(YEAR(A561), Lookup!$K:$M, 3)
    ),
  B561=55,
    IF(Z560 &gt;= AD561, Z560 - AD561, 0),
  B561&gt;55, 0
)</f>
        <v>0</v>
      </c>
      <c r="AA561" s="65">
        <f>IFS(
  B561&lt;65,
    IF(AA560+J561 &lt; VLOOKUP(YEAR(A561), Lookup!$Q:$R, 2),
      AA560 + IF(MONTH(A561)=12, R560+X560, 0) + J561,
      MIN(
        AA560 + IF(MONTH(A561)=12, R560+X560, 0) + J561 ,
        VLOOKUP(YEAR(A561), Lookup!$Q:$R, 2)
      )
    ),
  B561&gt;=65,
    IF(AA560+J561 &lt; VLOOKUP(questions!$C$5, Lookup!$Q:$R, 2),
      AA560 + IF(MONTH(A561)=12, R560+X560, 0) + J561 ,
      MIN(
        AA560 + IF(MONTH(A561)=12, R560+X560, 0) + J561,
        VLOOKUP(questions!$C$5, Lookup!$Q:$R, 2)
      )
    )
)</f>
        <v>282111.0086</v>
      </c>
      <c r="AB561" s="65">
        <f t="shared" si="13"/>
        <v>1291924.668</v>
      </c>
      <c r="AC561" s="66">
        <f t="array" ref="AC561">IFS(B561&lt;66, XLOOKUP(year(A561),Lookup!$K$13:$K1000,Lookup!$L$13:$L1000,"missing",,1),B561&gt;65,XLOOKUP(questions!$C$5,Lookup!$K$13:$K1000,Lookup!$L$13:$L1000,"missing",,1))</f>
        <v>393675.3633</v>
      </c>
      <c r="AD561" s="66">
        <f t="array" ref="AD561">IFS(B561&lt;66, XLOOKUP(year(A561),Lookup!$K$13:$K1000,Lookup!$M$13:$M1000,"missing",,1),B561&gt;65, XLOOKUP(questions!$C$5,Lookup!$K$13:$K1000,Lookup!$M$13:$M1000,"missing",,1))</f>
        <v>787350.7266</v>
      </c>
      <c r="AE561" s="66">
        <f t="array" ref="AE561">IFS(B561&lt;66, XLOOKUP(year(A561),Lookup!$K$13:$K1000,Lookup!$N$13:$N1000,"missing",,1),B561&gt;65,XLOOKUP(questions!$C$5,Lookup!$K$13:$K1000,Lookup!$N$13:$N1000,"missing",,1))</f>
        <v>1574701.453</v>
      </c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  <c r="AQ561" s="37"/>
    </row>
    <row r="562">
      <c r="A562" s="55">
        <f t="shared" si="7"/>
        <v>63128</v>
      </c>
      <c r="B562" s="56">
        <f>round(YEARFRAC(EOMONTH(questions!$C$3, 0),A562,1),2)</f>
        <v>73.92</v>
      </c>
      <c r="C562" s="58">
        <f>IF(B562&lt;questions!$C$6,if(MONTH(A562)=1,C561*(1+questions!$C$12),C561),0)</f>
        <v>0</v>
      </c>
      <c r="D562" s="58">
        <f>IF(MONTH(A562)=12,C562*questions!$C$11,0)</f>
        <v>0</v>
      </c>
      <c r="E562" s="71">
        <f t="shared" si="2"/>
        <v>0</v>
      </c>
      <c r="F562" s="71">
        <f t="shared" si="3"/>
        <v>0</v>
      </c>
      <c r="G562" s="61">
        <f t="array" ref="G562">if(YEAR(A562)=2025,XLOOKUP(B562,Lookup!$A$3:$A$7,Lookup!$D$3:$D$7,,1)*SUM(E562:F562), XLOOKUP(B562,Lookup!$A$14:$A$18,Lookup!$D$14:$D$18,,1)*SUM(E562:F562))</f>
        <v>0</v>
      </c>
      <c r="H562" s="61">
        <f t="array" ref="H562">if(YEAR(A562)=2025,XLOOKUP(B562,Lookup!$F$3:$F$10,Lookup!$G$3:$G$10,,1)*G562, XLOOKUP(B562,Lookup!$F$14:$F$21,Lookup!$G$14:$G$21,,1)*G562)</f>
        <v>0</v>
      </c>
      <c r="I562" s="61">
        <f t="array" ref="I562">if(B562&lt;55, if(YEAR(A562)=2025,XLOOKUP(B562,Lookup!$F$3:$F$10,Lookup!$H$3:$H$10,,1)*G562, XLOOKUP(B562,Lookup!$F$14:$F$21,Lookup!$H$14:$H$21,,1)*G562),0)</f>
        <v>0</v>
      </c>
      <c r="J562" s="61">
        <f t="array" ref="J562">if(YEAR(A562)=2025,XLOOKUP(B562,Lookup!$F$3:$F$10,Lookup!$I$3:$I$10,,1)*G562, XLOOKUP(B562,Lookup!$F$14:$F$21,Lookup!$I$14:$I$21,,1)*G562)</f>
        <v>0</v>
      </c>
      <c r="K562" s="61">
        <f t="array" ref="K562">if(B562&gt;54, if(YEAR(A562)=2025,XLOOKUP(B562,Lookup!$F$3:$F$10,Lookup!$H$3:$H$10,,1)*G562, XLOOKUP(B562,Lookup!$F$14:$F$21,Lookup!$H$14:$H$21,,1)*G562),0)</f>
        <v>0</v>
      </c>
      <c r="L562" s="62">
        <f>IF(and(A562&lt;questions!$C$19,questions!$C$18="yes"),questions!$C$20,0)</f>
        <v>0</v>
      </c>
      <c r="M562" s="63">
        <f>(Y561+H562)*Lookup!A$26/12</f>
        <v>2494.238363</v>
      </c>
      <c r="N562" s="63">
        <f>if(B562&lt;55, (Z561+I562)*Lookup!B$26/12, (AB561+K562)*Lookup!B$26/12)</f>
        <v>4306.415561</v>
      </c>
      <c r="O562" s="63">
        <f>(AA561+J562)*Lookup!C$26/12</f>
        <v>940.3700287</v>
      </c>
      <c r="P562" s="63">
        <f t="shared" si="8"/>
        <v>24942.38363</v>
      </c>
      <c r="Q562" s="63">
        <f t="shared" si="4"/>
        <v>43064.15561</v>
      </c>
      <c r="R562" s="63">
        <f t="shared" si="5"/>
        <v>9403.700287</v>
      </c>
      <c r="S562" s="64">
        <f t="shared" si="9"/>
        <v>33.33333333</v>
      </c>
      <c r="T562" s="64">
        <f t="shared" si="10"/>
        <v>41.66666667</v>
      </c>
      <c r="U562" s="64">
        <f t="shared" si="11"/>
        <v>0</v>
      </c>
      <c r="V562" s="64">
        <f t="shared" ref="V562:X562" si="570">IF(year($A562)=year($A561), V561+S562, S562)</f>
        <v>333.3333333</v>
      </c>
      <c r="W562" s="64">
        <f t="shared" si="570"/>
        <v>416.6666667</v>
      </c>
      <c r="X562" s="64">
        <f t="shared" si="570"/>
        <v>0</v>
      </c>
      <c r="Y562" s="65">
        <f>IFS(
  B562&lt;55,
    MAX(
      Y561 + IF(MONTH(A562)=12, P562+V562, 0) + H562 - L562
      + MAX(0,
          IF(AA561 &gt;= VLOOKUP(YEAR(A562), Lookup!$Q:$R, 2),
            Z561 + IF(MONTH(A562)=12, Q562+W562, 0) + I562
              + AA561 + IF(MONTH(A562)=12, R562+X562, 0)
              - VLOOKUP(YEAR(A562), Lookup!$Q:$R, 2) + J562,
            Z561 + IF(MONTH(A562)=12, Q562+W562, 0) + I562
          ) - VLOOKUP(YEAR(A562), Lookup!$K:$M, 3)
        ),
    0),
  B562=55,
    IF(Z561&gt;=AD562,
      MAX(Y561 + IF(MONTH(A562)=12, P562+V562, 0) + H562 - L562, 0),
      MAX(MAX(0, Y561-(AD562-Z561)) + IF(MONTH(A562)=12, P562+V562, 0) + H562 - L562, 0)
    ),
  B562&gt;55,
    IF(AB561&gt;=$AH$7,
      MAX(Y561 + IF(MONTH(A562)=12, P562+V562, 0) + H562 - L562 + K562 + Z561, 0),
      MAX(Y561 + IF(MONTH(A562)=12, P562+V562, 0) + H562 - L562, 0)
    )
)</f>
        <v>1197234.414</v>
      </c>
      <c r="Z562" s="65">
        <f>IFS(
  B562&lt;55,
    MIN(
      IF(AA561 &gt;= VLOOKUP(YEAR(A562), Lookup!$Q:$R, 2),
        Z561 + IF(MONTH(A562)=12, Q562+W562, 0) + I562
          + AA561 + IF(MONTH(A562)=12, R562+X562, 0) - VLOOKUP(YEAR(A562), Lookup!$Q:$R, 2) + J562,
        Z561 + IF(MONTH(A562)=12, Q562+W562, 0) + I562
      ),
      VLOOKUP(YEAR(A562), Lookup!$K:$M, 3)
    ),
  B562=55,
    IF(Z561 &gt;= AD562, Z561 - AD562, 0),
  B562&gt;55, 0
)</f>
        <v>0</v>
      </c>
      <c r="AA562" s="65">
        <f>IFS(
  B562&lt;65,
    IF(AA561+J562 &lt; VLOOKUP(YEAR(A562), Lookup!$Q:$R, 2),
      AA561 + IF(MONTH(A562)=12, R561+X561, 0) + J562,
      MIN(
        AA561 + IF(MONTH(A562)=12, R561+X561, 0) + J562 ,
        VLOOKUP(YEAR(A562), Lookup!$Q:$R, 2)
      )
    ),
  B562&gt;=65,
    IF(AA561+J562 &lt; VLOOKUP(questions!$C$5, Lookup!$Q:$R, 2),
      AA561 + IF(MONTH(A562)=12, R561+X561, 0) + J562 ,
      MIN(
        AA561 + IF(MONTH(A562)=12, R561+X561, 0) + J562,
        VLOOKUP(questions!$C$5, Lookup!$Q:$R, 2)
      )
    )
)</f>
        <v>282111.0086</v>
      </c>
      <c r="AB562" s="65">
        <f t="shared" si="13"/>
        <v>1291924.668</v>
      </c>
      <c r="AC562" s="66">
        <f t="array" ref="AC562">IFS(B562&lt;66, XLOOKUP(year(A562),Lookup!$K$13:$K1000,Lookup!$L$13:$L1000,"missing",,1),B562&gt;65,XLOOKUP(questions!$C$5,Lookup!$K$13:$K1000,Lookup!$L$13:$L1000,"missing",,1))</f>
        <v>393675.3633</v>
      </c>
      <c r="AD562" s="66">
        <f t="array" ref="AD562">IFS(B562&lt;66, XLOOKUP(year(A562),Lookup!$K$13:$K1000,Lookup!$M$13:$M1000,"missing",,1),B562&gt;65, XLOOKUP(questions!$C$5,Lookup!$K$13:$K1000,Lookup!$M$13:$M1000,"missing",,1))</f>
        <v>787350.7266</v>
      </c>
      <c r="AE562" s="66">
        <f t="array" ref="AE562">IFS(B562&lt;66, XLOOKUP(year(A562),Lookup!$K$13:$K1000,Lookup!$N$13:$N1000,"missing",,1),B562&gt;65,XLOOKUP(questions!$C$5,Lookup!$K$13:$K1000,Lookup!$N$13:$N1000,"missing",,1))</f>
        <v>1574701.453</v>
      </c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  <c r="AQ562" s="37"/>
    </row>
    <row r="563">
      <c r="A563" s="55">
        <f t="shared" si="7"/>
        <v>63158</v>
      </c>
      <c r="B563" s="56">
        <f>round(YEARFRAC(EOMONTH(questions!$C$3, 0),A563,1),2)</f>
        <v>74</v>
      </c>
      <c r="C563" s="58">
        <f>IF(B563&lt;questions!$C$6,if(MONTH(A563)=1,C562*(1+questions!$C$12),C562),0)</f>
        <v>0</v>
      </c>
      <c r="D563" s="58">
        <f>IF(MONTH(A563)=12,C563*questions!$C$11,0)</f>
        <v>0</v>
      </c>
      <c r="E563" s="71">
        <f t="shared" si="2"/>
        <v>0</v>
      </c>
      <c r="F563" s="71">
        <f t="shared" si="3"/>
        <v>0</v>
      </c>
      <c r="G563" s="61">
        <f t="array" ref="G563">if(YEAR(A563)=2025,XLOOKUP(B563,Lookup!$A$3:$A$7,Lookup!$D$3:$D$7,,1)*SUM(E563:F563), XLOOKUP(B563,Lookup!$A$14:$A$18,Lookup!$D$14:$D$18,,1)*SUM(E563:F563))</f>
        <v>0</v>
      </c>
      <c r="H563" s="61">
        <f t="array" ref="H563">if(YEAR(A563)=2025,XLOOKUP(B563,Lookup!$F$3:$F$10,Lookup!$G$3:$G$10,,1)*G563, XLOOKUP(B563,Lookup!$F$14:$F$21,Lookup!$G$14:$G$21,,1)*G563)</f>
        <v>0</v>
      </c>
      <c r="I563" s="61">
        <f t="array" ref="I563">if(B563&lt;55, if(YEAR(A563)=2025,XLOOKUP(B563,Lookup!$F$3:$F$10,Lookup!$H$3:$H$10,,1)*G563, XLOOKUP(B563,Lookup!$F$14:$F$21,Lookup!$H$14:$H$21,,1)*G563),0)</f>
        <v>0</v>
      </c>
      <c r="J563" s="61">
        <f t="array" ref="J563">if(YEAR(A563)=2025,XLOOKUP(B563,Lookup!$F$3:$F$10,Lookup!$I$3:$I$10,,1)*G563, XLOOKUP(B563,Lookup!$F$14:$F$21,Lookup!$I$14:$I$21,,1)*G563)</f>
        <v>0</v>
      </c>
      <c r="K563" s="61">
        <f t="array" ref="K563">if(B563&gt;54, if(YEAR(A563)=2025,XLOOKUP(B563,Lookup!$F$3:$F$10,Lookup!$H$3:$H$10,,1)*G563, XLOOKUP(B563,Lookup!$F$14:$F$21,Lookup!$H$14:$H$21,,1)*G563),0)</f>
        <v>0</v>
      </c>
      <c r="L563" s="62">
        <f>IF(and(A563&lt;questions!$C$19,questions!$C$18="yes"),questions!$C$20,0)</f>
        <v>0</v>
      </c>
      <c r="M563" s="63">
        <f>(Y562+H563)*Lookup!A$26/12</f>
        <v>2494.238363</v>
      </c>
      <c r="N563" s="63">
        <f>if(B563&lt;55, (Z562+I563)*Lookup!B$26/12, (AB562+K563)*Lookup!B$26/12)</f>
        <v>4306.415561</v>
      </c>
      <c r="O563" s="63">
        <f>(AA562+J563)*Lookup!C$26/12</f>
        <v>940.3700287</v>
      </c>
      <c r="P563" s="63">
        <f t="shared" si="8"/>
        <v>27436.62199</v>
      </c>
      <c r="Q563" s="63">
        <f t="shared" si="4"/>
        <v>47370.57117</v>
      </c>
      <c r="R563" s="63">
        <f t="shared" si="5"/>
        <v>10344.07032</v>
      </c>
      <c r="S563" s="64">
        <f t="shared" si="9"/>
        <v>33.33333333</v>
      </c>
      <c r="T563" s="64">
        <f t="shared" si="10"/>
        <v>41.66666667</v>
      </c>
      <c r="U563" s="64">
        <f t="shared" si="11"/>
        <v>0</v>
      </c>
      <c r="V563" s="64">
        <f t="shared" ref="V563:X563" si="571">IF(year($A563)=year($A562), V562+S563, S563)</f>
        <v>366.6666667</v>
      </c>
      <c r="W563" s="64">
        <f t="shared" si="571"/>
        <v>458.3333333</v>
      </c>
      <c r="X563" s="64">
        <f t="shared" si="571"/>
        <v>0</v>
      </c>
      <c r="Y563" s="65">
        <f>IFS(
  B563&lt;55,
    MAX(
      Y562 + IF(MONTH(A563)=12, P563+V563, 0) + H563 - L563
      + MAX(0,
          IF(AA562 &gt;= VLOOKUP(YEAR(A563), Lookup!$Q:$R, 2),
            Z562 + IF(MONTH(A563)=12, Q563+W563, 0) + I563
              + AA562 + IF(MONTH(A563)=12, R563+X563, 0)
              - VLOOKUP(YEAR(A563), Lookup!$Q:$R, 2) + J563,
            Z562 + IF(MONTH(A563)=12, Q563+W563, 0) + I563
          ) - VLOOKUP(YEAR(A563), Lookup!$K:$M, 3)
        ),
    0),
  B563=55,
    IF(Z562&gt;=AD563,
      MAX(Y562 + IF(MONTH(A563)=12, P563+V563, 0) + H563 - L563, 0),
      MAX(MAX(0, Y562-(AD563-Z562)) + IF(MONTH(A563)=12, P563+V563, 0) + H563 - L563, 0)
    ),
  B563&gt;55,
    IF(AB562&gt;=$AH$7,
      MAX(Y562 + IF(MONTH(A563)=12, P563+V563, 0) + H563 - L563 + K563 + Z562, 0),
      MAX(Y562 + IF(MONTH(A563)=12, P563+V563, 0) + H563 - L563, 0)
    )
)</f>
        <v>1197234.414</v>
      </c>
      <c r="Z563" s="65">
        <f>IFS(
  B563&lt;55,
    MIN(
      IF(AA562 &gt;= VLOOKUP(YEAR(A563), Lookup!$Q:$R, 2),
        Z562 + IF(MONTH(A563)=12, Q563+W563, 0) + I563
          + AA562 + IF(MONTH(A563)=12, R563+X563, 0) - VLOOKUP(YEAR(A563), Lookup!$Q:$R, 2) + J563,
        Z562 + IF(MONTH(A563)=12, Q563+W563, 0) + I563
      ),
      VLOOKUP(YEAR(A563), Lookup!$K:$M, 3)
    ),
  B563=55,
    IF(Z562 &gt;= AD563, Z562 - AD563, 0),
  B563&gt;55, 0
)</f>
        <v>0</v>
      </c>
      <c r="AA563" s="65">
        <f>IFS(
  B563&lt;65,
    IF(AA562+J563 &lt; VLOOKUP(YEAR(A563), Lookup!$Q:$R, 2),
      AA562 + IF(MONTH(A563)=12, R562+X562, 0) + J563,
      MIN(
        AA562 + IF(MONTH(A563)=12, R562+X562, 0) + J563 ,
        VLOOKUP(YEAR(A563), Lookup!$Q:$R, 2)
      )
    ),
  B563&gt;=65,
    IF(AA562+J563 &lt; VLOOKUP(questions!$C$5, Lookup!$Q:$R, 2),
      AA562 + IF(MONTH(A563)=12, R562+X562, 0) + J563 ,
      MIN(
        AA562 + IF(MONTH(A563)=12, R562+X562, 0) + J563,
        VLOOKUP(questions!$C$5, Lookup!$Q:$R, 2)
      )
    )
)</f>
        <v>282111.0086</v>
      </c>
      <c r="AB563" s="65">
        <f t="shared" si="13"/>
        <v>1291924.668</v>
      </c>
      <c r="AC563" s="66">
        <f t="array" ref="AC563">IFS(B563&lt;66, XLOOKUP(year(A563),Lookup!$K$13:$K1000,Lookup!$L$13:$L1000,"missing",,1),B563&gt;65,XLOOKUP(questions!$C$5,Lookup!$K$13:$K1000,Lookup!$L$13:$L1000,"missing",,1))</f>
        <v>393675.3633</v>
      </c>
      <c r="AD563" s="66">
        <f t="array" ref="AD563">IFS(B563&lt;66, XLOOKUP(year(A563),Lookup!$K$13:$K1000,Lookup!$M$13:$M1000,"missing",,1),B563&gt;65, XLOOKUP(questions!$C$5,Lookup!$K$13:$K1000,Lookup!$M$13:$M1000,"missing",,1))</f>
        <v>787350.7266</v>
      </c>
      <c r="AE563" s="66">
        <f t="array" ref="AE563">IFS(B563&lt;66, XLOOKUP(year(A563),Lookup!$K$13:$K1000,Lookup!$N$13:$N1000,"missing",,1),B563&gt;65,XLOOKUP(questions!$C$5,Lookup!$K$13:$K1000,Lookup!$N$13:$N1000,"missing",,1))</f>
        <v>1574701.453</v>
      </c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7"/>
      <c r="AQ563" s="37"/>
    </row>
    <row r="564">
      <c r="A564" s="55">
        <f t="shared" si="7"/>
        <v>63189</v>
      </c>
      <c r="B564" s="56">
        <f>round(YEARFRAC(EOMONTH(questions!$C$3, 0),A564,1),2)</f>
        <v>74.08</v>
      </c>
      <c r="C564" s="58">
        <f>IF(B564&lt;questions!$C$6,if(MONTH(A564)=1,C563*(1+questions!$C$12),C563),0)</f>
        <v>0</v>
      </c>
      <c r="D564" s="58">
        <f>IF(MONTH(A564)=12,C564*questions!$C$11,0)</f>
        <v>0</v>
      </c>
      <c r="E564" s="71">
        <f t="shared" si="2"/>
        <v>0</v>
      </c>
      <c r="F564" s="71">
        <f t="shared" si="3"/>
        <v>0</v>
      </c>
      <c r="G564" s="61">
        <f t="array" ref="G564">if(YEAR(A564)=2025,XLOOKUP(B564,Lookup!$A$3:$A$7,Lookup!$D$3:$D$7,,1)*SUM(E564:F564), XLOOKUP(B564,Lookup!$A$14:$A$18,Lookup!$D$14:$D$18,,1)*SUM(E564:F564))</f>
        <v>0</v>
      </c>
      <c r="H564" s="61">
        <f t="array" ref="H564">if(YEAR(A564)=2025,XLOOKUP(B564,Lookup!$F$3:$F$10,Lookup!$G$3:$G$10,,1)*G564, XLOOKUP(B564,Lookup!$F$14:$F$21,Lookup!$G$14:$G$21,,1)*G564)</f>
        <v>0</v>
      </c>
      <c r="I564" s="61">
        <f t="array" ref="I564">if(B564&lt;55, if(YEAR(A564)=2025,XLOOKUP(B564,Lookup!$F$3:$F$10,Lookup!$H$3:$H$10,,1)*G564, XLOOKUP(B564,Lookup!$F$14:$F$21,Lookup!$H$14:$H$21,,1)*G564),0)</f>
        <v>0</v>
      </c>
      <c r="J564" s="61">
        <f t="array" ref="J564">if(YEAR(A564)=2025,XLOOKUP(B564,Lookup!$F$3:$F$10,Lookup!$I$3:$I$10,,1)*G564, XLOOKUP(B564,Lookup!$F$14:$F$21,Lookup!$I$14:$I$21,,1)*G564)</f>
        <v>0</v>
      </c>
      <c r="K564" s="61">
        <f t="array" ref="K564">if(B564&gt;54, if(YEAR(A564)=2025,XLOOKUP(B564,Lookup!$F$3:$F$10,Lookup!$H$3:$H$10,,1)*G564, XLOOKUP(B564,Lookup!$F$14:$F$21,Lookup!$H$14:$H$21,,1)*G564),0)</f>
        <v>0</v>
      </c>
      <c r="L564" s="62">
        <f>IF(and(A564&lt;questions!$C$19,questions!$C$18="yes"),questions!$C$20,0)</f>
        <v>0</v>
      </c>
      <c r="M564" s="63">
        <f>(Y563+H564)*Lookup!A$26/12</f>
        <v>2494.238363</v>
      </c>
      <c r="N564" s="63">
        <f>if(B564&lt;55, (Z563+I564)*Lookup!B$26/12, (AB563+K564)*Lookup!B$26/12)</f>
        <v>4306.415561</v>
      </c>
      <c r="O564" s="63">
        <f>(AA563+J564)*Lookup!C$26/12</f>
        <v>940.3700287</v>
      </c>
      <c r="P564" s="63">
        <f t="shared" si="8"/>
        <v>29930.86035</v>
      </c>
      <c r="Q564" s="63">
        <f t="shared" si="4"/>
        <v>51676.98673</v>
      </c>
      <c r="R564" s="63">
        <f t="shared" si="5"/>
        <v>11284.44034</v>
      </c>
      <c r="S564" s="64">
        <f t="shared" si="9"/>
        <v>33.33333333</v>
      </c>
      <c r="T564" s="64">
        <f t="shared" si="10"/>
        <v>41.66666667</v>
      </c>
      <c r="U564" s="64">
        <f t="shared" si="11"/>
        <v>0</v>
      </c>
      <c r="V564" s="64">
        <f t="shared" ref="V564:X564" si="572">IF(year($A564)=year($A563), V563+S564, S564)</f>
        <v>400</v>
      </c>
      <c r="W564" s="64">
        <f t="shared" si="572"/>
        <v>500</v>
      </c>
      <c r="X564" s="64">
        <f t="shared" si="572"/>
        <v>0</v>
      </c>
      <c r="Y564" s="65">
        <f>IFS(
  B564&lt;55,
    MAX(
      Y563 + IF(MONTH(A564)=12, P564+V564, 0) + H564 - L564
      + MAX(0,
          IF(AA563 &gt;= VLOOKUP(YEAR(A564), Lookup!$Q:$R, 2),
            Z563 + IF(MONTH(A564)=12, Q564+W564, 0) + I564
              + AA563 + IF(MONTH(A564)=12, R564+X564, 0)
              - VLOOKUP(YEAR(A564), Lookup!$Q:$R, 2) + J564,
            Z563 + IF(MONTH(A564)=12, Q564+W564, 0) + I564
          ) - VLOOKUP(YEAR(A564), Lookup!$K:$M, 3)
        ),
    0),
  B564=55,
    IF(Z563&gt;=AD564,
      MAX(Y563 + IF(MONTH(A564)=12, P564+V564, 0) + H564 - L564, 0),
      MAX(MAX(0, Y563-(AD564-Z563)) + IF(MONTH(A564)=12, P564+V564, 0) + H564 - L564, 0)
    ),
  B564&gt;55,
    IF(AB563&gt;=$AH$7,
      MAX(Y563 + IF(MONTH(A564)=12, P564+V564, 0) + H564 - L564 + K564 + Z563, 0),
      MAX(Y563 + IF(MONTH(A564)=12, P564+V564, 0) + H564 - L564, 0)
    )
)</f>
        <v>1227565.274</v>
      </c>
      <c r="Z564" s="65">
        <f>IFS(
  B564&lt;55,
    MIN(
      IF(AA563 &gt;= VLOOKUP(YEAR(A564), Lookup!$Q:$R, 2),
        Z563 + IF(MONTH(A564)=12, Q564+W564, 0) + I564
          + AA563 + IF(MONTH(A564)=12, R564+X564, 0) - VLOOKUP(YEAR(A564), Lookup!$Q:$R, 2) + J564,
        Z563 + IF(MONTH(A564)=12, Q564+W564, 0) + I564
      ),
      VLOOKUP(YEAR(A564), Lookup!$K:$M, 3)
    ),
  B564=55,
    IF(Z563 &gt;= AD564, Z563 - AD564, 0),
  B564&gt;55, 0
)</f>
        <v>0</v>
      </c>
      <c r="AA564" s="65">
        <f>IFS(
  B564&lt;65,
    IF(AA563+J564 &lt; VLOOKUP(YEAR(A564), Lookup!$Q:$R, 2),
      AA563 + IF(MONTH(A564)=12, R563+X563, 0) + J564,
      MIN(
        AA563 + IF(MONTH(A564)=12, R563+X563, 0) + J564 ,
        VLOOKUP(YEAR(A564), Lookup!$Q:$R, 2)
      )
    ),
  B564&gt;=65,
    IF(AA563+J564 &lt; VLOOKUP(questions!$C$5, Lookup!$Q:$R, 2),
      AA563 + IF(MONTH(A564)=12, R563+X563, 0) + J564 ,
      MIN(
        AA563 + IF(MONTH(A564)=12, R563+X563, 0) + J564,
        VLOOKUP(questions!$C$5, Lookup!$Q:$R, 2)
      )
    )
)</f>
        <v>282111.0086</v>
      </c>
      <c r="AB564" s="65">
        <f t="shared" si="13"/>
        <v>1344101.655</v>
      </c>
      <c r="AC564" s="66">
        <f t="array" ref="AC564">IFS(B564&lt;66, XLOOKUP(year(A564),Lookup!$K$13:$K1000,Lookup!$L$13:$L1000,"missing",,1),B564&gt;65,XLOOKUP(questions!$C$5,Lookup!$K$13:$K1000,Lookup!$L$13:$L1000,"missing",,1))</f>
        <v>393675.3633</v>
      </c>
      <c r="AD564" s="66">
        <f t="array" ref="AD564">IFS(B564&lt;66, XLOOKUP(year(A564),Lookup!$K$13:$K1000,Lookup!$M$13:$M1000,"missing",,1),B564&gt;65, XLOOKUP(questions!$C$5,Lookup!$K$13:$K1000,Lookup!$M$13:$M1000,"missing",,1))</f>
        <v>787350.7266</v>
      </c>
      <c r="AE564" s="66">
        <f t="array" ref="AE564">IFS(B564&lt;66, XLOOKUP(year(A564),Lookup!$K$13:$K1000,Lookup!$N$13:$N1000,"missing",,1),B564&gt;65,XLOOKUP(questions!$C$5,Lookup!$K$13:$K1000,Lookup!$N$13:$N1000,"missing",,1))</f>
        <v>1574701.453</v>
      </c>
      <c r="AF564" s="37"/>
      <c r="AG564" s="37"/>
      <c r="AH564" s="37"/>
      <c r="AI564" s="37"/>
      <c r="AJ564" s="37"/>
      <c r="AK564" s="37"/>
      <c r="AL564" s="37"/>
      <c r="AM564" s="37"/>
      <c r="AN564" s="37"/>
      <c r="AO564" s="37"/>
      <c r="AP564" s="37"/>
      <c r="AQ564" s="37"/>
    </row>
    <row r="565">
      <c r="A565" s="55">
        <f t="shared" si="7"/>
        <v>63220</v>
      </c>
      <c r="B565" s="56">
        <f>round(YEARFRAC(EOMONTH(questions!$C$3, 0),A565,1),2)</f>
        <v>74.17</v>
      </c>
      <c r="C565" s="58">
        <f>IF(B565&lt;questions!$C$6,if(MONTH(A565)=1,C564*(1+questions!$C$12),C564),0)</f>
        <v>0</v>
      </c>
      <c r="D565" s="58">
        <f>IF(MONTH(A565)=12,C565*questions!$C$11,0)</f>
        <v>0</v>
      </c>
      <c r="E565" s="71">
        <f t="shared" si="2"/>
        <v>0</v>
      </c>
      <c r="F565" s="71">
        <f t="shared" si="3"/>
        <v>0</v>
      </c>
      <c r="G565" s="61">
        <f t="array" ref="G565">if(YEAR(A565)=2025,XLOOKUP(B565,Lookup!$A$3:$A$7,Lookup!$D$3:$D$7,,1)*SUM(E565:F565), XLOOKUP(B565,Lookup!$A$14:$A$18,Lookup!$D$14:$D$18,,1)*SUM(E565:F565))</f>
        <v>0</v>
      </c>
      <c r="H565" s="61">
        <f t="array" ref="H565">if(YEAR(A565)=2025,XLOOKUP(B565,Lookup!$F$3:$F$10,Lookup!$G$3:$G$10,,1)*G565, XLOOKUP(B565,Lookup!$F$14:$F$21,Lookup!$G$14:$G$21,,1)*G565)</f>
        <v>0</v>
      </c>
      <c r="I565" s="61">
        <f t="array" ref="I565">if(B565&lt;55, if(YEAR(A565)=2025,XLOOKUP(B565,Lookup!$F$3:$F$10,Lookup!$H$3:$H$10,,1)*G565, XLOOKUP(B565,Lookup!$F$14:$F$21,Lookup!$H$14:$H$21,,1)*G565),0)</f>
        <v>0</v>
      </c>
      <c r="J565" s="61">
        <f t="array" ref="J565">if(YEAR(A565)=2025,XLOOKUP(B565,Lookup!$F$3:$F$10,Lookup!$I$3:$I$10,,1)*G565, XLOOKUP(B565,Lookup!$F$14:$F$21,Lookup!$I$14:$I$21,,1)*G565)</f>
        <v>0</v>
      </c>
      <c r="K565" s="61">
        <f t="array" ref="K565">if(B565&gt;54, if(YEAR(A565)=2025,XLOOKUP(B565,Lookup!$F$3:$F$10,Lookup!$H$3:$H$10,,1)*G565, XLOOKUP(B565,Lookup!$F$14:$F$21,Lookup!$H$14:$H$21,,1)*G565),0)</f>
        <v>0</v>
      </c>
      <c r="L565" s="62">
        <f>IF(and(A565&lt;questions!$C$19,questions!$C$18="yes"),questions!$C$20,0)</f>
        <v>0</v>
      </c>
      <c r="M565" s="63">
        <f>(Y564+H565)*Lookup!A$26/12</f>
        <v>2557.427655</v>
      </c>
      <c r="N565" s="63">
        <f>if(B565&lt;55, (Z564+I565)*Lookup!B$26/12, (AB564+K565)*Lookup!B$26/12)</f>
        <v>4480.33885</v>
      </c>
      <c r="O565" s="63">
        <f>(AA564+J565)*Lookup!C$26/12</f>
        <v>940.3700287</v>
      </c>
      <c r="P565" s="63">
        <f t="shared" si="8"/>
        <v>2557.427655</v>
      </c>
      <c r="Q565" s="63">
        <f t="shared" si="4"/>
        <v>4480.33885</v>
      </c>
      <c r="R565" s="63">
        <f t="shared" si="5"/>
        <v>940.3700287</v>
      </c>
      <c r="S565" s="64">
        <f t="shared" si="9"/>
        <v>33.33333333</v>
      </c>
      <c r="T565" s="64">
        <f t="shared" si="10"/>
        <v>41.66666667</v>
      </c>
      <c r="U565" s="64">
        <f t="shared" si="11"/>
        <v>0</v>
      </c>
      <c r="V565" s="64">
        <f t="shared" ref="V565:X565" si="573">IF(year($A565)=year($A564), V564+S565, S565)</f>
        <v>33.33333333</v>
      </c>
      <c r="W565" s="64">
        <f t="shared" si="573"/>
        <v>41.66666667</v>
      </c>
      <c r="X565" s="64">
        <f t="shared" si="573"/>
        <v>0</v>
      </c>
      <c r="Y565" s="65">
        <f>IFS(
  B565&lt;55,
    MAX(
      Y564 + IF(MONTH(A565)=12, P565+V565, 0) + H565 - L565
      + MAX(0,
          IF(AA564 &gt;= VLOOKUP(YEAR(A565), Lookup!$Q:$R, 2),
            Z564 + IF(MONTH(A565)=12, Q565+W565, 0) + I565
              + AA564 + IF(MONTH(A565)=12, R565+X565, 0)
              - VLOOKUP(YEAR(A565), Lookup!$Q:$R, 2) + J565,
            Z564 + IF(MONTH(A565)=12, Q565+W565, 0) + I565
          ) - VLOOKUP(YEAR(A565), Lookup!$K:$M, 3)
        ),
    0),
  B565=55,
    IF(Z564&gt;=AD565,
      MAX(Y564 + IF(MONTH(A565)=12, P565+V565, 0) + H565 - L565, 0),
      MAX(MAX(0, Y564-(AD565-Z564)) + IF(MONTH(A565)=12, P565+V565, 0) + H565 - L565, 0)
    ),
  B565&gt;55,
    IF(AB564&gt;=$AH$7,
      MAX(Y564 + IF(MONTH(A565)=12, P565+V565, 0) + H565 - L565 + K565 + Z564, 0),
      MAX(Y564 + IF(MONTH(A565)=12, P565+V565, 0) + H565 - L565, 0)
    )
)</f>
        <v>1227565.274</v>
      </c>
      <c r="Z565" s="65">
        <f>IFS(
  B565&lt;55,
    MIN(
      IF(AA564 &gt;= VLOOKUP(YEAR(A565), Lookup!$Q:$R, 2),
        Z564 + IF(MONTH(A565)=12, Q565+W565, 0) + I565
          + AA564 + IF(MONTH(A565)=12, R565+X565, 0) - VLOOKUP(YEAR(A565), Lookup!$Q:$R, 2) + J565,
        Z564 + IF(MONTH(A565)=12, Q565+W565, 0) + I565
      ),
      VLOOKUP(YEAR(A565), Lookup!$K:$M, 3)
    ),
  B565=55,
    IF(Z564 &gt;= AD565, Z564 - AD565, 0),
  B565&gt;55, 0
)</f>
        <v>0</v>
      </c>
      <c r="AA565" s="65">
        <f>IFS(
  B565&lt;65,
    IF(AA564+J565 &lt; VLOOKUP(YEAR(A565), Lookup!$Q:$R, 2),
      AA564 + IF(MONTH(A565)=12, R564+X564, 0) + J565,
      MIN(
        AA564 + IF(MONTH(A565)=12, R564+X564, 0) + J565 ,
        VLOOKUP(YEAR(A565), Lookup!$Q:$R, 2)
      )
    ),
  B565&gt;=65,
    IF(AA564+J565 &lt; VLOOKUP(questions!$C$5, Lookup!$Q:$R, 2),
      AA564 + IF(MONTH(A565)=12, R564+X564, 0) + J565 ,
      MIN(
        AA564 + IF(MONTH(A565)=12, R564+X564, 0) + J565,
        VLOOKUP(questions!$C$5, Lookup!$Q:$R, 2)
      )
    )
)</f>
        <v>282111.0086</v>
      </c>
      <c r="AB565" s="65">
        <f t="shared" si="13"/>
        <v>1344101.655</v>
      </c>
      <c r="AC565" s="66">
        <f t="array" ref="AC565">IFS(B565&lt;66, XLOOKUP(year(A565),Lookup!$K$13:$K1000,Lookup!$L$13:$L1000,"missing",,1),B565&gt;65,XLOOKUP(questions!$C$5,Lookup!$K$13:$K1000,Lookup!$L$13:$L1000,"missing",,1))</f>
        <v>393675.3633</v>
      </c>
      <c r="AD565" s="66">
        <f t="array" ref="AD565">IFS(B565&lt;66, XLOOKUP(year(A565),Lookup!$K$13:$K1000,Lookup!$M$13:$M1000,"missing",,1),B565&gt;65, XLOOKUP(questions!$C$5,Lookup!$K$13:$K1000,Lookup!$M$13:$M1000,"missing",,1))</f>
        <v>787350.7266</v>
      </c>
      <c r="AE565" s="66">
        <f t="array" ref="AE565">IFS(B565&lt;66, XLOOKUP(year(A565),Lookup!$K$13:$K1000,Lookup!$N$13:$N1000,"missing",,1),B565&gt;65,XLOOKUP(questions!$C$5,Lookup!$K$13:$K1000,Lookup!$N$13:$N1000,"missing",,1))</f>
        <v>1574701.453</v>
      </c>
      <c r="AF565" s="37"/>
      <c r="AG565" s="37"/>
      <c r="AH565" s="37"/>
      <c r="AI565" s="37"/>
      <c r="AJ565" s="37"/>
      <c r="AK565" s="37"/>
      <c r="AL565" s="37"/>
      <c r="AM565" s="37"/>
      <c r="AN565" s="37"/>
      <c r="AO565" s="37"/>
      <c r="AP565" s="37"/>
      <c r="AQ565" s="37"/>
    </row>
    <row r="566">
      <c r="A566" s="55">
        <f t="shared" si="7"/>
        <v>63248</v>
      </c>
      <c r="B566" s="56">
        <f>round(YEARFRAC(EOMONTH(questions!$C$3, 0),A566,1),2)</f>
        <v>74.25</v>
      </c>
      <c r="C566" s="58">
        <f>IF(B566&lt;questions!$C$6,if(MONTH(A566)=1,C565*(1+questions!$C$12),C565),0)</f>
        <v>0</v>
      </c>
      <c r="D566" s="58">
        <f>IF(MONTH(A566)=12,C566*questions!$C$11,0)</f>
        <v>0</v>
      </c>
      <c r="E566" s="71">
        <f t="shared" si="2"/>
        <v>0</v>
      </c>
      <c r="F566" s="71">
        <f t="shared" si="3"/>
        <v>0</v>
      </c>
      <c r="G566" s="61">
        <f t="array" ref="G566">if(YEAR(A566)=2025,XLOOKUP(B566,Lookup!$A$3:$A$7,Lookup!$D$3:$D$7,,1)*SUM(E566:F566), XLOOKUP(B566,Lookup!$A$14:$A$18,Lookup!$D$14:$D$18,,1)*SUM(E566:F566))</f>
        <v>0</v>
      </c>
      <c r="H566" s="61">
        <f t="array" ref="H566">if(YEAR(A566)=2025,XLOOKUP(B566,Lookup!$F$3:$F$10,Lookup!$G$3:$G$10,,1)*G566, XLOOKUP(B566,Lookup!$F$14:$F$21,Lookup!$G$14:$G$21,,1)*G566)</f>
        <v>0</v>
      </c>
      <c r="I566" s="61">
        <f t="array" ref="I566">if(B566&lt;55, if(YEAR(A566)=2025,XLOOKUP(B566,Lookup!$F$3:$F$10,Lookup!$H$3:$H$10,,1)*G566, XLOOKUP(B566,Lookup!$F$14:$F$21,Lookup!$H$14:$H$21,,1)*G566),0)</f>
        <v>0</v>
      </c>
      <c r="J566" s="61">
        <f t="array" ref="J566">if(YEAR(A566)=2025,XLOOKUP(B566,Lookup!$F$3:$F$10,Lookup!$I$3:$I$10,,1)*G566, XLOOKUP(B566,Lookup!$F$14:$F$21,Lookup!$I$14:$I$21,,1)*G566)</f>
        <v>0</v>
      </c>
      <c r="K566" s="61">
        <f t="array" ref="K566">if(B566&gt;54, if(YEAR(A566)=2025,XLOOKUP(B566,Lookup!$F$3:$F$10,Lookup!$H$3:$H$10,,1)*G566, XLOOKUP(B566,Lookup!$F$14:$F$21,Lookup!$H$14:$H$21,,1)*G566),0)</f>
        <v>0</v>
      </c>
      <c r="L566" s="62">
        <f>IF(and(A566&lt;questions!$C$19,questions!$C$18="yes"),questions!$C$20,0)</f>
        <v>0</v>
      </c>
      <c r="M566" s="63">
        <f>(Y565+H566)*Lookup!A$26/12</f>
        <v>2557.427655</v>
      </c>
      <c r="N566" s="63">
        <f>if(B566&lt;55, (Z565+I566)*Lookup!B$26/12, (AB565+K566)*Lookup!B$26/12)</f>
        <v>4480.33885</v>
      </c>
      <c r="O566" s="63">
        <f>(AA565+J566)*Lookup!C$26/12</f>
        <v>940.3700287</v>
      </c>
      <c r="P566" s="63">
        <f t="shared" si="8"/>
        <v>5114.85531</v>
      </c>
      <c r="Q566" s="63">
        <f t="shared" si="4"/>
        <v>8960.677699</v>
      </c>
      <c r="R566" s="63">
        <f t="shared" si="5"/>
        <v>1880.740057</v>
      </c>
      <c r="S566" s="64">
        <f t="shared" si="9"/>
        <v>33.33333333</v>
      </c>
      <c r="T566" s="64">
        <f t="shared" si="10"/>
        <v>41.66666667</v>
      </c>
      <c r="U566" s="64">
        <f t="shared" si="11"/>
        <v>0</v>
      </c>
      <c r="V566" s="64">
        <f t="shared" ref="V566:X566" si="574">IF(year($A566)=year($A565), V565+S566, S566)</f>
        <v>66.66666667</v>
      </c>
      <c r="W566" s="64">
        <f t="shared" si="574"/>
        <v>83.33333333</v>
      </c>
      <c r="X566" s="64">
        <f t="shared" si="574"/>
        <v>0</v>
      </c>
      <c r="Y566" s="65">
        <f>IFS(
  B566&lt;55,
    MAX(
      Y565 + IF(MONTH(A566)=12, P566+V566, 0) + H566 - L566
      + MAX(0,
          IF(AA565 &gt;= VLOOKUP(YEAR(A566), Lookup!$Q:$R, 2),
            Z565 + IF(MONTH(A566)=12, Q566+W566, 0) + I566
              + AA565 + IF(MONTH(A566)=12, R566+X566, 0)
              - VLOOKUP(YEAR(A566), Lookup!$Q:$R, 2) + J566,
            Z565 + IF(MONTH(A566)=12, Q566+W566, 0) + I566
          ) - VLOOKUP(YEAR(A566), Lookup!$K:$M, 3)
        ),
    0),
  B566=55,
    IF(Z565&gt;=AD566,
      MAX(Y565 + IF(MONTH(A566)=12, P566+V566, 0) + H566 - L566, 0),
      MAX(MAX(0, Y565-(AD566-Z565)) + IF(MONTH(A566)=12, P566+V566, 0) + H566 - L566, 0)
    ),
  B566&gt;55,
    IF(AB565&gt;=$AH$7,
      MAX(Y565 + IF(MONTH(A566)=12, P566+V566, 0) + H566 - L566 + K566 + Z565, 0),
      MAX(Y565 + IF(MONTH(A566)=12, P566+V566, 0) + H566 - L566, 0)
    )
)</f>
        <v>1227565.274</v>
      </c>
      <c r="Z566" s="65">
        <f>IFS(
  B566&lt;55,
    MIN(
      IF(AA565 &gt;= VLOOKUP(YEAR(A566), Lookup!$Q:$R, 2),
        Z565 + IF(MONTH(A566)=12, Q566+W566, 0) + I566
          + AA565 + IF(MONTH(A566)=12, R566+X566, 0) - VLOOKUP(YEAR(A566), Lookup!$Q:$R, 2) + J566,
        Z565 + IF(MONTH(A566)=12, Q566+W566, 0) + I566
      ),
      VLOOKUP(YEAR(A566), Lookup!$K:$M, 3)
    ),
  B566=55,
    IF(Z565 &gt;= AD566, Z565 - AD566, 0),
  B566&gt;55, 0
)</f>
        <v>0</v>
      </c>
      <c r="AA566" s="65">
        <f>IFS(
  B566&lt;65,
    IF(AA565+J566 &lt; VLOOKUP(YEAR(A566), Lookup!$Q:$R, 2),
      AA565 + IF(MONTH(A566)=12, R565+X565, 0) + J566,
      MIN(
        AA565 + IF(MONTH(A566)=12, R565+X565, 0) + J566 ,
        VLOOKUP(YEAR(A566), Lookup!$Q:$R, 2)
      )
    ),
  B566&gt;=65,
    IF(AA565+J566 &lt; VLOOKUP(questions!$C$5, Lookup!$Q:$R, 2),
      AA565 + IF(MONTH(A566)=12, R565+X565, 0) + J566 ,
      MIN(
        AA565 + IF(MONTH(A566)=12, R565+X565, 0) + J566,
        VLOOKUP(questions!$C$5, Lookup!$Q:$R, 2)
      )
    )
)</f>
        <v>282111.0086</v>
      </c>
      <c r="AB566" s="65">
        <f t="shared" si="13"/>
        <v>1344101.655</v>
      </c>
      <c r="AC566" s="66">
        <f t="array" ref="AC566">IFS(B566&lt;66, XLOOKUP(year(A566),Lookup!$K$13:$K1000,Lookup!$L$13:$L1000,"missing",,1),B566&gt;65,XLOOKUP(questions!$C$5,Lookup!$K$13:$K1000,Lookup!$L$13:$L1000,"missing",,1))</f>
        <v>393675.3633</v>
      </c>
      <c r="AD566" s="66">
        <f t="array" ref="AD566">IFS(B566&lt;66, XLOOKUP(year(A566),Lookup!$K$13:$K1000,Lookup!$M$13:$M1000,"missing",,1),B566&gt;65, XLOOKUP(questions!$C$5,Lookup!$K$13:$K1000,Lookup!$M$13:$M1000,"missing",,1))</f>
        <v>787350.7266</v>
      </c>
      <c r="AE566" s="66">
        <f t="array" ref="AE566">IFS(B566&lt;66, XLOOKUP(year(A566),Lookup!$K$13:$K1000,Lookup!$N$13:$N1000,"missing",,1),B566&gt;65,XLOOKUP(questions!$C$5,Lookup!$K$13:$K1000,Lookup!$N$13:$N1000,"missing",,1))</f>
        <v>1574701.453</v>
      </c>
      <c r="AF566" s="37"/>
      <c r="AG566" s="37"/>
      <c r="AH566" s="37"/>
      <c r="AI566" s="37"/>
      <c r="AJ566" s="37"/>
      <c r="AK566" s="37"/>
      <c r="AL566" s="37"/>
      <c r="AM566" s="37"/>
      <c r="AN566" s="37"/>
      <c r="AO566" s="37"/>
      <c r="AP566" s="37"/>
      <c r="AQ566" s="37"/>
    </row>
    <row r="567">
      <c r="A567" s="55">
        <f t="shared" si="7"/>
        <v>63279</v>
      </c>
      <c r="B567" s="56">
        <f>round(YEARFRAC(EOMONTH(questions!$C$3, 0),A567,1),2)</f>
        <v>74.33</v>
      </c>
      <c r="C567" s="58">
        <f>IF(B567&lt;questions!$C$6,if(MONTH(A567)=1,C566*(1+questions!$C$12),C566),0)</f>
        <v>0</v>
      </c>
      <c r="D567" s="58">
        <f>IF(MONTH(A567)=12,C567*questions!$C$11,0)</f>
        <v>0</v>
      </c>
      <c r="E567" s="71">
        <f t="shared" si="2"/>
        <v>0</v>
      </c>
      <c r="F567" s="71">
        <f t="shared" si="3"/>
        <v>0</v>
      </c>
      <c r="G567" s="61">
        <f t="array" ref="G567">if(YEAR(A567)=2025,XLOOKUP(B567,Lookup!$A$3:$A$7,Lookup!$D$3:$D$7,,1)*SUM(E567:F567), XLOOKUP(B567,Lookup!$A$14:$A$18,Lookup!$D$14:$D$18,,1)*SUM(E567:F567))</f>
        <v>0</v>
      </c>
      <c r="H567" s="61">
        <f t="array" ref="H567">if(YEAR(A567)=2025,XLOOKUP(B567,Lookup!$F$3:$F$10,Lookup!$G$3:$G$10,,1)*G567, XLOOKUP(B567,Lookup!$F$14:$F$21,Lookup!$G$14:$G$21,,1)*G567)</f>
        <v>0</v>
      </c>
      <c r="I567" s="61">
        <f t="array" ref="I567">if(B567&lt;55, if(YEAR(A567)=2025,XLOOKUP(B567,Lookup!$F$3:$F$10,Lookup!$H$3:$H$10,,1)*G567, XLOOKUP(B567,Lookup!$F$14:$F$21,Lookup!$H$14:$H$21,,1)*G567),0)</f>
        <v>0</v>
      </c>
      <c r="J567" s="61">
        <f t="array" ref="J567">if(YEAR(A567)=2025,XLOOKUP(B567,Lookup!$F$3:$F$10,Lookup!$I$3:$I$10,,1)*G567, XLOOKUP(B567,Lookup!$F$14:$F$21,Lookup!$I$14:$I$21,,1)*G567)</f>
        <v>0</v>
      </c>
      <c r="K567" s="61">
        <f t="array" ref="K567">if(B567&gt;54, if(YEAR(A567)=2025,XLOOKUP(B567,Lookup!$F$3:$F$10,Lookup!$H$3:$H$10,,1)*G567, XLOOKUP(B567,Lookup!$F$14:$F$21,Lookup!$H$14:$H$21,,1)*G567),0)</f>
        <v>0</v>
      </c>
      <c r="L567" s="62">
        <f>IF(and(A567&lt;questions!$C$19,questions!$C$18="yes"),questions!$C$20,0)</f>
        <v>0</v>
      </c>
      <c r="M567" s="63">
        <f>(Y566+H567)*Lookup!A$26/12</f>
        <v>2557.427655</v>
      </c>
      <c r="N567" s="63">
        <f>if(B567&lt;55, (Z566+I567)*Lookup!B$26/12, (AB566+K567)*Lookup!B$26/12)</f>
        <v>4480.33885</v>
      </c>
      <c r="O567" s="63">
        <f>(AA566+J567)*Lookup!C$26/12</f>
        <v>940.3700287</v>
      </c>
      <c r="P567" s="63">
        <f t="shared" si="8"/>
        <v>7672.282965</v>
      </c>
      <c r="Q567" s="63">
        <f t="shared" si="4"/>
        <v>13441.01655</v>
      </c>
      <c r="R567" s="63">
        <f t="shared" si="5"/>
        <v>2821.110086</v>
      </c>
      <c r="S567" s="64">
        <f t="shared" si="9"/>
        <v>33.33333333</v>
      </c>
      <c r="T567" s="64">
        <f t="shared" si="10"/>
        <v>41.66666667</v>
      </c>
      <c r="U567" s="64">
        <f t="shared" si="11"/>
        <v>0</v>
      </c>
      <c r="V567" s="64">
        <f t="shared" ref="V567:X567" si="575">IF(year($A567)=year($A566), V566+S567, S567)</f>
        <v>100</v>
      </c>
      <c r="W567" s="64">
        <f t="shared" si="575"/>
        <v>125</v>
      </c>
      <c r="X567" s="64">
        <f t="shared" si="575"/>
        <v>0</v>
      </c>
      <c r="Y567" s="65">
        <f>IFS(
  B567&lt;55,
    MAX(
      Y566 + IF(MONTH(A567)=12, P567+V567, 0) + H567 - L567
      + MAX(0,
          IF(AA566 &gt;= VLOOKUP(YEAR(A567), Lookup!$Q:$R, 2),
            Z566 + IF(MONTH(A567)=12, Q567+W567, 0) + I567
              + AA566 + IF(MONTH(A567)=12, R567+X567, 0)
              - VLOOKUP(YEAR(A567), Lookup!$Q:$R, 2) + J567,
            Z566 + IF(MONTH(A567)=12, Q567+W567, 0) + I567
          ) - VLOOKUP(YEAR(A567), Lookup!$K:$M, 3)
        ),
    0),
  B567=55,
    IF(Z566&gt;=AD567,
      MAX(Y566 + IF(MONTH(A567)=12, P567+V567, 0) + H567 - L567, 0),
      MAX(MAX(0, Y566-(AD567-Z566)) + IF(MONTH(A567)=12, P567+V567, 0) + H567 - L567, 0)
    ),
  B567&gt;55,
    IF(AB566&gt;=$AH$7,
      MAX(Y566 + IF(MONTH(A567)=12, P567+V567, 0) + H567 - L567 + K567 + Z566, 0),
      MAX(Y566 + IF(MONTH(A567)=12, P567+V567, 0) + H567 - L567, 0)
    )
)</f>
        <v>1227565.274</v>
      </c>
      <c r="Z567" s="65">
        <f>IFS(
  B567&lt;55,
    MIN(
      IF(AA566 &gt;= VLOOKUP(YEAR(A567), Lookup!$Q:$R, 2),
        Z566 + IF(MONTH(A567)=12, Q567+W567, 0) + I567
          + AA566 + IF(MONTH(A567)=12, R567+X567, 0) - VLOOKUP(YEAR(A567), Lookup!$Q:$R, 2) + J567,
        Z566 + IF(MONTH(A567)=12, Q567+W567, 0) + I567
      ),
      VLOOKUP(YEAR(A567), Lookup!$K:$M, 3)
    ),
  B567=55,
    IF(Z566 &gt;= AD567, Z566 - AD567, 0),
  B567&gt;55, 0
)</f>
        <v>0</v>
      </c>
      <c r="AA567" s="65">
        <f>IFS(
  B567&lt;65,
    IF(AA566+J567 &lt; VLOOKUP(YEAR(A567), Lookup!$Q:$R, 2),
      AA566 + IF(MONTH(A567)=12, R566+X566, 0) + J567,
      MIN(
        AA566 + IF(MONTH(A567)=12, R566+X566, 0) + J567 ,
        VLOOKUP(YEAR(A567), Lookup!$Q:$R, 2)
      )
    ),
  B567&gt;=65,
    IF(AA566+J567 &lt; VLOOKUP(questions!$C$5, Lookup!$Q:$R, 2),
      AA566 + IF(MONTH(A567)=12, R566+X566, 0) + J567 ,
      MIN(
        AA566 + IF(MONTH(A567)=12, R566+X566, 0) + J567,
        VLOOKUP(questions!$C$5, Lookup!$Q:$R, 2)
      )
    )
)</f>
        <v>282111.0086</v>
      </c>
      <c r="AB567" s="65">
        <f t="shared" si="13"/>
        <v>1344101.655</v>
      </c>
      <c r="AC567" s="66">
        <f t="array" ref="AC567">IFS(B567&lt;66, XLOOKUP(year(A567),Lookup!$K$13:$K1000,Lookup!$L$13:$L1000,"missing",,1),B567&gt;65,XLOOKUP(questions!$C$5,Lookup!$K$13:$K1000,Lookup!$L$13:$L1000,"missing",,1))</f>
        <v>393675.3633</v>
      </c>
      <c r="AD567" s="66">
        <f t="array" ref="AD567">IFS(B567&lt;66, XLOOKUP(year(A567),Lookup!$K$13:$K1000,Lookup!$M$13:$M1000,"missing",,1),B567&gt;65, XLOOKUP(questions!$C$5,Lookup!$K$13:$K1000,Lookup!$M$13:$M1000,"missing",,1))</f>
        <v>787350.7266</v>
      </c>
      <c r="AE567" s="66">
        <f t="array" ref="AE567">IFS(B567&lt;66, XLOOKUP(year(A567),Lookup!$K$13:$K1000,Lookup!$N$13:$N1000,"missing",,1),B567&gt;65,XLOOKUP(questions!$C$5,Lookup!$K$13:$K1000,Lookup!$N$13:$N1000,"missing",,1))</f>
        <v>1574701.453</v>
      </c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  <c r="AQ567" s="37"/>
    </row>
    <row r="568">
      <c r="A568" s="55">
        <f t="shared" si="7"/>
        <v>63309</v>
      </c>
      <c r="B568" s="56">
        <f>round(YEARFRAC(EOMONTH(questions!$C$3, 0),A568,1),2)</f>
        <v>74.41</v>
      </c>
      <c r="C568" s="58">
        <f>IF(B568&lt;questions!$C$6,if(MONTH(A568)=1,C567*(1+questions!$C$12),C567),0)</f>
        <v>0</v>
      </c>
      <c r="D568" s="58">
        <f>IF(MONTH(A568)=12,C568*questions!$C$11,0)</f>
        <v>0</v>
      </c>
      <c r="E568" s="71">
        <f t="shared" si="2"/>
        <v>0</v>
      </c>
      <c r="F568" s="71">
        <f t="shared" si="3"/>
        <v>0</v>
      </c>
      <c r="G568" s="61">
        <f t="array" ref="G568">if(YEAR(A568)=2025,XLOOKUP(B568,Lookup!$A$3:$A$7,Lookup!$D$3:$D$7,,1)*SUM(E568:F568), XLOOKUP(B568,Lookup!$A$14:$A$18,Lookup!$D$14:$D$18,,1)*SUM(E568:F568))</f>
        <v>0</v>
      </c>
      <c r="H568" s="61">
        <f t="array" ref="H568">if(YEAR(A568)=2025,XLOOKUP(B568,Lookup!$F$3:$F$10,Lookup!$G$3:$G$10,,1)*G568, XLOOKUP(B568,Lookup!$F$14:$F$21,Lookup!$G$14:$G$21,,1)*G568)</f>
        <v>0</v>
      </c>
      <c r="I568" s="61">
        <f t="array" ref="I568">if(B568&lt;55, if(YEAR(A568)=2025,XLOOKUP(B568,Lookup!$F$3:$F$10,Lookup!$H$3:$H$10,,1)*G568, XLOOKUP(B568,Lookup!$F$14:$F$21,Lookup!$H$14:$H$21,,1)*G568),0)</f>
        <v>0</v>
      </c>
      <c r="J568" s="61">
        <f t="array" ref="J568">if(YEAR(A568)=2025,XLOOKUP(B568,Lookup!$F$3:$F$10,Lookup!$I$3:$I$10,,1)*G568, XLOOKUP(B568,Lookup!$F$14:$F$21,Lookup!$I$14:$I$21,,1)*G568)</f>
        <v>0</v>
      </c>
      <c r="K568" s="61">
        <f t="array" ref="K568">if(B568&gt;54, if(YEAR(A568)=2025,XLOOKUP(B568,Lookup!$F$3:$F$10,Lookup!$H$3:$H$10,,1)*G568, XLOOKUP(B568,Lookup!$F$14:$F$21,Lookup!$H$14:$H$21,,1)*G568),0)</f>
        <v>0</v>
      </c>
      <c r="L568" s="62">
        <f>IF(and(A568&lt;questions!$C$19,questions!$C$18="yes"),questions!$C$20,0)</f>
        <v>0</v>
      </c>
      <c r="M568" s="63">
        <f>(Y567+H568)*Lookup!A$26/12</f>
        <v>2557.427655</v>
      </c>
      <c r="N568" s="63">
        <f>if(B568&lt;55, (Z567+I568)*Lookup!B$26/12, (AB567+K568)*Lookup!B$26/12)</f>
        <v>4480.33885</v>
      </c>
      <c r="O568" s="63">
        <f>(AA567+J568)*Lookup!C$26/12</f>
        <v>940.3700287</v>
      </c>
      <c r="P568" s="63">
        <f t="shared" si="8"/>
        <v>10229.71062</v>
      </c>
      <c r="Q568" s="63">
        <f t="shared" si="4"/>
        <v>17921.3554</v>
      </c>
      <c r="R568" s="63">
        <f t="shared" si="5"/>
        <v>3761.480115</v>
      </c>
      <c r="S568" s="64">
        <f t="shared" si="9"/>
        <v>33.33333333</v>
      </c>
      <c r="T568" s="64">
        <f t="shared" si="10"/>
        <v>41.66666667</v>
      </c>
      <c r="U568" s="64">
        <f t="shared" si="11"/>
        <v>0</v>
      </c>
      <c r="V568" s="64">
        <f t="shared" ref="V568:X568" si="576">IF(year($A568)=year($A567), V567+S568, S568)</f>
        <v>133.3333333</v>
      </c>
      <c r="W568" s="64">
        <f t="shared" si="576"/>
        <v>166.6666667</v>
      </c>
      <c r="X568" s="64">
        <f t="shared" si="576"/>
        <v>0</v>
      </c>
      <c r="Y568" s="65">
        <f>IFS(
  B568&lt;55,
    MAX(
      Y567 + IF(MONTH(A568)=12, P568+V568, 0) + H568 - L568
      + MAX(0,
          IF(AA567 &gt;= VLOOKUP(YEAR(A568), Lookup!$Q:$R, 2),
            Z567 + IF(MONTH(A568)=12, Q568+W568, 0) + I568
              + AA567 + IF(MONTH(A568)=12, R568+X568, 0)
              - VLOOKUP(YEAR(A568), Lookup!$Q:$R, 2) + J568,
            Z567 + IF(MONTH(A568)=12, Q568+W568, 0) + I568
          ) - VLOOKUP(YEAR(A568), Lookup!$K:$M, 3)
        ),
    0),
  B568=55,
    IF(Z567&gt;=AD568,
      MAX(Y567 + IF(MONTH(A568)=12, P568+V568, 0) + H568 - L568, 0),
      MAX(MAX(0, Y567-(AD568-Z567)) + IF(MONTH(A568)=12, P568+V568, 0) + H568 - L568, 0)
    ),
  B568&gt;55,
    IF(AB567&gt;=$AH$7,
      MAX(Y567 + IF(MONTH(A568)=12, P568+V568, 0) + H568 - L568 + K568 + Z567, 0),
      MAX(Y567 + IF(MONTH(A568)=12, P568+V568, 0) + H568 - L568, 0)
    )
)</f>
        <v>1227565.274</v>
      </c>
      <c r="Z568" s="65">
        <f>IFS(
  B568&lt;55,
    MIN(
      IF(AA567 &gt;= VLOOKUP(YEAR(A568), Lookup!$Q:$R, 2),
        Z567 + IF(MONTH(A568)=12, Q568+W568, 0) + I568
          + AA567 + IF(MONTH(A568)=12, R568+X568, 0) - VLOOKUP(YEAR(A568), Lookup!$Q:$R, 2) + J568,
        Z567 + IF(MONTH(A568)=12, Q568+W568, 0) + I568
      ),
      VLOOKUP(YEAR(A568), Lookup!$K:$M, 3)
    ),
  B568=55,
    IF(Z567 &gt;= AD568, Z567 - AD568, 0),
  B568&gt;55, 0
)</f>
        <v>0</v>
      </c>
      <c r="AA568" s="65">
        <f>IFS(
  B568&lt;65,
    IF(AA567+J568 &lt; VLOOKUP(YEAR(A568), Lookup!$Q:$R, 2),
      AA567 + IF(MONTH(A568)=12, R567+X567, 0) + J568,
      MIN(
        AA567 + IF(MONTH(A568)=12, R567+X567, 0) + J568 ,
        VLOOKUP(YEAR(A568), Lookup!$Q:$R, 2)
      )
    ),
  B568&gt;=65,
    IF(AA567+J568 &lt; VLOOKUP(questions!$C$5, Lookup!$Q:$R, 2),
      AA567 + IF(MONTH(A568)=12, R567+X567, 0) + J568 ,
      MIN(
        AA567 + IF(MONTH(A568)=12, R567+X567, 0) + J568,
        VLOOKUP(questions!$C$5, Lookup!$Q:$R, 2)
      )
    )
)</f>
        <v>282111.0086</v>
      </c>
      <c r="AB568" s="65">
        <f t="shared" si="13"/>
        <v>1344101.655</v>
      </c>
      <c r="AC568" s="66">
        <f t="array" ref="AC568">IFS(B568&lt;66, XLOOKUP(year(A568),Lookup!$K$13:$K1000,Lookup!$L$13:$L1000,"missing",,1),B568&gt;65,XLOOKUP(questions!$C$5,Lookup!$K$13:$K1000,Lookup!$L$13:$L1000,"missing",,1))</f>
        <v>393675.3633</v>
      </c>
      <c r="AD568" s="66">
        <f t="array" ref="AD568">IFS(B568&lt;66, XLOOKUP(year(A568),Lookup!$K$13:$K1000,Lookup!$M$13:$M1000,"missing",,1),B568&gt;65, XLOOKUP(questions!$C$5,Lookup!$K$13:$K1000,Lookup!$M$13:$M1000,"missing",,1))</f>
        <v>787350.7266</v>
      </c>
      <c r="AE568" s="66">
        <f t="array" ref="AE568">IFS(B568&lt;66, XLOOKUP(year(A568),Lookup!$K$13:$K1000,Lookup!$N$13:$N1000,"missing",,1),B568&gt;65,XLOOKUP(questions!$C$5,Lookup!$K$13:$K1000,Lookup!$N$13:$N1000,"missing",,1))</f>
        <v>1574701.453</v>
      </c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  <c r="AQ568" s="37"/>
    </row>
    <row r="569">
      <c r="A569" s="55">
        <f t="shared" si="7"/>
        <v>63340</v>
      </c>
      <c r="B569" s="56">
        <f>round(YEARFRAC(EOMONTH(questions!$C$3, 0),A569,1),2)</f>
        <v>74.5</v>
      </c>
      <c r="C569" s="58">
        <f>IF(B569&lt;questions!$C$6,if(MONTH(A569)=1,C568*(1+questions!$C$12),C568),0)</f>
        <v>0</v>
      </c>
      <c r="D569" s="58">
        <f>IF(MONTH(A569)=12,C569*questions!$C$11,0)</f>
        <v>0</v>
      </c>
      <c r="E569" s="71">
        <f t="shared" si="2"/>
        <v>0</v>
      </c>
      <c r="F569" s="71">
        <f t="shared" si="3"/>
        <v>0</v>
      </c>
      <c r="G569" s="61">
        <f t="array" ref="G569">if(YEAR(A569)=2025,XLOOKUP(B569,Lookup!$A$3:$A$7,Lookup!$D$3:$D$7,,1)*SUM(E569:F569), XLOOKUP(B569,Lookup!$A$14:$A$18,Lookup!$D$14:$D$18,,1)*SUM(E569:F569))</f>
        <v>0</v>
      </c>
      <c r="H569" s="61">
        <f t="array" ref="H569">if(YEAR(A569)=2025,XLOOKUP(B569,Lookup!$F$3:$F$10,Lookup!$G$3:$G$10,,1)*G569, XLOOKUP(B569,Lookup!$F$14:$F$21,Lookup!$G$14:$G$21,,1)*G569)</f>
        <v>0</v>
      </c>
      <c r="I569" s="61">
        <f t="array" ref="I569">if(B569&lt;55, if(YEAR(A569)=2025,XLOOKUP(B569,Lookup!$F$3:$F$10,Lookup!$H$3:$H$10,,1)*G569, XLOOKUP(B569,Lookup!$F$14:$F$21,Lookup!$H$14:$H$21,,1)*G569),0)</f>
        <v>0</v>
      </c>
      <c r="J569" s="61">
        <f t="array" ref="J569">if(YEAR(A569)=2025,XLOOKUP(B569,Lookup!$F$3:$F$10,Lookup!$I$3:$I$10,,1)*G569, XLOOKUP(B569,Lookup!$F$14:$F$21,Lookup!$I$14:$I$21,,1)*G569)</f>
        <v>0</v>
      </c>
      <c r="K569" s="61">
        <f t="array" ref="K569">if(B569&gt;54, if(YEAR(A569)=2025,XLOOKUP(B569,Lookup!$F$3:$F$10,Lookup!$H$3:$H$10,,1)*G569, XLOOKUP(B569,Lookup!$F$14:$F$21,Lookup!$H$14:$H$21,,1)*G569),0)</f>
        <v>0</v>
      </c>
      <c r="L569" s="62">
        <f>IF(and(A569&lt;questions!$C$19,questions!$C$18="yes"),questions!$C$20,0)</f>
        <v>0</v>
      </c>
      <c r="M569" s="63">
        <f>(Y568+H569)*Lookup!A$26/12</f>
        <v>2557.427655</v>
      </c>
      <c r="N569" s="63">
        <f>if(B569&lt;55, (Z568+I569)*Lookup!B$26/12, (AB568+K569)*Lookup!B$26/12)</f>
        <v>4480.33885</v>
      </c>
      <c r="O569" s="63">
        <f>(AA568+J569)*Lookup!C$26/12</f>
        <v>940.3700287</v>
      </c>
      <c r="P569" s="63">
        <f t="shared" si="8"/>
        <v>12787.13828</v>
      </c>
      <c r="Q569" s="63">
        <f t="shared" si="4"/>
        <v>22401.69425</v>
      </c>
      <c r="R569" s="63">
        <f t="shared" si="5"/>
        <v>4701.850143</v>
      </c>
      <c r="S569" s="64">
        <f t="shared" si="9"/>
        <v>33.33333333</v>
      </c>
      <c r="T569" s="64">
        <f t="shared" si="10"/>
        <v>41.66666667</v>
      </c>
      <c r="U569" s="64">
        <f t="shared" si="11"/>
        <v>0</v>
      </c>
      <c r="V569" s="64">
        <f t="shared" ref="V569:X569" si="577">IF(year($A569)=year($A568), V568+S569, S569)</f>
        <v>166.6666667</v>
      </c>
      <c r="W569" s="64">
        <f t="shared" si="577"/>
        <v>208.3333333</v>
      </c>
      <c r="X569" s="64">
        <f t="shared" si="577"/>
        <v>0</v>
      </c>
      <c r="Y569" s="65">
        <f>IFS(
  B569&lt;55,
    MAX(
      Y568 + IF(MONTH(A569)=12, P569+V569, 0) + H569 - L569
      + MAX(0,
          IF(AA568 &gt;= VLOOKUP(YEAR(A569), Lookup!$Q:$R, 2),
            Z568 + IF(MONTH(A569)=12, Q569+W569, 0) + I569
              + AA568 + IF(MONTH(A569)=12, R569+X569, 0)
              - VLOOKUP(YEAR(A569), Lookup!$Q:$R, 2) + J569,
            Z568 + IF(MONTH(A569)=12, Q569+W569, 0) + I569
          ) - VLOOKUP(YEAR(A569), Lookup!$K:$M, 3)
        ),
    0),
  B569=55,
    IF(Z568&gt;=AD569,
      MAX(Y568 + IF(MONTH(A569)=12, P569+V569, 0) + H569 - L569, 0),
      MAX(MAX(0, Y568-(AD569-Z568)) + IF(MONTH(A569)=12, P569+V569, 0) + H569 - L569, 0)
    ),
  B569&gt;55,
    IF(AB568&gt;=$AH$7,
      MAX(Y568 + IF(MONTH(A569)=12, P569+V569, 0) + H569 - L569 + K569 + Z568, 0),
      MAX(Y568 + IF(MONTH(A569)=12, P569+V569, 0) + H569 - L569, 0)
    )
)</f>
        <v>1227565.274</v>
      </c>
      <c r="Z569" s="65">
        <f>IFS(
  B569&lt;55,
    MIN(
      IF(AA568 &gt;= VLOOKUP(YEAR(A569), Lookup!$Q:$R, 2),
        Z568 + IF(MONTH(A569)=12, Q569+W569, 0) + I569
          + AA568 + IF(MONTH(A569)=12, R569+X569, 0) - VLOOKUP(YEAR(A569), Lookup!$Q:$R, 2) + J569,
        Z568 + IF(MONTH(A569)=12, Q569+W569, 0) + I569
      ),
      VLOOKUP(YEAR(A569), Lookup!$K:$M, 3)
    ),
  B569=55,
    IF(Z568 &gt;= AD569, Z568 - AD569, 0),
  B569&gt;55, 0
)</f>
        <v>0</v>
      </c>
      <c r="AA569" s="65">
        <f>IFS(
  B569&lt;65,
    IF(AA568+J569 &lt; VLOOKUP(YEAR(A569), Lookup!$Q:$R, 2),
      AA568 + IF(MONTH(A569)=12, R568+X568, 0) + J569,
      MIN(
        AA568 + IF(MONTH(A569)=12, R568+X568, 0) + J569 ,
        VLOOKUP(YEAR(A569), Lookup!$Q:$R, 2)
      )
    ),
  B569&gt;=65,
    IF(AA568+J569 &lt; VLOOKUP(questions!$C$5, Lookup!$Q:$R, 2),
      AA568 + IF(MONTH(A569)=12, R568+X568, 0) + J569 ,
      MIN(
        AA568 + IF(MONTH(A569)=12, R568+X568, 0) + J569,
        VLOOKUP(questions!$C$5, Lookup!$Q:$R, 2)
      )
    )
)</f>
        <v>282111.0086</v>
      </c>
      <c r="AB569" s="65">
        <f t="shared" si="13"/>
        <v>1344101.655</v>
      </c>
      <c r="AC569" s="66">
        <f t="array" ref="AC569">IFS(B569&lt;66, XLOOKUP(year(A569),Lookup!$K$13:$K1000,Lookup!$L$13:$L1000,"missing",,1),B569&gt;65,XLOOKUP(questions!$C$5,Lookup!$K$13:$K1000,Lookup!$L$13:$L1000,"missing",,1))</f>
        <v>393675.3633</v>
      </c>
      <c r="AD569" s="66">
        <f t="array" ref="AD569">IFS(B569&lt;66, XLOOKUP(year(A569),Lookup!$K$13:$K1000,Lookup!$M$13:$M1000,"missing",,1),B569&gt;65, XLOOKUP(questions!$C$5,Lookup!$K$13:$K1000,Lookup!$M$13:$M1000,"missing",,1))</f>
        <v>787350.7266</v>
      </c>
      <c r="AE569" s="66">
        <f t="array" ref="AE569">IFS(B569&lt;66, XLOOKUP(year(A569),Lookup!$K$13:$K1000,Lookup!$N$13:$N1000,"missing",,1),B569&gt;65,XLOOKUP(questions!$C$5,Lookup!$K$13:$K1000,Lookup!$N$13:$N1000,"missing",,1))</f>
        <v>1574701.453</v>
      </c>
      <c r="AF569" s="37"/>
      <c r="AG569" s="37"/>
      <c r="AH569" s="37"/>
      <c r="AI569" s="37"/>
      <c r="AJ569" s="37"/>
      <c r="AK569" s="37"/>
      <c r="AL569" s="37"/>
      <c r="AM569" s="37"/>
      <c r="AN569" s="37"/>
      <c r="AO569" s="37"/>
      <c r="AP569" s="37"/>
      <c r="AQ569" s="37"/>
    </row>
    <row r="570">
      <c r="A570" s="55">
        <f t="shared" si="7"/>
        <v>63370</v>
      </c>
      <c r="B570" s="56">
        <f>round(YEARFRAC(EOMONTH(questions!$C$3, 0),A570,1),2)</f>
        <v>74.58</v>
      </c>
      <c r="C570" s="58">
        <f>IF(B570&lt;questions!$C$6,if(MONTH(A570)=1,C569*(1+questions!$C$12),C569),0)</f>
        <v>0</v>
      </c>
      <c r="D570" s="58">
        <f>IF(MONTH(A570)=12,C570*questions!$C$11,0)</f>
        <v>0</v>
      </c>
      <c r="E570" s="71">
        <f t="shared" si="2"/>
        <v>0</v>
      </c>
      <c r="F570" s="71">
        <f t="shared" si="3"/>
        <v>0</v>
      </c>
      <c r="G570" s="61">
        <f t="array" ref="G570">if(YEAR(A570)=2025,XLOOKUP(B570,Lookup!$A$3:$A$7,Lookup!$D$3:$D$7,,1)*SUM(E570:F570), XLOOKUP(B570,Lookup!$A$14:$A$18,Lookup!$D$14:$D$18,,1)*SUM(E570:F570))</f>
        <v>0</v>
      </c>
      <c r="H570" s="61">
        <f t="array" ref="H570">if(YEAR(A570)=2025,XLOOKUP(B570,Lookup!$F$3:$F$10,Lookup!$G$3:$G$10,,1)*G570, XLOOKUP(B570,Lookup!$F$14:$F$21,Lookup!$G$14:$G$21,,1)*G570)</f>
        <v>0</v>
      </c>
      <c r="I570" s="61">
        <f t="array" ref="I570">if(B570&lt;55, if(YEAR(A570)=2025,XLOOKUP(B570,Lookup!$F$3:$F$10,Lookup!$H$3:$H$10,,1)*G570, XLOOKUP(B570,Lookup!$F$14:$F$21,Lookup!$H$14:$H$21,,1)*G570),0)</f>
        <v>0</v>
      </c>
      <c r="J570" s="61">
        <f t="array" ref="J570">if(YEAR(A570)=2025,XLOOKUP(B570,Lookup!$F$3:$F$10,Lookup!$I$3:$I$10,,1)*G570, XLOOKUP(B570,Lookup!$F$14:$F$21,Lookup!$I$14:$I$21,,1)*G570)</f>
        <v>0</v>
      </c>
      <c r="K570" s="61">
        <f t="array" ref="K570">if(B570&gt;54, if(YEAR(A570)=2025,XLOOKUP(B570,Lookup!$F$3:$F$10,Lookup!$H$3:$H$10,,1)*G570, XLOOKUP(B570,Lookup!$F$14:$F$21,Lookup!$H$14:$H$21,,1)*G570),0)</f>
        <v>0</v>
      </c>
      <c r="L570" s="62">
        <f>IF(and(A570&lt;questions!$C$19,questions!$C$18="yes"),questions!$C$20,0)</f>
        <v>0</v>
      </c>
      <c r="M570" s="63">
        <f>(Y569+H570)*Lookup!A$26/12</f>
        <v>2557.427655</v>
      </c>
      <c r="N570" s="63">
        <f>if(B570&lt;55, (Z569+I570)*Lookup!B$26/12, (AB569+K570)*Lookup!B$26/12)</f>
        <v>4480.33885</v>
      </c>
      <c r="O570" s="63">
        <f>(AA569+J570)*Lookup!C$26/12</f>
        <v>940.3700287</v>
      </c>
      <c r="P570" s="63">
        <f t="shared" si="8"/>
        <v>15344.56593</v>
      </c>
      <c r="Q570" s="63">
        <f t="shared" si="4"/>
        <v>26882.0331</v>
      </c>
      <c r="R570" s="63">
        <f t="shared" si="5"/>
        <v>5642.220172</v>
      </c>
      <c r="S570" s="64">
        <f t="shared" si="9"/>
        <v>33.33333333</v>
      </c>
      <c r="T570" s="64">
        <f t="shared" si="10"/>
        <v>41.66666667</v>
      </c>
      <c r="U570" s="64">
        <f t="shared" si="11"/>
        <v>0</v>
      </c>
      <c r="V570" s="64">
        <f t="shared" ref="V570:X570" si="578">IF(year($A570)=year($A569), V569+S570, S570)</f>
        <v>200</v>
      </c>
      <c r="W570" s="64">
        <f t="shared" si="578"/>
        <v>250</v>
      </c>
      <c r="X570" s="64">
        <f t="shared" si="578"/>
        <v>0</v>
      </c>
      <c r="Y570" s="65">
        <f>IFS(
  B570&lt;55,
    MAX(
      Y569 + IF(MONTH(A570)=12, P570+V570, 0) + H570 - L570
      + MAX(0,
          IF(AA569 &gt;= VLOOKUP(YEAR(A570), Lookup!$Q:$R, 2),
            Z569 + IF(MONTH(A570)=12, Q570+W570, 0) + I570
              + AA569 + IF(MONTH(A570)=12, R570+X570, 0)
              - VLOOKUP(YEAR(A570), Lookup!$Q:$R, 2) + J570,
            Z569 + IF(MONTH(A570)=12, Q570+W570, 0) + I570
          ) - VLOOKUP(YEAR(A570), Lookup!$K:$M, 3)
        ),
    0),
  B570=55,
    IF(Z569&gt;=AD570,
      MAX(Y569 + IF(MONTH(A570)=12, P570+V570, 0) + H570 - L570, 0),
      MAX(MAX(0, Y569-(AD570-Z569)) + IF(MONTH(A570)=12, P570+V570, 0) + H570 - L570, 0)
    ),
  B570&gt;55,
    IF(AB569&gt;=$AH$7,
      MAX(Y569 + IF(MONTH(A570)=12, P570+V570, 0) + H570 - L570 + K570 + Z569, 0),
      MAX(Y569 + IF(MONTH(A570)=12, P570+V570, 0) + H570 - L570, 0)
    )
)</f>
        <v>1227565.274</v>
      </c>
      <c r="Z570" s="65">
        <f>IFS(
  B570&lt;55,
    MIN(
      IF(AA569 &gt;= VLOOKUP(YEAR(A570), Lookup!$Q:$R, 2),
        Z569 + IF(MONTH(A570)=12, Q570+W570, 0) + I570
          + AA569 + IF(MONTH(A570)=12, R570+X570, 0) - VLOOKUP(YEAR(A570), Lookup!$Q:$R, 2) + J570,
        Z569 + IF(MONTH(A570)=12, Q570+W570, 0) + I570
      ),
      VLOOKUP(YEAR(A570), Lookup!$K:$M, 3)
    ),
  B570=55,
    IF(Z569 &gt;= AD570, Z569 - AD570, 0),
  B570&gt;55, 0
)</f>
        <v>0</v>
      </c>
      <c r="AA570" s="65">
        <f>IFS(
  B570&lt;65,
    IF(AA569+J570 &lt; VLOOKUP(YEAR(A570), Lookup!$Q:$R, 2),
      AA569 + IF(MONTH(A570)=12, R569+X569, 0) + J570,
      MIN(
        AA569 + IF(MONTH(A570)=12, R569+X569, 0) + J570 ,
        VLOOKUP(YEAR(A570), Lookup!$Q:$R, 2)
      )
    ),
  B570&gt;=65,
    IF(AA569+J570 &lt; VLOOKUP(questions!$C$5, Lookup!$Q:$R, 2),
      AA569 + IF(MONTH(A570)=12, R569+X569, 0) + J570 ,
      MIN(
        AA569 + IF(MONTH(A570)=12, R569+X569, 0) + J570,
        VLOOKUP(questions!$C$5, Lookup!$Q:$R, 2)
      )
    )
)</f>
        <v>282111.0086</v>
      </c>
      <c r="AB570" s="65">
        <f t="shared" si="13"/>
        <v>1344101.655</v>
      </c>
      <c r="AC570" s="66">
        <f t="array" ref="AC570">IFS(B570&lt;66, XLOOKUP(year(A570),Lookup!$K$13:$K1000,Lookup!$L$13:$L1000,"missing",,1),B570&gt;65,XLOOKUP(questions!$C$5,Lookup!$K$13:$K1000,Lookup!$L$13:$L1000,"missing",,1))</f>
        <v>393675.3633</v>
      </c>
      <c r="AD570" s="66">
        <f t="array" ref="AD570">IFS(B570&lt;66, XLOOKUP(year(A570),Lookup!$K$13:$K1000,Lookup!$M$13:$M1000,"missing",,1),B570&gt;65, XLOOKUP(questions!$C$5,Lookup!$K$13:$K1000,Lookup!$M$13:$M1000,"missing",,1))</f>
        <v>787350.7266</v>
      </c>
      <c r="AE570" s="66">
        <f t="array" ref="AE570">IFS(B570&lt;66, XLOOKUP(year(A570),Lookup!$K$13:$K1000,Lookup!$N$13:$N1000,"missing",,1),B570&gt;65,XLOOKUP(questions!$C$5,Lookup!$K$13:$K1000,Lookup!$N$13:$N1000,"missing",,1))</f>
        <v>1574701.453</v>
      </c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  <c r="AQ570" s="37"/>
    </row>
    <row r="571">
      <c r="A571" s="55">
        <f t="shared" si="7"/>
        <v>63401</v>
      </c>
      <c r="B571" s="56">
        <f>round(YEARFRAC(EOMONTH(questions!$C$3, 0),A571,1),2)</f>
        <v>74.67</v>
      </c>
      <c r="C571" s="58">
        <f>IF(B571&lt;questions!$C$6,if(MONTH(A571)=1,C570*(1+questions!$C$12),C570),0)</f>
        <v>0</v>
      </c>
      <c r="D571" s="58">
        <f>IF(MONTH(A571)=12,C571*questions!$C$11,0)</f>
        <v>0</v>
      </c>
      <c r="E571" s="71">
        <f t="shared" si="2"/>
        <v>0</v>
      </c>
      <c r="F571" s="71">
        <f t="shared" si="3"/>
        <v>0</v>
      </c>
      <c r="G571" s="61">
        <f t="array" ref="G571">if(YEAR(A571)=2025,XLOOKUP(B571,Lookup!$A$3:$A$7,Lookup!$D$3:$D$7,,1)*SUM(E571:F571), XLOOKUP(B571,Lookup!$A$14:$A$18,Lookup!$D$14:$D$18,,1)*SUM(E571:F571))</f>
        <v>0</v>
      </c>
      <c r="H571" s="61">
        <f t="array" ref="H571">if(YEAR(A571)=2025,XLOOKUP(B571,Lookup!$F$3:$F$10,Lookup!$G$3:$G$10,,1)*G571, XLOOKUP(B571,Lookup!$F$14:$F$21,Lookup!$G$14:$G$21,,1)*G571)</f>
        <v>0</v>
      </c>
      <c r="I571" s="61">
        <f t="array" ref="I571">if(B571&lt;55, if(YEAR(A571)=2025,XLOOKUP(B571,Lookup!$F$3:$F$10,Lookup!$H$3:$H$10,,1)*G571, XLOOKUP(B571,Lookup!$F$14:$F$21,Lookup!$H$14:$H$21,,1)*G571),0)</f>
        <v>0</v>
      </c>
      <c r="J571" s="61">
        <f t="array" ref="J571">if(YEAR(A571)=2025,XLOOKUP(B571,Lookup!$F$3:$F$10,Lookup!$I$3:$I$10,,1)*G571, XLOOKUP(B571,Lookup!$F$14:$F$21,Lookup!$I$14:$I$21,,1)*G571)</f>
        <v>0</v>
      </c>
      <c r="K571" s="61">
        <f t="array" ref="K571">if(B571&gt;54, if(YEAR(A571)=2025,XLOOKUP(B571,Lookup!$F$3:$F$10,Lookup!$H$3:$H$10,,1)*G571, XLOOKUP(B571,Lookup!$F$14:$F$21,Lookup!$H$14:$H$21,,1)*G571),0)</f>
        <v>0</v>
      </c>
      <c r="L571" s="62">
        <f>IF(and(A571&lt;questions!$C$19,questions!$C$18="yes"),questions!$C$20,0)</f>
        <v>0</v>
      </c>
      <c r="M571" s="63">
        <f>(Y570+H571)*Lookup!A$26/12</f>
        <v>2557.427655</v>
      </c>
      <c r="N571" s="63">
        <f>if(B571&lt;55, (Z570+I571)*Lookup!B$26/12, (AB570+K571)*Lookup!B$26/12)</f>
        <v>4480.33885</v>
      </c>
      <c r="O571" s="63">
        <f>(AA570+J571)*Lookup!C$26/12</f>
        <v>940.3700287</v>
      </c>
      <c r="P571" s="63">
        <f t="shared" si="8"/>
        <v>17901.99359</v>
      </c>
      <c r="Q571" s="63">
        <f t="shared" si="4"/>
        <v>31362.37195</v>
      </c>
      <c r="R571" s="63">
        <f t="shared" si="5"/>
        <v>6582.590201</v>
      </c>
      <c r="S571" s="64">
        <f t="shared" si="9"/>
        <v>33.33333333</v>
      </c>
      <c r="T571" s="64">
        <f t="shared" si="10"/>
        <v>41.66666667</v>
      </c>
      <c r="U571" s="64">
        <f t="shared" si="11"/>
        <v>0</v>
      </c>
      <c r="V571" s="64">
        <f t="shared" ref="V571:X571" si="579">IF(year($A571)=year($A570), V570+S571, S571)</f>
        <v>233.3333333</v>
      </c>
      <c r="W571" s="64">
        <f t="shared" si="579"/>
        <v>291.6666667</v>
      </c>
      <c r="X571" s="64">
        <f t="shared" si="579"/>
        <v>0</v>
      </c>
      <c r="Y571" s="65">
        <f>IFS(
  B571&lt;55,
    MAX(
      Y570 + IF(MONTH(A571)=12, P571+V571, 0) + H571 - L571
      + MAX(0,
          IF(AA570 &gt;= VLOOKUP(YEAR(A571), Lookup!$Q:$R, 2),
            Z570 + IF(MONTH(A571)=12, Q571+W571, 0) + I571
              + AA570 + IF(MONTH(A571)=12, R571+X571, 0)
              - VLOOKUP(YEAR(A571), Lookup!$Q:$R, 2) + J571,
            Z570 + IF(MONTH(A571)=12, Q571+W571, 0) + I571
          ) - VLOOKUP(YEAR(A571), Lookup!$K:$M, 3)
        ),
    0),
  B571=55,
    IF(Z570&gt;=AD571,
      MAX(Y570 + IF(MONTH(A571)=12, P571+V571, 0) + H571 - L571, 0),
      MAX(MAX(0, Y570-(AD571-Z570)) + IF(MONTH(A571)=12, P571+V571, 0) + H571 - L571, 0)
    ),
  B571&gt;55,
    IF(AB570&gt;=$AH$7,
      MAX(Y570 + IF(MONTH(A571)=12, P571+V571, 0) + H571 - L571 + K571 + Z570, 0),
      MAX(Y570 + IF(MONTH(A571)=12, P571+V571, 0) + H571 - L571, 0)
    )
)</f>
        <v>1227565.274</v>
      </c>
      <c r="Z571" s="65">
        <f>IFS(
  B571&lt;55,
    MIN(
      IF(AA570 &gt;= VLOOKUP(YEAR(A571), Lookup!$Q:$R, 2),
        Z570 + IF(MONTH(A571)=12, Q571+W571, 0) + I571
          + AA570 + IF(MONTH(A571)=12, R571+X571, 0) - VLOOKUP(YEAR(A571), Lookup!$Q:$R, 2) + J571,
        Z570 + IF(MONTH(A571)=12, Q571+W571, 0) + I571
      ),
      VLOOKUP(YEAR(A571), Lookup!$K:$M, 3)
    ),
  B571=55,
    IF(Z570 &gt;= AD571, Z570 - AD571, 0),
  B571&gt;55, 0
)</f>
        <v>0</v>
      </c>
      <c r="AA571" s="65">
        <f>IFS(
  B571&lt;65,
    IF(AA570+J571 &lt; VLOOKUP(YEAR(A571), Lookup!$Q:$R, 2),
      AA570 + IF(MONTH(A571)=12, R570+X570, 0) + J571,
      MIN(
        AA570 + IF(MONTH(A571)=12, R570+X570, 0) + J571 ,
        VLOOKUP(YEAR(A571), Lookup!$Q:$R, 2)
      )
    ),
  B571&gt;=65,
    IF(AA570+J571 &lt; VLOOKUP(questions!$C$5, Lookup!$Q:$R, 2),
      AA570 + IF(MONTH(A571)=12, R570+X570, 0) + J571 ,
      MIN(
        AA570 + IF(MONTH(A571)=12, R570+X570, 0) + J571,
        VLOOKUP(questions!$C$5, Lookup!$Q:$R, 2)
      )
    )
)</f>
        <v>282111.0086</v>
      </c>
      <c r="AB571" s="65">
        <f t="shared" si="13"/>
        <v>1344101.655</v>
      </c>
      <c r="AC571" s="66">
        <f t="array" ref="AC571">IFS(B571&lt;66, XLOOKUP(year(A571),Lookup!$K$13:$K1000,Lookup!$L$13:$L1000,"missing",,1),B571&gt;65,XLOOKUP(questions!$C$5,Lookup!$K$13:$K1000,Lookup!$L$13:$L1000,"missing",,1))</f>
        <v>393675.3633</v>
      </c>
      <c r="AD571" s="66">
        <f t="array" ref="AD571">IFS(B571&lt;66, XLOOKUP(year(A571),Lookup!$K$13:$K1000,Lookup!$M$13:$M1000,"missing",,1),B571&gt;65, XLOOKUP(questions!$C$5,Lookup!$K$13:$K1000,Lookup!$M$13:$M1000,"missing",,1))</f>
        <v>787350.7266</v>
      </c>
      <c r="AE571" s="66">
        <f t="array" ref="AE571">IFS(B571&lt;66, XLOOKUP(year(A571),Lookup!$K$13:$K1000,Lookup!$N$13:$N1000,"missing",,1),B571&gt;65,XLOOKUP(questions!$C$5,Lookup!$K$13:$K1000,Lookup!$N$13:$N1000,"missing",,1))</f>
        <v>1574701.453</v>
      </c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  <c r="AQ571" s="37"/>
    </row>
    <row r="572">
      <c r="A572" s="55">
        <f t="shared" si="7"/>
        <v>63432</v>
      </c>
      <c r="B572" s="56">
        <f>round(YEARFRAC(EOMONTH(questions!$C$3, 0),A572,1),2)</f>
        <v>74.75</v>
      </c>
      <c r="C572" s="58">
        <f>IF(B572&lt;questions!$C$6,if(MONTH(A572)=1,C571*(1+questions!$C$12),C571),0)</f>
        <v>0</v>
      </c>
      <c r="D572" s="58">
        <f>IF(MONTH(A572)=12,C572*questions!$C$11,0)</f>
        <v>0</v>
      </c>
      <c r="E572" s="71">
        <f t="shared" si="2"/>
        <v>0</v>
      </c>
      <c r="F572" s="71">
        <f t="shared" si="3"/>
        <v>0</v>
      </c>
      <c r="G572" s="61">
        <f t="array" ref="G572">if(YEAR(A572)=2025,XLOOKUP(B572,Lookup!$A$3:$A$7,Lookup!$D$3:$D$7,,1)*SUM(E572:F572), XLOOKUP(B572,Lookup!$A$14:$A$18,Lookup!$D$14:$D$18,,1)*SUM(E572:F572))</f>
        <v>0</v>
      </c>
      <c r="H572" s="61">
        <f t="array" ref="H572">if(YEAR(A572)=2025,XLOOKUP(B572,Lookup!$F$3:$F$10,Lookup!$G$3:$G$10,,1)*G572, XLOOKUP(B572,Lookup!$F$14:$F$21,Lookup!$G$14:$G$21,,1)*G572)</f>
        <v>0</v>
      </c>
      <c r="I572" s="61">
        <f t="array" ref="I572">if(B572&lt;55, if(YEAR(A572)=2025,XLOOKUP(B572,Lookup!$F$3:$F$10,Lookup!$H$3:$H$10,,1)*G572, XLOOKUP(B572,Lookup!$F$14:$F$21,Lookup!$H$14:$H$21,,1)*G572),0)</f>
        <v>0</v>
      </c>
      <c r="J572" s="61">
        <f t="array" ref="J572">if(YEAR(A572)=2025,XLOOKUP(B572,Lookup!$F$3:$F$10,Lookup!$I$3:$I$10,,1)*G572, XLOOKUP(B572,Lookup!$F$14:$F$21,Lookup!$I$14:$I$21,,1)*G572)</f>
        <v>0</v>
      </c>
      <c r="K572" s="61">
        <f t="array" ref="K572">if(B572&gt;54, if(YEAR(A572)=2025,XLOOKUP(B572,Lookup!$F$3:$F$10,Lookup!$H$3:$H$10,,1)*G572, XLOOKUP(B572,Lookup!$F$14:$F$21,Lookup!$H$14:$H$21,,1)*G572),0)</f>
        <v>0</v>
      </c>
      <c r="L572" s="62">
        <f>IF(and(A572&lt;questions!$C$19,questions!$C$18="yes"),questions!$C$20,0)</f>
        <v>0</v>
      </c>
      <c r="M572" s="63">
        <f>(Y571+H572)*Lookup!A$26/12</f>
        <v>2557.427655</v>
      </c>
      <c r="N572" s="63">
        <f>if(B572&lt;55, (Z571+I572)*Lookup!B$26/12, (AB571+K572)*Lookup!B$26/12)</f>
        <v>4480.33885</v>
      </c>
      <c r="O572" s="63">
        <f>(AA571+J572)*Lookup!C$26/12</f>
        <v>940.3700287</v>
      </c>
      <c r="P572" s="63">
        <f t="shared" si="8"/>
        <v>20459.42124</v>
      </c>
      <c r="Q572" s="63">
        <f t="shared" si="4"/>
        <v>35842.7108</v>
      </c>
      <c r="R572" s="63">
        <f t="shared" si="5"/>
        <v>7522.960229</v>
      </c>
      <c r="S572" s="64">
        <f t="shared" si="9"/>
        <v>33.33333333</v>
      </c>
      <c r="T572" s="64">
        <f t="shared" si="10"/>
        <v>41.66666667</v>
      </c>
      <c r="U572" s="64">
        <f t="shared" si="11"/>
        <v>0</v>
      </c>
      <c r="V572" s="64">
        <f t="shared" ref="V572:X572" si="580">IF(year($A572)=year($A571), V571+S572, S572)</f>
        <v>266.6666667</v>
      </c>
      <c r="W572" s="64">
        <f t="shared" si="580"/>
        <v>333.3333333</v>
      </c>
      <c r="X572" s="64">
        <f t="shared" si="580"/>
        <v>0</v>
      </c>
      <c r="Y572" s="65">
        <f>IFS(
  B572&lt;55,
    MAX(
      Y571 + IF(MONTH(A572)=12, P572+V572, 0) + H572 - L572
      + MAX(0,
          IF(AA571 &gt;= VLOOKUP(YEAR(A572), Lookup!$Q:$R, 2),
            Z571 + IF(MONTH(A572)=12, Q572+W572, 0) + I572
              + AA571 + IF(MONTH(A572)=12, R572+X572, 0)
              - VLOOKUP(YEAR(A572), Lookup!$Q:$R, 2) + J572,
            Z571 + IF(MONTH(A572)=12, Q572+W572, 0) + I572
          ) - VLOOKUP(YEAR(A572), Lookup!$K:$M, 3)
        ),
    0),
  B572=55,
    IF(Z571&gt;=AD572,
      MAX(Y571 + IF(MONTH(A572)=12, P572+V572, 0) + H572 - L572, 0),
      MAX(MAX(0, Y571-(AD572-Z571)) + IF(MONTH(A572)=12, P572+V572, 0) + H572 - L572, 0)
    ),
  B572&gt;55,
    IF(AB571&gt;=$AH$7,
      MAX(Y571 + IF(MONTH(A572)=12, P572+V572, 0) + H572 - L572 + K572 + Z571, 0),
      MAX(Y571 + IF(MONTH(A572)=12, P572+V572, 0) + H572 - L572, 0)
    )
)</f>
        <v>1227565.274</v>
      </c>
      <c r="Z572" s="65">
        <f>IFS(
  B572&lt;55,
    MIN(
      IF(AA571 &gt;= VLOOKUP(YEAR(A572), Lookup!$Q:$R, 2),
        Z571 + IF(MONTH(A572)=12, Q572+W572, 0) + I572
          + AA571 + IF(MONTH(A572)=12, R572+X572, 0) - VLOOKUP(YEAR(A572), Lookup!$Q:$R, 2) + J572,
        Z571 + IF(MONTH(A572)=12, Q572+W572, 0) + I572
      ),
      VLOOKUP(YEAR(A572), Lookup!$K:$M, 3)
    ),
  B572=55,
    IF(Z571 &gt;= AD572, Z571 - AD572, 0),
  B572&gt;55, 0
)</f>
        <v>0</v>
      </c>
      <c r="AA572" s="65">
        <f>IFS(
  B572&lt;65,
    IF(AA571+J572 &lt; VLOOKUP(YEAR(A572), Lookup!$Q:$R, 2),
      AA571 + IF(MONTH(A572)=12, R571+X571, 0) + J572,
      MIN(
        AA571 + IF(MONTH(A572)=12, R571+X571, 0) + J572 ,
        VLOOKUP(YEAR(A572), Lookup!$Q:$R, 2)
      )
    ),
  B572&gt;=65,
    IF(AA571+J572 &lt; VLOOKUP(questions!$C$5, Lookup!$Q:$R, 2),
      AA571 + IF(MONTH(A572)=12, R571+X571, 0) + J572 ,
      MIN(
        AA571 + IF(MONTH(A572)=12, R571+X571, 0) + J572,
        VLOOKUP(questions!$C$5, Lookup!$Q:$R, 2)
      )
    )
)</f>
        <v>282111.0086</v>
      </c>
      <c r="AB572" s="65">
        <f t="shared" si="13"/>
        <v>1344101.655</v>
      </c>
      <c r="AC572" s="66">
        <f t="array" ref="AC572">IFS(B572&lt;66, XLOOKUP(year(A572),Lookup!$K$13:$K1000,Lookup!$L$13:$L1000,"missing",,1),B572&gt;65,XLOOKUP(questions!$C$5,Lookup!$K$13:$K1000,Lookup!$L$13:$L1000,"missing",,1))</f>
        <v>393675.3633</v>
      </c>
      <c r="AD572" s="66">
        <f t="array" ref="AD572">IFS(B572&lt;66, XLOOKUP(year(A572),Lookup!$K$13:$K1000,Lookup!$M$13:$M1000,"missing",,1),B572&gt;65, XLOOKUP(questions!$C$5,Lookup!$K$13:$K1000,Lookup!$M$13:$M1000,"missing",,1))</f>
        <v>787350.7266</v>
      </c>
      <c r="AE572" s="66">
        <f t="array" ref="AE572">IFS(B572&lt;66, XLOOKUP(year(A572),Lookup!$K$13:$K1000,Lookup!$N$13:$N1000,"missing",,1),B572&gt;65,XLOOKUP(questions!$C$5,Lookup!$K$13:$K1000,Lookup!$N$13:$N1000,"missing",,1))</f>
        <v>1574701.453</v>
      </c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  <c r="AQ572" s="37"/>
    </row>
    <row r="573">
      <c r="A573" s="55">
        <f t="shared" si="7"/>
        <v>63462</v>
      </c>
      <c r="B573" s="56">
        <f>round(YEARFRAC(EOMONTH(questions!$C$3, 0),A573,1),2)</f>
        <v>74.83</v>
      </c>
      <c r="C573" s="58">
        <f>IF(B573&lt;questions!$C$6,if(MONTH(A573)=1,C572*(1+questions!$C$12),C572),0)</f>
        <v>0</v>
      </c>
      <c r="D573" s="58">
        <f>IF(MONTH(A573)=12,C573*questions!$C$11,0)</f>
        <v>0</v>
      </c>
      <c r="E573" s="71">
        <f t="shared" si="2"/>
        <v>0</v>
      </c>
      <c r="F573" s="71">
        <f t="shared" si="3"/>
        <v>0</v>
      </c>
      <c r="G573" s="61">
        <f t="array" ref="G573">if(YEAR(A573)=2025,XLOOKUP(B573,Lookup!$A$3:$A$7,Lookup!$D$3:$D$7,,1)*SUM(E573:F573), XLOOKUP(B573,Lookup!$A$14:$A$18,Lookup!$D$14:$D$18,,1)*SUM(E573:F573))</f>
        <v>0</v>
      </c>
      <c r="H573" s="61">
        <f t="array" ref="H573">if(YEAR(A573)=2025,XLOOKUP(B573,Lookup!$F$3:$F$10,Lookup!$G$3:$G$10,,1)*G573, XLOOKUP(B573,Lookup!$F$14:$F$21,Lookup!$G$14:$G$21,,1)*G573)</f>
        <v>0</v>
      </c>
      <c r="I573" s="61">
        <f t="array" ref="I573">if(B573&lt;55, if(YEAR(A573)=2025,XLOOKUP(B573,Lookup!$F$3:$F$10,Lookup!$H$3:$H$10,,1)*G573, XLOOKUP(B573,Lookup!$F$14:$F$21,Lookup!$H$14:$H$21,,1)*G573),0)</f>
        <v>0</v>
      </c>
      <c r="J573" s="61">
        <f t="array" ref="J573">if(YEAR(A573)=2025,XLOOKUP(B573,Lookup!$F$3:$F$10,Lookup!$I$3:$I$10,,1)*G573, XLOOKUP(B573,Lookup!$F$14:$F$21,Lookup!$I$14:$I$21,,1)*G573)</f>
        <v>0</v>
      </c>
      <c r="K573" s="61">
        <f t="array" ref="K573">if(B573&gt;54, if(YEAR(A573)=2025,XLOOKUP(B573,Lookup!$F$3:$F$10,Lookup!$H$3:$H$10,,1)*G573, XLOOKUP(B573,Lookup!$F$14:$F$21,Lookup!$H$14:$H$21,,1)*G573),0)</f>
        <v>0</v>
      </c>
      <c r="L573" s="62">
        <f>IF(and(A573&lt;questions!$C$19,questions!$C$18="yes"),questions!$C$20,0)</f>
        <v>0</v>
      </c>
      <c r="M573" s="63">
        <f>(Y572+H573)*Lookup!A$26/12</f>
        <v>2557.427655</v>
      </c>
      <c r="N573" s="63">
        <f>if(B573&lt;55, (Z572+I573)*Lookup!B$26/12, (AB572+K573)*Lookup!B$26/12)</f>
        <v>4480.33885</v>
      </c>
      <c r="O573" s="63">
        <f>(AA572+J573)*Lookup!C$26/12</f>
        <v>940.3700287</v>
      </c>
      <c r="P573" s="63">
        <f t="shared" si="8"/>
        <v>23016.8489</v>
      </c>
      <c r="Q573" s="63">
        <f t="shared" si="4"/>
        <v>40323.04965</v>
      </c>
      <c r="R573" s="63">
        <f t="shared" si="5"/>
        <v>8463.330258</v>
      </c>
      <c r="S573" s="64">
        <f t="shared" si="9"/>
        <v>33.33333333</v>
      </c>
      <c r="T573" s="64">
        <f t="shared" si="10"/>
        <v>41.66666667</v>
      </c>
      <c r="U573" s="64">
        <f t="shared" si="11"/>
        <v>0</v>
      </c>
      <c r="V573" s="64">
        <f t="shared" ref="V573:X573" si="581">IF(year($A573)=year($A572), V572+S573, S573)</f>
        <v>300</v>
      </c>
      <c r="W573" s="64">
        <f t="shared" si="581"/>
        <v>375</v>
      </c>
      <c r="X573" s="64">
        <f t="shared" si="581"/>
        <v>0</v>
      </c>
      <c r="Y573" s="65">
        <f>IFS(
  B573&lt;55,
    MAX(
      Y572 + IF(MONTH(A573)=12, P573+V573, 0) + H573 - L573
      + MAX(0,
          IF(AA572 &gt;= VLOOKUP(YEAR(A573), Lookup!$Q:$R, 2),
            Z572 + IF(MONTH(A573)=12, Q573+W573, 0) + I573
              + AA572 + IF(MONTH(A573)=12, R573+X573, 0)
              - VLOOKUP(YEAR(A573), Lookup!$Q:$R, 2) + J573,
            Z572 + IF(MONTH(A573)=12, Q573+W573, 0) + I573
          ) - VLOOKUP(YEAR(A573), Lookup!$K:$M, 3)
        ),
    0),
  B573=55,
    IF(Z572&gt;=AD573,
      MAX(Y572 + IF(MONTH(A573)=12, P573+V573, 0) + H573 - L573, 0),
      MAX(MAX(0, Y572-(AD573-Z572)) + IF(MONTH(A573)=12, P573+V573, 0) + H573 - L573, 0)
    ),
  B573&gt;55,
    IF(AB572&gt;=$AH$7,
      MAX(Y572 + IF(MONTH(A573)=12, P573+V573, 0) + H573 - L573 + K573 + Z572, 0),
      MAX(Y572 + IF(MONTH(A573)=12, P573+V573, 0) + H573 - L573, 0)
    )
)</f>
        <v>1227565.274</v>
      </c>
      <c r="Z573" s="65">
        <f>IFS(
  B573&lt;55,
    MIN(
      IF(AA572 &gt;= VLOOKUP(YEAR(A573), Lookup!$Q:$R, 2),
        Z572 + IF(MONTH(A573)=12, Q573+W573, 0) + I573
          + AA572 + IF(MONTH(A573)=12, R573+X573, 0) - VLOOKUP(YEAR(A573), Lookup!$Q:$R, 2) + J573,
        Z572 + IF(MONTH(A573)=12, Q573+W573, 0) + I573
      ),
      VLOOKUP(YEAR(A573), Lookup!$K:$M, 3)
    ),
  B573=55,
    IF(Z572 &gt;= AD573, Z572 - AD573, 0),
  B573&gt;55, 0
)</f>
        <v>0</v>
      </c>
      <c r="AA573" s="65">
        <f>IFS(
  B573&lt;65,
    IF(AA572+J573 &lt; VLOOKUP(YEAR(A573), Lookup!$Q:$R, 2),
      AA572 + IF(MONTH(A573)=12, R572+X572, 0) + J573,
      MIN(
        AA572 + IF(MONTH(A573)=12, R572+X572, 0) + J573 ,
        VLOOKUP(YEAR(A573), Lookup!$Q:$R, 2)
      )
    ),
  B573&gt;=65,
    IF(AA572+J573 &lt; VLOOKUP(questions!$C$5, Lookup!$Q:$R, 2),
      AA572 + IF(MONTH(A573)=12, R572+X572, 0) + J573 ,
      MIN(
        AA572 + IF(MONTH(A573)=12, R572+X572, 0) + J573,
        VLOOKUP(questions!$C$5, Lookup!$Q:$R, 2)
      )
    )
)</f>
        <v>282111.0086</v>
      </c>
      <c r="AB573" s="65">
        <f t="shared" si="13"/>
        <v>1344101.655</v>
      </c>
      <c r="AC573" s="66">
        <f t="array" ref="AC573">IFS(B573&lt;66, XLOOKUP(year(A573),Lookup!$K$13:$K1000,Lookup!$L$13:$L1000,"missing",,1),B573&gt;65,XLOOKUP(questions!$C$5,Lookup!$K$13:$K1000,Lookup!$L$13:$L1000,"missing",,1))</f>
        <v>393675.3633</v>
      </c>
      <c r="AD573" s="66">
        <f t="array" ref="AD573">IFS(B573&lt;66, XLOOKUP(year(A573),Lookup!$K$13:$K1000,Lookup!$M$13:$M1000,"missing",,1),B573&gt;65, XLOOKUP(questions!$C$5,Lookup!$K$13:$K1000,Lookup!$M$13:$M1000,"missing",,1))</f>
        <v>787350.7266</v>
      </c>
      <c r="AE573" s="66">
        <f t="array" ref="AE573">IFS(B573&lt;66, XLOOKUP(year(A573),Lookup!$K$13:$K1000,Lookup!$N$13:$N1000,"missing",,1),B573&gt;65,XLOOKUP(questions!$C$5,Lookup!$K$13:$K1000,Lookup!$N$13:$N1000,"missing",,1))</f>
        <v>1574701.453</v>
      </c>
      <c r="AF573" s="37"/>
      <c r="AG573" s="37"/>
      <c r="AH573" s="37"/>
      <c r="AI573" s="37"/>
      <c r="AJ573" s="37"/>
      <c r="AK573" s="37"/>
      <c r="AL573" s="37"/>
      <c r="AM573" s="37"/>
      <c r="AN573" s="37"/>
      <c r="AO573" s="37"/>
      <c r="AP573" s="37"/>
      <c r="AQ573" s="37"/>
    </row>
    <row r="574">
      <c r="A574" s="55">
        <f t="shared" si="7"/>
        <v>63493</v>
      </c>
      <c r="B574" s="56">
        <f>round(YEARFRAC(EOMONTH(questions!$C$3, 0),A574,1),2)</f>
        <v>74.92</v>
      </c>
      <c r="C574" s="58">
        <f>IF(B574&lt;questions!$C$6,if(MONTH(A574)=1,C573*(1+questions!$C$12),C573),0)</f>
        <v>0</v>
      </c>
      <c r="D574" s="58">
        <f>IF(MONTH(A574)=12,C574*questions!$C$11,0)</f>
        <v>0</v>
      </c>
      <c r="E574" s="71">
        <f t="shared" si="2"/>
        <v>0</v>
      </c>
      <c r="F574" s="71">
        <f t="shared" si="3"/>
        <v>0</v>
      </c>
      <c r="G574" s="61">
        <f t="array" ref="G574">if(YEAR(A574)=2025,XLOOKUP(B574,Lookup!$A$3:$A$7,Lookup!$D$3:$D$7,,1)*SUM(E574:F574), XLOOKUP(B574,Lookup!$A$14:$A$18,Lookup!$D$14:$D$18,,1)*SUM(E574:F574))</f>
        <v>0</v>
      </c>
      <c r="H574" s="61">
        <f t="array" ref="H574">if(YEAR(A574)=2025,XLOOKUP(B574,Lookup!$F$3:$F$10,Lookup!$G$3:$G$10,,1)*G574, XLOOKUP(B574,Lookup!$F$14:$F$21,Lookup!$G$14:$G$21,,1)*G574)</f>
        <v>0</v>
      </c>
      <c r="I574" s="61">
        <f t="array" ref="I574">if(B574&lt;55, if(YEAR(A574)=2025,XLOOKUP(B574,Lookup!$F$3:$F$10,Lookup!$H$3:$H$10,,1)*G574, XLOOKUP(B574,Lookup!$F$14:$F$21,Lookup!$H$14:$H$21,,1)*G574),0)</f>
        <v>0</v>
      </c>
      <c r="J574" s="61">
        <f t="array" ref="J574">if(YEAR(A574)=2025,XLOOKUP(B574,Lookup!$F$3:$F$10,Lookup!$I$3:$I$10,,1)*G574, XLOOKUP(B574,Lookup!$F$14:$F$21,Lookup!$I$14:$I$21,,1)*G574)</f>
        <v>0</v>
      </c>
      <c r="K574" s="61">
        <f t="array" ref="K574">if(B574&gt;54, if(YEAR(A574)=2025,XLOOKUP(B574,Lookup!$F$3:$F$10,Lookup!$H$3:$H$10,,1)*G574, XLOOKUP(B574,Lookup!$F$14:$F$21,Lookup!$H$14:$H$21,,1)*G574),0)</f>
        <v>0</v>
      </c>
      <c r="L574" s="62">
        <f>IF(and(A574&lt;questions!$C$19,questions!$C$18="yes"),questions!$C$20,0)</f>
        <v>0</v>
      </c>
      <c r="M574" s="63">
        <f>(Y573+H574)*Lookup!A$26/12</f>
        <v>2557.427655</v>
      </c>
      <c r="N574" s="63">
        <f>if(B574&lt;55, (Z573+I574)*Lookup!B$26/12, (AB573+K574)*Lookup!B$26/12)</f>
        <v>4480.33885</v>
      </c>
      <c r="O574" s="63">
        <f>(AA573+J574)*Lookup!C$26/12</f>
        <v>940.3700287</v>
      </c>
      <c r="P574" s="63">
        <f t="shared" si="8"/>
        <v>25574.27655</v>
      </c>
      <c r="Q574" s="63">
        <f t="shared" si="4"/>
        <v>44803.3885</v>
      </c>
      <c r="R574" s="63">
        <f t="shared" si="5"/>
        <v>9403.700287</v>
      </c>
      <c r="S574" s="64">
        <f t="shared" si="9"/>
        <v>33.33333333</v>
      </c>
      <c r="T574" s="64">
        <f t="shared" si="10"/>
        <v>41.66666667</v>
      </c>
      <c r="U574" s="64">
        <f t="shared" si="11"/>
        <v>0</v>
      </c>
      <c r="V574" s="64">
        <f t="shared" ref="V574:X574" si="582">IF(year($A574)=year($A573), V573+S574, S574)</f>
        <v>333.3333333</v>
      </c>
      <c r="W574" s="64">
        <f t="shared" si="582"/>
        <v>416.6666667</v>
      </c>
      <c r="X574" s="64">
        <f t="shared" si="582"/>
        <v>0</v>
      </c>
      <c r="Y574" s="65">
        <f>IFS(
  B574&lt;55,
    MAX(
      Y573 + IF(MONTH(A574)=12, P574+V574, 0) + H574 - L574
      + MAX(0,
          IF(AA573 &gt;= VLOOKUP(YEAR(A574), Lookup!$Q:$R, 2),
            Z573 + IF(MONTH(A574)=12, Q574+W574, 0) + I574
              + AA573 + IF(MONTH(A574)=12, R574+X574, 0)
              - VLOOKUP(YEAR(A574), Lookup!$Q:$R, 2) + J574,
            Z573 + IF(MONTH(A574)=12, Q574+W574, 0) + I574
          ) - VLOOKUP(YEAR(A574), Lookup!$K:$M, 3)
        ),
    0),
  B574=55,
    IF(Z573&gt;=AD574,
      MAX(Y573 + IF(MONTH(A574)=12, P574+V574, 0) + H574 - L574, 0),
      MAX(MAX(0, Y573-(AD574-Z573)) + IF(MONTH(A574)=12, P574+V574, 0) + H574 - L574, 0)
    ),
  B574&gt;55,
    IF(AB573&gt;=$AH$7,
      MAX(Y573 + IF(MONTH(A574)=12, P574+V574, 0) + H574 - L574 + K574 + Z573, 0),
      MAX(Y573 + IF(MONTH(A574)=12, P574+V574, 0) + H574 - L574, 0)
    )
)</f>
        <v>1227565.274</v>
      </c>
      <c r="Z574" s="65">
        <f>IFS(
  B574&lt;55,
    MIN(
      IF(AA573 &gt;= VLOOKUP(YEAR(A574), Lookup!$Q:$R, 2),
        Z573 + IF(MONTH(A574)=12, Q574+W574, 0) + I574
          + AA573 + IF(MONTH(A574)=12, R574+X574, 0) - VLOOKUP(YEAR(A574), Lookup!$Q:$R, 2) + J574,
        Z573 + IF(MONTH(A574)=12, Q574+W574, 0) + I574
      ),
      VLOOKUP(YEAR(A574), Lookup!$K:$M, 3)
    ),
  B574=55,
    IF(Z573 &gt;= AD574, Z573 - AD574, 0),
  B574&gt;55, 0
)</f>
        <v>0</v>
      </c>
      <c r="AA574" s="65">
        <f>IFS(
  B574&lt;65,
    IF(AA573+J574 &lt; VLOOKUP(YEAR(A574), Lookup!$Q:$R, 2),
      AA573 + IF(MONTH(A574)=12, R573+X573, 0) + J574,
      MIN(
        AA573 + IF(MONTH(A574)=12, R573+X573, 0) + J574 ,
        VLOOKUP(YEAR(A574), Lookup!$Q:$R, 2)
      )
    ),
  B574&gt;=65,
    IF(AA573+J574 &lt; VLOOKUP(questions!$C$5, Lookup!$Q:$R, 2),
      AA573 + IF(MONTH(A574)=12, R573+X573, 0) + J574 ,
      MIN(
        AA573 + IF(MONTH(A574)=12, R573+X573, 0) + J574,
        VLOOKUP(questions!$C$5, Lookup!$Q:$R, 2)
      )
    )
)</f>
        <v>282111.0086</v>
      </c>
      <c r="AB574" s="65">
        <f t="shared" si="13"/>
        <v>1344101.655</v>
      </c>
      <c r="AC574" s="66">
        <f t="array" ref="AC574">IFS(B574&lt;66, XLOOKUP(year(A574),Lookup!$K$13:$K1000,Lookup!$L$13:$L1000,"missing",,1),B574&gt;65,XLOOKUP(questions!$C$5,Lookup!$K$13:$K1000,Lookup!$L$13:$L1000,"missing",,1))</f>
        <v>393675.3633</v>
      </c>
      <c r="AD574" s="66">
        <f t="array" ref="AD574">IFS(B574&lt;66, XLOOKUP(year(A574),Lookup!$K$13:$K1000,Lookup!$M$13:$M1000,"missing",,1),B574&gt;65, XLOOKUP(questions!$C$5,Lookup!$K$13:$K1000,Lookup!$M$13:$M1000,"missing",,1))</f>
        <v>787350.7266</v>
      </c>
      <c r="AE574" s="66">
        <f t="array" ref="AE574">IFS(B574&lt;66, XLOOKUP(year(A574),Lookup!$K$13:$K1000,Lookup!$N$13:$N1000,"missing",,1),B574&gt;65,XLOOKUP(questions!$C$5,Lookup!$K$13:$K1000,Lookup!$N$13:$N1000,"missing",,1))</f>
        <v>1574701.453</v>
      </c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7"/>
      <c r="AQ574" s="37"/>
    </row>
    <row r="575">
      <c r="A575" s="55">
        <f t="shared" si="7"/>
        <v>63523</v>
      </c>
      <c r="B575" s="56">
        <f>round(YEARFRAC(EOMONTH(questions!$C$3, 0),A575,1),2)</f>
        <v>75</v>
      </c>
      <c r="C575" s="58">
        <f>IF(B575&lt;questions!$C$6,if(MONTH(A575)=1,C574*(1+questions!$C$12),C574),0)</f>
        <v>0</v>
      </c>
      <c r="D575" s="58">
        <f>IF(MONTH(A575)=12,C575*questions!$C$11,0)</f>
        <v>0</v>
      </c>
      <c r="E575" s="71">
        <f t="shared" si="2"/>
        <v>0</v>
      </c>
      <c r="F575" s="71">
        <f t="shared" si="3"/>
        <v>0</v>
      </c>
      <c r="G575" s="61">
        <f t="array" ref="G575">if(YEAR(A575)=2025,XLOOKUP(B575,Lookup!$A$3:$A$7,Lookup!$D$3:$D$7,,1)*SUM(E575:F575), XLOOKUP(B575,Lookup!$A$14:$A$18,Lookup!$D$14:$D$18,,1)*SUM(E575:F575))</f>
        <v>0</v>
      </c>
      <c r="H575" s="61">
        <f t="array" ref="H575">if(YEAR(A575)=2025,XLOOKUP(B575,Lookup!$F$3:$F$10,Lookup!$G$3:$G$10,,1)*G575, XLOOKUP(B575,Lookup!$F$14:$F$21,Lookup!$G$14:$G$21,,1)*G575)</f>
        <v>0</v>
      </c>
      <c r="I575" s="61">
        <f t="array" ref="I575">if(B575&lt;55, if(YEAR(A575)=2025,XLOOKUP(B575,Lookup!$F$3:$F$10,Lookup!$H$3:$H$10,,1)*G575, XLOOKUP(B575,Lookup!$F$14:$F$21,Lookup!$H$14:$H$21,,1)*G575),0)</f>
        <v>0</v>
      </c>
      <c r="J575" s="61">
        <f t="array" ref="J575">if(YEAR(A575)=2025,XLOOKUP(B575,Lookup!$F$3:$F$10,Lookup!$I$3:$I$10,,1)*G575, XLOOKUP(B575,Lookup!$F$14:$F$21,Lookup!$I$14:$I$21,,1)*G575)</f>
        <v>0</v>
      </c>
      <c r="K575" s="61">
        <f t="array" ref="K575">if(B575&gt;54, if(YEAR(A575)=2025,XLOOKUP(B575,Lookup!$F$3:$F$10,Lookup!$H$3:$H$10,,1)*G575, XLOOKUP(B575,Lookup!$F$14:$F$21,Lookup!$H$14:$H$21,,1)*G575),0)</f>
        <v>0</v>
      </c>
      <c r="L575" s="62">
        <f>IF(and(A575&lt;questions!$C$19,questions!$C$18="yes"),questions!$C$20,0)</f>
        <v>0</v>
      </c>
      <c r="M575" s="63">
        <f>(Y574+H575)*Lookup!A$26/12</f>
        <v>2557.427655</v>
      </c>
      <c r="N575" s="63">
        <f>if(B575&lt;55, (Z574+I575)*Lookup!B$26/12, (AB574+K575)*Lookup!B$26/12)</f>
        <v>4480.33885</v>
      </c>
      <c r="O575" s="63">
        <f>(AA574+J575)*Lookup!C$26/12</f>
        <v>940.3700287</v>
      </c>
      <c r="P575" s="63">
        <f t="shared" si="8"/>
        <v>28131.70421</v>
      </c>
      <c r="Q575" s="63">
        <f t="shared" si="4"/>
        <v>49283.72735</v>
      </c>
      <c r="R575" s="63">
        <f t="shared" si="5"/>
        <v>10344.07032</v>
      </c>
      <c r="S575" s="64">
        <f t="shared" si="9"/>
        <v>33.33333333</v>
      </c>
      <c r="T575" s="64">
        <f t="shared" si="10"/>
        <v>41.66666667</v>
      </c>
      <c r="U575" s="64">
        <f t="shared" si="11"/>
        <v>0</v>
      </c>
      <c r="V575" s="64">
        <f t="shared" ref="V575:X575" si="583">IF(year($A575)=year($A574), V574+S575, S575)</f>
        <v>366.6666667</v>
      </c>
      <c r="W575" s="64">
        <f t="shared" si="583"/>
        <v>458.3333333</v>
      </c>
      <c r="X575" s="64">
        <f t="shared" si="583"/>
        <v>0</v>
      </c>
      <c r="Y575" s="65">
        <f>IFS(
  B575&lt;55,
    MAX(
      Y574 + IF(MONTH(A575)=12, P575+V575, 0) + H575 - L575
      + MAX(0,
          IF(AA574 &gt;= VLOOKUP(YEAR(A575), Lookup!$Q:$R, 2),
            Z574 + IF(MONTH(A575)=12, Q575+W575, 0) + I575
              + AA574 + IF(MONTH(A575)=12, R575+X575, 0)
              - VLOOKUP(YEAR(A575), Lookup!$Q:$R, 2) + J575,
            Z574 + IF(MONTH(A575)=12, Q575+W575, 0) + I575
          ) - VLOOKUP(YEAR(A575), Lookup!$K:$M, 3)
        ),
    0),
  B575=55,
    IF(Z574&gt;=AD575,
      MAX(Y574 + IF(MONTH(A575)=12, P575+V575, 0) + H575 - L575, 0),
      MAX(MAX(0, Y574-(AD575-Z574)) + IF(MONTH(A575)=12, P575+V575, 0) + H575 - L575, 0)
    ),
  B575&gt;55,
    IF(AB574&gt;=$AH$7,
      MAX(Y574 + IF(MONTH(A575)=12, P575+V575, 0) + H575 - L575 + K575 + Z574, 0),
      MAX(Y574 + IF(MONTH(A575)=12, P575+V575, 0) + H575 - L575, 0)
    )
)</f>
        <v>1227565.274</v>
      </c>
      <c r="Z575" s="65">
        <f>IFS(
  B575&lt;55,
    MIN(
      IF(AA574 &gt;= VLOOKUP(YEAR(A575), Lookup!$Q:$R, 2),
        Z574 + IF(MONTH(A575)=12, Q575+W575, 0) + I575
          + AA574 + IF(MONTH(A575)=12, R575+X575, 0) - VLOOKUP(YEAR(A575), Lookup!$Q:$R, 2) + J575,
        Z574 + IF(MONTH(A575)=12, Q575+W575, 0) + I575
      ),
      VLOOKUP(YEAR(A575), Lookup!$K:$M, 3)
    ),
  B575=55,
    IF(Z574 &gt;= AD575, Z574 - AD575, 0),
  B575&gt;55, 0
)</f>
        <v>0</v>
      </c>
      <c r="AA575" s="65">
        <f>IFS(
  B575&lt;65,
    IF(AA574+J575 &lt; VLOOKUP(YEAR(A575), Lookup!$Q:$R, 2),
      AA574 + IF(MONTH(A575)=12, R574+X574, 0) + J575,
      MIN(
        AA574 + IF(MONTH(A575)=12, R574+X574, 0) + J575 ,
        VLOOKUP(YEAR(A575), Lookup!$Q:$R, 2)
      )
    ),
  B575&gt;=65,
    IF(AA574+J575 &lt; VLOOKUP(questions!$C$5, Lookup!$Q:$R, 2),
      AA574 + IF(MONTH(A575)=12, R574+X574, 0) + J575 ,
      MIN(
        AA574 + IF(MONTH(A575)=12, R574+X574, 0) + J575,
        VLOOKUP(questions!$C$5, Lookup!$Q:$R, 2)
      )
    )
)</f>
        <v>282111.0086</v>
      </c>
      <c r="AB575" s="65">
        <f t="shared" si="13"/>
        <v>1344101.655</v>
      </c>
      <c r="AC575" s="66">
        <f t="array" ref="AC575">IFS(B575&lt;66, XLOOKUP(year(A575),Lookup!$K$13:$K1000,Lookup!$L$13:$L1000,"missing",,1),B575&gt;65,XLOOKUP(questions!$C$5,Lookup!$K$13:$K1000,Lookup!$L$13:$L1000,"missing",,1))</f>
        <v>393675.3633</v>
      </c>
      <c r="AD575" s="66">
        <f t="array" ref="AD575">IFS(B575&lt;66, XLOOKUP(year(A575),Lookup!$K$13:$K1000,Lookup!$M$13:$M1000,"missing",,1),B575&gt;65, XLOOKUP(questions!$C$5,Lookup!$K$13:$K1000,Lookup!$M$13:$M1000,"missing",,1))</f>
        <v>787350.7266</v>
      </c>
      <c r="AE575" s="66">
        <f t="array" ref="AE575">IFS(B575&lt;66, XLOOKUP(year(A575),Lookup!$K$13:$K1000,Lookup!$N$13:$N1000,"missing",,1),B575&gt;65,XLOOKUP(questions!$C$5,Lookup!$K$13:$K1000,Lookup!$N$13:$N1000,"missing",,1))</f>
        <v>1574701.453</v>
      </c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  <c r="AQ575" s="37"/>
    </row>
    <row r="576">
      <c r="A576" s="55">
        <f t="shared" si="7"/>
        <v>63554</v>
      </c>
      <c r="B576" s="56">
        <f>round(YEARFRAC(EOMONTH(questions!$C$3, 0),A576,1),2)</f>
        <v>75.08</v>
      </c>
      <c r="C576" s="58">
        <f>IF(B576&lt;questions!$C$6,if(MONTH(A576)=1,C575*(1+questions!$C$12),C575),0)</f>
        <v>0</v>
      </c>
      <c r="D576" s="58">
        <f>IF(MONTH(A576)=12,C576*questions!$C$11,0)</f>
        <v>0</v>
      </c>
      <c r="E576" s="71">
        <f t="shared" si="2"/>
        <v>0</v>
      </c>
      <c r="F576" s="71">
        <f t="shared" si="3"/>
        <v>0</v>
      </c>
      <c r="G576" s="61">
        <f t="array" ref="G576">if(YEAR(A576)=2025,XLOOKUP(B576,Lookup!$A$3:$A$7,Lookup!$D$3:$D$7,,1)*SUM(E576:F576), XLOOKUP(B576,Lookup!$A$14:$A$18,Lookup!$D$14:$D$18,,1)*SUM(E576:F576))</f>
        <v>0</v>
      </c>
      <c r="H576" s="61">
        <f t="array" ref="H576">if(YEAR(A576)=2025,XLOOKUP(B576,Lookup!$F$3:$F$10,Lookup!$G$3:$G$10,,1)*G576, XLOOKUP(B576,Lookup!$F$14:$F$21,Lookup!$G$14:$G$21,,1)*G576)</f>
        <v>0</v>
      </c>
      <c r="I576" s="61">
        <f t="array" ref="I576">if(B576&lt;55, if(YEAR(A576)=2025,XLOOKUP(B576,Lookup!$F$3:$F$10,Lookup!$H$3:$H$10,,1)*G576, XLOOKUP(B576,Lookup!$F$14:$F$21,Lookup!$H$14:$H$21,,1)*G576),0)</f>
        <v>0</v>
      </c>
      <c r="J576" s="61">
        <f t="array" ref="J576">if(YEAR(A576)=2025,XLOOKUP(B576,Lookup!$F$3:$F$10,Lookup!$I$3:$I$10,,1)*G576, XLOOKUP(B576,Lookup!$F$14:$F$21,Lookup!$I$14:$I$21,,1)*G576)</f>
        <v>0</v>
      </c>
      <c r="K576" s="61">
        <f t="array" ref="K576">if(B576&gt;54, if(YEAR(A576)=2025,XLOOKUP(B576,Lookup!$F$3:$F$10,Lookup!$H$3:$H$10,,1)*G576, XLOOKUP(B576,Lookup!$F$14:$F$21,Lookup!$H$14:$H$21,,1)*G576),0)</f>
        <v>0</v>
      </c>
      <c r="L576" s="62">
        <f>IF(and(A576&lt;questions!$C$19,questions!$C$18="yes"),questions!$C$20,0)</f>
        <v>0</v>
      </c>
      <c r="M576" s="63">
        <f>(Y575+H576)*Lookup!A$26/12</f>
        <v>2557.427655</v>
      </c>
      <c r="N576" s="63">
        <f>if(B576&lt;55, (Z575+I576)*Lookup!B$26/12, (AB575+K576)*Lookup!B$26/12)</f>
        <v>4480.33885</v>
      </c>
      <c r="O576" s="63">
        <f>(AA575+J576)*Lookup!C$26/12</f>
        <v>940.3700287</v>
      </c>
      <c r="P576" s="63">
        <f t="shared" si="8"/>
        <v>30689.13186</v>
      </c>
      <c r="Q576" s="63">
        <f t="shared" si="4"/>
        <v>53764.0662</v>
      </c>
      <c r="R576" s="63">
        <f t="shared" si="5"/>
        <v>11284.44034</v>
      </c>
      <c r="S576" s="64">
        <f t="shared" si="9"/>
        <v>33.33333333</v>
      </c>
      <c r="T576" s="64">
        <f t="shared" si="10"/>
        <v>41.66666667</v>
      </c>
      <c r="U576" s="64">
        <f t="shared" si="11"/>
        <v>0</v>
      </c>
      <c r="V576" s="64">
        <f t="shared" ref="V576:X576" si="584">IF(year($A576)=year($A575), V575+S576, S576)</f>
        <v>400</v>
      </c>
      <c r="W576" s="64">
        <f t="shared" si="584"/>
        <v>500</v>
      </c>
      <c r="X576" s="64">
        <f t="shared" si="584"/>
        <v>0</v>
      </c>
      <c r="Y576" s="65">
        <f>IFS(
  B576&lt;55,
    MAX(
      Y575 + IF(MONTH(A576)=12, P576+V576, 0) + H576 - L576
      + MAX(0,
          IF(AA575 &gt;= VLOOKUP(YEAR(A576), Lookup!$Q:$R, 2),
            Z575 + IF(MONTH(A576)=12, Q576+W576, 0) + I576
              + AA575 + IF(MONTH(A576)=12, R576+X576, 0)
              - VLOOKUP(YEAR(A576), Lookup!$Q:$R, 2) + J576,
            Z575 + IF(MONTH(A576)=12, Q576+W576, 0) + I576
          ) - VLOOKUP(YEAR(A576), Lookup!$K:$M, 3)
        ),
    0),
  B576=55,
    IF(Z575&gt;=AD576,
      MAX(Y575 + IF(MONTH(A576)=12, P576+V576, 0) + H576 - L576, 0),
      MAX(MAX(0, Y575-(AD576-Z575)) + IF(MONTH(A576)=12, P576+V576, 0) + H576 - L576, 0)
    ),
  B576&gt;55,
    IF(AB575&gt;=$AH$7,
      MAX(Y575 + IF(MONTH(A576)=12, P576+V576, 0) + H576 - L576 + K576 + Z575, 0),
      MAX(Y575 + IF(MONTH(A576)=12, P576+V576, 0) + H576 - L576, 0)
    )
)</f>
        <v>1258654.406</v>
      </c>
      <c r="Z576" s="65">
        <f>IFS(
  B576&lt;55,
    MIN(
      IF(AA575 &gt;= VLOOKUP(YEAR(A576), Lookup!$Q:$R, 2),
        Z575 + IF(MONTH(A576)=12, Q576+W576, 0) + I576
          + AA575 + IF(MONTH(A576)=12, R576+X576, 0) - VLOOKUP(YEAR(A576), Lookup!$Q:$R, 2) + J576,
        Z575 + IF(MONTH(A576)=12, Q576+W576, 0) + I576
      ),
      VLOOKUP(YEAR(A576), Lookup!$K:$M, 3)
    ),
  B576=55,
    IF(Z575 &gt;= AD576, Z575 - AD576, 0),
  B576&gt;55, 0
)</f>
        <v>0</v>
      </c>
      <c r="AA576" s="65">
        <f>IFS(
  B576&lt;65,
    IF(AA575+J576 &lt; VLOOKUP(YEAR(A576), Lookup!$Q:$R, 2),
      AA575 + IF(MONTH(A576)=12, R575+X575, 0) + J576,
      MIN(
        AA575 + IF(MONTH(A576)=12, R575+X575, 0) + J576 ,
        VLOOKUP(YEAR(A576), Lookup!$Q:$R, 2)
      )
    ),
  B576&gt;=65,
    IF(AA575+J576 &lt; VLOOKUP(questions!$C$5, Lookup!$Q:$R, 2),
      AA575 + IF(MONTH(A576)=12, R575+X575, 0) + J576 ,
      MIN(
        AA575 + IF(MONTH(A576)=12, R575+X575, 0) + J576,
        VLOOKUP(questions!$C$5, Lookup!$Q:$R, 2)
      )
    )
)</f>
        <v>282111.0086</v>
      </c>
      <c r="AB576" s="65">
        <f t="shared" si="13"/>
        <v>1398365.721</v>
      </c>
      <c r="AC576" s="66">
        <f t="array" ref="AC576">IFS(B576&lt;66, XLOOKUP(year(A576),Lookup!$K$13:$K1000,Lookup!$L$13:$L1000,"missing",,1),B576&gt;65,XLOOKUP(questions!$C$5,Lookup!$K$13:$K1000,Lookup!$L$13:$L1000,"missing",,1))</f>
        <v>393675.3633</v>
      </c>
      <c r="AD576" s="66">
        <f t="array" ref="AD576">IFS(B576&lt;66, XLOOKUP(year(A576),Lookup!$K$13:$K1000,Lookup!$M$13:$M1000,"missing",,1),B576&gt;65, XLOOKUP(questions!$C$5,Lookup!$K$13:$K1000,Lookup!$M$13:$M1000,"missing",,1))</f>
        <v>787350.7266</v>
      </c>
      <c r="AE576" s="66">
        <f t="array" ref="AE576">IFS(B576&lt;66, XLOOKUP(year(A576),Lookup!$K$13:$K1000,Lookup!$N$13:$N1000,"missing",,1),B576&gt;65,XLOOKUP(questions!$C$5,Lookup!$K$13:$K1000,Lookup!$N$13:$N1000,"missing",,1))</f>
        <v>1574701.453</v>
      </c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  <c r="AQ576" s="37"/>
    </row>
    <row r="577">
      <c r="A577" s="55">
        <f t="shared" si="7"/>
        <v>63585</v>
      </c>
      <c r="B577" s="56">
        <f>round(YEARFRAC(EOMONTH(questions!$C$3, 0),A577,1),2)</f>
        <v>75.17</v>
      </c>
      <c r="C577" s="58">
        <f>IF(B577&lt;questions!$C$6,if(MONTH(A577)=1,C576*(1+questions!$C$12),C576),0)</f>
        <v>0</v>
      </c>
      <c r="D577" s="58">
        <f>IF(MONTH(A577)=12,C577*questions!$C$11,0)</f>
        <v>0</v>
      </c>
      <c r="E577" s="71">
        <f t="shared" si="2"/>
        <v>0</v>
      </c>
      <c r="F577" s="71">
        <f t="shared" si="3"/>
        <v>0</v>
      </c>
      <c r="G577" s="61">
        <f t="array" ref="G577">if(YEAR(A577)=2025,XLOOKUP(B577,Lookup!$A$3:$A$7,Lookup!$D$3:$D$7,,1)*SUM(E577:F577), XLOOKUP(B577,Lookup!$A$14:$A$18,Lookup!$D$14:$D$18,,1)*SUM(E577:F577))</f>
        <v>0</v>
      </c>
      <c r="H577" s="61">
        <f t="array" ref="H577">if(YEAR(A577)=2025,XLOOKUP(B577,Lookup!$F$3:$F$10,Lookup!$G$3:$G$10,,1)*G577, XLOOKUP(B577,Lookup!$F$14:$F$21,Lookup!$G$14:$G$21,,1)*G577)</f>
        <v>0</v>
      </c>
      <c r="I577" s="61">
        <f t="array" ref="I577">if(B577&lt;55, if(YEAR(A577)=2025,XLOOKUP(B577,Lookup!$F$3:$F$10,Lookup!$H$3:$H$10,,1)*G577, XLOOKUP(B577,Lookup!$F$14:$F$21,Lookup!$H$14:$H$21,,1)*G577),0)</f>
        <v>0</v>
      </c>
      <c r="J577" s="61">
        <f t="array" ref="J577">if(YEAR(A577)=2025,XLOOKUP(B577,Lookup!$F$3:$F$10,Lookup!$I$3:$I$10,,1)*G577, XLOOKUP(B577,Lookup!$F$14:$F$21,Lookup!$I$14:$I$21,,1)*G577)</f>
        <v>0</v>
      </c>
      <c r="K577" s="61">
        <f t="array" ref="K577">if(B577&gt;54, if(YEAR(A577)=2025,XLOOKUP(B577,Lookup!$F$3:$F$10,Lookup!$H$3:$H$10,,1)*G577, XLOOKUP(B577,Lookup!$F$14:$F$21,Lookup!$H$14:$H$21,,1)*G577),0)</f>
        <v>0</v>
      </c>
      <c r="L577" s="62">
        <f>IF(and(A577&lt;questions!$C$19,questions!$C$18="yes"),questions!$C$20,0)</f>
        <v>0</v>
      </c>
      <c r="M577" s="63">
        <f>(Y576+H577)*Lookup!A$26/12</f>
        <v>2622.19668</v>
      </c>
      <c r="N577" s="63">
        <f>if(B577&lt;55, (Z576+I577)*Lookup!B$26/12, (AB576+K577)*Lookup!B$26/12)</f>
        <v>4661.21907</v>
      </c>
      <c r="O577" s="63">
        <f>(AA576+J577)*Lookup!C$26/12</f>
        <v>940.3700287</v>
      </c>
      <c r="P577" s="63">
        <f t="shared" si="8"/>
        <v>2622.19668</v>
      </c>
      <c r="Q577" s="63">
        <f t="shared" si="4"/>
        <v>4661.21907</v>
      </c>
      <c r="R577" s="63">
        <f t="shared" si="5"/>
        <v>940.3700287</v>
      </c>
      <c r="S577" s="64">
        <f t="shared" si="9"/>
        <v>33.33333333</v>
      </c>
      <c r="T577" s="64">
        <f t="shared" si="10"/>
        <v>41.66666667</v>
      </c>
      <c r="U577" s="64">
        <f t="shared" si="11"/>
        <v>0</v>
      </c>
      <c r="V577" s="64">
        <f t="shared" ref="V577:X577" si="585">IF(year($A577)=year($A576), V576+S577, S577)</f>
        <v>33.33333333</v>
      </c>
      <c r="W577" s="64">
        <f t="shared" si="585"/>
        <v>41.66666667</v>
      </c>
      <c r="X577" s="64">
        <f t="shared" si="585"/>
        <v>0</v>
      </c>
      <c r="Y577" s="65">
        <f>IFS(
  B577&lt;55,
    MAX(
      Y576 + IF(MONTH(A577)=12, P577+V577, 0) + H577 - L577
      + MAX(0,
          IF(AA576 &gt;= VLOOKUP(YEAR(A577), Lookup!$Q:$R, 2),
            Z576 + IF(MONTH(A577)=12, Q577+W577, 0) + I577
              + AA576 + IF(MONTH(A577)=12, R577+X577, 0)
              - VLOOKUP(YEAR(A577), Lookup!$Q:$R, 2) + J577,
            Z576 + IF(MONTH(A577)=12, Q577+W577, 0) + I577
          ) - VLOOKUP(YEAR(A577), Lookup!$K:$M, 3)
        ),
    0),
  B577=55,
    IF(Z576&gt;=AD577,
      MAX(Y576 + IF(MONTH(A577)=12, P577+V577, 0) + H577 - L577, 0),
      MAX(MAX(0, Y576-(AD577-Z576)) + IF(MONTH(A577)=12, P577+V577, 0) + H577 - L577, 0)
    ),
  B577&gt;55,
    IF(AB576&gt;=$AH$7,
      MAX(Y576 + IF(MONTH(A577)=12, P577+V577, 0) + H577 - L577 + K577 + Z576, 0),
      MAX(Y576 + IF(MONTH(A577)=12, P577+V577, 0) + H577 - L577, 0)
    )
)</f>
        <v>1258654.406</v>
      </c>
      <c r="Z577" s="65">
        <f>IFS(
  B577&lt;55,
    MIN(
      IF(AA576 &gt;= VLOOKUP(YEAR(A577), Lookup!$Q:$R, 2),
        Z576 + IF(MONTH(A577)=12, Q577+W577, 0) + I577
          + AA576 + IF(MONTH(A577)=12, R577+X577, 0) - VLOOKUP(YEAR(A577), Lookup!$Q:$R, 2) + J577,
        Z576 + IF(MONTH(A577)=12, Q577+W577, 0) + I577
      ),
      VLOOKUP(YEAR(A577), Lookup!$K:$M, 3)
    ),
  B577=55,
    IF(Z576 &gt;= AD577, Z576 - AD577, 0),
  B577&gt;55, 0
)</f>
        <v>0</v>
      </c>
      <c r="AA577" s="65">
        <f>IFS(
  B577&lt;65,
    IF(AA576+J577 &lt; VLOOKUP(YEAR(A577), Lookup!$Q:$R, 2),
      AA576 + IF(MONTH(A577)=12, R576+X576, 0) + J577,
      MIN(
        AA576 + IF(MONTH(A577)=12, R576+X576, 0) + J577 ,
        VLOOKUP(YEAR(A577), Lookup!$Q:$R, 2)
      )
    ),
  B577&gt;=65,
    IF(AA576+J577 &lt; VLOOKUP(questions!$C$5, Lookup!$Q:$R, 2),
      AA576 + IF(MONTH(A577)=12, R576+X576, 0) + J577 ,
      MIN(
        AA576 + IF(MONTH(A577)=12, R576+X576, 0) + J577,
        VLOOKUP(questions!$C$5, Lookup!$Q:$R, 2)
      )
    )
)</f>
        <v>282111.0086</v>
      </c>
      <c r="AB577" s="65">
        <f t="shared" si="13"/>
        <v>1398365.721</v>
      </c>
      <c r="AC577" s="66">
        <f t="array" ref="AC577">IFS(B577&lt;66, XLOOKUP(year(A577),Lookup!$K$13:$K1000,Lookup!$L$13:$L1000,"missing",,1),B577&gt;65,XLOOKUP(questions!$C$5,Lookup!$K$13:$K1000,Lookup!$L$13:$L1000,"missing",,1))</f>
        <v>393675.3633</v>
      </c>
      <c r="AD577" s="66">
        <f t="array" ref="AD577">IFS(B577&lt;66, XLOOKUP(year(A577),Lookup!$K$13:$K1000,Lookup!$M$13:$M1000,"missing",,1),B577&gt;65, XLOOKUP(questions!$C$5,Lookup!$K$13:$K1000,Lookup!$M$13:$M1000,"missing",,1))</f>
        <v>787350.7266</v>
      </c>
      <c r="AE577" s="66">
        <f t="array" ref="AE577">IFS(B577&lt;66, XLOOKUP(year(A577),Lookup!$K$13:$K1000,Lookup!$N$13:$N1000,"missing",,1),B577&gt;65,XLOOKUP(questions!$C$5,Lookup!$K$13:$K1000,Lookup!$N$13:$N1000,"missing",,1))</f>
        <v>1574701.453</v>
      </c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7"/>
      <c r="AQ577" s="37"/>
    </row>
    <row r="578">
      <c r="A578" s="55">
        <f t="shared" si="7"/>
        <v>63613</v>
      </c>
      <c r="B578" s="56">
        <f>round(YEARFRAC(EOMONTH(questions!$C$3, 0),A578,1),2)</f>
        <v>75.25</v>
      </c>
      <c r="C578" s="58">
        <f>IF(B578&lt;questions!$C$6,if(MONTH(A578)=1,C577*(1+questions!$C$12),C577),0)</f>
        <v>0</v>
      </c>
      <c r="D578" s="58">
        <f>IF(MONTH(A578)=12,C578*questions!$C$11,0)</f>
        <v>0</v>
      </c>
      <c r="E578" s="71">
        <f t="shared" si="2"/>
        <v>0</v>
      </c>
      <c r="F578" s="71">
        <f t="shared" si="3"/>
        <v>0</v>
      </c>
      <c r="G578" s="61">
        <f t="array" ref="G578">if(YEAR(A578)=2025,XLOOKUP(B578,Lookup!$A$3:$A$7,Lookup!$D$3:$D$7,,1)*SUM(E578:F578), XLOOKUP(B578,Lookup!$A$14:$A$18,Lookup!$D$14:$D$18,,1)*SUM(E578:F578))</f>
        <v>0</v>
      </c>
      <c r="H578" s="61">
        <f t="array" ref="H578">if(YEAR(A578)=2025,XLOOKUP(B578,Lookup!$F$3:$F$10,Lookup!$G$3:$G$10,,1)*G578, XLOOKUP(B578,Lookup!$F$14:$F$21,Lookup!$G$14:$G$21,,1)*G578)</f>
        <v>0</v>
      </c>
      <c r="I578" s="61">
        <f t="array" ref="I578">if(B578&lt;55, if(YEAR(A578)=2025,XLOOKUP(B578,Lookup!$F$3:$F$10,Lookup!$H$3:$H$10,,1)*G578, XLOOKUP(B578,Lookup!$F$14:$F$21,Lookup!$H$14:$H$21,,1)*G578),0)</f>
        <v>0</v>
      </c>
      <c r="J578" s="61">
        <f t="array" ref="J578">if(YEAR(A578)=2025,XLOOKUP(B578,Lookup!$F$3:$F$10,Lookup!$I$3:$I$10,,1)*G578, XLOOKUP(B578,Lookup!$F$14:$F$21,Lookup!$I$14:$I$21,,1)*G578)</f>
        <v>0</v>
      </c>
      <c r="K578" s="61">
        <f t="array" ref="K578">if(B578&gt;54, if(YEAR(A578)=2025,XLOOKUP(B578,Lookup!$F$3:$F$10,Lookup!$H$3:$H$10,,1)*G578, XLOOKUP(B578,Lookup!$F$14:$F$21,Lookup!$H$14:$H$21,,1)*G578),0)</f>
        <v>0</v>
      </c>
      <c r="L578" s="62">
        <f>IF(and(A578&lt;questions!$C$19,questions!$C$18="yes"),questions!$C$20,0)</f>
        <v>0</v>
      </c>
      <c r="M578" s="63">
        <f>(Y577+H578)*Lookup!A$26/12</f>
        <v>2622.19668</v>
      </c>
      <c r="N578" s="63">
        <f>if(B578&lt;55, (Z577+I578)*Lookup!B$26/12, (AB577+K578)*Lookup!B$26/12)</f>
        <v>4661.21907</v>
      </c>
      <c r="O578" s="63">
        <f>(AA577+J578)*Lookup!C$26/12</f>
        <v>940.3700287</v>
      </c>
      <c r="P578" s="63">
        <f t="shared" si="8"/>
        <v>5244.39336</v>
      </c>
      <c r="Q578" s="63">
        <f t="shared" si="4"/>
        <v>9322.438141</v>
      </c>
      <c r="R578" s="63">
        <f t="shared" si="5"/>
        <v>1880.740057</v>
      </c>
      <c r="S578" s="64">
        <f t="shared" si="9"/>
        <v>33.33333333</v>
      </c>
      <c r="T578" s="64">
        <f t="shared" si="10"/>
        <v>41.66666667</v>
      </c>
      <c r="U578" s="64">
        <f t="shared" si="11"/>
        <v>0</v>
      </c>
      <c r="V578" s="64">
        <f t="shared" ref="V578:X578" si="586">IF(year($A578)=year($A577), V577+S578, S578)</f>
        <v>66.66666667</v>
      </c>
      <c r="W578" s="64">
        <f t="shared" si="586"/>
        <v>83.33333333</v>
      </c>
      <c r="X578" s="64">
        <f t="shared" si="586"/>
        <v>0</v>
      </c>
      <c r="Y578" s="65">
        <f>IFS(
  B578&lt;55,
    MAX(
      Y577 + IF(MONTH(A578)=12, P578+V578, 0) + H578 - L578
      + MAX(0,
          IF(AA577 &gt;= VLOOKUP(YEAR(A578), Lookup!$Q:$R, 2),
            Z577 + IF(MONTH(A578)=12, Q578+W578, 0) + I578
              + AA577 + IF(MONTH(A578)=12, R578+X578, 0)
              - VLOOKUP(YEAR(A578), Lookup!$Q:$R, 2) + J578,
            Z577 + IF(MONTH(A578)=12, Q578+W578, 0) + I578
          ) - VLOOKUP(YEAR(A578), Lookup!$K:$M, 3)
        ),
    0),
  B578=55,
    IF(Z577&gt;=AD578,
      MAX(Y577 + IF(MONTH(A578)=12, P578+V578, 0) + H578 - L578, 0),
      MAX(MAX(0, Y577-(AD578-Z577)) + IF(MONTH(A578)=12, P578+V578, 0) + H578 - L578, 0)
    ),
  B578&gt;55,
    IF(AB577&gt;=$AH$7,
      MAX(Y577 + IF(MONTH(A578)=12, P578+V578, 0) + H578 - L578 + K578 + Z577, 0),
      MAX(Y577 + IF(MONTH(A578)=12, P578+V578, 0) + H578 - L578, 0)
    )
)</f>
        <v>1258654.406</v>
      </c>
      <c r="Z578" s="65">
        <f>IFS(
  B578&lt;55,
    MIN(
      IF(AA577 &gt;= VLOOKUP(YEAR(A578), Lookup!$Q:$R, 2),
        Z577 + IF(MONTH(A578)=12, Q578+W578, 0) + I578
          + AA577 + IF(MONTH(A578)=12, R578+X578, 0) - VLOOKUP(YEAR(A578), Lookup!$Q:$R, 2) + J578,
        Z577 + IF(MONTH(A578)=12, Q578+W578, 0) + I578
      ),
      VLOOKUP(YEAR(A578), Lookup!$K:$M, 3)
    ),
  B578=55,
    IF(Z577 &gt;= AD578, Z577 - AD578, 0),
  B578&gt;55, 0
)</f>
        <v>0</v>
      </c>
      <c r="AA578" s="65">
        <f>IFS(
  B578&lt;65,
    IF(AA577+J578 &lt; VLOOKUP(YEAR(A578), Lookup!$Q:$R, 2),
      AA577 + IF(MONTH(A578)=12, R577+X577, 0) + J578,
      MIN(
        AA577 + IF(MONTH(A578)=12, R577+X577, 0) + J578 ,
        VLOOKUP(YEAR(A578), Lookup!$Q:$R, 2)
      )
    ),
  B578&gt;=65,
    IF(AA577+J578 &lt; VLOOKUP(questions!$C$5, Lookup!$Q:$R, 2),
      AA577 + IF(MONTH(A578)=12, R577+X577, 0) + J578 ,
      MIN(
        AA577 + IF(MONTH(A578)=12, R577+X577, 0) + J578,
        VLOOKUP(questions!$C$5, Lookup!$Q:$R, 2)
      )
    )
)</f>
        <v>282111.0086</v>
      </c>
      <c r="AB578" s="65">
        <f t="shared" si="13"/>
        <v>1398365.721</v>
      </c>
      <c r="AC578" s="66">
        <f t="array" ref="AC578">IFS(B578&lt;66, XLOOKUP(year(A578),Lookup!$K$13:$K1000,Lookup!$L$13:$L1000,"missing",,1),B578&gt;65,XLOOKUP(questions!$C$5,Lookup!$K$13:$K1000,Lookup!$L$13:$L1000,"missing",,1))</f>
        <v>393675.3633</v>
      </c>
      <c r="AD578" s="66">
        <f t="array" ref="AD578">IFS(B578&lt;66, XLOOKUP(year(A578),Lookup!$K$13:$K1000,Lookup!$M$13:$M1000,"missing",,1),B578&gt;65, XLOOKUP(questions!$C$5,Lookup!$K$13:$K1000,Lookup!$M$13:$M1000,"missing",,1))</f>
        <v>787350.7266</v>
      </c>
      <c r="AE578" s="66">
        <f t="array" ref="AE578">IFS(B578&lt;66, XLOOKUP(year(A578),Lookup!$K$13:$K1000,Lookup!$N$13:$N1000,"missing",,1),B578&gt;65,XLOOKUP(questions!$C$5,Lookup!$K$13:$K1000,Lookup!$N$13:$N1000,"missing",,1))</f>
        <v>1574701.453</v>
      </c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  <c r="AQ578" s="37"/>
    </row>
    <row r="579">
      <c r="A579" s="55">
        <f t="shared" si="7"/>
        <v>63644</v>
      </c>
      <c r="B579" s="56">
        <f>round(YEARFRAC(EOMONTH(questions!$C$3, 0),A579,1),2)</f>
        <v>75.33</v>
      </c>
      <c r="C579" s="58">
        <f>IF(B579&lt;questions!$C$6,if(MONTH(A579)=1,C578*(1+questions!$C$12),C578),0)</f>
        <v>0</v>
      </c>
      <c r="D579" s="58">
        <f>IF(MONTH(A579)=12,C579*questions!$C$11,0)</f>
        <v>0</v>
      </c>
      <c r="E579" s="71">
        <f t="shared" si="2"/>
        <v>0</v>
      </c>
      <c r="F579" s="71">
        <f t="shared" si="3"/>
        <v>0</v>
      </c>
      <c r="G579" s="61">
        <f t="array" ref="G579">if(YEAR(A579)=2025,XLOOKUP(B579,Lookup!$A$3:$A$7,Lookup!$D$3:$D$7,,1)*SUM(E579:F579), XLOOKUP(B579,Lookup!$A$14:$A$18,Lookup!$D$14:$D$18,,1)*SUM(E579:F579))</f>
        <v>0</v>
      </c>
      <c r="H579" s="61">
        <f t="array" ref="H579">if(YEAR(A579)=2025,XLOOKUP(B579,Lookup!$F$3:$F$10,Lookup!$G$3:$G$10,,1)*G579, XLOOKUP(B579,Lookup!$F$14:$F$21,Lookup!$G$14:$G$21,,1)*G579)</f>
        <v>0</v>
      </c>
      <c r="I579" s="61">
        <f t="array" ref="I579">if(B579&lt;55, if(YEAR(A579)=2025,XLOOKUP(B579,Lookup!$F$3:$F$10,Lookup!$H$3:$H$10,,1)*G579, XLOOKUP(B579,Lookup!$F$14:$F$21,Lookup!$H$14:$H$21,,1)*G579),0)</f>
        <v>0</v>
      </c>
      <c r="J579" s="61">
        <f t="array" ref="J579">if(YEAR(A579)=2025,XLOOKUP(B579,Lookup!$F$3:$F$10,Lookup!$I$3:$I$10,,1)*G579, XLOOKUP(B579,Lookup!$F$14:$F$21,Lookup!$I$14:$I$21,,1)*G579)</f>
        <v>0</v>
      </c>
      <c r="K579" s="61">
        <f t="array" ref="K579">if(B579&gt;54, if(YEAR(A579)=2025,XLOOKUP(B579,Lookup!$F$3:$F$10,Lookup!$H$3:$H$10,,1)*G579, XLOOKUP(B579,Lookup!$F$14:$F$21,Lookup!$H$14:$H$21,,1)*G579),0)</f>
        <v>0</v>
      </c>
      <c r="L579" s="62">
        <f>IF(and(A579&lt;questions!$C$19,questions!$C$18="yes"),questions!$C$20,0)</f>
        <v>0</v>
      </c>
      <c r="M579" s="63">
        <f>(Y578+H579)*Lookup!A$26/12</f>
        <v>2622.19668</v>
      </c>
      <c r="N579" s="63">
        <f>if(B579&lt;55, (Z578+I579)*Lookup!B$26/12, (AB578+K579)*Lookup!B$26/12)</f>
        <v>4661.21907</v>
      </c>
      <c r="O579" s="63">
        <f>(AA578+J579)*Lookup!C$26/12</f>
        <v>940.3700287</v>
      </c>
      <c r="P579" s="63">
        <f t="shared" si="8"/>
        <v>7866.59004</v>
      </c>
      <c r="Q579" s="63">
        <f t="shared" si="4"/>
        <v>13983.65721</v>
      </c>
      <c r="R579" s="63">
        <f t="shared" si="5"/>
        <v>2821.110086</v>
      </c>
      <c r="S579" s="64">
        <f t="shared" si="9"/>
        <v>33.33333333</v>
      </c>
      <c r="T579" s="64">
        <f t="shared" si="10"/>
        <v>41.66666667</v>
      </c>
      <c r="U579" s="64">
        <f t="shared" si="11"/>
        <v>0</v>
      </c>
      <c r="V579" s="64">
        <f t="shared" ref="V579:X579" si="587">IF(year($A579)=year($A578), V578+S579, S579)</f>
        <v>100</v>
      </c>
      <c r="W579" s="64">
        <f t="shared" si="587"/>
        <v>125</v>
      </c>
      <c r="X579" s="64">
        <f t="shared" si="587"/>
        <v>0</v>
      </c>
      <c r="Y579" s="65">
        <f>IFS(
  B579&lt;55,
    MAX(
      Y578 + IF(MONTH(A579)=12, P579+V579, 0) + H579 - L579
      + MAX(0,
          IF(AA578 &gt;= VLOOKUP(YEAR(A579), Lookup!$Q:$R, 2),
            Z578 + IF(MONTH(A579)=12, Q579+W579, 0) + I579
              + AA578 + IF(MONTH(A579)=12, R579+X579, 0)
              - VLOOKUP(YEAR(A579), Lookup!$Q:$R, 2) + J579,
            Z578 + IF(MONTH(A579)=12, Q579+W579, 0) + I579
          ) - VLOOKUP(YEAR(A579), Lookup!$K:$M, 3)
        ),
    0),
  B579=55,
    IF(Z578&gt;=AD579,
      MAX(Y578 + IF(MONTH(A579)=12, P579+V579, 0) + H579 - L579, 0),
      MAX(MAX(0, Y578-(AD579-Z578)) + IF(MONTH(A579)=12, P579+V579, 0) + H579 - L579, 0)
    ),
  B579&gt;55,
    IF(AB578&gt;=$AH$7,
      MAX(Y578 + IF(MONTH(A579)=12, P579+V579, 0) + H579 - L579 + K579 + Z578, 0),
      MAX(Y578 + IF(MONTH(A579)=12, P579+V579, 0) + H579 - L579, 0)
    )
)</f>
        <v>1258654.406</v>
      </c>
      <c r="Z579" s="65">
        <f>IFS(
  B579&lt;55,
    MIN(
      IF(AA578 &gt;= VLOOKUP(YEAR(A579), Lookup!$Q:$R, 2),
        Z578 + IF(MONTH(A579)=12, Q579+W579, 0) + I579
          + AA578 + IF(MONTH(A579)=12, R579+X579, 0) - VLOOKUP(YEAR(A579), Lookup!$Q:$R, 2) + J579,
        Z578 + IF(MONTH(A579)=12, Q579+W579, 0) + I579
      ),
      VLOOKUP(YEAR(A579), Lookup!$K:$M, 3)
    ),
  B579=55,
    IF(Z578 &gt;= AD579, Z578 - AD579, 0),
  B579&gt;55, 0
)</f>
        <v>0</v>
      </c>
      <c r="AA579" s="65">
        <f>IFS(
  B579&lt;65,
    IF(AA578+J579 &lt; VLOOKUP(YEAR(A579), Lookup!$Q:$R, 2),
      AA578 + IF(MONTH(A579)=12, R578+X578, 0) + J579,
      MIN(
        AA578 + IF(MONTH(A579)=12, R578+X578, 0) + J579 ,
        VLOOKUP(YEAR(A579), Lookup!$Q:$R, 2)
      )
    ),
  B579&gt;=65,
    IF(AA578+J579 &lt; VLOOKUP(questions!$C$5, Lookup!$Q:$R, 2),
      AA578 + IF(MONTH(A579)=12, R578+X578, 0) + J579 ,
      MIN(
        AA578 + IF(MONTH(A579)=12, R578+X578, 0) + J579,
        VLOOKUP(questions!$C$5, Lookup!$Q:$R, 2)
      )
    )
)</f>
        <v>282111.0086</v>
      </c>
      <c r="AB579" s="65">
        <f t="shared" si="13"/>
        <v>1398365.721</v>
      </c>
      <c r="AC579" s="66">
        <f t="array" ref="AC579">IFS(B579&lt;66, XLOOKUP(year(A579),Lookup!$K$13:$K1000,Lookup!$L$13:$L1000,"missing",,1),B579&gt;65,XLOOKUP(questions!$C$5,Lookup!$K$13:$K1000,Lookup!$L$13:$L1000,"missing",,1))</f>
        <v>393675.3633</v>
      </c>
      <c r="AD579" s="66">
        <f t="array" ref="AD579">IFS(B579&lt;66, XLOOKUP(year(A579),Lookup!$K$13:$K1000,Lookup!$M$13:$M1000,"missing",,1),B579&gt;65, XLOOKUP(questions!$C$5,Lookup!$K$13:$K1000,Lookup!$M$13:$M1000,"missing",,1))</f>
        <v>787350.7266</v>
      </c>
      <c r="AE579" s="66">
        <f t="array" ref="AE579">IFS(B579&lt;66, XLOOKUP(year(A579),Lookup!$K$13:$K1000,Lookup!$N$13:$N1000,"missing",,1),B579&gt;65,XLOOKUP(questions!$C$5,Lookup!$K$13:$K1000,Lookup!$N$13:$N1000,"missing",,1))</f>
        <v>1574701.453</v>
      </c>
      <c r="AF579" s="37"/>
      <c r="AG579" s="37"/>
      <c r="AH579" s="37"/>
      <c r="AI579" s="37"/>
      <c r="AJ579" s="37"/>
      <c r="AK579" s="37"/>
      <c r="AL579" s="37"/>
      <c r="AM579" s="37"/>
      <c r="AN579" s="37"/>
      <c r="AO579" s="37"/>
      <c r="AP579" s="37"/>
      <c r="AQ579" s="37"/>
    </row>
    <row r="580">
      <c r="A580" s="55">
        <f t="shared" si="7"/>
        <v>63674</v>
      </c>
      <c r="B580" s="56">
        <f>round(YEARFRAC(EOMONTH(questions!$C$3, 0),A580,1),2)</f>
        <v>75.41</v>
      </c>
      <c r="C580" s="58">
        <f>IF(B580&lt;questions!$C$6,if(MONTH(A580)=1,C579*(1+questions!$C$12),C579),0)</f>
        <v>0</v>
      </c>
      <c r="D580" s="58">
        <f>IF(MONTH(A580)=12,C580*questions!$C$11,0)</f>
        <v>0</v>
      </c>
      <c r="E580" s="71">
        <f t="shared" si="2"/>
        <v>0</v>
      </c>
      <c r="F580" s="71">
        <f t="shared" si="3"/>
        <v>0</v>
      </c>
      <c r="G580" s="61">
        <f t="array" ref="G580">if(YEAR(A580)=2025,XLOOKUP(B580,Lookup!$A$3:$A$7,Lookup!$D$3:$D$7,,1)*SUM(E580:F580), XLOOKUP(B580,Lookup!$A$14:$A$18,Lookup!$D$14:$D$18,,1)*SUM(E580:F580))</f>
        <v>0</v>
      </c>
      <c r="H580" s="61">
        <f t="array" ref="H580">if(YEAR(A580)=2025,XLOOKUP(B580,Lookup!$F$3:$F$10,Lookup!$G$3:$G$10,,1)*G580, XLOOKUP(B580,Lookup!$F$14:$F$21,Lookup!$G$14:$G$21,,1)*G580)</f>
        <v>0</v>
      </c>
      <c r="I580" s="61">
        <f t="array" ref="I580">if(B580&lt;55, if(YEAR(A580)=2025,XLOOKUP(B580,Lookup!$F$3:$F$10,Lookup!$H$3:$H$10,,1)*G580, XLOOKUP(B580,Lookup!$F$14:$F$21,Lookup!$H$14:$H$21,,1)*G580),0)</f>
        <v>0</v>
      </c>
      <c r="J580" s="61">
        <f t="array" ref="J580">if(YEAR(A580)=2025,XLOOKUP(B580,Lookup!$F$3:$F$10,Lookup!$I$3:$I$10,,1)*G580, XLOOKUP(B580,Lookup!$F$14:$F$21,Lookup!$I$14:$I$21,,1)*G580)</f>
        <v>0</v>
      </c>
      <c r="K580" s="61">
        <f t="array" ref="K580">if(B580&gt;54, if(YEAR(A580)=2025,XLOOKUP(B580,Lookup!$F$3:$F$10,Lookup!$H$3:$H$10,,1)*G580, XLOOKUP(B580,Lookup!$F$14:$F$21,Lookup!$H$14:$H$21,,1)*G580),0)</f>
        <v>0</v>
      </c>
      <c r="L580" s="62">
        <f>IF(and(A580&lt;questions!$C$19,questions!$C$18="yes"),questions!$C$20,0)</f>
        <v>0</v>
      </c>
      <c r="M580" s="63">
        <f>(Y579+H580)*Lookup!A$26/12</f>
        <v>2622.19668</v>
      </c>
      <c r="N580" s="63">
        <f>if(B580&lt;55, (Z579+I580)*Lookup!B$26/12, (AB579+K580)*Lookup!B$26/12)</f>
        <v>4661.21907</v>
      </c>
      <c r="O580" s="63">
        <f>(AA579+J580)*Lookup!C$26/12</f>
        <v>940.3700287</v>
      </c>
      <c r="P580" s="63">
        <f t="shared" si="8"/>
        <v>10488.78672</v>
      </c>
      <c r="Q580" s="63">
        <f t="shared" si="4"/>
        <v>18644.87628</v>
      </c>
      <c r="R580" s="63">
        <f t="shared" si="5"/>
        <v>3761.480115</v>
      </c>
      <c r="S580" s="64">
        <f t="shared" si="9"/>
        <v>33.33333333</v>
      </c>
      <c r="T580" s="64">
        <f t="shared" si="10"/>
        <v>41.66666667</v>
      </c>
      <c r="U580" s="64">
        <f t="shared" si="11"/>
        <v>0</v>
      </c>
      <c r="V580" s="64">
        <f t="shared" ref="V580:X580" si="588">IF(year($A580)=year($A579), V579+S580, S580)</f>
        <v>133.3333333</v>
      </c>
      <c r="W580" s="64">
        <f t="shared" si="588"/>
        <v>166.6666667</v>
      </c>
      <c r="X580" s="64">
        <f t="shared" si="588"/>
        <v>0</v>
      </c>
      <c r="Y580" s="65">
        <f>IFS(
  B580&lt;55,
    MAX(
      Y579 + IF(MONTH(A580)=12, P580+V580, 0) + H580 - L580
      + MAX(0,
          IF(AA579 &gt;= VLOOKUP(YEAR(A580), Lookup!$Q:$R, 2),
            Z579 + IF(MONTH(A580)=12, Q580+W580, 0) + I580
              + AA579 + IF(MONTH(A580)=12, R580+X580, 0)
              - VLOOKUP(YEAR(A580), Lookup!$Q:$R, 2) + J580,
            Z579 + IF(MONTH(A580)=12, Q580+W580, 0) + I580
          ) - VLOOKUP(YEAR(A580), Lookup!$K:$M, 3)
        ),
    0),
  B580=55,
    IF(Z579&gt;=AD580,
      MAX(Y579 + IF(MONTH(A580)=12, P580+V580, 0) + H580 - L580, 0),
      MAX(MAX(0, Y579-(AD580-Z579)) + IF(MONTH(A580)=12, P580+V580, 0) + H580 - L580, 0)
    ),
  B580&gt;55,
    IF(AB579&gt;=$AH$7,
      MAX(Y579 + IF(MONTH(A580)=12, P580+V580, 0) + H580 - L580 + K580 + Z579, 0),
      MAX(Y579 + IF(MONTH(A580)=12, P580+V580, 0) + H580 - L580, 0)
    )
)</f>
        <v>1258654.406</v>
      </c>
      <c r="Z580" s="65">
        <f>IFS(
  B580&lt;55,
    MIN(
      IF(AA579 &gt;= VLOOKUP(YEAR(A580), Lookup!$Q:$R, 2),
        Z579 + IF(MONTH(A580)=12, Q580+W580, 0) + I580
          + AA579 + IF(MONTH(A580)=12, R580+X580, 0) - VLOOKUP(YEAR(A580), Lookup!$Q:$R, 2) + J580,
        Z579 + IF(MONTH(A580)=12, Q580+W580, 0) + I580
      ),
      VLOOKUP(YEAR(A580), Lookup!$K:$M, 3)
    ),
  B580=55,
    IF(Z579 &gt;= AD580, Z579 - AD580, 0),
  B580&gt;55, 0
)</f>
        <v>0</v>
      </c>
      <c r="AA580" s="65">
        <f>IFS(
  B580&lt;65,
    IF(AA579+J580 &lt; VLOOKUP(YEAR(A580), Lookup!$Q:$R, 2),
      AA579 + IF(MONTH(A580)=12, R579+X579, 0) + J580,
      MIN(
        AA579 + IF(MONTH(A580)=12, R579+X579, 0) + J580 ,
        VLOOKUP(YEAR(A580), Lookup!$Q:$R, 2)
      )
    ),
  B580&gt;=65,
    IF(AA579+J580 &lt; VLOOKUP(questions!$C$5, Lookup!$Q:$R, 2),
      AA579 + IF(MONTH(A580)=12, R579+X579, 0) + J580 ,
      MIN(
        AA579 + IF(MONTH(A580)=12, R579+X579, 0) + J580,
        VLOOKUP(questions!$C$5, Lookup!$Q:$R, 2)
      )
    )
)</f>
        <v>282111.0086</v>
      </c>
      <c r="AB580" s="65">
        <f t="shared" si="13"/>
        <v>1398365.721</v>
      </c>
      <c r="AC580" s="66">
        <f t="array" ref="AC580">IFS(B580&lt;66, XLOOKUP(year(A580),Lookup!$K$13:$K1000,Lookup!$L$13:$L1000,"missing",,1),B580&gt;65,XLOOKUP(questions!$C$5,Lookup!$K$13:$K1000,Lookup!$L$13:$L1000,"missing",,1))</f>
        <v>393675.3633</v>
      </c>
      <c r="AD580" s="66">
        <f t="array" ref="AD580">IFS(B580&lt;66, XLOOKUP(year(A580),Lookup!$K$13:$K1000,Lookup!$M$13:$M1000,"missing",,1),B580&gt;65, XLOOKUP(questions!$C$5,Lookup!$K$13:$K1000,Lookup!$M$13:$M1000,"missing",,1))</f>
        <v>787350.7266</v>
      </c>
      <c r="AE580" s="66">
        <f t="array" ref="AE580">IFS(B580&lt;66, XLOOKUP(year(A580),Lookup!$K$13:$K1000,Lookup!$N$13:$N1000,"missing",,1),B580&gt;65,XLOOKUP(questions!$C$5,Lookup!$K$13:$K1000,Lookup!$N$13:$N1000,"missing",,1))</f>
        <v>1574701.453</v>
      </c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7"/>
      <c r="AQ580" s="37"/>
    </row>
    <row r="581">
      <c r="A581" s="55">
        <f t="shared" si="7"/>
        <v>63705</v>
      </c>
      <c r="B581" s="56">
        <f>round(YEARFRAC(EOMONTH(questions!$C$3, 0),A581,1),2)</f>
        <v>75.5</v>
      </c>
      <c r="C581" s="58">
        <f>IF(B581&lt;questions!$C$6,if(MONTH(A581)=1,C580*(1+questions!$C$12),C580),0)</f>
        <v>0</v>
      </c>
      <c r="D581" s="58">
        <f>IF(MONTH(A581)=12,C581*questions!$C$11,0)</f>
        <v>0</v>
      </c>
      <c r="E581" s="71">
        <f t="shared" si="2"/>
        <v>0</v>
      </c>
      <c r="F581" s="71">
        <f t="shared" si="3"/>
        <v>0</v>
      </c>
      <c r="G581" s="61">
        <f t="array" ref="G581">if(YEAR(A581)=2025,XLOOKUP(B581,Lookup!$A$3:$A$7,Lookup!$D$3:$D$7,,1)*SUM(E581:F581), XLOOKUP(B581,Lookup!$A$14:$A$18,Lookup!$D$14:$D$18,,1)*SUM(E581:F581))</f>
        <v>0</v>
      </c>
      <c r="H581" s="61">
        <f t="array" ref="H581">if(YEAR(A581)=2025,XLOOKUP(B581,Lookup!$F$3:$F$10,Lookup!$G$3:$G$10,,1)*G581, XLOOKUP(B581,Lookup!$F$14:$F$21,Lookup!$G$14:$G$21,,1)*G581)</f>
        <v>0</v>
      </c>
      <c r="I581" s="61">
        <f t="array" ref="I581">if(B581&lt;55, if(YEAR(A581)=2025,XLOOKUP(B581,Lookup!$F$3:$F$10,Lookup!$H$3:$H$10,,1)*G581, XLOOKUP(B581,Lookup!$F$14:$F$21,Lookup!$H$14:$H$21,,1)*G581),0)</f>
        <v>0</v>
      </c>
      <c r="J581" s="61">
        <f t="array" ref="J581">if(YEAR(A581)=2025,XLOOKUP(B581,Lookup!$F$3:$F$10,Lookup!$I$3:$I$10,,1)*G581, XLOOKUP(B581,Lookup!$F$14:$F$21,Lookup!$I$14:$I$21,,1)*G581)</f>
        <v>0</v>
      </c>
      <c r="K581" s="61">
        <f t="array" ref="K581">if(B581&gt;54, if(YEAR(A581)=2025,XLOOKUP(B581,Lookup!$F$3:$F$10,Lookup!$H$3:$H$10,,1)*G581, XLOOKUP(B581,Lookup!$F$14:$F$21,Lookup!$H$14:$H$21,,1)*G581),0)</f>
        <v>0</v>
      </c>
      <c r="L581" s="62">
        <f>IF(and(A581&lt;questions!$C$19,questions!$C$18="yes"),questions!$C$20,0)</f>
        <v>0</v>
      </c>
      <c r="M581" s="63">
        <f>(Y580+H581)*Lookup!A$26/12</f>
        <v>2622.19668</v>
      </c>
      <c r="N581" s="63">
        <f>if(B581&lt;55, (Z580+I581)*Lookup!B$26/12, (AB580+K581)*Lookup!B$26/12)</f>
        <v>4661.21907</v>
      </c>
      <c r="O581" s="63">
        <f>(AA580+J581)*Lookup!C$26/12</f>
        <v>940.3700287</v>
      </c>
      <c r="P581" s="63">
        <f t="shared" si="8"/>
        <v>13110.9834</v>
      </c>
      <c r="Q581" s="63">
        <f t="shared" si="4"/>
        <v>23306.09535</v>
      </c>
      <c r="R581" s="63">
        <f t="shared" si="5"/>
        <v>4701.850143</v>
      </c>
      <c r="S581" s="64">
        <f t="shared" si="9"/>
        <v>33.33333333</v>
      </c>
      <c r="T581" s="64">
        <f t="shared" si="10"/>
        <v>41.66666667</v>
      </c>
      <c r="U581" s="64">
        <f t="shared" si="11"/>
        <v>0</v>
      </c>
      <c r="V581" s="64">
        <f t="shared" ref="V581:X581" si="589">IF(year($A581)=year($A580), V580+S581, S581)</f>
        <v>166.6666667</v>
      </c>
      <c r="W581" s="64">
        <f t="shared" si="589"/>
        <v>208.3333333</v>
      </c>
      <c r="X581" s="64">
        <f t="shared" si="589"/>
        <v>0</v>
      </c>
      <c r="Y581" s="65">
        <f>IFS(
  B581&lt;55,
    MAX(
      Y580 + IF(MONTH(A581)=12, P581+V581, 0) + H581 - L581
      + MAX(0,
          IF(AA580 &gt;= VLOOKUP(YEAR(A581), Lookup!$Q:$R, 2),
            Z580 + IF(MONTH(A581)=12, Q581+W581, 0) + I581
              + AA580 + IF(MONTH(A581)=12, R581+X581, 0)
              - VLOOKUP(YEAR(A581), Lookup!$Q:$R, 2) + J581,
            Z580 + IF(MONTH(A581)=12, Q581+W581, 0) + I581
          ) - VLOOKUP(YEAR(A581), Lookup!$K:$M, 3)
        ),
    0),
  B581=55,
    IF(Z580&gt;=AD581,
      MAX(Y580 + IF(MONTH(A581)=12, P581+V581, 0) + H581 - L581, 0),
      MAX(MAX(0, Y580-(AD581-Z580)) + IF(MONTH(A581)=12, P581+V581, 0) + H581 - L581, 0)
    ),
  B581&gt;55,
    IF(AB580&gt;=$AH$7,
      MAX(Y580 + IF(MONTH(A581)=12, P581+V581, 0) + H581 - L581 + K581 + Z580, 0),
      MAX(Y580 + IF(MONTH(A581)=12, P581+V581, 0) + H581 - L581, 0)
    )
)</f>
        <v>1258654.406</v>
      </c>
      <c r="Z581" s="65">
        <f>IFS(
  B581&lt;55,
    MIN(
      IF(AA580 &gt;= VLOOKUP(YEAR(A581), Lookup!$Q:$R, 2),
        Z580 + IF(MONTH(A581)=12, Q581+W581, 0) + I581
          + AA580 + IF(MONTH(A581)=12, R581+X581, 0) - VLOOKUP(YEAR(A581), Lookup!$Q:$R, 2) + J581,
        Z580 + IF(MONTH(A581)=12, Q581+W581, 0) + I581
      ),
      VLOOKUP(YEAR(A581), Lookup!$K:$M, 3)
    ),
  B581=55,
    IF(Z580 &gt;= AD581, Z580 - AD581, 0),
  B581&gt;55, 0
)</f>
        <v>0</v>
      </c>
      <c r="AA581" s="65">
        <f>IFS(
  B581&lt;65,
    IF(AA580+J581 &lt; VLOOKUP(YEAR(A581), Lookup!$Q:$R, 2),
      AA580 + IF(MONTH(A581)=12, R580+X580, 0) + J581,
      MIN(
        AA580 + IF(MONTH(A581)=12, R580+X580, 0) + J581 ,
        VLOOKUP(YEAR(A581), Lookup!$Q:$R, 2)
      )
    ),
  B581&gt;=65,
    IF(AA580+J581 &lt; VLOOKUP(questions!$C$5, Lookup!$Q:$R, 2),
      AA580 + IF(MONTH(A581)=12, R580+X580, 0) + J581 ,
      MIN(
        AA580 + IF(MONTH(A581)=12, R580+X580, 0) + J581,
        VLOOKUP(questions!$C$5, Lookup!$Q:$R, 2)
      )
    )
)</f>
        <v>282111.0086</v>
      </c>
      <c r="AB581" s="65">
        <f t="shared" si="13"/>
        <v>1398365.721</v>
      </c>
      <c r="AC581" s="66">
        <f t="array" ref="AC581">IFS(B581&lt;66, XLOOKUP(year(A581),Lookup!$K$13:$K1000,Lookup!$L$13:$L1000,"missing",,1),B581&gt;65,XLOOKUP(questions!$C$5,Lookup!$K$13:$K1000,Lookup!$L$13:$L1000,"missing",,1))</f>
        <v>393675.3633</v>
      </c>
      <c r="AD581" s="66">
        <f t="array" ref="AD581">IFS(B581&lt;66, XLOOKUP(year(A581),Lookup!$K$13:$K1000,Lookup!$M$13:$M1000,"missing",,1),B581&gt;65, XLOOKUP(questions!$C$5,Lookup!$K$13:$K1000,Lookup!$M$13:$M1000,"missing",,1))</f>
        <v>787350.7266</v>
      </c>
      <c r="AE581" s="66">
        <f t="array" ref="AE581">IFS(B581&lt;66, XLOOKUP(year(A581),Lookup!$K$13:$K1000,Lookup!$N$13:$N1000,"missing",,1),B581&gt;65,XLOOKUP(questions!$C$5,Lookup!$K$13:$K1000,Lookup!$N$13:$N1000,"missing",,1))</f>
        <v>1574701.453</v>
      </c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  <c r="AQ581" s="37"/>
    </row>
    <row r="582">
      <c r="A582" s="55">
        <f t="shared" si="7"/>
        <v>63735</v>
      </c>
      <c r="B582" s="56">
        <f>round(YEARFRAC(EOMONTH(questions!$C$3, 0),A582,1),2)</f>
        <v>75.58</v>
      </c>
      <c r="C582" s="58">
        <f>IF(B582&lt;questions!$C$6,if(MONTH(A582)=1,C581*(1+questions!$C$12),C581),0)</f>
        <v>0</v>
      </c>
      <c r="D582" s="58">
        <f>IF(MONTH(A582)=12,C582*questions!$C$11,0)</f>
        <v>0</v>
      </c>
      <c r="E582" s="71">
        <f t="shared" si="2"/>
        <v>0</v>
      </c>
      <c r="F582" s="71">
        <f t="shared" si="3"/>
        <v>0</v>
      </c>
      <c r="G582" s="61">
        <f t="array" ref="G582">if(YEAR(A582)=2025,XLOOKUP(B582,Lookup!$A$3:$A$7,Lookup!$D$3:$D$7,,1)*SUM(E582:F582), XLOOKUP(B582,Lookup!$A$14:$A$18,Lookup!$D$14:$D$18,,1)*SUM(E582:F582))</f>
        <v>0</v>
      </c>
      <c r="H582" s="61">
        <f t="array" ref="H582">if(YEAR(A582)=2025,XLOOKUP(B582,Lookup!$F$3:$F$10,Lookup!$G$3:$G$10,,1)*G582, XLOOKUP(B582,Lookup!$F$14:$F$21,Lookup!$G$14:$G$21,,1)*G582)</f>
        <v>0</v>
      </c>
      <c r="I582" s="61">
        <f t="array" ref="I582">if(B582&lt;55, if(YEAR(A582)=2025,XLOOKUP(B582,Lookup!$F$3:$F$10,Lookup!$H$3:$H$10,,1)*G582, XLOOKUP(B582,Lookup!$F$14:$F$21,Lookup!$H$14:$H$21,,1)*G582),0)</f>
        <v>0</v>
      </c>
      <c r="J582" s="61">
        <f t="array" ref="J582">if(YEAR(A582)=2025,XLOOKUP(B582,Lookup!$F$3:$F$10,Lookup!$I$3:$I$10,,1)*G582, XLOOKUP(B582,Lookup!$F$14:$F$21,Lookup!$I$14:$I$21,,1)*G582)</f>
        <v>0</v>
      </c>
      <c r="K582" s="61">
        <f t="array" ref="K582">if(B582&gt;54, if(YEAR(A582)=2025,XLOOKUP(B582,Lookup!$F$3:$F$10,Lookup!$H$3:$H$10,,1)*G582, XLOOKUP(B582,Lookup!$F$14:$F$21,Lookup!$H$14:$H$21,,1)*G582),0)</f>
        <v>0</v>
      </c>
      <c r="L582" s="62">
        <f>IF(and(A582&lt;questions!$C$19,questions!$C$18="yes"),questions!$C$20,0)</f>
        <v>0</v>
      </c>
      <c r="M582" s="63">
        <f>(Y581+H582)*Lookup!A$26/12</f>
        <v>2622.19668</v>
      </c>
      <c r="N582" s="63">
        <f>if(B582&lt;55, (Z581+I582)*Lookup!B$26/12, (AB581+K582)*Lookup!B$26/12)</f>
        <v>4661.21907</v>
      </c>
      <c r="O582" s="63">
        <f>(AA581+J582)*Lookup!C$26/12</f>
        <v>940.3700287</v>
      </c>
      <c r="P582" s="63">
        <f t="shared" si="8"/>
        <v>15733.18008</v>
      </c>
      <c r="Q582" s="63">
        <f t="shared" si="4"/>
        <v>27967.31442</v>
      </c>
      <c r="R582" s="63">
        <f t="shared" si="5"/>
        <v>5642.220172</v>
      </c>
      <c r="S582" s="64">
        <f t="shared" si="9"/>
        <v>33.33333333</v>
      </c>
      <c r="T582" s="64">
        <f t="shared" si="10"/>
        <v>41.66666667</v>
      </c>
      <c r="U582" s="64">
        <f t="shared" si="11"/>
        <v>0</v>
      </c>
      <c r="V582" s="64">
        <f t="shared" ref="V582:X582" si="590">IF(year($A582)=year($A581), V581+S582, S582)</f>
        <v>200</v>
      </c>
      <c r="W582" s="64">
        <f t="shared" si="590"/>
        <v>250</v>
      </c>
      <c r="X582" s="64">
        <f t="shared" si="590"/>
        <v>0</v>
      </c>
      <c r="Y582" s="65">
        <f>IFS(
  B582&lt;55,
    MAX(
      Y581 + IF(MONTH(A582)=12, P582+V582, 0) + H582 - L582
      + MAX(0,
          IF(AA581 &gt;= VLOOKUP(YEAR(A582), Lookup!$Q:$R, 2),
            Z581 + IF(MONTH(A582)=12, Q582+W582, 0) + I582
              + AA581 + IF(MONTH(A582)=12, R582+X582, 0)
              - VLOOKUP(YEAR(A582), Lookup!$Q:$R, 2) + J582,
            Z581 + IF(MONTH(A582)=12, Q582+W582, 0) + I582
          ) - VLOOKUP(YEAR(A582), Lookup!$K:$M, 3)
        ),
    0),
  B582=55,
    IF(Z581&gt;=AD582,
      MAX(Y581 + IF(MONTH(A582)=12, P582+V582, 0) + H582 - L582, 0),
      MAX(MAX(0, Y581-(AD582-Z581)) + IF(MONTH(A582)=12, P582+V582, 0) + H582 - L582, 0)
    ),
  B582&gt;55,
    IF(AB581&gt;=$AH$7,
      MAX(Y581 + IF(MONTH(A582)=12, P582+V582, 0) + H582 - L582 + K582 + Z581, 0),
      MAX(Y581 + IF(MONTH(A582)=12, P582+V582, 0) + H582 - L582, 0)
    )
)</f>
        <v>1258654.406</v>
      </c>
      <c r="Z582" s="65">
        <f>IFS(
  B582&lt;55,
    MIN(
      IF(AA581 &gt;= VLOOKUP(YEAR(A582), Lookup!$Q:$R, 2),
        Z581 + IF(MONTH(A582)=12, Q582+W582, 0) + I582
          + AA581 + IF(MONTH(A582)=12, R582+X582, 0) - VLOOKUP(YEAR(A582), Lookup!$Q:$R, 2) + J582,
        Z581 + IF(MONTH(A582)=12, Q582+W582, 0) + I582
      ),
      VLOOKUP(YEAR(A582), Lookup!$K:$M, 3)
    ),
  B582=55,
    IF(Z581 &gt;= AD582, Z581 - AD582, 0),
  B582&gt;55, 0
)</f>
        <v>0</v>
      </c>
      <c r="AA582" s="65">
        <f>IFS(
  B582&lt;65,
    IF(AA581+J582 &lt; VLOOKUP(YEAR(A582), Lookup!$Q:$R, 2),
      AA581 + IF(MONTH(A582)=12, R581+X581, 0) + J582,
      MIN(
        AA581 + IF(MONTH(A582)=12, R581+X581, 0) + J582 ,
        VLOOKUP(YEAR(A582), Lookup!$Q:$R, 2)
      )
    ),
  B582&gt;=65,
    IF(AA581+J582 &lt; VLOOKUP(questions!$C$5, Lookup!$Q:$R, 2),
      AA581 + IF(MONTH(A582)=12, R581+X581, 0) + J582 ,
      MIN(
        AA581 + IF(MONTH(A582)=12, R581+X581, 0) + J582,
        VLOOKUP(questions!$C$5, Lookup!$Q:$R, 2)
      )
    )
)</f>
        <v>282111.0086</v>
      </c>
      <c r="AB582" s="65">
        <f t="shared" si="13"/>
        <v>1398365.721</v>
      </c>
      <c r="AC582" s="66">
        <f t="array" ref="AC582">IFS(B582&lt;66, XLOOKUP(year(A582),Lookup!$K$13:$K1000,Lookup!$L$13:$L1000,"missing",,1),B582&gt;65,XLOOKUP(questions!$C$5,Lookup!$K$13:$K1000,Lookup!$L$13:$L1000,"missing",,1))</f>
        <v>393675.3633</v>
      </c>
      <c r="AD582" s="66">
        <f t="array" ref="AD582">IFS(B582&lt;66, XLOOKUP(year(A582),Lookup!$K$13:$K1000,Lookup!$M$13:$M1000,"missing",,1),B582&gt;65, XLOOKUP(questions!$C$5,Lookup!$K$13:$K1000,Lookup!$M$13:$M1000,"missing",,1))</f>
        <v>787350.7266</v>
      </c>
      <c r="AE582" s="66">
        <f t="array" ref="AE582">IFS(B582&lt;66, XLOOKUP(year(A582),Lookup!$K$13:$K1000,Lookup!$N$13:$N1000,"missing",,1),B582&gt;65,XLOOKUP(questions!$C$5,Lookup!$K$13:$K1000,Lookup!$N$13:$N1000,"missing",,1))</f>
        <v>1574701.453</v>
      </c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  <c r="AQ582" s="37"/>
    </row>
    <row r="583">
      <c r="A583" s="55">
        <f t="shared" si="7"/>
        <v>63766</v>
      </c>
      <c r="B583" s="56">
        <f>round(YEARFRAC(EOMONTH(questions!$C$3, 0),A583,1),2)</f>
        <v>75.67</v>
      </c>
      <c r="C583" s="58">
        <f>IF(B583&lt;questions!$C$6,if(MONTH(A583)=1,C582*(1+questions!$C$12),C582),0)</f>
        <v>0</v>
      </c>
      <c r="D583" s="58">
        <f>IF(MONTH(A583)=12,C583*questions!$C$11,0)</f>
        <v>0</v>
      </c>
      <c r="E583" s="71">
        <f t="shared" si="2"/>
        <v>0</v>
      </c>
      <c r="F583" s="71">
        <f t="shared" si="3"/>
        <v>0</v>
      </c>
      <c r="G583" s="61">
        <f t="array" ref="G583">if(YEAR(A583)=2025,XLOOKUP(B583,Lookup!$A$3:$A$7,Lookup!$D$3:$D$7,,1)*SUM(E583:F583), XLOOKUP(B583,Lookup!$A$14:$A$18,Lookup!$D$14:$D$18,,1)*SUM(E583:F583))</f>
        <v>0</v>
      </c>
      <c r="H583" s="61">
        <f t="array" ref="H583">if(YEAR(A583)=2025,XLOOKUP(B583,Lookup!$F$3:$F$10,Lookup!$G$3:$G$10,,1)*G583, XLOOKUP(B583,Lookup!$F$14:$F$21,Lookup!$G$14:$G$21,,1)*G583)</f>
        <v>0</v>
      </c>
      <c r="I583" s="61">
        <f t="array" ref="I583">if(B583&lt;55, if(YEAR(A583)=2025,XLOOKUP(B583,Lookup!$F$3:$F$10,Lookup!$H$3:$H$10,,1)*G583, XLOOKUP(B583,Lookup!$F$14:$F$21,Lookup!$H$14:$H$21,,1)*G583),0)</f>
        <v>0</v>
      </c>
      <c r="J583" s="61">
        <f t="array" ref="J583">if(YEAR(A583)=2025,XLOOKUP(B583,Lookup!$F$3:$F$10,Lookup!$I$3:$I$10,,1)*G583, XLOOKUP(B583,Lookup!$F$14:$F$21,Lookup!$I$14:$I$21,,1)*G583)</f>
        <v>0</v>
      </c>
      <c r="K583" s="61">
        <f t="array" ref="K583">if(B583&gt;54, if(YEAR(A583)=2025,XLOOKUP(B583,Lookup!$F$3:$F$10,Lookup!$H$3:$H$10,,1)*G583, XLOOKUP(B583,Lookup!$F$14:$F$21,Lookup!$H$14:$H$21,,1)*G583),0)</f>
        <v>0</v>
      </c>
      <c r="L583" s="62">
        <f>IF(and(A583&lt;questions!$C$19,questions!$C$18="yes"),questions!$C$20,0)</f>
        <v>0</v>
      </c>
      <c r="M583" s="63">
        <f>(Y582+H583)*Lookup!A$26/12</f>
        <v>2622.19668</v>
      </c>
      <c r="N583" s="63">
        <f>if(B583&lt;55, (Z582+I583)*Lookup!B$26/12, (AB582+K583)*Lookup!B$26/12)</f>
        <v>4661.21907</v>
      </c>
      <c r="O583" s="63">
        <f>(AA582+J583)*Lookup!C$26/12</f>
        <v>940.3700287</v>
      </c>
      <c r="P583" s="63">
        <f t="shared" si="8"/>
        <v>18355.37676</v>
      </c>
      <c r="Q583" s="63">
        <f t="shared" si="4"/>
        <v>32628.53349</v>
      </c>
      <c r="R583" s="63">
        <f t="shared" si="5"/>
        <v>6582.590201</v>
      </c>
      <c r="S583" s="64">
        <f t="shared" si="9"/>
        <v>33.33333333</v>
      </c>
      <c r="T583" s="64">
        <f t="shared" si="10"/>
        <v>41.66666667</v>
      </c>
      <c r="U583" s="64">
        <f t="shared" si="11"/>
        <v>0</v>
      </c>
      <c r="V583" s="64">
        <f t="shared" ref="V583:X583" si="591">IF(year($A583)=year($A582), V582+S583, S583)</f>
        <v>233.3333333</v>
      </c>
      <c r="W583" s="64">
        <f t="shared" si="591"/>
        <v>291.6666667</v>
      </c>
      <c r="X583" s="64">
        <f t="shared" si="591"/>
        <v>0</v>
      </c>
      <c r="Y583" s="65">
        <f>IFS(
  B583&lt;55,
    MAX(
      Y582 + IF(MONTH(A583)=12, P583+V583, 0) + H583 - L583
      + MAX(0,
          IF(AA582 &gt;= VLOOKUP(YEAR(A583), Lookup!$Q:$R, 2),
            Z582 + IF(MONTH(A583)=12, Q583+W583, 0) + I583
              + AA582 + IF(MONTH(A583)=12, R583+X583, 0)
              - VLOOKUP(YEAR(A583), Lookup!$Q:$R, 2) + J583,
            Z582 + IF(MONTH(A583)=12, Q583+W583, 0) + I583
          ) - VLOOKUP(YEAR(A583), Lookup!$K:$M, 3)
        ),
    0),
  B583=55,
    IF(Z582&gt;=AD583,
      MAX(Y582 + IF(MONTH(A583)=12, P583+V583, 0) + H583 - L583, 0),
      MAX(MAX(0, Y582-(AD583-Z582)) + IF(MONTH(A583)=12, P583+V583, 0) + H583 - L583, 0)
    ),
  B583&gt;55,
    IF(AB582&gt;=$AH$7,
      MAX(Y582 + IF(MONTH(A583)=12, P583+V583, 0) + H583 - L583 + K583 + Z582, 0),
      MAX(Y582 + IF(MONTH(A583)=12, P583+V583, 0) + H583 - L583, 0)
    )
)</f>
        <v>1258654.406</v>
      </c>
      <c r="Z583" s="65">
        <f>IFS(
  B583&lt;55,
    MIN(
      IF(AA582 &gt;= VLOOKUP(YEAR(A583), Lookup!$Q:$R, 2),
        Z582 + IF(MONTH(A583)=12, Q583+W583, 0) + I583
          + AA582 + IF(MONTH(A583)=12, R583+X583, 0) - VLOOKUP(YEAR(A583), Lookup!$Q:$R, 2) + J583,
        Z582 + IF(MONTH(A583)=12, Q583+W583, 0) + I583
      ),
      VLOOKUP(YEAR(A583), Lookup!$K:$M, 3)
    ),
  B583=55,
    IF(Z582 &gt;= AD583, Z582 - AD583, 0),
  B583&gt;55, 0
)</f>
        <v>0</v>
      </c>
      <c r="AA583" s="65">
        <f>IFS(
  B583&lt;65,
    IF(AA582+J583 &lt; VLOOKUP(YEAR(A583), Lookup!$Q:$R, 2),
      AA582 + IF(MONTH(A583)=12, R582+X582, 0) + J583,
      MIN(
        AA582 + IF(MONTH(A583)=12, R582+X582, 0) + J583 ,
        VLOOKUP(YEAR(A583), Lookup!$Q:$R, 2)
      )
    ),
  B583&gt;=65,
    IF(AA582+J583 &lt; VLOOKUP(questions!$C$5, Lookup!$Q:$R, 2),
      AA582 + IF(MONTH(A583)=12, R582+X582, 0) + J583 ,
      MIN(
        AA582 + IF(MONTH(A583)=12, R582+X582, 0) + J583,
        VLOOKUP(questions!$C$5, Lookup!$Q:$R, 2)
      )
    )
)</f>
        <v>282111.0086</v>
      </c>
      <c r="AB583" s="65">
        <f t="shared" si="13"/>
        <v>1398365.721</v>
      </c>
      <c r="AC583" s="66">
        <f t="array" ref="AC583">IFS(B583&lt;66, XLOOKUP(year(A583),Lookup!$K$13:$K1000,Lookup!$L$13:$L1000,"missing",,1),B583&gt;65,XLOOKUP(questions!$C$5,Lookup!$K$13:$K1000,Lookup!$L$13:$L1000,"missing",,1))</f>
        <v>393675.3633</v>
      </c>
      <c r="AD583" s="66">
        <f t="array" ref="AD583">IFS(B583&lt;66, XLOOKUP(year(A583),Lookup!$K$13:$K1000,Lookup!$M$13:$M1000,"missing",,1),B583&gt;65, XLOOKUP(questions!$C$5,Lookup!$K$13:$K1000,Lookup!$M$13:$M1000,"missing",,1))</f>
        <v>787350.7266</v>
      </c>
      <c r="AE583" s="66">
        <f t="array" ref="AE583">IFS(B583&lt;66, XLOOKUP(year(A583),Lookup!$K$13:$K1000,Lookup!$N$13:$N1000,"missing",,1),B583&gt;65,XLOOKUP(questions!$C$5,Lookup!$K$13:$K1000,Lookup!$N$13:$N1000,"missing",,1))</f>
        <v>1574701.453</v>
      </c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7"/>
      <c r="AQ583" s="37"/>
    </row>
    <row r="584">
      <c r="A584" s="55">
        <f t="shared" si="7"/>
        <v>63797</v>
      </c>
      <c r="B584" s="56">
        <f>round(YEARFRAC(EOMONTH(questions!$C$3, 0),A584,1),2)</f>
        <v>75.75</v>
      </c>
      <c r="C584" s="58">
        <f>IF(B584&lt;questions!$C$6,if(MONTH(A584)=1,C583*(1+questions!$C$12),C583),0)</f>
        <v>0</v>
      </c>
      <c r="D584" s="58">
        <f>IF(MONTH(A584)=12,C584*questions!$C$11,0)</f>
        <v>0</v>
      </c>
      <c r="E584" s="71">
        <f t="shared" si="2"/>
        <v>0</v>
      </c>
      <c r="F584" s="71">
        <f t="shared" si="3"/>
        <v>0</v>
      </c>
      <c r="G584" s="61">
        <f t="array" ref="G584">if(YEAR(A584)=2025,XLOOKUP(B584,Lookup!$A$3:$A$7,Lookup!$D$3:$D$7,,1)*SUM(E584:F584), XLOOKUP(B584,Lookup!$A$14:$A$18,Lookup!$D$14:$D$18,,1)*SUM(E584:F584))</f>
        <v>0</v>
      </c>
      <c r="H584" s="61">
        <f t="array" ref="H584">if(YEAR(A584)=2025,XLOOKUP(B584,Lookup!$F$3:$F$10,Lookup!$G$3:$G$10,,1)*G584, XLOOKUP(B584,Lookup!$F$14:$F$21,Lookup!$G$14:$G$21,,1)*G584)</f>
        <v>0</v>
      </c>
      <c r="I584" s="61">
        <f t="array" ref="I584">if(B584&lt;55, if(YEAR(A584)=2025,XLOOKUP(B584,Lookup!$F$3:$F$10,Lookup!$H$3:$H$10,,1)*G584, XLOOKUP(B584,Lookup!$F$14:$F$21,Lookup!$H$14:$H$21,,1)*G584),0)</f>
        <v>0</v>
      </c>
      <c r="J584" s="61">
        <f t="array" ref="J584">if(YEAR(A584)=2025,XLOOKUP(B584,Lookup!$F$3:$F$10,Lookup!$I$3:$I$10,,1)*G584, XLOOKUP(B584,Lookup!$F$14:$F$21,Lookup!$I$14:$I$21,,1)*G584)</f>
        <v>0</v>
      </c>
      <c r="K584" s="61">
        <f t="array" ref="K584">if(B584&gt;54, if(YEAR(A584)=2025,XLOOKUP(B584,Lookup!$F$3:$F$10,Lookup!$H$3:$H$10,,1)*G584, XLOOKUP(B584,Lookup!$F$14:$F$21,Lookup!$H$14:$H$21,,1)*G584),0)</f>
        <v>0</v>
      </c>
      <c r="L584" s="62">
        <f>IF(and(A584&lt;questions!$C$19,questions!$C$18="yes"),questions!$C$20,0)</f>
        <v>0</v>
      </c>
      <c r="M584" s="63">
        <f>(Y583+H584)*Lookup!A$26/12</f>
        <v>2622.19668</v>
      </c>
      <c r="N584" s="63">
        <f>if(B584&lt;55, (Z583+I584)*Lookup!B$26/12, (AB583+K584)*Lookup!B$26/12)</f>
        <v>4661.21907</v>
      </c>
      <c r="O584" s="63">
        <f>(AA583+J584)*Lookup!C$26/12</f>
        <v>940.3700287</v>
      </c>
      <c r="P584" s="63">
        <f t="shared" si="8"/>
        <v>20977.57344</v>
      </c>
      <c r="Q584" s="63">
        <f t="shared" si="4"/>
        <v>37289.75256</v>
      </c>
      <c r="R584" s="63">
        <f t="shared" si="5"/>
        <v>7522.960229</v>
      </c>
      <c r="S584" s="64">
        <f t="shared" si="9"/>
        <v>33.33333333</v>
      </c>
      <c r="T584" s="64">
        <f t="shared" si="10"/>
        <v>41.66666667</v>
      </c>
      <c r="U584" s="64">
        <f t="shared" si="11"/>
        <v>0</v>
      </c>
      <c r="V584" s="64">
        <f t="shared" ref="V584:X584" si="592">IF(year($A584)=year($A583), V583+S584, S584)</f>
        <v>266.6666667</v>
      </c>
      <c r="W584" s="64">
        <f t="shared" si="592"/>
        <v>333.3333333</v>
      </c>
      <c r="X584" s="64">
        <f t="shared" si="592"/>
        <v>0</v>
      </c>
      <c r="Y584" s="65">
        <f>IFS(
  B584&lt;55,
    MAX(
      Y583 + IF(MONTH(A584)=12, P584+V584, 0) + H584 - L584
      + MAX(0,
          IF(AA583 &gt;= VLOOKUP(YEAR(A584), Lookup!$Q:$R, 2),
            Z583 + IF(MONTH(A584)=12, Q584+W584, 0) + I584
              + AA583 + IF(MONTH(A584)=12, R584+X584, 0)
              - VLOOKUP(YEAR(A584), Lookup!$Q:$R, 2) + J584,
            Z583 + IF(MONTH(A584)=12, Q584+W584, 0) + I584
          ) - VLOOKUP(YEAR(A584), Lookup!$K:$M, 3)
        ),
    0),
  B584=55,
    IF(Z583&gt;=AD584,
      MAX(Y583 + IF(MONTH(A584)=12, P584+V584, 0) + H584 - L584, 0),
      MAX(MAX(0, Y583-(AD584-Z583)) + IF(MONTH(A584)=12, P584+V584, 0) + H584 - L584, 0)
    ),
  B584&gt;55,
    IF(AB583&gt;=$AH$7,
      MAX(Y583 + IF(MONTH(A584)=12, P584+V584, 0) + H584 - L584 + K584 + Z583, 0),
      MAX(Y583 + IF(MONTH(A584)=12, P584+V584, 0) + H584 - L584, 0)
    )
)</f>
        <v>1258654.406</v>
      </c>
      <c r="Z584" s="65">
        <f>IFS(
  B584&lt;55,
    MIN(
      IF(AA583 &gt;= VLOOKUP(YEAR(A584), Lookup!$Q:$R, 2),
        Z583 + IF(MONTH(A584)=12, Q584+W584, 0) + I584
          + AA583 + IF(MONTH(A584)=12, R584+X584, 0) - VLOOKUP(YEAR(A584), Lookup!$Q:$R, 2) + J584,
        Z583 + IF(MONTH(A584)=12, Q584+W584, 0) + I584
      ),
      VLOOKUP(YEAR(A584), Lookup!$K:$M, 3)
    ),
  B584=55,
    IF(Z583 &gt;= AD584, Z583 - AD584, 0),
  B584&gt;55, 0
)</f>
        <v>0</v>
      </c>
      <c r="AA584" s="65">
        <f>IFS(
  B584&lt;65,
    IF(AA583+J584 &lt; VLOOKUP(YEAR(A584), Lookup!$Q:$R, 2),
      AA583 + IF(MONTH(A584)=12, R583+X583, 0) + J584,
      MIN(
        AA583 + IF(MONTH(A584)=12, R583+X583, 0) + J584 ,
        VLOOKUP(YEAR(A584), Lookup!$Q:$R, 2)
      )
    ),
  B584&gt;=65,
    IF(AA583+J584 &lt; VLOOKUP(questions!$C$5, Lookup!$Q:$R, 2),
      AA583 + IF(MONTH(A584)=12, R583+X583, 0) + J584 ,
      MIN(
        AA583 + IF(MONTH(A584)=12, R583+X583, 0) + J584,
        VLOOKUP(questions!$C$5, Lookup!$Q:$R, 2)
      )
    )
)</f>
        <v>282111.0086</v>
      </c>
      <c r="AB584" s="65">
        <f t="shared" si="13"/>
        <v>1398365.721</v>
      </c>
      <c r="AC584" s="66">
        <f t="array" ref="AC584">IFS(B584&lt;66, XLOOKUP(year(A584),Lookup!$K$13:$K1000,Lookup!$L$13:$L1000,"missing",,1),B584&gt;65,XLOOKUP(questions!$C$5,Lookup!$K$13:$K1000,Lookup!$L$13:$L1000,"missing",,1))</f>
        <v>393675.3633</v>
      </c>
      <c r="AD584" s="66">
        <f t="array" ref="AD584">IFS(B584&lt;66, XLOOKUP(year(A584),Lookup!$K$13:$K1000,Lookup!$M$13:$M1000,"missing",,1),B584&gt;65, XLOOKUP(questions!$C$5,Lookup!$K$13:$K1000,Lookup!$M$13:$M1000,"missing",,1))</f>
        <v>787350.7266</v>
      </c>
      <c r="AE584" s="66">
        <f t="array" ref="AE584">IFS(B584&lt;66, XLOOKUP(year(A584),Lookup!$K$13:$K1000,Lookup!$N$13:$N1000,"missing",,1),B584&gt;65,XLOOKUP(questions!$C$5,Lookup!$K$13:$K1000,Lookup!$N$13:$N1000,"missing",,1))</f>
        <v>1574701.453</v>
      </c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  <c r="AQ584" s="37"/>
    </row>
    <row r="585">
      <c r="A585" s="55">
        <f t="shared" si="7"/>
        <v>63827</v>
      </c>
      <c r="B585" s="56">
        <f>round(YEARFRAC(EOMONTH(questions!$C$3, 0),A585,1),2)</f>
        <v>75.83</v>
      </c>
      <c r="C585" s="58">
        <f>IF(B585&lt;questions!$C$6,if(MONTH(A585)=1,C584*(1+questions!$C$12),C584),0)</f>
        <v>0</v>
      </c>
      <c r="D585" s="58">
        <f>IF(MONTH(A585)=12,C585*questions!$C$11,0)</f>
        <v>0</v>
      </c>
      <c r="E585" s="71">
        <f t="shared" si="2"/>
        <v>0</v>
      </c>
      <c r="F585" s="71">
        <f t="shared" si="3"/>
        <v>0</v>
      </c>
      <c r="G585" s="61">
        <f t="array" ref="G585">if(YEAR(A585)=2025,XLOOKUP(B585,Lookup!$A$3:$A$7,Lookup!$D$3:$D$7,,1)*SUM(E585:F585), XLOOKUP(B585,Lookup!$A$14:$A$18,Lookup!$D$14:$D$18,,1)*SUM(E585:F585))</f>
        <v>0</v>
      </c>
      <c r="H585" s="61">
        <f t="array" ref="H585">if(YEAR(A585)=2025,XLOOKUP(B585,Lookup!$F$3:$F$10,Lookup!$G$3:$G$10,,1)*G585, XLOOKUP(B585,Lookup!$F$14:$F$21,Lookup!$G$14:$G$21,,1)*G585)</f>
        <v>0</v>
      </c>
      <c r="I585" s="61">
        <f t="array" ref="I585">if(B585&lt;55, if(YEAR(A585)=2025,XLOOKUP(B585,Lookup!$F$3:$F$10,Lookup!$H$3:$H$10,,1)*G585, XLOOKUP(B585,Lookup!$F$14:$F$21,Lookup!$H$14:$H$21,,1)*G585),0)</f>
        <v>0</v>
      </c>
      <c r="J585" s="61">
        <f t="array" ref="J585">if(YEAR(A585)=2025,XLOOKUP(B585,Lookup!$F$3:$F$10,Lookup!$I$3:$I$10,,1)*G585, XLOOKUP(B585,Lookup!$F$14:$F$21,Lookup!$I$14:$I$21,,1)*G585)</f>
        <v>0</v>
      </c>
      <c r="K585" s="61">
        <f t="array" ref="K585">if(B585&gt;54, if(YEAR(A585)=2025,XLOOKUP(B585,Lookup!$F$3:$F$10,Lookup!$H$3:$H$10,,1)*G585, XLOOKUP(B585,Lookup!$F$14:$F$21,Lookup!$H$14:$H$21,,1)*G585),0)</f>
        <v>0</v>
      </c>
      <c r="L585" s="62">
        <f>IF(and(A585&lt;questions!$C$19,questions!$C$18="yes"),questions!$C$20,0)</f>
        <v>0</v>
      </c>
      <c r="M585" s="63">
        <f>(Y584+H585)*Lookup!A$26/12</f>
        <v>2622.19668</v>
      </c>
      <c r="N585" s="63">
        <f>if(B585&lt;55, (Z584+I585)*Lookup!B$26/12, (AB584+K585)*Lookup!B$26/12)</f>
        <v>4661.21907</v>
      </c>
      <c r="O585" s="63">
        <f>(AA584+J585)*Lookup!C$26/12</f>
        <v>940.3700287</v>
      </c>
      <c r="P585" s="63">
        <f t="shared" si="8"/>
        <v>23599.77012</v>
      </c>
      <c r="Q585" s="63">
        <f t="shared" si="4"/>
        <v>41950.97163</v>
      </c>
      <c r="R585" s="63">
        <f t="shared" si="5"/>
        <v>8463.330258</v>
      </c>
      <c r="S585" s="64">
        <f t="shared" si="9"/>
        <v>33.33333333</v>
      </c>
      <c r="T585" s="64">
        <f t="shared" si="10"/>
        <v>41.66666667</v>
      </c>
      <c r="U585" s="64">
        <f t="shared" si="11"/>
        <v>0</v>
      </c>
      <c r="V585" s="64">
        <f t="shared" ref="V585:X585" si="593">IF(year($A585)=year($A584), V584+S585, S585)</f>
        <v>300</v>
      </c>
      <c r="W585" s="64">
        <f t="shared" si="593"/>
        <v>375</v>
      </c>
      <c r="X585" s="64">
        <f t="shared" si="593"/>
        <v>0</v>
      </c>
      <c r="Y585" s="65">
        <f>IFS(
  B585&lt;55,
    MAX(
      Y584 + IF(MONTH(A585)=12, P585+V585, 0) + H585 - L585
      + MAX(0,
          IF(AA584 &gt;= VLOOKUP(YEAR(A585), Lookup!$Q:$R, 2),
            Z584 + IF(MONTH(A585)=12, Q585+W585, 0) + I585
              + AA584 + IF(MONTH(A585)=12, R585+X585, 0)
              - VLOOKUP(YEAR(A585), Lookup!$Q:$R, 2) + J585,
            Z584 + IF(MONTH(A585)=12, Q585+W585, 0) + I585
          ) - VLOOKUP(YEAR(A585), Lookup!$K:$M, 3)
        ),
    0),
  B585=55,
    IF(Z584&gt;=AD585,
      MAX(Y584 + IF(MONTH(A585)=12, P585+V585, 0) + H585 - L585, 0),
      MAX(MAX(0, Y584-(AD585-Z584)) + IF(MONTH(A585)=12, P585+V585, 0) + H585 - L585, 0)
    ),
  B585&gt;55,
    IF(AB584&gt;=$AH$7,
      MAX(Y584 + IF(MONTH(A585)=12, P585+V585, 0) + H585 - L585 + K585 + Z584, 0),
      MAX(Y584 + IF(MONTH(A585)=12, P585+V585, 0) + H585 - L585, 0)
    )
)</f>
        <v>1258654.406</v>
      </c>
      <c r="Z585" s="65">
        <f>IFS(
  B585&lt;55,
    MIN(
      IF(AA584 &gt;= VLOOKUP(YEAR(A585), Lookup!$Q:$R, 2),
        Z584 + IF(MONTH(A585)=12, Q585+W585, 0) + I585
          + AA584 + IF(MONTH(A585)=12, R585+X585, 0) - VLOOKUP(YEAR(A585), Lookup!$Q:$R, 2) + J585,
        Z584 + IF(MONTH(A585)=12, Q585+W585, 0) + I585
      ),
      VLOOKUP(YEAR(A585), Lookup!$K:$M, 3)
    ),
  B585=55,
    IF(Z584 &gt;= AD585, Z584 - AD585, 0),
  B585&gt;55, 0
)</f>
        <v>0</v>
      </c>
      <c r="AA585" s="65">
        <f>IFS(
  B585&lt;65,
    IF(AA584+J585 &lt; VLOOKUP(YEAR(A585), Lookup!$Q:$R, 2),
      AA584 + IF(MONTH(A585)=12, R584+X584, 0) + J585,
      MIN(
        AA584 + IF(MONTH(A585)=12, R584+X584, 0) + J585 ,
        VLOOKUP(YEAR(A585), Lookup!$Q:$R, 2)
      )
    ),
  B585&gt;=65,
    IF(AA584+J585 &lt; VLOOKUP(questions!$C$5, Lookup!$Q:$R, 2),
      AA584 + IF(MONTH(A585)=12, R584+X584, 0) + J585 ,
      MIN(
        AA584 + IF(MONTH(A585)=12, R584+X584, 0) + J585,
        VLOOKUP(questions!$C$5, Lookup!$Q:$R, 2)
      )
    )
)</f>
        <v>282111.0086</v>
      </c>
      <c r="AB585" s="65">
        <f t="shared" si="13"/>
        <v>1398365.721</v>
      </c>
      <c r="AC585" s="66">
        <f t="array" ref="AC585">IFS(B585&lt;66, XLOOKUP(year(A585),Lookup!$K$13:$K1000,Lookup!$L$13:$L1000,"missing",,1),B585&gt;65,XLOOKUP(questions!$C$5,Lookup!$K$13:$K1000,Lookup!$L$13:$L1000,"missing",,1))</f>
        <v>393675.3633</v>
      </c>
      <c r="AD585" s="66">
        <f t="array" ref="AD585">IFS(B585&lt;66, XLOOKUP(year(A585),Lookup!$K$13:$K1000,Lookup!$M$13:$M1000,"missing",,1),B585&gt;65, XLOOKUP(questions!$C$5,Lookup!$K$13:$K1000,Lookup!$M$13:$M1000,"missing",,1))</f>
        <v>787350.7266</v>
      </c>
      <c r="AE585" s="66">
        <f t="array" ref="AE585">IFS(B585&lt;66, XLOOKUP(year(A585),Lookup!$K$13:$K1000,Lookup!$N$13:$N1000,"missing",,1),B585&gt;65,XLOOKUP(questions!$C$5,Lookup!$K$13:$K1000,Lookup!$N$13:$N1000,"missing",,1))</f>
        <v>1574701.453</v>
      </c>
      <c r="AF585" s="37"/>
      <c r="AG585" s="37"/>
      <c r="AH585" s="37"/>
      <c r="AI585" s="37"/>
      <c r="AJ585" s="37"/>
      <c r="AK585" s="37"/>
      <c r="AL585" s="37"/>
      <c r="AM585" s="37"/>
      <c r="AN585" s="37"/>
      <c r="AO585" s="37"/>
      <c r="AP585" s="37"/>
      <c r="AQ585" s="37"/>
    </row>
    <row r="586">
      <c r="A586" s="55">
        <f t="shared" si="7"/>
        <v>63858</v>
      </c>
      <c r="B586" s="56">
        <f>round(YEARFRAC(EOMONTH(questions!$C$3, 0),A586,1),2)</f>
        <v>75.92</v>
      </c>
      <c r="C586" s="58">
        <f>IF(B586&lt;questions!$C$6,if(MONTH(A586)=1,C585*(1+questions!$C$12),C585),0)</f>
        <v>0</v>
      </c>
      <c r="D586" s="58">
        <f>IF(MONTH(A586)=12,C586*questions!$C$11,0)</f>
        <v>0</v>
      </c>
      <c r="E586" s="71">
        <f t="shared" si="2"/>
        <v>0</v>
      </c>
      <c r="F586" s="71">
        <f t="shared" si="3"/>
        <v>0</v>
      </c>
      <c r="G586" s="61">
        <f t="array" ref="G586">if(YEAR(A586)=2025,XLOOKUP(B586,Lookup!$A$3:$A$7,Lookup!$D$3:$D$7,,1)*SUM(E586:F586), XLOOKUP(B586,Lookup!$A$14:$A$18,Lookup!$D$14:$D$18,,1)*SUM(E586:F586))</f>
        <v>0</v>
      </c>
      <c r="H586" s="61">
        <f t="array" ref="H586">if(YEAR(A586)=2025,XLOOKUP(B586,Lookup!$F$3:$F$10,Lookup!$G$3:$G$10,,1)*G586, XLOOKUP(B586,Lookup!$F$14:$F$21,Lookup!$G$14:$G$21,,1)*G586)</f>
        <v>0</v>
      </c>
      <c r="I586" s="61">
        <f t="array" ref="I586">if(B586&lt;55, if(YEAR(A586)=2025,XLOOKUP(B586,Lookup!$F$3:$F$10,Lookup!$H$3:$H$10,,1)*G586, XLOOKUP(B586,Lookup!$F$14:$F$21,Lookup!$H$14:$H$21,,1)*G586),0)</f>
        <v>0</v>
      </c>
      <c r="J586" s="61">
        <f t="array" ref="J586">if(YEAR(A586)=2025,XLOOKUP(B586,Lookup!$F$3:$F$10,Lookup!$I$3:$I$10,,1)*G586, XLOOKUP(B586,Lookup!$F$14:$F$21,Lookup!$I$14:$I$21,,1)*G586)</f>
        <v>0</v>
      </c>
      <c r="K586" s="61">
        <f t="array" ref="K586">if(B586&gt;54, if(YEAR(A586)=2025,XLOOKUP(B586,Lookup!$F$3:$F$10,Lookup!$H$3:$H$10,,1)*G586, XLOOKUP(B586,Lookup!$F$14:$F$21,Lookup!$H$14:$H$21,,1)*G586),0)</f>
        <v>0</v>
      </c>
      <c r="L586" s="62">
        <f>IF(and(A586&lt;questions!$C$19,questions!$C$18="yes"),questions!$C$20,0)</f>
        <v>0</v>
      </c>
      <c r="M586" s="63">
        <f>(Y585+H586)*Lookup!A$26/12</f>
        <v>2622.19668</v>
      </c>
      <c r="N586" s="63">
        <f>if(B586&lt;55, (Z585+I586)*Lookup!B$26/12, (AB585+K586)*Lookup!B$26/12)</f>
        <v>4661.21907</v>
      </c>
      <c r="O586" s="63">
        <f>(AA585+J586)*Lookup!C$26/12</f>
        <v>940.3700287</v>
      </c>
      <c r="P586" s="63">
        <f t="shared" si="8"/>
        <v>26221.9668</v>
      </c>
      <c r="Q586" s="63">
        <f t="shared" si="4"/>
        <v>46612.1907</v>
      </c>
      <c r="R586" s="63">
        <f t="shared" si="5"/>
        <v>9403.700287</v>
      </c>
      <c r="S586" s="64">
        <f t="shared" si="9"/>
        <v>33.33333333</v>
      </c>
      <c r="T586" s="64">
        <f t="shared" si="10"/>
        <v>41.66666667</v>
      </c>
      <c r="U586" s="64">
        <f t="shared" si="11"/>
        <v>0</v>
      </c>
      <c r="V586" s="64">
        <f t="shared" ref="V586:X586" si="594">IF(year($A586)=year($A585), V585+S586, S586)</f>
        <v>333.3333333</v>
      </c>
      <c r="W586" s="64">
        <f t="shared" si="594"/>
        <v>416.6666667</v>
      </c>
      <c r="X586" s="64">
        <f t="shared" si="594"/>
        <v>0</v>
      </c>
      <c r="Y586" s="65">
        <f>IFS(
  B586&lt;55,
    MAX(
      Y585 + IF(MONTH(A586)=12, P586+V586, 0) + H586 - L586
      + MAX(0,
          IF(AA585 &gt;= VLOOKUP(YEAR(A586), Lookup!$Q:$R, 2),
            Z585 + IF(MONTH(A586)=12, Q586+W586, 0) + I586
              + AA585 + IF(MONTH(A586)=12, R586+X586, 0)
              - VLOOKUP(YEAR(A586), Lookup!$Q:$R, 2) + J586,
            Z585 + IF(MONTH(A586)=12, Q586+W586, 0) + I586
          ) - VLOOKUP(YEAR(A586), Lookup!$K:$M, 3)
        ),
    0),
  B586=55,
    IF(Z585&gt;=AD586,
      MAX(Y585 + IF(MONTH(A586)=12, P586+V586, 0) + H586 - L586, 0),
      MAX(MAX(0, Y585-(AD586-Z585)) + IF(MONTH(A586)=12, P586+V586, 0) + H586 - L586, 0)
    ),
  B586&gt;55,
    IF(AB585&gt;=$AH$7,
      MAX(Y585 + IF(MONTH(A586)=12, P586+V586, 0) + H586 - L586 + K586 + Z585, 0),
      MAX(Y585 + IF(MONTH(A586)=12, P586+V586, 0) + H586 - L586, 0)
    )
)</f>
        <v>1258654.406</v>
      </c>
      <c r="Z586" s="65">
        <f>IFS(
  B586&lt;55,
    MIN(
      IF(AA585 &gt;= VLOOKUP(YEAR(A586), Lookup!$Q:$R, 2),
        Z585 + IF(MONTH(A586)=12, Q586+W586, 0) + I586
          + AA585 + IF(MONTH(A586)=12, R586+X586, 0) - VLOOKUP(YEAR(A586), Lookup!$Q:$R, 2) + J586,
        Z585 + IF(MONTH(A586)=12, Q586+W586, 0) + I586
      ),
      VLOOKUP(YEAR(A586), Lookup!$K:$M, 3)
    ),
  B586=55,
    IF(Z585 &gt;= AD586, Z585 - AD586, 0),
  B586&gt;55, 0
)</f>
        <v>0</v>
      </c>
      <c r="AA586" s="65">
        <f>IFS(
  B586&lt;65,
    IF(AA585+J586 &lt; VLOOKUP(YEAR(A586), Lookup!$Q:$R, 2),
      AA585 + IF(MONTH(A586)=12, R585+X585, 0) + J586,
      MIN(
        AA585 + IF(MONTH(A586)=12, R585+X585, 0) + J586 ,
        VLOOKUP(YEAR(A586), Lookup!$Q:$R, 2)
      )
    ),
  B586&gt;=65,
    IF(AA585+J586 &lt; VLOOKUP(questions!$C$5, Lookup!$Q:$R, 2),
      AA585 + IF(MONTH(A586)=12, R585+X585, 0) + J586 ,
      MIN(
        AA585 + IF(MONTH(A586)=12, R585+X585, 0) + J586,
        VLOOKUP(questions!$C$5, Lookup!$Q:$R, 2)
      )
    )
)</f>
        <v>282111.0086</v>
      </c>
      <c r="AB586" s="65">
        <f t="shared" si="13"/>
        <v>1398365.721</v>
      </c>
      <c r="AC586" s="66">
        <f t="array" ref="AC586">IFS(B586&lt;66, XLOOKUP(year(A586),Lookup!$K$13:$K1000,Lookup!$L$13:$L1000,"missing",,1),B586&gt;65,XLOOKUP(questions!$C$5,Lookup!$K$13:$K1000,Lookup!$L$13:$L1000,"missing",,1))</f>
        <v>393675.3633</v>
      </c>
      <c r="AD586" s="66">
        <f t="array" ref="AD586">IFS(B586&lt;66, XLOOKUP(year(A586),Lookup!$K$13:$K1000,Lookup!$M$13:$M1000,"missing",,1),B586&gt;65, XLOOKUP(questions!$C$5,Lookup!$K$13:$K1000,Lookup!$M$13:$M1000,"missing",,1))</f>
        <v>787350.7266</v>
      </c>
      <c r="AE586" s="66">
        <f t="array" ref="AE586">IFS(B586&lt;66, XLOOKUP(year(A586),Lookup!$K$13:$K1000,Lookup!$N$13:$N1000,"missing",,1),B586&gt;65,XLOOKUP(questions!$C$5,Lookup!$K$13:$K1000,Lookup!$N$13:$N1000,"missing",,1))</f>
        <v>1574701.453</v>
      </c>
      <c r="AF586" s="37"/>
      <c r="AG586" s="37"/>
      <c r="AH586" s="37"/>
      <c r="AI586" s="37"/>
      <c r="AJ586" s="37"/>
      <c r="AK586" s="37"/>
      <c r="AL586" s="37"/>
      <c r="AM586" s="37"/>
      <c r="AN586" s="37"/>
      <c r="AO586" s="37"/>
      <c r="AP586" s="37"/>
      <c r="AQ586" s="37"/>
    </row>
    <row r="587">
      <c r="A587" s="55">
        <f t="shared" si="7"/>
        <v>63888</v>
      </c>
      <c r="B587" s="56">
        <f>round(YEARFRAC(EOMONTH(questions!$C$3, 0),A587,1),2)</f>
        <v>76</v>
      </c>
      <c r="C587" s="58">
        <f>IF(B587&lt;questions!$C$6,if(MONTH(A587)=1,C586*(1+questions!$C$12),C586),0)</f>
        <v>0</v>
      </c>
      <c r="D587" s="58">
        <f>IF(MONTH(A587)=12,C587*questions!$C$11,0)</f>
        <v>0</v>
      </c>
      <c r="E587" s="71">
        <f t="shared" si="2"/>
        <v>0</v>
      </c>
      <c r="F587" s="71">
        <f t="shared" si="3"/>
        <v>0</v>
      </c>
      <c r="G587" s="61">
        <f t="array" ref="G587">if(YEAR(A587)=2025,XLOOKUP(B587,Lookup!$A$3:$A$7,Lookup!$D$3:$D$7,,1)*SUM(E587:F587), XLOOKUP(B587,Lookup!$A$14:$A$18,Lookup!$D$14:$D$18,,1)*SUM(E587:F587))</f>
        <v>0</v>
      </c>
      <c r="H587" s="61">
        <f t="array" ref="H587">if(YEAR(A587)=2025,XLOOKUP(B587,Lookup!$F$3:$F$10,Lookup!$G$3:$G$10,,1)*G587, XLOOKUP(B587,Lookup!$F$14:$F$21,Lookup!$G$14:$G$21,,1)*G587)</f>
        <v>0</v>
      </c>
      <c r="I587" s="61">
        <f t="array" ref="I587">if(B587&lt;55, if(YEAR(A587)=2025,XLOOKUP(B587,Lookup!$F$3:$F$10,Lookup!$H$3:$H$10,,1)*G587, XLOOKUP(B587,Lookup!$F$14:$F$21,Lookup!$H$14:$H$21,,1)*G587),0)</f>
        <v>0</v>
      </c>
      <c r="J587" s="61">
        <f t="array" ref="J587">if(YEAR(A587)=2025,XLOOKUP(B587,Lookup!$F$3:$F$10,Lookup!$I$3:$I$10,,1)*G587, XLOOKUP(B587,Lookup!$F$14:$F$21,Lookup!$I$14:$I$21,,1)*G587)</f>
        <v>0</v>
      </c>
      <c r="K587" s="61">
        <f t="array" ref="K587">if(B587&gt;54, if(YEAR(A587)=2025,XLOOKUP(B587,Lookup!$F$3:$F$10,Lookup!$H$3:$H$10,,1)*G587, XLOOKUP(B587,Lookup!$F$14:$F$21,Lookup!$H$14:$H$21,,1)*G587),0)</f>
        <v>0</v>
      </c>
      <c r="L587" s="62">
        <f>IF(and(A587&lt;questions!$C$19,questions!$C$18="yes"),questions!$C$20,0)</f>
        <v>0</v>
      </c>
      <c r="M587" s="63">
        <f>(Y586+H587)*Lookup!A$26/12</f>
        <v>2622.19668</v>
      </c>
      <c r="N587" s="63">
        <f>if(B587&lt;55, (Z586+I587)*Lookup!B$26/12, (AB586+K587)*Lookup!B$26/12)</f>
        <v>4661.21907</v>
      </c>
      <c r="O587" s="63">
        <f>(AA586+J587)*Lookup!C$26/12</f>
        <v>940.3700287</v>
      </c>
      <c r="P587" s="63">
        <f t="shared" si="8"/>
        <v>28844.16348</v>
      </c>
      <c r="Q587" s="63">
        <f t="shared" si="4"/>
        <v>51273.40977</v>
      </c>
      <c r="R587" s="63">
        <f t="shared" si="5"/>
        <v>10344.07032</v>
      </c>
      <c r="S587" s="64">
        <f t="shared" si="9"/>
        <v>33.33333333</v>
      </c>
      <c r="T587" s="64">
        <f t="shared" si="10"/>
        <v>41.66666667</v>
      </c>
      <c r="U587" s="64">
        <f t="shared" si="11"/>
        <v>0</v>
      </c>
      <c r="V587" s="64">
        <f t="shared" ref="V587:X587" si="595">IF(year($A587)=year($A586), V586+S587, S587)</f>
        <v>366.6666667</v>
      </c>
      <c r="W587" s="64">
        <f t="shared" si="595"/>
        <v>458.3333333</v>
      </c>
      <c r="X587" s="64">
        <f t="shared" si="595"/>
        <v>0</v>
      </c>
      <c r="Y587" s="65">
        <f>IFS(
  B587&lt;55,
    MAX(
      Y586 + IF(MONTH(A587)=12, P587+V587, 0) + H587 - L587
      + MAX(0,
          IF(AA586 &gt;= VLOOKUP(YEAR(A587), Lookup!$Q:$R, 2),
            Z586 + IF(MONTH(A587)=12, Q587+W587, 0) + I587
              + AA586 + IF(MONTH(A587)=12, R587+X587, 0)
              - VLOOKUP(YEAR(A587), Lookup!$Q:$R, 2) + J587,
            Z586 + IF(MONTH(A587)=12, Q587+W587, 0) + I587
          ) - VLOOKUP(YEAR(A587), Lookup!$K:$M, 3)
        ),
    0),
  B587=55,
    IF(Z586&gt;=AD587,
      MAX(Y586 + IF(MONTH(A587)=12, P587+V587, 0) + H587 - L587, 0),
      MAX(MAX(0, Y586-(AD587-Z586)) + IF(MONTH(A587)=12, P587+V587, 0) + H587 - L587, 0)
    ),
  B587&gt;55,
    IF(AB586&gt;=$AH$7,
      MAX(Y586 + IF(MONTH(A587)=12, P587+V587, 0) + H587 - L587 + K587 + Z586, 0),
      MAX(Y586 + IF(MONTH(A587)=12, P587+V587, 0) + H587 - L587, 0)
    )
)</f>
        <v>1258654.406</v>
      </c>
      <c r="Z587" s="65">
        <f>IFS(
  B587&lt;55,
    MIN(
      IF(AA586 &gt;= VLOOKUP(YEAR(A587), Lookup!$Q:$R, 2),
        Z586 + IF(MONTH(A587)=12, Q587+W587, 0) + I587
          + AA586 + IF(MONTH(A587)=12, R587+X587, 0) - VLOOKUP(YEAR(A587), Lookup!$Q:$R, 2) + J587,
        Z586 + IF(MONTH(A587)=12, Q587+W587, 0) + I587
      ),
      VLOOKUP(YEAR(A587), Lookup!$K:$M, 3)
    ),
  B587=55,
    IF(Z586 &gt;= AD587, Z586 - AD587, 0),
  B587&gt;55, 0
)</f>
        <v>0</v>
      </c>
      <c r="AA587" s="65">
        <f>IFS(
  B587&lt;65,
    IF(AA586+J587 &lt; VLOOKUP(YEAR(A587), Lookup!$Q:$R, 2),
      AA586 + IF(MONTH(A587)=12, R586+X586, 0) + J587,
      MIN(
        AA586 + IF(MONTH(A587)=12, R586+X586, 0) + J587 ,
        VLOOKUP(YEAR(A587), Lookup!$Q:$R, 2)
      )
    ),
  B587&gt;=65,
    IF(AA586+J587 &lt; VLOOKUP(questions!$C$5, Lookup!$Q:$R, 2),
      AA586 + IF(MONTH(A587)=12, R586+X586, 0) + J587 ,
      MIN(
        AA586 + IF(MONTH(A587)=12, R586+X586, 0) + J587,
        VLOOKUP(questions!$C$5, Lookup!$Q:$R, 2)
      )
    )
)</f>
        <v>282111.0086</v>
      </c>
      <c r="AB587" s="65">
        <f t="shared" si="13"/>
        <v>1398365.721</v>
      </c>
      <c r="AC587" s="66">
        <f t="array" ref="AC587">IFS(B587&lt;66, XLOOKUP(year(A587),Lookup!$K$13:$K1000,Lookup!$L$13:$L1000,"missing",,1),B587&gt;65,XLOOKUP(questions!$C$5,Lookup!$K$13:$K1000,Lookup!$L$13:$L1000,"missing",,1))</f>
        <v>393675.3633</v>
      </c>
      <c r="AD587" s="66">
        <f t="array" ref="AD587">IFS(B587&lt;66, XLOOKUP(year(A587),Lookup!$K$13:$K1000,Lookup!$M$13:$M1000,"missing",,1),B587&gt;65, XLOOKUP(questions!$C$5,Lookup!$K$13:$K1000,Lookup!$M$13:$M1000,"missing",,1))</f>
        <v>787350.7266</v>
      </c>
      <c r="AE587" s="66">
        <f t="array" ref="AE587">IFS(B587&lt;66, XLOOKUP(year(A587),Lookup!$K$13:$K1000,Lookup!$N$13:$N1000,"missing",,1),B587&gt;65,XLOOKUP(questions!$C$5,Lookup!$K$13:$K1000,Lookup!$N$13:$N1000,"missing",,1))</f>
        <v>1574701.453</v>
      </c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  <c r="AQ587" s="37"/>
    </row>
    <row r="588">
      <c r="A588" s="55">
        <f t="shared" si="7"/>
        <v>63919</v>
      </c>
      <c r="B588" s="56">
        <f>round(YEARFRAC(EOMONTH(questions!$C$3, 0),A588,1),2)</f>
        <v>76.08</v>
      </c>
      <c r="C588" s="58">
        <f>IF(B588&lt;questions!$C$6,if(MONTH(A588)=1,C587*(1+questions!$C$12),C587),0)</f>
        <v>0</v>
      </c>
      <c r="D588" s="58">
        <f>IF(MONTH(A588)=12,C588*questions!$C$11,0)</f>
        <v>0</v>
      </c>
      <c r="E588" s="71">
        <f t="shared" si="2"/>
        <v>0</v>
      </c>
      <c r="F588" s="71">
        <f t="shared" si="3"/>
        <v>0</v>
      </c>
      <c r="G588" s="61">
        <f t="array" ref="G588">if(YEAR(A588)=2025,XLOOKUP(B588,Lookup!$A$3:$A$7,Lookup!$D$3:$D$7,,1)*SUM(E588:F588), XLOOKUP(B588,Lookup!$A$14:$A$18,Lookup!$D$14:$D$18,,1)*SUM(E588:F588))</f>
        <v>0</v>
      </c>
      <c r="H588" s="61">
        <f t="array" ref="H588">if(YEAR(A588)=2025,XLOOKUP(B588,Lookup!$F$3:$F$10,Lookup!$G$3:$G$10,,1)*G588, XLOOKUP(B588,Lookup!$F$14:$F$21,Lookup!$G$14:$G$21,,1)*G588)</f>
        <v>0</v>
      </c>
      <c r="I588" s="61">
        <f t="array" ref="I588">if(B588&lt;55, if(YEAR(A588)=2025,XLOOKUP(B588,Lookup!$F$3:$F$10,Lookup!$H$3:$H$10,,1)*G588, XLOOKUP(B588,Lookup!$F$14:$F$21,Lookup!$H$14:$H$21,,1)*G588),0)</f>
        <v>0</v>
      </c>
      <c r="J588" s="61">
        <f t="array" ref="J588">if(YEAR(A588)=2025,XLOOKUP(B588,Lookup!$F$3:$F$10,Lookup!$I$3:$I$10,,1)*G588, XLOOKUP(B588,Lookup!$F$14:$F$21,Lookup!$I$14:$I$21,,1)*G588)</f>
        <v>0</v>
      </c>
      <c r="K588" s="61">
        <f t="array" ref="K588">if(B588&gt;54, if(YEAR(A588)=2025,XLOOKUP(B588,Lookup!$F$3:$F$10,Lookup!$H$3:$H$10,,1)*G588, XLOOKUP(B588,Lookup!$F$14:$F$21,Lookup!$H$14:$H$21,,1)*G588),0)</f>
        <v>0</v>
      </c>
      <c r="L588" s="62">
        <f>IF(and(A588&lt;questions!$C$19,questions!$C$18="yes"),questions!$C$20,0)</f>
        <v>0</v>
      </c>
      <c r="M588" s="63">
        <f>(Y587+H588)*Lookup!A$26/12</f>
        <v>2622.19668</v>
      </c>
      <c r="N588" s="63">
        <f>if(B588&lt;55, (Z587+I588)*Lookup!B$26/12, (AB587+K588)*Lookup!B$26/12)</f>
        <v>4661.21907</v>
      </c>
      <c r="O588" s="63">
        <f>(AA587+J588)*Lookup!C$26/12</f>
        <v>940.3700287</v>
      </c>
      <c r="P588" s="63">
        <f t="shared" si="8"/>
        <v>31466.36016</v>
      </c>
      <c r="Q588" s="63">
        <f t="shared" si="4"/>
        <v>55934.62884</v>
      </c>
      <c r="R588" s="63">
        <f t="shared" si="5"/>
        <v>11284.44034</v>
      </c>
      <c r="S588" s="64">
        <f t="shared" si="9"/>
        <v>33.33333333</v>
      </c>
      <c r="T588" s="64">
        <f t="shared" si="10"/>
        <v>41.66666667</v>
      </c>
      <c r="U588" s="64">
        <f t="shared" si="11"/>
        <v>0</v>
      </c>
      <c r="V588" s="64">
        <f t="shared" ref="V588:X588" si="596">IF(year($A588)=year($A587), V587+S588, S588)</f>
        <v>400</v>
      </c>
      <c r="W588" s="64">
        <f t="shared" si="596"/>
        <v>500</v>
      </c>
      <c r="X588" s="64">
        <f t="shared" si="596"/>
        <v>0</v>
      </c>
      <c r="Y588" s="65">
        <f>IFS(
  B588&lt;55,
    MAX(
      Y587 + IF(MONTH(A588)=12, P588+V588, 0) + H588 - L588
      + MAX(0,
          IF(AA587 &gt;= VLOOKUP(YEAR(A588), Lookup!$Q:$R, 2),
            Z587 + IF(MONTH(A588)=12, Q588+W588, 0) + I588
              + AA587 + IF(MONTH(A588)=12, R588+X588, 0)
              - VLOOKUP(YEAR(A588), Lookup!$Q:$R, 2) + J588,
            Z587 + IF(MONTH(A588)=12, Q588+W588, 0) + I588
          ) - VLOOKUP(YEAR(A588), Lookup!$K:$M, 3)
        ),
    0),
  B588=55,
    IF(Z587&gt;=AD588,
      MAX(Y587 + IF(MONTH(A588)=12, P588+V588, 0) + H588 - L588, 0),
      MAX(MAX(0, Y587-(AD588-Z587)) + IF(MONTH(A588)=12, P588+V588, 0) + H588 - L588, 0)
    ),
  B588&gt;55,
    IF(AB587&gt;=$AH$7,
      MAX(Y587 + IF(MONTH(A588)=12, P588+V588, 0) + H588 - L588 + K588 + Z587, 0),
      MAX(Y587 + IF(MONTH(A588)=12, P588+V588, 0) + H588 - L588, 0)
    )
)</f>
        <v>1290520.766</v>
      </c>
      <c r="Z588" s="65">
        <f>IFS(
  B588&lt;55,
    MIN(
      IF(AA587 &gt;= VLOOKUP(YEAR(A588), Lookup!$Q:$R, 2),
        Z587 + IF(MONTH(A588)=12, Q588+W588, 0) + I588
          + AA587 + IF(MONTH(A588)=12, R588+X588, 0) - VLOOKUP(YEAR(A588), Lookup!$Q:$R, 2) + J588,
        Z587 + IF(MONTH(A588)=12, Q588+W588, 0) + I588
      ),
      VLOOKUP(YEAR(A588), Lookup!$K:$M, 3)
    ),
  B588=55,
    IF(Z587 &gt;= AD588, Z587 - AD588, 0),
  B588&gt;55, 0
)</f>
        <v>0</v>
      </c>
      <c r="AA588" s="65">
        <f>IFS(
  B588&lt;65,
    IF(AA587+J588 &lt; VLOOKUP(YEAR(A588), Lookup!$Q:$R, 2),
      AA587 + IF(MONTH(A588)=12, R587+X587, 0) + J588,
      MIN(
        AA587 + IF(MONTH(A588)=12, R587+X587, 0) + J588 ,
        VLOOKUP(YEAR(A588), Lookup!$Q:$R, 2)
      )
    ),
  B588&gt;=65,
    IF(AA587+J588 &lt; VLOOKUP(questions!$C$5, Lookup!$Q:$R, 2),
      AA587 + IF(MONTH(A588)=12, R587+X587, 0) + J588 ,
      MIN(
        AA587 + IF(MONTH(A588)=12, R587+X587, 0) + J588,
        VLOOKUP(questions!$C$5, Lookup!$Q:$R, 2)
      )
    )
)</f>
        <v>282111.0086</v>
      </c>
      <c r="AB588" s="65">
        <f t="shared" si="13"/>
        <v>1454800.35</v>
      </c>
      <c r="AC588" s="66">
        <f t="array" ref="AC588">IFS(B588&lt;66, XLOOKUP(year(A588),Lookup!$K$13:$K1000,Lookup!$L$13:$L1000,"missing",,1),B588&gt;65,XLOOKUP(questions!$C$5,Lookup!$K$13:$K1000,Lookup!$L$13:$L1000,"missing",,1))</f>
        <v>393675.3633</v>
      </c>
      <c r="AD588" s="66">
        <f t="array" ref="AD588">IFS(B588&lt;66, XLOOKUP(year(A588),Lookup!$K$13:$K1000,Lookup!$M$13:$M1000,"missing",,1),B588&gt;65, XLOOKUP(questions!$C$5,Lookup!$K$13:$K1000,Lookup!$M$13:$M1000,"missing",,1))</f>
        <v>787350.7266</v>
      </c>
      <c r="AE588" s="66">
        <f t="array" ref="AE588">IFS(B588&lt;66, XLOOKUP(year(A588),Lookup!$K$13:$K1000,Lookup!$N$13:$N1000,"missing",,1),B588&gt;65,XLOOKUP(questions!$C$5,Lookup!$K$13:$K1000,Lookup!$N$13:$N1000,"missing",,1))</f>
        <v>1574701.453</v>
      </c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7"/>
      <c r="AQ588" s="37"/>
    </row>
    <row r="589">
      <c r="A589" s="55">
        <f t="shared" si="7"/>
        <v>63950</v>
      </c>
      <c r="B589" s="56">
        <f>round(YEARFRAC(EOMONTH(questions!$C$3, 0),A589,1),2)</f>
        <v>76.17</v>
      </c>
      <c r="C589" s="58">
        <f>IF(B589&lt;questions!$C$6,if(MONTH(A589)=1,C588*(1+questions!$C$12),C588),0)</f>
        <v>0</v>
      </c>
      <c r="D589" s="58">
        <f>IF(MONTH(A589)=12,C589*questions!$C$11,0)</f>
        <v>0</v>
      </c>
      <c r="E589" s="71">
        <f t="shared" si="2"/>
        <v>0</v>
      </c>
      <c r="F589" s="71">
        <f t="shared" si="3"/>
        <v>0</v>
      </c>
      <c r="G589" s="61">
        <f t="array" ref="G589">if(YEAR(A589)=2025,XLOOKUP(B589,Lookup!$A$3:$A$7,Lookup!$D$3:$D$7,,1)*SUM(E589:F589), XLOOKUP(B589,Lookup!$A$14:$A$18,Lookup!$D$14:$D$18,,1)*SUM(E589:F589))</f>
        <v>0</v>
      </c>
      <c r="H589" s="61">
        <f t="array" ref="H589">if(YEAR(A589)=2025,XLOOKUP(B589,Lookup!$F$3:$F$10,Lookup!$G$3:$G$10,,1)*G589, XLOOKUP(B589,Lookup!$F$14:$F$21,Lookup!$G$14:$G$21,,1)*G589)</f>
        <v>0</v>
      </c>
      <c r="I589" s="61">
        <f t="array" ref="I589">if(B589&lt;55, if(YEAR(A589)=2025,XLOOKUP(B589,Lookup!$F$3:$F$10,Lookup!$H$3:$H$10,,1)*G589, XLOOKUP(B589,Lookup!$F$14:$F$21,Lookup!$H$14:$H$21,,1)*G589),0)</f>
        <v>0</v>
      </c>
      <c r="J589" s="61">
        <f t="array" ref="J589">if(YEAR(A589)=2025,XLOOKUP(B589,Lookup!$F$3:$F$10,Lookup!$I$3:$I$10,,1)*G589, XLOOKUP(B589,Lookup!$F$14:$F$21,Lookup!$I$14:$I$21,,1)*G589)</f>
        <v>0</v>
      </c>
      <c r="K589" s="61">
        <f t="array" ref="K589">if(B589&gt;54, if(YEAR(A589)=2025,XLOOKUP(B589,Lookup!$F$3:$F$10,Lookup!$H$3:$H$10,,1)*G589, XLOOKUP(B589,Lookup!$F$14:$F$21,Lookup!$H$14:$H$21,,1)*G589),0)</f>
        <v>0</v>
      </c>
      <c r="L589" s="62">
        <f>IF(and(A589&lt;questions!$C$19,questions!$C$18="yes"),questions!$C$20,0)</f>
        <v>0</v>
      </c>
      <c r="M589" s="63">
        <f>(Y588+H589)*Lookup!A$26/12</f>
        <v>2688.58493</v>
      </c>
      <c r="N589" s="63">
        <f>if(B589&lt;55, (Z588+I589)*Lookup!B$26/12, (AB588+K589)*Lookup!B$26/12)</f>
        <v>4849.3345</v>
      </c>
      <c r="O589" s="63">
        <f>(AA588+J589)*Lookup!C$26/12</f>
        <v>940.3700287</v>
      </c>
      <c r="P589" s="63">
        <f t="shared" si="8"/>
        <v>2688.58493</v>
      </c>
      <c r="Q589" s="63">
        <f t="shared" si="4"/>
        <v>4849.3345</v>
      </c>
      <c r="R589" s="63">
        <f t="shared" si="5"/>
        <v>940.3700287</v>
      </c>
      <c r="S589" s="64">
        <f t="shared" si="9"/>
        <v>33.33333333</v>
      </c>
      <c r="T589" s="64">
        <f t="shared" si="10"/>
        <v>41.66666667</v>
      </c>
      <c r="U589" s="64">
        <f t="shared" si="11"/>
        <v>0</v>
      </c>
      <c r="V589" s="64">
        <f t="shared" ref="V589:X589" si="597">IF(year($A589)=year($A588), V588+S589, S589)</f>
        <v>33.33333333</v>
      </c>
      <c r="W589" s="64">
        <f t="shared" si="597"/>
        <v>41.66666667</v>
      </c>
      <c r="X589" s="64">
        <f t="shared" si="597"/>
        <v>0</v>
      </c>
      <c r="Y589" s="65">
        <f>IFS(
  B589&lt;55,
    MAX(
      Y588 + IF(MONTH(A589)=12, P589+V589, 0) + H589 - L589
      + MAX(0,
          IF(AA588 &gt;= VLOOKUP(YEAR(A589), Lookup!$Q:$R, 2),
            Z588 + IF(MONTH(A589)=12, Q589+W589, 0) + I589
              + AA588 + IF(MONTH(A589)=12, R589+X589, 0)
              - VLOOKUP(YEAR(A589), Lookup!$Q:$R, 2) + J589,
            Z588 + IF(MONTH(A589)=12, Q589+W589, 0) + I589
          ) - VLOOKUP(YEAR(A589), Lookup!$K:$M, 3)
        ),
    0),
  B589=55,
    IF(Z588&gt;=AD589,
      MAX(Y588 + IF(MONTH(A589)=12, P589+V589, 0) + H589 - L589, 0),
      MAX(MAX(0, Y588-(AD589-Z588)) + IF(MONTH(A589)=12, P589+V589, 0) + H589 - L589, 0)
    ),
  B589&gt;55,
    IF(AB588&gt;=$AH$7,
      MAX(Y588 + IF(MONTH(A589)=12, P589+V589, 0) + H589 - L589 + K589 + Z588, 0),
      MAX(Y588 + IF(MONTH(A589)=12, P589+V589, 0) + H589 - L589, 0)
    )
)</f>
        <v>1290520.766</v>
      </c>
      <c r="Z589" s="65">
        <f>IFS(
  B589&lt;55,
    MIN(
      IF(AA588 &gt;= VLOOKUP(YEAR(A589), Lookup!$Q:$R, 2),
        Z588 + IF(MONTH(A589)=12, Q589+W589, 0) + I589
          + AA588 + IF(MONTH(A589)=12, R589+X589, 0) - VLOOKUP(YEAR(A589), Lookup!$Q:$R, 2) + J589,
        Z588 + IF(MONTH(A589)=12, Q589+W589, 0) + I589
      ),
      VLOOKUP(YEAR(A589), Lookup!$K:$M, 3)
    ),
  B589=55,
    IF(Z588 &gt;= AD589, Z588 - AD589, 0),
  B589&gt;55, 0
)</f>
        <v>0</v>
      </c>
      <c r="AA589" s="65">
        <f>IFS(
  B589&lt;65,
    IF(AA588+J589 &lt; VLOOKUP(YEAR(A589), Lookup!$Q:$R, 2),
      AA588 + IF(MONTH(A589)=12, R588+X588, 0) + J589,
      MIN(
        AA588 + IF(MONTH(A589)=12, R588+X588, 0) + J589 ,
        VLOOKUP(YEAR(A589), Lookup!$Q:$R, 2)
      )
    ),
  B589&gt;=65,
    IF(AA588+J589 &lt; VLOOKUP(questions!$C$5, Lookup!$Q:$R, 2),
      AA588 + IF(MONTH(A589)=12, R588+X588, 0) + J589 ,
      MIN(
        AA588 + IF(MONTH(A589)=12, R588+X588, 0) + J589,
        VLOOKUP(questions!$C$5, Lookup!$Q:$R, 2)
      )
    )
)</f>
        <v>282111.0086</v>
      </c>
      <c r="AB589" s="65">
        <f t="shared" si="13"/>
        <v>1454800.35</v>
      </c>
      <c r="AC589" s="66">
        <f t="array" ref="AC589">IFS(B589&lt;66, XLOOKUP(year(A589),Lookup!$K$13:$K1000,Lookup!$L$13:$L1000,"missing",,1),B589&gt;65,XLOOKUP(questions!$C$5,Lookup!$K$13:$K1000,Lookup!$L$13:$L1000,"missing",,1))</f>
        <v>393675.3633</v>
      </c>
      <c r="AD589" s="66">
        <f t="array" ref="AD589">IFS(B589&lt;66, XLOOKUP(year(A589),Lookup!$K$13:$K1000,Lookup!$M$13:$M1000,"missing",,1),B589&gt;65, XLOOKUP(questions!$C$5,Lookup!$K$13:$K1000,Lookup!$M$13:$M1000,"missing",,1))</f>
        <v>787350.7266</v>
      </c>
      <c r="AE589" s="66">
        <f t="array" ref="AE589">IFS(B589&lt;66, XLOOKUP(year(A589),Lookup!$K$13:$K1000,Lookup!$N$13:$N1000,"missing",,1),B589&gt;65,XLOOKUP(questions!$C$5,Lookup!$K$13:$K1000,Lookup!$N$13:$N1000,"missing",,1))</f>
        <v>1574701.453</v>
      </c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7"/>
      <c r="AQ589" s="37"/>
    </row>
    <row r="590">
      <c r="A590" s="55">
        <f t="shared" si="7"/>
        <v>63978</v>
      </c>
      <c r="B590" s="56">
        <f>round(YEARFRAC(EOMONTH(questions!$C$3, 0),A590,1),2)</f>
        <v>76.25</v>
      </c>
      <c r="C590" s="58">
        <f>IF(B590&lt;questions!$C$6,if(MONTH(A590)=1,C589*(1+questions!$C$12),C589),0)</f>
        <v>0</v>
      </c>
      <c r="D590" s="58">
        <f>IF(MONTH(A590)=12,C590*questions!$C$11,0)</f>
        <v>0</v>
      </c>
      <c r="E590" s="71">
        <f t="shared" si="2"/>
        <v>0</v>
      </c>
      <c r="F590" s="71">
        <f t="shared" si="3"/>
        <v>0</v>
      </c>
      <c r="G590" s="61">
        <f t="array" ref="G590">if(YEAR(A590)=2025,XLOOKUP(B590,Lookup!$A$3:$A$7,Lookup!$D$3:$D$7,,1)*SUM(E590:F590), XLOOKUP(B590,Lookup!$A$14:$A$18,Lookup!$D$14:$D$18,,1)*SUM(E590:F590))</f>
        <v>0</v>
      </c>
      <c r="H590" s="61">
        <f t="array" ref="H590">if(YEAR(A590)=2025,XLOOKUP(B590,Lookup!$F$3:$F$10,Lookup!$G$3:$G$10,,1)*G590, XLOOKUP(B590,Lookup!$F$14:$F$21,Lookup!$G$14:$G$21,,1)*G590)</f>
        <v>0</v>
      </c>
      <c r="I590" s="61">
        <f t="array" ref="I590">if(B590&lt;55, if(YEAR(A590)=2025,XLOOKUP(B590,Lookup!$F$3:$F$10,Lookup!$H$3:$H$10,,1)*G590, XLOOKUP(B590,Lookup!$F$14:$F$21,Lookup!$H$14:$H$21,,1)*G590),0)</f>
        <v>0</v>
      </c>
      <c r="J590" s="61">
        <f t="array" ref="J590">if(YEAR(A590)=2025,XLOOKUP(B590,Lookup!$F$3:$F$10,Lookup!$I$3:$I$10,,1)*G590, XLOOKUP(B590,Lookup!$F$14:$F$21,Lookup!$I$14:$I$21,,1)*G590)</f>
        <v>0</v>
      </c>
      <c r="K590" s="61">
        <f t="array" ref="K590">if(B590&gt;54, if(YEAR(A590)=2025,XLOOKUP(B590,Lookup!$F$3:$F$10,Lookup!$H$3:$H$10,,1)*G590, XLOOKUP(B590,Lookup!$F$14:$F$21,Lookup!$H$14:$H$21,,1)*G590),0)</f>
        <v>0</v>
      </c>
      <c r="L590" s="62">
        <f>IF(and(A590&lt;questions!$C$19,questions!$C$18="yes"),questions!$C$20,0)</f>
        <v>0</v>
      </c>
      <c r="M590" s="63">
        <f>(Y589+H590)*Lookup!A$26/12</f>
        <v>2688.58493</v>
      </c>
      <c r="N590" s="63">
        <f>if(B590&lt;55, (Z589+I590)*Lookup!B$26/12, (AB589+K590)*Lookup!B$26/12)</f>
        <v>4849.3345</v>
      </c>
      <c r="O590" s="63">
        <f>(AA589+J590)*Lookup!C$26/12</f>
        <v>940.3700287</v>
      </c>
      <c r="P590" s="63">
        <f t="shared" si="8"/>
        <v>5377.16986</v>
      </c>
      <c r="Q590" s="63">
        <f t="shared" si="4"/>
        <v>9698.668999</v>
      </c>
      <c r="R590" s="63">
        <f t="shared" si="5"/>
        <v>1880.740057</v>
      </c>
      <c r="S590" s="64">
        <f t="shared" si="9"/>
        <v>33.33333333</v>
      </c>
      <c r="T590" s="64">
        <f t="shared" si="10"/>
        <v>41.66666667</v>
      </c>
      <c r="U590" s="64">
        <f t="shared" si="11"/>
        <v>0</v>
      </c>
      <c r="V590" s="64">
        <f t="shared" ref="V590:X590" si="598">IF(year($A590)=year($A589), V589+S590, S590)</f>
        <v>66.66666667</v>
      </c>
      <c r="W590" s="64">
        <f t="shared" si="598"/>
        <v>83.33333333</v>
      </c>
      <c r="X590" s="64">
        <f t="shared" si="598"/>
        <v>0</v>
      </c>
      <c r="Y590" s="65">
        <f>IFS(
  B590&lt;55,
    MAX(
      Y589 + IF(MONTH(A590)=12, P590+V590, 0) + H590 - L590
      + MAX(0,
          IF(AA589 &gt;= VLOOKUP(YEAR(A590), Lookup!$Q:$R, 2),
            Z589 + IF(MONTH(A590)=12, Q590+W590, 0) + I590
              + AA589 + IF(MONTH(A590)=12, R590+X590, 0)
              - VLOOKUP(YEAR(A590), Lookup!$Q:$R, 2) + J590,
            Z589 + IF(MONTH(A590)=12, Q590+W590, 0) + I590
          ) - VLOOKUP(YEAR(A590), Lookup!$K:$M, 3)
        ),
    0),
  B590=55,
    IF(Z589&gt;=AD590,
      MAX(Y589 + IF(MONTH(A590)=12, P590+V590, 0) + H590 - L590, 0),
      MAX(MAX(0, Y589-(AD590-Z589)) + IF(MONTH(A590)=12, P590+V590, 0) + H590 - L590, 0)
    ),
  B590&gt;55,
    IF(AB589&gt;=$AH$7,
      MAX(Y589 + IF(MONTH(A590)=12, P590+V590, 0) + H590 - L590 + K590 + Z589, 0),
      MAX(Y589 + IF(MONTH(A590)=12, P590+V590, 0) + H590 - L590, 0)
    )
)</f>
        <v>1290520.766</v>
      </c>
      <c r="Z590" s="65">
        <f>IFS(
  B590&lt;55,
    MIN(
      IF(AA589 &gt;= VLOOKUP(YEAR(A590), Lookup!$Q:$R, 2),
        Z589 + IF(MONTH(A590)=12, Q590+W590, 0) + I590
          + AA589 + IF(MONTH(A590)=12, R590+X590, 0) - VLOOKUP(YEAR(A590), Lookup!$Q:$R, 2) + J590,
        Z589 + IF(MONTH(A590)=12, Q590+W590, 0) + I590
      ),
      VLOOKUP(YEAR(A590), Lookup!$K:$M, 3)
    ),
  B590=55,
    IF(Z589 &gt;= AD590, Z589 - AD590, 0),
  B590&gt;55, 0
)</f>
        <v>0</v>
      </c>
      <c r="AA590" s="65">
        <f>IFS(
  B590&lt;65,
    IF(AA589+J590 &lt; VLOOKUP(YEAR(A590), Lookup!$Q:$R, 2),
      AA589 + IF(MONTH(A590)=12, R589+X589, 0) + J590,
      MIN(
        AA589 + IF(MONTH(A590)=12, R589+X589, 0) + J590 ,
        VLOOKUP(YEAR(A590), Lookup!$Q:$R, 2)
      )
    ),
  B590&gt;=65,
    IF(AA589+J590 &lt; VLOOKUP(questions!$C$5, Lookup!$Q:$R, 2),
      AA589 + IF(MONTH(A590)=12, R589+X589, 0) + J590 ,
      MIN(
        AA589 + IF(MONTH(A590)=12, R589+X589, 0) + J590,
        VLOOKUP(questions!$C$5, Lookup!$Q:$R, 2)
      )
    )
)</f>
        <v>282111.0086</v>
      </c>
      <c r="AB590" s="65">
        <f t="shared" si="13"/>
        <v>1454800.35</v>
      </c>
      <c r="AC590" s="66">
        <f t="array" ref="AC590">IFS(B590&lt;66, XLOOKUP(year(A590),Lookup!$K$13:$K1000,Lookup!$L$13:$L1000,"missing",,1),B590&gt;65,XLOOKUP(questions!$C$5,Lookup!$K$13:$K1000,Lookup!$L$13:$L1000,"missing",,1))</f>
        <v>393675.3633</v>
      </c>
      <c r="AD590" s="66">
        <f t="array" ref="AD590">IFS(B590&lt;66, XLOOKUP(year(A590),Lookup!$K$13:$K1000,Lookup!$M$13:$M1000,"missing",,1),B590&gt;65, XLOOKUP(questions!$C$5,Lookup!$K$13:$K1000,Lookup!$M$13:$M1000,"missing",,1))</f>
        <v>787350.7266</v>
      </c>
      <c r="AE590" s="66">
        <f t="array" ref="AE590">IFS(B590&lt;66, XLOOKUP(year(A590),Lookup!$K$13:$K1000,Lookup!$N$13:$N1000,"missing",,1),B590&gt;65,XLOOKUP(questions!$C$5,Lookup!$K$13:$K1000,Lookup!$N$13:$N1000,"missing",,1))</f>
        <v>1574701.453</v>
      </c>
      <c r="AF590" s="37"/>
      <c r="AG590" s="37"/>
      <c r="AH590" s="37"/>
      <c r="AI590" s="37"/>
      <c r="AJ590" s="37"/>
      <c r="AK590" s="37"/>
      <c r="AL590" s="37"/>
      <c r="AM590" s="37"/>
      <c r="AN590" s="37"/>
      <c r="AO590" s="37"/>
      <c r="AP590" s="37"/>
      <c r="AQ590" s="37"/>
    </row>
    <row r="591">
      <c r="A591" s="55">
        <f t="shared" si="7"/>
        <v>64009</v>
      </c>
      <c r="B591" s="56">
        <f>round(YEARFRAC(EOMONTH(questions!$C$3, 0),A591,1),2)</f>
        <v>76.33</v>
      </c>
      <c r="C591" s="58">
        <f>IF(B591&lt;questions!$C$6,if(MONTH(A591)=1,C590*(1+questions!$C$12),C590),0)</f>
        <v>0</v>
      </c>
      <c r="D591" s="58">
        <f>IF(MONTH(A591)=12,C591*questions!$C$11,0)</f>
        <v>0</v>
      </c>
      <c r="E591" s="71">
        <f t="shared" si="2"/>
        <v>0</v>
      </c>
      <c r="F591" s="71">
        <f t="shared" si="3"/>
        <v>0</v>
      </c>
      <c r="G591" s="61">
        <f t="array" ref="G591">if(YEAR(A591)=2025,XLOOKUP(B591,Lookup!$A$3:$A$7,Lookup!$D$3:$D$7,,1)*SUM(E591:F591), XLOOKUP(B591,Lookup!$A$14:$A$18,Lookup!$D$14:$D$18,,1)*SUM(E591:F591))</f>
        <v>0</v>
      </c>
      <c r="H591" s="61">
        <f t="array" ref="H591">if(YEAR(A591)=2025,XLOOKUP(B591,Lookup!$F$3:$F$10,Lookup!$G$3:$G$10,,1)*G591, XLOOKUP(B591,Lookup!$F$14:$F$21,Lookup!$G$14:$G$21,,1)*G591)</f>
        <v>0</v>
      </c>
      <c r="I591" s="61">
        <f t="array" ref="I591">if(B591&lt;55, if(YEAR(A591)=2025,XLOOKUP(B591,Lookup!$F$3:$F$10,Lookup!$H$3:$H$10,,1)*G591, XLOOKUP(B591,Lookup!$F$14:$F$21,Lookup!$H$14:$H$21,,1)*G591),0)</f>
        <v>0</v>
      </c>
      <c r="J591" s="61">
        <f t="array" ref="J591">if(YEAR(A591)=2025,XLOOKUP(B591,Lookup!$F$3:$F$10,Lookup!$I$3:$I$10,,1)*G591, XLOOKUP(B591,Lookup!$F$14:$F$21,Lookup!$I$14:$I$21,,1)*G591)</f>
        <v>0</v>
      </c>
      <c r="K591" s="61">
        <f t="array" ref="K591">if(B591&gt;54, if(YEAR(A591)=2025,XLOOKUP(B591,Lookup!$F$3:$F$10,Lookup!$H$3:$H$10,,1)*G591, XLOOKUP(B591,Lookup!$F$14:$F$21,Lookup!$H$14:$H$21,,1)*G591),0)</f>
        <v>0</v>
      </c>
      <c r="L591" s="62">
        <f>IF(and(A591&lt;questions!$C$19,questions!$C$18="yes"),questions!$C$20,0)</f>
        <v>0</v>
      </c>
      <c r="M591" s="63">
        <f>(Y590+H591)*Lookup!A$26/12</f>
        <v>2688.58493</v>
      </c>
      <c r="N591" s="63">
        <f>if(B591&lt;55, (Z590+I591)*Lookup!B$26/12, (AB590+K591)*Lookup!B$26/12)</f>
        <v>4849.3345</v>
      </c>
      <c r="O591" s="63">
        <f>(AA590+J591)*Lookup!C$26/12</f>
        <v>940.3700287</v>
      </c>
      <c r="P591" s="63">
        <f t="shared" si="8"/>
        <v>8065.754791</v>
      </c>
      <c r="Q591" s="63">
        <f t="shared" si="4"/>
        <v>14548.0035</v>
      </c>
      <c r="R591" s="63">
        <f t="shared" si="5"/>
        <v>2821.110086</v>
      </c>
      <c r="S591" s="64">
        <f t="shared" si="9"/>
        <v>33.33333333</v>
      </c>
      <c r="T591" s="64">
        <f t="shared" si="10"/>
        <v>41.66666667</v>
      </c>
      <c r="U591" s="64">
        <f t="shared" si="11"/>
        <v>0</v>
      </c>
      <c r="V591" s="64">
        <f t="shared" ref="V591:X591" si="599">IF(year($A591)=year($A590), V590+S591, S591)</f>
        <v>100</v>
      </c>
      <c r="W591" s="64">
        <f t="shared" si="599"/>
        <v>125</v>
      </c>
      <c r="X591" s="64">
        <f t="shared" si="599"/>
        <v>0</v>
      </c>
      <c r="Y591" s="65">
        <f>IFS(
  B591&lt;55,
    MAX(
      Y590 + IF(MONTH(A591)=12, P591+V591, 0) + H591 - L591
      + MAX(0,
          IF(AA590 &gt;= VLOOKUP(YEAR(A591), Lookup!$Q:$R, 2),
            Z590 + IF(MONTH(A591)=12, Q591+W591, 0) + I591
              + AA590 + IF(MONTH(A591)=12, R591+X591, 0)
              - VLOOKUP(YEAR(A591), Lookup!$Q:$R, 2) + J591,
            Z590 + IF(MONTH(A591)=12, Q591+W591, 0) + I591
          ) - VLOOKUP(YEAR(A591), Lookup!$K:$M, 3)
        ),
    0),
  B591=55,
    IF(Z590&gt;=AD591,
      MAX(Y590 + IF(MONTH(A591)=12, P591+V591, 0) + H591 - L591, 0),
      MAX(MAX(0, Y590-(AD591-Z590)) + IF(MONTH(A591)=12, P591+V591, 0) + H591 - L591, 0)
    ),
  B591&gt;55,
    IF(AB590&gt;=$AH$7,
      MAX(Y590 + IF(MONTH(A591)=12, P591+V591, 0) + H591 - L591 + K591 + Z590, 0),
      MAX(Y590 + IF(MONTH(A591)=12, P591+V591, 0) + H591 - L591, 0)
    )
)</f>
        <v>1290520.766</v>
      </c>
      <c r="Z591" s="65">
        <f>IFS(
  B591&lt;55,
    MIN(
      IF(AA590 &gt;= VLOOKUP(YEAR(A591), Lookup!$Q:$R, 2),
        Z590 + IF(MONTH(A591)=12, Q591+W591, 0) + I591
          + AA590 + IF(MONTH(A591)=12, R591+X591, 0) - VLOOKUP(YEAR(A591), Lookup!$Q:$R, 2) + J591,
        Z590 + IF(MONTH(A591)=12, Q591+W591, 0) + I591
      ),
      VLOOKUP(YEAR(A591), Lookup!$K:$M, 3)
    ),
  B591=55,
    IF(Z590 &gt;= AD591, Z590 - AD591, 0),
  B591&gt;55, 0
)</f>
        <v>0</v>
      </c>
      <c r="AA591" s="65">
        <f>IFS(
  B591&lt;65,
    IF(AA590+J591 &lt; VLOOKUP(YEAR(A591), Lookup!$Q:$R, 2),
      AA590 + IF(MONTH(A591)=12, R590+X590, 0) + J591,
      MIN(
        AA590 + IF(MONTH(A591)=12, R590+X590, 0) + J591 ,
        VLOOKUP(YEAR(A591), Lookup!$Q:$R, 2)
      )
    ),
  B591&gt;=65,
    IF(AA590+J591 &lt; VLOOKUP(questions!$C$5, Lookup!$Q:$R, 2),
      AA590 + IF(MONTH(A591)=12, R590+X590, 0) + J591 ,
      MIN(
        AA590 + IF(MONTH(A591)=12, R590+X590, 0) + J591,
        VLOOKUP(questions!$C$5, Lookup!$Q:$R, 2)
      )
    )
)</f>
        <v>282111.0086</v>
      </c>
      <c r="AB591" s="65">
        <f t="shared" si="13"/>
        <v>1454800.35</v>
      </c>
      <c r="AC591" s="66">
        <f t="array" ref="AC591">IFS(B591&lt;66, XLOOKUP(year(A591),Lookup!$K$13:$K1000,Lookup!$L$13:$L1000,"missing",,1),B591&gt;65,XLOOKUP(questions!$C$5,Lookup!$K$13:$K1000,Lookup!$L$13:$L1000,"missing",,1))</f>
        <v>393675.3633</v>
      </c>
      <c r="AD591" s="66">
        <f t="array" ref="AD591">IFS(B591&lt;66, XLOOKUP(year(A591),Lookup!$K$13:$K1000,Lookup!$M$13:$M1000,"missing",,1),B591&gt;65, XLOOKUP(questions!$C$5,Lookup!$K$13:$K1000,Lookup!$M$13:$M1000,"missing",,1))</f>
        <v>787350.7266</v>
      </c>
      <c r="AE591" s="66">
        <f t="array" ref="AE591">IFS(B591&lt;66, XLOOKUP(year(A591),Lookup!$K$13:$K1000,Lookup!$N$13:$N1000,"missing",,1),B591&gt;65,XLOOKUP(questions!$C$5,Lookup!$K$13:$K1000,Lookup!$N$13:$N1000,"missing",,1))</f>
        <v>1574701.453</v>
      </c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  <c r="AQ591" s="37"/>
    </row>
    <row r="592">
      <c r="A592" s="55">
        <f t="shared" si="7"/>
        <v>64039</v>
      </c>
      <c r="B592" s="56">
        <f>round(YEARFRAC(EOMONTH(questions!$C$3, 0),A592,1),2)</f>
        <v>76.41</v>
      </c>
      <c r="C592" s="58">
        <f>IF(B592&lt;questions!$C$6,if(MONTH(A592)=1,C591*(1+questions!$C$12),C591),0)</f>
        <v>0</v>
      </c>
      <c r="D592" s="58">
        <f>IF(MONTH(A592)=12,C592*questions!$C$11,0)</f>
        <v>0</v>
      </c>
      <c r="E592" s="71">
        <f t="shared" si="2"/>
        <v>0</v>
      </c>
      <c r="F592" s="71">
        <f t="shared" si="3"/>
        <v>0</v>
      </c>
      <c r="G592" s="61">
        <f t="array" ref="G592">if(YEAR(A592)=2025,XLOOKUP(B592,Lookup!$A$3:$A$7,Lookup!$D$3:$D$7,,1)*SUM(E592:F592), XLOOKUP(B592,Lookup!$A$14:$A$18,Lookup!$D$14:$D$18,,1)*SUM(E592:F592))</f>
        <v>0</v>
      </c>
      <c r="H592" s="61">
        <f t="array" ref="H592">if(YEAR(A592)=2025,XLOOKUP(B592,Lookup!$F$3:$F$10,Lookup!$G$3:$G$10,,1)*G592, XLOOKUP(B592,Lookup!$F$14:$F$21,Lookup!$G$14:$G$21,,1)*G592)</f>
        <v>0</v>
      </c>
      <c r="I592" s="61">
        <f t="array" ref="I592">if(B592&lt;55, if(YEAR(A592)=2025,XLOOKUP(B592,Lookup!$F$3:$F$10,Lookup!$H$3:$H$10,,1)*G592, XLOOKUP(B592,Lookup!$F$14:$F$21,Lookup!$H$14:$H$21,,1)*G592),0)</f>
        <v>0</v>
      </c>
      <c r="J592" s="61">
        <f t="array" ref="J592">if(YEAR(A592)=2025,XLOOKUP(B592,Lookup!$F$3:$F$10,Lookup!$I$3:$I$10,,1)*G592, XLOOKUP(B592,Lookup!$F$14:$F$21,Lookup!$I$14:$I$21,,1)*G592)</f>
        <v>0</v>
      </c>
      <c r="K592" s="61">
        <f t="array" ref="K592">if(B592&gt;54, if(YEAR(A592)=2025,XLOOKUP(B592,Lookup!$F$3:$F$10,Lookup!$H$3:$H$10,,1)*G592, XLOOKUP(B592,Lookup!$F$14:$F$21,Lookup!$H$14:$H$21,,1)*G592),0)</f>
        <v>0</v>
      </c>
      <c r="L592" s="62">
        <f>IF(and(A592&lt;questions!$C$19,questions!$C$18="yes"),questions!$C$20,0)</f>
        <v>0</v>
      </c>
      <c r="M592" s="63">
        <f>(Y591+H592)*Lookup!A$26/12</f>
        <v>2688.58493</v>
      </c>
      <c r="N592" s="63">
        <f>if(B592&lt;55, (Z591+I592)*Lookup!B$26/12, (AB591+K592)*Lookup!B$26/12)</f>
        <v>4849.3345</v>
      </c>
      <c r="O592" s="63">
        <f>(AA591+J592)*Lookup!C$26/12</f>
        <v>940.3700287</v>
      </c>
      <c r="P592" s="63">
        <f t="shared" si="8"/>
        <v>10754.33972</v>
      </c>
      <c r="Q592" s="63">
        <f t="shared" si="4"/>
        <v>19397.338</v>
      </c>
      <c r="R592" s="63">
        <f t="shared" si="5"/>
        <v>3761.480115</v>
      </c>
      <c r="S592" s="64">
        <f t="shared" si="9"/>
        <v>33.33333333</v>
      </c>
      <c r="T592" s="64">
        <f t="shared" si="10"/>
        <v>41.66666667</v>
      </c>
      <c r="U592" s="64">
        <f t="shared" si="11"/>
        <v>0</v>
      </c>
      <c r="V592" s="64">
        <f t="shared" ref="V592:X592" si="600">IF(year($A592)=year($A591), V591+S592, S592)</f>
        <v>133.3333333</v>
      </c>
      <c r="W592" s="64">
        <f t="shared" si="600"/>
        <v>166.6666667</v>
      </c>
      <c r="X592" s="64">
        <f t="shared" si="600"/>
        <v>0</v>
      </c>
      <c r="Y592" s="65">
        <f>IFS(
  B592&lt;55,
    MAX(
      Y591 + IF(MONTH(A592)=12, P592+V592, 0) + H592 - L592
      + MAX(0,
          IF(AA591 &gt;= VLOOKUP(YEAR(A592), Lookup!$Q:$R, 2),
            Z591 + IF(MONTH(A592)=12, Q592+W592, 0) + I592
              + AA591 + IF(MONTH(A592)=12, R592+X592, 0)
              - VLOOKUP(YEAR(A592), Lookup!$Q:$R, 2) + J592,
            Z591 + IF(MONTH(A592)=12, Q592+W592, 0) + I592
          ) - VLOOKUP(YEAR(A592), Lookup!$K:$M, 3)
        ),
    0),
  B592=55,
    IF(Z591&gt;=AD592,
      MAX(Y591 + IF(MONTH(A592)=12, P592+V592, 0) + H592 - L592, 0),
      MAX(MAX(0, Y591-(AD592-Z591)) + IF(MONTH(A592)=12, P592+V592, 0) + H592 - L592, 0)
    ),
  B592&gt;55,
    IF(AB591&gt;=$AH$7,
      MAX(Y591 + IF(MONTH(A592)=12, P592+V592, 0) + H592 - L592 + K592 + Z591, 0),
      MAX(Y591 + IF(MONTH(A592)=12, P592+V592, 0) + H592 - L592, 0)
    )
)</f>
        <v>1290520.766</v>
      </c>
      <c r="Z592" s="65">
        <f>IFS(
  B592&lt;55,
    MIN(
      IF(AA591 &gt;= VLOOKUP(YEAR(A592), Lookup!$Q:$R, 2),
        Z591 + IF(MONTH(A592)=12, Q592+W592, 0) + I592
          + AA591 + IF(MONTH(A592)=12, R592+X592, 0) - VLOOKUP(YEAR(A592), Lookup!$Q:$R, 2) + J592,
        Z591 + IF(MONTH(A592)=12, Q592+W592, 0) + I592
      ),
      VLOOKUP(YEAR(A592), Lookup!$K:$M, 3)
    ),
  B592=55,
    IF(Z591 &gt;= AD592, Z591 - AD592, 0),
  B592&gt;55, 0
)</f>
        <v>0</v>
      </c>
      <c r="AA592" s="65">
        <f>IFS(
  B592&lt;65,
    IF(AA591+J592 &lt; VLOOKUP(YEAR(A592), Lookup!$Q:$R, 2),
      AA591 + IF(MONTH(A592)=12, R591+X591, 0) + J592,
      MIN(
        AA591 + IF(MONTH(A592)=12, R591+X591, 0) + J592 ,
        VLOOKUP(YEAR(A592), Lookup!$Q:$R, 2)
      )
    ),
  B592&gt;=65,
    IF(AA591+J592 &lt; VLOOKUP(questions!$C$5, Lookup!$Q:$R, 2),
      AA591 + IF(MONTH(A592)=12, R591+X591, 0) + J592 ,
      MIN(
        AA591 + IF(MONTH(A592)=12, R591+X591, 0) + J592,
        VLOOKUP(questions!$C$5, Lookup!$Q:$R, 2)
      )
    )
)</f>
        <v>282111.0086</v>
      </c>
      <c r="AB592" s="65">
        <f t="shared" si="13"/>
        <v>1454800.35</v>
      </c>
      <c r="AC592" s="66">
        <f t="array" ref="AC592">IFS(B592&lt;66, XLOOKUP(year(A592),Lookup!$K$13:$K1000,Lookup!$L$13:$L1000,"missing",,1),B592&gt;65,XLOOKUP(questions!$C$5,Lookup!$K$13:$K1000,Lookup!$L$13:$L1000,"missing",,1))</f>
        <v>393675.3633</v>
      </c>
      <c r="AD592" s="66">
        <f t="array" ref="AD592">IFS(B592&lt;66, XLOOKUP(year(A592),Lookup!$K$13:$K1000,Lookup!$M$13:$M1000,"missing",,1),B592&gt;65, XLOOKUP(questions!$C$5,Lookup!$K$13:$K1000,Lookup!$M$13:$M1000,"missing",,1))</f>
        <v>787350.7266</v>
      </c>
      <c r="AE592" s="66">
        <f t="array" ref="AE592">IFS(B592&lt;66, XLOOKUP(year(A592),Lookup!$K$13:$K1000,Lookup!$N$13:$N1000,"missing",,1),B592&gt;65,XLOOKUP(questions!$C$5,Lookup!$K$13:$K1000,Lookup!$N$13:$N1000,"missing",,1))</f>
        <v>1574701.453</v>
      </c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  <c r="AQ592" s="37"/>
    </row>
    <row r="593">
      <c r="A593" s="55">
        <f t="shared" si="7"/>
        <v>64070</v>
      </c>
      <c r="B593" s="56">
        <f>round(YEARFRAC(EOMONTH(questions!$C$3, 0),A593,1),2)</f>
        <v>76.5</v>
      </c>
      <c r="C593" s="58">
        <f>IF(B593&lt;questions!$C$6,if(MONTH(A593)=1,C592*(1+questions!$C$12),C592),0)</f>
        <v>0</v>
      </c>
      <c r="D593" s="58">
        <f>IF(MONTH(A593)=12,C593*questions!$C$11,0)</f>
        <v>0</v>
      </c>
      <c r="E593" s="71">
        <f t="shared" si="2"/>
        <v>0</v>
      </c>
      <c r="F593" s="71">
        <f t="shared" si="3"/>
        <v>0</v>
      </c>
      <c r="G593" s="61">
        <f t="array" ref="G593">if(YEAR(A593)=2025,XLOOKUP(B593,Lookup!$A$3:$A$7,Lookup!$D$3:$D$7,,1)*SUM(E593:F593), XLOOKUP(B593,Lookup!$A$14:$A$18,Lookup!$D$14:$D$18,,1)*SUM(E593:F593))</f>
        <v>0</v>
      </c>
      <c r="H593" s="61">
        <f t="array" ref="H593">if(YEAR(A593)=2025,XLOOKUP(B593,Lookup!$F$3:$F$10,Lookup!$G$3:$G$10,,1)*G593, XLOOKUP(B593,Lookup!$F$14:$F$21,Lookup!$G$14:$G$21,,1)*G593)</f>
        <v>0</v>
      </c>
      <c r="I593" s="61">
        <f t="array" ref="I593">if(B593&lt;55, if(YEAR(A593)=2025,XLOOKUP(B593,Lookup!$F$3:$F$10,Lookup!$H$3:$H$10,,1)*G593, XLOOKUP(B593,Lookup!$F$14:$F$21,Lookup!$H$14:$H$21,,1)*G593),0)</f>
        <v>0</v>
      </c>
      <c r="J593" s="61">
        <f t="array" ref="J593">if(YEAR(A593)=2025,XLOOKUP(B593,Lookup!$F$3:$F$10,Lookup!$I$3:$I$10,,1)*G593, XLOOKUP(B593,Lookup!$F$14:$F$21,Lookup!$I$14:$I$21,,1)*G593)</f>
        <v>0</v>
      </c>
      <c r="K593" s="61">
        <f t="array" ref="K593">if(B593&gt;54, if(YEAR(A593)=2025,XLOOKUP(B593,Lookup!$F$3:$F$10,Lookup!$H$3:$H$10,,1)*G593, XLOOKUP(B593,Lookup!$F$14:$F$21,Lookup!$H$14:$H$21,,1)*G593),0)</f>
        <v>0</v>
      </c>
      <c r="L593" s="62">
        <f>IF(and(A593&lt;questions!$C$19,questions!$C$18="yes"),questions!$C$20,0)</f>
        <v>0</v>
      </c>
      <c r="M593" s="63">
        <f>(Y592+H593)*Lookup!A$26/12</f>
        <v>2688.58493</v>
      </c>
      <c r="N593" s="63">
        <f>if(B593&lt;55, (Z592+I593)*Lookup!B$26/12, (AB592+K593)*Lookup!B$26/12)</f>
        <v>4849.3345</v>
      </c>
      <c r="O593" s="63">
        <f>(AA592+J593)*Lookup!C$26/12</f>
        <v>940.3700287</v>
      </c>
      <c r="P593" s="63">
        <f t="shared" si="8"/>
        <v>13442.92465</v>
      </c>
      <c r="Q593" s="63">
        <f t="shared" si="4"/>
        <v>24246.6725</v>
      </c>
      <c r="R593" s="63">
        <f t="shared" si="5"/>
        <v>4701.850143</v>
      </c>
      <c r="S593" s="64">
        <f t="shared" si="9"/>
        <v>33.33333333</v>
      </c>
      <c r="T593" s="64">
        <f t="shared" si="10"/>
        <v>41.66666667</v>
      </c>
      <c r="U593" s="64">
        <f t="shared" si="11"/>
        <v>0</v>
      </c>
      <c r="V593" s="64">
        <f t="shared" ref="V593:X593" si="601">IF(year($A593)=year($A592), V592+S593, S593)</f>
        <v>166.6666667</v>
      </c>
      <c r="W593" s="64">
        <f t="shared" si="601"/>
        <v>208.3333333</v>
      </c>
      <c r="X593" s="64">
        <f t="shared" si="601"/>
        <v>0</v>
      </c>
      <c r="Y593" s="65">
        <f>IFS(
  B593&lt;55,
    MAX(
      Y592 + IF(MONTH(A593)=12, P593+V593, 0) + H593 - L593
      + MAX(0,
          IF(AA592 &gt;= VLOOKUP(YEAR(A593), Lookup!$Q:$R, 2),
            Z592 + IF(MONTH(A593)=12, Q593+W593, 0) + I593
              + AA592 + IF(MONTH(A593)=12, R593+X593, 0)
              - VLOOKUP(YEAR(A593), Lookup!$Q:$R, 2) + J593,
            Z592 + IF(MONTH(A593)=12, Q593+W593, 0) + I593
          ) - VLOOKUP(YEAR(A593), Lookup!$K:$M, 3)
        ),
    0),
  B593=55,
    IF(Z592&gt;=AD593,
      MAX(Y592 + IF(MONTH(A593)=12, P593+V593, 0) + H593 - L593, 0),
      MAX(MAX(0, Y592-(AD593-Z592)) + IF(MONTH(A593)=12, P593+V593, 0) + H593 - L593, 0)
    ),
  B593&gt;55,
    IF(AB592&gt;=$AH$7,
      MAX(Y592 + IF(MONTH(A593)=12, P593+V593, 0) + H593 - L593 + K593 + Z592, 0),
      MAX(Y592 + IF(MONTH(A593)=12, P593+V593, 0) + H593 - L593, 0)
    )
)</f>
        <v>1290520.766</v>
      </c>
      <c r="Z593" s="65">
        <f>IFS(
  B593&lt;55,
    MIN(
      IF(AA592 &gt;= VLOOKUP(YEAR(A593), Lookup!$Q:$R, 2),
        Z592 + IF(MONTH(A593)=12, Q593+W593, 0) + I593
          + AA592 + IF(MONTH(A593)=12, R593+X593, 0) - VLOOKUP(YEAR(A593), Lookup!$Q:$R, 2) + J593,
        Z592 + IF(MONTH(A593)=12, Q593+W593, 0) + I593
      ),
      VLOOKUP(YEAR(A593), Lookup!$K:$M, 3)
    ),
  B593=55,
    IF(Z592 &gt;= AD593, Z592 - AD593, 0),
  B593&gt;55, 0
)</f>
        <v>0</v>
      </c>
      <c r="AA593" s="65">
        <f>IFS(
  B593&lt;65,
    IF(AA592+J593 &lt; VLOOKUP(YEAR(A593), Lookup!$Q:$R, 2),
      AA592 + IF(MONTH(A593)=12, R592+X592, 0) + J593,
      MIN(
        AA592 + IF(MONTH(A593)=12, R592+X592, 0) + J593 ,
        VLOOKUP(YEAR(A593), Lookup!$Q:$R, 2)
      )
    ),
  B593&gt;=65,
    IF(AA592+J593 &lt; VLOOKUP(questions!$C$5, Lookup!$Q:$R, 2),
      AA592 + IF(MONTH(A593)=12, R592+X592, 0) + J593 ,
      MIN(
        AA592 + IF(MONTH(A593)=12, R592+X592, 0) + J593,
        VLOOKUP(questions!$C$5, Lookup!$Q:$R, 2)
      )
    )
)</f>
        <v>282111.0086</v>
      </c>
      <c r="AB593" s="65">
        <f t="shared" si="13"/>
        <v>1454800.35</v>
      </c>
      <c r="AC593" s="66">
        <f t="array" ref="AC593">IFS(B593&lt;66, XLOOKUP(year(A593),Lookup!$K$13:$K1000,Lookup!$L$13:$L1000,"missing",,1),B593&gt;65,XLOOKUP(questions!$C$5,Lookup!$K$13:$K1000,Lookup!$L$13:$L1000,"missing",,1))</f>
        <v>393675.3633</v>
      </c>
      <c r="AD593" s="66">
        <f t="array" ref="AD593">IFS(B593&lt;66, XLOOKUP(year(A593),Lookup!$K$13:$K1000,Lookup!$M$13:$M1000,"missing",,1),B593&gt;65, XLOOKUP(questions!$C$5,Lookup!$K$13:$K1000,Lookup!$M$13:$M1000,"missing",,1))</f>
        <v>787350.7266</v>
      </c>
      <c r="AE593" s="66">
        <f t="array" ref="AE593">IFS(B593&lt;66, XLOOKUP(year(A593),Lookup!$K$13:$K1000,Lookup!$N$13:$N1000,"missing",,1),B593&gt;65,XLOOKUP(questions!$C$5,Lookup!$K$13:$K1000,Lookup!$N$13:$N1000,"missing",,1))</f>
        <v>1574701.453</v>
      </c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  <c r="AQ593" s="37"/>
    </row>
    <row r="594">
      <c r="A594" s="55">
        <f t="shared" si="7"/>
        <v>64100</v>
      </c>
      <c r="B594" s="56">
        <f>round(YEARFRAC(EOMONTH(questions!$C$3, 0),A594,1),2)</f>
        <v>76.58</v>
      </c>
      <c r="C594" s="58">
        <f>IF(B594&lt;questions!$C$6,if(MONTH(A594)=1,C593*(1+questions!$C$12),C593),0)</f>
        <v>0</v>
      </c>
      <c r="D594" s="58">
        <f>IF(MONTH(A594)=12,C594*questions!$C$11,0)</f>
        <v>0</v>
      </c>
      <c r="E594" s="71">
        <f t="shared" si="2"/>
        <v>0</v>
      </c>
      <c r="F594" s="71">
        <f t="shared" si="3"/>
        <v>0</v>
      </c>
      <c r="G594" s="61">
        <f t="array" ref="G594">if(YEAR(A594)=2025,XLOOKUP(B594,Lookup!$A$3:$A$7,Lookup!$D$3:$D$7,,1)*SUM(E594:F594), XLOOKUP(B594,Lookup!$A$14:$A$18,Lookup!$D$14:$D$18,,1)*SUM(E594:F594))</f>
        <v>0</v>
      </c>
      <c r="H594" s="61">
        <f t="array" ref="H594">if(YEAR(A594)=2025,XLOOKUP(B594,Lookup!$F$3:$F$10,Lookup!$G$3:$G$10,,1)*G594, XLOOKUP(B594,Lookup!$F$14:$F$21,Lookup!$G$14:$G$21,,1)*G594)</f>
        <v>0</v>
      </c>
      <c r="I594" s="61">
        <f t="array" ref="I594">if(B594&lt;55, if(YEAR(A594)=2025,XLOOKUP(B594,Lookup!$F$3:$F$10,Lookup!$H$3:$H$10,,1)*G594, XLOOKUP(B594,Lookup!$F$14:$F$21,Lookup!$H$14:$H$21,,1)*G594),0)</f>
        <v>0</v>
      </c>
      <c r="J594" s="61">
        <f t="array" ref="J594">if(YEAR(A594)=2025,XLOOKUP(B594,Lookup!$F$3:$F$10,Lookup!$I$3:$I$10,,1)*G594, XLOOKUP(B594,Lookup!$F$14:$F$21,Lookup!$I$14:$I$21,,1)*G594)</f>
        <v>0</v>
      </c>
      <c r="K594" s="61">
        <f t="array" ref="K594">if(B594&gt;54, if(YEAR(A594)=2025,XLOOKUP(B594,Lookup!$F$3:$F$10,Lookup!$H$3:$H$10,,1)*G594, XLOOKUP(B594,Lookup!$F$14:$F$21,Lookup!$H$14:$H$21,,1)*G594),0)</f>
        <v>0</v>
      </c>
      <c r="L594" s="62">
        <f>IF(and(A594&lt;questions!$C$19,questions!$C$18="yes"),questions!$C$20,0)</f>
        <v>0</v>
      </c>
      <c r="M594" s="63">
        <f>(Y593+H594)*Lookup!A$26/12</f>
        <v>2688.58493</v>
      </c>
      <c r="N594" s="63">
        <f>if(B594&lt;55, (Z593+I594)*Lookup!B$26/12, (AB593+K594)*Lookup!B$26/12)</f>
        <v>4849.3345</v>
      </c>
      <c r="O594" s="63">
        <f>(AA593+J594)*Lookup!C$26/12</f>
        <v>940.3700287</v>
      </c>
      <c r="P594" s="63">
        <f t="shared" si="8"/>
        <v>16131.50958</v>
      </c>
      <c r="Q594" s="63">
        <f t="shared" si="4"/>
        <v>29096.007</v>
      </c>
      <c r="R594" s="63">
        <f t="shared" si="5"/>
        <v>5642.220172</v>
      </c>
      <c r="S594" s="64">
        <f t="shared" si="9"/>
        <v>33.33333333</v>
      </c>
      <c r="T594" s="64">
        <f t="shared" si="10"/>
        <v>41.66666667</v>
      </c>
      <c r="U594" s="64">
        <f t="shared" si="11"/>
        <v>0</v>
      </c>
      <c r="V594" s="64">
        <f t="shared" ref="V594:X594" si="602">IF(year($A594)=year($A593), V593+S594, S594)</f>
        <v>200</v>
      </c>
      <c r="W594" s="64">
        <f t="shared" si="602"/>
        <v>250</v>
      </c>
      <c r="X594" s="64">
        <f t="shared" si="602"/>
        <v>0</v>
      </c>
      <c r="Y594" s="65">
        <f>IFS(
  B594&lt;55,
    MAX(
      Y593 + IF(MONTH(A594)=12, P594+V594, 0) + H594 - L594
      + MAX(0,
          IF(AA593 &gt;= VLOOKUP(YEAR(A594), Lookup!$Q:$R, 2),
            Z593 + IF(MONTH(A594)=12, Q594+W594, 0) + I594
              + AA593 + IF(MONTH(A594)=12, R594+X594, 0)
              - VLOOKUP(YEAR(A594), Lookup!$Q:$R, 2) + J594,
            Z593 + IF(MONTH(A594)=12, Q594+W594, 0) + I594
          ) - VLOOKUP(YEAR(A594), Lookup!$K:$M, 3)
        ),
    0),
  B594=55,
    IF(Z593&gt;=AD594,
      MAX(Y593 + IF(MONTH(A594)=12, P594+V594, 0) + H594 - L594, 0),
      MAX(MAX(0, Y593-(AD594-Z593)) + IF(MONTH(A594)=12, P594+V594, 0) + H594 - L594, 0)
    ),
  B594&gt;55,
    IF(AB593&gt;=$AH$7,
      MAX(Y593 + IF(MONTH(A594)=12, P594+V594, 0) + H594 - L594 + K594 + Z593, 0),
      MAX(Y593 + IF(MONTH(A594)=12, P594+V594, 0) + H594 - L594, 0)
    )
)</f>
        <v>1290520.766</v>
      </c>
      <c r="Z594" s="65">
        <f>IFS(
  B594&lt;55,
    MIN(
      IF(AA593 &gt;= VLOOKUP(YEAR(A594), Lookup!$Q:$R, 2),
        Z593 + IF(MONTH(A594)=12, Q594+W594, 0) + I594
          + AA593 + IF(MONTH(A594)=12, R594+X594, 0) - VLOOKUP(YEAR(A594), Lookup!$Q:$R, 2) + J594,
        Z593 + IF(MONTH(A594)=12, Q594+W594, 0) + I594
      ),
      VLOOKUP(YEAR(A594), Lookup!$K:$M, 3)
    ),
  B594=55,
    IF(Z593 &gt;= AD594, Z593 - AD594, 0),
  B594&gt;55, 0
)</f>
        <v>0</v>
      </c>
      <c r="AA594" s="65">
        <f>IFS(
  B594&lt;65,
    IF(AA593+J594 &lt; VLOOKUP(YEAR(A594), Lookup!$Q:$R, 2),
      AA593 + IF(MONTH(A594)=12, R593+X593, 0) + J594,
      MIN(
        AA593 + IF(MONTH(A594)=12, R593+X593, 0) + J594 ,
        VLOOKUP(YEAR(A594), Lookup!$Q:$R, 2)
      )
    ),
  B594&gt;=65,
    IF(AA593+J594 &lt; VLOOKUP(questions!$C$5, Lookup!$Q:$R, 2),
      AA593 + IF(MONTH(A594)=12, R593+X593, 0) + J594 ,
      MIN(
        AA593 + IF(MONTH(A594)=12, R593+X593, 0) + J594,
        VLOOKUP(questions!$C$5, Lookup!$Q:$R, 2)
      )
    )
)</f>
        <v>282111.0086</v>
      </c>
      <c r="AB594" s="65">
        <f t="shared" si="13"/>
        <v>1454800.35</v>
      </c>
      <c r="AC594" s="66">
        <f t="array" ref="AC594">IFS(B594&lt;66, XLOOKUP(year(A594),Lookup!$K$13:$K1000,Lookup!$L$13:$L1000,"missing",,1),B594&gt;65,XLOOKUP(questions!$C$5,Lookup!$K$13:$K1000,Lookup!$L$13:$L1000,"missing",,1))</f>
        <v>393675.3633</v>
      </c>
      <c r="AD594" s="66">
        <f t="array" ref="AD594">IFS(B594&lt;66, XLOOKUP(year(A594),Lookup!$K$13:$K1000,Lookup!$M$13:$M1000,"missing",,1),B594&gt;65, XLOOKUP(questions!$C$5,Lookup!$K$13:$K1000,Lookup!$M$13:$M1000,"missing",,1))</f>
        <v>787350.7266</v>
      </c>
      <c r="AE594" s="66">
        <f t="array" ref="AE594">IFS(B594&lt;66, XLOOKUP(year(A594),Lookup!$K$13:$K1000,Lookup!$N$13:$N1000,"missing",,1),B594&gt;65,XLOOKUP(questions!$C$5,Lookup!$K$13:$K1000,Lookup!$N$13:$N1000,"missing",,1))</f>
        <v>1574701.453</v>
      </c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  <c r="AQ594" s="37"/>
    </row>
    <row r="595">
      <c r="A595" s="55">
        <f t="shared" si="7"/>
        <v>64131</v>
      </c>
      <c r="B595" s="56">
        <f>round(YEARFRAC(EOMONTH(questions!$C$3, 0),A595,1),2)</f>
        <v>76.67</v>
      </c>
      <c r="C595" s="58">
        <f>IF(B595&lt;questions!$C$6,if(MONTH(A595)=1,C594*(1+questions!$C$12),C594),0)</f>
        <v>0</v>
      </c>
      <c r="D595" s="58">
        <f>IF(MONTH(A595)=12,C595*questions!$C$11,0)</f>
        <v>0</v>
      </c>
      <c r="E595" s="71">
        <f t="shared" si="2"/>
        <v>0</v>
      </c>
      <c r="F595" s="71">
        <f t="shared" si="3"/>
        <v>0</v>
      </c>
      <c r="G595" s="61">
        <f t="array" ref="G595">if(YEAR(A595)=2025,XLOOKUP(B595,Lookup!$A$3:$A$7,Lookup!$D$3:$D$7,,1)*SUM(E595:F595), XLOOKUP(B595,Lookup!$A$14:$A$18,Lookup!$D$14:$D$18,,1)*SUM(E595:F595))</f>
        <v>0</v>
      </c>
      <c r="H595" s="61">
        <f t="array" ref="H595">if(YEAR(A595)=2025,XLOOKUP(B595,Lookup!$F$3:$F$10,Lookup!$G$3:$G$10,,1)*G595, XLOOKUP(B595,Lookup!$F$14:$F$21,Lookup!$G$14:$G$21,,1)*G595)</f>
        <v>0</v>
      </c>
      <c r="I595" s="61">
        <f t="array" ref="I595">if(B595&lt;55, if(YEAR(A595)=2025,XLOOKUP(B595,Lookup!$F$3:$F$10,Lookup!$H$3:$H$10,,1)*G595, XLOOKUP(B595,Lookup!$F$14:$F$21,Lookup!$H$14:$H$21,,1)*G595),0)</f>
        <v>0</v>
      </c>
      <c r="J595" s="61">
        <f t="array" ref="J595">if(YEAR(A595)=2025,XLOOKUP(B595,Lookup!$F$3:$F$10,Lookup!$I$3:$I$10,,1)*G595, XLOOKUP(B595,Lookup!$F$14:$F$21,Lookup!$I$14:$I$21,,1)*G595)</f>
        <v>0</v>
      </c>
      <c r="K595" s="61">
        <f t="array" ref="K595">if(B595&gt;54, if(YEAR(A595)=2025,XLOOKUP(B595,Lookup!$F$3:$F$10,Lookup!$H$3:$H$10,,1)*G595, XLOOKUP(B595,Lookup!$F$14:$F$21,Lookup!$H$14:$H$21,,1)*G595),0)</f>
        <v>0</v>
      </c>
      <c r="L595" s="62">
        <f>IF(and(A595&lt;questions!$C$19,questions!$C$18="yes"),questions!$C$20,0)</f>
        <v>0</v>
      </c>
      <c r="M595" s="63">
        <f>(Y594+H595)*Lookup!A$26/12</f>
        <v>2688.58493</v>
      </c>
      <c r="N595" s="63">
        <f>if(B595&lt;55, (Z594+I595)*Lookup!B$26/12, (AB594+K595)*Lookup!B$26/12)</f>
        <v>4849.3345</v>
      </c>
      <c r="O595" s="63">
        <f>(AA594+J595)*Lookup!C$26/12</f>
        <v>940.3700287</v>
      </c>
      <c r="P595" s="63">
        <f t="shared" si="8"/>
        <v>18820.09451</v>
      </c>
      <c r="Q595" s="63">
        <f t="shared" si="4"/>
        <v>33945.3415</v>
      </c>
      <c r="R595" s="63">
        <f t="shared" si="5"/>
        <v>6582.590201</v>
      </c>
      <c r="S595" s="64">
        <f t="shared" si="9"/>
        <v>33.33333333</v>
      </c>
      <c r="T595" s="64">
        <f t="shared" si="10"/>
        <v>41.66666667</v>
      </c>
      <c r="U595" s="64">
        <f t="shared" si="11"/>
        <v>0</v>
      </c>
      <c r="V595" s="64">
        <f t="shared" ref="V595:X595" si="603">IF(year($A595)=year($A594), V594+S595, S595)</f>
        <v>233.3333333</v>
      </c>
      <c r="W595" s="64">
        <f t="shared" si="603"/>
        <v>291.6666667</v>
      </c>
      <c r="X595" s="64">
        <f t="shared" si="603"/>
        <v>0</v>
      </c>
      <c r="Y595" s="65">
        <f>IFS(
  B595&lt;55,
    MAX(
      Y594 + IF(MONTH(A595)=12, P595+V595, 0) + H595 - L595
      + MAX(0,
          IF(AA594 &gt;= VLOOKUP(YEAR(A595), Lookup!$Q:$R, 2),
            Z594 + IF(MONTH(A595)=12, Q595+W595, 0) + I595
              + AA594 + IF(MONTH(A595)=12, R595+X595, 0)
              - VLOOKUP(YEAR(A595), Lookup!$Q:$R, 2) + J595,
            Z594 + IF(MONTH(A595)=12, Q595+W595, 0) + I595
          ) - VLOOKUP(YEAR(A595), Lookup!$K:$M, 3)
        ),
    0),
  B595=55,
    IF(Z594&gt;=AD595,
      MAX(Y594 + IF(MONTH(A595)=12, P595+V595, 0) + H595 - L595, 0),
      MAX(MAX(0, Y594-(AD595-Z594)) + IF(MONTH(A595)=12, P595+V595, 0) + H595 - L595, 0)
    ),
  B595&gt;55,
    IF(AB594&gt;=$AH$7,
      MAX(Y594 + IF(MONTH(A595)=12, P595+V595, 0) + H595 - L595 + K595 + Z594, 0),
      MAX(Y594 + IF(MONTH(A595)=12, P595+V595, 0) + H595 - L595, 0)
    )
)</f>
        <v>1290520.766</v>
      </c>
      <c r="Z595" s="65">
        <f>IFS(
  B595&lt;55,
    MIN(
      IF(AA594 &gt;= VLOOKUP(YEAR(A595), Lookup!$Q:$R, 2),
        Z594 + IF(MONTH(A595)=12, Q595+W595, 0) + I595
          + AA594 + IF(MONTH(A595)=12, R595+X595, 0) - VLOOKUP(YEAR(A595), Lookup!$Q:$R, 2) + J595,
        Z594 + IF(MONTH(A595)=12, Q595+W595, 0) + I595
      ),
      VLOOKUP(YEAR(A595), Lookup!$K:$M, 3)
    ),
  B595=55,
    IF(Z594 &gt;= AD595, Z594 - AD595, 0),
  B595&gt;55, 0
)</f>
        <v>0</v>
      </c>
      <c r="AA595" s="65">
        <f>IFS(
  B595&lt;65,
    IF(AA594+J595 &lt; VLOOKUP(YEAR(A595), Lookup!$Q:$R, 2),
      AA594 + IF(MONTH(A595)=12, R594+X594, 0) + J595,
      MIN(
        AA594 + IF(MONTH(A595)=12, R594+X594, 0) + J595 ,
        VLOOKUP(YEAR(A595), Lookup!$Q:$R, 2)
      )
    ),
  B595&gt;=65,
    IF(AA594+J595 &lt; VLOOKUP(questions!$C$5, Lookup!$Q:$R, 2),
      AA594 + IF(MONTH(A595)=12, R594+X594, 0) + J595 ,
      MIN(
        AA594 + IF(MONTH(A595)=12, R594+X594, 0) + J595,
        VLOOKUP(questions!$C$5, Lookup!$Q:$R, 2)
      )
    )
)</f>
        <v>282111.0086</v>
      </c>
      <c r="AB595" s="65">
        <f t="shared" si="13"/>
        <v>1454800.35</v>
      </c>
      <c r="AC595" s="66">
        <f t="array" ref="AC595">IFS(B595&lt;66, XLOOKUP(year(A595),Lookup!$K$13:$K1000,Lookup!$L$13:$L1000,"missing",,1),B595&gt;65,XLOOKUP(questions!$C$5,Lookup!$K$13:$K1000,Lookup!$L$13:$L1000,"missing",,1))</f>
        <v>393675.3633</v>
      </c>
      <c r="AD595" s="66">
        <f t="array" ref="AD595">IFS(B595&lt;66, XLOOKUP(year(A595),Lookup!$K$13:$K1000,Lookup!$M$13:$M1000,"missing",,1),B595&gt;65, XLOOKUP(questions!$C$5,Lookup!$K$13:$K1000,Lookup!$M$13:$M1000,"missing",,1))</f>
        <v>787350.7266</v>
      </c>
      <c r="AE595" s="66">
        <f t="array" ref="AE595">IFS(B595&lt;66, XLOOKUP(year(A595),Lookup!$K$13:$K1000,Lookup!$N$13:$N1000,"missing",,1),B595&gt;65,XLOOKUP(questions!$C$5,Lookup!$K$13:$K1000,Lookup!$N$13:$N1000,"missing",,1))</f>
        <v>1574701.453</v>
      </c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  <c r="AQ595" s="37"/>
    </row>
    <row r="596">
      <c r="A596" s="55">
        <f t="shared" si="7"/>
        <v>64162</v>
      </c>
      <c r="B596" s="56">
        <f>round(YEARFRAC(EOMONTH(questions!$C$3, 0),A596,1),2)</f>
        <v>76.75</v>
      </c>
      <c r="C596" s="58">
        <f>IF(B596&lt;questions!$C$6,if(MONTH(A596)=1,C595*(1+questions!$C$12),C595),0)</f>
        <v>0</v>
      </c>
      <c r="D596" s="58">
        <f>IF(MONTH(A596)=12,C596*questions!$C$11,0)</f>
        <v>0</v>
      </c>
      <c r="E596" s="71">
        <f t="shared" si="2"/>
        <v>0</v>
      </c>
      <c r="F596" s="71">
        <f t="shared" si="3"/>
        <v>0</v>
      </c>
      <c r="G596" s="61">
        <f t="array" ref="G596">if(YEAR(A596)=2025,XLOOKUP(B596,Lookup!$A$3:$A$7,Lookup!$D$3:$D$7,,1)*SUM(E596:F596), XLOOKUP(B596,Lookup!$A$14:$A$18,Lookup!$D$14:$D$18,,1)*SUM(E596:F596))</f>
        <v>0</v>
      </c>
      <c r="H596" s="61">
        <f t="array" ref="H596">if(YEAR(A596)=2025,XLOOKUP(B596,Lookup!$F$3:$F$10,Lookup!$G$3:$G$10,,1)*G596, XLOOKUP(B596,Lookup!$F$14:$F$21,Lookup!$G$14:$G$21,,1)*G596)</f>
        <v>0</v>
      </c>
      <c r="I596" s="61">
        <f t="array" ref="I596">if(B596&lt;55, if(YEAR(A596)=2025,XLOOKUP(B596,Lookup!$F$3:$F$10,Lookup!$H$3:$H$10,,1)*G596, XLOOKUP(B596,Lookup!$F$14:$F$21,Lookup!$H$14:$H$21,,1)*G596),0)</f>
        <v>0</v>
      </c>
      <c r="J596" s="61">
        <f t="array" ref="J596">if(YEAR(A596)=2025,XLOOKUP(B596,Lookup!$F$3:$F$10,Lookup!$I$3:$I$10,,1)*G596, XLOOKUP(B596,Lookup!$F$14:$F$21,Lookup!$I$14:$I$21,,1)*G596)</f>
        <v>0</v>
      </c>
      <c r="K596" s="61">
        <f t="array" ref="K596">if(B596&gt;54, if(YEAR(A596)=2025,XLOOKUP(B596,Lookup!$F$3:$F$10,Lookup!$H$3:$H$10,,1)*G596, XLOOKUP(B596,Lookup!$F$14:$F$21,Lookup!$H$14:$H$21,,1)*G596),0)</f>
        <v>0</v>
      </c>
      <c r="L596" s="62">
        <f>IF(and(A596&lt;questions!$C$19,questions!$C$18="yes"),questions!$C$20,0)</f>
        <v>0</v>
      </c>
      <c r="M596" s="63">
        <f>(Y595+H596)*Lookup!A$26/12</f>
        <v>2688.58493</v>
      </c>
      <c r="N596" s="63">
        <f>if(B596&lt;55, (Z595+I596)*Lookup!B$26/12, (AB595+K596)*Lookup!B$26/12)</f>
        <v>4849.3345</v>
      </c>
      <c r="O596" s="63">
        <f>(AA595+J596)*Lookup!C$26/12</f>
        <v>940.3700287</v>
      </c>
      <c r="P596" s="63">
        <f t="shared" si="8"/>
        <v>21508.67944</v>
      </c>
      <c r="Q596" s="63">
        <f t="shared" si="4"/>
        <v>38794.676</v>
      </c>
      <c r="R596" s="63">
        <f t="shared" si="5"/>
        <v>7522.960229</v>
      </c>
      <c r="S596" s="64">
        <f t="shared" si="9"/>
        <v>33.33333333</v>
      </c>
      <c r="T596" s="64">
        <f t="shared" si="10"/>
        <v>41.66666667</v>
      </c>
      <c r="U596" s="64">
        <f t="shared" si="11"/>
        <v>0</v>
      </c>
      <c r="V596" s="64">
        <f t="shared" ref="V596:X596" si="604">IF(year($A596)=year($A595), V595+S596, S596)</f>
        <v>266.6666667</v>
      </c>
      <c r="W596" s="64">
        <f t="shared" si="604"/>
        <v>333.3333333</v>
      </c>
      <c r="X596" s="64">
        <f t="shared" si="604"/>
        <v>0</v>
      </c>
      <c r="Y596" s="65">
        <f>IFS(
  B596&lt;55,
    MAX(
      Y595 + IF(MONTH(A596)=12, P596+V596, 0) + H596 - L596
      + MAX(0,
          IF(AA595 &gt;= VLOOKUP(YEAR(A596), Lookup!$Q:$R, 2),
            Z595 + IF(MONTH(A596)=12, Q596+W596, 0) + I596
              + AA595 + IF(MONTH(A596)=12, R596+X596, 0)
              - VLOOKUP(YEAR(A596), Lookup!$Q:$R, 2) + J596,
            Z595 + IF(MONTH(A596)=12, Q596+W596, 0) + I596
          ) - VLOOKUP(YEAR(A596), Lookup!$K:$M, 3)
        ),
    0),
  B596=55,
    IF(Z595&gt;=AD596,
      MAX(Y595 + IF(MONTH(A596)=12, P596+V596, 0) + H596 - L596, 0),
      MAX(MAX(0, Y595-(AD596-Z595)) + IF(MONTH(A596)=12, P596+V596, 0) + H596 - L596, 0)
    ),
  B596&gt;55,
    IF(AB595&gt;=$AH$7,
      MAX(Y595 + IF(MONTH(A596)=12, P596+V596, 0) + H596 - L596 + K596 + Z595, 0),
      MAX(Y595 + IF(MONTH(A596)=12, P596+V596, 0) + H596 - L596, 0)
    )
)</f>
        <v>1290520.766</v>
      </c>
      <c r="Z596" s="65">
        <f>IFS(
  B596&lt;55,
    MIN(
      IF(AA595 &gt;= VLOOKUP(YEAR(A596), Lookup!$Q:$R, 2),
        Z595 + IF(MONTH(A596)=12, Q596+W596, 0) + I596
          + AA595 + IF(MONTH(A596)=12, R596+X596, 0) - VLOOKUP(YEAR(A596), Lookup!$Q:$R, 2) + J596,
        Z595 + IF(MONTH(A596)=12, Q596+W596, 0) + I596
      ),
      VLOOKUP(YEAR(A596), Lookup!$K:$M, 3)
    ),
  B596=55,
    IF(Z595 &gt;= AD596, Z595 - AD596, 0),
  B596&gt;55, 0
)</f>
        <v>0</v>
      </c>
      <c r="AA596" s="65">
        <f>IFS(
  B596&lt;65,
    IF(AA595+J596 &lt; VLOOKUP(YEAR(A596), Lookup!$Q:$R, 2),
      AA595 + IF(MONTH(A596)=12, R595+X595, 0) + J596,
      MIN(
        AA595 + IF(MONTH(A596)=12, R595+X595, 0) + J596 ,
        VLOOKUP(YEAR(A596), Lookup!$Q:$R, 2)
      )
    ),
  B596&gt;=65,
    IF(AA595+J596 &lt; VLOOKUP(questions!$C$5, Lookup!$Q:$R, 2),
      AA595 + IF(MONTH(A596)=12, R595+X595, 0) + J596 ,
      MIN(
        AA595 + IF(MONTH(A596)=12, R595+X595, 0) + J596,
        VLOOKUP(questions!$C$5, Lookup!$Q:$R, 2)
      )
    )
)</f>
        <v>282111.0086</v>
      </c>
      <c r="AB596" s="65">
        <f t="shared" si="13"/>
        <v>1454800.35</v>
      </c>
      <c r="AC596" s="66">
        <f t="array" ref="AC596">IFS(B596&lt;66, XLOOKUP(year(A596),Lookup!$K$13:$K1000,Lookup!$L$13:$L1000,"missing",,1),B596&gt;65,XLOOKUP(questions!$C$5,Lookup!$K$13:$K1000,Lookup!$L$13:$L1000,"missing",,1))</f>
        <v>393675.3633</v>
      </c>
      <c r="AD596" s="66">
        <f t="array" ref="AD596">IFS(B596&lt;66, XLOOKUP(year(A596),Lookup!$K$13:$K1000,Lookup!$M$13:$M1000,"missing",,1),B596&gt;65, XLOOKUP(questions!$C$5,Lookup!$K$13:$K1000,Lookup!$M$13:$M1000,"missing",,1))</f>
        <v>787350.7266</v>
      </c>
      <c r="AE596" s="66">
        <f t="array" ref="AE596">IFS(B596&lt;66, XLOOKUP(year(A596),Lookup!$K$13:$K1000,Lookup!$N$13:$N1000,"missing",,1),B596&gt;65,XLOOKUP(questions!$C$5,Lookup!$K$13:$K1000,Lookup!$N$13:$N1000,"missing",,1))</f>
        <v>1574701.453</v>
      </c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  <c r="AQ596" s="37"/>
    </row>
    <row r="597">
      <c r="A597" s="55">
        <f t="shared" si="7"/>
        <v>64192</v>
      </c>
      <c r="B597" s="56">
        <f>round(YEARFRAC(EOMONTH(questions!$C$3, 0),A597,1),2)</f>
        <v>76.83</v>
      </c>
      <c r="C597" s="58">
        <f>IF(B597&lt;questions!$C$6,if(MONTH(A597)=1,C596*(1+questions!$C$12),C596),0)</f>
        <v>0</v>
      </c>
      <c r="D597" s="58">
        <f>IF(MONTH(A597)=12,C597*questions!$C$11,0)</f>
        <v>0</v>
      </c>
      <c r="E597" s="71">
        <f t="shared" si="2"/>
        <v>0</v>
      </c>
      <c r="F597" s="71">
        <f t="shared" si="3"/>
        <v>0</v>
      </c>
      <c r="G597" s="61">
        <f t="array" ref="G597">if(YEAR(A597)=2025,XLOOKUP(B597,Lookup!$A$3:$A$7,Lookup!$D$3:$D$7,,1)*SUM(E597:F597), XLOOKUP(B597,Lookup!$A$14:$A$18,Lookup!$D$14:$D$18,,1)*SUM(E597:F597))</f>
        <v>0</v>
      </c>
      <c r="H597" s="61">
        <f t="array" ref="H597">if(YEAR(A597)=2025,XLOOKUP(B597,Lookup!$F$3:$F$10,Lookup!$G$3:$G$10,,1)*G597, XLOOKUP(B597,Lookup!$F$14:$F$21,Lookup!$G$14:$G$21,,1)*G597)</f>
        <v>0</v>
      </c>
      <c r="I597" s="61">
        <f t="array" ref="I597">if(B597&lt;55, if(YEAR(A597)=2025,XLOOKUP(B597,Lookup!$F$3:$F$10,Lookup!$H$3:$H$10,,1)*G597, XLOOKUP(B597,Lookup!$F$14:$F$21,Lookup!$H$14:$H$21,,1)*G597),0)</f>
        <v>0</v>
      </c>
      <c r="J597" s="61">
        <f t="array" ref="J597">if(YEAR(A597)=2025,XLOOKUP(B597,Lookup!$F$3:$F$10,Lookup!$I$3:$I$10,,1)*G597, XLOOKUP(B597,Lookup!$F$14:$F$21,Lookup!$I$14:$I$21,,1)*G597)</f>
        <v>0</v>
      </c>
      <c r="K597" s="61">
        <f t="array" ref="K597">if(B597&gt;54, if(YEAR(A597)=2025,XLOOKUP(B597,Lookup!$F$3:$F$10,Lookup!$H$3:$H$10,,1)*G597, XLOOKUP(B597,Lookup!$F$14:$F$21,Lookup!$H$14:$H$21,,1)*G597),0)</f>
        <v>0</v>
      </c>
      <c r="L597" s="62">
        <f>IF(and(A597&lt;questions!$C$19,questions!$C$18="yes"),questions!$C$20,0)</f>
        <v>0</v>
      </c>
      <c r="M597" s="63">
        <f>(Y596+H597)*Lookup!A$26/12</f>
        <v>2688.58493</v>
      </c>
      <c r="N597" s="63">
        <f>if(B597&lt;55, (Z596+I597)*Lookup!B$26/12, (AB596+K597)*Lookup!B$26/12)</f>
        <v>4849.3345</v>
      </c>
      <c r="O597" s="63">
        <f>(AA596+J597)*Lookup!C$26/12</f>
        <v>940.3700287</v>
      </c>
      <c r="P597" s="63">
        <f t="shared" si="8"/>
        <v>24197.26437</v>
      </c>
      <c r="Q597" s="63">
        <f t="shared" si="4"/>
        <v>43644.0105</v>
      </c>
      <c r="R597" s="63">
        <f t="shared" si="5"/>
        <v>8463.330258</v>
      </c>
      <c r="S597" s="64">
        <f t="shared" si="9"/>
        <v>33.33333333</v>
      </c>
      <c r="T597" s="64">
        <f t="shared" si="10"/>
        <v>41.66666667</v>
      </c>
      <c r="U597" s="64">
        <f t="shared" si="11"/>
        <v>0</v>
      </c>
      <c r="V597" s="64">
        <f t="shared" ref="V597:X597" si="605">IF(year($A597)=year($A596), V596+S597, S597)</f>
        <v>300</v>
      </c>
      <c r="W597" s="64">
        <f t="shared" si="605"/>
        <v>375</v>
      </c>
      <c r="X597" s="64">
        <f t="shared" si="605"/>
        <v>0</v>
      </c>
      <c r="Y597" s="65">
        <f>IFS(
  B597&lt;55,
    MAX(
      Y596 + IF(MONTH(A597)=12, P597+V597, 0) + H597 - L597
      + MAX(0,
          IF(AA596 &gt;= VLOOKUP(YEAR(A597), Lookup!$Q:$R, 2),
            Z596 + IF(MONTH(A597)=12, Q597+W597, 0) + I597
              + AA596 + IF(MONTH(A597)=12, R597+X597, 0)
              - VLOOKUP(YEAR(A597), Lookup!$Q:$R, 2) + J597,
            Z596 + IF(MONTH(A597)=12, Q597+W597, 0) + I597
          ) - VLOOKUP(YEAR(A597), Lookup!$K:$M, 3)
        ),
    0),
  B597=55,
    IF(Z596&gt;=AD597,
      MAX(Y596 + IF(MONTH(A597)=12, P597+V597, 0) + H597 - L597, 0),
      MAX(MAX(0, Y596-(AD597-Z596)) + IF(MONTH(A597)=12, P597+V597, 0) + H597 - L597, 0)
    ),
  B597&gt;55,
    IF(AB596&gt;=$AH$7,
      MAX(Y596 + IF(MONTH(A597)=12, P597+V597, 0) + H597 - L597 + K597 + Z596, 0),
      MAX(Y596 + IF(MONTH(A597)=12, P597+V597, 0) + H597 - L597, 0)
    )
)</f>
        <v>1290520.766</v>
      </c>
      <c r="Z597" s="65">
        <f>IFS(
  B597&lt;55,
    MIN(
      IF(AA596 &gt;= VLOOKUP(YEAR(A597), Lookup!$Q:$R, 2),
        Z596 + IF(MONTH(A597)=12, Q597+W597, 0) + I597
          + AA596 + IF(MONTH(A597)=12, R597+X597, 0) - VLOOKUP(YEAR(A597), Lookup!$Q:$R, 2) + J597,
        Z596 + IF(MONTH(A597)=12, Q597+W597, 0) + I597
      ),
      VLOOKUP(YEAR(A597), Lookup!$K:$M, 3)
    ),
  B597=55,
    IF(Z596 &gt;= AD597, Z596 - AD597, 0),
  B597&gt;55, 0
)</f>
        <v>0</v>
      </c>
      <c r="AA597" s="65">
        <f>IFS(
  B597&lt;65,
    IF(AA596+J597 &lt; VLOOKUP(YEAR(A597), Lookup!$Q:$R, 2),
      AA596 + IF(MONTH(A597)=12, R596+X596, 0) + J597,
      MIN(
        AA596 + IF(MONTH(A597)=12, R596+X596, 0) + J597 ,
        VLOOKUP(YEAR(A597), Lookup!$Q:$R, 2)
      )
    ),
  B597&gt;=65,
    IF(AA596+J597 &lt; VLOOKUP(questions!$C$5, Lookup!$Q:$R, 2),
      AA596 + IF(MONTH(A597)=12, R596+X596, 0) + J597 ,
      MIN(
        AA596 + IF(MONTH(A597)=12, R596+X596, 0) + J597,
        VLOOKUP(questions!$C$5, Lookup!$Q:$R, 2)
      )
    )
)</f>
        <v>282111.0086</v>
      </c>
      <c r="AB597" s="65">
        <f t="shared" si="13"/>
        <v>1454800.35</v>
      </c>
      <c r="AC597" s="66">
        <f t="array" ref="AC597">IFS(B597&lt;66, XLOOKUP(year(A597),Lookup!$K$13:$K1000,Lookup!$L$13:$L1000,"missing",,1),B597&gt;65,XLOOKUP(questions!$C$5,Lookup!$K$13:$K1000,Lookup!$L$13:$L1000,"missing",,1))</f>
        <v>393675.3633</v>
      </c>
      <c r="AD597" s="66">
        <f t="array" ref="AD597">IFS(B597&lt;66, XLOOKUP(year(A597),Lookup!$K$13:$K1000,Lookup!$M$13:$M1000,"missing",,1),B597&gt;65, XLOOKUP(questions!$C$5,Lookup!$K$13:$K1000,Lookup!$M$13:$M1000,"missing",,1))</f>
        <v>787350.7266</v>
      </c>
      <c r="AE597" s="66">
        <f t="array" ref="AE597">IFS(B597&lt;66, XLOOKUP(year(A597),Lookup!$K$13:$K1000,Lookup!$N$13:$N1000,"missing",,1),B597&gt;65,XLOOKUP(questions!$C$5,Lookup!$K$13:$K1000,Lookup!$N$13:$N1000,"missing",,1))</f>
        <v>1574701.453</v>
      </c>
      <c r="AF597" s="37"/>
      <c r="AG597" s="37"/>
      <c r="AH597" s="37"/>
      <c r="AI597" s="37"/>
      <c r="AJ597" s="37"/>
      <c r="AK597" s="37"/>
      <c r="AL597" s="37"/>
      <c r="AM597" s="37"/>
      <c r="AN597" s="37"/>
      <c r="AO597" s="37"/>
      <c r="AP597" s="37"/>
      <c r="AQ597" s="37"/>
    </row>
    <row r="598">
      <c r="A598" s="55">
        <f t="shared" si="7"/>
        <v>64223</v>
      </c>
      <c r="B598" s="56">
        <f>round(YEARFRAC(EOMONTH(questions!$C$3, 0),A598,1),2)</f>
        <v>76.92</v>
      </c>
      <c r="C598" s="58">
        <f>IF(B598&lt;questions!$C$6,if(MONTH(A598)=1,C597*(1+questions!$C$12),C597),0)</f>
        <v>0</v>
      </c>
      <c r="D598" s="58">
        <f>IF(MONTH(A598)=12,C598*questions!$C$11,0)</f>
        <v>0</v>
      </c>
      <c r="E598" s="71">
        <f t="shared" si="2"/>
        <v>0</v>
      </c>
      <c r="F598" s="71">
        <f t="shared" si="3"/>
        <v>0</v>
      </c>
      <c r="G598" s="61">
        <f t="array" ref="G598">if(YEAR(A598)=2025,XLOOKUP(B598,Lookup!$A$3:$A$7,Lookup!$D$3:$D$7,,1)*SUM(E598:F598), XLOOKUP(B598,Lookup!$A$14:$A$18,Lookup!$D$14:$D$18,,1)*SUM(E598:F598))</f>
        <v>0</v>
      </c>
      <c r="H598" s="61">
        <f t="array" ref="H598">if(YEAR(A598)=2025,XLOOKUP(B598,Lookup!$F$3:$F$10,Lookup!$G$3:$G$10,,1)*G598, XLOOKUP(B598,Lookup!$F$14:$F$21,Lookup!$G$14:$G$21,,1)*G598)</f>
        <v>0</v>
      </c>
      <c r="I598" s="61">
        <f t="array" ref="I598">if(B598&lt;55, if(YEAR(A598)=2025,XLOOKUP(B598,Lookup!$F$3:$F$10,Lookup!$H$3:$H$10,,1)*G598, XLOOKUP(B598,Lookup!$F$14:$F$21,Lookup!$H$14:$H$21,,1)*G598),0)</f>
        <v>0</v>
      </c>
      <c r="J598" s="61">
        <f t="array" ref="J598">if(YEAR(A598)=2025,XLOOKUP(B598,Lookup!$F$3:$F$10,Lookup!$I$3:$I$10,,1)*G598, XLOOKUP(B598,Lookup!$F$14:$F$21,Lookup!$I$14:$I$21,,1)*G598)</f>
        <v>0</v>
      </c>
      <c r="K598" s="61">
        <f t="array" ref="K598">if(B598&gt;54, if(YEAR(A598)=2025,XLOOKUP(B598,Lookup!$F$3:$F$10,Lookup!$H$3:$H$10,,1)*G598, XLOOKUP(B598,Lookup!$F$14:$F$21,Lookup!$H$14:$H$21,,1)*G598),0)</f>
        <v>0</v>
      </c>
      <c r="L598" s="62">
        <f>IF(and(A598&lt;questions!$C$19,questions!$C$18="yes"),questions!$C$20,0)</f>
        <v>0</v>
      </c>
      <c r="M598" s="63">
        <f>(Y597+H598)*Lookup!A$26/12</f>
        <v>2688.58493</v>
      </c>
      <c r="N598" s="63">
        <f>if(B598&lt;55, (Z597+I598)*Lookup!B$26/12, (AB597+K598)*Lookup!B$26/12)</f>
        <v>4849.3345</v>
      </c>
      <c r="O598" s="63">
        <f>(AA597+J598)*Lookup!C$26/12</f>
        <v>940.3700287</v>
      </c>
      <c r="P598" s="63">
        <f t="shared" si="8"/>
        <v>26885.8493</v>
      </c>
      <c r="Q598" s="63">
        <f t="shared" si="4"/>
        <v>48493.345</v>
      </c>
      <c r="R598" s="63">
        <f t="shared" si="5"/>
        <v>9403.700287</v>
      </c>
      <c r="S598" s="64">
        <f t="shared" si="9"/>
        <v>33.33333333</v>
      </c>
      <c r="T598" s="64">
        <f t="shared" si="10"/>
        <v>41.66666667</v>
      </c>
      <c r="U598" s="64">
        <f t="shared" si="11"/>
        <v>0</v>
      </c>
      <c r="V598" s="64">
        <f t="shared" ref="V598:X598" si="606">IF(year($A598)=year($A597), V597+S598, S598)</f>
        <v>333.3333333</v>
      </c>
      <c r="W598" s="64">
        <f t="shared" si="606"/>
        <v>416.6666667</v>
      </c>
      <c r="X598" s="64">
        <f t="shared" si="606"/>
        <v>0</v>
      </c>
      <c r="Y598" s="65">
        <f>IFS(
  B598&lt;55,
    MAX(
      Y597 + IF(MONTH(A598)=12, P598+V598, 0) + H598 - L598
      + MAX(0,
          IF(AA597 &gt;= VLOOKUP(YEAR(A598), Lookup!$Q:$R, 2),
            Z597 + IF(MONTH(A598)=12, Q598+W598, 0) + I598
              + AA597 + IF(MONTH(A598)=12, R598+X598, 0)
              - VLOOKUP(YEAR(A598), Lookup!$Q:$R, 2) + J598,
            Z597 + IF(MONTH(A598)=12, Q598+W598, 0) + I598
          ) - VLOOKUP(YEAR(A598), Lookup!$K:$M, 3)
        ),
    0),
  B598=55,
    IF(Z597&gt;=AD598,
      MAX(Y597 + IF(MONTH(A598)=12, P598+V598, 0) + H598 - L598, 0),
      MAX(MAX(0, Y597-(AD598-Z597)) + IF(MONTH(A598)=12, P598+V598, 0) + H598 - L598, 0)
    ),
  B598&gt;55,
    IF(AB597&gt;=$AH$7,
      MAX(Y597 + IF(MONTH(A598)=12, P598+V598, 0) + H598 - L598 + K598 + Z597, 0),
      MAX(Y597 + IF(MONTH(A598)=12, P598+V598, 0) + H598 - L598, 0)
    )
)</f>
        <v>1290520.766</v>
      </c>
      <c r="Z598" s="65">
        <f>IFS(
  B598&lt;55,
    MIN(
      IF(AA597 &gt;= VLOOKUP(YEAR(A598), Lookup!$Q:$R, 2),
        Z597 + IF(MONTH(A598)=12, Q598+W598, 0) + I598
          + AA597 + IF(MONTH(A598)=12, R598+X598, 0) - VLOOKUP(YEAR(A598), Lookup!$Q:$R, 2) + J598,
        Z597 + IF(MONTH(A598)=12, Q598+W598, 0) + I598
      ),
      VLOOKUP(YEAR(A598), Lookup!$K:$M, 3)
    ),
  B598=55,
    IF(Z597 &gt;= AD598, Z597 - AD598, 0),
  B598&gt;55, 0
)</f>
        <v>0</v>
      </c>
      <c r="AA598" s="65">
        <f>IFS(
  B598&lt;65,
    IF(AA597+J598 &lt; VLOOKUP(YEAR(A598), Lookup!$Q:$R, 2),
      AA597 + IF(MONTH(A598)=12, R597+X597, 0) + J598,
      MIN(
        AA597 + IF(MONTH(A598)=12, R597+X597, 0) + J598 ,
        VLOOKUP(YEAR(A598), Lookup!$Q:$R, 2)
      )
    ),
  B598&gt;=65,
    IF(AA597+J598 &lt; VLOOKUP(questions!$C$5, Lookup!$Q:$R, 2),
      AA597 + IF(MONTH(A598)=12, R597+X597, 0) + J598 ,
      MIN(
        AA597 + IF(MONTH(A598)=12, R597+X597, 0) + J598,
        VLOOKUP(questions!$C$5, Lookup!$Q:$R, 2)
      )
    )
)</f>
        <v>282111.0086</v>
      </c>
      <c r="AB598" s="65">
        <f t="shared" si="13"/>
        <v>1454800.35</v>
      </c>
      <c r="AC598" s="66">
        <f t="array" ref="AC598">IFS(B598&lt;66, XLOOKUP(year(A598),Lookup!$K$13:$K1000,Lookup!$L$13:$L1000,"missing",,1),B598&gt;65,XLOOKUP(questions!$C$5,Lookup!$K$13:$K1000,Lookup!$L$13:$L1000,"missing",,1))</f>
        <v>393675.3633</v>
      </c>
      <c r="AD598" s="66">
        <f t="array" ref="AD598">IFS(B598&lt;66, XLOOKUP(year(A598),Lookup!$K$13:$K1000,Lookup!$M$13:$M1000,"missing",,1),B598&gt;65, XLOOKUP(questions!$C$5,Lookup!$K$13:$K1000,Lookup!$M$13:$M1000,"missing",,1))</f>
        <v>787350.7266</v>
      </c>
      <c r="AE598" s="66">
        <f t="array" ref="AE598">IFS(B598&lt;66, XLOOKUP(year(A598),Lookup!$K$13:$K1000,Lookup!$N$13:$N1000,"missing",,1),B598&gt;65,XLOOKUP(questions!$C$5,Lookup!$K$13:$K1000,Lookup!$N$13:$N1000,"missing",,1))</f>
        <v>1574701.453</v>
      </c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7"/>
      <c r="AQ598" s="37"/>
    </row>
    <row r="599">
      <c r="A599" s="55">
        <f t="shared" si="7"/>
        <v>64253</v>
      </c>
      <c r="B599" s="56">
        <f>round(YEARFRAC(EOMONTH(questions!$C$3, 0),A599,1),2)</f>
        <v>77</v>
      </c>
      <c r="C599" s="58">
        <f>IF(B599&lt;questions!$C$6,if(MONTH(A599)=1,C598*(1+questions!$C$12),C598),0)</f>
        <v>0</v>
      </c>
      <c r="D599" s="58">
        <f>IF(MONTH(A599)=12,C599*questions!$C$11,0)</f>
        <v>0</v>
      </c>
      <c r="E599" s="71">
        <f t="shared" si="2"/>
        <v>0</v>
      </c>
      <c r="F599" s="71">
        <f t="shared" si="3"/>
        <v>0</v>
      </c>
      <c r="G599" s="61">
        <f t="array" ref="G599">if(YEAR(A599)=2025,XLOOKUP(B599,Lookup!$A$3:$A$7,Lookup!$D$3:$D$7,,1)*SUM(E599:F599), XLOOKUP(B599,Lookup!$A$14:$A$18,Lookup!$D$14:$D$18,,1)*SUM(E599:F599))</f>
        <v>0</v>
      </c>
      <c r="H599" s="61">
        <f t="array" ref="H599">if(YEAR(A599)=2025,XLOOKUP(B599,Lookup!$F$3:$F$10,Lookup!$G$3:$G$10,,1)*G599, XLOOKUP(B599,Lookup!$F$14:$F$21,Lookup!$G$14:$G$21,,1)*G599)</f>
        <v>0</v>
      </c>
      <c r="I599" s="61">
        <f t="array" ref="I599">if(B599&lt;55, if(YEAR(A599)=2025,XLOOKUP(B599,Lookup!$F$3:$F$10,Lookup!$H$3:$H$10,,1)*G599, XLOOKUP(B599,Lookup!$F$14:$F$21,Lookup!$H$14:$H$21,,1)*G599),0)</f>
        <v>0</v>
      </c>
      <c r="J599" s="61">
        <f t="array" ref="J599">if(YEAR(A599)=2025,XLOOKUP(B599,Lookup!$F$3:$F$10,Lookup!$I$3:$I$10,,1)*G599, XLOOKUP(B599,Lookup!$F$14:$F$21,Lookup!$I$14:$I$21,,1)*G599)</f>
        <v>0</v>
      </c>
      <c r="K599" s="61">
        <f t="array" ref="K599">if(B599&gt;54, if(YEAR(A599)=2025,XLOOKUP(B599,Lookup!$F$3:$F$10,Lookup!$H$3:$H$10,,1)*G599, XLOOKUP(B599,Lookup!$F$14:$F$21,Lookup!$H$14:$H$21,,1)*G599),0)</f>
        <v>0</v>
      </c>
      <c r="L599" s="62">
        <f>IF(and(A599&lt;questions!$C$19,questions!$C$18="yes"),questions!$C$20,0)</f>
        <v>0</v>
      </c>
      <c r="M599" s="63">
        <f>(Y598+H599)*Lookup!A$26/12</f>
        <v>2688.58493</v>
      </c>
      <c r="N599" s="63">
        <f>if(B599&lt;55, (Z598+I599)*Lookup!B$26/12, (AB598+K599)*Lookup!B$26/12)</f>
        <v>4849.3345</v>
      </c>
      <c r="O599" s="63">
        <f>(AA598+J599)*Lookup!C$26/12</f>
        <v>940.3700287</v>
      </c>
      <c r="P599" s="63">
        <f t="shared" si="8"/>
        <v>29574.43423</v>
      </c>
      <c r="Q599" s="63">
        <f t="shared" si="4"/>
        <v>53342.6795</v>
      </c>
      <c r="R599" s="63">
        <f t="shared" si="5"/>
        <v>10344.07032</v>
      </c>
      <c r="S599" s="64">
        <f t="shared" si="9"/>
        <v>33.33333333</v>
      </c>
      <c r="T599" s="64">
        <f t="shared" si="10"/>
        <v>41.66666667</v>
      </c>
      <c r="U599" s="64">
        <f t="shared" si="11"/>
        <v>0</v>
      </c>
      <c r="V599" s="64">
        <f t="shared" ref="V599:X599" si="607">IF(year($A599)=year($A598), V598+S599, S599)</f>
        <v>366.6666667</v>
      </c>
      <c r="W599" s="64">
        <f t="shared" si="607"/>
        <v>458.3333333</v>
      </c>
      <c r="X599" s="64">
        <f t="shared" si="607"/>
        <v>0</v>
      </c>
      <c r="Y599" s="65">
        <f>IFS(
  B599&lt;55,
    MAX(
      Y598 + IF(MONTH(A599)=12, P599+V599, 0) + H599 - L599
      + MAX(0,
          IF(AA598 &gt;= VLOOKUP(YEAR(A599), Lookup!$Q:$R, 2),
            Z598 + IF(MONTH(A599)=12, Q599+W599, 0) + I599
              + AA598 + IF(MONTH(A599)=12, R599+X599, 0)
              - VLOOKUP(YEAR(A599), Lookup!$Q:$R, 2) + J599,
            Z598 + IF(MONTH(A599)=12, Q599+W599, 0) + I599
          ) - VLOOKUP(YEAR(A599), Lookup!$K:$M, 3)
        ),
    0),
  B599=55,
    IF(Z598&gt;=AD599,
      MAX(Y598 + IF(MONTH(A599)=12, P599+V599, 0) + H599 - L599, 0),
      MAX(MAX(0, Y598-(AD599-Z598)) + IF(MONTH(A599)=12, P599+V599, 0) + H599 - L599, 0)
    ),
  B599&gt;55,
    IF(AB598&gt;=$AH$7,
      MAX(Y598 + IF(MONTH(A599)=12, P599+V599, 0) + H599 - L599 + K599 + Z598, 0),
      MAX(Y598 + IF(MONTH(A599)=12, P599+V599, 0) + H599 - L599, 0)
    )
)</f>
        <v>1290520.766</v>
      </c>
      <c r="Z599" s="65">
        <f>IFS(
  B599&lt;55,
    MIN(
      IF(AA598 &gt;= VLOOKUP(YEAR(A599), Lookup!$Q:$R, 2),
        Z598 + IF(MONTH(A599)=12, Q599+W599, 0) + I599
          + AA598 + IF(MONTH(A599)=12, R599+X599, 0) - VLOOKUP(YEAR(A599), Lookup!$Q:$R, 2) + J599,
        Z598 + IF(MONTH(A599)=12, Q599+W599, 0) + I599
      ),
      VLOOKUP(YEAR(A599), Lookup!$K:$M, 3)
    ),
  B599=55,
    IF(Z598 &gt;= AD599, Z598 - AD599, 0),
  B599&gt;55, 0
)</f>
        <v>0</v>
      </c>
      <c r="AA599" s="65">
        <f>IFS(
  B599&lt;65,
    IF(AA598+J599 &lt; VLOOKUP(YEAR(A599), Lookup!$Q:$R, 2),
      AA598 + IF(MONTH(A599)=12, R598+X598, 0) + J599,
      MIN(
        AA598 + IF(MONTH(A599)=12, R598+X598, 0) + J599 ,
        VLOOKUP(YEAR(A599), Lookup!$Q:$R, 2)
      )
    ),
  B599&gt;=65,
    IF(AA598+J599 &lt; VLOOKUP(questions!$C$5, Lookup!$Q:$R, 2),
      AA598 + IF(MONTH(A599)=12, R598+X598, 0) + J599 ,
      MIN(
        AA598 + IF(MONTH(A599)=12, R598+X598, 0) + J599,
        VLOOKUP(questions!$C$5, Lookup!$Q:$R, 2)
      )
    )
)</f>
        <v>282111.0086</v>
      </c>
      <c r="AB599" s="65">
        <f t="shared" si="13"/>
        <v>1454800.35</v>
      </c>
      <c r="AC599" s="66">
        <f t="array" ref="AC599">IFS(B599&lt;66, XLOOKUP(year(A599),Lookup!$K$13:$K1000,Lookup!$L$13:$L1000,"missing",,1),B599&gt;65,XLOOKUP(questions!$C$5,Lookup!$K$13:$K1000,Lookup!$L$13:$L1000,"missing",,1))</f>
        <v>393675.3633</v>
      </c>
      <c r="AD599" s="66">
        <f t="array" ref="AD599">IFS(B599&lt;66, XLOOKUP(year(A599),Lookup!$K$13:$K1000,Lookup!$M$13:$M1000,"missing",,1),B599&gt;65, XLOOKUP(questions!$C$5,Lookup!$K$13:$K1000,Lookup!$M$13:$M1000,"missing",,1))</f>
        <v>787350.7266</v>
      </c>
      <c r="AE599" s="66">
        <f t="array" ref="AE599">IFS(B599&lt;66, XLOOKUP(year(A599),Lookup!$K$13:$K1000,Lookup!$N$13:$N1000,"missing",,1),B599&gt;65,XLOOKUP(questions!$C$5,Lookup!$K$13:$K1000,Lookup!$N$13:$N1000,"missing",,1))</f>
        <v>1574701.453</v>
      </c>
      <c r="AF599" s="37"/>
      <c r="AG599" s="37"/>
      <c r="AH599" s="37"/>
      <c r="AI599" s="37"/>
      <c r="AJ599" s="37"/>
      <c r="AK599" s="37"/>
      <c r="AL599" s="37"/>
      <c r="AM599" s="37"/>
      <c r="AN599" s="37"/>
      <c r="AO599" s="37"/>
      <c r="AP599" s="37"/>
      <c r="AQ599" s="37"/>
    </row>
    <row r="600">
      <c r="A600" s="55">
        <f t="shared" si="7"/>
        <v>64284</v>
      </c>
      <c r="B600" s="56">
        <f>round(YEARFRAC(EOMONTH(questions!$C$3, 0),A600,1),2)</f>
        <v>77.08</v>
      </c>
      <c r="C600" s="58">
        <f>IF(B600&lt;questions!$C$6,if(MONTH(A600)=1,C599*(1+questions!$C$12),C599),0)</f>
        <v>0</v>
      </c>
      <c r="D600" s="58">
        <f>IF(MONTH(A600)=12,C600*questions!$C$11,0)</f>
        <v>0</v>
      </c>
      <c r="E600" s="71">
        <f t="shared" si="2"/>
        <v>0</v>
      </c>
      <c r="F600" s="71">
        <f t="shared" si="3"/>
        <v>0</v>
      </c>
      <c r="G600" s="61">
        <f t="array" ref="G600">if(YEAR(A600)=2025,XLOOKUP(B600,Lookup!$A$3:$A$7,Lookup!$D$3:$D$7,,1)*SUM(E600:F600), XLOOKUP(B600,Lookup!$A$14:$A$18,Lookup!$D$14:$D$18,,1)*SUM(E600:F600))</f>
        <v>0</v>
      </c>
      <c r="H600" s="61">
        <f t="array" ref="H600">if(YEAR(A600)=2025,XLOOKUP(B600,Lookup!$F$3:$F$10,Lookup!$G$3:$G$10,,1)*G600, XLOOKUP(B600,Lookup!$F$14:$F$21,Lookup!$G$14:$G$21,,1)*G600)</f>
        <v>0</v>
      </c>
      <c r="I600" s="61">
        <f t="array" ref="I600">if(B600&lt;55, if(YEAR(A600)=2025,XLOOKUP(B600,Lookup!$F$3:$F$10,Lookup!$H$3:$H$10,,1)*G600, XLOOKUP(B600,Lookup!$F$14:$F$21,Lookup!$H$14:$H$21,,1)*G600),0)</f>
        <v>0</v>
      </c>
      <c r="J600" s="61">
        <f t="array" ref="J600">if(YEAR(A600)=2025,XLOOKUP(B600,Lookup!$F$3:$F$10,Lookup!$I$3:$I$10,,1)*G600, XLOOKUP(B600,Lookup!$F$14:$F$21,Lookup!$I$14:$I$21,,1)*G600)</f>
        <v>0</v>
      </c>
      <c r="K600" s="61">
        <f t="array" ref="K600">if(B600&gt;54, if(YEAR(A600)=2025,XLOOKUP(B600,Lookup!$F$3:$F$10,Lookup!$H$3:$H$10,,1)*G600, XLOOKUP(B600,Lookup!$F$14:$F$21,Lookup!$H$14:$H$21,,1)*G600),0)</f>
        <v>0</v>
      </c>
      <c r="L600" s="62">
        <f>IF(and(A600&lt;questions!$C$19,questions!$C$18="yes"),questions!$C$20,0)</f>
        <v>0</v>
      </c>
      <c r="M600" s="63">
        <f>(Y599+H600)*Lookup!A$26/12</f>
        <v>2688.58493</v>
      </c>
      <c r="N600" s="63">
        <f>if(B600&lt;55, (Z599+I600)*Lookup!B$26/12, (AB599+K600)*Lookup!B$26/12)</f>
        <v>4849.3345</v>
      </c>
      <c r="O600" s="63">
        <f>(AA599+J600)*Lookup!C$26/12</f>
        <v>940.3700287</v>
      </c>
      <c r="P600" s="63">
        <f t="shared" si="8"/>
        <v>32263.01916</v>
      </c>
      <c r="Q600" s="63">
        <f t="shared" si="4"/>
        <v>58192.014</v>
      </c>
      <c r="R600" s="63">
        <f t="shared" si="5"/>
        <v>11284.44034</v>
      </c>
      <c r="S600" s="64">
        <f t="shared" si="9"/>
        <v>33.33333333</v>
      </c>
      <c r="T600" s="64">
        <f t="shared" si="10"/>
        <v>41.66666667</v>
      </c>
      <c r="U600" s="64">
        <f t="shared" si="11"/>
        <v>0</v>
      </c>
      <c r="V600" s="64">
        <f t="shared" ref="V600:X600" si="608">IF(year($A600)=year($A599), V599+S600, S600)</f>
        <v>400</v>
      </c>
      <c r="W600" s="64">
        <f t="shared" si="608"/>
        <v>500</v>
      </c>
      <c r="X600" s="64">
        <f t="shared" si="608"/>
        <v>0</v>
      </c>
      <c r="Y600" s="65">
        <f>IFS(
  B600&lt;55,
    MAX(
      Y599 + IF(MONTH(A600)=12, P600+V600, 0) + H600 - L600
      + MAX(0,
          IF(AA599 &gt;= VLOOKUP(YEAR(A600), Lookup!$Q:$R, 2),
            Z599 + IF(MONTH(A600)=12, Q600+W600, 0) + I600
              + AA599 + IF(MONTH(A600)=12, R600+X600, 0)
              - VLOOKUP(YEAR(A600), Lookup!$Q:$R, 2) + J600,
            Z599 + IF(MONTH(A600)=12, Q600+W600, 0) + I600
          ) - VLOOKUP(YEAR(A600), Lookup!$K:$M, 3)
        ),
    0),
  B600=55,
    IF(Z599&gt;=AD600,
      MAX(Y599 + IF(MONTH(A600)=12, P600+V600, 0) + H600 - L600, 0),
      MAX(MAX(0, Y599-(AD600-Z599)) + IF(MONTH(A600)=12, P600+V600, 0) + H600 - L600, 0)
    ),
  B600&gt;55,
    IF(AB599&gt;=$AH$7,
      MAX(Y599 + IF(MONTH(A600)=12, P600+V600, 0) + H600 - L600 + K600 + Z599, 0),
      MAX(Y599 + IF(MONTH(A600)=12, P600+V600, 0) + H600 - L600, 0)
    )
)</f>
        <v>1323183.786</v>
      </c>
      <c r="Z600" s="65">
        <f>IFS(
  B600&lt;55,
    MIN(
      IF(AA599 &gt;= VLOOKUP(YEAR(A600), Lookup!$Q:$R, 2),
        Z599 + IF(MONTH(A600)=12, Q600+W600, 0) + I600
          + AA599 + IF(MONTH(A600)=12, R600+X600, 0) - VLOOKUP(YEAR(A600), Lookup!$Q:$R, 2) + J600,
        Z599 + IF(MONTH(A600)=12, Q600+W600, 0) + I600
      ),
      VLOOKUP(YEAR(A600), Lookup!$K:$M, 3)
    ),
  B600=55,
    IF(Z599 &gt;= AD600, Z599 - AD600, 0),
  B600&gt;55, 0
)</f>
        <v>0</v>
      </c>
      <c r="AA600" s="65">
        <f>IFS(
  B600&lt;65,
    IF(AA599+J600 &lt; VLOOKUP(YEAR(A600), Lookup!$Q:$R, 2),
      AA599 + IF(MONTH(A600)=12, R599+X599, 0) + J600,
      MIN(
        AA599 + IF(MONTH(A600)=12, R599+X599, 0) + J600 ,
        VLOOKUP(YEAR(A600), Lookup!$Q:$R, 2)
      )
    ),
  B600&gt;=65,
    IF(AA599+J600 &lt; VLOOKUP(questions!$C$5, Lookup!$Q:$R, 2),
      AA599 + IF(MONTH(A600)=12, R599+X599, 0) + J600 ,
      MIN(
        AA599 + IF(MONTH(A600)=12, R599+X599, 0) + J600,
        VLOOKUP(questions!$C$5, Lookup!$Q:$R, 2)
      )
    )
)</f>
        <v>282111.0086</v>
      </c>
      <c r="AB600" s="65">
        <f t="shared" si="13"/>
        <v>1513492.364</v>
      </c>
      <c r="AC600" s="66">
        <f t="array" ref="AC600">IFS(B600&lt;66, XLOOKUP(year(A600),Lookup!$K$13:$K1000,Lookup!$L$13:$L1000,"missing",,1),B600&gt;65,XLOOKUP(questions!$C$5,Lookup!$K$13:$K1000,Lookup!$L$13:$L1000,"missing",,1))</f>
        <v>393675.3633</v>
      </c>
      <c r="AD600" s="66">
        <f t="array" ref="AD600">IFS(B600&lt;66, XLOOKUP(year(A600),Lookup!$K$13:$K1000,Lookup!$M$13:$M1000,"missing",,1),B600&gt;65, XLOOKUP(questions!$C$5,Lookup!$K$13:$K1000,Lookup!$M$13:$M1000,"missing",,1))</f>
        <v>787350.7266</v>
      </c>
      <c r="AE600" s="66">
        <f t="array" ref="AE600">IFS(B600&lt;66, XLOOKUP(year(A600),Lookup!$K$13:$K1000,Lookup!$N$13:$N1000,"missing",,1),B600&gt;65,XLOOKUP(questions!$C$5,Lookup!$K$13:$K1000,Lookup!$N$13:$N1000,"missing",,1))</f>
        <v>1574701.453</v>
      </c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7"/>
      <c r="AQ600" s="37"/>
    </row>
    <row r="601">
      <c r="A601" s="55">
        <f t="shared" si="7"/>
        <v>64315</v>
      </c>
      <c r="B601" s="56">
        <f>round(YEARFRAC(EOMONTH(questions!$C$3, 0),A601,1),2)</f>
        <v>77.17</v>
      </c>
      <c r="C601" s="58">
        <f>IF(B601&lt;questions!$C$6,if(MONTH(A601)=1,C600*(1+questions!$C$12),C600),0)</f>
        <v>0</v>
      </c>
      <c r="D601" s="58">
        <f>IF(MONTH(A601)=12,C601*questions!$C$11,0)</f>
        <v>0</v>
      </c>
      <c r="E601" s="71">
        <f t="shared" si="2"/>
        <v>0</v>
      </c>
      <c r="F601" s="71">
        <f t="shared" si="3"/>
        <v>0</v>
      </c>
      <c r="G601" s="61">
        <f t="array" ref="G601">if(YEAR(A601)=2025,XLOOKUP(B601,Lookup!$A$3:$A$7,Lookup!$D$3:$D$7,,1)*SUM(E601:F601), XLOOKUP(B601,Lookup!$A$14:$A$18,Lookup!$D$14:$D$18,,1)*SUM(E601:F601))</f>
        <v>0</v>
      </c>
      <c r="H601" s="61">
        <f t="array" ref="H601">if(YEAR(A601)=2025,XLOOKUP(B601,Lookup!$F$3:$F$10,Lookup!$G$3:$G$10,,1)*G601, XLOOKUP(B601,Lookup!$F$14:$F$21,Lookup!$G$14:$G$21,,1)*G601)</f>
        <v>0</v>
      </c>
      <c r="I601" s="61">
        <f t="array" ref="I601">if(B601&lt;55, if(YEAR(A601)=2025,XLOOKUP(B601,Lookup!$F$3:$F$10,Lookup!$H$3:$H$10,,1)*G601, XLOOKUP(B601,Lookup!$F$14:$F$21,Lookup!$H$14:$H$21,,1)*G601),0)</f>
        <v>0</v>
      </c>
      <c r="J601" s="61">
        <f t="array" ref="J601">if(YEAR(A601)=2025,XLOOKUP(B601,Lookup!$F$3:$F$10,Lookup!$I$3:$I$10,,1)*G601, XLOOKUP(B601,Lookup!$F$14:$F$21,Lookup!$I$14:$I$21,,1)*G601)</f>
        <v>0</v>
      </c>
      <c r="K601" s="61">
        <f t="array" ref="K601">if(B601&gt;54, if(YEAR(A601)=2025,XLOOKUP(B601,Lookup!$F$3:$F$10,Lookup!$H$3:$H$10,,1)*G601, XLOOKUP(B601,Lookup!$F$14:$F$21,Lookup!$H$14:$H$21,,1)*G601),0)</f>
        <v>0</v>
      </c>
      <c r="L601" s="62">
        <f>IF(and(A601&lt;questions!$C$19,questions!$C$18="yes"),questions!$C$20,0)</f>
        <v>0</v>
      </c>
      <c r="M601" s="63">
        <f>(Y600+H601)*Lookup!A$26/12</f>
        <v>2756.632887</v>
      </c>
      <c r="N601" s="63">
        <f>if(B601&lt;55, (Z600+I601)*Lookup!B$26/12, (AB600+K601)*Lookup!B$26/12)</f>
        <v>5044.974546</v>
      </c>
      <c r="O601" s="63">
        <f>(AA600+J601)*Lookup!C$26/12</f>
        <v>940.3700287</v>
      </c>
      <c r="P601" s="63">
        <f t="shared" si="8"/>
        <v>2756.632887</v>
      </c>
      <c r="Q601" s="63">
        <f t="shared" si="4"/>
        <v>5044.974546</v>
      </c>
      <c r="R601" s="63">
        <f t="shared" si="5"/>
        <v>940.3700287</v>
      </c>
      <c r="S601" s="64">
        <f t="shared" si="9"/>
        <v>33.33333333</v>
      </c>
      <c r="T601" s="64">
        <f t="shared" si="10"/>
        <v>41.66666667</v>
      </c>
      <c r="U601" s="64">
        <f t="shared" si="11"/>
        <v>0</v>
      </c>
      <c r="V601" s="64">
        <f t="shared" ref="V601:X601" si="609">IF(year($A601)=year($A600), V600+S601, S601)</f>
        <v>33.33333333</v>
      </c>
      <c r="W601" s="64">
        <f t="shared" si="609"/>
        <v>41.66666667</v>
      </c>
      <c r="X601" s="64">
        <f t="shared" si="609"/>
        <v>0</v>
      </c>
      <c r="Y601" s="65">
        <f>IFS(
  B601&lt;55,
    MAX(
      Y600 + IF(MONTH(A601)=12, P601+V601, 0) + H601 - L601
      + MAX(0,
          IF(AA600 &gt;= VLOOKUP(YEAR(A601), Lookup!$Q:$R, 2),
            Z600 + IF(MONTH(A601)=12, Q601+W601, 0) + I601
              + AA600 + IF(MONTH(A601)=12, R601+X601, 0)
              - VLOOKUP(YEAR(A601), Lookup!$Q:$R, 2) + J601,
            Z600 + IF(MONTH(A601)=12, Q601+W601, 0) + I601
          ) - VLOOKUP(YEAR(A601), Lookup!$K:$M, 3)
        ),
    0),
  B601=55,
    IF(Z600&gt;=AD601,
      MAX(Y600 + IF(MONTH(A601)=12, P601+V601, 0) + H601 - L601, 0),
      MAX(MAX(0, Y600-(AD601-Z600)) + IF(MONTH(A601)=12, P601+V601, 0) + H601 - L601, 0)
    ),
  B601&gt;55,
    IF(AB600&gt;=$AH$7,
      MAX(Y600 + IF(MONTH(A601)=12, P601+V601, 0) + H601 - L601 + K601 + Z600, 0),
      MAX(Y600 + IF(MONTH(A601)=12, P601+V601, 0) + H601 - L601, 0)
    )
)</f>
        <v>1323183.786</v>
      </c>
      <c r="Z601" s="65">
        <f>IFS(
  B601&lt;55,
    MIN(
      IF(AA600 &gt;= VLOOKUP(YEAR(A601), Lookup!$Q:$R, 2),
        Z600 + IF(MONTH(A601)=12, Q601+W601, 0) + I601
          + AA600 + IF(MONTH(A601)=12, R601+X601, 0) - VLOOKUP(YEAR(A601), Lookup!$Q:$R, 2) + J601,
        Z600 + IF(MONTH(A601)=12, Q601+W601, 0) + I601
      ),
      VLOOKUP(YEAR(A601), Lookup!$K:$M, 3)
    ),
  B601=55,
    IF(Z600 &gt;= AD601, Z600 - AD601, 0),
  B601&gt;55, 0
)</f>
        <v>0</v>
      </c>
      <c r="AA601" s="65">
        <f>IFS(
  B601&lt;65,
    IF(AA600+J601 &lt; VLOOKUP(YEAR(A601), Lookup!$Q:$R, 2),
      AA600 + IF(MONTH(A601)=12, R600+X600, 0) + J601,
      MIN(
        AA600 + IF(MONTH(A601)=12, R600+X600, 0) + J601 ,
        VLOOKUP(YEAR(A601), Lookup!$Q:$R, 2)
      )
    ),
  B601&gt;=65,
    IF(AA600+J601 &lt; VLOOKUP(questions!$C$5, Lookup!$Q:$R, 2),
      AA600 + IF(MONTH(A601)=12, R600+X600, 0) + J601 ,
      MIN(
        AA600 + IF(MONTH(A601)=12, R600+X600, 0) + J601,
        VLOOKUP(questions!$C$5, Lookup!$Q:$R, 2)
      )
    )
)</f>
        <v>282111.0086</v>
      </c>
      <c r="AB601" s="65">
        <f t="shared" si="13"/>
        <v>1513492.364</v>
      </c>
      <c r="AC601" s="66">
        <f t="array" ref="AC601">IFS(B601&lt;66, XLOOKUP(year(A601),Lookup!$K$13:$K1000,Lookup!$L$13:$L1000,"missing",,1),B601&gt;65,XLOOKUP(questions!$C$5,Lookup!$K$13:$K1000,Lookup!$L$13:$L1000,"missing",,1))</f>
        <v>393675.3633</v>
      </c>
      <c r="AD601" s="66">
        <f t="array" ref="AD601">IFS(B601&lt;66, XLOOKUP(year(A601),Lookup!$K$13:$K1000,Lookup!$M$13:$M1000,"missing",,1),B601&gt;65, XLOOKUP(questions!$C$5,Lookup!$K$13:$K1000,Lookup!$M$13:$M1000,"missing",,1))</f>
        <v>787350.7266</v>
      </c>
      <c r="AE601" s="66">
        <f t="array" ref="AE601">IFS(B601&lt;66, XLOOKUP(year(A601),Lookup!$K$13:$K1000,Lookup!$N$13:$N1000,"missing",,1),B601&gt;65,XLOOKUP(questions!$C$5,Lookup!$K$13:$K1000,Lookup!$N$13:$N1000,"missing",,1))</f>
        <v>1574701.453</v>
      </c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  <c r="AQ601" s="37"/>
    </row>
    <row r="602">
      <c r="A602" s="55">
        <f t="shared" si="7"/>
        <v>64344</v>
      </c>
      <c r="B602" s="56">
        <f>round(YEARFRAC(EOMONTH(questions!$C$3, 0),A602,1),2)</f>
        <v>77.25</v>
      </c>
      <c r="C602" s="58">
        <f>IF(B602&lt;questions!$C$6,if(MONTH(A602)=1,C601*(1+questions!$C$12),C601),0)</f>
        <v>0</v>
      </c>
      <c r="D602" s="58">
        <f>IF(MONTH(A602)=12,C602*questions!$C$11,0)</f>
        <v>0</v>
      </c>
      <c r="E602" s="71">
        <f t="shared" si="2"/>
        <v>0</v>
      </c>
      <c r="F602" s="71">
        <f t="shared" si="3"/>
        <v>0</v>
      </c>
      <c r="G602" s="61">
        <f t="array" ref="G602">if(YEAR(A602)=2025,XLOOKUP(B602,Lookup!$A$3:$A$7,Lookup!$D$3:$D$7,,1)*SUM(E602:F602), XLOOKUP(B602,Lookup!$A$14:$A$18,Lookup!$D$14:$D$18,,1)*SUM(E602:F602))</f>
        <v>0</v>
      </c>
      <c r="H602" s="61">
        <f t="array" ref="H602">if(YEAR(A602)=2025,XLOOKUP(B602,Lookup!$F$3:$F$10,Lookup!$G$3:$G$10,,1)*G602, XLOOKUP(B602,Lookup!$F$14:$F$21,Lookup!$G$14:$G$21,,1)*G602)</f>
        <v>0</v>
      </c>
      <c r="I602" s="61">
        <f t="array" ref="I602">if(B602&lt;55, if(YEAR(A602)=2025,XLOOKUP(B602,Lookup!$F$3:$F$10,Lookup!$H$3:$H$10,,1)*G602, XLOOKUP(B602,Lookup!$F$14:$F$21,Lookup!$H$14:$H$21,,1)*G602),0)</f>
        <v>0</v>
      </c>
      <c r="J602" s="61">
        <f t="array" ref="J602">if(YEAR(A602)=2025,XLOOKUP(B602,Lookup!$F$3:$F$10,Lookup!$I$3:$I$10,,1)*G602, XLOOKUP(B602,Lookup!$F$14:$F$21,Lookup!$I$14:$I$21,,1)*G602)</f>
        <v>0</v>
      </c>
      <c r="K602" s="61">
        <f t="array" ref="K602">if(B602&gt;54, if(YEAR(A602)=2025,XLOOKUP(B602,Lookup!$F$3:$F$10,Lookup!$H$3:$H$10,,1)*G602, XLOOKUP(B602,Lookup!$F$14:$F$21,Lookup!$H$14:$H$21,,1)*G602),0)</f>
        <v>0</v>
      </c>
      <c r="L602" s="62">
        <f>IF(and(A602&lt;questions!$C$19,questions!$C$18="yes"),questions!$C$20,0)</f>
        <v>0</v>
      </c>
      <c r="M602" s="63">
        <f>(Y601+H602)*Lookup!A$26/12</f>
        <v>2756.632887</v>
      </c>
      <c r="N602" s="63">
        <f>if(B602&lt;55, (Z601+I602)*Lookup!B$26/12, (AB601+K602)*Lookup!B$26/12)</f>
        <v>5044.974546</v>
      </c>
      <c r="O602" s="63">
        <f>(AA601+J602)*Lookup!C$26/12</f>
        <v>940.3700287</v>
      </c>
      <c r="P602" s="63">
        <f t="shared" si="8"/>
        <v>5513.265774</v>
      </c>
      <c r="Q602" s="63">
        <f t="shared" si="4"/>
        <v>10089.94909</v>
      </c>
      <c r="R602" s="63">
        <f t="shared" si="5"/>
        <v>1880.740057</v>
      </c>
      <c r="S602" s="64">
        <f t="shared" si="9"/>
        <v>33.33333333</v>
      </c>
      <c r="T602" s="64">
        <f t="shared" si="10"/>
        <v>41.66666667</v>
      </c>
      <c r="U602" s="64">
        <f t="shared" si="11"/>
        <v>0</v>
      </c>
      <c r="V602" s="64">
        <f t="shared" ref="V602:X602" si="610">IF(year($A602)=year($A601), V601+S602, S602)</f>
        <v>66.66666667</v>
      </c>
      <c r="W602" s="64">
        <f t="shared" si="610"/>
        <v>83.33333333</v>
      </c>
      <c r="X602" s="64">
        <f t="shared" si="610"/>
        <v>0</v>
      </c>
      <c r="Y602" s="65">
        <f>IFS(
  B602&lt;55,
    MAX(
      Y601 + IF(MONTH(A602)=12, P602+V602, 0) + H602 - L602
      + MAX(0,
          IF(AA601 &gt;= VLOOKUP(YEAR(A602), Lookup!$Q:$R, 2),
            Z601 + IF(MONTH(A602)=12, Q602+W602, 0) + I602
              + AA601 + IF(MONTH(A602)=12, R602+X602, 0)
              - VLOOKUP(YEAR(A602), Lookup!$Q:$R, 2) + J602,
            Z601 + IF(MONTH(A602)=12, Q602+W602, 0) + I602
          ) - VLOOKUP(YEAR(A602), Lookup!$K:$M, 3)
        ),
    0),
  B602=55,
    IF(Z601&gt;=AD602,
      MAX(Y601 + IF(MONTH(A602)=12, P602+V602, 0) + H602 - L602, 0),
      MAX(MAX(0, Y601-(AD602-Z601)) + IF(MONTH(A602)=12, P602+V602, 0) + H602 - L602, 0)
    ),
  B602&gt;55,
    IF(AB601&gt;=$AH$7,
      MAX(Y601 + IF(MONTH(A602)=12, P602+V602, 0) + H602 - L602 + K602 + Z601, 0),
      MAX(Y601 + IF(MONTH(A602)=12, P602+V602, 0) + H602 - L602, 0)
    )
)</f>
        <v>1323183.786</v>
      </c>
      <c r="Z602" s="65">
        <f>IFS(
  B602&lt;55,
    MIN(
      IF(AA601 &gt;= VLOOKUP(YEAR(A602), Lookup!$Q:$R, 2),
        Z601 + IF(MONTH(A602)=12, Q602+W602, 0) + I602
          + AA601 + IF(MONTH(A602)=12, R602+X602, 0) - VLOOKUP(YEAR(A602), Lookup!$Q:$R, 2) + J602,
        Z601 + IF(MONTH(A602)=12, Q602+W602, 0) + I602
      ),
      VLOOKUP(YEAR(A602), Lookup!$K:$M, 3)
    ),
  B602=55,
    IF(Z601 &gt;= AD602, Z601 - AD602, 0),
  B602&gt;55, 0
)</f>
        <v>0</v>
      </c>
      <c r="AA602" s="65">
        <f>IFS(
  B602&lt;65,
    IF(AA601+J602 &lt; VLOOKUP(YEAR(A602), Lookup!$Q:$R, 2),
      AA601 + IF(MONTH(A602)=12, R601+X601, 0) + J602,
      MIN(
        AA601 + IF(MONTH(A602)=12, R601+X601, 0) + J602 ,
        VLOOKUP(YEAR(A602), Lookup!$Q:$R, 2)
      )
    ),
  B602&gt;=65,
    IF(AA601+J602 &lt; VLOOKUP(questions!$C$5, Lookup!$Q:$R, 2),
      AA601 + IF(MONTH(A602)=12, R601+X601, 0) + J602 ,
      MIN(
        AA601 + IF(MONTH(A602)=12, R601+X601, 0) + J602,
        VLOOKUP(questions!$C$5, Lookup!$Q:$R, 2)
      )
    )
)</f>
        <v>282111.0086</v>
      </c>
      <c r="AB602" s="65">
        <f t="shared" si="13"/>
        <v>1513492.364</v>
      </c>
      <c r="AC602" s="66">
        <f t="array" ref="AC602">IFS(B602&lt;66, XLOOKUP(year(A602),Lookup!$K$13:$K1000,Lookup!$L$13:$L1000,"missing",,1),B602&gt;65,XLOOKUP(questions!$C$5,Lookup!$K$13:$K1000,Lookup!$L$13:$L1000,"missing",,1))</f>
        <v>393675.3633</v>
      </c>
      <c r="AD602" s="66">
        <f t="array" ref="AD602">IFS(B602&lt;66, XLOOKUP(year(A602),Lookup!$K$13:$K1000,Lookup!$M$13:$M1000,"missing",,1),B602&gt;65, XLOOKUP(questions!$C$5,Lookup!$K$13:$K1000,Lookup!$M$13:$M1000,"missing",,1))</f>
        <v>787350.7266</v>
      </c>
      <c r="AE602" s="66">
        <f t="array" ref="AE602">IFS(B602&lt;66, XLOOKUP(year(A602),Lookup!$K$13:$K1000,Lookup!$N$13:$N1000,"missing",,1),B602&gt;65,XLOOKUP(questions!$C$5,Lookup!$K$13:$K1000,Lookup!$N$13:$N1000,"missing",,1))</f>
        <v>1574701.453</v>
      </c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  <c r="AQ602" s="37"/>
    </row>
    <row r="603">
      <c r="A603" s="55">
        <f t="shared" si="7"/>
        <v>64375</v>
      </c>
      <c r="B603" s="56">
        <f>round(YEARFRAC(EOMONTH(questions!$C$3, 0),A603,1),2)</f>
        <v>77.33</v>
      </c>
      <c r="C603" s="58">
        <f>IF(B603&lt;questions!$C$6,if(MONTH(A603)=1,C602*(1+questions!$C$12),C602),0)</f>
        <v>0</v>
      </c>
      <c r="D603" s="58">
        <f>IF(MONTH(A603)=12,C603*questions!$C$11,0)</f>
        <v>0</v>
      </c>
      <c r="E603" s="71">
        <f t="shared" si="2"/>
        <v>0</v>
      </c>
      <c r="F603" s="71">
        <f t="shared" si="3"/>
        <v>0</v>
      </c>
      <c r="G603" s="61">
        <f t="array" ref="G603">if(YEAR(A603)=2025,XLOOKUP(B603,Lookup!$A$3:$A$7,Lookup!$D$3:$D$7,,1)*SUM(E603:F603), XLOOKUP(B603,Lookup!$A$14:$A$18,Lookup!$D$14:$D$18,,1)*SUM(E603:F603))</f>
        <v>0</v>
      </c>
      <c r="H603" s="61">
        <f t="array" ref="H603">if(YEAR(A603)=2025,XLOOKUP(B603,Lookup!$F$3:$F$10,Lookup!$G$3:$G$10,,1)*G603, XLOOKUP(B603,Lookup!$F$14:$F$21,Lookup!$G$14:$G$21,,1)*G603)</f>
        <v>0</v>
      </c>
      <c r="I603" s="61">
        <f t="array" ref="I603">if(B603&lt;55, if(YEAR(A603)=2025,XLOOKUP(B603,Lookup!$F$3:$F$10,Lookup!$H$3:$H$10,,1)*G603, XLOOKUP(B603,Lookup!$F$14:$F$21,Lookup!$H$14:$H$21,,1)*G603),0)</f>
        <v>0</v>
      </c>
      <c r="J603" s="61">
        <f t="array" ref="J603">if(YEAR(A603)=2025,XLOOKUP(B603,Lookup!$F$3:$F$10,Lookup!$I$3:$I$10,,1)*G603, XLOOKUP(B603,Lookup!$F$14:$F$21,Lookup!$I$14:$I$21,,1)*G603)</f>
        <v>0</v>
      </c>
      <c r="K603" s="61">
        <f t="array" ref="K603">if(B603&gt;54, if(YEAR(A603)=2025,XLOOKUP(B603,Lookup!$F$3:$F$10,Lookup!$H$3:$H$10,,1)*G603, XLOOKUP(B603,Lookup!$F$14:$F$21,Lookup!$H$14:$H$21,,1)*G603),0)</f>
        <v>0</v>
      </c>
      <c r="L603" s="62">
        <f>IF(and(A603&lt;questions!$C$19,questions!$C$18="yes"),questions!$C$20,0)</f>
        <v>0</v>
      </c>
      <c r="M603" s="63">
        <f>(Y602+H603)*Lookup!A$26/12</f>
        <v>2756.632887</v>
      </c>
      <c r="N603" s="63">
        <f>if(B603&lt;55, (Z602+I603)*Lookup!B$26/12, (AB602+K603)*Lookup!B$26/12)</f>
        <v>5044.974546</v>
      </c>
      <c r="O603" s="63">
        <f>(AA602+J603)*Lookup!C$26/12</f>
        <v>940.3700287</v>
      </c>
      <c r="P603" s="63">
        <f t="shared" si="8"/>
        <v>8269.89866</v>
      </c>
      <c r="Q603" s="63">
        <f t="shared" si="4"/>
        <v>15134.92364</v>
      </c>
      <c r="R603" s="63">
        <f t="shared" si="5"/>
        <v>2821.110086</v>
      </c>
      <c r="S603" s="64">
        <f t="shared" si="9"/>
        <v>33.33333333</v>
      </c>
      <c r="T603" s="64">
        <f t="shared" si="10"/>
        <v>41.66666667</v>
      </c>
      <c r="U603" s="64">
        <f t="shared" si="11"/>
        <v>0</v>
      </c>
      <c r="V603" s="64">
        <f t="shared" ref="V603:X603" si="611">IF(year($A603)=year($A602), V602+S603, S603)</f>
        <v>100</v>
      </c>
      <c r="W603" s="64">
        <f t="shared" si="611"/>
        <v>125</v>
      </c>
      <c r="X603" s="64">
        <f t="shared" si="611"/>
        <v>0</v>
      </c>
      <c r="Y603" s="65">
        <f>IFS(
  B603&lt;55,
    MAX(
      Y602 + IF(MONTH(A603)=12, P603+V603, 0) + H603 - L603
      + MAX(0,
          IF(AA602 &gt;= VLOOKUP(YEAR(A603), Lookup!$Q:$R, 2),
            Z602 + IF(MONTH(A603)=12, Q603+W603, 0) + I603
              + AA602 + IF(MONTH(A603)=12, R603+X603, 0)
              - VLOOKUP(YEAR(A603), Lookup!$Q:$R, 2) + J603,
            Z602 + IF(MONTH(A603)=12, Q603+W603, 0) + I603
          ) - VLOOKUP(YEAR(A603), Lookup!$K:$M, 3)
        ),
    0),
  B603=55,
    IF(Z602&gt;=AD603,
      MAX(Y602 + IF(MONTH(A603)=12, P603+V603, 0) + H603 - L603, 0),
      MAX(MAX(0, Y602-(AD603-Z602)) + IF(MONTH(A603)=12, P603+V603, 0) + H603 - L603, 0)
    ),
  B603&gt;55,
    IF(AB602&gt;=$AH$7,
      MAX(Y602 + IF(MONTH(A603)=12, P603+V603, 0) + H603 - L603 + K603 + Z602, 0),
      MAX(Y602 + IF(MONTH(A603)=12, P603+V603, 0) + H603 - L603, 0)
    )
)</f>
        <v>1323183.786</v>
      </c>
      <c r="Z603" s="65">
        <f>IFS(
  B603&lt;55,
    MIN(
      IF(AA602 &gt;= VLOOKUP(YEAR(A603), Lookup!$Q:$R, 2),
        Z602 + IF(MONTH(A603)=12, Q603+W603, 0) + I603
          + AA602 + IF(MONTH(A603)=12, R603+X603, 0) - VLOOKUP(YEAR(A603), Lookup!$Q:$R, 2) + J603,
        Z602 + IF(MONTH(A603)=12, Q603+W603, 0) + I603
      ),
      VLOOKUP(YEAR(A603), Lookup!$K:$M, 3)
    ),
  B603=55,
    IF(Z602 &gt;= AD603, Z602 - AD603, 0),
  B603&gt;55, 0
)</f>
        <v>0</v>
      </c>
      <c r="AA603" s="65">
        <f>IFS(
  B603&lt;65,
    IF(AA602+J603 &lt; VLOOKUP(YEAR(A603), Lookup!$Q:$R, 2),
      AA602 + IF(MONTH(A603)=12, R602+X602, 0) + J603,
      MIN(
        AA602 + IF(MONTH(A603)=12, R602+X602, 0) + J603 ,
        VLOOKUP(YEAR(A603), Lookup!$Q:$R, 2)
      )
    ),
  B603&gt;=65,
    IF(AA602+J603 &lt; VLOOKUP(questions!$C$5, Lookup!$Q:$R, 2),
      AA602 + IF(MONTH(A603)=12, R602+X602, 0) + J603 ,
      MIN(
        AA602 + IF(MONTH(A603)=12, R602+X602, 0) + J603,
        VLOOKUP(questions!$C$5, Lookup!$Q:$R, 2)
      )
    )
)</f>
        <v>282111.0086</v>
      </c>
      <c r="AB603" s="65">
        <f t="shared" si="13"/>
        <v>1513492.364</v>
      </c>
      <c r="AC603" s="66">
        <f t="array" ref="AC603">IFS(B603&lt;66, XLOOKUP(year(A603),Lookup!$K$13:$K1000,Lookup!$L$13:$L1000,"missing",,1),B603&gt;65,XLOOKUP(questions!$C$5,Lookup!$K$13:$K1000,Lookup!$L$13:$L1000,"missing",,1))</f>
        <v>393675.3633</v>
      </c>
      <c r="AD603" s="66">
        <f t="array" ref="AD603">IFS(B603&lt;66, XLOOKUP(year(A603),Lookup!$K$13:$K1000,Lookup!$M$13:$M1000,"missing",,1),B603&gt;65, XLOOKUP(questions!$C$5,Lookup!$K$13:$K1000,Lookup!$M$13:$M1000,"missing",,1))</f>
        <v>787350.7266</v>
      </c>
      <c r="AE603" s="66">
        <f t="array" ref="AE603">IFS(B603&lt;66, XLOOKUP(year(A603),Lookup!$K$13:$K1000,Lookup!$N$13:$N1000,"missing",,1),B603&gt;65,XLOOKUP(questions!$C$5,Lookup!$K$13:$K1000,Lookup!$N$13:$N1000,"missing",,1))</f>
        <v>1574701.453</v>
      </c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  <c r="AQ603" s="37"/>
    </row>
    <row r="604">
      <c r="A604" s="55">
        <f t="shared" si="7"/>
        <v>64405</v>
      </c>
      <c r="B604" s="56">
        <f>round(YEARFRAC(EOMONTH(questions!$C$3, 0),A604,1),2)</f>
        <v>77.42</v>
      </c>
      <c r="C604" s="58">
        <f>IF(B604&lt;questions!$C$6,if(MONTH(A604)=1,C603*(1+questions!$C$12),C603),0)</f>
        <v>0</v>
      </c>
      <c r="D604" s="58">
        <f>IF(MONTH(A604)=12,C604*questions!$C$11,0)</f>
        <v>0</v>
      </c>
      <c r="E604" s="71">
        <f t="shared" si="2"/>
        <v>0</v>
      </c>
      <c r="F604" s="71">
        <f t="shared" si="3"/>
        <v>0</v>
      </c>
      <c r="G604" s="61">
        <f t="array" ref="G604">if(YEAR(A604)=2025,XLOOKUP(B604,Lookup!$A$3:$A$7,Lookup!$D$3:$D$7,,1)*SUM(E604:F604), XLOOKUP(B604,Lookup!$A$14:$A$18,Lookup!$D$14:$D$18,,1)*SUM(E604:F604))</f>
        <v>0</v>
      </c>
      <c r="H604" s="61">
        <f t="array" ref="H604">if(YEAR(A604)=2025,XLOOKUP(B604,Lookup!$F$3:$F$10,Lookup!$G$3:$G$10,,1)*G604, XLOOKUP(B604,Lookup!$F$14:$F$21,Lookup!$G$14:$G$21,,1)*G604)</f>
        <v>0</v>
      </c>
      <c r="I604" s="61">
        <f t="array" ref="I604">if(B604&lt;55, if(YEAR(A604)=2025,XLOOKUP(B604,Lookup!$F$3:$F$10,Lookup!$H$3:$H$10,,1)*G604, XLOOKUP(B604,Lookup!$F$14:$F$21,Lookup!$H$14:$H$21,,1)*G604),0)</f>
        <v>0</v>
      </c>
      <c r="J604" s="61">
        <f t="array" ref="J604">if(YEAR(A604)=2025,XLOOKUP(B604,Lookup!$F$3:$F$10,Lookup!$I$3:$I$10,,1)*G604, XLOOKUP(B604,Lookup!$F$14:$F$21,Lookup!$I$14:$I$21,,1)*G604)</f>
        <v>0</v>
      </c>
      <c r="K604" s="61">
        <f t="array" ref="K604">if(B604&gt;54, if(YEAR(A604)=2025,XLOOKUP(B604,Lookup!$F$3:$F$10,Lookup!$H$3:$H$10,,1)*G604, XLOOKUP(B604,Lookup!$F$14:$F$21,Lookup!$H$14:$H$21,,1)*G604),0)</f>
        <v>0</v>
      </c>
      <c r="L604" s="62">
        <f>IF(and(A604&lt;questions!$C$19,questions!$C$18="yes"),questions!$C$20,0)</f>
        <v>0</v>
      </c>
      <c r="M604" s="63">
        <f>(Y603+H604)*Lookup!A$26/12</f>
        <v>2756.632887</v>
      </c>
      <c r="N604" s="63">
        <f>if(B604&lt;55, (Z603+I604)*Lookup!B$26/12, (AB603+K604)*Lookup!B$26/12)</f>
        <v>5044.974546</v>
      </c>
      <c r="O604" s="63">
        <f>(AA603+J604)*Lookup!C$26/12</f>
        <v>940.3700287</v>
      </c>
      <c r="P604" s="63">
        <f t="shared" si="8"/>
        <v>11026.53155</v>
      </c>
      <c r="Q604" s="63">
        <f t="shared" si="4"/>
        <v>20179.89819</v>
      </c>
      <c r="R604" s="63">
        <f t="shared" si="5"/>
        <v>3761.480115</v>
      </c>
      <c r="S604" s="64">
        <f t="shared" si="9"/>
        <v>33.33333333</v>
      </c>
      <c r="T604" s="64">
        <f t="shared" si="10"/>
        <v>41.66666667</v>
      </c>
      <c r="U604" s="64">
        <f t="shared" si="11"/>
        <v>0</v>
      </c>
      <c r="V604" s="64">
        <f t="shared" ref="V604:X604" si="612">IF(year($A604)=year($A603), V603+S604, S604)</f>
        <v>133.3333333</v>
      </c>
      <c r="W604" s="64">
        <f t="shared" si="612"/>
        <v>166.6666667</v>
      </c>
      <c r="X604" s="64">
        <f t="shared" si="612"/>
        <v>0</v>
      </c>
      <c r="Y604" s="65">
        <f>IFS(
  B604&lt;55,
    MAX(
      Y603 + IF(MONTH(A604)=12, P604+V604, 0) + H604 - L604
      + MAX(0,
          IF(AA603 &gt;= VLOOKUP(YEAR(A604), Lookup!$Q:$R, 2),
            Z603 + IF(MONTH(A604)=12, Q604+W604, 0) + I604
              + AA603 + IF(MONTH(A604)=12, R604+X604, 0)
              - VLOOKUP(YEAR(A604), Lookup!$Q:$R, 2) + J604,
            Z603 + IF(MONTH(A604)=12, Q604+W604, 0) + I604
          ) - VLOOKUP(YEAR(A604), Lookup!$K:$M, 3)
        ),
    0),
  B604=55,
    IF(Z603&gt;=AD604,
      MAX(Y603 + IF(MONTH(A604)=12, P604+V604, 0) + H604 - L604, 0),
      MAX(MAX(0, Y603-(AD604-Z603)) + IF(MONTH(A604)=12, P604+V604, 0) + H604 - L604, 0)
    ),
  B604&gt;55,
    IF(AB603&gt;=$AH$7,
      MAX(Y603 + IF(MONTH(A604)=12, P604+V604, 0) + H604 - L604 + K604 + Z603, 0),
      MAX(Y603 + IF(MONTH(A604)=12, P604+V604, 0) + H604 - L604, 0)
    )
)</f>
        <v>1323183.786</v>
      </c>
      <c r="Z604" s="65">
        <f>IFS(
  B604&lt;55,
    MIN(
      IF(AA603 &gt;= VLOOKUP(YEAR(A604), Lookup!$Q:$R, 2),
        Z603 + IF(MONTH(A604)=12, Q604+W604, 0) + I604
          + AA603 + IF(MONTH(A604)=12, R604+X604, 0) - VLOOKUP(YEAR(A604), Lookup!$Q:$R, 2) + J604,
        Z603 + IF(MONTH(A604)=12, Q604+W604, 0) + I604
      ),
      VLOOKUP(YEAR(A604), Lookup!$K:$M, 3)
    ),
  B604=55,
    IF(Z603 &gt;= AD604, Z603 - AD604, 0),
  B604&gt;55, 0
)</f>
        <v>0</v>
      </c>
      <c r="AA604" s="65">
        <f>IFS(
  B604&lt;65,
    IF(AA603+J604 &lt; VLOOKUP(YEAR(A604), Lookup!$Q:$R, 2),
      AA603 + IF(MONTH(A604)=12, R603+X603, 0) + J604,
      MIN(
        AA603 + IF(MONTH(A604)=12, R603+X603, 0) + J604 ,
        VLOOKUP(YEAR(A604), Lookup!$Q:$R, 2)
      )
    ),
  B604&gt;=65,
    IF(AA603+J604 &lt; VLOOKUP(questions!$C$5, Lookup!$Q:$R, 2),
      AA603 + IF(MONTH(A604)=12, R603+X603, 0) + J604 ,
      MIN(
        AA603 + IF(MONTH(A604)=12, R603+X603, 0) + J604,
        VLOOKUP(questions!$C$5, Lookup!$Q:$R, 2)
      )
    )
)</f>
        <v>282111.0086</v>
      </c>
      <c r="AB604" s="65">
        <f t="shared" si="13"/>
        <v>1513492.364</v>
      </c>
      <c r="AC604" s="66">
        <f t="array" ref="AC604">IFS(B604&lt;66, XLOOKUP(year(A604),Lookup!$K$13:$K1000,Lookup!$L$13:$L1000,"missing",,1),B604&gt;65,XLOOKUP(questions!$C$5,Lookup!$K$13:$K1000,Lookup!$L$13:$L1000,"missing",,1))</f>
        <v>393675.3633</v>
      </c>
      <c r="AD604" s="66">
        <f t="array" ref="AD604">IFS(B604&lt;66, XLOOKUP(year(A604),Lookup!$K$13:$K1000,Lookup!$M$13:$M1000,"missing",,1),B604&gt;65, XLOOKUP(questions!$C$5,Lookup!$K$13:$K1000,Lookup!$M$13:$M1000,"missing",,1))</f>
        <v>787350.7266</v>
      </c>
      <c r="AE604" s="66">
        <f t="array" ref="AE604">IFS(B604&lt;66, XLOOKUP(year(A604),Lookup!$K$13:$K1000,Lookup!$N$13:$N1000,"missing",,1),B604&gt;65,XLOOKUP(questions!$C$5,Lookup!$K$13:$K1000,Lookup!$N$13:$N1000,"missing",,1))</f>
        <v>1574701.453</v>
      </c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7"/>
      <c r="AQ604" s="37"/>
    </row>
    <row r="605">
      <c r="A605" s="55">
        <f t="shared" si="7"/>
        <v>64436</v>
      </c>
      <c r="B605" s="56">
        <f>round(YEARFRAC(EOMONTH(questions!$C$3, 0),A605,1),2)</f>
        <v>77.5</v>
      </c>
      <c r="C605" s="58">
        <f>IF(B605&lt;questions!$C$6,if(MONTH(A605)=1,C604*(1+questions!$C$12),C604),0)</f>
        <v>0</v>
      </c>
      <c r="D605" s="58">
        <f>IF(MONTH(A605)=12,C605*questions!$C$11,0)</f>
        <v>0</v>
      </c>
      <c r="E605" s="71">
        <f t="shared" si="2"/>
        <v>0</v>
      </c>
      <c r="F605" s="71">
        <f t="shared" si="3"/>
        <v>0</v>
      </c>
      <c r="G605" s="61">
        <f t="array" ref="G605">if(YEAR(A605)=2025,XLOOKUP(B605,Lookup!$A$3:$A$7,Lookup!$D$3:$D$7,,1)*SUM(E605:F605), XLOOKUP(B605,Lookup!$A$14:$A$18,Lookup!$D$14:$D$18,,1)*SUM(E605:F605))</f>
        <v>0</v>
      </c>
      <c r="H605" s="61">
        <f t="array" ref="H605">if(YEAR(A605)=2025,XLOOKUP(B605,Lookup!$F$3:$F$10,Lookup!$G$3:$G$10,,1)*G605, XLOOKUP(B605,Lookup!$F$14:$F$21,Lookup!$G$14:$G$21,,1)*G605)</f>
        <v>0</v>
      </c>
      <c r="I605" s="61">
        <f t="array" ref="I605">if(B605&lt;55, if(YEAR(A605)=2025,XLOOKUP(B605,Lookup!$F$3:$F$10,Lookup!$H$3:$H$10,,1)*G605, XLOOKUP(B605,Lookup!$F$14:$F$21,Lookup!$H$14:$H$21,,1)*G605),0)</f>
        <v>0</v>
      </c>
      <c r="J605" s="61">
        <f t="array" ref="J605">if(YEAR(A605)=2025,XLOOKUP(B605,Lookup!$F$3:$F$10,Lookup!$I$3:$I$10,,1)*G605, XLOOKUP(B605,Lookup!$F$14:$F$21,Lookup!$I$14:$I$21,,1)*G605)</f>
        <v>0</v>
      </c>
      <c r="K605" s="61">
        <f t="array" ref="K605">if(B605&gt;54, if(YEAR(A605)=2025,XLOOKUP(B605,Lookup!$F$3:$F$10,Lookup!$H$3:$H$10,,1)*G605, XLOOKUP(B605,Lookup!$F$14:$F$21,Lookup!$H$14:$H$21,,1)*G605),0)</f>
        <v>0</v>
      </c>
      <c r="L605" s="62">
        <f>IF(and(A605&lt;questions!$C$19,questions!$C$18="yes"),questions!$C$20,0)</f>
        <v>0</v>
      </c>
      <c r="M605" s="63">
        <f>(Y604+H605)*Lookup!A$26/12</f>
        <v>2756.632887</v>
      </c>
      <c r="N605" s="63">
        <f>if(B605&lt;55, (Z604+I605)*Lookup!B$26/12, (AB604+K605)*Lookup!B$26/12)</f>
        <v>5044.974546</v>
      </c>
      <c r="O605" s="63">
        <f>(AA604+J605)*Lookup!C$26/12</f>
        <v>940.3700287</v>
      </c>
      <c r="P605" s="63">
        <f t="shared" si="8"/>
        <v>13783.16443</v>
      </c>
      <c r="Q605" s="63">
        <f t="shared" si="4"/>
        <v>25224.87273</v>
      </c>
      <c r="R605" s="63">
        <f t="shared" si="5"/>
        <v>4701.850143</v>
      </c>
      <c r="S605" s="64">
        <f t="shared" si="9"/>
        <v>33.33333333</v>
      </c>
      <c r="T605" s="64">
        <f t="shared" si="10"/>
        <v>41.66666667</v>
      </c>
      <c r="U605" s="64">
        <f t="shared" si="11"/>
        <v>0</v>
      </c>
      <c r="V605" s="64">
        <f t="shared" ref="V605:X605" si="613">IF(year($A605)=year($A604), V604+S605, S605)</f>
        <v>166.6666667</v>
      </c>
      <c r="W605" s="64">
        <f t="shared" si="613"/>
        <v>208.3333333</v>
      </c>
      <c r="X605" s="64">
        <f t="shared" si="613"/>
        <v>0</v>
      </c>
      <c r="Y605" s="65">
        <f>IFS(
  B605&lt;55,
    MAX(
      Y604 + IF(MONTH(A605)=12, P605+V605, 0) + H605 - L605
      + MAX(0,
          IF(AA604 &gt;= VLOOKUP(YEAR(A605), Lookup!$Q:$R, 2),
            Z604 + IF(MONTH(A605)=12, Q605+W605, 0) + I605
              + AA604 + IF(MONTH(A605)=12, R605+X605, 0)
              - VLOOKUP(YEAR(A605), Lookup!$Q:$R, 2) + J605,
            Z604 + IF(MONTH(A605)=12, Q605+W605, 0) + I605
          ) - VLOOKUP(YEAR(A605), Lookup!$K:$M, 3)
        ),
    0),
  B605=55,
    IF(Z604&gt;=AD605,
      MAX(Y604 + IF(MONTH(A605)=12, P605+V605, 0) + H605 - L605, 0),
      MAX(MAX(0, Y604-(AD605-Z604)) + IF(MONTH(A605)=12, P605+V605, 0) + H605 - L605, 0)
    ),
  B605&gt;55,
    IF(AB604&gt;=$AH$7,
      MAX(Y604 + IF(MONTH(A605)=12, P605+V605, 0) + H605 - L605 + K605 + Z604, 0),
      MAX(Y604 + IF(MONTH(A605)=12, P605+V605, 0) + H605 - L605, 0)
    )
)</f>
        <v>1323183.786</v>
      </c>
      <c r="Z605" s="65">
        <f>IFS(
  B605&lt;55,
    MIN(
      IF(AA604 &gt;= VLOOKUP(YEAR(A605), Lookup!$Q:$R, 2),
        Z604 + IF(MONTH(A605)=12, Q605+W605, 0) + I605
          + AA604 + IF(MONTH(A605)=12, R605+X605, 0) - VLOOKUP(YEAR(A605), Lookup!$Q:$R, 2) + J605,
        Z604 + IF(MONTH(A605)=12, Q605+W605, 0) + I605
      ),
      VLOOKUP(YEAR(A605), Lookup!$K:$M, 3)
    ),
  B605=55,
    IF(Z604 &gt;= AD605, Z604 - AD605, 0),
  B605&gt;55, 0
)</f>
        <v>0</v>
      </c>
      <c r="AA605" s="65">
        <f>IFS(
  B605&lt;65,
    IF(AA604+J605 &lt; VLOOKUP(YEAR(A605), Lookup!$Q:$R, 2),
      AA604 + IF(MONTH(A605)=12, R604+X604, 0) + J605,
      MIN(
        AA604 + IF(MONTH(A605)=12, R604+X604, 0) + J605 ,
        VLOOKUP(YEAR(A605), Lookup!$Q:$R, 2)
      )
    ),
  B605&gt;=65,
    IF(AA604+J605 &lt; VLOOKUP(questions!$C$5, Lookup!$Q:$R, 2),
      AA604 + IF(MONTH(A605)=12, R604+X604, 0) + J605 ,
      MIN(
        AA604 + IF(MONTH(A605)=12, R604+X604, 0) + J605,
        VLOOKUP(questions!$C$5, Lookup!$Q:$R, 2)
      )
    )
)</f>
        <v>282111.0086</v>
      </c>
      <c r="AB605" s="65">
        <f t="shared" si="13"/>
        <v>1513492.364</v>
      </c>
      <c r="AC605" s="66">
        <f t="array" ref="AC605">IFS(B605&lt;66, XLOOKUP(year(A605),Lookup!$K$13:$K1000,Lookup!$L$13:$L1000,"missing",,1),B605&gt;65,XLOOKUP(questions!$C$5,Lookup!$K$13:$K1000,Lookup!$L$13:$L1000,"missing",,1))</f>
        <v>393675.3633</v>
      </c>
      <c r="AD605" s="66">
        <f t="array" ref="AD605">IFS(B605&lt;66, XLOOKUP(year(A605),Lookup!$K$13:$K1000,Lookup!$M$13:$M1000,"missing",,1),B605&gt;65, XLOOKUP(questions!$C$5,Lookup!$K$13:$K1000,Lookup!$M$13:$M1000,"missing",,1))</f>
        <v>787350.7266</v>
      </c>
      <c r="AE605" s="66">
        <f t="array" ref="AE605">IFS(B605&lt;66, XLOOKUP(year(A605),Lookup!$K$13:$K1000,Lookup!$N$13:$N1000,"missing",,1),B605&gt;65,XLOOKUP(questions!$C$5,Lookup!$K$13:$K1000,Lookup!$N$13:$N1000,"missing",,1))</f>
        <v>1574701.453</v>
      </c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  <c r="AQ605" s="37"/>
    </row>
    <row r="606">
      <c r="A606" s="55">
        <f t="shared" si="7"/>
        <v>64466</v>
      </c>
      <c r="B606" s="56">
        <f>round(YEARFRAC(EOMONTH(questions!$C$3, 0),A606,1),2)</f>
        <v>77.58</v>
      </c>
      <c r="C606" s="58">
        <f>IF(B606&lt;questions!$C$6,if(MONTH(A606)=1,C605*(1+questions!$C$12),C605),0)</f>
        <v>0</v>
      </c>
      <c r="D606" s="58">
        <f>IF(MONTH(A606)=12,C606*questions!$C$11,0)</f>
        <v>0</v>
      </c>
      <c r="E606" s="71">
        <f t="shared" si="2"/>
        <v>0</v>
      </c>
      <c r="F606" s="71">
        <f t="shared" si="3"/>
        <v>0</v>
      </c>
      <c r="G606" s="61">
        <f t="array" ref="G606">if(YEAR(A606)=2025,XLOOKUP(B606,Lookup!$A$3:$A$7,Lookup!$D$3:$D$7,,1)*SUM(E606:F606), XLOOKUP(B606,Lookup!$A$14:$A$18,Lookup!$D$14:$D$18,,1)*SUM(E606:F606))</f>
        <v>0</v>
      </c>
      <c r="H606" s="61">
        <f t="array" ref="H606">if(YEAR(A606)=2025,XLOOKUP(B606,Lookup!$F$3:$F$10,Lookup!$G$3:$G$10,,1)*G606, XLOOKUP(B606,Lookup!$F$14:$F$21,Lookup!$G$14:$G$21,,1)*G606)</f>
        <v>0</v>
      </c>
      <c r="I606" s="61">
        <f t="array" ref="I606">if(B606&lt;55, if(YEAR(A606)=2025,XLOOKUP(B606,Lookup!$F$3:$F$10,Lookup!$H$3:$H$10,,1)*G606, XLOOKUP(B606,Lookup!$F$14:$F$21,Lookup!$H$14:$H$21,,1)*G606),0)</f>
        <v>0</v>
      </c>
      <c r="J606" s="61">
        <f t="array" ref="J606">if(YEAR(A606)=2025,XLOOKUP(B606,Lookup!$F$3:$F$10,Lookup!$I$3:$I$10,,1)*G606, XLOOKUP(B606,Lookup!$F$14:$F$21,Lookup!$I$14:$I$21,,1)*G606)</f>
        <v>0</v>
      </c>
      <c r="K606" s="61">
        <f t="array" ref="K606">if(B606&gt;54, if(YEAR(A606)=2025,XLOOKUP(B606,Lookup!$F$3:$F$10,Lookup!$H$3:$H$10,,1)*G606, XLOOKUP(B606,Lookup!$F$14:$F$21,Lookup!$H$14:$H$21,,1)*G606),0)</f>
        <v>0</v>
      </c>
      <c r="L606" s="62">
        <f>IF(and(A606&lt;questions!$C$19,questions!$C$18="yes"),questions!$C$20,0)</f>
        <v>0</v>
      </c>
      <c r="M606" s="63">
        <f>(Y605+H606)*Lookup!A$26/12</f>
        <v>2756.632887</v>
      </c>
      <c r="N606" s="63">
        <f>if(B606&lt;55, (Z605+I606)*Lookup!B$26/12, (AB605+K606)*Lookup!B$26/12)</f>
        <v>5044.974546</v>
      </c>
      <c r="O606" s="63">
        <f>(AA605+J606)*Lookup!C$26/12</f>
        <v>940.3700287</v>
      </c>
      <c r="P606" s="63">
        <f t="shared" si="8"/>
        <v>16539.79732</v>
      </c>
      <c r="Q606" s="63">
        <f t="shared" si="4"/>
        <v>30269.84728</v>
      </c>
      <c r="R606" s="63">
        <f t="shared" si="5"/>
        <v>5642.220172</v>
      </c>
      <c r="S606" s="64">
        <f t="shared" si="9"/>
        <v>33.33333333</v>
      </c>
      <c r="T606" s="64">
        <f t="shared" si="10"/>
        <v>41.66666667</v>
      </c>
      <c r="U606" s="64">
        <f t="shared" si="11"/>
        <v>0</v>
      </c>
      <c r="V606" s="64">
        <f t="shared" ref="V606:X606" si="614">IF(year($A606)=year($A605), V605+S606, S606)</f>
        <v>200</v>
      </c>
      <c r="W606" s="64">
        <f t="shared" si="614"/>
        <v>250</v>
      </c>
      <c r="X606" s="64">
        <f t="shared" si="614"/>
        <v>0</v>
      </c>
      <c r="Y606" s="65">
        <f>IFS(
  B606&lt;55,
    MAX(
      Y605 + IF(MONTH(A606)=12, P606+V606, 0) + H606 - L606
      + MAX(0,
          IF(AA605 &gt;= VLOOKUP(YEAR(A606), Lookup!$Q:$R, 2),
            Z605 + IF(MONTH(A606)=12, Q606+W606, 0) + I606
              + AA605 + IF(MONTH(A606)=12, R606+X606, 0)
              - VLOOKUP(YEAR(A606), Lookup!$Q:$R, 2) + J606,
            Z605 + IF(MONTH(A606)=12, Q606+W606, 0) + I606
          ) - VLOOKUP(YEAR(A606), Lookup!$K:$M, 3)
        ),
    0),
  B606=55,
    IF(Z605&gt;=AD606,
      MAX(Y605 + IF(MONTH(A606)=12, P606+V606, 0) + H606 - L606, 0),
      MAX(MAX(0, Y605-(AD606-Z605)) + IF(MONTH(A606)=12, P606+V606, 0) + H606 - L606, 0)
    ),
  B606&gt;55,
    IF(AB605&gt;=$AH$7,
      MAX(Y605 + IF(MONTH(A606)=12, P606+V606, 0) + H606 - L606 + K606 + Z605, 0),
      MAX(Y605 + IF(MONTH(A606)=12, P606+V606, 0) + H606 - L606, 0)
    )
)</f>
        <v>1323183.786</v>
      </c>
      <c r="Z606" s="65">
        <f>IFS(
  B606&lt;55,
    MIN(
      IF(AA605 &gt;= VLOOKUP(YEAR(A606), Lookup!$Q:$R, 2),
        Z605 + IF(MONTH(A606)=12, Q606+W606, 0) + I606
          + AA605 + IF(MONTH(A606)=12, R606+X606, 0) - VLOOKUP(YEAR(A606), Lookup!$Q:$R, 2) + J606,
        Z605 + IF(MONTH(A606)=12, Q606+W606, 0) + I606
      ),
      VLOOKUP(YEAR(A606), Lookup!$K:$M, 3)
    ),
  B606=55,
    IF(Z605 &gt;= AD606, Z605 - AD606, 0),
  B606&gt;55, 0
)</f>
        <v>0</v>
      </c>
      <c r="AA606" s="65">
        <f>IFS(
  B606&lt;65,
    IF(AA605+J606 &lt; VLOOKUP(YEAR(A606), Lookup!$Q:$R, 2),
      AA605 + IF(MONTH(A606)=12, R605+X605, 0) + J606,
      MIN(
        AA605 + IF(MONTH(A606)=12, R605+X605, 0) + J606 ,
        VLOOKUP(YEAR(A606), Lookup!$Q:$R, 2)
      )
    ),
  B606&gt;=65,
    IF(AA605+J606 &lt; VLOOKUP(questions!$C$5, Lookup!$Q:$R, 2),
      AA605 + IF(MONTH(A606)=12, R605+X605, 0) + J606 ,
      MIN(
        AA605 + IF(MONTH(A606)=12, R605+X605, 0) + J606,
        VLOOKUP(questions!$C$5, Lookup!$Q:$R, 2)
      )
    )
)</f>
        <v>282111.0086</v>
      </c>
      <c r="AB606" s="65">
        <f t="shared" si="13"/>
        <v>1513492.364</v>
      </c>
      <c r="AC606" s="66">
        <f t="array" ref="AC606">IFS(B606&lt;66, XLOOKUP(year(A606),Lookup!$K$13:$K1000,Lookup!$L$13:$L1000,"missing",,1),B606&gt;65,XLOOKUP(questions!$C$5,Lookup!$K$13:$K1000,Lookup!$L$13:$L1000,"missing",,1))</f>
        <v>393675.3633</v>
      </c>
      <c r="AD606" s="66">
        <f t="array" ref="AD606">IFS(B606&lt;66, XLOOKUP(year(A606),Lookup!$K$13:$K1000,Lookup!$M$13:$M1000,"missing",,1),B606&gt;65, XLOOKUP(questions!$C$5,Lookup!$K$13:$K1000,Lookup!$M$13:$M1000,"missing",,1))</f>
        <v>787350.7266</v>
      </c>
      <c r="AE606" s="66">
        <f t="array" ref="AE606">IFS(B606&lt;66, XLOOKUP(year(A606),Lookup!$K$13:$K1000,Lookup!$N$13:$N1000,"missing",,1),B606&gt;65,XLOOKUP(questions!$C$5,Lookup!$K$13:$K1000,Lookup!$N$13:$N1000,"missing",,1))</f>
        <v>1574701.453</v>
      </c>
      <c r="AF606" s="37"/>
      <c r="AG606" s="37"/>
      <c r="AH606" s="37"/>
      <c r="AI606" s="37"/>
      <c r="AJ606" s="37"/>
      <c r="AK606" s="37"/>
      <c r="AL606" s="37"/>
      <c r="AM606" s="37"/>
      <c r="AN606" s="37"/>
      <c r="AO606" s="37"/>
      <c r="AP606" s="37"/>
      <c r="AQ606" s="37"/>
    </row>
    <row r="607">
      <c r="A607" s="55">
        <f t="shared" si="7"/>
        <v>64497</v>
      </c>
      <c r="B607" s="56">
        <f>round(YEARFRAC(EOMONTH(questions!$C$3, 0),A607,1),2)</f>
        <v>77.67</v>
      </c>
      <c r="C607" s="58">
        <f>IF(B607&lt;questions!$C$6,if(MONTH(A607)=1,C606*(1+questions!$C$12),C606),0)</f>
        <v>0</v>
      </c>
      <c r="D607" s="58">
        <f>IF(MONTH(A607)=12,C607*questions!$C$11,0)</f>
        <v>0</v>
      </c>
      <c r="E607" s="71">
        <f t="shared" si="2"/>
        <v>0</v>
      </c>
      <c r="F607" s="71">
        <f t="shared" si="3"/>
        <v>0</v>
      </c>
      <c r="G607" s="61">
        <f t="array" ref="G607">if(YEAR(A607)=2025,XLOOKUP(B607,Lookup!$A$3:$A$7,Lookup!$D$3:$D$7,,1)*SUM(E607:F607), XLOOKUP(B607,Lookup!$A$14:$A$18,Lookup!$D$14:$D$18,,1)*SUM(E607:F607))</f>
        <v>0</v>
      </c>
      <c r="H607" s="61">
        <f t="array" ref="H607">if(YEAR(A607)=2025,XLOOKUP(B607,Lookup!$F$3:$F$10,Lookup!$G$3:$G$10,,1)*G607, XLOOKUP(B607,Lookup!$F$14:$F$21,Lookup!$G$14:$G$21,,1)*G607)</f>
        <v>0</v>
      </c>
      <c r="I607" s="61">
        <f t="array" ref="I607">if(B607&lt;55, if(YEAR(A607)=2025,XLOOKUP(B607,Lookup!$F$3:$F$10,Lookup!$H$3:$H$10,,1)*G607, XLOOKUP(B607,Lookup!$F$14:$F$21,Lookup!$H$14:$H$21,,1)*G607),0)</f>
        <v>0</v>
      </c>
      <c r="J607" s="61">
        <f t="array" ref="J607">if(YEAR(A607)=2025,XLOOKUP(B607,Lookup!$F$3:$F$10,Lookup!$I$3:$I$10,,1)*G607, XLOOKUP(B607,Lookup!$F$14:$F$21,Lookup!$I$14:$I$21,,1)*G607)</f>
        <v>0</v>
      </c>
      <c r="K607" s="61">
        <f t="array" ref="K607">if(B607&gt;54, if(YEAR(A607)=2025,XLOOKUP(B607,Lookup!$F$3:$F$10,Lookup!$H$3:$H$10,,1)*G607, XLOOKUP(B607,Lookup!$F$14:$F$21,Lookup!$H$14:$H$21,,1)*G607),0)</f>
        <v>0</v>
      </c>
      <c r="L607" s="62">
        <f>IF(and(A607&lt;questions!$C$19,questions!$C$18="yes"),questions!$C$20,0)</f>
        <v>0</v>
      </c>
      <c r="M607" s="63">
        <f>(Y606+H607)*Lookup!A$26/12</f>
        <v>2756.632887</v>
      </c>
      <c r="N607" s="63">
        <f>if(B607&lt;55, (Z606+I607)*Lookup!B$26/12, (AB606+K607)*Lookup!B$26/12)</f>
        <v>5044.974546</v>
      </c>
      <c r="O607" s="63">
        <f>(AA606+J607)*Lookup!C$26/12</f>
        <v>940.3700287</v>
      </c>
      <c r="P607" s="63">
        <f t="shared" si="8"/>
        <v>19296.43021</v>
      </c>
      <c r="Q607" s="63">
        <f t="shared" si="4"/>
        <v>35314.82182</v>
      </c>
      <c r="R607" s="63">
        <f t="shared" si="5"/>
        <v>6582.590201</v>
      </c>
      <c r="S607" s="64">
        <f t="shared" si="9"/>
        <v>33.33333333</v>
      </c>
      <c r="T607" s="64">
        <f t="shared" si="10"/>
        <v>41.66666667</v>
      </c>
      <c r="U607" s="64">
        <f t="shared" si="11"/>
        <v>0</v>
      </c>
      <c r="V607" s="64">
        <f t="shared" ref="V607:X607" si="615">IF(year($A607)=year($A606), V606+S607, S607)</f>
        <v>233.3333333</v>
      </c>
      <c r="W607" s="64">
        <f t="shared" si="615"/>
        <v>291.6666667</v>
      </c>
      <c r="X607" s="64">
        <f t="shared" si="615"/>
        <v>0</v>
      </c>
      <c r="Y607" s="65">
        <f>IFS(
  B607&lt;55,
    MAX(
      Y606 + IF(MONTH(A607)=12, P607+V607, 0) + H607 - L607
      + MAX(0,
          IF(AA606 &gt;= VLOOKUP(YEAR(A607), Lookup!$Q:$R, 2),
            Z606 + IF(MONTH(A607)=12, Q607+W607, 0) + I607
              + AA606 + IF(MONTH(A607)=12, R607+X607, 0)
              - VLOOKUP(YEAR(A607), Lookup!$Q:$R, 2) + J607,
            Z606 + IF(MONTH(A607)=12, Q607+W607, 0) + I607
          ) - VLOOKUP(YEAR(A607), Lookup!$K:$M, 3)
        ),
    0),
  B607=55,
    IF(Z606&gt;=AD607,
      MAX(Y606 + IF(MONTH(A607)=12, P607+V607, 0) + H607 - L607, 0),
      MAX(MAX(0, Y606-(AD607-Z606)) + IF(MONTH(A607)=12, P607+V607, 0) + H607 - L607, 0)
    ),
  B607&gt;55,
    IF(AB606&gt;=$AH$7,
      MAX(Y606 + IF(MONTH(A607)=12, P607+V607, 0) + H607 - L607 + K607 + Z606, 0),
      MAX(Y606 + IF(MONTH(A607)=12, P607+V607, 0) + H607 - L607, 0)
    )
)</f>
        <v>1323183.786</v>
      </c>
      <c r="Z607" s="65">
        <f>IFS(
  B607&lt;55,
    MIN(
      IF(AA606 &gt;= VLOOKUP(YEAR(A607), Lookup!$Q:$R, 2),
        Z606 + IF(MONTH(A607)=12, Q607+W607, 0) + I607
          + AA606 + IF(MONTH(A607)=12, R607+X607, 0) - VLOOKUP(YEAR(A607), Lookup!$Q:$R, 2) + J607,
        Z606 + IF(MONTH(A607)=12, Q607+W607, 0) + I607
      ),
      VLOOKUP(YEAR(A607), Lookup!$K:$M, 3)
    ),
  B607=55,
    IF(Z606 &gt;= AD607, Z606 - AD607, 0),
  B607&gt;55, 0
)</f>
        <v>0</v>
      </c>
      <c r="AA607" s="65">
        <f>IFS(
  B607&lt;65,
    IF(AA606+J607 &lt; VLOOKUP(YEAR(A607), Lookup!$Q:$R, 2),
      AA606 + IF(MONTH(A607)=12, R606+X606, 0) + J607,
      MIN(
        AA606 + IF(MONTH(A607)=12, R606+X606, 0) + J607 ,
        VLOOKUP(YEAR(A607), Lookup!$Q:$R, 2)
      )
    ),
  B607&gt;=65,
    IF(AA606+J607 &lt; VLOOKUP(questions!$C$5, Lookup!$Q:$R, 2),
      AA606 + IF(MONTH(A607)=12, R606+X606, 0) + J607 ,
      MIN(
        AA606 + IF(MONTH(A607)=12, R606+X606, 0) + J607,
        VLOOKUP(questions!$C$5, Lookup!$Q:$R, 2)
      )
    )
)</f>
        <v>282111.0086</v>
      </c>
      <c r="AB607" s="65">
        <f t="shared" si="13"/>
        <v>1513492.364</v>
      </c>
      <c r="AC607" s="66">
        <f t="array" ref="AC607">IFS(B607&lt;66, XLOOKUP(year(A607),Lookup!$K$13:$K1000,Lookup!$L$13:$L1000,"missing",,1),B607&gt;65,XLOOKUP(questions!$C$5,Lookup!$K$13:$K1000,Lookup!$L$13:$L1000,"missing",,1))</f>
        <v>393675.3633</v>
      </c>
      <c r="AD607" s="66">
        <f t="array" ref="AD607">IFS(B607&lt;66, XLOOKUP(year(A607),Lookup!$K$13:$K1000,Lookup!$M$13:$M1000,"missing",,1),B607&gt;65, XLOOKUP(questions!$C$5,Lookup!$K$13:$K1000,Lookup!$M$13:$M1000,"missing",,1))</f>
        <v>787350.7266</v>
      </c>
      <c r="AE607" s="66">
        <f t="array" ref="AE607">IFS(B607&lt;66, XLOOKUP(year(A607),Lookup!$K$13:$K1000,Lookup!$N$13:$N1000,"missing",,1),B607&gt;65,XLOOKUP(questions!$C$5,Lookup!$K$13:$K1000,Lookup!$N$13:$N1000,"missing",,1))</f>
        <v>1574701.453</v>
      </c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  <c r="AQ607" s="37"/>
    </row>
    <row r="608">
      <c r="A608" s="55">
        <f t="shared" si="7"/>
        <v>64528</v>
      </c>
      <c r="B608" s="56">
        <f>round(YEARFRAC(EOMONTH(questions!$C$3, 0),A608,1),2)</f>
        <v>77.75</v>
      </c>
      <c r="C608" s="58">
        <f>IF(B608&lt;questions!$C$6,if(MONTH(A608)=1,C607*(1+questions!$C$12),C607),0)</f>
        <v>0</v>
      </c>
      <c r="D608" s="58">
        <f>IF(MONTH(A608)=12,C608*questions!$C$11,0)</f>
        <v>0</v>
      </c>
      <c r="E608" s="71">
        <f t="shared" si="2"/>
        <v>0</v>
      </c>
      <c r="F608" s="71">
        <f t="shared" si="3"/>
        <v>0</v>
      </c>
      <c r="G608" s="61">
        <f t="array" ref="G608">if(YEAR(A608)=2025,XLOOKUP(B608,Lookup!$A$3:$A$7,Lookup!$D$3:$D$7,,1)*SUM(E608:F608), XLOOKUP(B608,Lookup!$A$14:$A$18,Lookup!$D$14:$D$18,,1)*SUM(E608:F608))</f>
        <v>0</v>
      </c>
      <c r="H608" s="61">
        <f t="array" ref="H608">if(YEAR(A608)=2025,XLOOKUP(B608,Lookup!$F$3:$F$10,Lookup!$G$3:$G$10,,1)*G608, XLOOKUP(B608,Lookup!$F$14:$F$21,Lookup!$G$14:$G$21,,1)*G608)</f>
        <v>0</v>
      </c>
      <c r="I608" s="61">
        <f t="array" ref="I608">if(B608&lt;55, if(YEAR(A608)=2025,XLOOKUP(B608,Lookup!$F$3:$F$10,Lookup!$H$3:$H$10,,1)*G608, XLOOKUP(B608,Lookup!$F$14:$F$21,Lookup!$H$14:$H$21,,1)*G608),0)</f>
        <v>0</v>
      </c>
      <c r="J608" s="61">
        <f t="array" ref="J608">if(YEAR(A608)=2025,XLOOKUP(B608,Lookup!$F$3:$F$10,Lookup!$I$3:$I$10,,1)*G608, XLOOKUP(B608,Lookup!$F$14:$F$21,Lookup!$I$14:$I$21,,1)*G608)</f>
        <v>0</v>
      </c>
      <c r="K608" s="61">
        <f t="array" ref="K608">if(B608&gt;54, if(YEAR(A608)=2025,XLOOKUP(B608,Lookup!$F$3:$F$10,Lookup!$H$3:$H$10,,1)*G608, XLOOKUP(B608,Lookup!$F$14:$F$21,Lookup!$H$14:$H$21,,1)*G608),0)</f>
        <v>0</v>
      </c>
      <c r="L608" s="62">
        <f>IF(and(A608&lt;questions!$C$19,questions!$C$18="yes"),questions!$C$20,0)</f>
        <v>0</v>
      </c>
      <c r="M608" s="63">
        <f>(Y607+H608)*Lookup!A$26/12</f>
        <v>2756.632887</v>
      </c>
      <c r="N608" s="63">
        <f>if(B608&lt;55, (Z607+I608)*Lookup!B$26/12, (AB607+K608)*Lookup!B$26/12)</f>
        <v>5044.974546</v>
      </c>
      <c r="O608" s="63">
        <f>(AA607+J608)*Lookup!C$26/12</f>
        <v>940.3700287</v>
      </c>
      <c r="P608" s="63">
        <f t="shared" si="8"/>
        <v>22053.06309</v>
      </c>
      <c r="Q608" s="63">
        <f t="shared" si="4"/>
        <v>40359.79637</v>
      </c>
      <c r="R608" s="63">
        <f t="shared" si="5"/>
        <v>7522.960229</v>
      </c>
      <c r="S608" s="64">
        <f t="shared" si="9"/>
        <v>33.33333333</v>
      </c>
      <c r="T608" s="64">
        <f t="shared" si="10"/>
        <v>41.66666667</v>
      </c>
      <c r="U608" s="64">
        <f t="shared" si="11"/>
        <v>0</v>
      </c>
      <c r="V608" s="64">
        <f t="shared" ref="V608:X608" si="616">IF(year($A608)=year($A607), V607+S608, S608)</f>
        <v>266.6666667</v>
      </c>
      <c r="W608" s="64">
        <f t="shared" si="616"/>
        <v>333.3333333</v>
      </c>
      <c r="X608" s="64">
        <f t="shared" si="616"/>
        <v>0</v>
      </c>
      <c r="Y608" s="65">
        <f>IFS(
  B608&lt;55,
    MAX(
      Y607 + IF(MONTH(A608)=12, P608+V608, 0) + H608 - L608
      + MAX(0,
          IF(AA607 &gt;= VLOOKUP(YEAR(A608), Lookup!$Q:$R, 2),
            Z607 + IF(MONTH(A608)=12, Q608+W608, 0) + I608
              + AA607 + IF(MONTH(A608)=12, R608+X608, 0)
              - VLOOKUP(YEAR(A608), Lookup!$Q:$R, 2) + J608,
            Z607 + IF(MONTH(A608)=12, Q608+W608, 0) + I608
          ) - VLOOKUP(YEAR(A608), Lookup!$K:$M, 3)
        ),
    0),
  B608=55,
    IF(Z607&gt;=AD608,
      MAX(Y607 + IF(MONTH(A608)=12, P608+V608, 0) + H608 - L608, 0),
      MAX(MAX(0, Y607-(AD608-Z607)) + IF(MONTH(A608)=12, P608+V608, 0) + H608 - L608, 0)
    ),
  B608&gt;55,
    IF(AB607&gt;=$AH$7,
      MAX(Y607 + IF(MONTH(A608)=12, P608+V608, 0) + H608 - L608 + K608 + Z607, 0),
      MAX(Y607 + IF(MONTH(A608)=12, P608+V608, 0) + H608 - L608, 0)
    )
)</f>
        <v>1323183.786</v>
      </c>
      <c r="Z608" s="65">
        <f>IFS(
  B608&lt;55,
    MIN(
      IF(AA607 &gt;= VLOOKUP(YEAR(A608), Lookup!$Q:$R, 2),
        Z607 + IF(MONTH(A608)=12, Q608+W608, 0) + I608
          + AA607 + IF(MONTH(A608)=12, R608+X608, 0) - VLOOKUP(YEAR(A608), Lookup!$Q:$R, 2) + J608,
        Z607 + IF(MONTH(A608)=12, Q608+W608, 0) + I608
      ),
      VLOOKUP(YEAR(A608), Lookup!$K:$M, 3)
    ),
  B608=55,
    IF(Z607 &gt;= AD608, Z607 - AD608, 0),
  B608&gt;55, 0
)</f>
        <v>0</v>
      </c>
      <c r="AA608" s="65">
        <f>IFS(
  B608&lt;65,
    IF(AA607+J608 &lt; VLOOKUP(YEAR(A608), Lookup!$Q:$R, 2),
      AA607 + IF(MONTH(A608)=12, R607+X607, 0) + J608,
      MIN(
        AA607 + IF(MONTH(A608)=12, R607+X607, 0) + J608 ,
        VLOOKUP(YEAR(A608), Lookup!$Q:$R, 2)
      )
    ),
  B608&gt;=65,
    IF(AA607+J608 &lt; VLOOKUP(questions!$C$5, Lookup!$Q:$R, 2),
      AA607 + IF(MONTH(A608)=12, R607+X607, 0) + J608 ,
      MIN(
        AA607 + IF(MONTH(A608)=12, R607+X607, 0) + J608,
        VLOOKUP(questions!$C$5, Lookup!$Q:$R, 2)
      )
    )
)</f>
        <v>282111.0086</v>
      </c>
      <c r="AB608" s="65">
        <f t="shared" si="13"/>
        <v>1513492.364</v>
      </c>
      <c r="AC608" s="66">
        <f t="array" ref="AC608">IFS(B608&lt;66, XLOOKUP(year(A608),Lookup!$K$13:$K1000,Lookup!$L$13:$L1000,"missing",,1),B608&gt;65,XLOOKUP(questions!$C$5,Lookup!$K$13:$K1000,Lookup!$L$13:$L1000,"missing",,1))</f>
        <v>393675.3633</v>
      </c>
      <c r="AD608" s="66">
        <f t="array" ref="AD608">IFS(B608&lt;66, XLOOKUP(year(A608),Lookup!$K$13:$K1000,Lookup!$M$13:$M1000,"missing",,1),B608&gt;65, XLOOKUP(questions!$C$5,Lookup!$K$13:$K1000,Lookup!$M$13:$M1000,"missing",,1))</f>
        <v>787350.7266</v>
      </c>
      <c r="AE608" s="66">
        <f t="array" ref="AE608">IFS(B608&lt;66, XLOOKUP(year(A608),Lookup!$K$13:$K1000,Lookup!$N$13:$N1000,"missing",,1),B608&gt;65,XLOOKUP(questions!$C$5,Lookup!$K$13:$K1000,Lookup!$N$13:$N1000,"missing",,1))</f>
        <v>1574701.453</v>
      </c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  <c r="AQ608" s="37"/>
    </row>
    <row r="609">
      <c r="A609" s="55">
        <f t="shared" si="7"/>
        <v>64558</v>
      </c>
      <c r="B609" s="56">
        <f>round(YEARFRAC(EOMONTH(questions!$C$3, 0),A609,1),2)</f>
        <v>77.83</v>
      </c>
      <c r="C609" s="58">
        <f>IF(B609&lt;questions!$C$6,if(MONTH(A609)=1,C608*(1+questions!$C$12),C608),0)</f>
        <v>0</v>
      </c>
      <c r="D609" s="58">
        <f>IF(MONTH(A609)=12,C609*questions!$C$11,0)</f>
        <v>0</v>
      </c>
      <c r="E609" s="71">
        <f t="shared" si="2"/>
        <v>0</v>
      </c>
      <c r="F609" s="71">
        <f t="shared" si="3"/>
        <v>0</v>
      </c>
      <c r="G609" s="61">
        <f t="array" ref="G609">if(YEAR(A609)=2025,XLOOKUP(B609,Lookup!$A$3:$A$7,Lookup!$D$3:$D$7,,1)*SUM(E609:F609), XLOOKUP(B609,Lookup!$A$14:$A$18,Lookup!$D$14:$D$18,,1)*SUM(E609:F609))</f>
        <v>0</v>
      </c>
      <c r="H609" s="61">
        <f t="array" ref="H609">if(YEAR(A609)=2025,XLOOKUP(B609,Lookup!$F$3:$F$10,Lookup!$G$3:$G$10,,1)*G609, XLOOKUP(B609,Lookup!$F$14:$F$21,Lookup!$G$14:$G$21,,1)*G609)</f>
        <v>0</v>
      </c>
      <c r="I609" s="61">
        <f t="array" ref="I609">if(B609&lt;55, if(YEAR(A609)=2025,XLOOKUP(B609,Lookup!$F$3:$F$10,Lookup!$H$3:$H$10,,1)*G609, XLOOKUP(B609,Lookup!$F$14:$F$21,Lookup!$H$14:$H$21,,1)*G609),0)</f>
        <v>0</v>
      </c>
      <c r="J609" s="61">
        <f t="array" ref="J609">if(YEAR(A609)=2025,XLOOKUP(B609,Lookup!$F$3:$F$10,Lookup!$I$3:$I$10,,1)*G609, XLOOKUP(B609,Lookup!$F$14:$F$21,Lookup!$I$14:$I$21,,1)*G609)</f>
        <v>0</v>
      </c>
      <c r="K609" s="61">
        <f t="array" ref="K609">if(B609&gt;54, if(YEAR(A609)=2025,XLOOKUP(B609,Lookup!$F$3:$F$10,Lookup!$H$3:$H$10,,1)*G609, XLOOKUP(B609,Lookup!$F$14:$F$21,Lookup!$H$14:$H$21,,1)*G609),0)</f>
        <v>0</v>
      </c>
      <c r="L609" s="62">
        <f>IF(and(A609&lt;questions!$C$19,questions!$C$18="yes"),questions!$C$20,0)</f>
        <v>0</v>
      </c>
      <c r="M609" s="63">
        <f>(Y608+H609)*Lookup!A$26/12</f>
        <v>2756.632887</v>
      </c>
      <c r="N609" s="63">
        <f>if(B609&lt;55, (Z608+I609)*Lookup!B$26/12, (AB608+K609)*Lookup!B$26/12)</f>
        <v>5044.974546</v>
      </c>
      <c r="O609" s="63">
        <f>(AA608+J609)*Lookup!C$26/12</f>
        <v>940.3700287</v>
      </c>
      <c r="P609" s="63">
        <f t="shared" si="8"/>
        <v>24809.69598</v>
      </c>
      <c r="Q609" s="63">
        <f t="shared" si="4"/>
        <v>45404.77092</v>
      </c>
      <c r="R609" s="63">
        <f t="shared" si="5"/>
        <v>8463.330258</v>
      </c>
      <c r="S609" s="64">
        <f t="shared" si="9"/>
        <v>33.33333333</v>
      </c>
      <c r="T609" s="64">
        <f t="shared" si="10"/>
        <v>41.66666667</v>
      </c>
      <c r="U609" s="64">
        <f t="shared" si="11"/>
        <v>0</v>
      </c>
      <c r="V609" s="64">
        <f t="shared" ref="V609:X609" si="617">IF(year($A609)=year($A608), V608+S609, S609)</f>
        <v>300</v>
      </c>
      <c r="W609" s="64">
        <f t="shared" si="617"/>
        <v>375</v>
      </c>
      <c r="X609" s="64">
        <f t="shared" si="617"/>
        <v>0</v>
      </c>
      <c r="Y609" s="65">
        <f>IFS(
  B609&lt;55,
    MAX(
      Y608 + IF(MONTH(A609)=12, P609+V609, 0) + H609 - L609
      + MAX(0,
          IF(AA608 &gt;= VLOOKUP(YEAR(A609), Lookup!$Q:$R, 2),
            Z608 + IF(MONTH(A609)=12, Q609+W609, 0) + I609
              + AA608 + IF(MONTH(A609)=12, R609+X609, 0)
              - VLOOKUP(YEAR(A609), Lookup!$Q:$R, 2) + J609,
            Z608 + IF(MONTH(A609)=12, Q609+W609, 0) + I609
          ) - VLOOKUP(YEAR(A609), Lookup!$K:$M, 3)
        ),
    0),
  B609=55,
    IF(Z608&gt;=AD609,
      MAX(Y608 + IF(MONTH(A609)=12, P609+V609, 0) + H609 - L609, 0),
      MAX(MAX(0, Y608-(AD609-Z608)) + IF(MONTH(A609)=12, P609+V609, 0) + H609 - L609, 0)
    ),
  B609&gt;55,
    IF(AB608&gt;=$AH$7,
      MAX(Y608 + IF(MONTH(A609)=12, P609+V609, 0) + H609 - L609 + K609 + Z608, 0),
      MAX(Y608 + IF(MONTH(A609)=12, P609+V609, 0) + H609 - L609, 0)
    )
)</f>
        <v>1323183.786</v>
      </c>
      <c r="Z609" s="65">
        <f>IFS(
  B609&lt;55,
    MIN(
      IF(AA608 &gt;= VLOOKUP(YEAR(A609), Lookup!$Q:$R, 2),
        Z608 + IF(MONTH(A609)=12, Q609+W609, 0) + I609
          + AA608 + IF(MONTH(A609)=12, R609+X609, 0) - VLOOKUP(YEAR(A609), Lookup!$Q:$R, 2) + J609,
        Z608 + IF(MONTH(A609)=12, Q609+W609, 0) + I609
      ),
      VLOOKUP(YEAR(A609), Lookup!$K:$M, 3)
    ),
  B609=55,
    IF(Z608 &gt;= AD609, Z608 - AD609, 0),
  B609&gt;55, 0
)</f>
        <v>0</v>
      </c>
      <c r="AA609" s="65">
        <f>IFS(
  B609&lt;65,
    IF(AA608+J609 &lt; VLOOKUP(YEAR(A609), Lookup!$Q:$R, 2),
      AA608 + IF(MONTH(A609)=12, R608+X608, 0) + J609,
      MIN(
        AA608 + IF(MONTH(A609)=12, R608+X608, 0) + J609 ,
        VLOOKUP(YEAR(A609), Lookup!$Q:$R, 2)
      )
    ),
  B609&gt;=65,
    IF(AA608+J609 &lt; VLOOKUP(questions!$C$5, Lookup!$Q:$R, 2),
      AA608 + IF(MONTH(A609)=12, R608+X608, 0) + J609 ,
      MIN(
        AA608 + IF(MONTH(A609)=12, R608+X608, 0) + J609,
        VLOOKUP(questions!$C$5, Lookup!$Q:$R, 2)
      )
    )
)</f>
        <v>282111.0086</v>
      </c>
      <c r="AB609" s="65">
        <f t="shared" si="13"/>
        <v>1513492.364</v>
      </c>
      <c r="AC609" s="66">
        <f t="array" ref="AC609">IFS(B609&lt;66, XLOOKUP(year(A609),Lookup!$K$13:$K1000,Lookup!$L$13:$L1000,"missing",,1),B609&gt;65,XLOOKUP(questions!$C$5,Lookup!$K$13:$K1000,Lookup!$L$13:$L1000,"missing",,1))</f>
        <v>393675.3633</v>
      </c>
      <c r="AD609" s="66">
        <f t="array" ref="AD609">IFS(B609&lt;66, XLOOKUP(year(A609),Lookup!$K$13:$K1000,Lookup!$M$13:$M1000,"missing",,1),B609&gt;65, XLOOKUP(questions!$C$5,Lookup!$K$13:$K1000,Lookup!$M$13:$M1000,"missing",,1))</f>
        <v>787350.7266</v>
      </c>
      <c r="AE609" s="66">
        <f t="array" ref="AE609">IFS(B609&lt;66, XLOOKUP(year(A609),Lookup!$K$13:$K1000,Lookup!$N$13:$N1000,"missing",,1),B609&gt;65,XLOOKUP(questions!$C$5,Lookup!$K$13:$K1000,Lookup!$N$13:$N1000,"missing",,1))</f>
        <v>1574701.453</v>
      </c>
      <c r="AF609" s="37"/>
      <c r="AG609" s="37"/>
      <c r="AH609" s="37"/>
      <c r="AI609" s="37"/>
      <c r="AJ609" s="37"/>
      <c r="AK609" s="37"/>
      <c r="AL609" s="37"/>
      <c r="AM609" s="37"/>
      <c r="AN609" s="37"/>
      <c r="AO609" s="37"/>
      <c r="AP609" s="37"/>
      <c r="AQ609" s="37"/>
    </row>
    <row r="610">
      <c r="A610" s="55">
        <f t="shared" si="7"/>
        <v>64589</v>
      </c>
      <c r="B610" s="56">
        <f>round(YEARFRAC(EOMONTH(questions!$C$3, 0),A610,1),2)</f>
        <v>77.92</v>
      </c>
      <c r="C610" s="58">
        <f>IF(B610&lt;questions!$C$6,if(MONTH(A610)=1,C609*(1+questions!$C$12),C609),0)</f>
        <v>0</v>
      </c>
      <c r="D610" s="58">
        <f>IF(MONTH(A610)=12,C610*questions!$C$11,0)</f>
        <v>0</v>
      </c>
      <c r="E610" s="71">
        <f t="shared" si="2"/>
        <v>0</v>
      </c>
      <c r="F610" s="71">
        <f t="shared" si="3"/>
        <v>0</v>
      </c>
      <c r="G610" s="61">
        <f t="array" ref="G610">if(YEAR(A610)=2025,XLOOKUP(B610,Lookup!$A$3:$A$7,Lookup!$D$3:$D$7,,1)*SUM(E610:F610), XLOOKUP(B610,Lookup!$A$14:$A$18,Lookup!$D$14:$D$18,,1)*SUM(E610:F610))</f>
        <v>0</v>
      </c>
      <c r="H610" s="61">
        <f t="array" ref="H610">if(YEAR(A610)=2025,XLOOKUP(B610,Lookup!$F$3:$F$10,Lookup!$G$3:$G$10,,1)*G610, XLOOKUP(B610,Lookup!$F$14:$F$21,Lookup!$G$14:$G$21,,1)*G610)</f>
        <v>0</v>
      </c>
      <c r="I610" s="61">
        <f t="array" ref="I610">if(B610&lt;55, if(YEAR(A610)=2025,XLOOKUP(B610,Lookup!$F$3:$F$10,Lookup!$H$3:$H$10,,1)*G610, XLOOKUP(B610,Lookup!$F$14:$F$21,Lookup!$H$14:$H$21,,1)*G610),0)</f>
        <v>0</v>
      </c>
      <c r="J610" s="61">
        <f t="array" ref="J610">if(YEAR(A610)=2025,XLOOKUP(B610,Lookup!$F$3:$F$10,Lookup!$I$3:$I$10,,1)*G610, XLOOKUP(B610,Lookup!$F$14:$F$21,Lookup!$I$14:$I$21,,1)*G610)</f>
        <v>0</v>
      </c>
      <c r="K610" s="61">
        <f t="array" ref="K610">if(B610&gt;54, if(YEAR(A610)=2025,XLOOKUP(B610,Lookup!$F$3:$F$10,Lookup!$H$3:$H$10,,1)*G610, XLOOKUP(B610,Lookup!$F$14:$F$21,Lookup!$H$14:$H$21,,1)*G610),0)</f>
        <v>0</v>
      </c>
      <c r="L610" s="62">
        <f>IF(and(A610&lt;questions!$C$19,questions!$C$18="yes"),questions!$C$20,0)</f>
        <v>0</v>
      </c>
      <c r="M610" s="63">
        <f>(Y609+H610)*Lookup!A$26/12</f>
        <v>2756.632887</v>
      </c>
      <c r="N610" s="63">
        <f>if(B610&lt;55, (Z609+I610)*Lookup!B$26/12, (AB609+K610)*Lookup!B$26/12)</f>
        <v>5044.974546</v>
      </c>
      <c r="O610" s="63">
        <f>(AA609+J610)*Lookup!C$26/12</f>
        <v>940.3700287</v>
      </c>
      <c r="P610" s="63">
        <f t="shared" si="8"/>
        <v>27566.32887</v>
      </c>
      <c r="Q610" s="63">
        <f t="shared" si="4"/>
        <v>50449.74546</v>
      </c>
      <c r="R610" s="63">
        <f t="shared" si="5"/>
        <v>9403.700287</v>
      </c>
      <c r="S610" s="64">
        <f t="shared" si="9"/>
        <v>33.33333333</v>
      </c>
      <c r="T610" s="64">
        <f t="shared" si="10"/>
        <v>41.66666667</v>
      </c>
      <c r="U610" s="64">
        <f t="shared" si="11"/>
        <v>0</v>
      </c>
      <c r="V610" s="64">
        <f t="shared" ref="V610:X610" si="618">IF(year($A610)=year($A609), V609+S610, S610)</f>
        <v>333.3333333</v>
      </c>
      <c r="W610" s="64">
        <f t="shared" si="618"/>
        <v>416.6666667</v>
      </c>
      <c r="X610" s="64">
        <f t="shared" si="618"/>
        <v>0</v>
      </c>
      <c r="Y610" s="65">
        <f>IFS(
  B610&lt;55,
    MAX(
      Y609 + IF(MONTH(A610)=12, P610+V610, 0) + H610 - L610
      + MAX(0,
          IF(AA609 &gt;= VLOOKUP(YEAR(A610), Lookup!$Q:$R, 2),
            Z609 + IF(MONTH(A610)=12, Q610+W610, 0) + I610
              + AA609 + IF(MONTH(A610)=12, R610+X610, 0)
              - VLOOKUP(YEAR(A610), Lookup!$Q:$R, 2) + J610,
            Z609 + IF(MONTH(A610)=12, Q610+W610, 0) + I610
          ) - VLOOKUP(YEAR(A610), Lookup!$K:$M, 3)
        ),
    0),
  B610=55,
    IF(Z609&gt;=AD610,
      MAX(Y609 + IF(MONTH(A610)=12, P610+V610, 0) + H610 - L610, 0),
      MAX(MAX(0, Y609-(AD610-Z609)) + IF(MONTH(A610)=12, P610+V610, 0) + H610 - L610, 0)
    ),
  B610&gt;55,
    IF(AB609&gt;=$AH$7,
      MAX(Y609 + IF(MONTH(A610)=12, P610+V610, 0) + H610 - L610 + K610 + Z609, 0),
      MAX(Y609 + IF(MONTH(A610)=12, P610+V610, 0) + H610 - L610, 0)
    )
)</f>
        <v>1323183.786</v>
      </c>
      <c r="Z610" s="65">
        <f>IFS(
  B610&lt;55,
    MIN(
      IF(AA609 &gt;= VLOOKUP(YEAR(A610), Lookup!$Q:$R, 2),
        Z609 + IF(MONTH(A610)=12, Q610+W610, 0) + I610
          + AA609 + IF(MONTH(A610)=12, R610+X610, 0) - VLOOKUP(YEAR(A610), Lookup!$Q:$R, 2) + J610,
        Z609 + IF(MONTH(A610)=12, Q610+W610, 0) + I610
      ),
      VLOOKUP(YEAR(A610), Lookup!$K:$M, 3)
    ),
  B610=55,
    IF(Z609 &gt;= AD610, Z609 - AD610, 0),
  B610&gt;55, 0
)</f>
        <v>0</v>
      </c>
      <c r="AA610" s="65">
        <f>IFS(
  B610&lt;65,
    IF(AA609+J610 &lt; VLOOKUP(YEAR(A610), Lookup!$Q:$R, 2),
      AA609 + IF(MONTH(A610)=12, R609+X609, 0) + J610,
      MIN(
        AA609 + IF(MONTH(A610)=12, R609+X609, 0) + J610 ,
        VLOOKUP(YEAR(A610), Lookup!$Q:$R, 2)
      )
    ),
  B610&gt;=65,
    IF(AA609+J610 &lt; VLOOKUP(questions!$C$5, Lookup!$Q:$R, 2),
      AA609 + IF(MONTH(A610)=12, R609+X609, 0) + J610 ,
      MIN(
        AA609 + IF(MONTH(A610)=12, R609+X609, 0) + J610,
        VLOOKUP(questions!$C$5, Lookup!$Q:$R, 2)
      )
    )
)</f>
        <v>282111.0086</v>
      </c>
      <c r="AB610" s="65">
        <f t="shared" si="13"/>
        <v>1513492.364</v>
      </c>
      <c r="AC610" s="66">
        <f t="array" ref="AC610">IFS(B610&lt;66, XLOOKUP(year(A610),Lookup!$K$13:$K1000,Lookup!$L$13:$L1000,"missing",,1),B610&gt;65,XLOOKUP(questions!$C$5,Lookup!$K$13:$K1000,Lookup!$L$13:$L1000,"missing",,1))</f>
        <v>393675.3633</v>
      </c>
      <c r="AD610" s="66">
        <f t="array" ref="AD610">IFS(B610&lt;66, XLOOKUP(year(A610),Lookup!$K$13:$K1000,Lookup!$M$13:$M1000,"missing",,1),B610&gt;65, XLOOKUP(questions!$C$5,Lookup!$K$13:$K1000,Lookup!$M$13:$M1000,"missing",,1))</f>
        <v>787350.7266</v>
      </c>
      <c r="AE610" s="66">
        <f t="array" ref="AE610">IFS(B610&lt;66, XLOOKUP(year(A610),Lookup!$K$13:$K1000,Lookup!$N$13:$N1000,"missing",,1),B610&gt;65,XLOOKUP(questions!$C$5,Lookup!$K$13:$K1000,Lookup!$N$13:$N1000,"missing",,1))</f>
        <v>1574701.453</v>
      </c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7"/>
      <c r="AQ610" s="37"/>
    </row>
    <row r="611">
      <c r="A611" s="55">
        <f t="shared" si="7"/>
        <v>64619</v>
      </c>
      <c r="B611" s="56">
        <f>round(YEARFRAC(EOMONTH(questions!$C$3, 0),A611,1),2)</f>
        <v>78</v>
      </c>
      <c r="C611" s="58">
        <f>IF(B611&lt;questions!$C$6,if(MONTH(A611)=1,C610*(1+questions!$C$12),C610),0)</f>
        <v>0</v>
      </c>
      <c r="D611" s="58">
        <f>IF(MONTH(A611)=12,C611*questions!$C$11,0)</f>
        <v>0</v>
      </c>
      <c r="E611" s="71">
        <f t="shared" si="2"/>
        <v>0</v>
      </c>
      <c r="F611" s="71">
        <f t="shared" si="3"/>
        <v>0</v>
      </c>
      <c r="G611" s="61">
        <f t="array" ref="G611">if(YEAR(A611)=2025,XLOOKUP(B611,Lookup!$A$3:$A$7,Lookup!$D$3:$D$7,,1)*SUM(E611:F611), XLOOKUP(B611,Lookup!$A$14:$A$18,Lookup!$D$14:$D$18,,1)*SUM(E611:F611))</f>
        <v>0</v>
      </c>
      <c r="H611" s="61">
        <f t="array" ref="H611">if(YEAR(A611)=2025,XLOOKUP(B611,Lookup!$F$3:$F$10,Lookup!$G$3:$G$10,,1)*G611, XLOOKUP(B611,Lookup!$F$14:$F$21,Lookup!$G$14:$G$21,,1)*G611)</f>
        <v>0</v>
      </c>
      <c r="I611" s="61">
        <f t="array" ref="I611">if(B611&lt;55, if(YEAR(A611)=2025,XLOOKUP(B611,Lookup!$F$3:$F$10,Lookup!$H$3:$H$10,,1)*G611, XLOOKUP(B611,Lookup!$F$14:$F$21,Lookup!$H$14:$H$21,,1)*G611),0)</f>
        <v>0</v>
      </c>
      <c r="J611" s="61">
        <f t="array" ref="J611">if(YEAR(A611)=2025,XLOOKUP(B611,Lookup!$F$3:$F$10,Lookup!$I$3:$I$10,,1)*G611, XLOOKUP(B611,Lookup!$F$14:$F$21,Lookup!$I$14:$I$21,,1)*G611)</f>
        <v>0</v>
      </c>
      <c r="K611" s="61">
        <f t="array" ref="K611">if(B611&gt;54, if(YEAR(A611)=2025,XLOOKUP(B611,Lookup!$F$3:$F$10,Lookup!$H$3:$H$10,,1)*G611, XLOOKUP(B611,Lookup!$F$14:$F$21,Lookup!$H$14:$H$21,,1)*G611),0)</f>
        <v>0</v>
      </c>
      <c r="L611" s="62">
        <f>IF(and(A611&lt;questions!$C$19,questions!$C$18="yes"),questions!$C$20,0)</f>
        <v>0</v>
      </c>
      <c r="M611" s="63">
        <f>(Y610+H611)*Lookup!A$26/12</f>
        <v>2756.632887</v>
      </c>
      <c r="N611" s="63">
        <f>if(B611&lt;55, (Z610+I611)*Lookup!B$26/12, (AB610+K611)*Lookup!B$26/12)</f>
        <v>5044.974546</v>
      </c>
      <c r="O611" s="63">
        <f>(AA610+J611)*Lookup!C$26/12</f>
        <v>940.3700287</v>
      </c>
      <c r="P611" s="63">
        <f t="shared" si="8"/>
        <v>30322.96175</v>
      </c>
      <c r="Q611" s="63">
        <f t="shared" si="4"/>
        <v>55494.72001</v>
      </c>
      <c r="R611" s="63">
        <f t="shared" si="5"/>
        <v>10344.07032</v>
      </c>
      <c r="S611" s="64">
        <f t="shared" si="9"/>
        <v>33.33333333</v>
      </c>
      <c r="T611" s="64">
        <f t="shared" si="10"/>
        <v>41.66666667</v>
      </c>
      <c r="U611" s="64">
        <f t="shared" si="11"/>
        <v>0</v>
      </c>
      <c r="V611" s="64">
        <f t="shared" ref="V611:X611" si="619">IF(year($A611)=year($A610), V610+S611, S611)</f>
        <v>366.6666667</v>
      </c>
      <c r="W611" s="64">
        <f t="shared" si="619"/>
        <v>458.3333333</v>
      </c>
      <c r="X611" s="64">
        <f t="shared" si="619"/>
        <v>0</v>
      </c>
      <c r="Y611" s="65">
        <f>IFS(
  B611&lt;55,
    MAX(
      Y610 + IF(MONTH(A611)=12, P611+V611, 0) + H611 - L611
      + MAX(0,
          IF(AA610 &gt;= VLOOKUP(YEAR(A611), Lookup!$Q:$R, 2),
            Z610 + IF(MONTH(A611)=12, Q611+W611, 0) + I611
              + AA610 + IF(MONTH(A611)=12, R611+X611, 0)
              - VLOOKUP(YEAR(A611), Lookup!$Q:$R, 2) + J611,
            Z610 + IF(MONTH(A611)=12, Q611+W611, 0) + I611
          ) - VLOOKUP(YEAR(A611), Lookup!$K:$M, 3)
        ),
    0),
  B611=55,
    IF(Z610&gt;=AD611,
      MAX(Y610 + IF(MONTH(A611)=12, P611+V611, 0) + H611 - L611, 0),
      MAX(MAX(0, Y610-(AD611-Z610)) + IF(MONTH(A611)=12, P611+V611, 0) + H611 - L611, 0)
    ),
  B611&gt;55,
    IF(AB610&gt;=$AH$7,
      MAX(Y610 + IF(MONTH(A611)=12, P611+V611, 0) + H611 - L611 + K611 + Z610, 0),
      MAX(Y610 + IF(MONTH(A611)=12, P611+V611, 0) + H611 - L611, 0)
    )
)</f>
        <v>1323183.786</v>
      </c>
      <c r="Z611" s="65">
        <f>IFS(
  B611&lt;55,
    MIN(
      IF(AA610 &gt;= VLOOKUP(YEAR(A611), Lookup!$Q:$R, 2),
        Z610 + IF(MONTH(A611)=12, Q611+W611, 0) + I611
          + AA610 + IF(MONTH(A611)=12, R611+X611, 0) - VLOOKUP(YEAR(A611), Lookup!$Q:$R, 2) + J611,
        Z610 + IF(MONTH(A611)=12, Q611+W611, 0) + I611
      ),
      VLOOKUP(YEAR(A611), Lookup!$K:$M, 3)
    ),
  B611=55,
    IF(Z610 &gt;= AD611, Z610 - AD611, 0),
  B611&gt;55, 0
)</f>
        <v>0</v>
      </c>
      <c r="AA611" s="65">
        <f>IFS(
  B611&lt;65,
    IF(AA610+J611 &lt; VLOOKUP(YEAR(A611), Lookup!$Q:$R, 2),
      AA610 + IF(MONTH(A611)=12, R610+X610, 0) + J611,
      MIN(
        AA610 + IF(MONTH(A611)=12, R610+X610, 0) + J611 ,
        VLOOKUP(YEAR(A611), Lookup!$Q:$R, 2)
      )
    ),
  B611&gt;=65,
    IF(AA610+J611 &lt; VLOOKUP(questions!$C$5, Lookup!$Q:$R, 2),
      AA610 + IF(MONTH(A611)=12, R610+X610, 0) + J611 ,
      MIN(
        AA610 + IF(MONTH(A611)=12, R610+X610, 0) + J611,
        VLOOKUP(questions!$C$5, Lookup!$Q:$R, 2)
      )
    )
)</f>
        <v>282111.0086</v>
      </c>
      <c r="AB611" s="65">
        <f t="shared" si="13"/>
        <v>1513492.364</v>
      </c>
      <c r="AC611" s="66">
        <f t="array" ref="AC611">IFS(B611&lt;66, XLOOKUP(year(A611),Lookup!$K$13:$K1000,Lookup!$L$13:$L1000,"missing",,1),B611&gt;65,XLOOKUP(questions!$C$5,Lookup!$K$13:$K1000,Lookup!$L$13:$L1000,"missing",,1))</f>
        <v>393675.3633</v>
      </c>
      <c r="AD611" s="66">
        <f t="array" ref="AD611">IFS(B611&lt;66, XLOOKUP(year(A611),Lookup!$K$13:$K1000,Lookup!$M$13:$M1000,"missing",,1),B611&gt;65, XLOOKUP(questions!$C$5,Lookup!$K$13:$K1000,Lookup!$M$13:$M1000,"missing",,1))</f>
        <v>787350.7266</v>
      </c>
      <c r="AE611" s="66">
        <f t="array" ref="AE611">IFS(B611&lt;66, XLOOKUP(year(A611),Lookup!$K$13:$K1000,Lookup!$N$13:$N1000,"missing",,1),B611&gt;65,XLOOKUP(questions!$C$5,Lookup!$K$13:$K1000,Lookup!$N$13:$N1000,"missing",,1))</f>
        <v>1574701.453</v>
      </c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  <c r="AQ611" s="37"/>
    </row>
    <row r="612">
      <c r="A612" s="55">
        <f t="shared" si="7"/>
        <v>64650</v>
      </c>
      <c r="B612" s="56">
        <f>round(YEARFRAC(EOMONTH(questions!$C$3, 0),A612,1),2)</f>
        <v>78.08</v>
      </c>
      <c r="C612" s="58">
        <f>IF(B612&lt;questions!$C$6,if(MONTH(A612)=1,C611*(1+questions!$C$12),C611),0)</f>
        <v>0</v>
      </c>
      <c r="D612" s="58">
        <f>IF(MONTH(A612)=12,C612*questions!$C$11,0)</f>
        <v>0</v>
      </c>
      <c r="E612" s="71">
        <f t="shared" si="2"/>
        <v>0</v>
      </c>
      <c r="F612" s="71">
        <f t="shared" si="3"/>
        <v>0</v>
      </c>
      <c r="G612" s="61">
        <f t="array" ref="G612">if(YEAR(A612)=2025,XLOOKUP(B612,Lookup!$A$3:$A$7,Lookup!$D$3:$D$7,,1)*SUM(E612:F612), XLOOKUP(B612,Lookup!$A$14:$A$18,Lookup!$D$14:$D$18,,1)*SUM(E612:F612))</f>
        <v>0</v>
      </c>
      <c r="H612" s="61">
        <f t="array" ref="H612">if(YEAR(A612)=2025,XLOOKUP(B612,Lookup!$F$3:$F$10,Lookup!$G$3:$G$10,,1)*G612, XLOOKUP(B612,Lookup!$F$14:$F$21,Lookup!$G$14:$G$21,,1)*G612)</f>
        <v>0</v>
      </c>
      <c r="I612" s="61">
        <f t="array" ref="I612">if(B612&lt;55, if(YEAR(A612)=2025,XLOOKUP(B612,Lookup!$F$3:$F$10,Lookup!$H$3:$H$10,,1)*G612, XLOOKUP(B612,Lookup!$F$14:$F$21,Lookup!$H$14:$H$21,,1)*G612),0)</f>
        <v>0</v>
      </c>
      <c r="J612" s="61">
        <f t="array" ref="J612">if(YEAR(A612)=2025,XLOOKUP(B612,Lookup!$F$3:$F$10,Lookup!$I$3:$I$10,,1)*G612, XLOOKUP(B612,Lookup!$F$14:$F$21,Lookup!$I$14:$I$21,,1)*G612)</f>
        <v>0</v>
      </c>
      <c r="K612" s="61">
        <f t="array" ref="K612">if(B612&gt;54, if(YEAR(A612)=2025,XLOOKUP(B612,Lookup!$F$3:$F$10,Lookup!$H$3:$H$10,,1)*G612, XLOOKUP(B612,Lookup!$F$14:$F$21,Lookup!$H$14:$H$21,,1)*G612),0)</f>
        <v>0</v>
      </c>
      <c r="L612" s="62">
        <f>IF(and(A612&lt;questions!$C$19,questions!$C$18="yes"),questions!$C$20,0)</f>
        <v>0</v>
      </c>
      <c r="M612" s="63">
        <f>(Y611+H612)*Lookup!A$26/12</f>
        <v>2756.632887</v>
      </c>
      <c r="N612" s="63">
        <f>if(B612&lt;55, (Z611+I612)*Lookup!B$26/12, (AB611+K612)*Lookup!B$26/12)</f>
        <v>5044.974546</v>
      </c>
      <c r="O612" s="63">
        <f>(AA611+J612)*Lookup!C$26/12</f>
        <v>940.3700287</v>
      </c>
      <c r="P612" s="63">
        <f t="shared" si="8"/>
        <v>33079.59464</v>
      </c>
      <c r="Q612" s="63">
        <f t="shared" si="4"/>
        <v>60539.69456</v>
      </c>
      <c r="R612" s="63">
        <f t="shared" si="5"/>
        <v>11284.44034</v>
      </c>
      <c r="S612" s="64">
        <f t="shared" si="9"/>
        <v>33.33333333</v>
      </c>
      <c r="T612" s="64">
        <f t="shared" si="10"/>
        <v>41.66666667</v>
      </c>
      <c r="U612" s="64">
        <f t="shared" si="11"/>
        <v>0</v>
      </c>
      <c r="V612" s="64">
        <f t="shared" ref="V612:X612" si="620">IF(year($A612)=year($A611), V611+S612, S612)</f>
        <v>400</v>
      </c>
      <c r="W612" s="64">
        <f t="shared" si="620"/>
        <v>500</v>
      </c>
      <c r="X612" s="64">
        <f t="shared" si="620"/>
        <v>0</v>
      </c>
      <c r="Y612" s="65">
        <f>IFS(
  B612&lt;55,
    MAX(
      Y611 + IF(MONTH(A612)=12, P612+V612, 0) + H612 - L612
      + MAX(0,
          IF(AA611 &gt;= VLOOKUP(YEAR(A612), Lookup!$Q:$R, 2),
            Z611 + IF(MONTH(A612)=12, Q612+W612, 0) + I612
              + AA611 + IF(MONTH(A612)=12, R612+X612, 0)
              - VLOOKUP(YEAR(A612), Lookup!$Q:$R, 2) + J612,
            Z611 + IF(MONTH(A612)=12, Q612+W612, 0) + I612
          ) - VLOOKUP(YEAR(A612), Lookup!$K:$M, 3)
        ),
    0),
  B612=55,
    IF(Z611&gt;=AD612,
      MAX(Y611 + IF(MONTH(A612)=12, P612+V612, 0) + H612 - L612, 0),
      MAX(MAX(0, Y611-(AD612-Z611)) + IF(MONTH(A612)=12, P612+V612, 0) + H612 - L612, 0)
    ),
  B612&gt;55,
    IF(AB611&gt;=$AH$7,
      MAX(Y611 + IF(MONTH(A612)=12, P612+V612, 0) + H612 - L612 + K612 + Z611, 0),
      MAX(Y611 + IF(MONTH(A612)=12, P612+V612, 0) + H612 - L612, 0)
    )
)</f>
        <v>1356663.38</v>
      </c>
      <c r="Z612" s="65">
        <f>IFS(
  B612&lt;55,
    MIN(
      IF(AA611 &gt;= VLOOKUP(YEAR(A612), Lookup!$Q:$R, 2),
        Z611 + IF(MONTH(A612)=12, Q612+W612, 0) + I612
          + AA611 + IF(MONTH(A612)=12, R612+X612, 0) - VLOOKUP(YEAR(A612), Lookup!$Q:$R, 2) + J612,
        Z611 + IF(MONTH(A612)=12, Q612+W612, 0) + I612
      ),
      VLOOKUP(YEAR(A612), Lookup!$K:$M, 3)
    ),
  B612=55,
    IF(Z611 &gt;= AD612, Z611 - AD612, 0),
  B612&gt;55, 0
)</f>
        <v>0</v>
      </c>
      <c r="AA612" s="65">
        <f>IFS(
  B612&lt;65,
    IF(AA611+J612 &lt; VLOOKUP(YEAR(A612), Lookup!$Q:$R, 2),
      AA611 + IF(MONTH(A612)=12, R611+X611, 0) + J612,
      MIN(
        AA611 + IF(MONTH(A612)=12, R611+X611, 0) + J612 ,
        VLOOKUP(YEAR(A612), Lookup!$Q:$R, 2)
      )
    ),
  B612&gt;=65,
    IF(AA611+J612 &lt; VLOOKUP(questions!$C$5, Lookup!$Q:$R, 2),
      AA611 + IF(MONTH(A612)=12, R611+X611, 0) + J612 ,
      MIN(
        AA611 + IF(MONTH(A612)=12, R611+X611, 0) + J612,
        VLOOKUP(questions!$C$5, Lookup!$Q:$R, 2)
      )
    )
)</f>
        <v>282111.0086</v>
      </c>
      <c r="AB612" s="65">
        <f t="shared" si="13"/>
        <v>1574532.058</v>
      </c>
      <c r="AC612" s="66">
        <f t="array" ref="AC612">IFS(B612&lt;66, XLOOKUP(year(A612),Lookup!$K$13:$K1000,Lookup!$L$13:$L1000,"missing",,1),B612&gt;65,XLOOKUP(questions!$C$5,Lookup!$K$13:$K1000,Lookup!$L$13:$L1000,"missing",,1))</f>
        <v>393675.3633</v>
      </c>
      <c r="AD612" s="66">
        <f t="array" ref="AD612">IFS(B612&lt;66, XLOOKUP(year(A612),Lookup!$K$13:$K1000,Lookup!$M$13:$M1000,"missing",,1),B612&gt;65, XLOOKUP(questions!$C$5,Lookup!$K$13:$K1000,Lookup!$M$13:$M1000,"missing",,1))</f>
        <v>787350.7266</v>
      </c>
      <c r="AE612" s="66">
        <f t="array" ref="AE612">IFS(B612&lt;66, XLOOKUP(year(A612),Lookup!$K$13:$K1000,Lookup!$N$13:$N1000,"missing",,1),B612&gt;65,XLOOKUP(questions!$C$5,Lookup!$K$13:$K1000,Lookup!$N$13:$N1000,"missing",,1))</f>
        <v>1574701.453</v>
      </c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  <c r="AQ612" s="37"/>
    </row>
    <row r="613">
      <c r="A613" s="55">
        <f t="shared" si="7"/>
        <v>64681</v>
      </c>
      <c r="B613" s="56">
        <f>round(YEARFRAC(EOMONTH(questions!$C$3, 0),A613,1),2)</f>
        <v>78.17</v>
      </c>
      <c r="C613" s="58">
        <f>IF(B613&lt;questions!$C$6,if(MONTH(A613)=1,C612*(1+questions!$C$12),C612),0)</f>
        <v>0</v>
      </c>
      <c r="D613" s="58">
        <f>IF(MONTH(A613)=12,C613*questions!$C$11,0)</f>
        <v>0</v>
      </c>
      <c r="E613" s="71">
        <f t="shared" si="2"/>
        <v>0</v>
      </c>
      <c r="F613" s="71">
        <f t="shared" si="3"/>
        <v>0</v>
      </c>
      <c r="G613" s="61">
        <f t="array" ref="G613">if(YEAR(A613)=2025,XLOOKUP(B613,Lookup!$A$3:$A$7,Lookup!$D$3:$D$7,,1)*SUM(E613:F613), XLOOKUP(B613,Lookup!$A$14:$A$18,Lookup!$D$14:$D$18,,1)*SUM(E613:F613))</f>
        <v>0</v>
      </c>
      <c r="H613" s="61">
        <f t="array" ref="H613">if(YEAR(A613)=2025,XLOOKUP(B613,Lookup!$F$3:$F$10,Lookup!$G$3:$G$10,,1)*G613, XLOOKUP(B613,Lookup!$F$14:$F$21,Lookup!$G$14:$G$21,,1)*G613)</f>
        <v>0</v>
      </c>
      <c r="I613" s="61">
        <f t="array" ref="I613">if(B613&lt;55, if(YEAR(A613)=2025,XLOOKUP(B613,Lookup!$F$3:$F$10,Lookup!$H$3:$H$10,,1)*G613, XLOOKUP(B613,Lookup!$F$14:$F$21,Lookup!$H$14:$H$21,,1)*G613),0)</f>
        <v>0</v>
      </c>
      <c r="J613" s="61">
        <f t="array" ref="J613">if(YEAR(A613)=2025,XLOOKUP(B613,Lookup!$F$3:$F$10,Lookup!$I$3:$I$10,,1)*G613, XLOOKUP(B613,Lookup!$F$14:$F$21,Lookup!$I$14:$I$21,,1)*G613)</f>
        <v>0</v>
      </c>
      <c r="K613" s="61">
        <f t="array" ref="K613">if(B613&gt;54, if(YEAR(A613)=2025,XLOOKUP(B613,Lookup!$F$3:$F$10,Lookup!$H$3:$H$10,,1)*G613, XLOOKUP(B613,Lookup!$F$14:$F$21,Lookup!$H$14:$H$21,,1)*G613),0)</f>
        <v>0</v>
      </c>
      <c r="L613" s="62">
        <f>IF(and(A613&lt;questions!$C$19,questions!$C$18="yes"),questions!$C$20,0)</f>
        <v>0</v>
      </c>
      <c r="M613" s="63">
        <f>(Y612+H613)*Lookup!A$26/12</f>
        <v>2826.382042</v>
      </c>
      <c r="N613" s="63">
        <f>if(B613&lt;55, (Z612+I613)*Lookup!B$26/12, (AB612+K613)*Lookup!B$26/12)</f>
        <v>5248.440195</v>
      </c>
      <c r="O613" s="63">
        <f>(AA612+J613)*Lookup!C$26/12</f>
        <v>940.3700287</v>
      </c>
      <c r="P613" s="63">
        <f t="shared" si="8"/>
        <v>2826.382042</v>
      </c>
      <c r="Q613" s="63">
        <f t="shared" si="4"/>
        <v>5248.440195</v>
      </c>
      <c r="R613" s="63">
        <f t="shared" si="5"/>
        <v>940.3700287</v>
      </c>
      <c r="S613" s="64">
        <f t="shared" si="9"/>
        <v>33.33333333</v>
      </c>
      <c r="T613" s="64">
        <f t="shared" si="10"/>
        <v>41.66666667</v>
      </c>
      <c r="U613" s="64">
        <f t="shared" si="11"/>
        <v>0</v>
      </c>
      <c r="V613" s="64">
        <f t="shared" ref="V613:X613" si="621">IF(year($A613)=year($A612), V612+S613, S613)</f>
        <v>33.33333333</v>
      </c>
      <c r="W613" s="64">
        <f t="shared" si="621"/>
        <v>41.66666667</v>
      </c>
      <c r="X613" s="64">
        <f t="shared" si="621"/>
        <v>0</v>
      </c>
      <c r="Y613" s="65">
        <f>IFS(
  B613&lt;55,
    MAX(
      Y612 + IF(MONTH(A613)=12, P613+V613, 0) + H613 - L613
      + MAX(0,
          IF(AA612 &gt;= VLOOKUP(YEAR(A613), Lookup!$Q:$R, 2),
            Z612 + IF(MONTH(A613)=12, Q613+W613, 0) + I613
              + AA612 + IF(MONTH(A613)=12, R613+X613, 0)
              - VLOOKUP(YEAR(A613), Lookup!$Q:$R, 2) + J613,
            Z612 + IF(MONTH(A613)=12, Q613+W613, 0) + I613
          ) - VLOOKUP(YEAR(A613), Lookup!$K:$M, 3)
        ),
    0),
  B613=55,
    IF(Z612&gt;=AD613,
      MAX(Y612 + IF(MONTH(A613)=12, P613+V613, 0) + H613 - L613, 0),
      MAX(MAX(0, Y612-(AD613-Z612)) + IF(MONTH(A613)=12, P613+V613, 0) + H613 - L613, 0)
    ),
  B613&gt;55,
    IF(AB612&gt;=$AH$7,
      MAX(Y612 + IF(MONTH(A613)=12, P613+V613, 0) + H613 - L613 + K613 + Z612, 0),
      MAX(Y612 + IF(MONTH(A613)=12, P613+V613, 0) + H613 - L613, 0)
    )
)</f>
        <v>1356663.38</v>
      </c>
      <c r="Z613" s="65">
        <f>IFS(
  B613&lt;55,
    MIN(
      IF(AA612 &gt;= VLOOKUP(YEAR(A613), Lookup!$Q:$R, 2),
        Z612 + IF(MONTH(A613)=12, Q613+W613, 0) + I613
          + AA612 + IF(MONTH(A613)=12, R613+X613, 0) - VLOOKUP(YEAR(A613), Lookup!$Q:$R, 2) + J613,
        Z612 + IF(MONTH(A613)=12, Q613+W613, 0) + I613
      ),
      VLOOKUP(YEAR(A613), Lookup!$K:$M, 3)
    ),
  B613=55,
    IF(Z612 &gt;= AD613, Z612 - AD613, 0),
  B613&gt;55, 0
)</f>
        <v>0</v>
      </c>
      <c r="AA613" s="65">
        <f>IFS(
  B613&lt;65,
    IF(AA612+J613 &lt; VLOOKUP(YEAR(A613), Lookup!$Q:$R, 2),
      AA612 + IF(MONTH(A613)=12, R612+X612, 0) + J613,
      MIN(
        AA612 + IF(MONTH(A613)=12, R612+X612, 0) + J613 ,
        VLOOKUP(YEAR(A613), Lookup!$Q:$R, 2)
      )
    ),
  B613&gt;=65,
    IF(AA612+J613 &lt; VLOOKUP(questions!$C$5, Lookup!$Q:$R, 2),
      AA612 + IF(MONTH(A613)=12, R612+X612, 0) + J613 ,
      MIN(
        AA612 + IF(MONTH(A613)=12, R612+X612, 0) + J613,
        VLOOKUP(questions!$C$5, Lookup!$Q:$R, 2)
      )
    )
)</f>
        <v>282111.0086</v>
      </c>
      <c r="AB613" s="65">
        <f t="shared" si="13"/>
        <v>1574532.058</v>
      </c>
      <c r="AC613" s="66">
        <f t="array" ref="AC613">IFS(B613&lt;66, XLOOKUP(year(A613),Lookup!$K$13:$K1000,Lookup!$L$13:$L1000,"missing",,1),B613&gt;65,XLOOKUP(questions!$C$5,Lookup!$K$13:$K1000,Lookup!$L$13:$L1000,"missing",,1))</f>
        <v>393675.3633</v>
      </c>
      <c r="AD613" s="66">
        <f t="array" ref="AD613">IFS(B613&lt;66, XLOOKUP(year(A613),Lookup!$K$13:$K1000,Lookup!$M$13:$M1000,"missing",,1),B613&gt;65, XLOOKUP(questions!$C$5,Lookup!$K$13:$K1000,Lookup!$M$13:$M1000,"missing",,1))</f>
        <v>787350.7266</v>
      </c>
      <c r="AE613" s="66">
        <f t="array" ref="AE613">IFS(B613&lt;66, XLOOKUP(year(A613),Lookup!$K$13:$K1000,Lookup!$N$13:$N1000,"missing",,1),B613&gt;65,XLOOKUP(questions!$C$5,Lookup!$K$13:$K1000,Lookup!$N$13:$N1000,"missing",,1))</f>
        <v>1574701.453</v>
      </c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  <c r="AQ613" s="37"/>
    </row>
    <row r="614">
      <c r="A614" s="55">
        <f t="shared" si="7"/>
        <v>64709</v>
      </c>
      <c r="B614" s="56">
        <f>round(YEARFRAC(EOMONTH(questions!$C$3, 0),A614,1),2)</f>
        <v>78.25</v>
      </c>
      <c r="C614" s="58">
        <f>IF(B614&lt;questions!$C$6,if(MONTH(A614)=1,C613*(1+questions!$C$12),C613),0)</f>
        <v>0</v>
      </c>
      <c r="D614" s="58">
        <f>IF(MONTH(A614)=12,C614*questions!$C$11,0)</f>
        <v>0</v>
      </c>
      <c r="E614" s="71">
        <f t="shared" si="2"/>
        <v>0</v>
      </c>
      <c r="F614" s="71">
        <f t="shared" si="3"/>
        <v>0</v>
      </c>
      <c r="G614" s="61">
        <f t="array" ref="G614">if(YEAR(A614)=2025,XLOOKUP(B614,Lookup!$A$3:$A$7,Lookup!$D$3:$D$7,,1)*SUM(E614:F614), XLOOKUP(B614,Lookup!$A$14:$A$18,Lookup!$D$14:$D$18,,1)*SUM(E614:F614))</f>
        <v>0</v>
      </c>
      <c r="H614" s="61">
        <f t="array" ref="H614">if(YEAR(A614)=2025,XLOOKUP(B614,Lookup!$F$3:$F$10,Lookup!$G$3:$G$10,,1)*G614, XLOOKUP(B614,Lookup!$F$14:$F$21,Lookup!$G$14:$G$21,,1)*G614)</f>
        <v>0</v>
      </c>
      <c r="I614" s="61">
        <f t="array" ref="I614">if(B614&lt;55, if(YEAR(A614)=2025,XLOOKUP(B614,Lookup!$F$3:$F$10,Lookup!$H$3:$H$10,,1)*G614, XLOOKUP(B614,Lookup!$F$14:$F$21,Lookup!$H$14:$H$21,,1)*G614),0)</f>
        <v>0</v>
      </c>
      <c r="J614" s="61">
        <f t="array" ref="J614">if(YEAR(A614)=2025,XLOOKUP(B614,Lookup!$F$3:$F$10,Lookup!$I$3:$I$10,,1)*G614, XLOOKUP(B614,Lookup!$F$14:$F$21,Lookup!$I$14:$I$21,,1)*G614)</f>
        <v>0</v>
      </c>
      <c r="K614" s="61">
        <f t="array" ref="K614">if(B614&gt;54, if(YEAR(A614)=2025,XLOOKUP(B614,Lookup!$F$3:$F$10,Lookup!$H$3:$H$10,,1)*G614, XLOOKUP(B614,Lookup!$F$14:$F$21,Lookup!$H$14:$H$21,,1)*G614),0)</f>
        <v>0</v>
      </c>
      <c r="L614" s="62">
        <f>IF(and(A614&lt;questions!$C$19,questions!$C$18="yes"),questions!$C$20,0)</f>
        <v>0</v>
      </c>
      <c r="M614" s="63">
        <f>(Y613+H614)*Lookup!A$26/12</f>
        <v>2826.382042</v>
      </c>
      <c r="N614" s="63">
        <f>if(B614&lt;55, (Z613+I614)*Lookup!B$26/12, (AB613+K614)*Lookup!B$26/12)</f>
        <v>5248.440195</v>
      </c>
      <c r="O614" s="63">
        <f>(AA613+J614)*Lookup!C$26/12</f>
        <v>940.3700287</v>
      </c>
      <c r="P614" s="63">
        <f t="shared" si="8"/>
        <v>5652.764085</v>
      </c>
      <c r="Q614" s="63">
        <f t="shared" si="4"/>
        <v>10496.88039</v>
      </c>
      <c r="R614" s="63">
        <f t="shared" si="5"/>
        <v>1880.740057</v>
      </c>
      <c r="S614" s="64">
        <f t="shared" si="9"/>
        <v>33.33333333</v>
      </c>
      <c r="T614" s="64">
        <f t="shared" si="10"/>
        <v>41.66666667</v>
      </c>
      <c r="U614" s="64">
        <f t="shared" si="11"/>
        <v>0</v>
      </c>
      <c r="V614" s="64">
        <f t="shared" ref="V614:X614" si="622">IF(year($A614)=year($A613), V613+S614, S614)</f>
        <v>66.66666667</v>
      </c>
      <c r="W614" s="64">
        <f t="shared" si="622"/>
        <v>83.33333333</v>
      </c>
      <c r="X614" s="64">
        <f t="shared" si="622"/>
        <v>0</v>
      </c>
      <c r="Y614" s="65">
        <f>IFS(
  B614&lt;55,
    MAX(
      Y613 + IF(MONTH(A614)=12, P614+V614, 0) + H614 - L614
      + MAX(0,
          IF(AA613 &gt;= VLOOKUP(YEAR(A614), Lookup!$Q:$R, 2),
            Z613 + IF(MONTH(A614)=12, Q614+W614, 0) + I614
              + AA613 + IF(MONTH(A614)=12, R614+X614, 0)
              - VLOOKUP(YEAR(A614), Lookup!$Q:$R, 2) + J614,
            Z613 + IF(MONTH(A614)=12, Q614+W614, 0) + I614
          ) - VLOOKUP(YEAR(A614), Lookup!$K:$M, 3)
        ),
    0),
  B614=55,
    IF(Z613&gt;=AD614,
      MAX(Y613 + IF(MONTH(A614)=12, P614+V614, 0) + H614 - L614, 0),
      MAX(MAX(0, Y613-(AD614-Z613)) + IF(MONTH(A614)=12, P614+V614, 0) + H614 - L614, 0)
    ),
  B614&gt;55,
    IF(AB613&gt;=$AH$7,
      MAX(Y613 + IF(MONTH(A614)=12, P614+V614, 0) + H614 - L614 + K614 + Z613, 0),
      MAX(Y613 + IF(MONTH(A614)=12, P614+V614, 0) + H614 - L614, 0)
    )
)</f>
        <v>1356663.38</v>
      </c>
      <c r="Z614" s="65">
        <f>IFS(
  B614&lt;55,
    MIN(
      IF(AA613 &gt;= VLOOKUP(YEAR(A614), Lookup!$Q:$R, 2),
        Z613 + IF(MONTH(A614)=12, Q614+W614, 0) + I614
          + AA613 + IF(MONTH(A614)=12, R614+X614, 0) - VLOOKUP(YEAR(A614), Lookup!$Q:$R, 2) + J614,
        Z613 + IF(MONTH(A614)=12, Q614+W614, 0) + I614
      ),
      VLOOKUP(YEAR(A614), Lookup!$K:$M, 3)
    ),
  B614=55,
    IF(Z613 &gt;= AD614, Z613 - AD614, 0),
  B614&gt;55, 0
)</f>
        <v>0</v>
      </c>
      <c r="AA614" s="65">
        <f>IFS(
  B614&lt;65,
    IF(AA613+J614 &lt; VLOOKUP(YEAR(A614), Lookup!$Q:$R, 2),
      AA613 + IF(MONTH(A614)=12, R613+X613, 0) + J614,
      MIN(
        AA613 + IF(MONTH(A614)=12, R613+X613, 0) + J614 ,
        VLOOKUP(YEAR(A614), Lookup!$Q:$R, 2)
      )
    ),
  B614&gt;=65,
    IF(AA613+J614 &lt; VLOOKUP(questions!$C$5, Lookup!$Q:$R, 2),
      AA613 + IF(MONTH(A614)=12, R613+X613, 0) + J614 ,
      MIN(
        AA613 + IF(MONTH(A614)=12, R613+X613, 0) + J614,
        VLOOKUP(questions!$C$5, Lookup!$Q:$R, 2)
      )
    )
)</f>
        <v>282111.0086</v>
      </c>
      <c r="AB614" s="65">
        <f t="shared" si="13"/>
        <v>1574532.058</v>
      </c>
      <c r="AC614" s="66">
        <f t="array" ref="AC614">IFS(B614&lt;66, XLOOKUP(year(A614),Lookup!$K$13:$K1000,Lookup!$L$13:$L1000,"missing",,1),B614&gt;65,XLOOKUP(questions!$C$5,Lookup!$K$13:$K1000,Lookup!$L$13:$L1000,"missing",,1))</f>
        <v>393675.3633</v>
      </c>
      <c r="AD614" s="66">
        <f t="array" ref="AD614">IFS(B614&lt;66, XLOOKUP(year(A614),Lookup!$K$13:$K1000,Lookup!$M$13:$M1000,"missing",,1),B614&gt;65, XLOOKUP(questions!$C$5,Lookup!$K$13:$K1000,Lookup!$M$13:$M1000,"missing",,1))</f>
        <v>787350.7266</v>
      </c>
      <c r="AE614" s="66">
        <f t="array" ref="AE614">IFS(B614&lt;66, XLOOKUP(year(A614),Lookup!$K$13:$K1000,Lookup!$N$13:$N1000,"missing",,1),B614&gt;65,XLOOKUP(questions!$C$5,Lookup!$K$13:$K1000,Lookup!$N$13:$N1000,"missing",,1))</f>
        <v>1574701.453</v>
      </c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  <c r="AQ614" s="37"/>
    </row>
    <row r="615">
      <c r="A615" s="55">
        <f t="shared" si="7"/>
        <v>64740</v>
      </c>
      <c r="B615" s="56">
        <f>round(YEARFRAC(EOMONTH(questions!$C$3, 0),A615,1),2)</f>
        <v>78.33</v>
      </c>
      <c r="C615" s="58">
        <f>IF(B615&lt;questions!$C$6,if(MONTH(A615)=1,C614*(1+questions!$C$12),C614),0)</f>
        <v>0</v>
      </c>
      <c r="D615" s="58">
        <f>IF(MONTH(A615)=12,C615*questions!$C$11,0)</f>
        <v>0</v>
      </c>
      <c r="E615" s="71">
        <f t="shared" si="2"/>
        <v>0</v>
      </c>
      <c r="F615" s="71">
        <f t="shared" si="3"/>
        <v>0</v>
      </c>
      <c r="G615" s="61">
        <f t="array" ref="G615">if(YEAR(A615)=2025,XLOOKUP(B615,Lookup!$A$3:$A$7,Lookup!$D$3:$D$7,,1)*SUM(E615:F615), XLOOKUP(B615,Lookup!$A$14:$A$18,Lookup!$D$14:$D$18,,1)*SUM(E615:F615))</f>
        <v>0</v>
      </c>
      <c r="H615" s="61">
        <f t="array" ref="H615">if(YEAR(A615)=2025,XLOOKUP(B615,Lookup!$F$3:$F$10,Lookup!$G$3:$G$10,,1)*G615, XLOOKUP(B615,Lookup!$F$14:$F$21,Lookup!$G$14:$G$21,,1)*G615)</f>
        <v>0</v>
      </c>
      <c r="I615" s="61">
        <f t="array" ref="I615">if(B615&lt;55, if(YEAR(A615)=2025,XLOOKUP(B615,Lookup!$F$3:$F$10,Lookup!$H$3:$H$10,,1)*G615, XLOOKUP(B615,Lookup!$F$14:$F$21,Lookup!$H$14:$H$21,,1)*G615),0)</f>
        <v>0</v>
      </c>
      <c r="J615" s="61">
        <f t="array" ref="J615">if(YEAR(A615)=2025,XLOOKUP(B615,Lookup!$F$3:$F$10,Lookup!$I$3:$I$10,,1)*G615, XLOOKUP(B615,Lookup!$F$14:$F$21,Lookup!$I$14:$I$21,,1)*G615)</f>
        <v>0</v>
      </c>
      <c r="K615" s="61">
        <f t="array" ref="K615">if(B615&gt;54, if(YEAR(A615)=2025,XLOOKUP(B615,Lookup!$F$3:$F$10,Lookup!$H$3:$H$10,,1)*G615, XLOOKUP(B615,Lookup!$F$14:$F$21,Lookup!$H$14:$H$21,,1)*G615),0)</f>
        <v>0</v>
      </c>
      <c r="L615" s="62">
        <f>IF(and(A615&lt;questions!$C$19,questions!$C$18="yes"),questions!$C$20,0)</f>
        <v>0</v>
      </c>
      <c r="M615" s="63">
        <f>(Y614+H615)*Lookup!A$26/12</f>
        <v>2826.382042</v>
      </c>
      <c r="N615" s="63">
        <f>if(B615&lt;55, (Z614+I615)*Lookup!B$26/12, (AB614+K615)*Lookup!B$26/12)</f>
        <v>5248.440195</v>
      </c>
      <c r="O615" s="63">
        <f>(AA614+J615)*Lookup!C$26/12</f>
        <v>940.3700287</v>
      </c>
      <c r="P615" s="63">
        <f t="shared" si="8"/>
        <v>8479.146127</v>
      </c>
      <c r="Q615" s="63">
        <f t="shared" si="4"/>
        <v>15745.32058</v>
      </c>
      <c r="R615" s="63">
        <f t="shared" si="5"/>
        <v>2821.110086</v>
      </c>
      <c r="S615" s="64">
        <f t="shared" si="9"/>
        <v>33.33333333</v>
      </c>
      <c r="T615" s="64">
        <f t="shared" si="10"/>
        <v>41.66666667</v>
      </c>
      <c r="U615" s="64">
        <f t="shared" si="11"/>
        <v>0</v>
      </c>
      <c r="V615" s="64">
        <f t="shared" ref="V615:X615" si="623">IF(year($A615)=year($A614), V614+S615, S615)</f>
        <v>100</v>
      </c>
      <c r="W615" s="64">
        <f t="shared" si="623"/>
        <v>125</v>
      </c>
      <c r="X615" s="64">
        <f t="shared" si="623"/>
        <v>0</v>
      </c>
      <c r="Y615" s="65">
        <f>IFS(
  B615&lt;55,
    MAX(
      Y614 + IF(MONTH(A615)=12, P615+V615, 0) + H615 - L615
      + MAX(0,
          IF(AA614 &gt;= VLOOKUP(YEAR(A615), Lookup!$Q:$R, 2),
            Z614 + IF(MONTH(A615)=12, Q615+W615, 0) + I615
              + AA614 + IF(MONTH(A615)=12, R615+X615, 0)
              - VLOOKUP(YEAR(A615), Lookup!$Q:$R, 2) + J615,
            Z614 + IF(MONTH(A615)=12, Q615+W615, 0) + I615
          ) - VLOOKUP(YEAR(A615), Lookup!$K:$M, 3)
        ),
    0),
  B615=55,
    IF(Z614&gt;=AD615,
      MAX(Y614 + IF(MONTH(A615)=12, P615+V615, 0) + H615 - L615, 0),
      MAX(MAX(0, Y614-(AD615-Z614)) + IF(MONTH(A615)=12, P615+V615, 0) + H615 - L615, 0)
    ),
  B615&gt;55,
    IF(AB614&gt;=$AH$7,
      MAX(Y614 + IF(MONTH(A615)=12, P615+V615, 0) + H615 - L615 + K615 + Z614, 0),
      MAX(Y614 + IF(MONTH(A615)=12, P615+V615, 0) + H615 - L615, 0)
    )
)</f>
        <v>1356663.38</v>
      </c>
      <c r="Z615" s="65">
        <f>IFS(
  B615&lt;55,
    MIN(
      IF(AA614 &gt;= VLOOKUP(YEAR(A615), Lookup!$Q:$R, 2),
        Z614 + IF(MONTH(A615)=12, Q615+W615, 0) + I615
          + AA614 + IF(MONTH(A615)=12, R615+X615, 0) - VLOOKUP(YEAR(A615), Lookup!$Q:$R, 2) + J615,
        Z614 + IF(MONTH(A615)=12, Q615+W615, 0) + I615
      ),
      VLOOKUP(YEAR(A615), Lookup!$K:$M, 3)
    ),
  B615=55,
    IF(Z614 &gt;= AD615, Z614 - AD615, 0),
  B615&gt;55, 0
)</f>
        <v>0</v>
      </c>
      <c r="AA615" s="65">
        <f>IFS(
  B615&lt;65,
    IF(AA614+J615 &lt; VLOOKUP(YEAR(A615), Lookup!$Q:$R, 2),
      AA614 + IF(MONTH(A615)=12, R614+X614, 0) + J615,
      MIN(
        AA614 + IF(MONTH(A615)=12, R614+X614, 0) + J615 ,
        VLOOKUP(YEAR(A615), Lookup!$Q:$R, 2)
      )
    ),
  B615&gt;=65,
    IF(AA614+J615 &lt; VLOOKUP(questions!$C$5, Lookup!$Q:$R, 2),
      AA614 + IF(MONTH(A615)=12, R614+X614, 0) + J615 ,
      MIN(
        AA614 + IF(MONTH(A615)=12, R614+X614, 0) + J615,
        VLOOKUP(questions!$C$5, Lookup!$Q:$R, 2)
      )
    )
)</f>
        <v>282111.0086</v>
      </c>
      <c r="AB615" s="65">
        <f t="shared" si="13"/>
        <v>1574532.058</v>
      </c>
      <c r="AC615" s="66">
        <f t="array" ref="AC615">IFS(B615&lt;66, XLOOKUP(year(A615),Lookup!$K$13:$K1000,Lookup!$L$13:$L1000,"missing",,1),B615&gt;65,XLOOKUP(questions!$C$5,Lookup!$K$13:$K1000,Lookup!$L$13:$L1000,"missing",,1))</f>
        <v>393675.3633</v>
      </c>
      <c r="AD615" s="66">
        <f t="array" ref="AD615">IFS(B615&lt;66, XLOOKUP(year(A615),Lookup!$K$13:$K1000,Lookup!$M$13:$M1000,"missing",,1),B615&gt;65, XLOOKUP(questions!$C$5,Lookup!$K$13:$K1000,Lookup!$M$13:$M1000,"missing",,1))</f>
        <v>787350.7266</v>
      </c>
      <c r="AE615" s="66">
        <f t="array" ref="AE615">IFS(B615&lt;66, XLOOKUP(year(A615),Lookup!$K$13:$K1000,Lookup!$N$13:$N1000,"missing",,1),B615&gt;65,XLOOKUP(questions!$C$5,Lookup!$K$13:$K1000,Lookup!$N$13:$N1000,"missing",,1))</f>
        <v>1574701.453</v>
      </c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  <c r="AQ615" s="37"/>
    </row>
    <row r="616">
      <c r="A616" s="55">
        <f t="shared" si="7"/>
        <v>64770</v>
      </c>
      <c r="B616" s="56">
        <f>round(YEARFRAC(EOMONTH(questions!$C$3, 0),A616,1),2)</f>
        <v>78.41</v>
      </c>
      <c r="C616" s="58">
        <f>IF(B616&lt;questions!$C$6,if(MONTH(A616)=1,C615*(1+questions!$C$12),C615),0)</f>
        <v>0</v>
      </c>
      <c r="D616" s="58">
        <f>IF(MONTH(A616)=12,C616*questions!$C$11,0)</f>
        <v>0</v>
      </c>
      <c r="E616" s="71">
        <f t="shared" si="2"/>
        <v>0</v>
      </c>
      <c r="F616" s="71">
        <f t="shared" si="3"/>
        <v>0</v>
      </c>
      <c r="G616" s="61">
        <f t="array" ref="G616">if(YEAR(A616)=2025,XLOOKUP(B616,Lookup!$A$3:$A$7,Lookup!$D$3:$D$7,,1)*SUM(E616:F616), XLOOKUP(B616,Lookup!$A$14:$A$18,Lookup!$D$14:$D$18,,1)*SUM(E616:F616))</f>
        <v>0</v>
      </c>
      <c r="H616" s="61">
        <f t="array" ref="H616">if(YEAR(A616)=2025,XLOOKUP(B616,Lookup!$F$3:$F$10,Lookup!$G$3:$G$10,,1)*G616, XLOOKUP(B616,Lookup!$F$14:$F$21,Lookup!$G$14:$G$21,,1)*G616)</f>
        <v>0</v>
      </c>
      <c r="I616" s="61">
        <f t="array" ref="I616">if(B616&lt;55, if(YEAR(A616)=2025,XLOOKUP(B616,Lookup!$F$3:$F$10,Lookup!$H$3:$H$10,,1)*G616, XLOOKUP(B616,Lookup!$F$14:$F$21,Lookup!$H$14:$H$21,,1)*G616),0)</f>
        <v>0</v>
      </c>
      <c r="J616" s="61">
        <f t="array" ref="J616">if(YEAR(A616)=2025,XLOOKUP(B616,Lookup!$F$3:$F$10,Lookup!$I$3:$I$10,,1)*G616, XLOOKUP(B616,Lookup!$F$14:$F$21,Lookup!$I$14:$I$21,,1)*G616)</f>
        <v>0</v>
      </c>
      <c r="K616" s="61">
        <f t="array" ref="K616">if(B616&gt;54, if(YEAR(A616)=2025,XLOOKUP(B616,Lookup!$F$3:$F$10,Lookup!$H$3:$H$10,,1)*G616, XLOOKUP(B616,Lookup!$F$14:$F$21,Lookup!$H$14:$H$21,,1)*G616),0)</f>
        <v>0</v>
      </c>
      <c r="L616" s="62">
        <f>IF(and(A616&lt;questions!$C$19,questions!$C$18="yes"),questions!$C$20,0)</f>
        <v>0</v>
      </c>
      <c r="M616" s="63">
        <f>(Y615+H616)*Lookup!A$26/12</f>
        <v>2826.382042</v>
      </c>
      <c r="N616" s="63">
        <f>if(B616&lt;55, (Z615+I616)*Lookup!B$26/12, (AB615+K616)*Lookup!B$26/12)</f>
        <v>5248.440195</v>
      </c>
      <c r="O616" s="63">
        <f>(AA615+J616)*Lookup!C$26/12</f>
        <v>940.3700287</v>
      </c>
      <c r="P616" s="63">
        <f t="shared" si="8"/>
        <v>11305.52817</v>
      </c>
      <c r="Q616" s="63">
        <f t="shared" si="4"/>
        <v>20993.76078</v>
      </c>
      <c r="R616" s="63">
        <f t="shared" si="5"/>
        <v>3761.480115</v>
      </c>
      <c r="S616" s="64">
        <f t="shared" si="9"/>
        <v>33.33333333</v>
      </c>
      <c r="T616" s="64">
        <f t="shared" si="10"/>
        <v>41.66666667</v>
      </c>
      <c r="U616" s="64">
        <f t="shared" si="11"/>
        <v>0</v>
      </c>
      <c r="V616" s="64">
        <f t="shared" ref="V616:X616" si="624">IF(year($A616)=year($A615), V615+S616, S616)</f>
        <v>133.3333333</v>
      </c>
      <c r="W616" s="64">
        <f t="shared" si="624"/>
        <v>166.6666667</v>
      </c>
      <c r="X616" s="64">
        <f t="shared" si="624"/>
        <v>0</v>
      </c>
      <c r="Y616" s="65">
        <f>IFS(
  B616&lt;55,
    MAX(
      Y615 + IF(MONTH(A616)=12, P616+V616, 0) + H616 - L616
      + MAX(0,
          IF(AA615 &gt;= VLOOKUP(YEAR(A616), Lookup!$Q:$R, 2),
            Z615 + IF(MONTH(A616)=12, Q616+W616, 0) + I616
              + AA615 + IF(MONTH(A616)=12, R616+X616, 0)
              - VLOOKUP(YEAR(A616), Lookup!$Q:$R, 2) + J616,
            Z615 + IF(MONTH(A616)=12, Q616+W616, 0) + I616
          ) - VLOOKUP(YEAR(A616), Lookup!$K:$M, 3)
        ),
    0),
  B616=55,
    IF(Z615&gt;=AD616,
      MAX(Y615 + IF(MONTH(A616)=12, P616+V616, 0) + H616 - L616, 0),
      MAX(MAX(0, Y615-(AD616-Z615)) + IF(MONTH(A616)=12, P616+V616, 0) + H616 - L616, 0)
    ),
  B616&gt;55,
    IF(AB615&gt;=$AH$7,
      MAX(Y615 + IF(MONTH(A616)=12, P616+V616, 0) + H616 - L616 + K616 + Z615, 0),
      MAX(Y615 + IF(MONTH(A616)=12, P616+V616, 0) + H616 - L616, 0)
    )
)</f>
        <v>1356663.38</v>
      </c>
      <c r="Z616" s="65">
        <f>IFS(
  B616&lt;55,
    MIN(
      IF(AA615 &gt;= VLOOKUP(YEAR(A616), Lookup!$Q:$R, 2),
        Z615 + IF(MONTH(A616)=12, Q616+W616, 0) + I616
          + AA615 + IF(MONTH(A616)=12, R616+X616, 0) - VLOOKUP(YEAR(A616), Lookup!$Q:$R, 2) + J616,
        Z615 + IF(MONTH(A616)=12, Q616+W616, 0) + I616
      ),
      VLOOKUP(YEAR(A616), Lookup!$K:$M, 3)
    ),
  B616=55,
    IF(Z615 &gt;= AD616, Z615 - AD616, 0),
  B616&gt;55, 0
)</f>
        <v>0</v>
      </c>
      <c r="AA616" s="65">
        <f>IFS(
  B616&lt;65,
    IF(AA615+J616 &lt; VLOOKUP(YEAR(A616), Lookup!$Q:$R, 2),
      AA615 + IF(MONTH(A616)=12, R615+X615, 0) + J616,
      MIN(
        AA615 + IF(MONTH(A616)=12, R615+X615, 0) + J616 ,
        VLOOKUP(YEAR(A616), Lookup!$Q:$R, 2)
      )
    ),
  B616&gt;=65,
    IF(AA615+J616 &lt; VLOOKUP(questions!$C$5, Lookup!$Q:$R, 2),
      AA615 + IF(MONTH(A616)=12, R615+X615, 0) + J616 ,
      MIN(
        AA615 + IF(MONTH(A616)=12, R615+X615, 0) + J616,
        VLOOKUP(questions!$C$5, Lookup!$Q:$R, 2)
      )
    )
)</f>
        <v>282111.0086</v>
      </c>
      <c r="AB616" s="65">
        <f t="shared" si="13"/>
        <v>1574532.058</v>
      </c>
      <c r="AC616" s="66">
        <f t="array" ref="AC616">IFS(B616&lt;66, XLOOKUP(year(A616),Lookup!$K$13:$K1000,Lookup!$L$13:$L1000,"missing",,1),B616&gt;65,XLOOKUP(questions!$C$5,Lookup!$K$13:$K1000,Lookup!$L$13:$L1000,"missing",,1))</f>
        <v>393675.3633</v>
      </c>
      <c r="AD616" s="66">
        <f t="array" ref="AD616">IFS(B616&lt;66, XLOOKUP(year(A616),Lookup!$K$13:$K1000,Lookup!$M$13:$M1000,"missing",,1),B616&gt;65, XLOOKUP(questions!$C$5,Lookup!$K$13:$K1000,Lookup!$M$13:$M1000,"missing",,1))</f>
        <v>787350.7266</v>
      </c>
      <c r="AE616" s="66">
        <f t="array" ref="AE616">IFS(B616&lt;66, XLOOKUP(year(A616),Lookup!$K$13:$K1000,Lookup!$N$13:$N1000,"missing",,1),B616&gt;65,XLOOKUP(questions!$C$5,Lookup!$K$13:$K1000,Lookup!$N$13:$N1000,"missing",,1))</f>
        <v>1574701.453</v>
      </c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  <c r="AQ616" s="37"/>
    </row>
    <row r="617">
      <c r="A617" s="55">
        <f t="shared" si="7"/>
        <v>64801</v>
      </c>
      <c r="B617" s="56">
        <f>round(YEARFRAC(EOMONTH(questions!$C$3, 0),A617,1),2)</f>
        <v>78.5</v>
      </c>
      <c r="C617" s="58">
        <f>IF(B617&lt;questions!$C$6,if(MONTH(A617)=1,C616*(1+questions!$C$12),C616),0)</f>
        <v>0</v>
      </c>
      <c r="D617" s="58">
        <f>IF(MONTH(A617)=12,C617*questions!$C$11,0)</f>
        <v>0</v>
      </c>
      <c r="E617" s="71">
        <f t="shared" si="2"/>
        <v>0</v>
      </c>
      <c r="F617" s="71">
        <f t="shared" si="3"/>
        <v>0</v>
      </c>
      <c r="G617" s="61">
        <f t="array" ref="G617">if(YEAR(A617)=2025,XLOOKUP(B617,Lookup!$A$3:$A$7,Lookup!$D$3:$D$7,,1)*SUM(E617:F617), XLOOKUP(B617,Lookup!$A$14:$A$18,Lookup!$D$14:$D$18,,1)*SUM(E617:F617))</f>
        <v>0</v>
      </c>
      <c r="H617" s="61">
        <f t="array" ref="H617">if(YEAR(A617)=2025,XLOOKUP(B617,Lookup!$F$3:$F$10,Lookup!$G$3:$G$10,,1)*G617, XLOOKUP(B617,Lookup!$F$14:$F$21,Lookup!$G$14:$G$21,,1)*G617)</f>
        <v>0</v>
      </c>
      <c r="I617" s="61">
        <f t="array" ref="I617">if(B617&lt;55, if(YEAR(A617)=2025,XLOOKUP(B617,Lookup!$F$3:$F$10,Lookup!$H$3:$H$10,,1)*G617, XLOOKUP(B617,Lookup!$F$14:$F$21,Lookup!$H$14:$H$21,,1)*G617),0)</f>
        <v>0</v>
      </c>
      <c r="J617" s="61">
        <f t="array" ref="J617">if(YEAR(A617)=2025,XLOOKUP(B617,Lookup!$F$3:$F$10,Lookup!$I$3:$I$10,,1)*G617, XLOOKUP(B617,Lookup!$F$14:$F$21,Lookup!$I$14:$I$21,,1)*G617)</f>
        <v>0</v>
      </c>
      <c r="K617" s="61">
        <f t="array" ref="K617">if(B617&gt;54, if(YEAR(A617)=2025,XLOOKUP(B617,Lookup!$F$3:$F$10,Lookup!$H$3:$H$10,,1)*G617, XLOOKUP(B617,Lookup!$F$14:$F$21,Lookup!$H$14:$H$21,,1)*G617),0)</f>
        <v>0</v>
      </c>
      <c r="L617" s="62">
        <f>IF(and(A617&lt;questions!$C$19,questions!$C$18="yes"),questions!$C$20,0)</f>
        <v>0</v>
      </c>
      <c r="M617" s="63">
        <f>(Y616+H617)*Lookup!A$26/12</f>
        <v>2826.382042</v>
      </c>
      <c r="N617" s="63">
        <f>if(B617&lt;55, (Z616+I617)*Lookup!B$26/12, (AB616+K617)*Lookup!B$26/12)</f>
        <v>5248.440195</v>
      </c>
      <c r="O617" s="63">
        <f>(AA616+J617)*Lookup!C$26/12</f>
        <v>940.3700287</v>
      </c>
      <c r="P617" s="63">
        <f t="shared" si="8"/>
        <v>14131.91021</v>
      </c>
      <c r="Q617" s="63">
        <f t="shared" si="4"/>
        <v>26242.20097</v>
      </c>
      <c r="R617" s="63">
        <f t="shared" si="5"/>
        <v>4701.850143</v>
      </c>
      <c r="S617" s="64">
        <f t="shared" si="9"/>
        <v>33.33333333</v>
      </c>
      <c r="T617" s="64">
        <f t="shared" si="10"/>
        <v>41.66666667</v>
      </c>
      <c r="U617" s="64">
        <f t="shared" si="11"/>
        <v>0</v>
      </c>
      <c r="V617" s="64">
        <f t="shared" ref="V617:X617" si="625">IF(year($A617)=year($A616), V616+S617, S617)</f>
        <v>166.6666667</v>
      </c>
      <c r="W617" s="64">
        <f t="shared" si="625"/>
        <v>208.3333333</v>
      </c>
      <c r="X617" s="64">
        <f t="shared" si="625"/>
        <v>0</v>
      </c>
      <c r="Y617" s="65">
        <f>IFS(
  B617&lt;55,
    MAX(
      Y616 + IF(MONTH(A617)=12, P617+V617, 0) + H617 - L617
      + MAX(0,
          IF(AA616 &gt;= VLOOKUP(YEAR(A617), Lookup!$Q:$R, 2),
            Z616 + IF(MONTH(A617)=12, Q617+W617, 0) + I617
              + AA616 + IF(MONTH(A617)=12, R617+X617, 0)
              - VLOOKUP(YEAR(A617), Lookup!$Q:$R, 2) + J617,
            Z616 + IF(MONTH(A617)=12, Q617+W617, 0) + I617
          ) - VLOOKUP(YEAR(A617), Lookup!$K:$M, 3)
        ),
    0),
  B617=55,
    IF(Z616&gt;=AD617,
      MAX(Y616 + IF(MONTH(A617)=12, P617+V617, 0) + H617 - L617, 0),
      MAX(MAX(0, Y616-(AD617-Z616)) + IF(MONTH(A617)=12, P617+V617, 0) + H617 - L617, 0)
    ),
  B617&gt;55,
    IF(AB616&gt;=$AH$7,
      MAX(Y616 + IF(MONTH(A617)=12, P617+V617, 0) + H617 - L617 + K617 + Z616, 0),
      MAX(Y616 + IF(MONTH(A617)=12, P617+V617, 0) + H617 - L617, 0)
    )
)</f>
        <v>1356663.38</v>
      </c>
      <c r="Z617" s="65">
        <f>IFS(
  B617&lt;55,
    MIN(
      IF(AA616 &gt;= VLOOKUP(YEAR(A617), Lookup!$Q:$R, 2),
        Z616 + IF(MONTH(A617)=12, Q617+W617, 0) + I617
          + AA616 + IF(MONTH(A617)=12, R617+X617, 0) - VLOOKUP(YEAR(A617), Lookup!$Q:$R, 2) + J617,
        Z616 + IF(MONTH(A617)=12, Q617+W617, 0) + I617
      ),
      VLOOKUP(YEAR(A617), Lookup!$K:$M, 3)
    ),
  B617=55,
    IF(Z616 &gt;= AD617, Z616 - AD617, 0),
  B617&gt;55, 0
)</f>
        <v>0</v>
      </c>
      <c r="AA617" s="65">
        <f>IFS(
  B617&lt;65,
    IF(AA616+J617 &lt; VLOOKUP(YEAR(A617), Lookup!$Q:$R, 2),
      AA616 + IF(MONTH(A617)=12, R616+X616, 0) + J617,
      MIN(
        AA616 + IF(MONTH(A617)=12, R616+X616, 0) + J617 ,
        VLOOKUP(YEAR(A617), Lookup!$Q:$R, 2)
      )
    ),
  B617&gt;=65,
    IF(AA616+J617 &lt; VLOOKUP(questions!$C$5, Lookup!$Q:$R, 2),
      AA616 + IF(MONTH(A617)=12, R616+X616, 0) + J617 ,
      MIN(
        AA616 + IF(MONTH(A617)=12, R616+X616, 0) + J617,
        VLOOKUP(questions!$C$5, Lookup!$Q:$R, 2)
      )
    )
)</f>
        <v>282111.0086</v>
      </c>
      <c r="AB617" s="65">
        <f t="shared" si="13"/>
        <v>1574532.058</v>
      </c>
      <c r="AC617" s="66">
        <f t="array" ref="AC617">IFS(B617&lt;66, XLOOKUP(year(A617),Lookup!$K$13:$K1000,Lookup!$L$13:$L1000,"missing",,1),B617&gt;65,XLOOKUP(questions!$C$5,Lookup!$K$13:$K1000,Lookup!$L$13:$L1000,"missing",,1))</f>
        <v>393675.3633</v>
      </c>
      <c r="AD617" s="66">
        <f t="array" ref="AD617">IFS(B617&lt;66, XLOOKUP(year(A617),Lookup!$K$13:$K1000,Lookup!$M$13:$M1000,"missing",,1),B617&gt;65, XLOOKUP(questions!$C$5,Lookup!$K$13:$K1000,Lookup!$M$13:$M1000,"missing",,1))</f>
        <v>787350.7266</v>
      </c>
      <c r="AE617" s="66">
        <f t="array" ref="AE617">IFS(B617&lt;66, XLOOKUP(year(A617),Lookup!$K$13:$K1000,Lookup!$N$13:$N1000,"missing",,1),B617&gt;65,XLOOKUP(questions!$C$5,Lookup!$K$13:$K1000,Lookup!$N$13:$N1000,"missing",,1))</f>
        <v>1574701.453</v>
      </c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  <c r="AQ617" s="37"/>
    </row>
    <row r="618">
      <c r="A618" s="55">
        <f t="shared" si="7"/>
        <v>64831</v>
      </c>
      <c r="B618" s="56">
        <f>round(YEARFRAC(EOMONTH(questions!$C$3, 0),A618,1),2)</f>
        <v>78.58</v>
      </c>
      <c r="C618" s="58">
        <f>IF(B618&lt;questions!$C$6,if(MONTH(A618)=1,C617*(1+questions!$C$12),C617),0)</f>
        <v>0</v>
      </c>
      <c r="D618" s="58">
        <f>IF(MONTH(A618)=12,C618*questions!$C$11,0)</f>
        <v>0</v>
      </c>
      <c r="E618" s="71">
        <f t="shared" si="2"/>
        <v>0</v>
      </c>
      <c r="F618" s="71">
        <f t="shared" si="3"/>
        <v>0</v>
      </c>
      <c r="G618" s="61">
        <f t="array" ref="G618">if(YEAR(A618)=2025,XLOOKUP(B618,Lookup!$A$3:$A$7,Lookup!$D$3:$D$7,,1)*SUM(E618:F618), XLOOKUP(B618,Lookup!$A$14:$A$18,Lookup!$D$14:$D$18,,1)*SUM(E618:F618))</f>
        <v>0</v>
      </c>
      <c r="H618" s="61">
        <f t="array" ref="H618">if(YEAR(A618)=2025,XLOOKUP(B618,Lookup!$F$3:$F$10,Lookup!$G$3:$G$10,,1)*G618, XLOOKUP(B618,Lookup!$F$14:$F$21,Lookup!$G$14:$G$21,,1)*G618)</f>
        <v>0</v>
      </c>
      <c r="I618" s="61">
        <f t="array" ref="I618">if(B618&lt;55, if(YEAR(A618)=2025,XLOOKUP(B618,Lookup!$F$3:$F$10,Lookup!$H$3:$H$10,,1)*G618, XLOOKUP(B618,Lookup!$F$14:$F$21,Lookup!$H$14:$H$21,,1)*G618),0)</f>
        <v>0</v>
      </c>
      <c r="J618" s="61">
        <f t="array" ref="J618">if(YEAR(A618)=2025,XLOOKUP(B618,Lookup!$F$3:$F$10,Lookup!$I$3:$I$10,,1)*G618, XLOOKUP(B618,Lookup!$F$14:$F$21,Lookup!$I$14:$I$21,,1)*G618)</f>
        <v>0</v>
      </c>
      <c r="K618" s="61">
        <f t="array" ref="K618">if(B618&gt;54, if(YEAR(A618)=2025,XLOOKUP(B618,Lookup!$F$3:$F$10,Lookup!$H$3:$H$10,,1)*G618, XLOOKUP(B618,Lookup!$F$14:$F$21,Lookup!$H$14:$H$21,,1)*G618),0)</f>
        <v>0</v>
      </c>
      <c r="L618" s="62">
        <f>IF(and(A618&lt;questions!$C$19,questions!$C$18="yes"),questions!$C$20,0)</f>
        <v>0</v>
      </c>
      <c r="M618" s="63">
        <f>(Y617+H618)*Lookup!A$26/12</f>
        <v>2826.382042</v>
      </c>
      <c r="N618" s="63">
        <f>if(B618&lt;55, (Z617+I618)*Lookup!B$26/12, (AB617+K618)*Lookup!B$26/12)</f>
        <v>5248.440195</v>
      </c>
      <c r="O618" s="63">
        <f>(AA617+J618)*Lookup!C$26/12</f>
        <v>940.3700287</v>
      </c>
      <c r="P618" s="63">
        <f t="shared" si="8"/>
        <v>16958.29225</v>
      </c>
      <c r="Q618" s="63">
        <f t="shared" si="4"/>
        <v>31490.64117</v>
      </c>
      <c r="R618" s="63">
        <f t="shared" si="5"/>
        <v>5642.220172</v>
      </c>
      <c r="S618" s="64">
        <f t="shared" si="9"/>
        <v>33.33333333</v>
      </c>
      <c r="T618" s="64">
        <f t="shared" si="10"/>
        <v>41.66666667</v>
      </c>
      <c r="U618" s="64">
        <f t="shared" si="11"/>
        <v>0</v>
      </c>
      <c r="V618" s="64">
        <f t="shared" ref="V618:X618" si="626">IF(year($A618)=year($A617), V617+S618, S618)</f>
        <v>200</v>
      </c>
      <c r="W618" s="64">
        <f t="shared" si="626"/>
        <v>250</v>
      </c>
      <c r="X618" s="64">
        <f t="shared" si="626"/>
        <v>0</v>
      </c>
      <c r="Y618" s="65">
        <f>IFS(
  B618&lt;55,
    MAX(
      Y617 + IF(MONTH(A618)=12, P618+V618, 0) + H618 - L618
      + MAX(0,
          IF(AA617 &gt;= VLOOKUP(YEAR(A618), Lookup!$Q:$R, 2),
            Z617 + IF(MONTH(A618)=12, Q618+W618, 0) + I618
              + AA617 + IF(MONTH(A618)=12, R618+X618, 0)
              - VLOOKUP(YEAR(A618), Lookup!$Q:$R, 2) + J618,
            Z617 + IF(MONTH(A618)=12, Q618+W618, 0) + I618
          ) - VLOOKUP(YEAR(A618), Lookup!$K:$M, 3)
        ),
    0),
  B618=55,
    IF(Z617&gt;=AD618,
      MAX(Y617 + IF(MONTH(A618)=12, P618+V618, 0) + H618 - L618, 0),
      MAX(MAX(0, Y617-(AD618-Z617)) + IF(MONTH(A618)=12, P618+V618, 0) + H618 - L618, 0)
    ),
  B618&gt;55,
    IF(AB617&gt;=$AH$7,
      MAX(Y617 + IF(MONTH(A618)=12, P618+V618, 0) + H618 - L618 + K618 + Z617, 0),
      MAX(Y617 + IF(MONTH(A618)=12, P618+V618, 0) + H618 - L618, 0)
    )
)</f>
        <v>1356663.38</v>
      </c>
      <c r="Z618" s="65">
        <f>IFS(
  B618&lt;55,
    MIN(
      IF(AA617 &gt;= VLOOKUP(YEAR(A618), Lookup!$Q:$R, 2),
        Z617 + IF(MONTH(A618)=12, Q618+W618, 0) + I618
          + AA617 + IF(MONTH(A618)=12, R618+X618, 0) - VLOOKUP(YEAR(A618), Lookup!$Q:$R, 2) + J618,
        Z617 + IF(MONTH(A618)=12, Q618+W618, 0) + I618
      ),
      VLOOKUP(YEAR(A618), Lookup!$K:$M, 3)
    ),
  B618=55,
    IF(Z617 &gt;= AD618, Z617 - AD618, 0),
  B618&gt;55, 0
)</f>
        <v>0</v>
      </c>
      <c r="AA618" s="65">
        <f>IFS(
  B618&lt;65,
    IF(AA617+J618 &lt; VLOOKUP(YEAR(A618), Lookup!$Q:$R, 2),
      AA617 + IF(MONTH(A618)=12, R617+X617, 0) + J618,
      MIN(
        AA617 + IF(MONTH(A618)=12, R617+X617, 0) + J618 ,
        VLOOKUP(YEAR(A618), Lookup!$Q:$R, 2)
      )
    ),
  B618&gt;=65,
    IF(AA617+J618 &lt; VLOOKUP(questions!$C$5, Lookup!$Q:$R, 2),
      AA617 + IF(MONTH(A618)=12, R617+X617, 0) + J618 ,
      MIN(
        AA617 + IF(MONTH(A618)=12, R617+X617, 0) + J618,
        VLOOKUP(questions!$C$5, Lookup!$Q:$R, 2)
      )
    )
)</f>
        <v>282111.0086</v>
      </c>
      <c r="AB618" s="65">
        <f t="shared" si="13"/>
        <v>1574532.058</v>
      </c>
      <c r="AC618" s="66">
        <f t="array" ref="AC618">IFS(B618&lt;66, XLOOKUP(year(A618),Lookup!$K$13:$K1000,Lookup!$L$13:$L1000,"missing",,1),B618&gt;65,XLOOKUP(questions!$C$5,Lookup!$K$13:$K1000,Lookup!$L$13:$L1000,"missing",,1))</f>
        <v>393675.3633</v>
      </c>
      <c r="AD618" s="66">
        <f t="array" ref="AD618">IFS(B618&lt;66, XLOOKUP(year(A618),Lookup!$K$13:$K1000,Lookup!$M$13:$M1000,"missing",,1),B618&gt;65, XLOOKUP(questions!$C$5,Lookup!$K$13:$K1000,Lookup!$M$13:$M1000,"missing",,1))</f>
        <v>787350.7266</v>
      </c>
      <c r="AE618" s="66">
        <f t="array" ref="AE618">IFS(B618&lt;66, XLOOKUP(year(A618),Lookup!$K$13:$K1000,Lookup!$N$13:$N1000,"missing",,1),B618&gt;65,XLOOKUP(questions!$C$5,Lookup!$K$13:$K1000,Lookup!$N$13:$N1000,"missing",,1))</f>
        <v>1574701.453</v>
      </c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  <c r="AQ618" s="37"/>
    </row>
    <row r="619">
      <c r="A619" s="55">
        <f t="shared" si="7"/>
        <v>64862</v>
      </c>
      <c r="B619" s="56">
        <f>round(YEARFRAC(EOMONTH(questions!$C$3, 0),A619,1),2)</f>
        <v>78.67</v>
      </c>
      <c r="C619" s="58">
        <f>IF(B619&lt;questions!$C$6,if(MONTH(A619)=1,C618*(1+questions!$C$12),C618),0)</f>
        <v>0</v>
      </c>
      <c r="D619" s="58">
        <f>IF(MONTH(A619)=12,C619*questions!$C$11,0)</f>
        <v>0</v>
      </c>
      <c r="E619" s="71">
        <f t="shared" si="2"/>
        <v>0</v>
      </c>
      <c r="F619" s="71">
        <f t="shared" si="3"/>
        <v>0</v>
      </c>
      <c r="G619" s="61">
        <f t="array" ref="G619">if(YEAR(A619)=2025,XLOOKUP(B619,Lookup!$A$3:$A$7,Lookup!$D$3:$D$7,,1)*SUM(E619:F619), XLOOKUP(B619,Lookup!$A$14:$A$18,Lookup!$D$14:$D$18,,1)*SUM(E619:F619))</f>
        <v>0</v>
      </c>
      <c r="H619" s="61">
        <f t="array" ref="H619">if(YEAR(A619)=2025,XLOOKUP(B619,Lookup!$F$3:$F$10,Lookup!$G$3:$G$10,,1)*G619, XLOOKUP(B619,Lookup!$F$14:$F$21,Lookup!$G$14:$G$21,,1)*G619)</f>
        <v>0</v>
      </c>
      <c r="I619" s="61">
        <f t="array" ref="I619">if(B619&lt;55, if(YEAR(A619)=2025,XLOOKUP(B619,Lookup!$F$3:$F$10,Lookup!$H$3:$H$10,,1)*G619, XLOOKUP(B619,Lookup!$F$14:$F$21,Lookup!$H$14:$H$21,,1)*G619),0)</f>
        <v>0</v>
      </c>
      <c r="J619" s="61">
        <f t="array" ref="J619">if(YEAR(A619)=2025,XLOOKUP(B619,Lookup!$F$3:$F$10,Lookup!$I$3:$I$10,,1)*G619, XLOOKUP(B619,Lookup!$F$14:$F$21,Lookup!$I$14:$I$21,,1)*G619)</f>
        <v>0</v>
      </c>
      <c r="K619" s="61">
        <f t="array" ref="K619">if(B619&gt;54, if(YEAR(A619)=2025,XLOOKUP(B619,Lookup!$F$3:$F$10,Lookup!$H$3:$H$10,,1)*G619, XLOOKUP(B619,Lookup!$F$14:$F$21,Lookup!$H$14:$H$21,,1)*G619),0)</f>
        <v>0</v>
      </c>
      <c r="L619" s="62">
        <f>IF(and(A619&lt;questions!$C$19,questions!$C$18="yes"),questions!$C$20,0)</f>
        <v>0</v>
      </c>
      <c r="M619" s="63">
        <f>(Y618+H619)*Lookup!A$26/12</f>
        <v>2826.382042</v>
      </c>
      <c r="N619" s="63">
        <f>if(B619&lt;55, (Z618+I619)*Lookup!B$26/12, (AB618+K619)*Lookup!B$26/12)</f>
        <v>5248.440195</v>
      </c>
      <c r="O619" s="63">
        <f>(AA618+J619)*Lookup!C$26/12</f>
        <v>940.3700287</v>
      </c>
      <c r="P619" s="63">
        <f t="shared" si="8"/>
        <v>19784.6743</v>
      </c>
      <c r="Q619" s="63">
        <f t="shared" si="4"/>
        <v>36739.08136</v>
      </c>
      <c r="R619" s="63">
        <f t="shared" si="5"/>
        <v>6582.590201</v>
      </c>
      <c r="S619" s="64">
        <f t="shared" si="9"/>
        <v>33.33333333</v>
      </c>
      <c r="T619" s="64">
        <f t="shared" si="10"/>
        <v>41.66666667</v>
      </c>
      <c r="U619" s="64">
        <f t="shared" si="11"/>
        <v>0</v>
      </c>
      <c r="V619" s="64">
        <f t="shared" ref="V619:X619" si="627">IF(year($A619)=year($A618), V618+S619, S619)</f>
        <v>233.3333333</v>
      </c>
      <c r="W619" s="64">
        <f t="shared" si="627"/>
        <v>291.6666667</v>
      </c>
      <c r="X619" s="64">
        <f t="shared" si="627"/>
        <v>0</v>
      </c>
      <c r="Y619" s="65">
        <f>IFS(
  B619&lt;55,
    MAX(
      Y618 + IF(MONTH(A619)=12, P619+V619, 0) + H619 - L619
      + MAX(0,
          IF(AA618 &gt;= VLOOKUP(YEAR(A619), Lookup!$Q:$R, 2),
            Z618 + IF(MONTH(A619)=12, Q619+W619, 0) + I619
              + AA618 + IF(MONTH(A619)=12, R619+X619, 0)
              - VLOOKUP(YEAR(A619), Lookup!$Q:$R, 2) + J619,
            Z618 + IF(MONTH(A619)=12, Q619+W619, 0) + I619
          ) - VLOOKUP(YEAR(A619), Lookup!$K:$M, 3)
        ),
    0),
  B619=55,
    IF(Z618&gt;=AD619,
      MAX(Y618 + IF(MONTH(A619)=12, P619+V619, 0) + H619 - L619, 0),
      MAX(MAX(0, Y618-(AD619-Z618)) + IF(MONTH(A619)=12, P619+V619, 0) + H619 - L619, 0)
    ),
  B619&gt;55,
    IF(AB618&gt;=$AH$7,
      MAX(Y618 + IF(MONTH(A619)=12, P619+V619, 0) + H619 - L619 + K619 + Z618, 0),
      MAX(Y618 + IF(MONTH(A619)=12, P619+V619, 0) + H619 - L619, 0)
    )
)</f>
        <v>1356663.38</v>
      </c>
      <c r="Z619" s="65">
        <f>IFS(
  B619&lt;55,
    MIN(
      IF(AA618 &gt;= VLOOKUP(YEAR(A619), Lookup!$Q:$R, 2),
        Z618 + IF(MONTH(A619)=12, Q619+W619, 0) + I619
          + AA618 + IF(MONTH(A619)=12, R619+X619, 0) - VLOOKUP(YEAR(A619), Lookup!$Q:$R, 2) + J619,
        Z618 + IF(MONTH(A619)=12, Q619+W619, 0) + I619
      ),
      VLOOKUP(YEAR(A619), Lookup!$K:$M, 3)
    ),
  B619=55,
    IF(Z618 &gt;= AD619, Z618 - AD619, 0),
  B619&gt;55, 0
)</f>
        <v>0</v>
      </c>
      <c r="AA619" s="65">
        <f>IFS(
  B619&lt;65,
    IF(AA618+J619 &lt; VLOOKUP(YEAR(A619), Lookup!$Q:$R, 2),
      AA618 + IF(MONTH(A619)=12, R618+X618, 0) + J619,
      MIN(
        AA618 + IF(MONTH(A619)=12, R618+X618, 0) + J619 ,
        VLOOKUP(YEAR(A619), Lookup!$Q:$R, 2)
      )
    ),
  B619&gt;=65,
    IF(AA618+J619 &lt; VLOOKUP(questions!$C$5, Lookup!$Q:$R, 2),
      AA618 + IF(MONTH(A619)=12, R618+X618, 0) + J619 ,
      MIN(
        AA618 + IF(MONTH(A619)=12, R618+X618, 0) + J619,
        VLOOKUP(questions!$C$5, Lookup!$Q:$R, 2)
      )
    )
)</f>
        <v>282111.0086</v>
      </c>
      <c r="AB619" s="65">
        <f t="shared" si="13"/>
        <v>1574532.058</v>
      </c>
      <c r="AC619" s="66">
        <f t="array" ref="AC619">IFS(B619&lt;66, XLOOKUP(year(A619),Lookup!$K$13:$K1000,Lookup!$L$13:$L1000,"missing",,1),B619&gt;65,XLOOKUP(questions!$C$5,Lookup!$K$13:$K1000,Lookup!$L$13:$L1000,"missing",,1))</f>
        <v>393675.3633</v>
      </c>
      <c r="AD619" s="66">
        <f t="array" ref="AD619">IFS(B619&lt;66, XLOOKUP(year(A619),Lookup!$K$13:$K1000,Lookup!$M$13:$M1000,"missing",,1),B619&gt;65, XLOOKUP(questions!$C$5,Lookup!$K$13:$K1000,Lookup!$M$13:$M1000,"missing",,1))</f>
        <v>787350.7266</v>
      </c>
      <c r="AE619" s="66">
        <f t="array" ref="AE619">IFS(B619&lt;66, XLOOKUP(year(A619),Lookup!$K$13:$K1000,Lookup!$N$13:$N1000,"missing",,1),B619&gt;65,XLOOKUP(questions!$C$5,Lookup!$K$13:$K1000,Lookup!$N$13:$N1000,"missing",,1))</f>
        <v>1574701.453</v>
      </c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  <c r="AQ619" s="37"/>
    </row>
    <row r="620">
      <c r="A620" s="55">
        <f t="shared" si="7"/>
        <v>64893</v>
      </c>
      <c r="B620" s="56">
        <f>round(YEARFRAC(EOMONTH(questions!$C$3, 0),A620,1),2)</f>
        <v>78.75</v>
      </c>
      <c r="C620" s="58">
        <f>IF(B620&lt;questions!$C$6,if(MONTH(A620)=1,C619*(1+questions!$C$12),C619),0)</f>
        <v>0</v>
      </c>
      <c r="D620" s="58">
        <f>IF(MONTH(A620)=12,C620*questions!$C$11,0)</f>
        <v>0</v>
      </c>
      <c r="E620" s="71">
        <f t="shared" si="2"/>
        <v>0</v>
      </c>
      <c r="F620" s="71">
        <f t="shared" si="3"/>
        <v>0</v>
      </c>
      <c r="G620" s="61">
        <f t="array" ref="G620">if(YEAR(A620)=2025,XLOOKUP(B620,Lookup!$A$3:$A$7,Lookup!$D$3:$D$7,,1)*SUM(E620:F620), XLOOKUP(B620,Lookup!$A$14:$A$18,Lookup!$D$14:$D$18,,1)*SUM(E620:F620))</f>
        <v>0</v>
      </c>
      <c r="H620" s="61">
        <f t="array" ref="H620">if(YEAR(A620)=2025,XLOOKUP(B620,Lookup!$F$3:$F$10,Lookup!$G$3:$G$10,,1)*G620, XLOOKUP(B620,Lookup!$F$14:$F$21,Lookup!$G$14:$G$21,,1)*G620)</f>
        <v>0</v>
      </c>
      <c r="I620" s="61">
        <f t="array" ref="I620">if(B620&lt;55, if(YEAR(A620)=2025,XLOOKUP(B620,Lookup!$F$3:$F$10,Lookup!$H$3:$H$10,,1)*G620, XLOOKUP(B620,Lookup!$F$14:$F$21,Lookup!$H$14:$H$21,,1)*G620),0)</f>
        <v>0</v>
      </c>
      <c r="J620" s="61">
        <f t="array" ref="J620">if(YEAR(A620)=2025,XLOOKUP(B620,Lookup!$F$3:$F$10,Lookup!$I$3:$I$10,,1)*G620, XLOOKUP(B620,Lookup!$F$14:$F$21,Lookup!$I$14:$I$21,,1)*G620)</f>
        <v>0</v>
      </c>
      <c r="K620" s="61">
        <f t="array" ref="K620">if(B620&gt;54, if(YEAR(A620)=2025,XLOOKUP(B620,Lookup!$F$3:$F$10,Lookup!$H$3:$H$10,,1)*G620, XLOOKUP(B620,Lookup!$F$14:$F$21,Lookup!$H$14:$H$21,,1)*G620),0)</f>
        <v>0</v>
      </c>
      <c r="L620" s="62">
        <f>IF(and(A620&lt;questions!$C$19,questions!$C$18="yes"),questions!$C$20,0)</f>
        <v>0</v>
      </c>
      <c r="M620" s="63">
        <f>(Y619+H620)*Lookup!A$26/12</f>
        <v>2826.382042</v>
      </c>
      <c r="N620" s="63">
        <f>if(B620&lt;55, (Z619+I620)*Lookup!B$26/12, (AB619+K620)*Lookup!B$26/12)</f>
        <v>5248.440195</v>
      </c>
      <c r="O620" s="63">
        <f>(AA619+J620)*Lookup!C$26/12</f>
        <v>940.3700287</v>
      </c>
      <c r="P620" s="63">
        <f t="shared" si="8"/>
        <v>22611.05634</v>
      </c>
      <c r="Q620" s="63">
        <f t="shared" si="4"/>
        <v>41987.52156</v>
      </c>
      <c r="R620" s="63">
        <f t="shared" si="5"/>
        <v>7522.960229</v>
      </c>
      <c r="S620" s="64">
        <f t="shared" si="9"/>
        <v>33.33333333</v>
      </c>
      <c r="T620" s="64">
        <f t="shared" si="10"/>
        <v>41.66666667</v>
      </c>
      <c r="U620" s="64">
        <f t="shared" si="11"/>
        <v>0</v>
      </c>
      <c r="V620" s="64">
        <f t="shared" ref="V620:X620" si="628">IF(year($A620)=year($A619), V619+S620, S620)</f>
        <v>266.6666667</v>
      </c>
      <c r="W620" s="64">
        <f t="shared" si="628"/>
        <v>333.3333333</v>
      </c>
      <c r="X620" s="64">
        <f t="shared" si="628"/>
        <v>0</v>
      </c>
      <c r="Y620" s="65">
        <f>IFS(
  B620&lt;55,
    MAX(
      Y619 + IF(MONTH(A620)=12, P620+V620, 0) + H620 - L620
      + MAX(0,
          IF(AA619 &gt;= VLOOKUP(YEAR(A620), Lookup!$Q:$R, 2),
            Z619 + IF(MONTH(A620)=12, Q620+W620, 0) + I620
              + AA619 + IF(MONTH(A620)=12, R620+X620, 0)
              - VLOOKUP(YEAR(A620), Lookup!$Q:$R, 2) + J620,
            Z619 + IF(MONTH(A620)=12, Q620+W620, 0) + I620
          ) - VLOOKUP(YEAR(A620), Lookup!$K:$M, 3)
        ),
    0),
  B620=55,
    IF(Z619&gt;=AD620,
      MAX(Y619 + IF(MONTH(A620)=12, P620+V620, 0) + H620 - L620, 0),
      MAX(MAX(0, Y619-(AD620-Z619)) + IF(MONTH(A620)=12, P620+V620, 0) + H620 - L620, 0)
    ),
  B620&gt;55,
    IF(AB619&gt;=$AH$7,
      MAX(Y619 + IF(MONTH(A620)=12, P620+V620, 0) + H620 - L620 + K620 + Z619, 0),
      MAX(Y619 + IF(MONTH(A620)=12, P620+V620, 0) + H620 - L620, 0)
    )
)</f>
        <v>1356663.38</v>
      </c>
      <c r="Z620" s="65">
        <f>IFS(
  B620&lt;55,
    MIN(
      IF(AA619 &gt;= VLOOKUP(YEAR(A620), Lookup!$Q:$R, 2),
        Z619 + IF(MONTH(A620)=12, Q620+W620, 0) + I620
          + AA619 + IF(MONTH(A620)=12, R620+X620, 0) - VLOOKUP(YEAR(A620), Lookup!$Q:$R, 2) + J620,
        Z619 + IF(MONTH(A620)=12, Q620+W620, 0) + I620
      ),
      VLOOKUP(YEAR(A620), Lookup!$K:$M, 3)
    ),
  B620=55,
    IF(Z619 &gt;= AD620, Z619 - AD620, 0),
  B620&gt;55, 0
)</f>
        <v>0</v>
      </c>
      <c r="AA620" s="65">
        <f>IFS(
  B620&lt;65,
    IF(AA619+J620 &lt; VLOOKUP(YEAR(A620), Lookup!$Q:$R, 2),
      AA619 + IF(MONTH(A620)=12, R619+X619, 0) + J620,
      MIN(
        AA619 + IF(MONTH(A620)=12, R619+X619, 0) + J620 ,
        VLOOKUP(YEAR(A620), Lookup!$Q:$R, 2)
      )
    ),
  B620&gt;=65,
    IF(AA619+J620 &lt; VLOOKUP(questions!$C$5, Lookup!$Q:$R, 2),
      AA619 + IF(MONTH(A620)=12, R619+X619, 0) + J620 ,
      MIN(
        AA619 + IF(MONTH(A620)=12, R619+X619, 0) + J620,
        VLOOKUP(questions!$C$5, Lookup!$Q:$R, 2)
      )
    )
)</f>
        <v>282111.0086</v>
      </c>
      <c r="AB620" s="65">
        <f t="shared" si="13"/>
        <v>1574532.058</v>
      </c>
      <c r="AC620" s="66">
        <f t="array" ref="AC620">IFS(B620&lt;66, XLOOKUP(year(A620),Lookup!$K$13:$K1000,Lookup!$L$13:$L1000,"missing",,1),B620&gt;65,XLOOKUP(questions!$C$5,Lookup!$K$13:$K1000,Lookup!$L$13:$L1000,"missing",,1))</f>
        <v>393675.3633</v>
      </c>
      <c r="AD620" s="66">
        <f t="array" ref="AD620">IFS(B620&lt;66, XLOOKUP(year(A620),Lookup!$K$13:$K1000,Lookup!$M$13:$M1000,"missing",,1),B620&gt;65, XLOOKUP(questions!$C$5,Lookup!$K$13:$K1000,Lookup!$M$13:$M1000,"missing",,1))</f>
        <v>787350.7266</v>
      </c>
      <c r="AE620" s="66">
        <f t="array" ref="AE620">IFS(B620&lt;66, XLOOKUP(year(A620),Lookup!$K$13:$K1000,Lookup!$N$13:$N1000,"missing",,1),B620&gt;65,XLOOKUP(questions!$C$5,Lookup!$K$13:$K1000,Lookup!$N$13:$N1000,"missing",,1))</f>
        <v>1574701.453</v>
      </c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  <c r="AQ620" s="37"/>
    </row>
    <row r="621">
      <c r="A621" s="55">
        <f t="shared" si="7"/>
        <v>64923</v>
      </c>
      <c r="B621" s="56">
        <f>round(YEARFRAC(EOMONTH(questions!$C$3, 0),A621,1),2)</f>
        <v>78.83</v>
      </c>
      <c r="C621" s="58">
        <f>IF(B621&lt;questions!$C$6,if(MONTH(A621)=1,C620*(1+questions!$C$12),C620),0)</f>
        <v>0</v>
      </c>
      <c r="D621" s="58">
        <f>IF(MONTH(A621)=12,C621*questions!$C$11,0)</f>
        <v>0</v>
      </c>
      <c r="E621" s="71">
        <f t="shared" si="2"/>
        <v>0</v>
      </c>
      <c r="F621" s="71">
        <f t="shared" si="3"/>
        <v>0</v>
      </c>
      <c r="G621" s="61">
        <f t="array" ref="G621">if(YEAR(A621)=2025,XLOOKUP(B621,Lookup!$A$3:$A$7,Lookup!$D$3:$D$7,,1)*SUM(E621:F621), XLOOKUP(B621,Lookup!$A$14:$A$18,Lookup!$D$14:$D$18,,1)*SUM(E621:F621))</f>
        <v>0</v>
      </c>
      <c r="H621" s="61">
        <f t="array" ref="H621">if(YEAR(A621)=2025,XLOOKUP(B621,Lookup!$F$3:$F$10,Lookup!$G$3:$G$10,,1)*G621, XLOOKUP(B621,Lookup!$F$14:$F$21,Lookup!$G$14:$G$21,,1)*G621)</f>
        <v>0</v>
      </c>
      <c r="I621" s="61">
        <f t="array" ref="I621">if(B621&lt;55, if(YEAR(A621)=2025,XLOOKUP(B621,Lookup!$F$3:$F$10,Lookup!$H$3:$H$10,,1)*G621, XLOOKUP(B621,Lookup!$F$14:$F$21,Lookup!$H$14:$H$21,,1)*G621),0)</f>
        <v>0</v>
      </c>
      <c r="J621" s="61">
        <f t="array" ref="J621">if(YEAR(A621)=2025,XLOOKUP(B621,Lookup!$F$3:$F$10,Lookup!$I$3:$I$10,,1)*G621, XLOOKUP(B621,Lookup!$F$14:$F$21,Lookup!$I$14:$I$21,,1)*G621)</f>
        <v>0</v>
      </c>
      <c r="K621" s="61">
        <f t="array" ref="K621">if(B621&gt;54, if(YEAR(A621)=2025,XLOOKUP(B621,Lookup!$F$3:$F$10,Lookup!$H$3:$H$10,,1)*G621, XLOOKUP(B621,Lookup!$F$14:$F$21,Lookup!$H$14:$H$21,,1)*G621),0)</f>
        <v>0</v>
      </c>
      <c r="L621" s="62">
        <f>IF(and(A621&lt;questions!$C$19,questions!$C$18="yes"),questions!$C$20,0)</f>
        <v>0</v>
      </c>
      <c r="M621" s="63">
        <f>(Y620+H621)*Lookup!A$26/12</f>
        <v>2826.382042</v>
      </c>
      <c r="N621" s="63">
        <f>if(B621&lt;55, (Z620+I621)*Lookup!B$26/12, (AB620+K621)*Lookup!B$26/12)</f>
        <v>5248.440195</v>
      </c>
      <c r="O621" s="63">
        <f>(AA620+J621)*Lookup!C$26/12</f>
        <v>940.3700287</v>
      </c>
      <c r="P621" s="63">
        <f t="shared" si="8"/>
        <v>25437.43838</v>
      </c>
      <c r="Q621" s="63">
        <f t="shared" si="4"/>
        <v>47235.96175</v>
      </c>
      <c r="R621" s="63">
        <f t="shared" si="5"/>
        <v>8463.330258</v>
      </c>
      <c r="S621" s="64">
        <f t="shared" si="9"/>
        <v>33.33333333</v>
      </c>
      <c r="T621" s="64">
        <f t="shared" si="10"/>
        <v>41.66666667</v>
      </c>
      <c r="U621" s="64">
        <f t="shared" si="11"/>
        <v>0</v>
      </c>
      <c r="V621" s="64">
        <f t="shared" ref="V621:X621" si="629">IF(year($A621)=year($A620), V620+S621, S621)</f>
        <v>300</v>
      </c>
      <c r="W621" s="64">
        <f t="shared" si="629"/>
        <v>375</v>
      </c>
      <c r="X621" s="64">
        <f t="shared" si="629"/>
        <v>0</v>
      </c>
      <c r="Y621" s="65">
        <f>IFS(
  B621&lt;55,
    MAX(
      Y620 + IF(MONTH(A621)=12, P621+V621, 0) + H621 - L621
      + MAX(0,
          IF(AA620 &gt;= VLOOKUP(YEAR(A621), Lookup!$Q:$R, 2),
            Z620 + IF(MONTH(A621)=12, Q621+W621, 0) + I621
              + AA620 + IF(MONTH(A621)=12, R621+X621, 0)
              - VLOOKUP(YEAR(A621), Lookup!$Q:$R, 2) + J621,
            Z620 + IF(MONTH(A621)=12, Q621+W621, 0) + I621
          ) - VLOOKUP(YEAR(A621), Lookup!$K:$M, 3)
        ),
    0),
  B621=55,
    IF(Z620&gt;=AD621,
      MAX(Y620 + IF(MONTH(A621)=12, P621+V621, 0) + H621 - L621, 0),
      MAX(MAX(0, Y620-(AD621-Z620)) + IF(MONTH(A621)=12, P621+V621, 0) + H621 - L621, 0)
    ),
  B621&gt;55,
    IF(AB620&gt;=$AH$7,
      MAX(Y620 + IF(MONTH(A621)=12, P621+V621, 0) + H621 - L621 + K621 + Z620, 0),
      MAX(Y620 + IF(MONTH(A621)=12, P621+V621, 0) + H621 - L621, 0)
    )
)</f>
        <v>1356663.38</v>
      </c>
      <c r="Z621" s="65">
        <f>IFS(
  B621&lt;55,
    MIN(
      IF(AA620 &gt;= VLOOKUP(YEAR(A621), Lookup!$Q:$R, 2),
        Z620 + IF(MONTH(A621)=12, Q621+W621, 0) + I621
          + AA620 + IF(MONTH(A621)=12, R621+X621, 0) - VLOOKUP(YEAR(A621), Lookup!$Q:$R, 2) + J621,
        Z620 + IF(MONTH(A621)=12, Q621+W621, 0) + I621
      ),
      VLOOKUP(YEAR(A621), Lookup!$K:$M, 3)
    ),
  B621=55,
    IF(Z620 &gt;= AD621, Z620 - AD621, 0),
  B621&gt;55, 0
)</f>
        <v>0</v>
      </c>
      <c r="AA621" s="65">
        <f>IFS(
  B621&lt;65,
    IF(AA620+J621 &lt; VLOOKUP(YEAR(A621), Lookup!$Q:$R, 2),
      AA620 + IF(MONTH(A621)=12, R620+X620, 0) + J621,
      MIN(
        AA620 + IF(MONTH(A621)=12, R620+X620, 0) + J621 ,
        VLOOKUP(YEAR(A621), Lookup!$Q:$R, 2)
      )
    ),
  B621&gt;=65,
    IF(AA620+J621 &lt; VLOOKUP(questions!$C$5, Lookup!$Q:$R, 2),
      AA620 + IF(MONTH(A621)=12, R620+X620, 0) + J621 ,
      MIN(
        AA620 + IF(MONTH(A621)=12, R620+X620, 0) + J621,
        VLOOKUP(questions!$C$5, Lookup!$Q:$R, 2)
      )
    )
)</f>
        <v>282111.0086</v>
      </c>
      <c r="AB621" s="65">
        <f t="shared" si="13"/>
        <v>1574532.058</v>
      </c>
      <c r="AC621" s="66">
        <f t="array" ref="AC621">IFS(B621&lt;66, XLOOKUP(year(A621),Lookup!$K$13:$K1000,Lookup!$L$13:$L1000,"missing",,1),B621&gt;65,XLOOKUP(questions!$C$5,Lookup!$K$13:$K1000,Lookup!$L$13:$L1000,"missing",,1))</f>
        <v>393675.3633</v>
      </c>
      <c r="AD621" s="66">
        <f t="array" ref="AD621">IFS(B621&lt;66, XLOOKUP(year(A621),Lookup!$K$13:$K1000,Lookup!$M$13:$M1000,"missing",,1),B621&gt;65, XLOOKUP(questions!$C$5,Lookup!$K$13:$K1000,Lookup!$M$13:$M1000,"missing",,1))</f>
        <v>787350.7266</v>
      </c>
      <c r="AE621" s="66">
        <f t="array" ref="AE621">IFS(B621&lt;66, XLOOKUP(year(A621),Lookup!$K$13:$K1000,Lookup!$N$13:$N1000,"missing",,1),B621&gt;65,XLOOKUP(questions!$C$5,Lookup!$K$13:$K1000,Lookup!$N$13:$N1000,"missing",,1))</f>
        <v>1574701.453</v>
      </c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  <c r="AQ621" s="37"/>
    </row>
    <row r="622">
      <c r="A622" s="55">
        <f t="shared" si="7"/>
        <v>64954</v>
      </c>
      <c r="B622" s="56">
        <f>round(YEARFRAC(EOMONTH(questions!$C$3, 0),A622,1),2)</f>
        <v>78.92</v>
      </c>
      <c r="C622" s="58">
        <f>IF(B622&lt;questions!$C$6,if(MONTH(A622)=1,C621*(1+questions!$C$12),C621),0)</f>
        <v>0</v>
      </c>
      <c r="D622" s="58">
        <f>IF(MONTH(A622)=12,C622*questions!$C$11,0)</f>
        <v>0</v>
      </c>
      <c r="E622" s="71">
        <f t="shared" si="2"/>
        <v>0</v>
      </c>
      <c r="F622" s="71">
        <f t="shared" si="3"/>
        <v>0</v>
      </c>
      <c r="G622" s="61">
        <f t="array" ref="G622">if(YEAR(A622)=2025,XLOOKUP(B622,Lookup!$A$3:$A$7,Lookup!$D$3:$D$7,,1)*SUM(E622:F622), XLOOKUP(B622,Lookup!$A$14:$A$18,Lookup!$D$14:$D$18,,1)*SUM(E622:F622))</f>
        <v>0</v>
      </c>
      <c r="H622" s="61">
        <f t="array" ref="H622">if(YEAR(A622)=2025,XLOOKUP(B622,Lookup!$F$3:$F$10,Lookup!$G$3:$G$10,,1)*G622, XLOOKUP(B622,Lookup!$F$14:$F$21,Lookup!$G$14:$G$21,,1)*G622)</f>
        <v>0</v>
      </c>
      <c r="I622" s="61">
        <f t="array" ref="I622">if(B622&lt;55, if(YEAR(A622)=2025,XLOOKUP(B622,Lookup!$F$3:$F$10,Lookup!$H$3:$H$10,,1)*G622, XLOOKUP(B622,Lookup!$F$14:$F$21,Lookup!$H$14:$H$21,,1)*G622),0)</f>
        <v>0</v>
      </c>
      <c r="J622" s="61">
        <f t="array" ref="J622">if(YEAR(A622)=2025,XLOOKUP(B622,Lookup!$F$3:$F$10,Lookup!$I$3:$I$10,,1)*G622, XLOOKUP(B622,Lookup!$F$14:$F$21,Lookup!$I$14:$I$21,,1)*G622)</f>
        <v>0</v>
      </c>
      <c r="K622" s="61">
        <f t="array" ref="K622">if(B622&gt;54, if(YEAR(A622)=2025,XLOOKUP(B622,Lookup!$F$3:$F$10,Lookup!$H$3:$H$10,,1)*G622, XLOOKUP(B622,Lookup!$F$14:$F$21,Lookup!$H$14:$H$21,,1)*G622),0)</f>
        <v>0</v>
      </c>
      <c r="L622" s="62">
        <f>IF(and(A622&lt;questions!$C$19,questions!$C$18="yes"),questions!$C$20,0)</f>
        <v>0</v>
      </c>
      <c r="M622" s="63">
        <f>(Y621+H622)*Lookup!A$26/12</f>
        <v>2826.382042</v>
      </c>
      <c r="N622" s="63">
        <f>if(B622&lt;55, (Z621+I622)*Lookup!B$26/12, (AB621+K622)*Lookup!B$26/12)</f>
        <v>5248.440195</v>
      </c>
      <c r="O622" s="63">
        <f>(AA621+J622)*Lookup!C$26/12</f>
        <v>940.3700287</v>
      </c>
      <c r="P622" s="63">
        <f t="shared" si="8"/>
        <v>28263.82042</v>
      </c>
      <c r="Q622" s="63">
        <f t="shared" si="4"/>
        <v>52484.40195</v>
      </c>
      <c r="R622" s="63">
        <f t="shared" si="5"/>
        <v>9403.700287</v>
      </c>
      <c r="S622" s="64">
        <f t="shared" si="9"/>
        <v>33.33333333</v>
      </c>
      <c r="T622" s="64">
        <f t="shared" si="10"/>
        <v>41.66666667</v>
      </c>
      <c r="U622" s="64">
        <f t="shared" si="11"/>
        <v>0</v>
      </c>
      <c r="V622" s="64">
        <f t="shared" ref="V622:X622" si="630">IF(year($A622)=year($A621), V621+S622, S622)</f>
        <v>333.3333333</v>
      </c>
      <c r="W622" s="64">
        <f t="shared" si="630"/>
        <v>416.6666667</v>
      </c>
      <c r="X622" s="64">
        <f t="shared" si="630"/>
        <v>0</v>
      </c>
      <c r="Y622" s="65">
        <f>IFS(
  B622&lt;55,
    MAX(
      Y621 + IF(MONTH(A622)=12, P622+V622, 0) + H622 - L622
      + MAX(0,
          IF(AA621 &gt;= VLOOKUP(YEAR(A622), Lookup!$Q:$R, 2),
            Z621 + IF(MONTH(A622)=12, Q622+W622, 0) + I622
              + AA621 + IF(MONTH(A622)=12, R622+X622, 0)
              - VLOOKUP(YEAR(A622), Lookup!$Q:$R, 2) + J622,
            Z621 + IF(MONTH(A622)=12, Q622+W622, 0) + I622
          ) - VLOOKUP(YEAR(A622), Lookup!$K:$M, 3)
        ),
    0),
  B622=55,
    IF(Z621&gt;=AD622,
      MAX(Y621 + IF(MONTH(A622)=12, P622+V622, 0) + H622 - L622, 0),
      MAX(MAX(0, Y621-(AD622-Z621)) + IF(MONTH(A622)=12, P622+V622, 0) + H622 - L622, 0)
    ),
  B622&gt;55,
    IF(AB621&gt;=$AH$7,
      MAX(Y621 + IF(MONTH(A622)=12, P622+V622, 0) + H622 - L622 + K622 + Z621, 0),
      MAX(Y621 + IF(MONTH(A622)=12, P622+V622, 0) + H622 - L622, 0)
    )
)</f>
        <v>1356663.38</v>
      </c>
      <c r="Z622" s="65">
        <f>IFS(
  B622&lt;55,
    MIN(
      IF(AA621 &gt;= VLOOKUP(YEAR(A622), Lookup!$Q:$R, 2),
        Z621 + IF(MONTH(A622)=12, Q622+W622, 0) + I622
          + AA621 + IF(MONTH(A622)=12, R622+X622, 0) - VLOOKUP(YEAR(A622), Lookup!$Q:$R, 2) + J622,
        Z621 + IF(MONTH(A622)=12, Q622+W622, 0) + I622
      ),
      VLOOKUP(YEAR(A622), Lookup!$K:$M, 3)
    ),
  B622=55,
    IF(Z621 &gt;= AD622, Z621 - AD622, 0),
  B622&gt;55, 0
)</f>
        <v>0</v>
      </c>
      <c r="AA622" s="65">
        <f>IFS(
  B622&lt;65,
    IF(AA621+J622 &lt; VLOOKUP(YEAR(A622), Lookup!$Q:$R, 2),
      AA621 + IF(MONTH(A622)=12, R621+X621, 0) + J622,
      MIN(
        AA621 + IF(MONTH(A622)=12, R621+X621, 0) + J622 ,
        VLOOKUP(YEAR(A622), Lookup!$Q:$R, 2)
      )
    ),
  B622&gt;=65,
    IF(AA621+J622 &lt; VLOOKUP(questions!$C$5, Lookup!$Q:$R, 2),
      AA621 + IF(MONTH(A622)=12, R621+X621, 0) + J622 ,
      MIN(
        AA621 + IF(MONTH(A622)=12, R621+X621, 0) + J622,
        VLOOKUP(questions!$C$5, Lookup!$Q:$R, 2)
      )
    )
)</f>
        <v>282111.0086</v>
      </c>
      <c r="AB622" s="65">
        <f t="shared" si="13"/>
        <v>1574532.058</v>
      </c>
      <c r="AC622" s="66">
        <f t="array" ref="AC622">IFS(B622&lt;66, XLOOKUP(year(A622),Lookup!$K$13:$K1000,Lookup!$L$13:$L1000,"missing",,1),B622&gt;65,XLOOKUP(questions!$C$5,Lookup!$K$13:$K1000,Lookup!$L$13:$L1000,"missing",,1))</f>
        <v>393675.3633</v>
      </c>
      <c r="AD622" s="66">
        <f t="array" ref="AD622">IFS(B622&lt;66, XLOOKUP(year(A622),Lookup!$K$13:$K1000,Lookup!$M$13:$M1000,"missing",,1),B622&gt;65, XLOOKUP(questions!$C$5,Lookup!$K$13:$K1000,Lookup!$M$13:$M1000,"missing",,1))</f>
        <v>787350.7266</v>
      </c>
      <c r="AE622" s="66">
        <f t="array" ref="AE622">IFS(B622&lt;66, XLOOKUP(year(A622),Lookup!$K$13:$K1000,Lookup!$N$13:$N1000,"missing",,1),B622&gt;65,XLOOKUP(questions!$C$5,Lookup!$K$13:$K1000,Lookup!$N$13:$N1000,"missing",,1))</f>
        <v>1574701.453</v>
      </c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  <c r="AQ622" s="37"/>
    </row>
    <row r="623">
      <c r="A623" s="55">
        <f t="shared" si="7"/>
        <v>64984</v>
      </c>
      <c r="B623" s="56">
        <f>round(YEARFRAC(EOMONTH(questions!$C$3, 0),A623,1),2)</f>
        <v>79</v>
      </c>
      <c r="C623" s="58">
        <f>IF(B623&lt;questions!$C$6,if(MONTH(A623)=1,C622*(1+questions!$C$12),C622),0)</f>
        <v>0</v>
      </c>
      <c r="D623" s="58">
        <f>IF(MONTH(A623)=12,C623*questions!$C$11,0)</f>
        <v>0</v>
      </c>
      <c r="E623" s="71">
        <f t="shared" si="2"/>
        <v>0</v>
      </c>
      <c r="F623" s="71">
        <f t="shared" si="3"/>
        <v>0</v>
      </c>
      <c r="G623" s="61">
        <f t="array" ref="G623">if(YEAR(A623)=2025,XLOOKUP(B623,Lookup!$A$3:$A$7,Lookup!$D$3:$D$7,,1)*SUM(E623:F623), XLOOKUP(B623,Lookup!$A$14:$A$18,Lookup!$D$14:$D$18,,1)*SUM(E623:F623))</f>
        <v>0</v>
      </c>
      <c r="H623" s="61">
        <f t="array" ref="H623">if(YEAR(A623)=2025,XLOOKUP(B623,Lookup!$F$3:$F$10,Lookup!$G$3:$G$10,,1)*G623, XLOOKUP(B623,Lookup!$F$14:$F$21,Lookup!$G$14:$G$21,,1)*G623)</f>
        <v>0</v>
      </c>
      <c r="I623" s="61">
        <f t="array" ref="I623">if(B623&lt;55, if(YEAR(A623)=2025,XLOOKUP(B623,Lookup!$F$3:$F$10,Lookup!$H$3:$H$10,,1)*G623, XLOOKUP(B623,Lookup!$F$14:$F$21,Lookup!$H$14:$H$21,,1)*G623),0)</f>
        <v>0</v>
      </c>
      <c r="J623" s="61">
        <f t="array" ref="J623">if(YEAR(A623)=2025,XLOOKUP(B623,Lookup!$F$3:$F$10,Lookup!$I$3:$I$10,,1)*G623, XLOOKUP(B623,Lookup!$F$14:$F$21,Lookup!$I$14:$I$21,,1)*G623)</f>
        <v>0</v>
      </c>
      <c r="K623" s="61">
        <f t="array" ref="K623">if(B623&gt;54, if(YEAR(A623)=2025,XLOOKUP(B623,Lookup!$F$3:$F$10,Lookup!$H$3:$H$10,,1)*G623, XLOOKUP(B623,Lookup!$F$14:$F$21,Lookup!$H$14:$H$21,,1)*G623),0)</f>
        <v>0</v>
      </c>
      <c r="L623" s="62">
        <f>IF(and(A623&lt;questions!$C$19,questions!$C$18="yes"),questions!$C$20,0)</f>
        <v>0</v>
      </c>
      <c r="M623" s="63">
        <f>(Y622+H623)*Lookup!A$26/12</f>
        <v>2826.382042</v>
      </c>
      <c r="N623" s="63">
        <f>if(B623&lt;55, (Z622+I623)*Lookup!B$26/12, (AB622+K623)*Lookup!B$26/12)</f>
        <v>5248.440195</v>
      </c>
      <c r="O623" s="63">
        <f>(AA622+J623)*Lookup!C$26/12</f>
        <v>940.3700287</v>
      </c>
      <c r="P623" s="63">
        <f t="shared" si="8"/>
        <v>31090.20246</v>
      </c>
      <c r="Q623" s="63">
        <f t="shared" si="4"/>
        <v>57732.84214</v>
      </c>
      <c r="R623" s="63">
        <f t="shared" si="5"/>
        <v>10344.07032</v>
      </c>
      <c r="S623" s="64">
        <f t="shared" si="9"/>
        <v>33.33333333</v>
      </c>
      <c r="T623" s="64">
        <f t="shared" si="10"/>
        <v>41.66666667</v>
      </c>
      <c r="U623" s="64">
        <f t="shared" si="11"/>
        <v>0</v>
      </c>
      <c r="V623" s="64">
        <f t="shared" ref="V623:X623" si="631">IF(year($A623)=year($A622), V622+S623, S623)</f>
        <v>366.6666667</v>
      </c>
      <c r="W623" s="64">
        <f t="shared" si="631"/>
        <v>458.3333333</v>
      </c>
      <c r="X623" s="64">
        <f t="shared" si="631"/>
        <v>0</v>
      </c>
      <c r="Y623" s="65">
        <f>IFS(
  B623&lt;55,
    MAX(
      Y622 + IF(MONTH(A623)=12, P623+V623, 0) + H623 - L623
      + MAX(0,
          IF(AA622 &gt;= VLOOKUP(YEAR(A623), Lookup!$Q:$R, 2),
            Z622 + IF(MONTH(A623)=12, Q623+W623, 0) + I623
              + AA622 + IF(MONTH(A623)=12, R623+X623, 0)
              - VLOOKUP(YEAR(A623), Lookup!$Q:$R, 2) + J623,
            Z622 + IF(MONTH(A623)=12, Q623+W623, 0) + I623
          ) - VLOOKUP(YEAR(A623), Lookup!$K:$M, 3)
        ),
    0),
  B623=55,
    IF(Z622&gt;=AD623,
      MAX(Y622 + IF(MONTH(A623)=12, P623+V623, 0) + H623 - L623, 0),
      MAX(MAX(0, Y622-(AD623-Z622)) + IF(MONTH(A623)=12, P623+V623, 0) + H623 - L623, 0)
    ),
  B623&gt;55,
    IF(AB622&gt;=$AH$7,
      MAX(Y622 + IF(MONTH(A623)=12, P623+V623, 0) + H623 - L623 + K623 + Z622, 0),
      MAX(Y622 + IF(MONTH(A623)=12, P623+V623, 0) + H623 - L623, 0)
    )
)</f>
        <v>1356663.38</v>
      </c>
      <c r="Z623" s="65">
        <f>IFS(
  B623&lt;55,
    MIN(
      IF(AA622 &gt;= VLOOKUP(YEAR(A623), Lookup!$Q:$R, 2),
        Z622 + IF(MONTH(A623)=12, Q623+W623, 0) + I623
          + AA622 + IF(MONTH(A623)=12, R623+X623, 0) - VLOOKUP(YEAR(A623), Lookup!$Q:$R, 2) + J623,
        Z622 + IF(MONTH(A623)=12, Q623+W623, 0) + I623
      ),
      VLOOKUP(YEAR(A623), Lookup!$K:$M, 3)
    ),
  B623=55,
    IF(Z622 &gt;= AD623, Z622 - AD623, 0),
  B623&gt;55, 0
)</f>
        <v>0</v>
      </c>
      <c r="AA623" s="65">
        <f>IFS(
  B623&lt;65,
    IF(AA622+J623 &lt; VLOOKUP(YEAR(A623), Lookup!$Q:$R, 2),
      AA622 + IF(MONTH(A623)=12, R622+X622, 0) + J623,
      MIN(
        AA622 + IF(MONTH(A623)=12, R622+X622, 0) + J623 ,
        VLOOKUP(YEAR(A623), Lookup!$Q:$R, 2)
      )
    ),
  B623&gt;=65,
    IF(AA622+J623 &lt; VLOOKUP(questions!$C$5, Lookup!$Q:$R, 2),
      AA622 + IF(MONTH(A623)=12, R622+X622, 0) + J623 ,
      MIN(
        AA622 + IF(MONTH(A623)=12, R622+X622, 0) + J623,
        VLOOKUP(questions!$C$5, Lookup!$Q:$R, 2)
      )
    )
)</f>
        <v>282111.0086</v>
      </c>
      <c r="AB623" s="65">
        <f t="shared" si="13"/>
        <v>1574532.058</v>
      </c>
      <c r="AC623" s="66">
        <f t="array" ref="AC623">IFS(B623&lt;66, XLOOKUP(year(A623),Lookup!$K$13:$K1000,Lookup!$L$13:$L1000,"missing",,1),B623&gt;65,XLOOKUP(questions!$C$5,Lookup!$K$13:$K1000,Lookup!$L$13:$L1000,"missing",,1))</f>
        <v>393675.3633</v>
      </c>
      <c r="AD623" s="66">
        <f t="array" ref="AD623">IFS(B623&lt;66, XLOOKUP(year(A623),Lookup!$K$13:$K1000,Lookup!$M$13:$M1000,"missing",,1),B623&gt;65, XLOOKUP(questions!$C$5,Lookup!$K$13:$K1000,Lookup!$M$13:$M1000,"missing",,1))</f>
        <v>787350.7266</v>
      </c>
      <c r="AE623" s="66">
        <f t="array" ref="AE623">IFS(B623&lt;66, XLOOKUP(year(A623),Lookup!$K$13:$K1000,Lookup!$N$13:$N1000,"missing",,1),B623&gt;65,XLOOKUP(questions!$C$5,Lookup!$K$13:$K1000,Lookup!$N$13:$N1000,"missing",,1))</f>
        <v>1574701.453</v>
      </c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  <c r="AQ623" s="37"/>
    </row>
    <row r="624">
      <c r="A624" s="55">
        <f t="shared" si="7"/>
        <v>65015</v>
      </c>
      <c r="B624" s="56">
        <f>round(YEARFRAC(EOMONTH(questions!$C$3, 0),A624,1),2)</f>
        <v>79.08</v>
      </c>
      <c r="C624" s="58">
        <f>IF(B624&lt;questions!$C$6,if(MONTH(A624)=1,C623*(1+questions!$C$12),C623),0)</f>
        <v>0</v>
      </c>
      <c r="D624" s="58">
        <f>IF(MONTH(A624)=12,C624*questions!$C$11,0)</f>
        <v>0</v>
      </c>
      <c r="E624" s="71">
        <f t="shared" si="2"/>
        <v>0</v>
      </c>
      <c r="F624" s="71">
        <f t="shared" si="3"/>
        <v>0</v>
      </c>
      <c r="G624" s="61">
        <f t="array" ref="G624">if(YEAR(A624)=2025,XLOOKUP(B624,Lookup!$A$3:$A$7,Lookup!$D$3:$D$7,,1)*SUM(E624:F624), XLOOKUP(B624,Lookup!$A$14:$A$18,Lookup!$D$14:$D$18,,1)*SUM(E624:F624))</f>
        <v>0</v>
      </c>
      <c r="H624" s="61">
        <f t="array" ref="H624">if(YEAR(A624)=2025,XLOOKUP(B624,Lookup!$F$3:$F$10,Lookup!$G$3:$G$10,,1)*G624, XLOOKUP(B624,Lookup!$F$14:$F$21,Lookup!$G$14:$G$21,,1)*G624)</f>
        <v>0</v>
      </c>
      <c r="I624" s="61">
        <f t="array" ref="I624">if(B624&lt;55, if(YEAR(A624)=2025,XLOOKUP(B624,Lookup!$F$3:$F$10,Lookup!$H$3:$H$10,,1)*G624, XLOOKUP(B624,Lookup!$F$14:$F$21,Lookup!$H$14:$H$21,,1)*G624),0)</f>
        <v>0</v>
      </c>
      <c r="J624" s="61">
        <f t="array" ref="J624">if(YEAR(A624)=2025,XLOOKUP(B624,Lookup!$F$3:$F$10,Lookup!$I$3:$I$10,,1)*G624, XLOOKUP(B624,Lookup!$F$14:$F$21,Lookup!$I$14:$I$21,,1)*G624)</f>
        <v>0</v>
      </c>
      <c r="K624" s="61">
        <f t="array" ref="K624">if(B624&gt;54, if(YEAR(A624)=2025,XLOOKUP(B624,Lookup!$F$3:$F$10,Lookup!$H$3:$H$10,,1)*G624, XLOOKUP(B624,Lookup!$F$14:$F$21,Lookup!$H$14:$H$21,,1)*G624),0)</f>
        <v>0</v>
      </c>
      <c r="L624" s="62">
        <f>IF(and(A624&lt;questions!$C$19,questions!$C$18="yes"),questions!$C$20,0)</f>
        <v>0</v>
      </c>
      <c r="M624" s="63">
        <f>(Y623+H624)*Lookup!A$26/12</f>
        <v>2826.382042</v>
      </c>
      <c r="N624" s="63">
        <f>if(B624&lt;55, (Z623+I624)*Lookup!B$26/12, (AB623+K624)*Lookup!B$26/12)</f>
        <v>5248.440195</v>
      </c>
      <c r="O624" s="63">
        <f>(AA623+J624)*Lookup!C$26/12</f>
        <v>940.3700287</v>
      </c>
      <c r="P624" s="63">
        <f t="shared" si="8"/>
        <v>33916.58451</v>
      </c>
      <c r="Q624" s="63">
        <f t="shared" si="4"/>
        <v>62981.28234</v>
      </c>
      <c r="R624" s="63">
        <f t="shared" si="5"/>
        <v>11284.44034</v>
      </c>
      <c r="S624" s="64">
        <f t="shared" si="9"/>
        <v>33.33333333</v>
      </c>
      <c r="T624" s="64">
        <f t="shared" si="10"/>
        <v>41.66666667</v>
      </c>
      <c r="U624" s="64">
        <f t="shared" si="11"/>
        <v>0</v>
      </c>
      <c r="V624" s="64">
        <f t="shared" ref="V624:X624" si="632">IF(year($A624)=year($A623), V623+S624, S624)</f>
        <v>400</v>
      </c>
      <c r="W624" s="64">
        <f t="shared" si="632"/>
        <v>500</v>
      </c>
      <c r="X624" s="64">
        <f t="shared" si="632"/>
        <v>0</v>
      </c>
      <c r="Y624" s="65">
        <f>IFS(
  B624&lt;55,
    MAX(
      Y623 + IF(MONTH(A624)=12, P624+V624, 0) + H624 - L624
      + MAX(0,
          IF(AA623 &gt;= VLOOKUP(YEAR(A624), Lookup!$Q:$R, 2),
            Z623 + IF(MONTH(A624)=12, Q624+W624, 0) + I624
              + AA623 + IF(MONTH(A624)=12, R624+X624, 0)
              - VLOOKUP(YEAR(A624), Lookup!$Q:$R, 2) + J624,
            Z623 + IF(MONTH(A624)=12, Q624+W624, 0) + I624
          ) - VLOOKUP(YEAR(A624), Lookup!$K:$M, 3)
        ),
    0),
  B624=55,
    IF(Z623&gt;=AD624,
      MAX(Y623 + IF(MONTH(A624)=12, P624+V624, 0) + H624 - L624, 0),
      MAX(MAX(0, Y623-(AD624-Z623)) + IF(MONTH(A624)=12, P624+V624, 0) + H624 - L624, 0)
    ),
  B624&gt;55,
    IF(AB623&gt;=$AH$7,
      MAX(Y623 + IF(MONTH(A624)=12, P624+V624, 0) + H624 - L624 + K624 + Z623, 0),
      MAX(Y623 + IF(MONTH(A624)=12, P624+V624, 0) + H624 - L624, 0)
    )
)</f>
        <v>1390979.965</v>
      </c>
      <c r="Z624" s="65">
        <f>IFS(
  B624&lt;55,
    MIN(
      IF(AA623 &gt;= VLOOKUP(YEAR(A624), Lookup!$Q:$R, 2),
        Z623 + IF(MONTH(A624)=12, Q624+W624, 0) + I624
          + AA623 + IF(MONTH(A624)=12, R624+X624, 0) - VLOOKUP(YEAR(A624), Lookup!$Q:$R, 2) + J624,
        Z623 + IF(MONTH(A624)=12, Q624+W624, 0) + I624
      ),
      VLOOKUP(YEAR(A624), Lookup!$K:$M, 3)
    ),
  B624=55,
    IF(Z623 &gt;= AD624, Z623 - AD624, 0),
  B624&gt;55, 0
)</f>
        <v>0</v>
      </c>
      <c r="AA624" s="65">
        <f>IFS(
  B624&lt;65,
    IF(AA623+J624 &lt; VLOOKUP(YEAR(A624), Lookup!$Q:$R, 2),
      AA623 + IF(MONTH(A624)=12, R623+X623, 0) + J624,
      MIN(
        AA623 + IF(MONTH(A624)=12, R623+X623, 0) + J624 ,
        VLOOKUP(YEAR(A624), Lookup!$Q:$R, 2)
      )
    ),
  B624&gt;=65,
    IF(AA623+J624 &lt; VLOOKUP(questions!$C$5, Lookup!$Q:$R, 2),
      AA623 + IF(MONTH(A624)=12, R623+X623, 0) + J624 ,
      MIN(
        AA623 + IF(MONTH(A624)=12, R623+X623, 0) + J624,
        VLOOKUP(questions!$C$5, Lookup!$Q:$R, 2)
      )
    )
)</f>
        <v>282111.0086</v>
      </c>
      <c r="AB624" s="65">
        <f t="shared" si="13"/>
        <v>1638013.341</v>
      </c>
      <c r="AC624" s="66">
        <f t="array" ref="AC624">IFS(B624&lt;66, XLOOKUP(year(A624),Lookup!$K$13:$K1000,Lookup!$L$13:$L1000,"missing",,1),B624&gt;65,XLOOKUP(questions!$C$5,Lookup!$K$13:$K1000,Lookup!$L$13:$L1000,"missing",,1))</f>
        <v>393675.3633</v>
      </c>
      <c r="AD624" s="66">
        <f t="array" ref="AD624">IFS(B624&lt;66, XLOOKUP(year(A624),Lookup!$K$13:$K1000,Lookup!$M$13:$M1000,"missing",,1),B624&gt;65, XLOOKUP(questions!$C$5,Lookup!$K$13:$K1000,Lookup!$M$13:$M1000,"missing",,1))</f>
        <v>787350.7266</v>
      </c>
      <c r="AE624" s="66">
        <f t="array" ref="AE624">IFS(B624&lt;66, XLOOKUP(year(A624),Lookup!$K$13:$K1000,Lookup!$N$13:$N1000,"missing",,1),B624&gt;65,XLOOKUP(questions!$C$5,Lookup!$K$13:$K1000,Lookup!$N$13:$N1000,"missing",,1))</f>
        <v>1574701.453</v>
      </c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  <c r="AQ624" s="37"/>
    </row>
    <row r="625">
      <c r="A625" s="55">
        <f t="shared" si="7"/>
        <v>65046</v>
      </c>
      <c r="B625" s="56">
        <f>round(YEARFRAC(EOMONTH(questions!$C$3, 0),A625,1),2)</f>
        <v>79.17</v>
      </c>
      <c r="C625" s="58">
        <f>IF(B625&lt;questions!$C$6,if(MONTH(A625)=1,C624*(1+questions!$C$12),C624),0)</f>
        <v>0</v>
      </c>
      <c r="D625" s="58">
        <f>IF(MONTH(A625)=12,C625*questions!$C$11,0)</f>
        <v>0</v>
      </c>
      <c r="E625" s="71">
        <f t="shared" si="2"/>
        <v>0</v>
      </c>
      <c r="F625" s="71">
        <f t="shared" si="3"/>
        <v>0</v>
      </c>
      <c r="G625" s="61">
        <f t="array" ref="G625">if(YEAR(A625)=2025,XLOOKUP(B625,Lookup!$A$3:$A$7,Lookup!$D$3:$D$7,,1)*SUM(E625:F625), XLOOKUP(B625,Lookup!$A$14:$A$18,Lookup!$D$14:$D$18,,1)*SUM(E625:F625))</f>
        <v>0</v>
      </c>
      <c r="H625" s="61">
        <f t="array" ref="H625">if(YEAR(A625)=2025,XLOOKUP(B625,Lookup!$F$3:$F$10,Lookup!$G$3:$G$10,,1)*G625, XLOOKUP(B625,Lookup!$F$14:$F$21,Lookup!$G$14:$G$21,,1)*G625)</f>
        <v>0</v>
      </c>
      <c r="I625" s="61">
        <f t="array" ref="I625">if(B625&lt;55, if(YEAR(A625)=2025,XLOOKUP(B625,Lookup!$F$3:$F$10,Lookup!$H$3:$H$10,,1)*G625, XLOOKUP(B625,Lookup!$F$14:$F$21,Lookup!$H$14:$H$21,,1)*G625),0)</f>
        <v>0</v>
      </c>
      <c r="J625" s="61">
        <f t="array" ref="J625">if(YEAR(A625)=2025,XLOOKUP(B625,Lookup!$F$3:$F$10,Lookup!$I$3:$I$10,,1)*G625, XLOOKUP(B625,Lookup!$F$14:$F$21,Lookup!$I$14:$I$21,,1)*G625)</f>
        <v>0</v>
      </c>
      <c r="K625" s="61">
        <f t="array" ref="K625">if(B625&gt;54, if(YEAR(A625)=2025,XLOOKUP(B625,Lookup!$F$3:$F$10,Lookup!$H$3:$H$10,,1)*G625, XLOOKUP(B625,Lookup!$F$14:$F$21,Lookup!$H$14:$H$21,,1)*G625),0)</f>
        <v>0</v>
      </c>
      <c r="L625" s="62">
        <f>IF(and(A625&lt;questions!$C$19,questions!$C$18="yes"),questions!$C$20,0)</f>
        <v>0</v>
      </c>
      <c r="M625" s="63">
        <f>(Y624+H625)*Lookup!A$26/12</f>
        <v>2897.874927</v>
      </c>
      <c r="N625" s="63">
        <f>if(B625&lt;55, (Z624+I625)*Lookup!B$26/12, (AB624+K625)*Lookup!B$26/12)</f>
        <v>5460.044469</v>
      </c>
      <c r="O625" s="63">
        <f>(AA624+J625)*Lookup!C$26/12</f>
        <v>940.3700287</v>
      </c>
      <c r="P625" s="63">
        <f t="shared" si="8"/>
        <v>2897.874927</v>
      </c>
      <c r="Q625" s="63">
        <f t="shared" si="4"/>
        <v>5460.044469</v>
      </c>
      <c r="R625" s="63">
        <f t="shared" si="5"/>
        <v>940.3700287</v>
      </c>
      <c r="S625" s="64">
        <f t="shared" si="9"/>
        <v>33.33333333</v>
      </c>
      <c r="T625" s="64">
        <f t="shared" si="10"/>
        <v>41.66666667</v>
      </c>
      <c r="U625" s="64">
        <f t="shared" si="11"/>
        <v>0</v>
      </c>
      <c r="V625" s="64">
        <f t="shared" ref="V625:X625" si="633">IF(year($A625)=year($A624), V624+S625, S625)</f>
        <v>33.33333333</v>
      </c>
      <c r="W625" s="64">
        <f t="shared" si="633"/>
        <v>41.66666667</v>
      </c>
      <c r="X625" s="64">
        <f t="shared" si="633"/>
        <v>0</v>
      </c>
      <c r="Y625" s="65">
        <f>IFS(
  B625&lt;55,
    MAX(
      Y624 + IF(MONTH(A625)=12, P625+V625, 0) + H625 - L625
      + MAX(0,
          IF(AA624 &gt;= VLOOKUP(YEAR(A625), Lookup!$Q:$R, 2),
            Z624 + IF(MONTH(A625)=12, Q625+W625, 0) + I625
              + AA624 + IF(MONTH(A625)=12, R625+X625, 0)
              - VLOOKUP(YEAR(A625), Lookup!$Q:$R, 2) + J625,
            Z624 + IF(MONTH(A625)=12, Q625+W625, 0) + I625
          ) - VLOOKUP(YEAR(A625), Lookup!$K:$M, 3)
        ),
    0),
  B625=55,
    IF(Z624&gt;=AD625,
      MAX(Y624 + IF(MONTH(A625)=12, P625+V625, 0) + H625 - L625, 0),
      MAX(MAX(0, Y624-(AD625-Z624)) + IF(MONTH(A625)=12, P625+V625, 0) + H625 - L625, 0)
    ),
  B625&gt;55,
    IF(AB624&gt;=$AH$7,
      MAX(Y624 + IF(MONTH(A625)=12, P625+V625, 0) + H625 - L625 + K625 + Z624, 0),
      MAX(Y624 + IF(MONTH(A625)=12, P625+V625, 0) + H625 - L625, 0)
    )
)</f>
        <v>1390979.965</v>
      </c>
      <c r="Z625" s="65">
        <f>IFS(
  B625&lt;55,
    MIN(
      IF(AA624 &gt;= VLOOKUP(YEAR(A625), Lookup!$Q:$R, 2),
        Z624 + IF(MONTH(A625)=12, Q625+W625, 0) + I625
          + AA624 + IF(MONTH(A625)=12, R625+X625, 0) - VLOOKUP(YEAR(A625), Lookup!$Q:$R, 2) + J625,
        Z624 + IF(MONTH(A625)=12, Q625+W625, 0) + I625
      ),
      VLOOKUP(YEAR(A625), Lookup!$K:$M, 3)
    ),
  B625=55,
    IF(Z624 &gt;= AD625, Z624 - AD625, 0),
  B625&gt;55, 0
)</f>
        <v>0</v>
      </c>
      <c r="AA625" s="65">
        <f>IFS(
  B625&lt;65,
    IF(AA624+J625 &lt; VLOOKUP(YEAR(A625), Lookup!$Q:$R, 2),
      AA624 + IF(MONTH(A625)=12, R624+X624, 0) + J625,
      MIN(
        AA624 + IF(MONTH(A625)=12, R624+X624, 0) + J625 ,
        VLOOKUP(YEAR(A625), Lookup!$Q:$R, 2)
      )
    ),
  B625&gt;=65,
    IF(AA624+J625 &lt; VLOOKUP(questions!$C$5, Lookup!$Q:$R, 2),
      AA624 + IF(MONTH(A625)=12, R624+X624, 0) + J625 ,
      MIN(
        AA624 + IF(MONTH(A625)=12, R624+X624, 0) + J625,
        VLOOKUP(questions!$C$5, Lookup!$Q:$R, 2)
      )
    )
)</f>
        <v>282111.0086</v>
      </c>
      <c r="AB625" s="65">
        <f t="shared" si="13"/>
        <v>1638013.341</v>
      </c>
      <c r="AC625" s="66">
        <f t="array" ref="AC625">IFS(B625&lt;66, XLOOKUP(year(A625),Lookup!$K$13:$K1000,Lookup!$L$13:$L1000,"missing",,1),B625&gt;65,XLOOKUP(questions!$C$5,Lookup!$K$13:$K1000,Lookup!$L$13:$L1000,"missing",,1))</f>
        <v>393675.3633</v>
      </c>
      <c r="AD625" s="66">
        <f t="array" ref="AD625">IFS(B625&lt;66, XLOOKUP(year(A625),Lookup!$K$13:$K1000,Lookup!$M$13:$M1000,"missing",,1),B625&gt;65, XLOOKUP(questions!$C$5,Lookup!$K$13:$K1000,Lookup!$M$13:$M1000,"missing",,1))</f>
        <v>787350.7266</v>
      </c>
      <c r="AE625" s="66">
        <f t="array" ref="AE625">IFS(B625&lt;66, XLOOKUP(year(A625),Lookup!$K$13:$K1000,Lookup!$N$13:$N1000,"missing",,1),B625&gt;65,XLOOKUP(questions!$C$5,Lookup!$K$13:$K1000,Lookup!$N$13:$N1000,"missing",,1))</f>
        <v>1574701.453</v>
      </c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7"/>
      <c r="AQ625" s="37"/>
    </row>
    <row r="626">
      <c r="A626" s="55">
        <f t="shared" si="7"/>
        <v>65074</v>
      </c>
      <c r="B626" s="56">
        <f>round(YEARFRAC(EOMONTH(questions!$C$3, 0),A626,1),2)</f>
        <v>79.25</v>
      </c>
      <c r="C626" s="58">
        <f>IF(B626&lt;questions!$C$6,if(MONTH(A626)=1,C625*(1+questions!$C$12),C625),0)</f>
        <v>0</v>
      </c>
      <c r="D626" s="58">
        <f>IF(MONTH(A626)=12,C626*questions!$C$11,0)</f>
        <v>0</v>
      </c>
      <c r="E626" s="71">
        <f t="shared" si="2"/>
        <v>0</v>
      </c>
      <c r="F626" s="71">
        <f t="shared" si="3"/>
        <v>0</v>
      </c>
      <c r="G626" s="61">
        <f t="array" ref="G626">if(YEAR(A626)=2025,XLOOKUP(B626,Lookup!$A$3:$A$7,Lookup!$D$3:$D$7,,1)*SUM(E626:F626), XLOOKUP(B626,Lookup!$A$14:$A$18,Lookup!$D$14:$D$18,,1)*SUM(E626:F626))</f>
        <v>0</v>
      </c>
      <c r="H626" s="61">
        <f t="array" ref="H626">if(YEAR(A626)=2025,XLOOKUP(B626,Lookup!$F$3:$F$10,Lookup!$G$3:$G$10,,1)*G626, XLOOKUP(B626,Lookup!$F$14:$F$21,Lookup!$G$14:$G$21,,1)*G626)</f>
        <v>0</v>
      </c>
      <c r="I626" s="61">
        <f t="array" ref="I626">if(B626&lt;55, if(YEAR(A626)=2025,XLOOKUP(B626,Lookup!$F$3:$F$10,Lookup!$H$3:$H$10,,1)*G626, XLOOKUP(B626,Lookup!$F$14:$F$21,Lookup!$H$14:$H$21,,1)*G626),0)</f>
        <v>0</v>
      </c>
      <c r="J626" s="61">
        <f t="array" ref="J626">if(YEAR(A626)=2025,XLOOKUP(B626,Lookup!$F$3:$F$10,Lookup!$I$3:$I$10,,1)*G626, XLOOKUP(B626,Lookup!$F$14:$F$21,Lookup!$I$14:$I$21,,1)*G626)</f>
        <v>0</v>
      </c>
      <c r="K626" s="61">
        <f t="array" ref="K626">if(B626&gt;54, if(YEAR(A626)=2025,XLOOKUP(B626,Lookup!$F$3:$F$10,Lookup!$H$3:$H$10,,1)*G626, XLOOKUP(B626,Lookup!$F$14:$F$21,Lookup!$H$14:$H$21,,1)*G626),0)</f>
        <v>0</v>
      </c>
      <c r="L626" s="62">
        <f>IF(and(A626&lt;questions!$C$19,questions!$C$18="yes"),questions!$C$20,0)</f>
        <v>0</v>
      </c>
      <c r="M626" s="63">
        <f>(Y625+H626)*Lookup!A$26/12</f>
        <v>2897.874927</v>
      </c>
      <c r="N626" s="63">
        <f>if(B626&lt;55, (Z625+I626)*Lookup!B$26/12, (AB625+K626)*Lookup!B$26/12)</f>
        <v>5460.044469</v>
      </c>
      <c r="O626" s="63">
        <f>(AA625+J626)*Lookup!C$26/12</f>
        <v>940.3700287</v>
      </c>
      <c r="P626" s="63">
        <f t="shared" si="8"/>
        <v>5795.749853</v>
      </c>
      <c r="Q626" s="63">
        <f t="shared" si="4"/>
        <v>10920.08894</v>
      </c>
      <c r="R626" s="63">
        <f t="shared" si="5"/>
        <v>1880.740057</v>
      </c>
      <c r="S626" s="64">
        <f t="shared" si="9"/>
        <v>33.33333333</v>
      </c>
      <c r="T626" s="64">
        <f t="shared" si="10"/>
        <v>41.66666667</v>
      </c>
      <c r="U626" s="64">
        <f t="shared" si="11"/>
        <v>0</v>
      </c>
      <c r="V626" s="64">
        <f t="shared" ref="V626:X626" si="634">IF(year($A626)=year($A625), V625+S626, S626)</f>
        <v>66.66666667</v>
      </c>
      <c r="W626" s="64">
        <f t="shared" si="634"/>
        <v>83.33333333</v>
      </c>
      <c r="X626" s="64">
        <f t="shared" si="634"/>
        <v>0</v>
      </c>
      <c r="Y626" s="65">
        <f>IFS(
  B626&lt;55,
    MAX(
      Y625 + IF(MONTH(A626)=12, P626+V626, 0) + H626 - L626
      + MAX(0,
          IF(AA625 &gt;= VLOOKUP(YEAR(A626), Lookup!$Q:$R, 2),
            Z625 + IF(MONTH(A626)=12, Q626+W626, 0) + I626
              + AA625 + IF(MONTH(A626)=12, R626+X626, 0)
              - VLOOKUP(YEAR(A626), Lookup!$Q:$R, 2) + J626,
            Z625 + IF(MONTH(A626)=12, Q626+W626, 0) + I626
          ) - VLOOKUP(YEAR(A626), Lookup!$K:$M, 3)
        ),
    0),
  B626=55,
    IF(Z625&gt;=AD626,
      MAX(Y625 + IF(MONTH(A626)=12, P626+V626, 0) + H626 - L626, 0),
      MAX(MAX(0, Y625-(AD626-Z625)) + IF(MONTH(A626)=12, P626+V626, 0) + H626 - L626, 0)
    ),
  B626&gt;55,
    IF(AB625&gt;=$AH$7,
      MAX(Y625 + IF(MONTH(A626)=12, P626+V626, 0) + H626 - L626 + K626 + Z625, 0),
      MAX(Y625 + IF(MONTH(A626)=12, P626+V626, 0) + H626 - L626, 0)
    )
)</f>
        <v>1390979.965</v>
      </c>
      <c r="Z626" s="65">
        <f>IFS(
  B626&lt;55,
    MIN(
      IF(AA625 &gt;= VLOOKUP(YEAR(A626), Lookup!$Q:$R, 2),
        Z625 + IF(MONTH(A626)=12, Q626+W626, 0) + I626
          + AA625 + IF(MONTH(A626)=12, R626+X626, 0) - VLOOKUP(YEAR(A626), Lookup!$Q:$R, 2) + J626,
        Z625 + IF(MONTH(A626)=12, Q626+W626, 0) + I626
      ),
      VLOOKUP(YEAR(A626), Lookup!$K:$M, 3)
    ),
  B626=55,
    IF(Z625 &gt;= AD626, Z625 - AD626, 0),
  B626&gt;55, 0
)</f>
        <v>0</v>
      </c>
      <c r="AA626" s="65">
        <f>IFS(
  B626&lt;65,
    IF(AA625+J626 &lt; VLOOKUP(YEAR(A626), Lookup!$Q:$R, 2),
      AA625 + IF(MONTH(A626)=12, R625+X625, 0) + J626,
      MIN(
        AA625 + IF(MONTH(A626)=12, R625+X625, 0) + J626 ,
        VLOOKUP(YEAR(A626), Lookup!$Q:$R, 2)
      )
    ),
  B626&gt;=65,
    IF(AA625+J626 &lt; VLOOKUP(questions!$C$5, Lookup!$Q:$R, 2),
      AA625 + IF(MONTH(A626)=12, R625+X625, 0) + J626 ,
      MIN(
        AA625 + IF(MONTH(A626)=12, R625+X625, 0) + J626,
        VLOOKUP(questions!$C$5, Lookup!$Q:$R, 2)
      )
    )
)</f>
        <v>282111.0086</v>
      </c>
      <c r="AB626" s="65">
        <f t="shared" si="13"/>
        <v>1638013.341</v>
      </c>
      <c r="AC626" s="66">
        <f t="array" ref="AC626">IFS(B626&lt;66, XLOOKUP(year(A626),Lookup!$K$13:$K1000,Lookup!$L$13:$L1000,"missing",,1),B626&gt;65,XLOOKUP(questions!$C$5,Lookup!$K$13:$K1000,Lookup!$L$13:$L1000,"missing",,1))</f>
        <v>393675.3633</v>
      </c>
      <c r="AD626" s="66">
        <f t="array" ref="AD626">IFS(B626&lt;66, XLOOKUP(year(A626),Lookup!$K$13:$K1000,Lookup!$M$13:$M1000,"missing",,1),B626&gt;65, XLOOKUP(questions!$C$5,Lookup!$K$13:$K1000,Lookup!$M$13:$M1000,"missing",,1))</f>
        <v>787350.7266</v>
      </c>
      <c r="AE626" s="66">
        <f t="array" ref="AE626">IFS(B626&lt;66, XLOOKUP(year(A626),Lookup!$K$13:$K1000,Lookup!$N$13:$N1000,"missing",,1),B626&gt;65,XLOOKUP(questions!$C$5,Lookup!$K$13:$K1000,Lookup!$N$13:$N1000,"missing",,1))</f>
        <v>1574701.453</v>
      </c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  <c r="AQ626" s="37"/>
    </row>
    <row r="627">
      <c r="A627" s="55">
        <f t="shared" si="7"/>
        <v>65105</v>
      </c>
      <c r="B627" s="56">
        <f>round(YEARFRAC(EOMONTH(questions!$C$3, 0),A627,1),2)</f>
        <v>79.33</v>
      </c>
      <c r="C627" s="58">
        <f>IF(B627&lt;questions!$C$6,if(MONTH(A627)=1,C626*(1+questions!$C$12),C626),0)</f>
        <v>0</v>
      </c>
      <c r="D627" s="58">
        <f>IF(MONTH(A627)=12,C627*questions!$C$11,0)</f>
        <v>0</v>
      </c>
      <c r="E627" s="71">
        <f t="shared" si="2"/>
        <v>0</v>
      </c>
      <c r="F627" s="71">
        <f t="shared" si="3"/>
        <v>0</v>
      </c>
      <c r="G627" s="61">
        <f t="array" ref="G627">if(YEAR(A627)=2025,XLOOKUP(B627,Lookup!$A$3:$A$7,Lookup!$D$3:$D$7,,1)*SUM(E627:F627), XLOOKUP(B627,Lookup!$A$14:$A$18,Lookup!$D$14:$D$18,,1)*SUM(E627:F627))</f>
        <v>0</v>
      </c>
      <c r="H627" s="61">
        <f t="array" ref="H627">if(YEAR(A627)=2025,XLOOKUP(B627,Lookup!$F$3:$F$10,Lookup!$G$3:$G$10,,1)*G627, XLOOKUP(B627,Lookup!$F$14:$F$21,Lookup!$G$14:$G$21,,1)*G627)</f>
        <v>0</v>
      </c>
      <c r="I627" s="61">
        <f t="array" ref="I627">if(B627&lt;55, if(YEAR(A627)=2025,XLOOKUP(B627,Lookup!$F$3:$F$10,Lookup!$H$3:$H$10,,1)*G627, XLOOKUP(B627,Lookup!$F$14:$F$21,Lookup!$H$14:$H$21,,1)*G627),0)</f>
        <v>0</v>
      </c>
      <c r="J627" s="61">
        <f t="array" ref="J627">if(YEAR(A627)=2025,XLOOKUP(B627,Lookup!$F$3:$F$10,Lookup!$I$3:$I$10,,1)*G627, XLOOKUP(B627,Lookup!$F$14:$F$21,Lookup!$I$14:$I$21,,1)*G627)</f>
        <v>0</v>
      </c>
      <c r="K627" s="61">
        <f t="array" ref="K627">if(B627&gt;54, if(YEAR(A627)=2025,XLOOKUP(B627,Lookup!$F$3:$F$10,Lookup!$H$3:$H$10,,1)*G627, XLOOKUP(B627,Lookup!$F$14:$F$21,Lookup!$H$14:$H$21,,1)*G627),0)</f>
        <v>0</v>
      </c>
      <c r="L627" s="62">
        <f>IF(and(A627&lt;questions!$C$19,questions!$C$18="yes"),questions!$C$20,0)</f>
        <v>0</v>
      </c>
      <c r="M627" s="63">
        <f>(Y626+H627)*Lookup!A$26/12</f>
        <v>2897.874927</v>
      </c>
      <c r="N627" s="63">
        <f>if(B627&lt;55, (Z626+I627)*Lookup!B$26/12, (AB626+K627)*Lookup!B$26/12)</f>
        <v>5460.044469</v>
      </c>
      <c r="O627" s="63">
        <f>(AA626+J627)*Lookup!C$26/12</f>
        <v>940.3700287</v>
      </c>
      <c r="P627" s="63">
        <f t="shared" si="8"/>
        <v>8693.62478</v>
      </c>
      <c r="Q627" s="63">
        <f t="shared" si="4"/>
        <v>16380.13341</v>
      </c>
      <c r="R627" s="63">
        <f t="shared" si="5"/>
        <v>2821.110086</v>
      </c>
      <c r="S627" s="64">
        <f t="shared" si="9"/>
        <v>33.33333333</v>
      </c>
      <c r="T627" s="64">
        <f t="shared" si="10"/>
        <v>41.66666667</v>
      </c>
      <c r="U627" s="64">
        <f t="shared" si="11"/>
        <v>0</v>
      </c>
      <c r="V627" s="64">
        <f t="shared" ref="V627:X627" si="635">IF(year($A627)=year($A626), V626+S627, S627)</f>
        <v>100</v>
      </c>
      <c r="W627" s="64">
        <f t="shared" si="635"/>
        <v>125</v>
      </c>
      <c r="X627" s="64">
        <f t="shared" si="635"/>
        <v>0</v>
      </c>
      <c r="Y627" s="65">
        <f>IFS(
  B627&lt;55,
    MAX(
      Y626 + IF(MONTH(A627)=12, P627+V627, 0) + H627 - L627
      + MAX(0,
          IF(AA626 &gt;= VLOOKUP(YEAR(A627), Lookup!$Q:$R, 2),
            Z626 + IF(MONTH(A627)=12, Q627+W627, 0) + I627
              + AA626 + IF(MONTH(A627)=12, R627+X627, 0)
              - VLOOKUP(YEAR(A627), Lookup!$Q:$R, 2) + J627,
            Z626 + IF(MONTH(A627)=12, Q627+W627, 0) + I627
          ) - VLOOKUP(YEAR(A627), Lookup!$K:$M, 3)
        ),
    0),
  B627=55,
    IF(Z626&gt;=AD627,
      MAX(Y626 + IF(MONTH(A627)=12, P627+V627, 0) + H627 - L627, 0),
      MAX(MAX(0, Y626-(AD627-Z626)) + IF(MONTH(A627)=12, P627+V627, 0) + H627 - L627, 0)
    ),
  B627&gt;55,
    IF(AB626&gt;=$AH$7,
      MAX(Y626 + IF(MONTH(A627)=12, P627+V627, 0) + H627 - L627 + K627 + Z626, 0),
      MAX(Y626 + IF(MONTH(A627)=12, P627+V627, 0) + H627 - L627, 0)
    )
)</f>
        <v>1390979.965</v>
      </c>
      <c r="Z627" s="65">
        <f>IFS(
  B627&lt;55,
    MIN(
      IF(AA626 &gt;= VLOOKUP(YEAR(A627), Lookup!$Q:$R, 2),
        Z626 + IF(MONTH(A627)=12, Q627+W627, 0) + I627
          + AA626 + IF(MONTH(A627)=12, R627+X627, 0) - VLOOKUP(YEAR(A627), Lookup!$Q:$R, 2) + J627,
        Z626 + IF(MONTH(A627)=12, Q627+W627, 0) + I627
      ),
      VLOOKUP(YEAR(A627), Lookup!$K:$M, 3)
    ),
  B627=55,
    IF(Z626 &gt;= AD627, Z626 - AD627, 0),
  B627&gt;55, 0
)</f>
        <v>0</v>
      </c>
      <c r="AA627" s="65">
        <f>IFS(
  B627&lt;65,
    IF(AA626+J627 &lt; VLOOKUP(YEAR(A627), Lookup!$Q:$R, 2),
      AA626 + IF(MONTH(A627)=12, R626+X626, 0) + J627,
      MIN(
        AA626 + IF(MONTH(A627)=12, R626+X626, 0) + J627 ,
        VLOOKUP(YEAR(A627), Lookup!$Q:$R, 2)
      )
    ),
  B627&gt;=65,
    IF(AA626+J627 &lt; VLOOKUP(questions!$C$5, Lookup!$Q:$R, 2),
      AA626 + IF(MONTH(A627)=12, R626+X626, 0) + J627 ,
      MIN(
        AA626 + IF(MONTH(A627)=12, R626+X626, 0) + J627,
        VLOOKUP(questions!$C$5, Lookup!$Q:$R, 2)
      )
    )
)</f>
        <v>282111.0086</v>
      </c>
      <c r="AB627" s="65">
        <f t="shared" si="13"/>
        <v>1638013.341</v>
      </c>
      <c r="AC627" s="66">
        <f t="array" ref="AC627">IFS(B627&lt;66, XLOOKUP(year(A627),Lookup!$K$13:$K1000,Lookup!$L$13:$L1000,"missing",,1),B627&gt;65,XLOOKUP(questions!$C$5,Lookup!$K$13:$K1000,Lookup!$L$13:$L1000,"missing",,1))</f>
        <v>393675.3633</v>
      </c>
      <c r="AD627" s="66">
        <f t="array" ref="AD627">IFS(B627&lt;66, XLOOKUP(year(A627),Lookup!$K$13:$K1000,Lookup!$M$13:$M1000,"missing",,1),B627&gt;65, XLOOKUP(questions!$C$5,Lookup!$K$13:$K1000,Lookup!$M$13:$M1000,"missing",,1))</f>
        <v>787350.7266</v>
      </c>
      <c r="AE627" s="66">
        <f t="array" ref="AE627">IFS(B627&lt;66, XLOOKUP(year(A627),Lookup!$K$13:$K1000,Lookup!$N$13:$N1000,"missing",,1),B627&gt;65,XLOOKUP(questions!$C$5,Lookup!$K$13:$K1000,Lookup!$N$13:$N1000,"missing",,1))</f>
        <v>1574701.453</v>
      </c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  <c r="AQ627" s="37"/>
    </row>
    <row r="628">
      <c r="A628" s="55">
        <f t="shared" si="7"/>
        <v>65135</v>
      </c>
      <c r="B628" s="56">
        <f>round(YEARFRAC(EOMONTH(questions!$C$3, 0),A628,1),2)</f>
        <v>79.41</v>
      </c>
      <c r="C628" s="58">
        <f>IF(B628&lt;questions!$C$6,if(MONTH(A628)=1,C627*(1+questions!$C$12),C627),0)</f>
        <v>0</v>
      </c>
      <c r="D628" s="58">
        <f>IF(MONTH(A628)=12,C628*questions!$C$11,0)</f>
        <v>0</v>
      </c>
      <c r="E628" s="71">
        <f t="shared" si="2"/>
        <v>0</v>
      </c>
      <c r="F628" s="71">
        <f t="shared" si="3"/>
        <v>0</v>
      </c>
      <c r="G628" s="61">
        <f t="array" ref="G628">if(YEAR(A628)=2025,XLOOKUP(B628,Lookup!$A$3:$A$7,Lookup!$D$3:$D$7,,1)*SUM(E628:F628), XLOOKUP(B628,Lookup!$A$14:$A$18,Lookup!$D$14:$D$18,,1)*SUM(E628:F628))</f>
        <v>0</v>
      </c>
      <c r="H628" s="61">
        <f t="array" ref="H628">if(YEAR(A628)=2025,XLOOKUP(B628,Lookup!$F$3:$F$10,Lookup!$G$3:$G$10,,1)*G628, XLOOKUP(B628,Lookup!$F$14:$F$21,Lookup!$G$14:$G$21,,1)*G628)</f>
        <v>0</v>
      </c>
      <c r="I628" s="61">
        <f t="array" ref="I628">if(B628&lt;55, if(YEAR(A628)=2025,XLOOKUP(B628,Lookup!$F$3:$F$10,Lookup!$H$3:$H$10,,1)*G628, XLOOKUP(B628,Lookup!$F$14:$F$21,Lookup!$H$14:$H$21,,1)*G628),0)</f>
        <v>0</v>
      </c>
      <c r="J628" s="61">
        <f t="array" ref="J628">if(YEAR(A628)=2025,XLOOKUP(B628,Lookup!$F$3:$F$10,Lookup!$I$3:$I$10,,1)*G628, XLOOKUP(B628,Lookup!$F$14:$F$21,Lookup!$I$14:$I$21,,1)*G628)</f>
        <v>0</v>
      </c>
      <c r="K628" s="61">
        <f t="array" ref="K628">if(B628&gt;54, if(YEAR(A628)=2025,XLOOKUP(B628,Lookup!$F$3:$F$10,Lookup!$H$3:$H$10,,1)*G628, XLOOKUP(B628,Lookup!$F$14:$F$21,Lookup!$H$14:$H$21,,1)*G628),0)</f>
        <v>0</v>
      </c>
      <c r="L628" s="62">
        <f>IF(and(A628&lt;questions!$C$19,questions!$C$18="yes"),questions!$C$20,0)</f>
        <v>0</v>
      </c>
      <c r="M628" s="63">
        <f>(Y627+H628)*Lookup!A$26/12</f>
        <v>2897.874927</v>
      </c>
      <c r="N628" s="63">
        <f>if(B628&lt;55, (Z627+I628)*Lookup!B$26/12, (AB627+K628)*Lookup!B$26/12)</f>
        <v>5460.044469</v>
      </c>
      <c r="O628" s="63">
        <f>(AA627+J628)*Lookup!C$26/12</f>
        <v>940.3700287</v>
      </c>
      <c r="P628" s="63">
        <f t="shared" si="8"/>
        <v>11591.49971</v>
      </c>
      <c r="Q628" s="63">
        <f t="shared" si="4"/>
        <v>21840.17788</v>
      </c>
      <c r="R628" s="63">
        <f t="shared" si="5"/>
        <v>3761.480115</v>
      </c>
      <c r="S628" s="64">
        <f t="shared" si="9"/>
        <v>33.33333333</v>
      </c>
      <c r="T628" s="64">
        <f t="shared" si="10"/>
        <v>41.66666667</v>
      </c>
      <c r="U628" s="64">
        <f t="shared" si="11"/>
        <v>0</v>
      </c>
      <c r="V628" s="64">
        <f t="shared" ref="V628:X628" si="636">IF(year($A628)=year($A627), V627+S628, S628)</f>
        <v>133.3333333</v>
      </c>
      <c r="W628" s="64">
        <f t="shared" si="636"/>
        <v>166.6666667</v>
      </c>
      <c r="X628" s="64">
        <f t="shared" si="636"/>
        <v>0</v>
      </c>
      <c r="Y628" s="65">
        <f>IFS(
  B628&lt;55,
    MAX(
      Y627 + IF(MONTH(A628)=12, P628+V628, 0) + H628 - L628
      + MAX(0,
          IF(AA627 &gt;= VLOOKUP(YEAR(A628), Lookup!$Q:$R, 2),
            Z627 + IF(MONTH(A628)=12, Q628+W628, 0) + I628
              + AA627 + IF(MONTH(A628)=12, R628+X628, 0)
              - VLOOKUP(YEAR(A628), Lookup!$Q:$R, 2) + J628,
            Z627 + IF(MONTH(A628)=12, Q628+W628, 0) + I628
          ) - VLOOKUP(YEAR(A628), Lookup!$K:$M, 3)
        ),
    0),
  B628=55,
    IF(Z627&gt;=AD628,
      MAX(Y627 + IF(MONTH(A628)=12, P628+V628, 0) + H628 - L628, 0),
      MAX(MAX(0, Y627-(AD628-Z627)) + IF(MONTH(A628)=12, P628+V628, 0) + H628 - L628, 0)
    ),
  B628&gt;55,
    IF(AB627&gt;=$AH$7,
      MAX(Y627 + IF(MONTH(A628)=12, P628+V628, 0) + H628 - L628 + K628 + Z627, 0),
      MAX(Y627 + IF(MONTH(A628)=12, P628+V628, 0) + H628 - L628, 0)
    )
)</f>
        <v>1390979.965</v>
      </c>
      <c r="Z628" s="65">
        <f>IFS(
  B628&lt;55,
    MIN(
      IF(AA627 &gt;= VLOOKUP(YEAR(A628), Lookup!$Q:$R, 2),
        Z627 + IF(MONTH(A628)=12, Q628+W628, 0) + I628
          + AA627 + IF(MONTH(A628)=12, R628+X628, 0) - VLOOKUP(YEAR(A628), Lookup!$Q:$R, 2) + J628,
        Z627 + IF(MONTH(A628)=12, Q628+W628, 0) + I628
      ),
      VLOOKUP(YEAR(A628), Lookup!$K:$M, 3)
    ),
  B628=55,
    IF(Z627 &gt;= AD628, Z627 - AD628, 0),
  B628&gt;55, 0
)</f>
        <v>0</v>
      </c>
      <c r="AA628" s="65">
        <f>IFS(
  B628&lt;65,
    IF(AA627+J628 &lt; VLOOKUP(YEAR(A628), Lookup!$Q:$R, 2),
      AA627 + IF(MONTH(A628)=12, R627+X627, 0) + J628,
      MIN(
        AA627 + IF(MONTH(A628)=12, R627+X627, 0) + J628 ,
        VLOOKUP(YEAR(A628), Lookup!$Q:$R, 2)
      )
    ),
  B628&gt;=65,
    IF(AA627+J628 &lt; VLOOKUP(questions!$C$5, Lookup!$Q:$R, 2),
      AA627 + IF(MONTH(A628)=12, R627+X627, 0) + J628 ,
      MIN(
        AA627 + IF(MONTH(A628)=12, R627+X627, 0) + J628,
        VLOOKUP(questions!$C$5, Lookup!$Q:$R, 2)
      )
    )
)</f>
        <v>282111.0086</v>
      </c>
      <c r="AB628" s="65">
        <f t="shared" si="13"/>
        <v>1638013.341</v>
      </c>
      <c r="AC628" s="66">
        <f t="array" ref="AC628">IFS(B628&lt;66, XLOOKUP(year(A628),Lookup!$K$13:$K1000,Lookup!$L$13:$L1000,"missing",,1),B628&gt;65,XLOOKUP(questions!$C$5,Lookup!$K$13:$K1000,Lookup!$L$13:$L1000,"missing",,1))</f>
        <v>393675.3633</v>
      </c>
      <c r="AD628" s="66">
        <f t="array" ref="AD628">IFS(B628&lt;66, XLOOKUP(year(A628),Lookup!$K$13:$K1000,Lookup!$M$13:$M1000,"missing",,1),B628&gt;65, XLOOKUP(questions!$C$5,Lookup!$K$13:$K1000,Lookup!$M$13:$M1000,"missing",,1))</f>
        <v>787350.7266</v>
      </c>
      <c r="AE628" s="66">
        <f t="array" ref="AE628">IFS(B628&lt;66, XLOOKUP(year(A628),Lookup!$K$13:$K1000,Lookup!$N$13:$N1000,"missing",,1),B628&gt;65,XLOOKUP(questions!$C$5,Lookup!$K$13:$K1000,Lookup!$N$13:$N1000,"missing",,1))</f>
        <v>1574701.453</v>
      </c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7"/>
      <c r="AQ628" s="37"/>
    </row>
    <row r="629">
      <c r="A629" s="55">
        <f t="shared" si="7"/>
        <v>65166</v>
      </c>
      <c r="B629" s="56">
        <f>round(YEARFRAC(EOMONTH(questions!$C$3, 0),A629,1),2)</f>
        <v>79.5</v>
      </c>
      <c r="C629" s="58">
        <f>IF(B629&lt;questions!$C$6,if(MONTH(A629)=1,C628*(1+questions!$C$12),C628),0)</f>
        <v>0</v>
      </c>
      <c r="D629" s="58">
        <f>IF(MONTH(A629)=12,C629*questions!$C$11,0)</f>
        <v>0</v>
      </c>
      <c r="E629" s="71">
        <f t="shared" si="2"/>
        <v>0</v>
      </c>
      <c r="F629" s="71">
        <f t="shared" si="3"/>
        <v>0</v>
      </c>
      <c r="G629" s="61">
        <f t="array" ref="G629">if(YEAR(A629)=2025,XLOOKUP(B629,Lookup!$A$3:$A$7,Lookup!$D$3:$D$7,,1)*SUM(E629:F629), XLOOKUP(B629,Lookup!$A$14:$A$18,Lookup!$D$14:$D$18,,1)*SUM(E629:F629))</f>
        <v>0</v>
      </c>
      <c r="H629" s="61">
        <f t="array" ref="H629">if(YEAR(A629)=2025,XLOOKUP(B629,Lookup!$F$3:$F$10,Lookup!$G$3:$G$10,,1)*G629, XLOOKUP(B629,Lookup!$F$14:$F$21,Lookup!$G$14:$G$21,,1)*G629)</f>
        <v>0</v>
      </c>
      <c r="I629" s="61">
        <f t="array" ref="I629">if(B629&lt;55, if(YEAR(A629)=2025,XLOOKUP(B629,Lookup!$F$3:$F$10,Lookup!$H$3:$H$10,,1)*G629, XLOOKUP(B629,Lookup!$F$14:$F$21,Lookup!$H$14:$H$21,,1)*G629),0)</f>
        <v>0</v>
      </c>
      <c r="J629" s="61">
        <f t="array" ref="J629">if(YEAR(A629)=2025,XLOOKUP(B629,Lookup!$F$3:$F$10,Lookup!$I$3:$I$10,,1)*G629, XLOOKUP(B629,Lookup!$F$14:$F$21,Lookup!$I$14:$I$21,,1)*G629)</f>
        <v>0</v>
      </c>
      <c r="K629" s="61">
        <f t="array" ref="K629">if(B629&gt;54, if(YEAR(A629)=2025,XLOOKUP(B629,Lookup!$F$3:$F$10,Lookup!$H$3:$H$10,,1)*G629, XLOOKUP(B629,Lookup!$F$14:$F$21,Lookup!$H$14:$H$21,,1)*G629),0)</f>
        <v>0</v>
      </c>
      <c r="L629" s="62">
        <f>IF(and(A629&lt;questions!$C$19,questions!$C$18="yes"),questions!$C$20,0)</f>
        <v>0</v>
      </c>
      <c r="M629" s="63">
        <f>(Y628+H629)*Lookup!A$26/12</f>
        <v>2897.874927</v>
      </c>
      <c r="N629" s="63">
        <f>if(B629&lt;55, (Z628+I629)*Lookup!B$26/12, (AB628+K629)*Lookup!B$26/12)</f>
        <v>5460.044469</v>
      </c>
      <c r="O629" s="63">
        <f>(AA628+J629)*Lookup!C$26/12</f>
        <v>940.3700287</v>
      </c>
      <c r="P629" s="63">
        <f t="shared" si="8"/>
        <v>14489.37463</v>
      </c>
      <c r="Q629" s="63">
        <f t="shared" si="4"/>
        <v>27300.22235</v>
      </c>
      <c r="R629" s="63">
        <f t="shared" si="5"/>
        <v>4701.850143</v>
      </c>
      <c r="S629" s="64">
        <f t="shared" si="9"/>
        <v>33.33333333</v>
      </c>
      <c r="T629" s="64">
        <f t="shared" si="10"/>
        <v>41.66666667</v>
      </c>
      <c r="U629" s="64">
        <f t="shared" si="11"/>
        <v>0</v>
      </c>
      <c r="V629" s="64">
        <f t="shared" ref="V629:X629" si="637">IF(year($A629)=year($A628), V628+S629, S629)</f>
        <v>166.6666667</v>
      </c>
      <c r="W629" s="64">
        <f t="shared" si="637"/>
        <v>208.3333333</v>
      </c>
      <c r="X629" s="64">
        <f t="shared" si="637"/>
        <v>0</v>
      </c>
      <c r="Y629" s="65">
        <f>IFS(
  B629&lt;55,
    MAX(
      Y628 + IF(MONTH(A629)=12, P629+V629, 0) + H629 - L629
      + MAX(0,
          IF(AA628 &gt;= VLOOKUP(YEAR(A629), Lookup!$Q:$R, 2),
            Z628 + IF(MONTH(A629)=12, Q629+W629, 0) + I629
              + AA628 + IF(MONTH(A629)=12, R629+X629, 0)
              - VLOOKUP(YEAR(A629), Lookup!$Q:$R, 2) + J629,
            Z628 + IF(MONTH(A629)=12, Q629+W629, 0) + I629
          ) - VLOOKUP(YEAR(A629), Lookup!$K:$M, 3)
        ),
    0),
  B629=55,
    IF(Z628&gt;=AD629,
      MAX(Y628 + IF(MONTH(A629)=12, P629+V629, 0) + H629 - L629, 0),
      MAX(MAX(0, Y628-(AD629-Z628)) + IF(MONTH(A629)=12, P629+V629, 0) + H629 - L629, 0)
    ),
  B629&gt;55,
    IF(AB628&gt;=$AH$7,
      MAX(Y628 + IF(MONTH(A629)=12, P629+V629, 0) + H629 - L629 + K629 + Z628, 0),
      MAX(Y628 + IF(MONTH(A629)=12, P629+V629, 0) + H629 - L629, 0)
    )
)</f>
        <v>1390979.965</v>
      </c>
      <c r="Z629" s="65">
        <f>IFS(
  B629&lt;55,
    MIN(
      IF(AA628 &gt;= VLOOKUP(YEAR(A629), Lookup!$Q:$R, 2),
        Z628 + IF(MONTH(A629)=12, Q629+W629, 0) + I629
          + AA628 + IF(MONTH(A629)=12, R629+X629, 0) - VLOOKUP(YEAR(A629), Lookup!$Q:$R, 2) + J629,
        Z628 + IF(MONTH(A629)=12, Q629+W629, 0) + I629
      ),
      VLOOKUP(YEAR(A629), Lookup!$K:$M, 3)
    ),
  B629=55,
    IF(Z628 &gt;= AD629, Z628 - AD629, 0),
  B629&gt;55, 0
)</f>
        <v>0</v>
      </c>
      <c r="AA629" s="65">
        <f>IFS(
  B629&lt;65,
    IF(AA628+J629 &lt; VLOOKUP(YEAR(A629), Lookup!$Q:$R, 2),
      AA628 + IF(MONTH(A629)=12, R628+X628, 0) + J629,
      MIN(
        AA628 + IF(MONTH(A629)=12, R628+X628, 0) + J629 ,
        VLOOKUP(YEAR(A629), Lookup!$Q:$R, 2)
      )
    ),
  B629&gt;=65,
    IF(AA628+J629 &lt; VLOOKUP(questions!$C$5, Lookup!$Q:$R, 2),
      AA628 + IF(MONTH(A629)=12, R628+X628, 0) + J629 ,
      MIN(
        AA628 + IF(MONTH(A629)=12, R628+X628, 0) + J629,
        VLOOKUP(questions!$C$5, Lookup!$Q:$R, 2)
      )
    )
)</f>
        <v>282111.0086</v>
      </c>
      <c r="AB629" s="65">
        <f t="shared" si="13"/>
        <v>1638013.341</v>
      </c>
      <c r="AC629" s="66">
        <f t="array" ref="AC629">IFS(B629&lt;66, XLOOKUP(year(A629),Lookup!$K$13:$K1000,Lookup!$L$13:$L1000,"missing",,1),B629&gt;65,XLOOKUP(questions!$C$5,Lookup!$K$13:$K1000,Lookup!$L$13:$L1000,"missing",,1))</f>
        <v>393675.3633</v>
      </c>
      <c r="AD629" s="66">
        <f t="array" ref="AD629">IFS(B629&lt;66, XLOOKUP(year(A629),Lookup!$K$13:$K1000,Lookup!$M$13:$M1000,"missing",,1),B629&gt;65, XLOOKUP(questions!$C$5,Lookup!$K$13:$K1000,Lookup!$M$13:$M1000,"missing",,1))</f>
        <v>787350.7266</v>
      </c>
      <c r="AE629" s="66">
        <f t="array" ref="AE629">IFS(B629&lt;66, XLOOKUP(year(A629),Lookup!$K$13:$K1000,Lookup!$N$13:$N1000,"missing",,1),B629&gt;65,XLOOKUP(questions!$C$5,Lookup!$K$13:$K1000,Lookup!$N$13:$N1000,"missing",,1))</f>
        <v>1574701.453</v>
      </c>
      <c r="AF629" s="37"/>
      <c r="AG629" s="37"/>
      <c r="AH629" s="37"/>
      <c r="AI629" s="37"/>
      <c r="AJ629" s="37"/>
      <c r="AK629" s="37"/>
      <c r="AL629" s="37"/>
      <c r="AM629" s="37"/>
      <c r="AN629" s="37"/>
      <c r="AO629" s="37"/>
      <c r="AP629" s="37"/>
      <c r="AQ629" s="37"/>
    </row>
    <row r="630">
      <c r="A630" s="55">
        <f t="shared" si="7"/>
        <v>65196</v>
      </c>
      <c r="B630" s="56">
        <f>round(YEARFRAC(EOMONTH(questions!$C$3, 0),A630,1),2)</f>
        <v>79.58</v>
      </c>
      <c r="C630" s="58">
        <f>IF(B630&lt;questions!$C$6,if(MONTH(A630)=1,C629*(1+questions!$C$12),C629),0)</f>
        <v>0</v>
      </c>
      <c r="D630" s="58">
        <f>IF(MONTH(A630)=12,C630*questions!$C$11,0)</f>
        <v>0</v>
      </c>
      <c r="E630" s="71">
        <f t="shared" si="2"/>
        <v>0</v>
      </c>
      <c r="F630" s="71">
        <f t="shared" si="3"/>
        <v>0</v>
      </c>
      <c r="G630" s="61">
        <f t="array" ref="G630">if(YEAR(A630)=2025,XLOOKUP(B630,Lookup!$A$3:$A$7,Lookup!$D$3:$D$7,,1)*SUM(E630:F630), XLOOKUP(B630,Lookup!$A$14:$A$18,Lookup!$D$14:$D$18,,1)*SUM(E630:F630))</f>
        <v>0</v>
      </c>
      <c r="H630" s="61">
        <f t="array" ref="H630">if(YEAR(A630)=2025,XLOOKUP(B630,Lookup!$F$3:$F$10,Lookup!$G$3:$G$10,,1)*G630, XLOOKUP(B630,Lookup!$F$14:$F$21,Lookup!$G$14:$G$21,,1)*G630)</f>
        <v>0</v>
      </c>
      <c r="I630" s="61">
        <f t="array" ref="I630">if(B630&lt;55, if(YEAR(A630)=2025,XLOOKUP(B630,Lookup!$F$3:$F$10,Lookup!$H$3:$H$10,,1)*G630, XLOOKUP(B630,Lookup!$F$14:$F$21,Lookup!$H$14:$H$21,,1)*G630),0)</f>
        <v>0</v>
      </c>
      <c r="J630" s="61">
        <f t="array" ref="J630">if(YEAR(A630)=2025,XLOOKUP(B630,Lookup!$F$3:$F$10,Lookup!$I$3:$I$10,,1)*G630, XLOOKUP(B630,Lookup!$F$14:$F$21,Lookup!$I$14:$I$21,,1)*G630)</f>
        <v>0</v>
      </c>
      <c r="K630" s="61">
        <f t="array" ref="K630">if(B630&gt;54, if(YEAR(A630)=2025,XLOOKUP(B630,Lookup!$F$3:$F$10,Lookup!$H$3:$H$10,,1)*G630, XLOOKUP(B630,Lookup!$F$14:$F$21,Lookup!$H$14:$H$21,,1)*G630),0)</f>
        <v>0</v>
      </c>
      <c r="L630" s="62">
        <f>IF(and(A630&lt;questions!$C$19,questions!$C$18="yes"),questions!$C$20,0)</f>
        <v>0</v>
      </c>
      <c r="M630" s="63">
        <f>(Y629+H630)*Lookup!A$26/12</f>
        <v>2897.874927</v>
      </c>
      <c r="N630" s="63">
        <f>if(B630&lt;55, (Z629+I630)*Lookup!B$26/12, (AB629+K630)*Lookup!B$26/12)</f>
        <v>5460.044469</v>
      </c>
      <c r="O630" s="63">
        <f>(AA629+J630)*Lookup!C$26/12</f>
        <v>940.3700287</v>
      </c>
      <c r="P630" s="63">
        <f t="shared" si="8"/>
        <v>17387.24956</v>
      </c>
      <c r="Q630" s="63">
        <f t="shared" si="4"/>
        <v>32760.26682</v>
      </c>
      <c r="R630" s="63">
        <f t="shared" si="5"/>
        <v>5642.220172</v>
      </c>
      <c r="S630" s="64">
        <f t="shared" si="9"/>
        <v>33.33333333</v>
      </c>
      <c r="T630" s="64">
        <f t="shared" si="10"/>
        <v>41.66666667</v>
      </c>
      <c r="U630" s="64">
        <f t="shared" si="11"/>
        <v>0</v>
      </c>
      <c r="V630" s="64">
        <f t="shared" ref="V630:X630" si="638">IF(year($A630)=year($A629), V629+S630, S630)</f>
        <v>200</v>
      </c>
      <c r="W630" s="64">
        <f t="shared" si="638"/>
        <v>250</v>
      </c>
      <c r="X630" s="64">
        <f t="shared" si="638"/>
        <v>0</v>
      </c>
      <c r="Y630" s="65">
        <f>IFS(
  B630&lt;55,
    MAX(
      Y629 + IF(MONTH(A630)=12, P630+V630, 0) + H630 - L630
      + MAX(0,
          IF(AA629 &gt;= VLOOKUP(YEAR(A630), Lookup!$Q:$R, 2),
            Z629 + IF(MONTH(A630)=12, Q630+W630, 0) + I630
              + AA629 + IF(MONTH(A630)=12, R630+X630, 0)
              - VLOOKUP(YEAR(A630), Lookup!$Q:$R, 2) + J630,
            Z629 + IF(MONTH(A630)=12, Q630+W630, 0) + I630
          ) - VLOOKUP(YEAR(A630), Lookup!$K:$M, 3)
        ),
    0),
  B630=55,
    IF(Z629&gt;=AD630,
      MAX(Y629 + IF(MONTH(A630)=12, P630+V630, 0) + H630 - L630, 0),
      MAX(MAX(0, Y629-(AD630-Z629)) + IF(MONTH(A630)=12, P630+V630, 0) + H630 - L630, 0)
    ),
  B630&gt;55,
    IF(AB629&gt;=$AH$7,
      MAX(Y629 + IF(MONTH(A630)=12, P630+V630, 0) + H630 - L630 + K630 + Z629, 0),
      MAX(Y629 + IF(MONTH(A630)=12, P630+V630, 0) + H630 - L630, 0)
    )
)</f>
        <v>1390979.965</v>
      </c>
      <c r="Z630" s="65">
        <f>IFS(
  B630&lt;55,
    MIN(
      IF(AA629 &gt;= VLOOKUP(YEAR(A630), Lookup!$Q:$R, 2),
        Z629 + IF(MONTH(A630)=12, Q630+W630, 0) + I630
          + AA629 + IF(MONTH(A630)=12, R630+X630, 0) - VLOOKUP(YEAR(A630), Lookup!$Q:$R, 2) + J630,
        Z629 + IF(MONTH(A630)=12, Q630+W630, 0) + I630
      ),
      VLOOKUP(YEAR(A630), Lookup!$K:$M, 3)
    ),
  B630=55,
    IF(Z629 &gt;= AD630, Z629 - AD630, 0),
  B630&gt;55, 0
)</f>
        <v>0</v>
      </c>
      <c r="AA630" s="65">
        <f>IFS(
  B630&lt;65,
    IF(AA629+J630 &lt; VLOOKUP(YEAR(A630), Lookup!$Q:$R, 2),
      AA629 + IF(MONTH(A630)=12, R629+X629, 0) + J630,
      MIN(
        AA629 + IF(MONTH(A630)=12, R629+X629, 0) + J630 ,
        VLOOKUP(YEAR(A630), Lookup!$Q:$R, 2)
      )
    ),
  B630&gt;=65,
    IF(AA629+J630 &lt; VLOOKUP(questions!$C$5, Lookup!$Q:$R, 2),
      AA629 + IF(MONTH(A630)=12, R629+X629, 0) + J630 ,
      MIN(
        AA629 + IF(MONTH(A630)=12, R629+X629, 0) + J630,
        VLOOKUP(questions!$C$5, Lookup!$Q:$R, 2)
      )
    )
)</f>
        <v>282111.0086</v>
      </c>
      <c r="AB630" s="65">
        <f t="shared" si="13"/>
        <v>1638013.341</v>
      </c>
      <c r="AC630" s="66">
        <f t="array" ref="AC630">IFS(B630&lt;66, XLOOKUP(year(A630),Lookup!$K$13:$K1000,Lookup!$L$13:$L1000,"missing",,1),B630&gt;65,XLOOKUP(questions!$C$5,Lookup!$K$13:$K1000,Lookup!$L$13:$L1000,"missing",,1))</f>
        <v>393675.3633</v>
      </c>
      <c r="AD630" s="66">
        <f t="array" ref="AD630">IFS(B630&lt;66, XLOOKUP(year(A630),Lookup!$K$13:$K1000,Lookup!$M$13:$M1000,"missing",,1),B630&gt;65, XLOOKUP(questions!$C$5,Lookup!$K$13:$K1000,Lookup!$M$13:$M1000,"missing",,1))</f>
        <v>787350.7266</v>
      </c>
      <c r="AE630" s="66">
        <f t="array" ref="AE630">IFS(B630&lt;66, XLOOKUP(year(A630),Lookup!$K$13:$K1000,Lookup!$N$13:$N1000,"missing",,1),B630&gt;65,XLOOKUP(questions!$C$5,Lookup!$K$13:$K1000,Lookup!$N$13:$N1000,"missing",,1))</f>
        <v>1574701.453</v>
      </c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  <c r="AQ630" s="37"/>
    </row>
    <row r="631">
      <c r="A631" s="55">
        <f t="shared" si="7"/>
        <v>65227</v>
      </c>
      <c r="B631" s="56">
        <f>round(YEARFRAC(EOMONTH(questions!$C$3, 0),A631,1),2)</f>
        <v>79.67</v>
      </c>
      <c r="C631" s="58">
        <f>IF(B631&lt;questions!$C$6,if(MONTH(A631)=1,C630*(1+questions!$C$12),C630),0)</f>
        <v>0</v>
      </c>
      <c r="D631" s="58">
        <f>IF(MONTH(A631)=12,C631*questions!$C$11,0)</f>
        <v>0</v>
      </c>
      <c r="E631" s="71">
        <f t="shared" si="2"/>
        <v>0</v>
      </c>
      <c r="F631" s="71">
        <f t="shared" si="3"/>
        <v>0</v>
      </c>
      <c r="G631" s="61">
        <f t="array" ref="G631">if(YEAR(A631)=2025,XLOOKUP(B631,Lookup!$A$3:$A$7,Lookup!$D$3:$D$7,,1)*SUM(E631:F631), XLOOKUP(B631,Lookup!$A$14:$A$18,Lookup!$D$14:$D$18,,1)*SUM(E631:F631))</f>
        <v>0</v>
      </c>
      <c r="H631" s="61">
        <f t="array" ref="H631">if(YEAR(A631)=2025,XLOOKUP(B631,Lookup!$F$3:$F$10,Lookup!$G$3:$G$10,,1)*G631, XLOOKUP(B631,Lookup!$F$14:$F$21,Lookup!$G$14:$G$21,,1)*G631)</f>
        <v>0</v>
      </c>
      <c r="I631" s="61">
        <f t="array" ref="I631">if(B631&lt;55, if(YEAR(A631)=2025,XLOOKUP(B631,Lookup!$F$3:$F$10,Lookup!$H$3:$H$10,,1)*G631, XLOOKUP(B631,Lookup!$F$14:$F$21,Lookup!$H$14:$H$21,,1)*G631),0)</f>
        <v>0</v>
      </c>
      <c r="J631" s="61">
        <f t="array" ref="J631">if(YEAR(A631)=2025,XLOOKUP(B631,Lookup!$F$3:$F$10,Lookup!$I$3:$I$10,,1)*G631, XLOOKUP(B631,Lookup!$F$14:$F$21,Lookup!$I$14:$I$21,,1)*G631)</f>
        <v>0</v>
      </c>
      <c r="K631" s="61">
        <f t="array" ref="K631">if(B631&gt;54, if(YEAR(A631)=2025,XLOOKUP(B631,Lookup!$F$3:$F$10,Lookup!$H$3:$H$10,,1)*G631, XLOOKUP(B631,Lookup!$F$14:$F$21,Lookup!$H$14:$H$21,,1)*G631),0)</f>
        <v>0</v>
      </c>
      <c r="L631" s="62">
        <f>IF(and(A631&lt;questions!$C$19,questions!$C$18="yes"),questions!$C$20,0)</f>
        <v>0</v>
      </c>
      <c r="M631" s="63">
        <f>(Y630+H631)*Lookup!A$26/12</f>
        <v>2897.874927</v>
      </c>
      <c r="N631" s="63">
        <f>if(B631&lt;55, (Z630+I631)*Lookup!B$26/12, (AB630+K631)*Lookup!B$26/12)</f>
        <v>5460.044469</v>
      </c>
      <c r="O631" s="63">
        <f>(AA630+J631)*Lookup!C$26/12</f>
        <v>940.3700287</v>
      </c>
      <c r="P631" s="63">
        <f t="shared" si="8"/>
        <v>20285.12449</v>
      </c>
      <c r="Q631" s="63">
        <f t="shared" si="4"/>
        <v>38220.31129</v>
      </c>
      <c r="R631" s="63">
        <f t="shared" si="5"/>
        <v>6582.590201</v>
      </c>
      <c r="S631" s="64">
        <f t="shared" si="9"/>
        <v>33.33333333</v>
      </c>
      <c r="T631" s="64">
        <f t="shared" si="10"/>
        <v>41.66666667</v>
      </c>
      <c r="U631" s="64">
        <f t="shared" si="11"/>
        <v>0</v>
      </c>
      <c r="V631" s="64">
        <f t="shared" ref="V631:X631" si="639">IF(year($A631)=year($A630), V630+S631, S631)</f>
        <v>233.3333333</v>
      </c>
      <c r="W631" s="64">
        <f t="shared" si="639"/>
        <v>291.6666667</v>
      </c>
      <c r="X631" s="64">
        <f t="shared" si="639"/>
        <v>0</v>
      </c>
      <c r="Y631" s="65">
        <f>IFS(
  B631&lt;55,
    MAX(
      Y630 + IF(MONTH(A631)=12, P631+V631, 0) + H631 - L631
      + MAX(0,
          IF(AA630 &gt;= VLOOKUP(YEAR(A631), Lookup!$Q:$R, 2),
            Z630 + IF(MONTH(A631)=12, Q631+W631, 0) + I631
              + AA630 + IF(MONTH(A631)=12, R631+X631, 0)
              - VLOOKUP(YEAR(A631), Lookup!$Q:$R, 2) + J631,
            Z630 + IF(MONTH(A631)=12, Q631+W631, 0) + I631
          ) - VLOOKUP(YEAR(A631), Lookup!$K:$M, 3)
        ),
    0),
  B631=55,
    IF(Z630&gt;=AD631,
      MAX(Y630 + IF(MONTH(A631)=12, P631+V631, 0) + H631 - L631, 0),
      MAX(MAX(0, Y630-(AD631-Z630)) + IF(MONTH(A631)=12, P631+V631, 0) + H631 - L631, 0)
    ),
  B631&gt;55,
    IF(AB630&gt;=$AH$7,
      MAX(Y630 + IF(MONTH(A631)=12, P631+V631, 0) + H631 - L631 + K631 + Z630, 0),
      MAX(Y630 + IF(MONTH(A631)=12, P631+V631, 0) + H631 - L631, 0)
    )
)</f>
        <v>1390979.965</v>
      </c>
      <c r="Z631" s="65">
        <f>IFS(
  B631&lt;55,
    MIN(
      IF(AA630 &gt;= VLOOKUP(YEAR(A631), Lookup!$Q:$R, 2),
        Z630 + IF(MONTH(A631)=12, Q631+W631, 0) + I631
          + AA630 + IF(MONTH(A631)=12, R631+X631, 0) - VLOOKUP(YEAR(A631), Lookup!$Q:$R, 2) + J631,
        Z630 + IF(MONTH(A631)=12, Q631+W631, 0) + I631
      ),
      VLOOKUP(YEAR(A631), Lookup!$K:$M, 3)
    ),
  B631=55,
    IF(Z630 &gt;= AD631, Z630 - AD631, 0),
  B631&gt;55, 0
)</f>
        <v>0</v>
      </c>
      <c r="AA631" s="65">
        <f>IFS(
  B631&lt;65,
    IF(AA630+J631 &lt; VLOOKUP(YEAR(A631), Lookup!$Q:$R, 2),
      AA630 + IF(MONTH(A631)=12, R630+X630, 0) + J631,
      MIN(
        AA630 + IF(MONTH(A631)=12, R630+X630, 0) + J631 ,
        VLOOKUP(YEAR(A631), Lookup!$Q:$R, 2)
      )
    ),
  B631&gt;=65,
    IF(AA630+J631 &lt; VLOOKUP(questions!$C$5, Lookup!$Q:$R, 2),
      AA630 + IF(MONTH(A631)=12, R630+X630, 0) + J631 ,
      MIN(
        AA630 + IF(MONTH(A631)=12, R630+X630, 0) + J631,
        VLOOKUP(questions!$C$5, Lookup!$Q:$R, 2)
      )
    )
)</f>
        <v>282111.0086</v>
      </c>
      <c r="AB631" s="65">
        <f t="shared" si="13"/>
        <v>1638013.341</v>
      </c>
      <c r="AC631" s="66">
        <f t="array" ref="AC631">IFS(B631&lt;66, XLOOKUP(year(A631),Lookup!$K$13:$K1000,Lookup!$L$13:$L1000,"missing",,1),B631&gt;65,XLOOKUP(questions!$C$5,Lookup!$K$13:$K1000,Lookup!$L$13:$L1000,"missing",,1))</f>
        <v>393675.3633</v>
      </c>
      <c r="AD631" s="66">
        <f t="array" ref="AD631">IFS(B631&lt;66, XLOOKUP(year(A631),Lookup!$K$13:$K1000,Lookup!$M$13:$M1000,"missing",,1),B631&gt;65, XLOOKUP(questions!$C$5,Lookup!$K$13:$K1000,Lookup!$M$13:$M1000,"missing",,1))</f>
        <v>787350.7266</v>
      </c>
      <c r="AE631" s="66">
        <f t="array" ref="AE631">IFS(B631&lt;66, XLOOKUP(year(A631),Lookup!$K$13:$K1000,Lookup!$N$13:$N1000,"missing",,1),B631&gt;65,XLOOKUP(questions!$C$5,Lookup!$K$13:$K1000,Lookup!$N$13:$N1000,"missing",,1))</f>
        <v>1574701.453</v>
      </c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  <c r="AQ631" s="37"/>
    </row>
    <row r="632">
      <c r="A632" s="55">
        <f t="shared" si="7"/>
        <v>65258</v>
      </c>
      <c r="B632" s="56">
        <f>round(YEARFRAC(EOMONTH(questions!$C$3, 0),A632,1),2)</f>
        <v>79.75</v>
      </c>
      <c r="C632" s="58">
        <f>IF(B632&lt;questions!$C$6,if(MONTH(A632)=1,C631*(1+questions!$C$12),C631),0)</f>
        <v>0</v>
      </c>
      <c r="D632" s="58">
        <f>IF(MONTH(A632)=12,C632*questions!$C$11,0)</f>
        <v>0</v>
      </c>
      <c r="E632" s="71">
        <f t="shared" si="2"/>
        <v>0</v>
      </c>
      <c r="F632" s="71">
        <f t="shared" si="3"/>
        <v>0</v>
      </c>
      <c r="G632" s="61">
        <f t="array" ref="G632">if(YEAR(A632)=2025,XLOOKUP(B632,Lookup!$A$3:$A$7,Lookup!$D$3:$D$7,,1)*SUM(E632:F632), XLOOKUP(B632,Lookup!$A$14:$A$18,Lookup!$D$14:$D$18,,1)*SUM(E632:F632))</f>
        <v>0</v>
      </c>
      <c r="H632" s="61">
        <f t="array" ref="H632">if(YEAR(A632)=2025,XLOOKUP(B632,Lookup!$F$3:$F$10,Lookup!$G$3:$G$10,,1)*G632, XLOOKUP(B632,Lookup!$F$14:$F$21,Lookup!$G$14:$G$21,,1)*G632)</f>
        <v>0</v>
      </c>
      <c r="I632" s="61">
        <f t="array" ref="I632">if(B632&lt;55, if(YEAR(A632)=2025,XLOOKUP(B632,Lookup!$F$3:$F$10,Lookup!$H$3:$H$10,,1)*G632, XLOOKUP(B632,Lookup!$F$14:$F$21,Lookup!$H$14:$H$21,,1)*G632),0)</f>
        <v>0</v>
      </c>
      <c r="J632" s="61">
        <f t="array" ref="J632">if(YEAR(A632)=2025,XLOOKUP(B632,Lookup!$F$3:$F$10,Lookup!$I$3:$I$10,,1)*G632, XLOOKUP(B632,Lookup!$F$14:$F$21,Lookup!$I$14:$I$21,,1)*G632)</f>
        <v>0</v>
      </c>
      <c r="K632" s="61">
        <f t="array" ref="K632">if(B632&gt;54, if(YEAR(A632)=2025,XLOOKUP(B632,Lookup!$F$3:$F$10,Lookup!$H$3:$H$10,,1)*G632, XLOOKUP(B632,Lookup!$F$14:$F$21,Lookup!$H$14:$H$21,,1)*G632),0)</f>
        <v>0</v>
      </c>
      <c r="L632" s="62">
        <f>IF(and(A632&lt;questions!$C$19,questions!$C$18="yes"),questions!$C$20,0)</f>
        <v>0</v>
      </c>
      <c r="M632" s="63">
        <f>(Y631+H632)*Lookup!A$26/12</f>
        <v>2897.874927</v>
      </c>
      <c r="N632" s="63">
        <f>if(B632&lt;55, (Z631+I632)*Lookup!B$26/12, (AB631+K632)*Lookup!B$26/12)</f>
        <v>5460.044469</v>
      </c>
      <c r="O632" s="63">
        <f>(AA631+J632)*Lookup!C$26/12</f>
        <v>940.3700287</v>
      </c>
      <c r="P632" s="63">
        <f t="shared" si="8"/>
        <v>23182.99941</v>
      </c>
      <c r="Q632" s="63">
        <f t="shared" si="4"/>
        <v>43680.35575</v>
      </c>
      <c r="R632" s="63">
        <f t="shared" si="5"/>
        <v>7522.960229</v>
      </c>
      <c r="S632" s="64">
        <f t="shared" si="9"/>
        <v>33.33333333</v>
      </c>
      <c r="T632" s="64">
        <f t="shared" si="10"/>
        <v>41.66666667</v>
      </c>
      <c r="U632" s="64">
        <f t="shared" si="11"/>
        <v>0</v>
      </c>
      <c r="V632" s="64">
        <f t="shared" ref="V632:X632" si="640">IF(year($A632)=year($A631), V631+S632, S632)</f>
        <v>266.6666667</v>
      </c>
      <c r="W632" s="64">
        <f t="shared" si="640"/>
        <v>333.3333333</v>
      </c>
      <c r="X632" s="64">
        <f t="shared" si="640"/>
        <v>0</v>
      </c>
      <c r="Y632" s="65">
        <f>IFS(
  B632&lt;55,
    MAX(
      Y631 + IF(MONTH(A632)=12, P632+V632, 0) + H632 - L632
      + MAX(0,
          IF(AA631 &gt;= VLOOKUP(YEAR(A632), Lookup!$Q:$R, 2),
            Z631 + IF(MONTH(A632)=12, Q632+W632, 0) + I632
              + AA631 + IF(MONTH(A632)=12, R632+X632, 0)
              - VLOOKUP(YEAR(A632), Lookup!$Q:$R, 2) + J632,
            Z631 + IF(MONTH(A632)=12, Q632+W632, 0) + I632
          ) - VLOOKUP(YEAR(A632), Lookup!$K:$M, 3)
        ),
    0),
  B632=55,
    IF(Z631&gt;=AD632,
      MAX(Y631 + IF(MONTH(A632)=12, P632+V632, 0) + H632 - L632, 0),
      MAX(MAX(0, Y631-(AD632-Z631)) + IF(MONTH(A632)=12, P632+V632, 0) + H632 - L632, 0)
    ),
  B632&gt;55,
    IF(AB631&gt;=$AH$7,
      MAX(Y631 + IF(MONTH(A632)=12, P632+V632, 0) + H632 - L632 + K632 + Z631, 0),
      MAX(Y631 + IF(MONTH(A632)=12, P632+V632, 0) + H632 - L632, 0)
    )
)</f>
        <v>1390979.965</v>
      </c>
      <c r="Z632" s="65">
        <f>IFS(
  B632&lt;55,
    MIN(
      IF(AA631 &gt;= VLOOKUP(YEAR(A632), Lookup!$Q:$R, 2),
        Z631 + IF(MONTH(A632)=12, Q632+W632, 0) + I632
          + AA631 + IF(MONTH(A632)=12, R632+X632, 0) - VLOOKUP(YEAR(A632), Lookup!$Q:$R, 2) + J632,
        Z631 + IF(MONTH(A632)=12, Q632+W632, 0) + I632
      ),
      VLOOKUP(YEAR(A632), Lookup!$K:$M, 3)
    ),
  B632=55,
    IF(Z631 &gt;= AD632, Z631 - AD632, 0),
  B632&gt;55, 0
)</f>
        <v>0</v>
      </c>
      <c r="AA632" s="65">
        <f>IFS(
  B632&lt;65,
    IF(AA631+J632 &lt; VLOOKUP(YEAR(A632), Lookup!$Q:$R, 2),
      AA631 + IF(MONTH(A632)=12, R631+X631, 0) + J632,
      MIN(
        AA631 + IF(MONTH(A632)=12, R631+X631, 0) + J632 ,
        VLOOKUP(YEAR(A632), Lookup!$Q:$R, 2)
      )
    ),
  B632&gt;=65,
    IF(AA631+J632 &lt; VLOOKUP(questions!$C$5, Lookup!$Q:$R, 2),
      AA631 + IF(MONTH(A632)=12, R631+X631, 0) + J632 ,
      MIN(
        AA631 + IF(MONTH(A632)=12, R631+X631, 0) + J632,
        VLOOKUP(questions!$C$5, Lookup!$Q:$R, 2)
      )
    )
)</f>
        <v>282111.0086</v>
      </c>
      <c r="AB632" s="65">
        <f t="shared" si="13"/>
        <v>1638013.341</v>
      </c>
      <c r="AC632" s="66">
        <f t="array" ref="AC632">IFS(B632&lt;66, XLOOKUP(year(A632),Lookup!$K$13:$K1000,Lookup!$L$13:$L1000,"missing",,1),B632&gt;65,XLOOKUP(questions!$C$5,Lookup!$K$13:$K1000,Lookup!$L$13:$L1000,"missing",,1))</f>
        <v>393675.3633</v>
      </c>
      <c r="AD632" s="66">
        <f t="array" ref="AD632">IFS(B632&lt;66, XLOOKUP(year(A632),Lookup!$K$13:$K1000,Lookup!$M$13:$M1000,"missing",,1),B632&gt;65, XLOOKUP(questions!$C$5,Lookup!$K$13:$K1000,Lookup!$M$13:$M1000,"missing",,1))</f>
        <v>787350.7266</v>
      </c>
      <c r="AE632" s="66">
        <f t="array" ref="AE632">IFS(B632&lt;66, XLOOKUP(year(A632),Lookup!$K$13:$K1000,Lookup!$N$13:$N1000,"missing",,1),B632&gt;65,XLOOKUP(questions!$C$5,Lookup!$K$13:$K1000,Lookup!$N$13:$N1000,"missing",,1))</f>
        <v>1574701.453</v>
      </c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  <c r="AQ632" s="37"/>
    </row>
    <row r="633">
      <c r="A633" s="55">
        <f t="shared" si="7"/>
        <v>65288</v>
      </c>
      <c r="B633" s="56">
        <f>round(YEARFRAC(EOMONTH(questions!$C$3, 0),A633,1),2)</f>
        <v>79.83</v>
      </c>
      <c r="C633" s="58">
        <f>IF(B633&lt;questions!$C$6,if(MONTH(A633)=1,C632*(1+questions!$C$12),C632),0)</f>
        <v>0</v>
      </c>
      <c r="D633" s="58">
        <f>IF(MONTH(A633)=12,C633*questions!$C$11,0)</f>
        <v>0</v>
      </c>
      <c r="E633" s="71">
        <f t="shared" si="2"/>
        <v>0</v>
      </c>
      <c r="F633" s="71">
        <f t="shared" si="3"/>
        <v>0</v>
      </c>
      <c r="G633" s="61">
        <f t="array" ref="G633">if(YEAR(A633)=2025,XLOOKUP(B633,Lookup!$A$3:$A$7,Lookup!$D$3:$D$7,,1)*SUM(E633:F633), XLOOKUP(B633,Lookup!$A$14:$A$18,Lookup!$D$14:$D$18,,1)*SUM(E633:F633))</f>
        <v>0</v>
      </c>
      <c r="H633" s="61">
        <f t="array" ref="H633">if(YEAR(A633)=2025,XLOOKUP(B633,Lookup!$F$3:$F$10,Lookup!$G$3:$G$10,,1)*G633, XLOOKUP(B633,Lookup!$F$14:$F$21,Lookup!$G$14:$G$21,,1)*G633)</f>
        <v>0</v>
      </c>
      <c r="I633" s="61">
        <f t="array" ref="I633">if(B633&lt;55, if(YEAR(A633)=2025,XLOOKUP(B633,Lookup!$F$3:$F$10,Lookup!$H$3:$H$10,,1)*G633, XLOOKUP(B633,Lookup!$F$14:$F$21,Lookup!$H$14:$H$21,,1)*G633),0)</f>
        <v>0</v>
      </c>
      <c r="J633" s="61">
        <f t="array" ref="J633">if(YEAR(A633)=2025,XLOOKUP(B633,Lookup!$F$3:$F$10,Lookup!$I$3:$I$10,,1)*G633, XLOOKUP(B633,Lookup!$F$14:$F$21,Lookup!$I$14:$I$21,,1)*G633)</f>
        <v>0</v>
      </c>
      <c r="K633" s="61">
        <f t="array" ref="K633">if(B633&gt;54, if(YEAR(A633)=2025,XLOOKUP(B633,Lookup!$F$3:$F$10,Lookup!$H$3:$H$10,,1)*G633, XLOOKUP(B633,Lookup!$F$14:$F$21,Lookup!$H$14:$H$21,,1)*G633),0)</f>
        <v>0</v>
      </c>
      <c r="L633" s="62">
        <f>IF(and(A633&lt;questions!$C$19,questions!$C$18="yes"),questions!$C$20,0)</f>
        <v>0</v>
      </c>
      <c r="M633" s="63">
        <f>(Y632+H633)*Lookup!A$26/12</f>
        <v>2897.874927</v>
      </c>
      <c r="N633" s="63">
        <f>if(B633&lt;55, (Z632+I633)*Lookup!B$26/12, (AB632+K633)*Lookup!B$26/12)</f>
        <v>5460.044469</v>
      </c>
      <c r="O633" s="63">
        <f>(AA632+J633)*Lookup!C$26/12</f>
        <v>940.3700287</v>
      </c>
      <c r="P633" s="63">
        <f t="shared" si="8"/>
        <v>26080.87434</v>
      </c>
      <c r="Q633" s="63">
        <f t="shared" si="4"/>
        <v>49140.40022</v>
      </c>
      <c r="R633" s="63">
        <f t="shared" si="5"/>
        <v>8463.330258</v>
      </c>
      <c r="S633" s="64">
        <f t="shared" si="9"/>
        <v>33.33333333</v>
      </c>
      <c r="T633" s="64">
        <f t="shared" si="10"/>
        <v>41.66666667</v>
      </c>
      <c r="U633" s="64">
        <f t="shared" si="11"/>
        <v>0</v>
      </c>
      <c r="V633" s="64">
        <f t="shared" ref="V633:X633" si="641">IF(year($A633)=year($A632), V632+S633, S633)</f>
        <v>300</v>
      </c>
      <c r="W633" s="64">
        <f t="shared" si="641"/>
        <v>375</v>
      </c>
      <c r="X633" s="64">
        <f t="shared" si="641"/>
        <v>0</v>
      </c>
      <c r="Y633" s="65">
        <f>IFS(
  B633&lt;55,
    MAX(
      Y632 + IF(MONTH(A633)=12, P633+V633, 0) + H633 - L633
      + MAX(0,
          IF(AA632 &gt;= VLOOKUP(YEAR(A633), Lookup!$Q:$R, 2),
            Z632 + IF(MONTH(A633)=12, Q633+W633, 0) + I633
              + AA632 + IF(MONTH(A633)=12, R633+X633, 0)
              - VLOOKUP(YEAR(A633), Lookup!$Q:$R, 2) + J633,
            Z632 + IF(MONTH(A633)=12, Q633+W633, 0) + I633
          ) - VLOOKUP(YEAR(A633), Lookup!$K:$M, 3)
        ),
    0),
  B633=55,
    IF(Z632&gt;=AD633,
      MAX(Y632 + IF(MONTH(A633)=12, P633+V633, 0) + H633 - L633, 0),
      MAX(MAX(0, Y632-(AD633-Z632)) + IF(MONTH(A633)=12, P633+V633, 0) + H633 - L633, 0)
    ),
  B633&gt;55,
    IF(AB632&gt;=$AH$7,
      MAX(Y632 + IF(MONTH(A633)=12, P633+V633, 0) + H633 - L633 + K633 + Z632, 0),
      MAX(Y632 + IF(MONTH(A633)=12, P633+V633, 0) + H633 - L633, 0)
    )
)</f>
        <v>1390979.965</v>
      </c>
      <c r="Z633" s="65">
        <f>IFS(
  B633&lt;55,
    MIN(
      IF(AA632 &gt;= VLOOKUP(YEAR(A633), Lookup!$Q:$R, 2),
        Z632 + IF(MONTH(A633)=12, Q633+W633, 0) + I633
          + AA632 + IF(MONTH(A633)=12, R633+X633, 0) - VLOOKUP(YEAR(A633), Lookup!$Q:$R, 2) + J633,
        Z632 + IF(MONTH(A633)=12, Q633+W633, 0) + I633
      ),
      VLOOKUP(YEAR(A633), Lookup!$K:$M, 3)
    ),
  B633=55,
    IF(Z632 &gt;= AD633, Z632 - AD633, 0),
  B633&gt;55, 0
)</f>
        <v>0</v>
      </c>
      <c r="AA633" s="65">
        <f>IFS(
  B633&lt;65,
    IF(AA632+J633 &lt; VLOOKUP(YEAR(A633), Lookup!$Q:$R, 2),
      AA632 + IF(MONTH(A633)=12, R632+X632, 0) + J633,
      MIN(
        AA632 + IF(MONTH(A633)=12, R632+X632, 0) + J633 ,
        VLOOKUP(YEAR(A633), Lookup!$Q:$R, 2)
      )
    ),
  B633&gt;=65,
    IF(AA632+J633 &lt; VLOOKUP(questions!$C$5, Lookup!$Q:$R, 2),
      AA632 + IF(MONTH(A633)=12, R632+X632, 0) + J633 ,
      MIN(
        AA632 + IF(MONTH(A633)=12, R632+X632, 0) + J633,
        VLOOKUP(questions!$C$5, Lookup!$Q:$R, 2)
      )
    )
)</f>
        <v>282111.0086</v>
      </c>
      <c r="AB633" s="65">
        <f t="shared" si="13"/>
        <v>1638013.341</v>
      </c>
      <c r="AC633" s="66">
        <f t="array" ref="AC633">IFS(B633&lt;66, XLOOKUP(year(A633),Lookup!$K$13:$K1000,Lookup!$L$13:$L1000,"missing",,1),B633&gt;65,XLOOKUP(questions!$C$5,Lookup!$K$13:$K1000,Lookup!$L$13:$L1000,"missing",,1))</f>
        <v>393675.3633</v>
      </c>
      <c r="AD633" s="66">
        <f t="array" ref="AD633">IFS(B633&lt;66, XLOOKUP(year(A633),Lookup!$K$13:$K1000,Lookup!$M$13:$M1000,"missing",,1),B633&gt;65, XLOOKUP(questions!$C$5,Lookup!$K$13:$K1000,Lookup!$M$13:$M1000,"missing",,1))</f>
        <v>787350.7266</v>
      </c>
      <c r="AE633" s="66">
        <f t="array" ref="AE633">IFS(B633&lt;66, XLOOKUP(year(A633),Lookup!$K$13:$K1000,Lookup!$N$13:$N1000,"missing",,1),B633&gt;65,XLOOKUP(questions!$C$5,Lookup!$K$13:$K1000,Lookup!$N$13:$N1000,"missing",,1))</f>
        <v>1574701.453</v>
      </c>
      <c r="AF633" s="37"/>
      <c r="AG633" s="37"/>
      <c r="AH633" s="37"/>
      <c r="AI633" s="37"/>
      <c r="AJ633" s="37"/>
      <c r="AK633" s="37"/>
      <c r="AL633" s="37"/>
      <c r="AM633" s="37"/>
      <c r="AN633" s="37"/>
      <c r="AO633" s="37"/>
      <c r="AP633" s="37"/>
      <c r="AQ633" s="37"/>
    </row>
    <row r="634">
      <c r="A634" s="55">
        <f t="shared" si="7"/>
        <v>65319</v>
      </c>
      <c r="B634" s="56">
        <f>round(YEARFRAC(EOMONTH(questions!$C$3, 0),A634,1),2)</f>
        <v>79.92</v>
      </c>
      <c r="C634" s="58">
        <f>IF(B634&lt;questions!$C$6,if(MONTH(A634)=1,C633*(1+questions!$C$12),C633),0)</f>
        <v>0</v>
      </c>
      <c r="D634" s="58">
        <f>IF(MONTH(A634)=12,C634*questions!$C$11,0)</f>
        <v>0</v>
      </c>
      <c r="E634" s="71">
        <f t="shared" si="2"/>
        <v>0</v>
      </c>
      <c r="F634" s="71">
        <f t="shared" si="3"/>
        <v>0</v>
      </c>
      <c r="G634" s="61">
        <f t="array" ref="G634">if(YEAR(A634)=2025,XLOOKUP(B634,Lookup!$A$3:$A$7,Lookup!$D$3:$D$7,,1)*SUM(E634:F634), XLOOKUP(B634,Lookup!$A$14:$A$18,Lookup!$D$14:$D$18,,1)*SUM(E634:F634))</f>
        <v>0</v>
      </c>
      <c r="H634" s="61">
        <f t="array" ref="H634">if(YEAR(A634)=2025,XLOOKUP(B634,Lookup!$F$3:$F$10,Lookup!$G$3:$G$10,,1)*G634, XLOOKUP(B634,Lookup!$F$14:$F$21,Lookup!$G$14:$G$21,,1)*G634)</f>
        <v>0</v>
      </c>
      <c r="I634" s="61">
        <f t="array" ref="I634">if(B634&lt;55, if(YEAR(A634)=2025,XLOOKUP(B634,Lookup!$F$3:$F$10,Lookup!$H$3:$H$10,,1)*G634, XLOOKUP(B634,Lookup!$F$14:$F$21,Lookup!$H$14:$H$21,,1)*G634),0)</f>
        <v>0</v>
      </c>
      <c r="J634" s="61">
        <f t="array" ref="J634">if(YEAR(A634)=2025,XLOOKUP(B634,Lookup!$F$3:$F$10,Lookup!$I$3:$I$10,,1)*G634, XLOOKUP(B634,Lookup!$F$14:$F$21,Lookup!$I$14:$I$21,,1)*G634)</f>
        <v>0</v>
      </c>
      <c r="K634" s="61">
        <f t="array" ref="K634">if(B634&gt;54, if(YEAR(A634)=2025,XLOOKUP(B634,Lookup!$F$3:$F$10,Lookup!$H$3:$H$10,,1)*G634, XLOOKUP(B634,Lookup!$F$14:$F$21,Lookup!$H$14:$H$21,,1)*G634),0)</f>
        <v>0</v>
      </c>
      <c r="L634" s="62">
        <f>IF(and(A634&lt;questions!$C$19,questions!$C$18="yes"),questions!$C$20,0)</f>
        <v>0</v>
      </c>
      <c r="M634" s="63">
        <f>(Y633+H634)*Lookup!A$26/12</f>
        <v>2897.874927</v>
      </c>
      <c r="N634" s="63">
        <f>if(B634&lt;55, (Z633+I634)*Lookup!B$26/12, (AB633+K634)*Lookup!B$26/12)</f>
        <v>5460.044469</v>
      </c>
      <c r="O634" s="63">
        <f>(AA633+J634)*Lookup!C$26/12</f>
        <v>940.3700287</v>
      </c>
      <c r="P634" s="63">
        <f t="shared" si="8"/>
        <v>28978.74927</v>
      </c>
      <c r="Q634" s="63">
        <f t="shared" si="4"/>
        <v>54600.44469</v>
      </c>
      <c r="R634" s="63">
        <f t="shared" si="5"/>
        <v>9403.700287</v>
      </c>
      <c r="S634" s="64">
        <f t="shared" si="9"/>
        <v>33.33333333</v>
      </c>
      <c r="T634" s="64">
        <f t="shared" si="10"/>
        <v>41.66666667</v>
      </c>
      <c r="U634" s="64">
        <f t="shared" si="11"/>
        <v>0</v>
      </c>
      <c r="V634" s="64">
        <f t="shared" ref="V634:X634" si="642">IF(year($A634)=year($A633), V633+S634, S634)</f>
        <v>333.3333333</v>
      </c>
      <c r="W634" s="64">
        <f t="shared" si="642"/>
        <v>416.6666667</v>
      </c>
      <c r="X634" s="64">
        <f t="shared" si="642"/>
        <v>0</v>
      </c>
      <c r="Y634" s="65">
        <f>IFS(
  B634&lt;55,
    MAX(
      Y633 + IF(MONTH(A634)=12, P634+V634, 0) + H634 - L634
      + MAX(0,
          IF(AA633 &gt;= VLOOKUP(YEAR(A634), Lookup!$Q:$R, 2),
            Z633 + IF(MONTH(A634)=12, Q634+W634, 0) + I634
              + AA633 + IF(MONTH(A634)=12, R634+X634, 0)
              - VLOOKUP(YEAR(A634), Lookup!$Q:$R, 2) + J634,
            Z633 + IF(MONTH(A634)=12, Q634+W634, 0) + I634
          ) - VLOOKUP(YEAR(A634), Lookup!$K:$M, 3)
        ),
    0),
  B634=55,
    IF(Z633&gt;=AD634,
      MAX(Y633 + IF(MONTH(A634)=12, P634+V634, 0) + H634 - L634, 0),
      MAX(MAX(0, Y633-(AD634-Z633)) + IF(MONTH(A634)=12, P634+V634, 0) + H634 - L634, 0)
    ),
  B634&gt;55,
    IF(AB633&gt;=$AH$7,
      MAX(Y633 + IF(MONTH(A634)=12, P634+V634, 0) + H634 - L634 + K634 + Z633, 0),
      MAX(Y633 + IF(MONTH(A634)=12, P634+V634, 0) + H634 - L634, 0)
    )
)</f>
        <v>1390979.965</v>
      </c>
      <c r="Z634" s="65">
        <f>IFS(
  B634&lt;55,
    MIN(
      IF(AA633 &gt;= VLOOKUP(YEAR(A634), Lookup!$Q:$R, 2),
        Z633 + IF(MONTH(A634)=12, Q634+W634, 0) + I634
          + AA633 + IF(MONTH(A634)=12, R634+X634, 0) - VLOOKUP(YEAR(A634), Lookup!$Q:$R, 2) + J634,
        Z633 + IF(MONTH(A634)=12, Q634+W634, 0) + I634
      ),
      VLOOKUP(YEAR(A634), Lookup!$K:$M, 3)
    ),
  B634=55,
    IF(Z633 &gt;= AD634, Z633 - AD634, 0),
  B634&gt;55, 0
)</f>
        <v>0</v>
      </c>
      <c r="AA634" s="65">
        <f>IFS(
  B634&lt;65,
    IF(AA633+J634 &lt; VLOOKUP(YEAR(A634), Lookup!$Q:$R, 2),
      AA633 + IF(MONTH(A634)=12, R633+X633, 0) + J634,
      MIN(
        AA633 + IF(MONTH(A634)=12, R633+X633, 0) + J634 ,
        VLOOKUP(YEAR(A634), Lookup!$Q:$R, 2)
      )
    ),
  B634&gt;=65,
    IF(AA633+J634 &lt; VLOOKUP(questions!$C$5, Lookup!$Q:$R, 2),
      AA633 + IF(MONTH(A634)=12, R633+X633, 0) + J634 ,
      MIN(
        AA633 + IF(MONTH(A634)=12, R633+X633, 0) + J634,
        VLOOKUP(questions!$C$5, Lookup!$Q:$R, 2)
      )
    )
)</f>
        <v>282111.0086</v>
      </c>
      <c r="AB634" s="65">
        <f t="shared" si="13"/>
        <v>1638013.341</v>
      </c>
      <c r="AC634" s="66">
        <f t="array" ref="AC634">IFS(B634&lt;66, XLOOKUP(year(A634),Lookup!$K$13:$K1000,Lookup!$L$13:$L1000,"missing",,1),B634&gt;65,XLOOKUP(questions!$C$5,Lookup!$K$13:$K1000,Lookup!$L$13:$L1000,"missing",,1))</f>
        <v>393675.3633</v>
      </c>
      <c r="AD634" s="66">
        <f t="array" ref="AD634">IFS(B634&lt;66, XLOOKUP(year(A634),Lookup!$K$13:$K1000,Lookup!$M$13:$M1000,"missing",,1),B634&gt;65, XLOOKUP(questions!$C$5,Lookup!$K$13:$K1000,Lookup!$M$13:$M1000,"missing",,1))</f>
        <v>787350.7266</v>
      </c>
      <c r="AE634" s="66">
        <f t="array" ref="AE634">IFS(B634&lt;66, XLOOKUP(year(A634),Lookup!$K$13:$K1000,Lookup!$N$13:$N1000,"missing",,1),B634&gt;65,XLOOKUP(questions!$C$5,Lookup!$K$13:$K1000,Lookup!$N$13:$N1000,"missing",,1))</f>
        <v>1574701.453</v>
      </c>
      <c r="AF634" s="37"/>
      <c r="AG634" s="37"/>
      <c r="AH634" s="37"/>
      <c r="AI634" s="37"/>
      <c r="AJ634" s="37"/>
      <c r="AK634" s="37"/>
      <c r="AL634" s="37"/>
      <c r="AM634" s="37"/>
      <c r="AN634" s="37"/>
      <c r="AO634" s="37"/>
      <c r="AP634" s="37"/>
      <c r="AQ634" s="37"/>
    </row>
    <row r="635">
      <c r="A635" s="55">
        <f t="shared" si="7"/>
        <v>65349</v>
      </c>
      <c r="B635" s="56">
        <f>round(YEARFRAC(EOMONTH(questions!$C$3, 0),A635,1),2)</f>
        <v>80</v>
      </c>
      <c r="C635" s="58">
        <f>IF(B635&lt;questions!$C$6,if(MONTH(A635)=1,C634*(1+questions!$C$12),C634),0)</f>
        <v>0</v>
      </c>
      <c r="D635" s="58">
        <f>IF(MONTH(A635)=12,C635*questions!$C$11,0)</f>
        <v>0</v>
      </c>
      <c r="E635" s="71">
        <f t="shared" si="2"/>
        <v>0</v>
      </c>
      <c r="F635" s="71">
        <f t="shared" si="3"/>
        <v>0</v>
      </c>
      <c r="G635" s="61">
        <f t="array" ref="G635">if(YEAR(A635)=2025,XLOOKUP(B635,Lookup!$A$3:$A$7,Lookup!$D$3:$D$7,,1)*SUM(E635:F635), XLOOKUP(B635,Lookup!$A$14:$A$18,Lookup!$D$14:$D$18,,1)*SUM(E635:F635))</f>
        <v>0</v>
      </c>
      <c r="H635" s="61">
        <f t="array" ref="H635">if(YEAR(A635)=2025,XLOOKUP(B635,Lookup!$F$3:$F$10,Lookup!$G$3:$G$10,,1)*G635, XLOOKUP(B635,Lookup!$F$14:$F$21,Lookup!$G$14:$G$21,,1)*G635)</f>
        <v>0</v>
      </c>
      <c r="I635" s="61">
        <f t="array" ref="I635">if(B635&lt;55, if(YEAR(A635)=2025,XLOOKUP(B635,Lookup!$F$3:$F$10,Lookup!$H$3:$H$10,,1)*G635, XLOOKUP(B635,Lookup!$F$14:$F$21,Lookup!$H$14:$H$21,,1)*G635),0)</f>
        <v>0</v>
      </c>
      <c r="J635" s="61">
        <f t="array" ref="J635">if(YEAR(A635)=2025,XLOOKUP(B635,Lookup!$F$3:$F$10,Lookup!$I$3:$I$10,,1)*G635, XLOOKUP(B635,Lookup!$F$14:$F$21,Lookup!$I$14:$I$21,,1)*G635)</f>
        <v>0</v>
      </c>
      <c r="K635" s="61">
        <f t="array" ref="K635">if(B635&gt;54, if(YEAR(A635)=2025,XLOOKUP(B635,Lookup!$F$3:$F$10,Lookup!$H$3:$H$10,,1)*G635, XLOOKUP(B635,Lookup!$F$14:$F$21,Lookup!$H$14:$H$21,,1)*G635),0)</f>
        <v>0</v>
      </c>
      <c r="L635" s="62">
        <f>IF(and(A635&lt;questions!$C$19,questions!$C$18="yes"),questions!$C$20,0)</f>
        <v>0</v>
      </c>
      <c r="M635" s="63">
        <f>(Y634+H635)*Lookup!A$26/12</f>
        <v>2897.874927</v>
      </c>
      <c r="N635" s="63">
        <f>if(B635&lt;55, (Z634+I635)*Lookup!B$26/12, (AB634+K635)*Lookup!B$26/12)</f>
        <v>5460.044469</v>
      </c>
      <c r="O635" s="63">
        <f>(AA634+J635)*Lookup!C$26/12</f>
        <v>940.3700287</v>
      </c>
      <c r="P635" s="63">
        <f t="shared" si="8"/>
        <v>31876.62419</v>
      </c>
      <c r="Q635" s="63">
        <f t="shared" si="4"/>
        <v>60060.48916</v>
      </c>
      <c r="R635" s="63">
        <f t="shared" si="5"/>
        <v>10344.07032</v>
      </c>
      <c r="S635" s="64">
        <f t="shared" si="9"/>
        <v>33.33333333</v>
      </c>
      <c r="T635" s="64">
        <f t="shared" si="10"/>
        <v>41.66666667</v>
      </c>
      <c r="U635" s="64">
        <f t="shared" si="11"/>
        <v>0</v>
      </c>
      <c r="V635" s="64">
        <f t="shared" ref="V635:X635" si="643">IF(year($A635)=year($A634), V634+S635, S635)</f>
        <v>366.6666667</v>
      </c>
      <c r="W635" s="64">
        <f t="shared" si="643"/>
        <v>458.3333333</v>
      </c>
      <c r="X635" s="64">
        <f t="shared" si="643"/>
        <v>0</v>
      </c>
      <c r="Y635" s="65">
        <f>IFS(
  B635&lt;55,
    MAX(
      Y634 + IF(MONTH(A635)=12, P635+V635, 0) + H635 - L635
      + MAX(0,
          IF(AA634 &gt;= VLOOKUP(YEAR(A635), Lookup!$Q:$R, 2),
            Z634 + IF(MONTH(A635)=12, Q635+W635, 0) + I635
              + AA634 + IF(MONTH(A635)=12, R635+X635, 0)
              - VLOOKUP(YEAR(A635), Lookup!$Q:$R, 2) + J635,
            Z634 + IF(MONTH(A635)=12, Q635+W635, 0) + I635
          ) - VLOOKUP(YEAR(A635), Lookup!$K:$M, 3)
        ),
    0),
  B635=55,
    IF(Z634&gt;=AD635,
      MAX(Y634 + IF(MONTH(A635)=12, P635+V635, 0) + H635 - L635, 0),
      MAX(MAX(0, Y634-(AD635-Z634)) + IF(MONTH(A635)=12, P635+V635, 0) + H635 - L635, 0)
    ),
  B635&gt;55,
    IF(AB634&gt;=$AH$7,
      MAX(Y634 + IF(MONTH(A635)=12, P635+V635, 0) + H635 - L635 + K635 + Z634, 0),
      MAX(Y634 + IF(MONTH(A635)=12, P635+V635, 0) + H635 - L635, 0)
    )
)</f>
        <v>1390979.965</v>
      </c>
      <c r="Z635" s="65">
        <f>IFS(
  B635&lt;55,
    MIN(
      IF(AA634 &gt;= VLOOKUP(YEAR(A635), Lookup!$Q:$R, 2),
        Z634 + IF(MONTH(A635)=12, Q635+W635, 0) + I635
          + AA634 + IF(MONTH(A635)=12, R635+X635, 0) - VLOOKUP(YEAR(A635), Lookup!$Q:$R, 2) + J635,
        Z634 + IF(MONTH(A635)=12, Q635+W635, 0) + I635
      ),
      VLOOKUP(YEAR(A635), Lookup!$K:$M, 3)
    ),
  B635=55,
    IF(Z634 &gt;= AD635, Z634 - AD635, 0),
  B635&gt;55, 0
)</f>
        <v>0</v>
      </c>
      <c r="AA635" s="65">
        <f>IFS(
  B635&lt;65,
    IF(AA634+J635 &lt; VLOOKUP(YEAR(A635), Lookup!$Q:$R, 2),
      AA634 + IF(MONTH(A635)=12, R634+X634, 0) + J635,
      MIN(
        AA634 + IF(MONTH(A635)=12, R634+X634, 0) + J635 ,
        VLOOKUP(YEAR(A635), Lookup!$Q:$R, 2)
      )
    ),
  B635&gt;=65,
    IF(AA634+J635 &lt; VLOOKUP(questions!$C$5, Lookup!$Q:$R, 2),
      AA634 + IF(MONTH(A635)=12, R634+X634, 0) + J635 ,
      MIN(
        AA634 + IF(MONTH(A635)=12, R634+X634, 0) + J635,
        VLOOKUP(questions!$C$5, Lookup!$Q:$R, 2)
      )
    )
)</f>
        <v>282111.0086</v>
      </c>
      <c r="AB635" s="65">
        <f t="shared" si="13"/>
        <v>1638013.341</v>
      </c>
      <c r="AC635" s="66">
        <f t="array" ref="AC635">IFS(B635&lt;66, XLOOKUP(year(A635),Lookup!$K$13:$K1000,Lookup!$L$13:$L1000,"missing",,1),B635&gt;65,XLOOKUP(questions!$C$5,Lookup!$K$13:$K1000,Lookup!$L$13:$L1000,"missing",,1))</f>
        <v>393675.3633</v>
      </c>
      <c r="AD635" s="66">
        <f t="array" ref="AD635">IFS(B635&lt;66, XLOOKUP(year(A635),Lookup!$K$13:$K1000,Lookup!$M$13:$M1000,"missing",,1),B635&gt;65, XLOOKUP(questions!$C$5,Lookup!$K$13:$K1000,Lookup!$M$13:$M1000,"missing",,1))</f>
        <v>787350.7266</v>
      </c>
      <c r="AE635" s="66">
        <f t="array" ref="AE635">IFS(B635&lt;66, XLOOKUP(year(A635),Lookup!$K$13:$K1000,Lookup!$N$13:$N1000,"missing",,1),B635&gt;65,XLOOKUP(questions!$C$5,Lookup!$K$13:$K1000,Lookup!$N$13:$N1000,"missing",,1))</f>
        <v>1574701.453</v>
      </c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7"/>
      <c r="AQ635" s="37"/>
    </row>
    <row r="636">
      <c r="A636" s="55">
        <f t="shared" si="7"/>
        <v>65380</v>
      </c>
      <c r="B636" s="56">
        <f>round(YEARFRAC(EOMONTH(questions!$C$3, 0),A636,1),2)</f>
        <v>80.08</v>
      </c>
      <c r="C636" s="58">
        <f>IF(B636&lt;questions!$C$6,if(MONTH(A636)=1,C635*(1+questions!$C$12),C635),0)</f>
        <v>0</v>
      </c>
      <c r="D636" s="58">
        <f>IF(MONTH(A636)=12,C636*questions!$C$11,0)</f>
        <v>0</v>
      </c>
      <c r="E636" s="71">
        <f t="shared" si="2"/>
        <v>0</v>
      </c>
      <c r="F636" s="71">
        <f t="shared" si="3"/>
        <v>0</v>
      </c>
      <c r="G636" s="61">
        <f t="array" ref="G636">if(YEAR(A636)=2025,XLOOKUP(B636,Lookup!$A$3:$A$7,Lookup!$D$3:$D$7,,1)*SUM(E636:F636), XLOOKUP(B636,Lookup!$A$14:$A$18,Lookup!$D$14:$D$18,,1)*SUM(E636:F636))</f>
        <v>0</v>
      </c>
      <c r="H636" s="61">
        <f t="array" ref="H636">if(YEAR(A636)=2025,XLOOKUP(B636,Lookup!$F$3:$F$10,Lookup!$G$3:$G$10,,1)*G636, XLOOKUP(B636,Lookup!$F$14:$F$21,Lookup!$G$14:$G$21,,1)*G636)</f>
        <v>0</v>
      </c>
      <c r="I636" s="61">
        <f t="array" ref="I636">if(B636&lt;55, if(YEAR(A636)=2025,XLOOKUP(B636,Lookup!$F$3:$F$10,Lookup!$H$3:$H$10,,1)*G636, XLOOKUP(B636,Lookup!$F$14:$F$21,Lookup!$H$14:$H$21,,1)*G636),0)</f>
        <v>0</v>
      </c>
      <c r="J636" s="61">
        <f t="array" ref="J636">if(YEAR(A636)=2025,XLOOKUP(B636,Lookup!$F$3:$F$10,Lookup!$I$3:$I$10,,1)*G636, XLOOKUP(B636,Lookup!$F$14:$F$21,Lookup!$I$14:$I$21,,1)*G636)</f>
        <v>0</v>
      </c>
      <c r="K636" s="61">
        <f t="array" ref="K636">if(B636&gt;54, if(YEAR(A636)=2025,XLOOKUP(B636,Lookup!$F$3:$F$10,Lookup!$H$3:$H$10,,1)*G636, XLOOKUP(B636,Lookup!$F$14:$F$21,Lookup!$H$14:$H$21,,1)*G636),0)</f>
        <v>0</v>
      </c>
      <c r="L636" s="62">
        <f>IF(and(A636&lt;questions!$C$19,questions!$C$18="yes"),questions!$C$20,0)</f>
        <v>0</v>
      </c>
      <c r="M636" s="63">
        <f>(Y635+H636)*Lookup!A$26/12</f>
        <v>2897.874927</v>
      </c>
      <c r="N636" s="63">
        <f>if(B636&lt;55, (Z635+I636)*Lookup!B$26/12, (AB635+K636)*Lookup!B$26/12)</f>
        <v>5460.044469</v>
      </c>
      <c r="O636" s="63">
        <f>(AA635+J636)*Lookup!C$26/12</f>
        <v>940.3700287</v>
      </c>
      <c r="P636" s="63">
        <f t="shared" si="8"/>
        <v>34774.49912</v>
      </c>
      <c r="Q636" s="63">
        <f t="shared" si="4"/>
        <v>65520.53363</v>
      </c>
      <c r="R636" s="63">
        <f t="shared" si="5"/>
        <v>11284.44034</v>
      </c>
      <c r="S636" s="64">
        <f t="shared" si="9"/>
        <v>33.33333333</v>
      </c>
      <c r="T636" s="64">
        <f t="shared" si="10"/>
        <v>41.66666667</v>
      </c>
      <c r="U636" s="64">
        <f t="shared" si="11"/>
        <v>0</v>
      </c>
      <c r="V636" s="64">
        <f t="shared" ref="V636:X636" si="644">IF(year($A636)=year($A635), V635+S636, S636)</f>
        <v>400</v>
      </c>
      <c r="W636" s="64">
        <f t="shared" si="644"/>
        <v>500</v>
      </c>
      <c r="X636" s="64">
        <f t="shared" si="644"/>
        <v>0</v>
      </c>
      <c r="Y636" s="65">
        <f>IFS(
  B636&lt;55,
    MAX(
      Y635 + IF(MONTH(A636)=12, P636+V636, 0) + H636 - L636
      + MAX(0,
          IF(AA635 &gt;= VLOOKUP(YEAR(A636), Lookup!$Q:$R, 2),
            Z635 + IF(MONTH(A636)=12, Q636+W636, 0) + I636
              + AA635 + IF(MONTH(A636)=12, R636+X636, 0)
              - VLOOKUP(YEAR(A636), Lookup!$Q:$R, 2) + J636,
            Z635 + IF(MONTH(A636)=12, Q636+W636, 0) + I636
          ) - VLOOKUP(YEAR(A636), Lookup!$K:$M, 3)
        ),
    0),
  B636=55,
    IF(Z635&gt;=AD636,
      MAX(Y635 + IF(MONTH(A636)=12, P636+V636, 0) + H636 - L636, 0),
      MAX(MAX(0, Y635-(AD636-Z635)) + IF(MONTH(A636)=12, P636+V636, 0) + H636 - L636, 0)
    ),
  B636&gt;55,
    IF(AB635&gt;=$AH$7,
      MAX(Y635 + IF(MONTH(A636)=12, P636+V636, 0) + H636 - L636 + K636 + Z635, 0),
      MAX(Y635 + IF(MONTH(A636)=12, P636+V636, 0) + H636 - L636, 0)
    )
)</f>
        <v>1426154.464</v>
      </c>
      <c r="Z636" s="65">
        <f>IFS(
  B636&lt;55,
    MIN(
      IF(AA635 &gt;= VLOOKUP(YEAR(A636), Lookup!$Q:$R, 2),
        Z635 + IF(MONTH(A636)=12, Q636+W636, 0) + I636
          + AA635 + IF(MONTH(A636)=12, R636+X636, 0) - VLOOKUP(YEAR(A636), Lookup!$Q:$R, 2) + J636,
        Z635 + IF(MONTH(A636)=12, Q636+W636, 0) + I636
      ),
      VLOOKUP(YEAR(A636), Lookup!$K:$M, 3)
    ),
  B636=55,
    IF(Z635 &gt;= AD636, Z635 - AD636, 0),
  B636&gt;55, 0
)</f>
        <v>0</v>
      </c>
      <c r="AA636" s="65">
        <f>IFS(
  B636&lt;65,
    IF(AA635+J636 &lt; VLOOKUP(YEAR(A636), Lookup!$Q:$R, 2),
      AA635 + IF(MONTH(A636)=12, R635+X635, 0) + J636,
      MIN(
        AA635 + IF(MONTH(A636)=12, R635+X635, 0) + J636 ,
        VLOOKUP(YEAR(A636), Lookup!$Q:$R, 2)
      )
    ),
  B636&gt;=65,
    IF(AA635+J636 &lt; VLOOKUP(questions!$C$5, Lookup!$Q:$R, 2),
      AA635 + IF(MONTH(A636)=12, R635+X635, 0) + J636 ,
      MIN(
        AA635 + IF(MONTH(A636)=12, R635+X635, 0) + J636,
        VLOOKUP(questions!$C$5, Lookup!$Q:$R, 2)
      )
    )
)</f>
        <v>282111.0086</v>
      </c>
      <c r="AB636" s="65">
        <f t="shared" si="13"/>
        <v>1704033.874</v>
      </c>
      <c r="AC636" s="66">
        <f t="array" ref="AC636">IFS(B636&lt;66, XLOOKUP(year(A636),Lookup!$K$13:$K1000,Lookup!$L$13:$L1000,"missing",,1),B636&gt;65,XLOOKUP(questions!$C$5,Lookup!$K$13:$K1000,Lookup!$L$13:$L1000,"missing",,1))</f>
        <v>393675.3633</v>
      </c>
      <c r="AD636" s="66">
        <f t="array" ref="AD636">IFS(B636&lt;66, XLOOKUP(year(A636),Lookup!$K$13:$K1000,Lookup!$M$13:$M1000,"missing",,1),B636&gt;65, XLOOKUP(questions!$C$5,Lookup!$K$13:$K1000,Lookup!$M$13:$M1000,"missing",,1))</f>
        <v>787350.7266</v>
      </c>
      <c r="AE636" s="66">
        <f t="array" ref="AE636">IFS(B636&lt;66, XLOOKUP(year(A636),Lookup!$K$13:$K1000,Lookup!$N$13:$N1000,"missing",,1),B636&gt;65,XLOOKUP(questions!$C$5,Lookup!$K$13:$K1000,Lookup!$N$13:$N1000,"missing",,1))</f>
        <v>1574701.453</v>
      </c>
      <c r="AF636" s="37"/>
      <c r="AG636" s="37"/>
      <c r="AH636" s="37"/>
      <c r="AI636" s="37"/>
      <c r="AJ636" s="37"/>
      <c r="AK636" s="37"/>
      <c r="AL636" s="37"/>
      <c r="AM636" s="37"/>
      <c r="AN636" s="37"/>
      <c r="AO636" s="37"/>
      <c r="AP636" s="37"/>
      <c r="AQ636" s="37"/>
    </row>
    <row r="637">
      <c r="A637" s="55">
        <f t="shared" si="7"/>
        <v>65411</v>
      </c>
      <c r="B637" s="56">
        <f>round(YEARFRAC(EOMONTH(questions!$C$3, 0),A637,1),2)</f>
        <v>80.17</v>
      </c>
      <c r="C637" s="58">
        <f>IF(B637&lt;questions!$C$6,if(MONTH(A637)=1,C636*(1+questions!$C$12),C636),0)</f>
        <v>0</v>
      </c>
      <c r="D637" s="58">
        <f>IF(MONTH(A637)=12,C637*questions!$C$11,0)</f>
        <v>0</v>
      </c>
      <c r="E637" s="71">
        <f t="shared" si="2"/>
        <v>0</v>
      </c>
      <c r="F637" s="71">
        <f t="shared" si="3"/>
        <v>0</v>
      </c>
      <c r="G637" s="61">
        <f t="array" ref="G637">if(YEAR(A637)=2025,XLOOKUP(B637,Lookup!$A$3:$A$7,Lookup!$D$3:$D$7,,1)*SUM(E637:F637), XLOOKUP(B637,Lookup!$A$14:$A$18,Lookup!$D$14:$D$18,,1)*SUM(E637:F637))</f>
        <v>0</v>
      </c>
      <c r="H637" s="61">
        <f t="array" ref="H637">if(YEAR(A637)=2025,XLOOKUP(B637,Lookup!$F$3:$F$10,Lookup!$G$3:$G$10,,1)*G637, XLOOKUP(B637,Lookup!$F$14:$F$21,Lookup!$G$14:$G$21,,1)*G637)</f>
        <v>0</v>
      </c>
      <c r="I637" s="61">
        <f t="array" ref="I637">if(B637&lt;55, if(YEAR(A637)=2025,XLOOKUP(B637,Lookup!$F$3:$F$10,Lookup!$H$3:$H$10,,1)*G637, XLOOKUP(B637,Lookup!$F$14:$F$21,Lookup!$H$14:$H$21,,1)*G637),0)</f>
        <v>0</v>
      </c>
      <c r="J637" s="61">
        <f t="array" ref="J637">if(YEAR(A637)=2025,XLOOKUP(B637,Lookup!$F$3:$F$10,Lookup!$I$3:$I$10,,1)*G637, XLOOKUP(B637,Lookup!$F$14:$F$21,Lookup!$I$14:$I$21,,1)*G637)</f>
        <v>0</v>
      </c>
      <c r="K637" s="61">
        <f t="array" ref="K637">if(B637&gt;54, if(YEAR(A637)=2025,XLOOKUP(B637,Lookup!$F$3:$F$10,Lookup!$H$3:$H$10,,1)*G637, XLOOKUP(B637,Lookup!$F$14:$F$21,Lookup!$H$14:$H$21,,1)*G637),0)</f>
        <v>0</v>
      </c>
      <c r="L637" s="62">
        <f>IF(and(A637&lt;questions!$C$19,questions!$C$18="yes"),questions!$C$20,0)</f>
        <v>0</v>
      </c>
      <c r="M637" s="63">
        <f>(Y636+H637)*Lookup!A$26/12</f>
        <v>2971.155133</v>
      </c>
      <c r="N637" s="63">
        <f>if(B637&lt;55, (Z636+I637)*Lookup!B$26/12, (AB636+K637)*Lookup!B$26/12)</f>
        <v>5680.112915</v>
      </c>
      <c r="O637" s="63">
        <f>(AA636+J637)*Lookup!C$26/12</f>
        <v>940.3700287</v>
      </c>
      <c r="P637" s="63">
        <f t="shared" si="8"/>
        <v>2971.155133</v>
      </c>
      <c r="Q637" s="63">
        <f t="shared" si="4"/>
        <v>5680.112915</v>
      </c>
      <c r="R637" s="63">
        <f t="shared" si="5"/>
        <v>940.3700287</v>
      </c>
      <c r="S637" s="64">
        <f t="shared" si="9"/>
        <v>33.33333333</v>
      </c>
      <c r="T637" s="64">
        <f t="shared" si="10"/>
        <v>41.66666667</v>
      </c>
      <c r="U637" s="64">
        <f t="shared" si="11"/>
        <v>0</v>
      </c>
      <c r="V637" s="64">
        <f t="shared" ref="V637:X637" si="645">IF(year($A637)=year($A636), V636+S637, S637)</f>
        <v>33.33333333</v>
      </c>
      <c r="W637" s="64">
        <f t="shared" si="645"/>
        <v>41.66666667</v>
      </c>
      <c r="X637" s="64">
        <f t="shared" si="645"/>
        <v>0</v>
      </c>
      <c r="Y637" s="65">
        <f>IFS(
  B637&lt;55,
    MAX(
      Y636 + IF(MONTH(A637)=12, P637+V637, 0) + H637 - L637
      + MAX(0,
          IF(AA636 &gt;= VLOOKUP(YEAR(A637), Lookup!$Q:$R, 2),
            Z636 + IF(MONTH(A637)=12, Q637+W637, 0) + I637
              + AA636 + IF(MONTH(A637)=12, R637+X637, 0)
              - VLOOKUP(YEAR(A637), Lookup!$Q:$R, 2) + J637,
            Z636 + IF(MONTH(A637)=12, Q637+W637, 0) + I637
          ) - VLOOKUP(YEAR(A637), Lookup!$K:$M, 3)
        ),
    0),
  B637=55,
    IF(Z636&gt;=AD637,
      MAX(Y636 + IF(MONTH(A637)=12, P637+V637, 0) + H637 - L637, 0),
      MAX(MAX(0, Y636-(AD637-Z636)) + IF(MONTH(A637)=12, P637+V637, 0) + H637 - L637, 0)
    ),
  B637&gt;55,
    IF(AB636&gt;=$AH$7,
      MAX(Y636 + IF(MONTH(A637)=12, P637+V637, 0) + H637 - L637 + K637 + Z636, 0),
      MAX(Y636 + IF(MONTH(A637)=12, P637+V637, 0) + H637 - L637, 0)
    )
)</f>
        <v>1426154.464</v>
      </c>
      <c r="Z637" s="65">
        <f>IFS(
  B637&lt;55,
    MIN(
      IF(AA636 &gt;= VLOOKUP(YEAR(A637), Lookup!$Q:$R, 2),
        Z636 + IF(MONTH(A637)=12, Q637+W637, 0) + I637
          + AA636 + IF(MONTH(A637)=12, R637+X637, 0) - VLOOKUP(YEAR(A637), Lookup!$Q:$R, 2) + J637,
        Z636 + IF(MONTH(A637)=12, Q637+W637, 0) + I637
      ),
      VLOOKUP(YEAR(A637), Lookup!$K:$M, 3)
    ),
  B637=55,
    IF(Z636 &gt;= AD637, Z636 - AD637, 0),
  B637&gt;55, 0
)</f>
        <v>0</v>
      </c>
      <c r="AA637" s="65">
        <f>IFS(
  B637&lt;65,
    IF(AA636+J637 &lt; VLOOKUP(YEAR(A637), Lookup!$Q:$R, 2),
      AA636 + IF(MONTH(A637)=12, R636+X636, 0) + J637,
      MIN(
        AA636 + IF(MONTH(A637)=12, R636+X636, 0) + J637 ,
        VLOOKUP(YEAR(A637), Lookup!$Q:$R, 2)
      )
    ),
  B637&gt;=65,
    IF(AA636+J637 &lt; VLOOKUP(questions!$C$5, Lookup!$Q:$R, 2),
      AA636 + IF(MONTH(A637)=12, R636+X636, 0) + J637 ,
      MIN(
        AA636 + IF(MONTH(A637)=12, R636+X636, 0) + J637,
        VLOOKUP(questions!$C$5, Lookup!$Q:$R, 2)
      )
    )
)</f>
        <v>282111.0086</v>
      </c>
      <c r="AB637" s="65">
        <f t="shared" si="13"/>
        <v>1704033.874</v>
      </c>
      <c r="AC637" s="66">
        <f t="array" ref="AC637">IFS(B637&lt;66, XLOOKUP(year(A637),Lookup!$K$13:$K1000,Lookup!$L$13:$L1000,"missing",,1),B637&gt;65,XLOOKUP(questions!$C$5,Lookup!$K$13:$K1000,Lookup!$L$13:$L1000,"missing",,1))</f>
        <v>393675.3633</v>
      </c>
      <c r="AD637" s="66">
        <f t="array" ref="AD637">IFS(B637&lt;66, XLOOKUP(year(A637),Lookup!$K$13:$K1000,Lookup!$M$13:$M1000,"missing",,1),B637&gt;65, XLOOKUP(questions!$C$5,Lookup!$K$13:$K1000,Lookup!$M$13:$M1000,"missing",,1))</f>
        <v>787350.7266</v>
      </c>
      <c r="AE637" s="66">
        <f t="array" ref="AE637">IFS(B637&lt;66, XLOOKUP(year(A637),Lookup!$K$13:$K1000,Lookup!$N$13:$N1000,"missing",,1),B637&gt;65,XLOOKUP(questions!$C$5,Lookup!$K$13:$K1000,Lookup!$N$13:$N1000,"missing",,1))</f>
        <v>1574701.453</v>
      </c>
      <c r="AF637" s="37"/>
      <c r="AG637" s="37"/>
      <c r="AH637" s="37"/>
      <c r="AI637" s="37"/>
      <c r="AJ637" s="37"/>
      <c r="AK637" s="37"/>
      <c r="AL637" s="37"/>
      <c r="AM637" s="37"/>
      <c r="AN637" s="37"/>
      <c r="AO637" s="37"/>
      <c r="AP637" s="37"/>
      <c r="AQ637" s="37"/>
    </row>
    <row r="638">
      <c r="A638" s="55">
        <f t="shared" si="7"/>
        <v>65439</v>
      </c>
      <c r="B638" s="56">
        <f>round(YEARFRAC(EOMONTH(questions!$C$3, 0),A638,1),2)</f>
        <v>80.25</v>
      </c>
      <c r="C638" s="58">
        <f>IF(B638&lt;questions!$C$6,if(MONTH(A638)=1,C637*(1+questions!$C$12),C637),0)</f>
        <v>0</v>
      </c>
      <c r="D638" s="58">
        <f>IF(MONTH(A638)=12,C638*questions!$C$11,0)</f>
        <v>0</v>
      </c>
      <c r="E638" s="71">
        <f t="shared" si="2"/>
        <v>0</v>
      </c>
      <c r="F638" s="71">
        <f t="shared" si="3"/>
        <v>0</v>
      </c>
      <c r="G638" s="61">
        <f t="array" ref="G638">if(YEAR(A638)=2025,XLOOKUP(B638,Lookup!$A$3:$A$7,Lookup!$D$3:$D$7,,1)*SUM(E638:F638), XLOOKUP(B638,Lookup!$A$14:$A$18,Lookup!$D$14:$D$18,,1)*SUM(E638:F638))</f>
        <v>0</v>
      </c>
      <c r="H638" s="61">
        <f t="array" ref="H638">if(YEAR(A638)=2025,XLOOKUP(B638,Lookup!$F$3:$F$10,Lookup!$G$3:$G$10,,1)*G638, XLOOKUP(B638,Lookup!$F$14:$F$21,Lookup!$G$14:$G$21,,1)*G638)</f>
        <v>0</v>
      </c>
      <c r="I638" s="61">
        <f t="array" ref="I638">if(B638&lt;55, if(YEAR(A638)=2025,XLOOKUP(B638,Lookup!$F$3:$F$10,Lookup!$H$3:$H$10,,1)*G638, XLOOKUP(B638,Lookup!$F$14:$F$21,Lookup!$H$14:$H$21,,1)*G638),0)</f>
        <v>0</v>
      </c>
      <c r="J638" s="61">
        <f t="array" ref="J638">if(YEAR(A638)=2025,XLOOKUP(B638,Lookup!$F$3:$F$10,Lookup!$I$3:$I$10,,1)*G638, XLOOKUP(B638,Lookup!$F$14:$F$21,Lookup!$I$14:$I$21,,1)*G638)</f>
        <v>0</v>
      </c>
      <c r="K638" s="61">
        <f t="array" ref="K638">if(B638&gt;54, if(YEAR(A638)=2025,XLOOKUP(B638,Lookup!$F$3:$F$10,Lookup!$H$3:$H$10,,1)*G638, XLOOKUP(B638,Lookup!$F$14:$F$21,Lookup!$H$14:$H$21,,1)*G638),0)</f>
        <v>0</v>
      </c>
      <c r="L638" s="62">
        <f>IF(and(A638&lt;questions!$C$19,questions!$C$18="yes"),questions!$C$20,0)</f>
        <v>0</v>
      </c>
      <c r="M638" s="63">
        <f>(Y637+H638)*Lookup!A$26/12</f>
        <v>2971.155133</v>
      </c>
      <c r="N638" s="63">
        <f>if(B638&lt;55, (Z637+I638)*Lookup!B$26/12, (AB637+K638)*Lookup!B$26/12)</f>
        <v>5680.112915</v>
      </c>
      <c r="O638" s="63">
        <f>(AA637+J638)*Lookup!C$26/12</f>
        <v>940.3700287</v>
      </c>
      <c r="P638" s="63">
        <f t="shared" si="8"/>
        <v>5942.310266</v>
      </c>
      <c r="Q638" s="63">
        <f t="shared" si="4"/>
        <v>11360.22583</v>
      </c>
      <c r="R638" s="63">
        <f t="shared" si="5"/>
        <v>1880.740057</v>
      </c>
      <c r="S638" s="64">
        <f t="shared" si="9"/>
        <v>33.33333333</v>
      </c>
      <c r="T638" s="64">
        <f t="shared" si="10"/>
        <v>41.66666667</v>
      </c>
      <c r="U638" s="64">
        <f t="shared" si="11"/>
        <v>0</v>
      </c>
      <c r="V638" s="64">
        <f t="shared" ref="V638:X638" si="646">IF(year($A638)=year($A637), V637+S638, S638)</f>
        <v>66.66666667</v>
      </c>
      <c r="W638" s="64">
        <f t="shared" si="646"/>
        <v>83.33333333</v>
      </c>
      <c r="X638" s="64">
        <f t="shared" si="646"/>
        <v>0</v>
      </c>
      <c r="Y638" s="65">
        <f>IFS(
  B638&lt;55,
    MAX(
      Y637 + IF(MONTH(A638)=12, P638+V638, 0) + H638 - L638
      + MAX(0,
          IF(AA637 &gt;= VLOOKUP(YEAR(A638), Lookup!$Q:$R, 2),
            Z637 + IF(MONTH(A638)=12, Q638+W638, 0) + I638
              + AA637 + IF(MONTH(A638)=12, R638+X638, 0)
              - VLOOKUP(YEAR(A638), Lookup!$Q:$R, 2) + J638,
            Z637 + IF(MONTH(A638)=12, Q638+W638, 0) + I638
          ) - VLOOKUP(YEAR(A638), Lookup!$K:$M, 3)
        ),
    0),
  B638=55,
    IF(Z637&gt;=AD638,
      MAX(Y637 + IF(MONTH(A638)=12, P638+V638, 0) + H638 - L638, 0),
      MAX(MAX(0, Y637-(AD638-Z637)) + IF(MONTH(A638)=12, P638+V638, 0) + H638 - L638, 0)
    ),
  B638&gt;55,
    IF(AB637&gt;=$AH$7,
      MAX(Y637 + IF(MONTH(A638)=12, P638+V638, 0) + H638 - L638 + K638 + Z637, 0),
      MAX(Y637 + IF(MONTH(A638)=12, P638+V638, 0) + H638 - L638, 0)
    )
)</f>
        <v>1426154.464</v>
      </c>
      <c r="Z638" s="65">
        <f>IFS(
  B638&lt;55,
    MIN(
      IF(AA637 &gt;= VLOOKUP(YEAR(A638), Lookup!$Q:$R, 2),
        Z637 + IF(MONTH(A638)=12, Q638+W638, 0) + I638
          + AA637 + IF(MONTH(A638)=12, R638+X638, 0) - VLOOKUP(YEAR(A638), Lookup!$Q:$R, 2) + J638,
        Z637 + IF(MONTH(A638)=12, Q638+W638, 0) + I638
      ),
      VLOOKUP(YEAR(A638), Lookup!$K:$M, 3)
    ),
  B638=55,
    IF(Z637 &gt;= AD638, Z637 - AD638, 0),
  B638&gt;55, 0
)</f>
        <v>0</v>
      </c>
      <c r="AA638" s="65">
        <f>IFS(
  B638&lt;65,
    IF(AA637+J638 &lt; VLOOKUP(YEAR(A638), Lookup!$Q:$R, 2),
      AA637 + IF(MONTH(A638)=12, R637+X637, 0) + J638,
      MIN(
        AA637 + IF(MONTH(A638)=12, R637+X637, 0) + J638 ,
        VLOOKUP(YEAR(A638), Lookup!$Q:$R, 2)
      )
    ),
  B638&gt;=65,
    IF(AA637+J638 &lt; VLOOKUP(questions!$C$5, Lookup!$Q:$R, 2),
      AA637 + IF(MONTH(A638)=12, R637+X637, 0) + J638 ,
      MIN(
        AA637 + IF(MONTH(A638)=12, R637+X637, 0) + J638,
        VLOOKUP(questions!$C$5, Lookup!$Q:$R, 2)
      )
    )
)</f>
        <v>282111.0086</v>
      </c>
      <c r="AB638" s="65">
        <f t="shared" si="13"/>
        <v>1704033.874</v>
      </c>
      <c r="AC638" s="66">
        <f t="array" ref="AC638">IFS(B638&lt;66, XLOOKUP(year(A638),Lookup!$K$13:$K1000,Lookup!$L$13:$L1000,"missing",,1),B638&gt;65,XLOOKUP(questions!$C$5,Lookup!$K$13:$K1000,Lookup!$L$13:$L1000,"missing",,1))</f>
        <v>393675.3633</v>
      </c>
      <c r="AD638" s="66">
        <f t="array" ref="AD638">IFS(B638&lt;66, XLOOKUP(year(A638),Lookup!$K$13:$K1000,Lookup!$M$13:$M1000,"missing",,1),B638&gt;65, XLOOKUP(questions!$C$5,Lookup!$K$13:$K1000,Lookup!$M$13:$M1000,"missing",,1))</f>
        <v>787350.7266</v>
      </c>
      <c r="AE638" s="66">
        <f t="array" ref="AE638">IFS(B638&lt;66, XLOOKUP(year(A638),Lookup!$K$13:$K1000,Lookup!$N$13:$N1000,"missing",,1),B638&gt;65,XLOOKUP(questions!$C$5,Lookup!$K$13:$K1000,Lookup!$N$13:$N1000,"missing",,1))</f>
        <v>1574701.453</v>
      </c>
      <c r="AF638" s="37"/>
      <c r="AG638" s="37"/>
      <c r="AH638" s="37"/>
      <c r="AI638" s="37"/>
      <c r="AJ638" s="37"/>
      <c r="AK638" s="37"/>
      <c r="AL638" s="37"/>
      <c r="AM638" s="37"/>
      <c r="AN638" s="37"/>
      <c r="AO638" s="37"/>
      <c r="AP638" s="37"/>
      <c r="AQ638" s="37"/>
    </row>
    <row r="639">
      <c r="A639" s="55">
        <f t="shared" si="7"/>
        <v>65470</v>
      </c>
      <c r="B639" s="56">
        <f>round(YEARFRAC(EOMONTH(questions!$C$3, 0),A639,1),2)</f>
        <v>80.33</v>
      </c>
      <c r="C639" s="58">
        <f>IF(B639&lt;questions!$C$6,if(MONTH(A639)=1,C638*(1+questions!$C$12),C638),0)</f>
        <v>0</v>
      </c>
      <c r="D639" s="58">
        <f>IF(MONTH(A639)=12,C639*questions!$C$11,0)</f>
        <v>0</v>
      </c>
      <c r="E639" s="71">
        <f t="shared" si="2"/>
        <v>0</v>
      </c>
      <c r="F639" s="71">
        <f t="shared" si="3"/>
        <v>0</v>
      </c>
      <c r="G639" s="61">
        <f t="array" ref="G639">if(YEAR(A639)=2025,XLOOKUP(B639,Lookup!$A$3:$A$7,Lookup!$D$3:$D$7,,1)*SUM(E639:F639), XLOOKUP(B639,Lookup!$A$14:$A$18,Lookup!$D$14:$D$18,,1)*SUM(E639:F639))</f>
        <v>0</v>
      </c>
      <c r="H639" s="61">
        <f t="array" ref="H639">if(YEAR(A639)=2025,XLOOKUP(B639,Lookup!$F$3:$F$10,Lookup!$G$3:$G$10,,1)*G639, XLOOKUP(B639,Lookup!$F$14:$F$21,Lookup!$G$14:$G$21,,1)*G639)</f>
        <v>0</v>
      </c>
      <c r="I639" s="61">
        <f t="array" ref="I639">if(B639&lt;55, if(YEAR(A639)=2025,XLOOKUP(B639,Lookup!$F$3:$F$10,Lookup!$H$3:$H$10,,1)*G639, XLOOKUP(B639,Lookup!$F$14:$F$21,Lookup!$H$14:$H$21,,1)*G639),0)</f>
        <v>0</v>
      </c>
      <c r="J639" s="61">
        <f t="array" ref="J639">if(YEAR(A639)=2025,XLOOKUP(B639,Lookup!$F$3:$F$10,Lookup!$I$3:$I$10,,1)*G639, XLOOKUP(B639,Lookup!$F$14:$F$21,Lookup!$I$14:$I$21,,1)*G639)</f>
        <v>0</v>
      </c>
      <c r="K639" s="61">
        <f t="array" ref="K639">if(B639&gt;54, if(YEAR(A639)=2025,XLOOKUP(B639,Lookup!$F$3:$F$10,Lookup!$H$3:$H$10,,1)*G639, XLOOKUP(B639,Lookup!$F$14:$F$21,Lookup!$H$14:$H$21,,1)*G639),0)</f>
        <v>0</v>
      </c>
      <c r="L639" s="62">
        <f>IF(and(A639&lt;questions!$C$19,questions!$C$18="yes"),questions!$C$20,0)</f>
        <v>0</v>
      </c>
      <c r="M639" s="63">
        <f>(Y638+H639)*Lookup!A$26/12</f>
        <v>2971.155133</v>
      </c>
      <c r="N639" s="63">
        <f>if(B639&lt;55, (Z638+I639)*Lookup!B$26/12, (AB638+K639)*Lookup!B$26/12)</f>
        <v>5680.112915</v>
      </c>
      <c r="O639" s="63">
        <f>(AA638+J639)*Lookup!C$26/12</f>
        <v>940.3700287</v>
      </c>
      <c r="P639" s="63">
        <f t="shared" si="8"/>
        <v>8913.465399</v>
      </c>
      <c r="Q639" s="63">
        <f t="shared" si="4"/>
        <v>17040.33874</v>
      </c>
      <c r="R639" s="63">
        <f t="shared" si="5"/>
        <v>2821.110086</v>
      </c>
      <c r="S639" s="64">
        <f t="shared" si="9"/>
        <v>33.33333333</v>
      </c>
      <c r="T639" s="64">
        <f t="shared" si="10"/>
        <v>41.66666667</v>
      </c>
      <c r="U639" s="64">
        <f t="shared" si="11"/>
        <v>0</v>
      </c>
      <c r="V639" s="64">
        <f t="shared" ref="V639:X639" si="647">IF(year($A639)=year($A638), V638+S639, S639)</f>
        <v>100</v>
      </c>
      <c r="W639" s="64">
        <f t="shared" si="647"/>
        <v>125</v>
      </c>
      <c r="X639" s="64">
        <f t="shared" si="647"/>
        <v>0</v>
      </c>
      <c r="Y639" s="65">
        <f>IFS(
  B639&lt;55,
    MAX(
      Y638 + IF(MONTH(A639)=12, P639+V639, 0) + H639 - L639
      + MAX(0,
          IF(AA638 &gt;= VLOOKUP(YEAR(A639), Lookup!$Q:$R, 2),
            Z638 + IF(MONTH(A639)=12, Q639+W639, 0) + I639
              + AA638 + IF(MONTH(A639)=12, R639+X639, 0)
              - VLOOKUP(YEAR(A639), Lookup!$Q:$R, 2) + J639,
            Z638 + IF(MONTH(A639)=12, Q639+W639, 0) + I639
          ) - VLOOKUP(YEAR(A639), Lookup!$K:$M, 3)
        ),
    0),
  B639=55,
    IF(Z638&gt;=AD639,
      MAX(Y638 + IF(MONTH(A639)=12, P639+V639, 0) + H639 - L639, 0),
      MAX(MAX(0, Y638-(AD639-Z638)) + IF(MONTH(A639)=12, P639+V639, 0) + H639 - L639, 0)
    ),
  B639&gt;55,
    IF(AB638&gt;=$AH$7,
      MAX(Y638 + IF(MONTH(A639)=12, P639+V639, 0) + H639 - L639 + K639 + Z638, 0),
      MAX(Y638 + IF(MONTH(A639)=12, P639+V639, 0) + H639 - L639, 0)
    )
)</f>
        <v>1426154.464</v>
      </c>
      <c r="Z639" s="65">
        <f>IFS(
  B639&lt;55,
    MIN(
      IF(AA638 &gt;= VLOOKUP(YEAR(A639), Lookup!$Q:$R, 2),
        Z638 + IF(MONTH(A639)=12, Q639+W639, 0) + I639
          + AA638 + IF(MONTH(A639)=12, R639+X639, 0) - VLOOKUP(YEAR(A639), Lookup!$Q:$R, 2) + J639,
        Z638 + IF(MONTH(A639)=12, Q639+W639, 0) + I639
      ),
      VLOOKUP(YEAR(A639), Lookup!$K:$M, 3)
    ),
  B639=55,
    IF(Z638 &gt;= AD639, Z638 - AD639, 0),
  B639&gt;55, 0
)</f>
        <v>0</v>
      </c>
      <c r="AA639" s="65">
        <f>IFS(
  B639&lt;65,
    IF(AA638+J639 &lt; VLOOKUP(YEAR(A639), Lookup!$Q:$R, 2),
      AA638 + IF(MONTH(A639)=12, R638+X638, 0) + J639,
      MIN(
        AA638 + IF(MONTH(A639)=12, R638+X638, 0) + J639 ,
        VLOOKUP(YEAR(A639), Lookup!$Q:$R, 2)
      )
    ),
  B639&gt;=65,
    IF(AA638+J639 &lt; VLOOKUP(questions!$C$5, Lookup!$Q:$R, 2),
      AA638 + IF(MONTH(A639)=12, R638+X638, 0) + J639 ,
      MIN(
        AA638 + IF(MONTH(A639)=12, R638+X638, 0) + J639,
        VLOOKUP(questions!$C$5, Lookup!$Q:$R, 2)
      )
    )
)</f>
        <v>282111.0086</v>
      </c>
      <c r="AB639" s="65">
        <f t="shared" si="13"/>
        <v>1704033.874</v>
      </c>
      <c r="AC639" s="66">
        <f t="array" ref="AC639">IFS(B639&lt;66, XLOOKUP(year(A639),Lookup!$K$13:$K1000,Lookup!$L$13:$L1000,"missing",,1),B639&gt;65,XLOOKUP(questions!$C$5,Lookup!$K$13:$K1000,Lookup!$L$13:$L1000,"missing",,1))</f>
        <v>393675.3633</v>
      </c>
      <c r="AD639" s="66">
        <f t="array" ref="AD639">IFS(B639&lt;66, XLOOKUP(year(A639),Lookup!$K$13:$K1000,Lookup!$M$13:$M1000,"missing",,1),B639&gt;65, XLOOKUP(questions!$C$5,Lookup!$K$13:$K1000,Lookup!$M$13:$M1000,"missing",,1))</f>
        <v>787350.7266</v>
      </c>
      <c r="AE639" s="66">
        <f t="array" ref="AE639">IFS(B639&lt;66, XLOOKUP(year(A639),Lookup!$K$13:$K1000,Lookup!$N$13:$N1000,"missing",,1),B639&gt;65,XLOOKUP(questions!$C$5,Lookup!$K$13:$K1000,Lookup!$N$13:$N1000,"missing",,1))</f>
        <v>1574701.453</v>
      </c>
      <c r="AF639" s="37"/>
      <c r="AG639" s="37"/>
      <c r="AH639" s="37"/>
      <c r="AI639" s="37"/>
      <c r="AJ639" s="37"/>
      <c r="AK639" s="37"/>
      <c r="AL639" s="37"/>
      <c r="AM639" s="37"/>
      <c r="AN639" s="37"/>
      <c r="AO639" s="37"/>
      <c r="AP639" s="37"/>
      <c r="AQ639" s="37"/>
    </row>
    <row r="640">
      <c r="A640" s="55">
        <f t="shared" si="7"/>
        <v>65500</v>
      </c>
      <c r="B640" s="56">
        <f>round(YEARFRAC(EOMONTH(questions!$C$3, 0),A640,1),2)</f>
        <v>80.41</v>
      </c>
      <c r="C640" s="58">
        <f>IF(B640&lt;questions!$C$6,if(MONTH(A640)=1,C639*(1+questions!$C$12),C639),0)</f>
        <v>0</v>
      </c>
      <c r="D640" s="58">
        <f>IF(MONTH(A640)=12,C640*questions!$C$11,0)</f>
        <v>0</v>
      </c>
      <c r="E640" s="71">
        <f t="shared" si="2"/>
        <v>0</v>
      </c>
      <c r="F640" s="71">
        <f t="shared" si="3"/>
        <v>0</v>
      </c>
      <c r="G640" s="61">
        <f t="array" ref="G640">if(YEAR(A640)=2025,XLOOKUP(B640,Lookup!$A$3:$A$7,Lookup!$D$3:$D$7,,1)*SUM(E640:F640), XLOOKUP(B640,Lookup!$A$14:$A$18,Lookup!$D$14:$D$18,,1)*SUM(E640:F640))</f>
        <v>0</v>
      </c>
      <c r="H640" s="61">
        <f t="array" ref="H640">if(YEAR(A640)=2025,XLOOKUP(B640,Lookup!$F$3:$F$10,Lookup!$G$3:$G$10,,1)*G640, XLOOKUP(B640,Lookup!$F$14:$F$21,Lookup!$G$14:$G$21,,1)*G640)</f>
        <v>0</v>
      </c>
      <c r="I640" s="61">
        <f t="array" ref="I640">if(B640&lt;55, if(YEAR(A640)=2025,XLOOKUP(B640,Lookup!$F$3:$F$10,Lookup!$H$3:$H$10,,1)*G640, XLOOKUP(B640,Lookup!$F$14:$F$21,Lookup!$H$14:$H$21,,1)*G640),0)</f>
        <v>0</v>
      </c>
      <c r="J640" s="61">
        <f t="array" ref="J640">if(YEAR(A640)=2025,XLOOKUP(B640,Lookup!$F$3:$F$10,Lookup!$I$3:$I$10,,1)*G640, XLOOKUP(B640,Lookup!$F$14:$F$21,Lookup!$I$14:$I$21,,1)*G640)</f>
        <v>0</v>
      </c>
      <c r="K640" s="61">
        <f t="array" ref="K640">if(B640&gt;54, if(YEAR(A640)=2025,XLOOKUP(B640,Lookup!$F$3:$F$10,Lookup!$H$3:$H$10,,1)*G640, XLOOKUP(B640,Lookup!$F$14:$F$21,Lookup!$H$14:$H$21,,1)*G640),0)</f>
        <v>0</v>
      </c>
      <c r="L640" s="62">
        <f>IF(and(A640&lt;questions!$C$19,questions!$C$18="yes"),questions!$C$20,0)</f>
        <v>0</v>
      </c>
      <c r="M640" s="63">
        <f>(Y639+H640)*Lookup!A$26/12</f>
        <v>2971.155133</v>
      </c>
      <c r="N640" s="63">
        <f>if(B640&lt;55, (Z639+I640)*Lookup!B$26/12, (AB639+K640)*Lookup!B$26/12)</f>
        <v>5680.112915</v>
      </c>
      <c r="O640" s="63">
        <f>(AA639+J640)*Lookup!C$26/12</f>
        <v>940.3700287</v>
      </c>
      <c r="P640" s="63">
        <f t="shared" si="8"/>
        <v>11884.62053</v>
      </c>
      <c r="Q640" s="63">
        <f t="shared" si="4"/>
        <v>22720.45166</v>
      </c>
      <c r="R640" s="63">
        <f t="shared" si="5"/>
        <v>3761.480115</v>
      </c>
      <c r="S640" s="64">
        <f t="shared" si="9"/>
        <v>33.33333333</v>
      </c>
      <c r="T640" s="64">
        <f t="shared" si="10"/>
        <v>41.66666667</v>
      </c>
      <c r="U640" s="64">
        <f t="shared" si="11"/>
        <v>0</v>
      </c>
      <c r="V640" s="64">
        <f t="shared" ref="V640:X640" si="648">IF(year($A640)=year($A639), V639+S640, S640)</f>
        <v>133.3333333</v>
      </c>
      <c r="W640" s="64">
        <f t="shared" si="648"/>
        <v>166.6666667</v>
      </c>
      <c r="X640" s="64">
        <f t="shared" si="648"/>
        <v>0</v>
      </c>
      <c r="Y640" s="65">
        <f>IFS(
  B640&lt;55,
    MAX(
      Y639 + IF(MONTH(A640)=12, P640+V640, 0) + H640 - L640
      + MAX(0,
          IF(AA639 &gt;= VLOOKUP(YEAR(A640), Lookup!$Q:$R, 2),
            Z639 + IF(MONTH(A640)=12, Q640+W640, 0) + I640
              + AA639 + IF(MONTH(A640)=12, R640+X640, 0)
              - VLOOKUP(YEAR(A640), Lookup!$Q:$R, 2) + J640,
            Z639 + IF(MONTH(A640)=12, Q640+W640, 0) + I640
          ) - VLOOKUP(YEAR(A640), Lookup!$K:$M, 3)
        ),
    0),
  B640=55,
    IF(Z639&gt;=AD640,
      MAX(Y639 + IF(MONTH(A640)=12, P640+V640, 0) + H640 - L640, 0),
      MAX(MAX(0, Y639-(AD640-Z639)) + IF(MONTH(A640)=12, P640+V640, 0) + H640 - L640, 0)
    ),
  B640&gt;55,
    IF(AB639&gt;=$AH$7,
      MAX(Y639 + IF(MONTH(A640)=12, P640+V640, 0) + H640 - L640 + K640 + Z639, 0),
      MAX(Y639 + IF(MONTH(A640)=12, P640+V640, 0) + H640 - L640, 0)
    )
)</f>
        <v>1426154.464</v>
      </c>
      <c r="Z640" s="65">
        <f>IFS(
  B640&lt;55,
    MIN(
      IF(AA639 &gt;= VLOOKUP(YEAR(A640), Lookup!$Q:$R, 2),
        Z639 + IF(MONTH(A640)=12, Q640+W640, 0) + I640
          + AA639 + IF(MONTH(A640)=12, R640+X640, 0) - VLOOKUP(YEAR(A640), Lookup!$Q:$R, 2) + J640,
        Z639 + IF(MONTH(A640)=12, Q640+W640, 0) + I640
      ),
      VLOOKUP(YEAR(A640), Lookup!$K:$M, 3)
    ),
  B640=55,
    IF(Z639 &gt;= AD640, Z639 - AD640, 0),
  B640&gt;55, 0
)</f>
        <v>0</v>
      </c>
      <c r="AA640" s="65">
        <f>IFS(
  B640&lt;65,
    IF(AA639+J640 &lt; VLOOKUP(YEAR(A640), Lookup!$Q:$R, 2),
      AA639 + IF(MONTH(A640)=12, R639+X639, 0) + J640,
      MIN(
        AA639 + IF(MONTH(A640)=12, R639+X639, 0) + J640 ,
        VLOOKUP(YEAR(A640), Lookup!$Q:$R, 2)
      )
    ),
  B640&gt;=65,
    IF(AA639+J640 &lt; VLOOKUP(questions!$C$5, Lookup!$Q:$R, 2),
      AA639 + IF(MONTH(A640)=12, R639+X639, 0) + J640 ,
      MIN(
        AA639 + IF(MONTH(A640)=12, R639+X639, 0) + J640,
        VLOOKUP(questions!$C$5, Lookup!$Q:$R, 2)
      )
    )
)</f>
        <v>282111.0086</v>
      </c>
      <c r="AB640" s="65">
        <f t="shared" si="13"/>
        <v>1704033.874</v>
      </c>
      <c r="AC640" s="66">
        <f t="array" ref="AC640">IFS(B640&lt;66, XLOOKUP(year(A640),Lookup!$K$13:$K1000,Lookup!$L$13:$L1000,"missing",,1),B640&gt;65,XLOOKUP(questions!$C$5,Lookup!$K$13:$K1000,Lookup!$L$13:$L1000,"missing",,1))</f>
        <v>393675.3633</v>
      </c>
      <c r="AD640" s="66">
        <f t="array" ref="AD640">IFS(B640&lt;66, XLOOKUP(year(A640),Lookup!$K$13:$K1000,Lookup!$M$13:$M1000,"missing",,1),B640&gt;65, XLOOKUP(questions!$C$5,Lookup!$K$13:$K1000,Lookup!$M$13:$M1000,"missing",,1))</f>
        <v>787350.7266</v>
      </c>
      <c r="AE640" s="66">
        <f t="array" ref="AE640">IFS(B640&lt;66, XLOOKUP(year(A640),Lookup!$K$13:$K1000,Lookup!$N$13:$N1000,"missing",,1),B640&gt;65,XLOOKUP(questions!$C$5,Lookup!$K$13:$K1000,Lookup!$N$13:$N1000,"missing",,1))</f>
        <v>1574701.453</v>
      </c>
      <c r="AF640" s="37"/>
      <c r="AG640" s="37"/>
      <c r="AH640" s="37"/>
      <c r="AI640" s="37"/>
      <c r="AJ640" s="37"/>
      <c r="AK640" s="37"/>
      <c r="AL640" s="37"/>
      <c r="AM640" s="37"/>
      <c r="AN640" s="37"/>
      <c r="AO640" s="37"/>
      <c r="AP640" s="37"/>
      <c r="AQ640" s="37"/>
    </row>
    <row r="641">
      <c r="A641" s="55">
        <f t="shared" si="7"/>
        <v>65531</v>
      </c>
      <c r="B641" s="56">
        <f>round(YEARFRAC(EOMONTH(questions!$C$3, 0),A641,1),2)</f>
        <v>80.5</v>
      </c>
      <c r="C641" s="58">
        <f>IF(B641&lt;questions!$C$6,if(MONTH(A641)=1,C640*(1+questions!$C$12),C640),0)</f>
        <v>0</v>
      </c>
      <c r="D641" s="58">
        <f>IF(MONTH(A641)=12,C641*questions!$C$11,0)</f>
        <v>0</v>
      </c>
      <c r="E641" s="71">
        <f t="shared" si="2"/>
        <v>0</v>
      </c>
      <c r="F641" s="71">
        <f t="shared" si="3"/>
        <v>0</v>
      </c>
      <c r="G641" s="61">
        <f t="array" ref="G641">if(YEAR(A641)=2025,XLOOKUP(B641,Lookup!$A$3:$A$7,Lookup!$D$3:$D$7,,1)*SUM(E641:F641), XLOOKUP(B641,Lookup!$A$14:$A$18,Lookup!$D$14:$D$18,,1)*SUM(E641:F641))</f>
        <v>0</v>
      </c>
      <c r="H641" s="61">
        <f t="array" ref="H641">if(YEAR(A641)=2025,XLOOKUP(B641,Lookup!$F$3:$F$10,Lookup!$G$3:$G$10,,1)*G641, XLOOKUP(B641,Lookup!$F$14:$F$21,Lookup!$G$14:$G$21,,1)*G641)</f>
        <v>0</v>
      </c>
      <c r="I641" s="61">
        <f t="array" ref="I641">if(B641&lt;55, if(YEAR(A641)=2025,XLOOKUP(B641,Lookup!$F$3:$F$10,Lookup!$H$3:$H$10,,1)*G641, XLOOKUP(B641,Lookup!$F$14:$F$21,Lookup!$H$14:$H$21,,1)*G641),0)</f>
        <v>0</v>
      </c>
      <c r="J641" s="61">
        <f t="array" ref="J641">if(YEAR(A641)=2025,XLOOKUP(B641,Lookup!$F$3:$F$10,Lookup!$I$3:$I$10,,1)*G641, XLOOKUP(B641,Lookup!$F$14:$F$21,Lookup!$I$14:$I$21,,1)*G641)</f>
        <v>0</v>
      </c>
      <c r="K641" s="61">
        <f t="array" ref="K641">if(B641&gt;54, if(YEAR(A641)=2025,XLOOKUP(B641,Lookup!$F$3:$F$10,Lookup!$H$3:$H$10,,1)*G641, XLOOKUP(B641,Lookup!$F$14:$F$21,Lookup!$H$14:$H$21,,1)*G641),0)</f>
        <v>0</v>
      </c>
      <c r="L641" s="62">
        <f>IF(and(A641&lt;questions!$C$19,questions!$C$18="yes"),questions!$C$20,0)</f>
        <v>0</v>
      </c>
      <c r="M641" s="63">
        <f>(Y640+H641)*Lookup!A$26/12</f>
        <v>2971.155133</v>
      </c>
      <c r="N641" s="63">
        <f>if(B641&lt;55, (Z640+I641)*Lookup!B$26/12, (AB640+K641)*Lookup!B$26/12)</f>
        <v>5680.112915</v>
      </c>
      <c r="O641" s="63">
        <f>(AA640+J641)*Lookup!C$26/12</f>
        <v>940.3700287</v>
      </c>
      <c r="P641" s="63">
        <f t="shared" si="8"/>
        <v>14855.77567</v>
      </c>
      <c r="Q641" s="63">
        <f t="shared" si="4"/>
        <v>28400.56457</v>
      </c>
      <c r="R641" s="63">
        <f t="shared" si="5"/>
        <v>4701.850143</v>
      </c>
      <c r="S641" s="64">
        <f t="shared" si="9"/>
        <v>33.33333333</v>
      </c>
      <c r="T641" s="64">
        <f t="shared" si="10"/>
        <v>41.66666667</v>
      </c>
      <c r="U641" s="64">
        <f t="shared" si="11"/>
        <v>0</v>
      </c>
      <c r="V641" s="64">
        <f t="shared" ref="V641:X641" si="649">IF(year($A641)=year($A640), V640+S641, S641)</f>
        <v>166.6666667</v>
      </c>
      <c r="W641" s="64">
        <f t="shared" si="649"/>
        <v>208.3333333</v>
      </c>
      <c r="X641" s="64">
        <f t="shared" si="649"/>
        <v>0</v>
      </c>
      <c r="Y641" s="65">
        <f>IFS(
  B641&lt;55,
    MAX(
      Y640 + IF(MONTH(A641)=12, P641+V641, 0) + H641 - L641
      + MAX(0,
          IF(AA640 &gt;= VLOOKUP(YEAR(A641), Lookup!$Q:$R, 2),
            Z640 + IF(MONTH(A641)=12, Q641+W641, 0) + I641
              + AA640 + IF(MONTH(A641)=12, R641+X641, 0)
              - VLOOKUP(YEAR(A641), Lookup!$Q:$R, 2) + J641,
            Z640 + IF(MONTH(A641)=12, Q641+W641, 0) + I641
          ) - VLOOKUP(YEAR(A641), Lookup!$K:$M, 3)
        ),
    0),
  B641=55,
    IF(Z640&gt;=AD641,
      MAX(Y640 + IF(MONTH(A641)=12, P641+V641, 0) + H641 - L641, 0),
      MAX(MAX(0, Y640-(AD641-Z640)) + IF(MONTH(A641)=12, P641+V641, 0) + H641 - L641, 0)
    ),
  B641&gt;55,
    IF(AB640&gt;=$AH$7,
      MAX(Y640 + IF(MONTH(A641)=12, P641+V641, 0) + H641 - L641 + K641 + Z640, 0),
      MAX(Y640 + IF(MONTH(A641)=12, P641+V641, 0) + H641 - L641, 0)
    )
)</f>
        <v>1426154.464</v>
      </c>
      <c r="Z641" s="65">
        <f>IFS(
  B641&lt;55,
    MIN(
      IF(AA640 &gt;= VLOOKUP(YEAR(A641), Lookup!$Q:$R, 2),
        Z640 + IF(MONTH(A641)=12, Q641+W641, 0) + I641
          + AA640 + IF(MONTH(A641)=12, R641+X641, 0) - VLOOKUP(YEAR(A641), Lookup!$Q:$R, 2) + J641,
        Z640 + IF(MONTH(A641)=12, Q641+W641, 0) + I641
      ),
      VLOOKUP(YEAR(A641), Lookup!$K:$M, 3)
    ),
  B641=55,
    IF(Z640 &gt;= AD641, Z640 - AD641, 0),
  B641&gt;55, 0
)</f>
        <v>0</v>
      </c>
      <c r="AA641" s="65">
        <f>IFS(
  B641&lt;65,
    IF(AA640+J641 &lt; VLOOKUP(YEAR(A641), Lookup!$Q:$R, 2),
      AA640 + IF(MONTH(A641)=12, R640+X640, 0) + J641,
      MIN(
        AA640 + IF(MONTH(A641)=12, R640+X640, 0) + J641 ,
        VLOOKUP(YEAR(A641), Lookup!$Q:$R, 2)
      )
    ),
  B641&gt;=65,
    IF(AA640+J641 &lt; VLOOKUP(questions!$C$5, Lookup!$Q:$R, 2),
      AA640 + IF(MONTH(A641)=12, R640+X640, 0) + J641 ,
      MIN(
        AA640 + IF(MONTH(A641)=12, R640+X640, 0) + J641,
        VLOOKUP(questions!$C$5, Lookup!$Q:$R, 2)
      )
    )
)</f>
        <v>282111.0086</v>
      </c>
      <c r="AB641" s="65">
        <f t="shared" si="13"/>
        <v>1704033.874</v>
      </c>
      <c r="AC641" s="66">
        <f t="array" ref="AC641">IFS(B641&lt;66, XLOOKUP(year(A641),Lookup!$K$13:$K1000,Lookup!$L$13:$L1000,"missing",,1),B641&gt;65,XLOOKUP(questions!$C$5,Lookup!$K$13:$K1000,Lookup!$L$13:$L1000,"missing",,1))</f>
        <v>393675.3633</v>
      </c>
      <c r="AD641" s="66">
        <f t="array" ref="AD641">IFS(B641&lt;66, XLOOKUP(year(A641),Lookup!$K$13:$K1000,Lookup!$M$13:$M1000,"missing",,1),B641&gt;65, XLOOKUP(questions!$C$5,Lookup!$K$13:$K1000,Lookup!$M$13:$M1000,"missing",,1))</f>
        <v>787350.7266</v>
      </c>
      <c r="AE641" s="66">
        <f t="array" ref="AE641">IFS(B641&lt;66, XLOOKUP(year(A641),Lookup!$K$13:$K1000,Lookup!$N$13:$N1000,"missing",,1),B641&gt;65,XLOOKUP(questions!$C$5,Lookup!$K$13:$K1000,Lookup!$N$13:$N1000,"missing",,1))</f>
        <v>1574701.453</v>
      </c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  <c r="AQ641" s="37"/>
    </row>
    <row r="642">
      <c r="A642" s="55">
        <f t="shared" si="7"/>
        <v>65561</v>
      </c>
      <c r="B642" s="56">
        <f>round(YEARFRAC(EOMONTH(questions!$C$3, 0),A642,1),2)</f>
        <v>80.58</v>
      </c>
      <c r="C642" s="58">
        <f>IF(B642&lt;questions!$C$6,if(MONTH(A642)=1,C641*(1+questions!$C$12),C641),0)</f>
        <v>0</v>
      </c>
      <c r="D642" s="58">
        <f>IF(MONTH(A642)=12,C642*questions!$C$11,0)</f>
        <v>0</v>
      </c>
      <c r="E642" s="71">
        <f t="shared" si="2"/>
        <v>0</v>
      </c>
      <c r="F642" s="71">
        <f t="shared" si="3"/>
        <v>0</v>
      </c>
      <c r="G642" s="61">
        <f t="array" ref="G642">if(YEAR(A642)=2025,XLOOKUP(B642,Lookup!$A$3:$A$7,Lookup!$D$3:$D$7,,1)*SUM(E642:F642), XLOOKUP(B642,Lookup!$A$14:$A$18,Lookup!$D$14:$D$18,,1)*SUM(E642:F642))</f>
        <v>0</v>
      </c>
      <c r="H642" s="61">
        <f t="array" ref="H642">if(YEAR(A642)=2025,XLOOKUP(B642,Lookup!$F$3:$F$10,Lookup!$G$3:$G$10,,1)*G642, XLOOKUP(B642,Lookup!$F$14:$F$21,Lookup!$G$14:$G$21,,1)*G642)</f>
        <v>0</v>
      </c>
      <c r="I642" s="61">
        <f t="array" ref="I642">if(B642&lt;55, if(YEAR(A642)=2025,XLOOKUP(B642,Lookup!$F$3:$F$10,Lookup!$H$3:$H$10,,1)*G642, XLOOKUP(B642,Lookup!$F$14:$F$21,Lookup!$H$14:$H$21,,1)*G642),0)</f>
        <v>0</v>
      </c>
      <c r="J642" s="61">
        <f t="array" ref="J642">if(YEAR(A642)=2025,XLOOKUP(B642,Lookup!$F$3:$F$10,Lookup!$I$3:$I$10,,1)*G642, XLOOKUP(B642,Lookup!$F$14:$F$21,Lookup!$I$14:$I$21,,1)*G642)</f>
        <v>0</v>
      </c>
      <c r="K642" s="61">
        <f t="array" ref="K642">if(B642&gt;54, if(YEAR(A642)=2025,XLOOKUP(B642,Lookup!$F$3:$F$10,Lookup!$H$3:$H$10,,1)*G642, XLOOKUP(B642,Lookup!$F$14:$F$21,Lookup!$H$14:$H$21,,1)*G642),0)</f>
        <v>0</v>
      </c>
      <c r="L642" s="62">
        <f>IF(and(A642&lt;questions!$C$19,questions!$C$18="yes"),questions!$C$20,0)</f>
        <v>0</v>
      </c>
      <c r="M642" s="63">
        <f>(Y641+H642)*Lookup!A$26/12</f>
        <v>2971.155133</v>
      </c>
      <c r="N642" s="63">
        <f>if(B642&lt;55, (Z641+I642)*Lookup!B$26/12, (AB641+K642)*Lookup!B$26/12)</f>
        <v>5680.112915</v>
      </c>
      <c r="O642" s="63">
        <f>(AA641+J642)*Lookup!C$26/12</f>
        <v>940.3700287</v>
      </c>
      <c r="P642" s="63">
        <f t="shared" si="8"/>
        <v>17826.9308</v>
      </c>
      <c r="Q642" s="63">
        <f t="shared" si="4"/>
        <v>34080.67749</v>
      </c>
      <c r="R642" s="63">
        <f t="shared" si="5"/>
        <v>5642.220172</v>
      </c>
      <c r="S642" s="64">
        <f t="shared" si="9"/>
        <v>33.33333333</v>
      </c>
      <c r="T642" s="64">
        <f t="shared" si="10"/>
        <v>41.66666667</v>
      </c>
      <c r="U642" s="64">
        <f t="shared" si="11"/>
        <v>0</v>
      </c>
      <c r="V642" s="64">
        <f t="shared" ref="V642:X642" si="650">IF(year($A642)=year($A641), V641+S642, S642)</f>
        <v>200</v>
      </c>
      <c r="W642" s="64">
        <f t="shared" si="650"/>
        <v>250</v>
      </c>
      <c r="X642" s="64">
        <f t="shared" si="650"/>
        <v>0</v>
      </c>
      <c r="Y642" s="65">
        <f>IFS(
  B642&lt;55,
    MAX(
      Y641 + IF(MONTH(A642)=12, P642+V642, 0) + H642 - L642
      + MAX(0,
          IF(AA641 &gt;= VLOOKUP(YEAR(A642), Lookup!$Q:$R, 2),
            Z641 + IF(MONTH(A642)=12, Q642+W642, 0) + I642
              + AA641 + IF(MONTH(A642)=12, R642+X642, 0)
              - VLOOKUP(YEAR(A642), Lookup!$Q:$R, 2) + J642,
            Z641 + IF(MONTH(A642)=12, Q642+W642, 0) + I642
          ) - VLOOKUP(YEAR(A642), Lookup!$K:$M, 3)
        ),
    0),
  B642=55,
    IF(Z641&gt;=AD642,
      MAX(Y641 + IF(MONTH(A642)=12, P642+V642, 0) + H642 - L642, 0),
      MAX(MAX(0, Y641-(AD642-Z641)) + IF(MONTH(A642)=12, P642+V642, 0) + H642 - L642, 0)
    ),
  B642&gt;55,
    IF(AB641&gt;=$AH$7,
      MAX(Y641 + IF(MONTH(A642)=12, P642+V642, 0) + H642 - L642 + K642 + Z641, 0),
      MAX(Y641 + IF(MONTH(A642)=12, P642+V642, 0) + H642 - L642, 0)
    )
)</f>
        <v>1426154.464</v>
      </c>
      <c r="Z642" s="65">
        <f>IFS(
  B642&lt;55,
    MIN(
      IF(AA641 &gt;= VLOOKUP(YEAR(A642), Lookup!$Q:$R, 2),
        Z641 + IF(MONTH(A642)=12, Q642+W642, 0) + I642
          + AA641 + IF(MONTH(A642)=12, R642+X642, 0) - VLOOKUP(YEAR(A642), Lookup!$Q:$R, 2) + J642,
        Z641 + IF(MONTH(A642)=12, Q642+W642, 0) + I642
      ),
      VLOOKUP(YEAR(A642), Lookup!$K:$M, 3)
    ),
  B642=55,
    IF(Z641 &gt;= AD642, Z641 - AD642, 0),
  B642&gt;55, 0
)</f>
        <v>0</v>
      </c>
      <c r="AA642" s="65">
        <f>IFS(
  B642&lt;65,
    IF(AA641+J642 &lt; VLOOKUP(YEAR(A642), Lookup!$Q:$R, 2),
      AA641 + IF(MONTH(A642)=12, R641+X641, 0) + J642,
      MIN(
        AA641 + IF(MONTH(A642)=12, R641+X641, 0) + J642 ,
        VLOOKUP(YEAR(A642), Lookup!$Q:$R, 2)
      )
    ),
  B642&gt;=65,
    IF(AA641+J642 &lt; VLOOKUP(questions!$C$5, Lookup!$Q:$R, 2),
      AA641 + IF(MONTH(A642)=12, R641+X641, 0) + J642 ,
      MIN(
        AA641 + IF(MONTH(A642)=12, R641+X641, 0) + J642,
        VLOOKUP(questions!$C$5, Lookup!$Q:$R, 2)
      )
    )
)</f>
        <v>282111.0086</v>
      </c>
      <c r="AB642" s="65">
        <f t="shared" si="13"/>
        <v>1704033.874</v>
      </c>
      <c r="AC642" s="66">
        <f t="array" ref="AC642">IFS(B642&lt;66, XLOOKUP(year(A642),Lookup!$K$13:$K1000,Lookup!$L$13:$L1000,"missing",,1),B642&gt;65,XLOOKUP(questions!$C$5,Lookup!$K$13:$K1000,Lookup!$L$13:$L1000,"missing",,1))</f>
        <v>393675.3633</v>
      </c>
      <c r="AD642" s="66">
        <f t="array" ref="AD642">IFS(B642&lt;66, XLOOKUP(year(A642),Lookup!$K$13:$K1000,Lookup!$M$13:$M1000,"missing",,1),B642&gt;65, XLOOKUP(questions!$C$5,Lookup!$K$13:$K1000,Lookup!$M$13:$M1000,"missing",,1))</f>
        <v>787350.7266</v>
      </c>
      <c r="AE642" s="66">
        <f t="array" ref="AE642">IFS(B642&lt;66, XLOOKUP(year(A642),Lookup!$K$13:$K1000,Lookup!$N$13:$N1000,"missing",,1),B642&gt;65,XLOOKUP(questions!$C$5,Lookup!$K$13:$K1000,Lookup!$N$13:$N1000,"missing",,1))</f>
        <v>1574701.453</v>
      </c>
      <c r="AF642" s="37"/>
      <c r="AG642" s="37"/>
      <c r="AH642" s="37"/>
      <c r="AI642" s="37"/>
      <c r="AJ642" s="37"/>
      <c r="AK642" s="37"/>
      <c r="AL642" s="37"/>
      <c r="AM642" s="37"/>
      <c r="AN642" s="37"/>
      <c r="AO642" s="37"/>
      <c r="AP642" s="37"/>
      <c r="AQ642" s="37"/>
    </row>
    <row r="643">
      <c r="A643" s="55">
        <f t="shared" si="7"/>
        <v>65592</v>
      </c>
      <c r="B643" s="56">
        <f>round(YEARFRAC(EOMONTH(questions!$C$3, 0),A643,1),2)</f>
        <v>80.67</v>
      </c>
      <c r="C643" s="58">
        <f>IF(B643&lt;questions!$C$6,if(MONTH(A643)=1,C642*(1+questions!$C$12),C642),0)</f>
        <v>0</v>
      </c>
      <c r="D643" s="58">
        <f>IF(MONTH(A643)=12,C643*questions!$C$11,0)</f>
        <v>0</v>
      </c>
      <c r="E643" s="71">
        <f t="shared" si="2"/>
        <v>0</v>
      </c>
      <c r="F643" s="71">
        <f t="shared" si="3"/>
        <v>0</v>
      </c>
      <c r="G643" s="61">
        <f t="array" ref="G643">if(YEAR(A643)=2025,XLOOKUP(B643,Lookup!$A$3:$A$7,Lookup!$D$3:$D$7,,1)*SUM(E643:F643), XLOOKUP(B643,Lookup!$A$14:$A$18,Lookup!$D$14:$D$18,,1)*SUM(E643:F643))</f>
        <v>0</v>
      </c>
      <c r="H643" s="61">
        <f t="array" ref="H643">if(YEAR(A643)=2025,XLOOKUP(B643,Lookup!$F$3:$F$10,Lookup!$G$3:$G$10,,1)*G643, XLOOKUP(B643,Lookup!$F$14:$F$21,Lookup!$G$14:$G$21,,1)*G643)</f>
        <v>0</v>
      </c>
      <c r="I643" s="61">
        <f t="array" ref="I643">if(B643&lt;55, if(YEAR(A643)=2025,XLOOKUP(B643,Lookup!$F$3:$F$10,Lookup!$H$3:$H$10,,1)*G643, XLOOKUP(B643,Lookup!$F$14:$F$21,Lookup!$H$14:$H$21,,1)*G643),0)</f>
        <v>0</v>
      </c>
      <c r="J643" s="61">
        <f t="array" ref="J643">if(YEAR(A643)=2025,XLOOKUP(B643,Lookup!$F$3:$F$10,Lookup!$I$3:$I$10,,1)*G643, XLOOKUP(B643,Lookup!$F$14:$F$21,Lookup!$I$14:$I$21,,1)*G643)</f>
        <v>0</v>
      </c>
      <c r="K643" s="61">
        <f t="array" ref="K643">if(B643&gt;54, if(YEAR(A643)=2025,XLOOKUP(B643,Lookup!$F$3:$F$10,Lookup!$H$3:$H$10,,1)*G643, XLOOKUP(B643,Lookup!$F$14:$F$21,Lookup!$H$14:$H$21,,1)*G643),0)</f>
        <v>0</v>
      </c>
      <c r="L643" s="62">
        <f>IF(and(A643&lt;questions!$C$19,questions!$C$18="yes"),questions!$C$20,0)</f>
        <v>0</v>
      </c>
      <c r="M643" s="63">
        <f>(Y642+H643)*Lookup!A$26/12</f>
        <v>2971.155133</v>
      </c>
      <c r="N643" s="63">
        <f>if(B643&lt;55, (Z642+I643)*Lookup!B$26/12, (AB642+K643)*Lookup!B$26/12)</f>
        <v>5680.112915</v>
      </c>
      <c r="O643" s="63">
        <f>(AA642+J643)*Lookup!C$26/12</f>
        <v>940.3700287</v>
      </c>
      <c r="P643" s="63">
        <f t="shared" si="8"/>
        <v>20798.08593</v>
      </c>
      <c r="Q643" s="63">
        <f t="shared" si="4"/>
        <v>39760.7904</v>
      </c>
      <c r="R643" s="63">
        <f t="shared" si="5"/>
        <v>6582.590201</v>
      </c>
      <c r="S643" s="64">
        <f t="shared" si="9"/>
        <v>33.33333333</v>
      </c>
      <c r="T643" s="64">
        <f t="shared" si="10"/>
        <v>41.66666667</v>
      </c>
      <c r="U643" s="64">
        <f t="shared" si="11"/>
        <v>0</v>
      </c>
      <c r="V643" s="64">
        <f t="shared" ref="V643:X643" si="651">IF(year($A643)=year($A642), V642+S643, S643)</f>
        <v>233.3333333</v>
      </c>
      <c r="W643" s="64">
        <f t="shared" si="651"/>
        <v>291.6666667</v>
      </c>
      <c r="X643" s="64">
        <f t="shared" si="651"/>
        <v>0</v>
      </c>
      <c r="Y643" s="65">
        <f>IFS(
  B643&lt;55,
    MAX(
      Y642 + IF(MONTH(A643)=12, P643+V643, 0) + H643 - L643
      + MAX(0,
          IF(AA642 &gt;= VLOOKUP(YEAR(A643), Lookup!$Q:$R, 2),
            Z642 + IF(MONTH(A643)=12, Q643+W643, 0) + I643
              + AA642 + IF(MONTH(A643)=12, R643+X643, 0)
              - VLOOKUP(YEAR(A643), Lookup!$Q:$R, 2) + J643,
            Z642 + IF(MONTH(A643)=12, Q643+W643, 0) + I643
          ) - VLOOKUP(YEAR(A643), Lookup!$K:$M, 3)
        ),
    0),
  B643=55,
    IF(Z642&gt;=AD643,
      MAX(Y642 + IF(MONTH(A643)=12, P643+V643, 0) + H643 - L643, 0),
      MAX(MAX(0, Y642-(AD643-Z642)) + IF(MONTH(A643)=12, P643+V643, 0) + H643 - L643, 0)
    ),
  B643&gt;55,
    IF(AB642&gt;=$AH$7,
      MAX(Y642 + IF(MONTH(A643)=12, P643+V643, 0) + H643 - L643 + K643 + Z642, 0),
      MAX(Y642 + IF(MONTH(A643)=12, P643+V643, 0) + H643 - L643, 0)
    )
)</f>
        <v>1426154.464</v>
      </c>
      <c r="Z643" s="65">
        <f>IFS(
  B643&lt;55,
    MIN(
      IF(AA642 &gt;= VLOOKUP(YEAR(A643), Lookup!$Q:$R, 2),
        Z642 + IF(MONTH(A643)=12, Q643+W643, 0) + I643
          + AA642 + IF(MONTH(A643)=12, R643+X643, 0) - VLOOKUP(YEAR(A643), Lookup!$Q:$R, 2) + J643,
        Z642 + IF(MONTH(A643)=12, Q643+W643, 0) + I643
      ),
      VLOOKUP(YEAR(A643), Lookup!$K:$M, 3)
    ),
  B643=55,
    IF(Z642 &gt;= AD643, Z642 - AD643, 0),
  B643&gt;55, 0
)</f>
        <v>0</v>
      </c>
      <c r="AA643" s="65">
        <f>IFS(
  B643&lt;65,
    IF(AA642+J643 &lt; VLOOKUP(YEAR(A643), Lookup!$Q:$R, 2),
      AA642 + IF(MONTH(A643)=12, R642+X642, 0) + J643,
      MIN(
        AA642 + IF(MONTH(A643)=12, R642+X642, 0) + J643 ,
        VLOOKUP(YEAR(A643), Lookup!$Q:$R, 2)
      )
    ),
  B643&gt;=65,
    IF(AA642+J643 &lt; VLOOKUP(questions!$C$5, Lookup!$Q:$R, 2),
      AA642 + IF(MONTH(A643)=12, R642+X642, 0) + J643 ,
      MIN(
        AA642 + IF(MONTH(A643)=12, R642+X642, 0) + J643,
        VLOOKUP(questions!$C$5, Lookup!$Q:$R, 2)
      )
    )
)</f>
        <v>282111.0086</v>
      </c>
      <c r="AB643" s="65">
        <f t="shared" si="13"/>
        <v>1704033.874</v>
      </c>
      <c r="AC643" s="66">
        <f t="array" ref="AC643">IFS(B643&lt;66, XLOOKUP(year(A643),Lookup!$K$13:$K1000,Lookup!$L$13:$L1000,"missing",,1),B643&gt;65,XLOOKUP(questions!$C$5,Lookup!$K$13:$K1000,Lookup!$L$13:$L1000,"missing",,1))</f>
        <v>393675.3633</v>
      </c>
      <c r="AD643" s="66">
        <f t="array" ref="AD643">IFS(B643&lt;66, XLOOKUP(year(A643),Lookup!$K$13:$K1000,Lookup!$M$13:$M1000,"missing",,1),B643&gt;65, XLOOKUP(questions!$C$5,Lookup!$K$13:$K1000,Lookup!$M$13:$M1000,"missing",,1))</f>
        <v>787350.7266</v>
      </c>
      <c r="AE643" s="66">
        <f t="array" ref="AE643">IFS(B643&lt;66, XLOOKUP(year(A643),Lookup!$K$13:$K1000,Lookup!$N$13:$N1000,"missing",,1),B643&gt;65,XLOOKUP(questions!$C$5,Lookup!$K$13:$K1000,Lookup!$N$13:$N1000,"missing",,1))</f>
        <v>1574701.453</v>
      </c>
      <c r="AF643" s="37"/>
      <c r="AG643" s="37"/>
      <c r="AH643" s="37"/>
      <c r="AI643" s="37"/>
      <c r="AJ643" s="37"/>
      <c r="AK643" s="37"/>
      <c r="AL643" s="37"/>
      <c r="AM643" s="37"/>
      <c r="AN643" s="37"/>
      <c r="AO643" s="37"/>
      <c r="AP643" s="37"/>
      <c r="AQ643" s="37"/>
    </row>
    <row r="644">
      <c r="A644" s="55">
        <f t="shared" si="7"/>
        <v>65623</v>
      </c>
      <c r="B644" s="56">
        <f>round(YEARFRAC(EOMONTH(questions!$C$3, 0),A644,1),2)</f>
        <v>80.75</v>
      </c>
      <c r="C644" s="58">
        <f>IF(B644&lt;questions!$C$6,if(MONTH(A644)=1,C643*(1+questions!$C$12),C643),0)</f>
        <v>0</v>
      </c>
      <c r="D644" s="58">
        <f>IF(MONTH(A644)=12,C644*questions!$C$11,0)</f>
        <v>0</v>
      </c>
      <c r="E644" s="71">
        <f t="shared" si="2"/>
        <v>0</v>
      </c>
      <c r="F644" s="71">
        <f t="shared" si="3"/>
        <v>0</v>
      </c>
      <c r="G644" s="61">
        <f t="array" ref="G644">if(YEAR(A644)=2025,XLOOKUP(B644,Lookup!$A$3:$A$7,Lookup!$D$3:$D$7,,1)*SUM(E644:F644), XLOOKUP(B644,Lookup!$A$14:$A$18,Lookup!$D$14:$D$18,,1)*SUM(E644:F644))</f>
        <v>0</v>
      </c>
      <c r="H644" s="61">
        <f t="array" ref="H644">if(YEAR(A644)=2025,XLOOKUP(B644,Lookup!$F$3:$F$10,Lookup!$G$3:$G$10,,1)*G644, XLOOKUP(B644,Lookup!$F$14:$F$21,Lookup!$G$14:$G$21,,1)*G644)</f>
        <v>0</v>
      </c>
      <c r="I644" s="61">
        <f t="array" ref="I644">if(B644&lt;55, if(YEAR(A644)=2025,XLOOKUP(B644,Lookup!$F$3:$F$10,Lookup!$H$3:$H$10,,1)*G644, XLOOKUP(B644,Lookup!$F$14:$F$21,Lookup!$H$14:$H$21,,1)*G644),0)</f>
        <v>0</v>
      </c>
      <c r="J644" s="61">
        <f t="array" ref="J644">if(YEAR(A644)=2025,XLOOKUP(B644,Lookup!$F$3:$F$10,Lookup!$I$3:$I$10,,1)*G644, XLOOKUP(B644,Lookup!$F$14:$F$21,Lookup!$I$14:$I$21,,1)*G644)</f>
        <v>0</v>
      </c>
      <c r="K644" s="61">
        <f t="array" ref="K644">if(B644&gt;54, if(YEAR(A644)=2025,XLOOKUP(B644,Lookup!$F$3:$F$10,Lookup!$H$3:$H$10,,1)*G644, XLOOKUP(B644,Lookup!$F$14:$F$21,Lookup!$H$14:$H$21,,1)*G644),0)</f>
        <v>0</v>
      </c>
      <c r="L644" s="62">
        <f>IF(and(A644&lt;questions!$C$19,questions!$C$18="yes"),questions!$C$20,0)</f>
        <v>0</v>
      </c>
      <c r="M644" s="63">
        <f>(Y643+H644)*Lookup!A$26/12</f>
        <v>2971.155133</v>
      </c>
      <c r="N644" s="63">
        <f>if(B644&lt;55, (Z643+I644)*Lookup!B$26/12, (AB643+K644)*Lookup!B$26/12)</f>
        <v>5680.112915</v>
      </c>
      <c r="O644" s="63">
        <f>(AA643+J644)*Lookup!C$26/12</f>
        <v>940.3700287</v>
      </c>
      <c r="P644" s="63">
        <f t="shared" si="8"/>
        <v>23769.24107</v>
      </c>
      <c r="Q644" s="63">
        <f t="shared" si="4"/>
        <v>45440.90332</v>
      </c>
      <c r="R644" s="63">
        <f t="shared" si="5"/>
        <v>7522.960229</v>
      </c>
      <c r="S644" s="64">
        <f t="shared" si="9"/>
        <v>33.33333333</v>
      </c>
      <c r="T644" s="64">
        <f t="shared" si="10"/>
        <v>41.66666667</v>
      </c>
      <c r="U644" s="64">
        <f t="shared" si="11"/>
        <v>0</v>
      </c>
      <c r="V644" s="64">
        <f t="shared" ref="V644:X644" si="652">IF(year($A644)=year($A643), V643+S644, S644)</f>
        <v>266.6666667</v>
      </c>
      <c r="W644" s="64">
        <f t="shared" si="652"/>
        <v>333.3333333</v>
      </c>
      <c r="X644" s="64">
        <f t="shared" si="652"/>
        <v>0</v>
      </c>
      <c r="Y644" s="65">
        <f>IFS(
  B644&lt;55,
    MAX(
      Y643 + IF(MONTH(A644)=12, P644+V644, 0) + H644 - L644
      + MAX(0,
          IF(AA643 &gt;= VLOOKUP(YEAR(A644), Lookup!$Q:$R, 2),
            Z643 + IF(MONTH(A644)=12, Q644+W644, 0) + I644
              + AA643 + IF(MONTH(A644)=12, R644+X644, 0)
              - VLOOKUP(YEAR(A644), Lookup!$Q:$R, 2) + J644,
            Z643 + IF(MONTH(A644)=12, Q644+W644, 0) + I644
          ) - VLOOKUP(YEAR(A644), Lookup!$K:$M, 3)
        ),
    0),
  B644=55,
    IF(Z643&gt;=AD644,
      MAX(Y643 + IF(MONTH(A644)=12, P644+V644, 0) + H644 - L644, 0),
      MAX(MAX(0, Y643-(AD644-Z643)) + IF(MONTH(A644)=12, P644+V644, 0) + H644 - L644, 0)
    ),
  B644&gt;55,
    IF(AB643&gt;=$AH$7,
      MAX(Y643 + IF(MONTH(A644)=12, P644+V644, 0) + H644 - L644 + K644 + Z643, 0),
      MAX(Y643 + IF(MONTH(A644)=12, P644+V644, 0) + H644 - L644, 0)
    )
)</f>
        <v>1426154.464</v>
      </c>
      <c r="Z644" s="65">
        <f>IFS(
  B644&lt;55,
    MIN(
      IF(AA643 &gt;= VLOOKUP(YEAR(A644), Lookup!$Q:$R, 2),
        Z643 + IF(MONTH(A644)=12, Q644+W644, 0) + I644
          + AA643 + IF(MONTH(A644)=12, R644+X644, 0) - VLOOKUP(YEAR(A644), Lookup!$Q:$R, 2) + J644,
        Z643 + IF(MONTH(A644)=12, Q644+W644, 0) + I644
      ),
      VLOOKUP(YEAR(A644), Lookup!$K:$M, 3)
    ),
  B644=55,
    IF(Z643 &gt;= AD644, Z643 - AD644, 0),
  B644&gt;55, 0
)</f>
        <v>0</v>
      </c>
      <c r="AA644" s="65">
        <f>IFS(
  B644&lt;65,
    IF(AA643+J644 &lt; VLOOKUP(YEAR(A644), Lookup!$Q:$R, 2),
      AA643 + IF(MONTH(A644)=12, R643+X643, 0) + J644,
      MIN(
        AA643 + IF(MONTH(A644)=12, R643+X643, 0) + J644 ,
        VLOOKUP(YEAR(A644), Lookup!$Q:$R, 2)
      )
    ),
  B644&gt;=65,
    IF(AA643+J644 &lt; VLOOKUP(questions!$C$5, Lookup!$Q:$R, 2),
      AA643 + IF(MONTH(A644)=12, R643+X643, 0) + J644 ,
      MIN(
        AA643 + IF(MONTH(A644)=12, R643+X643, 0) + J644,
        VLOOKUP(questions!$C$5, Lookup!$Q:$R, 2)
      )
    )
)</f>
        <v>282111.0086</v>
      </c>
      <c r="AB644" s="65">
        <f t="shared" si="13"/>
        <v>1704033.874</v>
      </c>
      <c r="AC644" s="66">
        <f t="array" ref="AC644">IFS(B644&lt;66, XLOOKUP(year(A644),Lookup!$K$13:$K1000,Lookup!$L$13:$L1000,"missing",,1),B644&gt;65,XLOOKUP(questions!$C$5,Lookup!$K$13:$K1000,Lookup!$L$13:$L1000,"missing",,1))</f>
        <v>393675.3633</v>
      </c>
      <c r="AD644" s="66">
        <f t="array" ref="AD644">IFS(B644&lt;66, XLOOKUP(year(A644),Lookup!$K$13:$K1000,Lookup!$M$13:$M1000,"missing",,1),B644&gt;65, XLOOKUP(questions!$C$5,Lookup!$K$13:$K1000,Lookup!$M$13:$M1000,"missing",,1))</f>
        <v>787350.7266</v>
      </c>
      <c r="AE644" s="66">
        <f t="array" ref="AE644">IFS(B644&lt;66, XLOOKUP(year(A644),Lookup!$K$13:$K1000,Lookup!$N$13:$N1000,"missing",,1),B644&gt;65,XLOOKUP(questions!$C$5,Lookup!$K$13:$K1000,Lookup!$N$13:$N1000,"missing",,1))</f>
        <v>1574701.453</v>
      </c>
      <c r="AF644" s="37"/>
      <c r="AG644" s="37"/>
      <c r="AH644" s="37"/>
      <c r="AI644" s="37"/>
      <c r="AJ644" s="37"/>
      <c r="AK644" s="37"/>
      <c r="AL644" s="37"/>
      <c r="AM644" s="37"/>
      <c r="AN644" s="37"/>
      <c r="AO644" s="37"/>
      <c r="AP644" s="37"/>
      <c r="AQ644" s="37"/>
    </row>
    <row r="645">
      <c r="A645" s="55">
        <f t="shared" si="7"/>
        <v>65653</v>
      </c>
      <c r="B645" s="56">
        <f>round(YEARFRAC(EOMONTH(questions!$C$3, 0),A645,1),2)</f>
        <v>80.83</v>
      </c>
      <c r="C645" s="58">
        <f>IF(B645&lt;questions!$C$6,if(MONTH(A645)=1,C644*(1+questions!$C$12),C644),0)</f>
        <v>0</v>
      </c>
      <c r="D645" s="58">
        <f>IF(MONTH(A645)=12,C645*questions!$C$11,0)</f>
        <v>0</v>
      </c>
      <c r="E645" s="71">
        <f t="shared" si="2"/>
        <v>0</v>
      </c>
      <c r="F645" s="71">
        <f t="shared" si="3"/>
        <v>0</v>
      </c>
      <c r="G645" s="61">
        <f t="array" ref="G645">if(YEAR(A645)=2025,XLOOKUP(B645,Lookup!$A$3:$A$7,Lookup!$D$3:$D$7,,1)*SUM(E645:F645), XLOOKUP(B645,Lookup!$A$14:$A$18,Lookup!$D$14:$D$18,,1)*SUM(E645:F645))</f>
        <v>0</v>
      </c>
      <c r="H645" s="61">
        <f t="array" ref="H645">if(YEAR(A645)=2025,XLOOKUP(B645,Lookup!$F$3:$F$10,Lookup!$G$3:$G$10,,1)*G645, XLOOKUP(B645,Lookup!$F$14:$F$21,Lookup!$G$14:$G$21,,1)*G645)</f>
        <v>0</v>
      </c>
      <c r="I645" s="61">
        <f t="array" ref="I645">if(B645&lt;55, if(YEAR(A645)=2025,XLOOKUP(B645,Lookup!$F$3:$F$10,Lookup!$H$3:$H$10,,1)*G645, XLOOKUP(B645,Lookup!$F$14:$F$21,Lookup!$H$14:$H$21,,1)*G645),0)</f>
        <v>0</v>
      </c>
      <c r="J645" s="61">
        <f t="array" ref="J645">if(YEAR(A645)=2025,XLOOKUP(B645,Lookup!$F$3:$F$10,Lookup!$I$3:$I$10,,1)*G645, XLOOKUP(B645,Lookup!$F$14:$F$21,Lookup!$I$14:$I$21,,1)*G645)</f>
        <v>0</v>
      </c>
      <c r="K645" s="61">
        <f t="array" ref="K645">if(B645&gt;54, if(YEAR(A645)=2025,XLOOKUP(B645,Lookup!$F$3:$F$10,Lookup!$H$3:$H$10,,1)*G645, XLOOKUP(B645,Lookup!$F$14:$F$21,Lookup!$H$14:$H$21,,1)*G645),0)</f>
        <v>0</v>
      </c>
      <c r="L645" s="62">
        <f>IF(and(A645&lt;questions!$C$19,questions!$C$18="yes"),questions!$C$20,0)</f>
        <v>0</v>
      </c>
      <c r="M645" s="63">
        <f>(Y644+H645)*Lookup!A$26/12</f>
        <v>2971.155133</v>
      </c>
      <c r="N645" s="63">
        <f>if(B645&lt;55, (Z644+I645)*Lookup!B$26/12, (AB644+K645)*Lookup!B$26/12)</f>
        <v>5680.112915</v>
      </c>
      <c r="O645" s="63">
        <f>(AA644+J645)*Lookup!C$26/12</f>
        <v>940.3700287</v>
      </c>
      <c r="P645" s="63">
        <f t="shared" si="8"/>
        <v>26740.3962</v>
      </c>
      <c r="Q645" s="63">
        <f t="shared" si="4"/>
        <v>51121.01623</v>
      </c>
      <c r="R645" s="63">
        <f t="shared" si="5"/>
        <v>8463.330258</v>
      </c>
      <c r="S645" s="64">
        <f t="shared" si="9"/>
        <v>33.33333333</v>
      </c>
      <c r="T645" s="64">
        <f t="shared" si="10"/>
        <v>41.66666667</v>
      </c>
      <c r="U645" s="64">
        <f t="shared" si="11"/>
        <v>0</v>
      </c>
      <c r="V645" s="64">
        <f t="shared" ref="V645:X645" si="653">IF(year($A645)=year($A644), V644+S645, S645)</f>
        <v>300</v>
      </c>
      <c r="W645" s="64">
        <f t="shared" si="653"/>
        <v>375</v>
      </c>
      <c r="X645" s="64">
        <f t="shared" si="653"/>
        <v>0</v>
      </c>
      <c r="Y645" s="65">
        <f>IFS(
  B645&lt;55,
    MAX(
      Y644 + IF(MONTH(A645)=12, P645+V645, 0) + H645 - L645
      + MAX(0,
          IF(AA644 &gt;= VLOOKUP(YEAR(A645), Lookup!$Q:$R, 2),
            Z644 + IF(MONTH(A645)=12, Q645+W645, 0) + I645
              + AA644 + IF(MONTH(A645)=12, R645+X645, 0)
              - VLOOKUP(YEAR(A645), Lookup!$Q:$R, 2) + J645,
            Z644 + IF(MONTH(A645)=12, Q645+W645, 0) + I645
          ) - VLOOKUP(YEAR(A645), Lookup!$K:$M, 3)
        ),
    0),
  B645=55,
    IF(Z644&gt;=AD645,
      MAX(Y644 + IF(MONTH(A645)=12, P645+V645, 0) + H645 - L645, 0),
      MAX(MAX(0, Y644-(AD645-Z644)) + IF(MONTH(A645)=12, P645+V645, 0) + H645 - L645, 0)
    ),
  B645&gt;55,
    IF(AB644&gt;=$AH$7,
      MAX(Y644 + IF(MONTH(A645)=12, P645+V645, 0) + H645 - L645 + K645 + Z644, 0),
      MAX(Y644 + IF(MONTH(A645)=12, P645+V645, 0) + H645 - L645, 0)
    )
)</f>
        <v>1426154.464</v>
      </c>
      <c r="Z645" s="65">
        <f>IFS(
  B645&lt;55,
    MIN(
      IF(AA644 &gt;= VLOOKUP(YEAR(A645), Lookup!$Q:$R, 2),
        Z644 + IF(MONTH(A645)=12, Q645+W645, 0) + I645
          + AA644 + IF(MONTH(A645)=12, R645+X645, 0) - VLOOKUP(YEAR(A645), Lookup!$Q:$R, 2) + J645,
        Z644 + IF(MONTH(A645)=12, Q645+W645, 0) + I645
      ),
      VLOOKUP(YEAR(A645), Lookup!$K:$M, 3)
    ),
  B645=55,
    IF(Z644 &gt;= AD645, Z644 - AD645, 0),
  B645&gt;55, 0
)</f>
        <v>0</v>
      </c>
      <c r="AA645" s="65">
        <f>IFS(
  B645&lt;65,
    IF(AA644+J645 &lt; VLOOKUP(YEAR(A645), Lookup!$Q:$R, 2),
      AA644 + IF(MONTH(A645)=12, R644+X644, 0) + J645,
      MIN(
        AA644 + IF(MONTH(A645)=12, R644+X644, 0) + J645 ,
        VLOOKUP(YEAR(A645), Lookup!$Q:$R, 2)
      )
    ),
  B645&gt;=65,
    IF(AA644+J645 &lt; VLOOKUP(questions!$C$5, Lookup!$Q:$R, 2),
      AA644 + IF(MONTH(A645)=12, R644+X644, 0) + J645 ,
      MIN(
        AA644 + IF(MONTH(A645)=12, R644+X644, 0) + J645,
        VLOOKUP(questions!$C$5, Lookup!$Q:$R, 2)
      )
    )
)</f>
        <v>282111.0086</v>
      </c>
      <c r="AB645" s="65">
        <f t="shared" si="13"/>
        <v>1704033.874</v>
      </c>
      <c r="AC645" s="66">
        <f t="array" ref="AC645">IFS(B645&lt;66, XLOOKUP(year(A645),Lookup!$K$13:$K1000,Lookup!$L$13:$L1000,"missing",,1),B645&gt;65,XLOOKUP(questions!$C$5,Lookup!$K$13:$K1000,Lookup!$L$13:$L1000,"missing",,1))</f>
        <v>393675.3633</v>
      </c>
      <c r="AD645" s="66">
        <f t="array" ref="AD645">IFS(B645&lt;66, XLOOKUP(year(A645),Lookup!$K$13:$K1000,Lookup!$M$13:$M1000,"missing",,1),B645&gt;65, XLOOKUP(questions!$C$5,Lookup!$K$13:$K1000,Lookup!$M$13:$M1000,"missing",,1))</f>
        <v>787350.7266</v>
      </c>
      <c r="AE645" s="66">
        <f t="array" ref="AE645">IFS(B645&lt;66, XLOOKUP(year(A645),Lookup!$K$13:$K1000,Lookup!$N$13:$N1000,"missing",,1),B645&gt;65,XLOOKUP(questions!$C$5,Lookup!$K$13:$K1000,Lookup!$N$13:$N1000,"missing",,1))</f>
        <v>1574701.453</v>
      </c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7"/>
      <c r="AQ645" s="37"/>
    </row>
    <row r="646">
      <c r="A646" s="55">
        <f t="shared" si="7"/>
        <v>65684</v>
      </c>
      <c r="B646" s="56">
        <f>round(YEARFRAC(EOMONTH(questions!$C$3, 0),A646,1),2)</f>
        <v>80.92</v>
      </c>
      <c r="C646" s="58">
        <f>IF(B646&lt;questions!$C$6,if(MONTH(A646)=1,C645*(1+questions!$C$12),C645),0)</f>
        <v>0</v>
      </c>
      <c r="D646" s="58">
        <f>IF(MONTH(A646)=12,C646*questions!$C$11,0)</f>
        <v>0</v>
      </c>
      <c r="E646" s="71">
        <f t="shared" si="2"/>
        <v>0</v>
      </c>
      <c r="F646" s="71">
        <f t="shared" si="3"/>
        <v>0</v>
      </c>
      <c r="G646" s="61">
        <f t="array" ref="G646">if(YEAR(A646)=2025,XLOOKUP(B646,Lookup!$A$3:$A$7,Lookup!$D$3:$D$7,,1)*SUM(E646:F646), XLOOKUP(B646,Lookup!$A$14:$A$18,Lookup!$D$14:$D$18,,1)*SUM(E646:F646))</f>
        <v>0</v>
      </c>
      <c r="H646" s="61">
        <f t="array" ref="H646">if(YEAR(A646)=2025,XLOOKUP(B646,Lookup!$F$3:$F$10,Lookup!$G$3:$G$10,,1)*G646, XLOOKUP(B646,Lookup!$F$14:$F$21,Lookup!$G$14:$G$21,,1)*G646)</f>
        <v>0</v>
      </c>
      <c r="I646" s="61">
        <f t="array" ref="I646">if(B646&lt;55, if(YEAR(A646)=2025,XLOOKUP(B646,Lookup!$F$3:$F$10,Lookup!$H$3:$H$10,,1)*G646, XLOOKUP(B646,Lookup!$F$14:$F$21,Lookup!$H$14:$H$21,,1)*G646),0)</f>
        <v>0</v>
      </c>
      <c r="J646" s="61">
        <f t="array" ref="J646">if(YEAR(A646)=2025,XLOOKUP(B646,Lookup!$F$3:$F$10,Lookup!$I$3:$I$10,,1)*G646, XLOOKUP(B646,Lookup!$F$14:$F$21,Lookup!$I$14:$I$21,,1)*G646)</f>
        <v>0</v>
      </c>
      <c r="K646" s="61">
        <f t="array" ref="K646">if(B646&gt;54, if(YEAR(A646)=2025,XLOOKUP(B646,Lookup!$F$3:$F$10,Lookup!$H$3:$H$10,,1)*G646, XLOOKUP(B646,Lookup!$F$14:$F$21,Lookup!$H$14:$H$21,,1)*G646),0)</f>
        <v>0</v>
      </c>
      <c r="L646" s="62">
        <f>IF(and(A646&lt;questions!$C$19,questions!$C$18="yes"),questions!$C$20,0)</f>
        <v>0</v>
      </c>
      <c r="M646" s="63">
        <f>(Y645+H646)*Lookup!A$26/12</f>
        <v>2971.155133</v>
      </c>
      <c r="N646" s="63">
        <f>if(B646&lt;55, (Z645+I646)*Lookup!B$26/12, (AB645+K646)*Lookup!B$26/12)</f>
        <v>5680.112915</v>
      </c>
      <c r="O646" s="63">
        <f>(AA645+J646)*Lookup!C$26/12</f>
        <v>940.3700287</v>
      </c>
      <c r="P646" s="63">
        <f t="shared" si="8"/>
        <v>29711.55133</v>
      </c>
      <c r="Q646" s="63">
        <f t="shared" si="4"/>
        <v>56801.12915</v>
      </c>
      <c r="R646" s="63">
        <f t="shared" si="5"/>
        <v>9403.700287</v>
      </c>
      <c r="S646" s="64">
        <f t="shared" si="9"/>
        <v>33.33333333</v>
      </c>
      <c r="T646" s="64">
        <f t="shared" si="10"/>
        <v>41.66666667</v>
      </c>
      <c r="U646" s="64">
        <f t="shared" si="11"/>
        <v>0</v>
      </c>
      <c r="V646" s="64">
        <f t="shared" ref="V646:X646" si="654">IF(year($A646)=year($A645), V645+S646, S646)</f>
        <v>333.3333333</v>
      </c>
      <c r="W646" s="64">
        <f t="shared" si="654"/>
        <v>416.6666667</v>
      </c>
      <c r="X646" s="64">
        <f t="shared" si="654"/>
        <v>0</v>
      </c>
      <c r="Y646" s="65">
        <f>IFS(
  B646&lt;55,
    MAX(
      Y645 + IF(MONTH(A646)=12, P646+V646, 0) + H646 - L646
      + MAX(0,
          IF(AA645 &gt;= VLOOKUP(YEAR(A646), Lookup!$Q:$R, 2),
            Z645 + IF(MONTH(A646)=12, Q646+W646, 0) + I646
              + AA645 + IF(MONTH(A646)=12, R646+X646, 0)
              - VLOOKUP(YEAR(A646), Lookup!$Q:$R, 2) + J646,
            Z645 + IF(MONTH(A646)=12, Q646+W646, 0) + I646
          ) - VLOOKUP(YEAR(A646), Lookup!$K:$M, 3)
        ),
    0),
  B646=55,
    IF(Z645&gt;=AD646,
      MAX(Y645 + IF(MONTH(A646)=12, P646+V646, 0) + H646 - L646, 0),
      MAX(MAX(0, Y645-(AD646-Z645)) + IF(MONTH(A646)=12, P646+V646, 0) + H646 - L646, 0)
    ),
  B646&gt;55,
    IF(AB645&gt;=$AH$7,
      MAX(Y645 + IF(MONTH(A646)=12, P646+V646, 0) + H646 - L646 + K646 + Z645, 0),
      MAX(Y645 + IF(MONTH(A646)=12, P646+V646, 0) + H646 - L646, 0)
    )
)</f>
        <v>1426154.464</v>
      </c>
      <c r="Z646" s="65">
        <f>IFS(
  B646&lt;55,
    MIN(
      IF(AA645 &gt;= VLOOKUP(YEAR(A646), Lookup!$Q:$R, 2),
        Z645 + IF(MONTH(A646)=12, Q646+W646, 0) + I646
          + AA645 + IF(MONTH(A646)=12, R646+X646, 0) - VLOOKUP(YEAR(A646), Lookup!$Q:$R, 2) + J646,
        Z645 + IF(MONTH(A646)=12, Q646+W646, 0) + I646
      ),
      VLOOKUP(YEAR(A646), Lookup!$K:$M, 3)
    ),
  B646=55,
    IF(Z645 &gt;= AD646, Z645 - AD646, 0),
  B646&gt;55, 0
)</f>
        <v>0</v>
      </c>
      <c r="AA646" s="65">
        <f>IFS(
  B646&lt;65,
    IF(AA645+J646 &lt; VLOOKUP(YEAR(A646), Lookup!$Q:$R, 2),
      AA645 + IF(MONTH(A646)=12, R645+X645, 0) + J646,
      MIN(
        AA645 + IF(MONTH(A646)=12, R645+X645, 0) + J646 ,
        VLOOKUP(YEAR(A646), Lookup!$Q:$R, 2)
      )
    ),
  B646&gt;=65,
    IF(AA645+J646 &lt; VLOOKUP(questions!$C$5, Lookup!$Q:$R, 2),
      AA645 + IF(MONTH(A646)=12, R645+X645, 0) + J646 ,
      MIN(
        AA645 + IF(MONTH(A646)=12, R645+X645, 0) + J646,
        VLOOKUP(questions!$C$5, Lookup!$Q:$R, 2)
      )
    )
)</f>
        <v>282111.0086</v>
      </c>
      <c r="AB646" s="65">
        <f t="shared" si="13"/>
        <v>1704033.874</v>
      </c>
      <c r="AC646" s="66">
        <f t="array" ref="AC646">IFS(B646&lt;66, XLOOKUP(year(A646),Lookup!$K$13:$K1000,Lookup!$L$13:$L1000,"missing",,1),B646&gt;65,XLOOKUP(questions!$C$5,Lookup!$K$13:$K1000,Lookup!$L$13:$L1000,"missing",,1))</f>
        <v>393675.3633</v>
      </c>
      <c r="AD646" s="66">
        <f t="array" ref="AD646">IFS(B646&lt;66, XLOOKUP(year(A646),Lookup!$K$13:$K1000,Lookup!$M$13:$M1000,"missing",,1),B646&gt;65, XLOOKUP(questions!$C$5,Lookup!$K$13:$K1000,Lookup!$M$13:$M1000,"missing",,1))</f>
        <v>787350.7266</v>
      </c>
      <c r="AE646" s="66">
        <f t="array" ref="AE646">IFS(B646&lt;66, XLOOKUP(year(A646),Lookup!$K$13:$K1000,Lookup!$N$13:$N1000,"missing",,1),B646&gt;65,XLOOKUP(questions!$C$5,Lookup!$K$13:$K1000,Lookup!$N$13:$N1000,"missing",,1))</f>
        <v>1574701.453</v>
      </c>
      <c r="AF646" s="37"/>
      <c r="AG646" s="37"/>
      <c r="AH646" s="37"/>
      <c r="AI646" s="37"/>
      <c r="AJ646" s="37"/>
      <c r="AK646" s="37"/>
      <c r="AL646" s="37"/>
      <c r="AM646" s="37"/>
      <c r="AN646" s="37"/>
      <c r="AO646" s="37"/>
      <c r="AP646" s="37"/>
      <c r="AQ646" s="37"/>
    </row>
    <row r="647">
      <c r="A647" s="55">
        <f t="shared" si="7"/>
        <v>65714</v>
      </c>
      <c r="B647" s="56">
        <f>round(YEARFRAC(EOMONTH(questions!$C$3, 0),A647,1),2)</f>
        <v>81</v>
      </c>
      <c r="C647" s="58">
        <f>IF(B647&lt;questions!$C$6,if(MONTH(A647)=1,C646*(1+questions!$C$12),C646),0)</f>
        <v>0</v>
      </c>
      <c r="D647" s="58">
        <f>IF(MONTH(A647)=12,C647*questions!$C$11,0)</f>
        <v>0</v>
      </c>
      <c r="E647" s="71">
        <f t="shared" si="2"/>
        <v>0</v>
      </c>
      <c r="F647" s="71">
        <f t="shared" si="3"/>
        <v>0</v>
      </c>
      <c r="G647" s="61">
        <f t="array" ref="G647">if(YEAR(A647)=2025,XLOOKUP(B647,Lookup!$A$3:$A$7,Lookup!$D$3:$D$7,,1)*SUM(E647:F647), XLOOKUP(B647,Lookup!$A$14:$A$18,Lookup!$D$14:$D$18,,1)*SUM(E647:F647))</f>
        <v>0</v>
      </c>
      <c r="H647" s="61">
        <f t="array" ref="H647">if(YEAR(A647)=2025,XLOOKUP(B647,Lookup!$F$3:$F$10,Lookup!$G$3:$G$10,,1)*G647, XLOOKUP(B647,Lookup!$F$14:$F$21,Lookup!$G$14:$G$21,,1)*G647)</f>
        <v>0</v>
      </c>
      <c r="I647" s="61">
        <f t="array" ref="I647">if(B647&lt;55, if(YEAR(A647)=2025,XLOOKUP(B647,Lookup!$F$3:$F$10,Lookup!$H$3:$H$10,,1)*G647, XLOOKUP(B647,Lookup!$F$14:$F$21,Lookup!$H$14:$H$21,,1)*G647),0)</f>
        <v>0</v>
      </c>
      <c r="J647" s="61">
        <f t="array" ref="J647">if(YEAR(A647)=2025,XLOOKUP(B647,Lookup!$F$3:$F$10,Lookup!$I$3:$I$10,,1)*G647, XLOOKUP(B647,Lookup!$F$14:$F$21,Lookup!$I$14:$I$21,,1)*G647)</f>
        <v>0</v>
      </c>
      <c r="K647" s="61">
        <f t="array" ref="K647">if(B647&gt;54, if(YEAR(A647)=2025,XLOOKUP(B647,Lookup!$F$3:$F$10,Lookup!$H$3:$H$10,,1)*G647, XLOOKUP(B647,Lookup!$F$14:$F$21,Lookup!$H$14:$H$21,,1)*G647),0)</f>
        <v>0</v>
      </c>
      <c r="L647" s="62">
        <f>IF(and(A647&lt;questions!$C$19,questions!$C$18="yes"),questions!$C$20,0)</f>
        <v>0</v>
      </c>
      <c r="M647" s="63">
        <f>(Y646+H647)*Lookup!A$26/12</f>
        <v>2971.155133</v>
      </c>
      <c r="N647" s="63">
        <f>if(B647&lt;55, (Z646+I647)*Lookup!B$26/12, (AB646+K647)*Lookup!B$26/12)</f>
        <v>5680.112915</v>
      </c>
      <c r="O647" s="63">
        <f>(AA646+J647)*Lookup!C$26/12</f>
        <v>940.3700287</v>
      </c>
      <c r="P647" s="63">
        <f t="shared" si="8"/>
        <v>32682.70646</v>
      </c>
      <c r="Q647" s="63">
        <f t="shared" si="4"/>
        <v>62481.24206</v>
      </c>
      <c r="R647" s="63">
        <f t="shared" si="5"/>
        <v>10344.07032</v>
      </c>
      <c r="S647" s="64">
        <f t="shared" si="9"/>
        <v>33.33333333</v>
      </c>
      <c r="T647" s="64">
        <f t="shared" si="10"/>
        <v>41.66666667</v>
      </c>
      <c r="U647" s="64">
        <f t="shared" si="11"/>
        <v>0</v>
      </c>
      <c r="V647" s="64">
        <f t="shared" ref="V647:X647" si="655">IF(year($A647)=year($A646), V646+S647, S647)</f>
        <v>366.6666667</v>
      </c>
      <c r="W647" s="64">
        <f t="shared" si="655"/>
        <v>458.3333333</v>
      </c>
      <c r="X647" s="64">
        <f t="shared" si="655"/>
        <v>0</v>
      </c>
      <c r="Y647" s="65">
        <f>IFS(
  B647&lt;55,
    MAX(
      Y646 + IF(MONTH(A647)=12, P647+V647, 0) + H647 - L647
      + MAX(0,
          IF(AA646 &gt;= VLOOKUP(YEAR(A647), Lookup!$Q:$R, 2),
            Z646 + IF(MONTH(A647)=12, Q647+W647, 0) + I647
              + AA646 + IF(MONTH(A647)=12, R647+X647, 0)
              - VLOOKUP(YEAR(A647), Lookup!$Q:$R, 2) + J647,
            Z646 + IF(MONTH(A647)=12, Q647+W647, 0) + I647
          ) - VLOOKUP(YEAR(A647), Lookup!$K:$M, 3)
        ),
    0),
  B647=55,
    IF(Z646&gt;=AD647,
      MAX(Y646 + IF(MONTH(A647)=12, P647+V647, 0) + H647 - L647, 0),
      MAX(MAX(0, Y646-(AD647-Z646)) + IF(MONTH(A647)=12, P647+V647, 0) + H647 - L647, 0)
    ),
  B647&gt;55,
    IF(AB646&gt;=$AH$7,
      MAX(Y646 + IF(MONTH(A647)=12, P647+V647, 0) + H647 - L647 + K647 + Z646, 0),
      MAX(Y646 + IF(MONTH(A647)=12, P647+V647, 0) + H647 - L647, 0)
    )
)</f>
        <v>1426154.464</v>
      </c>
      <c r="Z647" s="65">
        <f>IFS(
  B647&lt;55,
    MIN(
      IF(AA646 &gt;= VLOOKUP(YEAR(A647), Lookup!$Q:$R, 2),
        Z646 + IF(MONTH(A647)=12, Q647+W647, 0) + I647
          + AA646 + IF(MONTH(A647)=12, R647+X647, 0) - VLOOKUP(YEAR(A647), Lookup!$Q:$R, 2) + J647,
        Z646 + IF(MONTH(A647)=12, Q647+W647, 0) + I647
      ),
      VLOOKUP(YEAR(A647), Lookup!$K:$M, 3)
    ),
  B647=55,
    IF(Z646 &gt;= AD647, Z646 - AD647, 0),
  B647&gt;55, 0
)</f>
        <v>0</v>
      </c>
      <c r="AA647" s="65">
        <f>IFS(
  B647&lt;65,
    IF(AA646+J647 &lt; VLOOKUP(YEAR(A647), Lookup!$Q:$R, 2),
      AA646 + IF(MONTH(A647)=12, R646+X646, 0) + J647,
      MIN(
        AA646 + IF(MONTH(A647)=12, R646+X646, 0) + J647 ,
        VLOOKUP(YEAR(A647), Lookup!$Q:$R, 2)
      )
    ),
  B647&gt;=65,
    IF(AA646+J647 &lt; VLOOKUP(questions!$C$5, Lookup!$Q:$R, 2),
      AA646 + IF(MONTH(A647)=12, R646+X646, 0) + J647 ,
      MIN(
        AA646 + IF(MONTH(A647)=12, R646+X646, 0) + J647,
        VLOOKUP(questions!$C$5, Lookup!$Q:$R, 2)
      )
    )
)</f>
        <v>282111.0086</v>
      </c>
      <c r="AB647" s="65">
        <f t="shared" si="13"/>
        <v>1704033.874</v>
      </c>
      <c r="AC647" s="66">
        <f t="array" ref="AC647">IFS(B647&lt;66, XLOOKUP(year(A647),Lookup!$K$13:$K1000,Lookup!$L$13:$L1000,"missing",,1),B647&gt;65,XLOOKUP(questions!$C$5,Lookup!$K$13:$K1000,Lookup!$L$13:$L1000,"missing",,1))</f>
        <v>393675.3633</v>
      </c>
      <c r="AD647" s="66">
        <f t="array" ref="AD647">IFS(B647&lt;66, XLOOKUP(year(A647),Lookup!$K$13:$K1000,Lookup!$M$13:$M1000,"missing",,1),B647&gt;65, XLOOKUP(questions!$C$5,Lookup!$K$13:$K1000,Lookup!$M$13:$M1000,"missing",,1))</f>
        <v>787350.7266</v>
      </c>
      <c r="AE647" s="66">
        <f t="array" ref="AE647">IFS(B647&lt;66, XLOOKUP(year(A647),Lookup!$K$13:$K1000,Lookup!$N$13:$N1000,"missing",,1),B647&gt;65,XLOOKUP(questions!$C$5,Lookup!$K$13:$K1000,Lookup!$N$13:$N1000,"missing",,1))</f>
        <v>1574701.453</v>
      </c>
      <c r="AF647" s="37"/>
      <c r="AG647" s="37"/>
      <c r="AH647" s="37"/>
      <c r="AI647" s="37"/>
      <c r="AJ647" s="37"/>
      <c r="AK647" s="37"/>
      <c r="AL647" s="37"/>
      <c r="AM647" s="37"/>
      <c r="AN647" s="37"/>
      <c r="AO647" s="37"/>
      <c r="AP647" s="37"/>
      <c r="AQ647" s="37"/>
    </row>
    <row r="648">
      <c r="A648" s="55">
        <f t="shared" si="7"/>
        <v>65745</v>
      </c>
      <c r="B648" s="56">
        <f>round(YEARFRAC(EOMONTH(questions!$C$3, 0),A648,1),2)</f>
        <v>81.08</v>
      </c>
      <c r="C648" s="58">
        <f>IF(B648&lt;questions!$C$6,if(MONTH(A648)=1,C647*(1+questions!$C$12),C647),0)</f>
        <v>0</v>
      </c>
      <c r="D648" s="58">
        <f>IF(MONTH(A648)=12,C648*questions!$C$11,0)</f>
        <v>0</v>
      </c>
      <c r="E648" s="71">
        <f t="shared" si="2"/>
        <v>0</v>
      </c>
      <c r="F648" s="71">
        <f t="shared" si="3"/>
        <v>0</v>
      </c>
      <c r="G648" s="61">
        <f t="array" ref="G648">if(YEAR(A648)=2025,XLOOKUP(B648,Lookup!$A$3:$A$7,Lookup!$D$3:$D$7,,1)*SUM(E648:F648), XLOOKUP(B648,Lookup!$A$14:$A$18,Lookup!$D$14:$D$18,,1)*SUM(E648:F648))</f>
        <v>0</v>
      </c>
      <c r="H648" s="61">
        <f t="array" ref="H648">if(YEAR(A648)=2025,XLOOKUP(B648,Lookup!$F$3:$F$10,Lookup!$G$3:$G$10,,1)*G648, XLOOKUP(B648,Lookup!$F$14:$F$21,Lookup!$G$14:$G$21,,1)*G648)</f>
        <v>0</v>
      </c>
      <c r="I648" s="61">
        <f t="array" ref="I648">if(B648&lt;55, if(YEAR(A648)=2025,XLOOKUP(B648,Lookup!$F$3:$F$10,Lookup!$H$3:$H$10,,1)*G648, XLOOKUP(B648,Lookup!$F$14:$F$21,Lookup!$H$14:$H$21,,1)*G648),0)</f>
        <v>0</v>
      </c>
      <c r="J648" s="61">
        <f t="array" ref="J648">if(YEAR(A648)=2025,XLOOKUP(B648,Lookup!$F$3:$F$10,Lookup!$I$3:$I$10,,1)*G648, XLOOKUP(B648,Lookup!$F$14:$F$21,Lookup!$I$14:$I$21,,1)*G648)</f>
        <v>0</v>
      </c>
      <c r="K648" s="61">
        <f t="array" ref="K648">if(B648&gt;54, if(YEAR(A648)=2025,XLOOKUP(B648,Lookup!$F$3:$F$10,Lookup!$H$3:$H$10,,1)*G648, XLOOKUP(B648,Lookup!$F$14:$F$21,Lookup!$H$14:$H$21,,1)*G648),0)</f>
        <v>0</v>
      </c>
      <c r="L648" s="62">
        <f>IF(and(A648&lt;questions!$C$19,questions!$C$18="yes"),questions!$C$20,0)</f>
        <v>0</v>
      </c>
      <c r="M648" s="63">
        <f>(Y647+H648)*Lookup!A$26/12</f>
        <v>2971.155133</v>
      </c>
      <c r="N648" s="63">
        <f>if(B648&lt;55, (Z647+I648)*Lookup!B$26/12, (AB647+K648)*Lookup!B$26/12)</f>
        <v>5680.112915</v>
      </c>
      <c r="O648" s="63">
        <f>(AA647+J648)*Lookup!C$26/12</f>
        <v>940.3700287</v>
      </c>
      <c r="P648" s="63">
        <f t="shared" si="8"/>
        <v>35653.8616</v>
      </c>
      <c r="Q648" s="63">
        <f t="shared" si="4"/>
        <v>68161.35498</v>
      </c>
      <c r="R648" s="63">
        <f t="shared" si="5"/>
        <v>11284.44034</v>
      </c>
      <c r="S648" s="64">
        <f t="shared" si="9"/>
        <v>33.33333333</v>
      </c>
      <c r="T648" s="64">
        <f t="shared" si="10"/>
        <v>41.66666667</v>
      </c>
      <c r="U648" s="64">
        <f t="shared" si="11"/>
        <v>0</v>
      </c>
      <c r="V648" s="64">
        <f t="shared" ref="V648:X648" si="656">IF(year($A648)=year($A647), V647+S648, S648)</f>
        <v>400</v>
      </c>
      <c r="W648" s="64">
        <f t="shared" si="656"/>
        <v>500</v>
      </c>
      <c r="X648" s="64">
        <f t="shared" si="656"/>
        <v>0</v>
      </c>
      <c r="Y648" s="65">
        <f>IFS(
  B648&lt;55,
    MAX(
      Y647 + IF(MONTH(A648)=12, P648+V648, 0) + H648 - L648
      + MAX(0,
          IF(AA647 &gt;= VLOOKUP(YEAR(A648), Lookup!$Q:$R, 2),
            Z647 + IF(MONTH(A648)=12, Q648+W648, 0) + I648
              + AA647 + IF(MONTH(A648)=12, R648+X648, 0)
              - VLOOKUP(YEAR(A648), Lookup!$Q:$R, 2) + J648,
            Z647 + IF(MONTH(A648)=12, Q648+W648, 0) + I648
          ) - VLOOKUP(YEAR(A648), Lookup!$K:$M, 3)
        ),
    0),
  B648=55,
    IF(Z647&gt;=AD648,
      MAX(Y647 + IF(MONTH(A648)=12, P648+V648, 0) + H648 - L648, 0),
      MAX(MAX(0, Y647-(AD648-Z647)) + IF(MONTH(A648)=12, P648+V648, 0) + H648 - L648, 0)
    ),
  B648&gt;55,
    IF(AB647&gt;=$AH$7,
      MAX(Y647 + IF(MONTH(A648)=12, P648+V648, 0) + H648 - L648 + K648 + Z647, 0),
      MAX(Y647 + IF(MONTH(A648)=12, P648+V648, 0) + H648 - L648, 0)
    )
)</f>
        <v>1462208.326</v>
      </c>
      <c r="Z648" s="65">
        <f>IFS(
  B648&lt;55,
    MIN(
      IF(AA647 &gt;= VLOOKUP(YEAR(A648), Lookup!$Q:$R, 2),
        Z647 + IF(MONTH(A648)=12, Q648+W648, 0) + I648
          + AA647 + IF(MONTH(A648)=12, R648+X648, 0) - VLOOKUP(YEAR(A648), Lookup!$Q:$R, 2) + J648,
        Z647 + IF(MONTH(A648)=12, Q648+W648, 0) + I648
      ),
      VLOOKUP(YEAR(A648), Lookup!$K:$M, 3)
    ),
  B648=55,
    IF(Z647 &gt;= AD648, Z647 - AD648, 0),
  B648&gt;55, 0
)</f>
        <v>0</v>
      </c>
      <c r="AA648" s="65">
        <f>IFS(
  B648&lt;65,
    IF(AA647+J648 &lt; VLOOKUP(YEAR(A648), Lookup!$Q:$R, 2),
      AA647 + IF(MONTH(A648)=12, R647+X647, 0) + J648,
      MIN(
        AA647 + IF(MONTH(A648)=12, R647+X647, 0) + J648 ,
        VLOOKUP(YEAR(A648), Lookup!$Q:$R, 2)
      )
    ),
  B648&gt;=65,
    IF(AA647+J648 &lt; VLOOKUP(questions!$C$5, Lookup!$Q:$R, 2),
      AA647 + IF(MONTH(A648)=12, R647+X647, 0) + J648 ,
      MIN(
        AA647 + IF(MONTH(A648)=12, R647+X647, 0) + J648,
        VLOOKUP(questions!$C$5, Lookup!$Q:$R, 2)
      )
    )
)</f>
        <v>282111.0086</v>
      </c>
      <c r="AB648" s="65">
        <f t="shared" si="13"/>
        <v>1772695.229</v>
      </c>
      <c r="AC648" s="66">
        <f t="array" ref="AC648">IFS(B648&lt;66, XLOOKUP(year(A648),Lookup!$K$13:$K1000,Lookup!$L$13:$L1000,"missing",,1),B648&gt;65,XLOOKUP(questions!$C$5,Lookup!$K$13:$K1000,Lookup!$L$13:$L1000,"missing",,1))</f>
        <v>393675.3633</v>
      </c>
      <c r="AD648" s="66">
        <f t="array" ref="AD648">IFS(B648&lt;66, XLOOKUP(year(A648),Lookup!$K$13:$K1000,Lookup!$M$13:$M1000,"missing",,1),B648&gt;65, XLOOKUP(questions!$C$5,Lookup!$K$13:$K1000,Lookup!$M$13:$M1000,"missing",,1))</f>
        <v>787350.7266</v>
      </c>
      <c r="AE648" s="66">
        <f t="array" ref="AE648">IFS(B648&lt;66, XLOOKUP(year(A648),Lookup!$K$13:$K1000,Lookup!$N$13:$N1000,"missing",,1),B648&gt;65,XLOOKUP(questions!$C$5,Lookup!$K$13:$K1000,Lookup!$N$13:$N1000,"missing",,1))</f>
        <v>1574701.453</v>
      </c>
      <c r="AF648" s="37"/>
      <c r="AG648" s="37"/>
      <c r="AH648" s="37"/>
      <c r="AI648" s="37"/>
      <c r="AJ648" s="37"/>
      <c r="AK648" s="37"/>
      <c r="AL648" s="37"/>
      <c r="AM648" s="37"/>
      <c r="AN648" s="37"/>
      <c r="AO648" s="37"/>
      <c r="AP648" s="37"/>
      <c r="AQ648" s="37"/>
    </row>
    <row r="649">
      <c r="A649" s="55">
        <f t="shared" si="7"/>
        <v>65776</v>
      </c>
      <c r="B649" s="56">
        <f>round(YEARFRAC(EOMONTH(questions!$C$3, 0),A649,1),2)</f>
        <v>81.17</v>
      </c>
      <c r="C649" s="58">
        <f>IF(B649&lt;questions!$C$6,if(MONTH(A649)=1,C648*(1+questions!$C$12),C648),0)</f>
        <v>0</v>
      </c>
      <c r="D649" s="58">
        <f>IF(MONTH(A649)=12,C649*questions!$C$11,0)</f>
        <v>0</v>
      </c>
      <c r="E649" s="71">
        <f t="shared" si="2"/>
        <v>0</v>
      </c>
      <c r="F649" s="71">
        <f t="shared" si="3"/>
        <v>0</v>
      </c>
      <c r="G649" s="61">
        <f t="array" ref="G649">if(YEAR(A649)=2025,XLOOKUP(B649,Lookup!$A$3:$A$7,Lookup!$D$3:$D$7,,1)*SUM(E649:F649), XLOOKUP(B649,Lookup!$A$14:$A$18,Lookup!$D$14:$D$18,,1)*SUM(E649:F649))</f>
        <v>0</v>
      </c>
      <c r="H649" s="61">
        <f t="array" ref="H649">if(YEAR(A649)=2025,XLOOKUP(B649,Lookup!$F$3:$F$10,Lookup!$G$3:$G$10,,1)*G649, XLOOKUP(B649,Lookup!$F$14:$F$21,Lookup!$G$14:$G$21,,1)*G649)</f>
        <v>0</v>
      </c>
      <c r="I649" s="61">
        <f t="array" ref="I649">if(B649&lt;55, if(YEAR(A649)=2025,XLOOKUP(B649,Lookup!$F$3:$F$10,Lookup!$H$3:$H$10,,1)*G649, XLOOKUP(B649,Lookup!$F$14:$F$21,Lookup!$H$14:$H$21,,1)*G649),0)</f>
        <v>0</v>
      </c>
      <c r="J649" s="61">
        <f t="array" ref="J649">if(YEAR(A649)=2025,XLOOKUP(B649,Lookup!$F$3:$F$10,Lookup!$I$3:$I$10,,1)*G649, XLOOKUP(B649,Lookup!$F$14:$F$21,Lookup!$I$14:$I$21,,1)*G649)</f>
        <v>0</v>
      </c>
      <c r="K649" s="61">
        <f t="array" ref="K649">if(B649&gt;54, if(YEAR(A649)=2025,XLOOKUP(B649,Lookup!$F$3:$F$10,Lookup!$H$3:$H$10,,1)*G649, XLOOKUP(B649,Lookup!$F$14:$F$21,Lookup!$H$14:$H$21,,1)*G649),0)</f>
        <v>0</v>
      </c>
      <c r="L649" s="62">
        <f>IF(and(A649&lt;questions!$C$19,questions!$C$18="yes"),questions!$C$20,0)</f>
        <v>0</v>
      </c>
      <c r="M649" s="63">
        <f>(Y648+H649)*Lookup!A$26/12</f>
        <v>3046.267345</v>
      </c>
      <c r="N649" s="63">
        <f>if(B649&lt;55, (Z648+I649)*Lookup!B$26/12, (AB648+K649)*Lookup!B$26/12)</f>
        <v>5908.984098</v>
      </c>
      <c r="O649" s="63">
        <f>(AA648+J649)*Lookup!C$26/12</f>
        <v>940.3700287</v>
      </c>
      <c r="P649" s="63">
        <f t="shared" si="8"/>
        <v>3046.267345</v>
      </c>
      <c r="Q649" s="63">
        <f t="shared" si="4"/>
        <v>5908.984098</v>
      </c>
      <c r="R649" s="63">
        <f t="shared" si="5"/>
        <v>940.3700287</v>
      </c>
      <c r="S649" s="64">
        <f t="shared" si="9"/>
        <v>33.33333333</v>
      </c>
      <c r="T649" s="64">
        <f t="shared" si="10"/>
        <v>41.66666667</v>
      </c>
      <c r="U649" s="64">
        <f t="shared" si="11"/>
        <v>0</v>
      </c>
      <c r="V649" s="64">
        <f t="shared" ref="V649:X649" si="657">IF(year($A649)=year($A648), V648+S649, S649)</f>
        <v>33.33333333</v>
      </c>
      <c r="W649" s="64">
        <f t="shared" si="657"/>
        <v>41.66666667</v>
      </c>
      <c r="X649" s="64">
        <f t="shared" si="657"/>
        <v>0</v>
      </c>
      <c r="Y649" s="65">
        <f>IFS(
  B649&lt;55,
    MAX(
      Y648 + IF(MONTH(A649)=12, P649+V649, 0) + H649 - L649
      + MAX(0,
          IF(AA648 &gt;= VLOOKUP(YEAR(A649), Lookup!$Q:$R, 2),
            Z648 + IF(MONTH(A649)=12, Q649+W649, 0) + I649
              + AA648 + IF(MONTH(A649)=12, R649+X649, 0)
              - VLOOKUP(YEAR(A649), Lookup!$Q:$R, 2) + J649,
            Z648 + IF(MONTH(A649)=12, Q649+W649, 0) + I649
          ) - VLOOKUP(YEAR(A649), Lookup!$K:$M, 3)
        ),
    0),
  B649=55,
    IF(Z648&gt;=AD649,
      MAX(Y648 + IF(MONTH(A649)=12, P649+V649, 0) + H649 - L649, 0),
      MAX(MAX(0, Y648-(AD649-Z648)) + IF(MONTH(A649)=12, P649+V649, 0) + H649 - L649, 0)
    ),
  B649&gt;55,
    IF(AB648&gt;=$AH$7,
      MAX(Y648 + IF(MONTH(A649)=12, P649+V649, 0) + H649 - L649 + K649 + Z648, 0),
      MAX(Y648 + IF(MONTH(A649)=12, P649+V649, 0) + H649 - L649, 0)
    )
)</f>
        <v>1462208.326</v>
      </c>
      <c r="Z649" s="65">
        <f>IFS(
  B649&lt;55,
    MIN(
      IF(AA648 &gt;= VLOOKUP(YEAR(A649), Lookup!$Q:$R, 2),
        Z648 + IF(MONTH(A649)=12, Q649+W649, 0) + I649
          + AA648 + IF(MONTH(A649)=12, R649+X649, 0) - VLOOKUP(YEAR(A649), Lookup!$Q:$R, 2) + J649,
        Z648 + IF(MONTH(A649)=12, Q649+W649, 0) + I649
      ),
      VLOOKUP(YEAR(A649), Lookup!$K:$M, 3)
    ),
  B649=55,
    IF(Z648 &gt;= AD649, Z648 - AD649, 0),
  B649&gt;55, 0
)</f>
        <v>0</v>
      </c>
      <c r="AA649" s="65">
        <f>IFS(
  B649&lt;65,
    IF(AA648+J649 &lt; VLOOKUP(YEAR(A649), Lookup!$Q:$R, 2),
      AA648 + IF(MONTH(A649)=12, R648+X648, 0) + J649,
      MIN(
        AA648 + IF(MONTH(A649)=12, R648+X648, 0) + J649 ,
        VLOOKUP(YEAR(A649), Lookup!$Q:$R, 2)
      )
    ),
  B649&gt;=65,
    IF(AA648+J649 &lt; VLOOKUP(questions!$C$5, Lookup!$Q:$R, 2),
      AA648 + IF(MONTH(A649)=12, R648+X648, 0) + J649 ,
      MIN(
        AA648 + IF(MONTH(A649)=12, R648+X648, 0) + J649,
        VLOOKUP(questions!$C$5, Lookup!$Q:$R, 2)
      )
    )
)</f>
        <v>282111.0086</v>
      </c>
      <c r="AB649" s="65">
        <f t="shared" si="13"/>
        <v>1772695.229</v>
      </c>
      <c r="AC649" s="66">
        <f t="array" ref="AC649">IFS(B649&lt;66, XLOOKUP(year(A649),Lookup!$K$13:$K1000,Lookup!$L$13:$L1000,"missing",,1),B649&gt;65,XLOOKUP(questions!$C$5,Lookup!$K$13:$K1000,Lookup!$L$13:$L1000,"missing",,1))</f>
        <v>393675.3633</v>
      </c>
      <c r="AD649" s="66">
        <f t="array" ref="AD649">IFS(B649&lt;66, XLOOKUP(year(A649),Lookup!$K$13:$K1000,Lookup!$M$13:$M1000,"missing",,1),B649&gt;65, XLOOKUP(questions!$C$5,Lookup!$K$13:$K1000,Lookup!$M$13:$M1000,"missing",,1))</f>
        <v>787350.7266</v>
      </c>
      <c r="AE649" s="66">
        <f t="array" ref="AE649">IFS(B649&lt;66, XLOOKUP(year(A649),Lookup!$K$13:$K1000,Lookup!$N$13:$N1000,"missing",,1),B649&gt;65,XLOOKUP(questions!$C$5,Lookup!$K$13:$K1000,Lookup!$N$13:$N1000,"missing",,1))</f>
        <v>1574701.453</v>
      </c>
      <c r="AF649" s="37"/>
      <c r="AG649" s="37"/>
      <c r="AH649" s="37"/>
      <c r="AI649" s="37"/>
      <c r="AJ649" s="37"/>
      <c r="AK649" s="37"/>
      <c r="AL649" s="37"/>
      <c r="AM649" s="37"/>
      <c r="AN649" s="37"/>
      <c r="AO649" s="37"/>
      <c r="AP649" s="37"/>
      <c r="AQ649" s="37"/>
    </row>
    <row r="650">
      <c r="A650" s="55">
        <f t="shared" si="7"/>
        <v>65805</v>
      </c>
      <c r="B650" s="56">
        <f>round(YEARFRAC(EOMONTH(questions!$C$3, 0),A650,1),2)</f>
        <v>81.25</v>
      </c>
      <c r="C650" s="58">
        <f>IF(B650&lt;questions!$C$6,if(MONTH(A650)=1,C649*(1+questions!$C$12),C649),0)</f>
        <v>0</v>
      </c>
      <c r="D650" s="58">
        <f>IF(MONTH(A650)=12,C650*questions!$C$11,0)</f>
        <v>0</v>
      </c>
      <c r="E650" s="71">
        <f t="shared" si="2"/>
        <v>0</v>
      </c>
      <c r="F650" s="71">
        <f t="shared" si="3"/>
        <v>0</v>
      </c>
      <c r="G650" s="61">
        <f t="array" ref="G650">if(YEAR(A650)=2025,XLOOKUP(B650,Lookup!$A$3:$A$7,Lookup!$D$3:$D$7,,1)*SUM(E650:F650), XLOOKUP(B650,Lookup!$A$14:$A$18,Lookup!$D$14:$D$18,,1)*SUM(E650:F650))</f>
        <v>0</v>
      </c>
      <c r="H650" s="61">
        <f t="array" ref="H650">if(YEAR(A650)=2025,XLOOKUP(B650,Lookup!$F$3:$F$10,Lookup!$G$3:$G$10,,1)*G650, XLOOKUP(B650,Lookup!$F$14:$F$21,Lookup!$G$14:$G$21,,1)*G650)</f>
        <v>0</v>
      </c>
      <c r="I650" s="61">
        <f t="array" ref="I650">if(B650&lt;55, if(YEAR(A650)=2025,XLOOKUP(B650,Lookup!$F$3:$F$10,Lookup!$H$3:$H$10,,1)*G650, XLOOKUP(B650,Lookup!$F$14:$F$21,Lookup!$H$14:$H$21,,1)*G650),0)</f>
        <v>0</v>
      </c>
      <c r="J650" s="61">
        <f t="array" ref="J650">if(YEAR(A650)=2025,XLOOKUP(B650,Lookup!$F$3:$F$10,Lookup!$I$3:$I$10,,1)*G650, XLOOKUP(B650,Lookup!$F$14:$F$21,Lookup!$I$14:$I$21,,1)*G650)</f>
        <v>0</v>
      </c>
      <c r="K650" s="61">
        <f t="array" ref="K650">if(B650&gt;54, if(YEAR(A650)=2025,XLOOKUP(B650,Lookup!$F$3:$F$10,Lookup!$H$3:$H$10,,1)*G650, XLOOKUP(B650,Lookup!$F$14:$F$21,Lookup!$H$14:$H$21,,1)*G650),0)</f>
        <v>0</v>
      </c>
      <c r="L650" s="62">
        <f>IF(and(A650&lt;questions!$C$19,questions!$C$18="yes"),questions!$C$20,0)</f>
        <v>0</v>
      </c>
      <c r="M650" s="63">
        <f>(Y649+H650)*Lookup!A$26/12</f>
        <v>3046.267345</v>
      </c>
      <c r="N650" s="63">
        <f>if(B650&lt;55, (Z649+I650)*Lookup!B$26/12, (AB649+K650)*Lookup!B$26/12)</f>
        <v>5908.984098</v>
      </c>
      <c r="O650" s="63">
        <f>(AA649+J650)*Lookup!C$26/12</f>
        <v>940.3700287</v>
      </c>
      <c r="P650" s="63">
        <f t="shared" si="8"/>
        <v>6092.53469</v>
      </c>
      <c r="Q650" s="63">
        <f t="shared" si="4"/>
        <v>11817.9682</v>
      </c>
      <c r="R650" s="63">
        <f t="shared" si="5"/>
        <v>1880.740057</v>
      </c>
      <c r="S650" s="64">
        <f t="shared" si="9"/>
        <v>33.33333333</v>
      </c>
      <c r="T650" s="64">
        <f t="shared" si="10"/>
        <v>41.66666667</v>
      </c>
      <c r="U650" s="64">
        <f t="shared" si="11"/>
        <v>0</v>
      </c>
      <c r="V650" s="64">
        <f t="shared" ref="V650:X650" si="658">IF(year($A650)=year($A649), V649+S650, S650)</f>
        <v>66.66666667</v>
      </c>
      <c r="W650" s="64">
        <f t="shared" si="658"/>
        <v>83.33333333</v>
      </c>
      <c r="X650" s="64">
        <f t="shared" si="658"/>
        <v>0</v>
      </c>
      <c r="Y650" s="65">
        <f>IFS(
  B650&lt;55,
    MAX(
      Y649 + IF(MONTH(A650)=12, P650+V650, 0) + H650 - L650
      + MAX(0,
          IF(AA649 &gt;= VLOOKUP(YEAR(A650), Lookup!$Q:$R, 2),
            Z649 + IF(MONTH(A650)=12, Q650+W650, 0) + I650
              + AA649 + IF(MONTH(A650)=12, R650+X650, 0)
              - VLOOKUP(YEAR(A650), Lookup!$Q:$R, 2) + J650,
            Z649 + IF(MONTH(A650)=12, Q650+W650, 0) + I650
          ) - VLOOKUP(YEAR(A650), Lookup!$K:$M, 3)
        ),
    0),
  B650=55,
    IF(Z649&gt;=AD650,
      MAX(Y649 + IF(MONTH(A650)=12, P650+V650, 0) + H650 - L650, 0),
      MAX(MAX(0, Y649-(AD650-Z649)) + IF(MONTH(A650)=12, P650+V650, 0) + H650 - L650, 0)
    ),
  B650&gt;55,
    IF(AB649&gt;=$AH$7,
      MAX(Y649 + IF(MONTH(A650)=12, P650+V650, 0) + H650 - L650 + K650 + Z649, 0),
      MAX(Y649 + IF(MONTH(A650)=12, P650+V650, 0) + H650 - L650, 0)
    )
)</f>
        <v>1462208.326</v>
      </c>
      <c r="Z650" s="65">
        <f>IFS(
  B650&lt;55,
    MIN(
      IF(AA649 &gt;= VLOOKUP(YEAR(A650), Lookup!$Q:$R, 2),
        Z649 + IF(MONTH(A650)=12, Q650+W650, 0) + I650
          + AA649 + IF(MONTH(A650)=12, R650+X650, 0) - VLOOKUP(YEAR(A650), Lookup!$Q:$R, 2) + J650,
        Z649 + IF(MONTH(A650)=12, Q650+W650, 0) + I650
      ),
      VLOOKUP(YEAR(A650), Lookup!$K:$M, 3)
    ),
  B650=55,
    IF(Z649 &gt;= AD650, Z649 - AD650, 0),
  B650&gt;55, 0
)</f>
        <v>0</v>
      </c>
      <c r="AA650" s="65">
        <f>IFS(
  B650&lt;65,
    IF(AA649+J650 &lt; VLOOKUP(YEAR(A650), Lookup!$Q:$R, 2),
      AA649 + IF(MONTH(A650)=12, R649+X649, 0) + J650,
      MIN(
        AA649 + IF(MONTH(A650)=12, R649+X649, 0) + J650 ,
        VLOOKUP(YEAR(A650), Lookup!$Q:$R, 2)
      )
    ),
  B650&gt;=65,
    IF(AA649+J650 &lt; VLOOKUP(questions!$C$5, Lookup!$Q:$R, 2),
      AA649 + IF(MONTH(A650)=12, R649+X649, 0) + J650 ,
      MIN(
        AA649 + IF(MONTH(A650)=12, R649+X649, 0) + J650,
        VLOOKUP(questions!$C$5, Lookup!$Q:$R, 2)
      )
    )
)</f>
        <v>282111.0086</v>
      </c>
      <c r="AB650" s="65">
        <f t="shared" si="13"/>
        <v>1772695.229</v>
      </c>
      <c r="AC650" s="66">
        <f t="array" ref="AC650">IFS(B650&lt;66, XLOOKUP(year(A650),Lookup!$K$13:$K1000,Lookup!$L$13:$L1000,"missing",,1),B650&gt;65,XLOOKUP(questions!$C$5,Lookup!$K$13:$K1000,Lookup!$L$13:$L1000,"missing",,1))</f>
        <v>393675.3633</v>
      </c>
      <c r="AD650" s="66">
        <f t="array" ref="AD650">IFS(B650&lt;66, XLOOKUP(year(A650),Lookup!$K$13:$K1000,Lookup!$M$13:$M1000,"missing",,1),B650&gt;65, XLOOKUP(questions!$C$5,Lookup!$K$13:$K1000,Lookup!$M$13:$M1000,"missing",,1))</f>
        <v>787350.7266</v>
      </c>
      <c r="AE650" s="66">
        <f t="array" ref="AE650">IFS(B650&lt;66, XLOOKUP(year(A650),Lookup!$K$13:$K1000,Lookup!$N$13:$N1000,"missing",,1),B650&gt;65,XLOOKUP(questions!$C$5,Lookup!$K$13:$K1000,Lookup!$N$13:$N1000,"missing",,1))</f>
        <v>1574701.453</v>
      </c>
      <c r="AF650" s="37"/>
      <c r="AG650" s="37"/>
      <c r="AH650" s="37"/>
      <c r="AI650" s="37"/>
      <c r="AJ650" s="37"/>
      <c r="AK650" s="37"/>
      <c r="AL650" s="37"/>
      <c r="AM650" s="37"/>
      <c r="AN650" s="37"/>
      <c r="AO650" s="37"/>
      <c r="AP650" s="37"/>
      <c r="AQ650" s="37"/>
    </row>
    <row r="651">
      <c r="A651" s="55">
        <f t="shared" si="7"/>
        <v>65836</v>
      </c>
      <c r="B651" s="56">
        <f>round(YEARFRAC(EOMONTH(questions!$C$3, 0),A651,1),2)</f>
        <v>81.33</v>
      </c>
      <c r="C651" s="58">
        <f>IF(B651&lt;questions!$C$6,if(MONTH(A651)=1,C650*(1+questions!$C$12),C650),0)</f>
        <v>0</v>
      </c>
      <c r="D651" s="58">
        <f>IF(MONTH(A651)=12,C651*questions!$C$11,0)</f>
        <v>0</v>
      </c>
      <c r="E651" s="71">
        <f t="shared" si="2"/>
        <v>0</v>
      </c>
      <c r="F651" s="71">
        <f t="shared" si="3"/>
        <v>0</v>
      </c>
      <c r="G651" s="61">
        <f t="array" ref="G651">if(YEAR(A651)=2025,XLOOKUP(B651,Lookup!$A$3:$A$7,Lookup!$D$3:$D$7,,1)*SUM(E651:F651), XLOOKUP(B651,Lookup!$A$14:$A$18,Lookup!$D$14:$D$18,,1)*SUM(E651:F651))</f>
        <v>0</v>
      </c>
      <c r="H651" s="61">
        <f t="array" ref="H651">if(YEAR(A651)=2025,XLOOKUP(B651,Lookup!$F$3:$F$10,Lookup!$G$3:$G$10,,1)*G651, XLOOKUP(B651,Lookup!$F$14:$F$21,Lookup!$G$14:$G$21,,1)*G651)</f>
        <v>0</v>
      </c>
      <c r="I651" s="61">
        <f t="array" ref="I651">if(B651&lt;55, if(YEAR(A651)=2025,XLOOKUP(B651,Lookup!$F$3:$F$10,Lookup!$H$3:$H$10,,1)*G651, XLOOKUP(B651,Lookup!$F$14:$F$21,Lookup!$H$14:$H$21,,1)*G651),0)</f>
        <v>0</v>
      </c>
      <c r="J651" s="61">
        <f t="array" ref="J651">if(YEAR(A651)=2025,XLOOKUP(B651,Lookup!$F$3:$F$10,Lookup!$I$3:$I$10,,1)*G651, XLOOKUP(B651,Lookup!$F$14:$F$21,Lookup!$I$14:$I$21,,1)*G651)</f>
        <v>0</v>
      </c>
      <c r="K651" s="61">
        <f t="array" ref="K651">if(B651&gt;54, if(YEAR(A651)=2025,XLOOKUP(B651,Lookup!$F$3:$F$10,Lookup!$H$3:$H$10,,1)*G651, XLOOKUP(B651,Lookup!$F$14:$F$21,Lookup!$H$14:$H$21,,1)*G651),0)</f>
        <v>0</v>
      </c>
      <c r="L651" s="62">
        <f>IF(and(A651&lt;questions!$C$19,questions!$C$18="yes"),questions!$C$20,0)</f>
        <v>0</v>
      </c>
      <c r="M651" s="63">
        <f>(Y650+H651)*Lookup!A$26/12</f>
        <v>3046.267345</v>
      </c>
      <c r="N651" s="63">
        <f>if(B651&lt;55, (Z650+I651)*Lookup!B$26/12, (AB650+K651)*Lookup!B$26/12)</f>
        <v>5908.984098</v>
      </c>
      <c r="O651" s="63">
        <f>(AA650+J651)*Lookup!C$26/12</f>
        <v>940.3700287</v>
      </c>
      <c r="P651" s="63">
        <f t="shared" si="8"/>
        <v>9138.802034</v>
      </c>
      <c r="Q651" s="63">
        <f t="shared" si="4"/>
        <v>17726.95229</v>
      </c>
      <c r="R651" s="63">
        <f t="shared" si="5"/>
        <v>2821.110086</v>
      </c>
      <c r="S651" s="64">
        <f t="shared" si="9"/>
        <v>33.33333333</v>
      </c>
      <c r="T651" s="64">
        <f t="shared" si="10"/>
        <v>41.66666667</v>
      </c>
      <c r="U651" s="64">
        <f t="shared" si="11"/>
        <v>0</v>
      </c>
      <c r="V651" s="64">
        <f t="shared" ref="V651:X651" si="659">IF(year($A651)=year($A650), V650+S651, S651)</f>
        <v>100</v>
      </c>
      <c r="W651" s="64">
        <f t="shared" si="659"/>
        <v>125</v>
      </c>
      <c r="X651" s="64">
        <f t="shared" si="659"/>
        <v>0</v>
      </c>
      <c r="Y651" s="65">
        <f>IFS(
  B651&lt;55,
    MAX(
      Y650 + IF(MONTH(A651)=12, P651+V651, 0) + H651 - L651
      + MAX(0,
          IF(AA650 &gt;= VLOOKUP(YEAR(A651), Lookup!$Q:$R, 2),
            Z650 + IF(MONTH(A651)=12, Q651+W651, 0) + I651
              + AA650 + IF(MONTH(A651)=12, R651+X651, 0)
              - VLOOKUP(YEAR(A651), Lookup!$Q:$R, 2) + J651,
            Z650 + IF(MONTH(A651)=12, Q651+W651, 0) + I651
          ) - VLOOKUP(YEAR(A651), Lookup!$K:$M, 3)
        ),
    0),
  B651=55,
    IF(Z650&gt;=AD651,
      MAX(Y650 + IF(MONTH(A651)=12, P651+V651, 0) + H651 - L651, 0),
      MAX(MAX(0, Y650-(AD651-Z650)) + IF(MONTH(A651)=12, P651+V651, 0) + H651 - L651, 0)
    ),
  B651&gt;55,
    IF(AB650&gt;=$AH$7,
      MAX(Y650 + IF(MONTH(A651)=12, P651+V651, 0) + H651 - L651 + K651 + Z650, 0),
      MAX(Y650 + IF(MONTH(A651)=12, P651+V651, 0) + H651 - L651, 0)
    )
)</f>
        <v>1462208.326</v>
      </c>
      <c r="Z651" s="65">
        <f>IFS(
  B651&lt;55,
    MIN(
      IF(AA650 &gt;= VLOOKUP(YEAR(A651), Lookup!$Q:$R, 2),
        Z650 + IF(MONTH(A651)=12, Q651+W651, 0) + I651
          + AA650 + IF(MONTH(A651)=12, R651+X651, 0) - VLOOKUP(YEAR(A651), Lookup!$Q:$R, 2) + J651,
        Z650 + IF(MONTH(A651)=12, Q651+W651, 0) + I651
      ),
      VLOOKUP(YEAR(A651), Lookup!$K:$M, 3)
    ),
  B651=55,
    IF(Z650 &gt;= AD651, Z650 - AD651, 0),
  B651&gt;55, 0
)</f>
        <v>0</v>
      </c>
      <c r="AA651" s="65">
        <f>IFS(
  B651&lt;65,
    IF(AA650+J651 &lt; VLOOKUP(YEAR(A651), Lookup!$Q:$R, 2),
      AA650 + IF(MONTH(A651)=12, R650+X650, 0) + J651,
      MIN(
        AA650 + IF(MONTH(A651)=12, R650+X650, 0) + J651 ,
        VLOOKUP(YEAR(A651), Lookup!$Q:$R, 2)
      )
    ),
  B651&gt;=65,
    IF(AA650+J651 &lt; VLOOKUP(questions!$C$5, Lookup!$Q:$R, 2),
      AA650 + IF(MONTH(A651)=12, R650+X650, 0) + J651 ,
      MIN(
        AA650 + IF(MONTH(A651)=12, R650+X650, 0) + J651,
        VLOOKUP(questions!$C$5, Lookup!$Q:$R, 2)
      )
    )
)</f>
        <v>282111.0086</v>
      </c>
      <c r="AB651" s="65">
        <f t="shared" si="13"/>
        <v>1772695.229</v>
      </c>
      <c r="AC651" s="66">
        <f t="array" ref="AC651">IFS(B651&lt;66, XLOOKUP(year(A651),Lookup!$K$13:$K1000,Lookup!$L$13:$L1000,"missing",,1),B651&gt;65,XLOOKUP(questions!$C$5,Lookup!$K$13:$K1000,Lookup!$L$13:$L1000,"missing",,1))</f>
        <v>393675.3633</v>
      </c>
      <c r="AD651" s="66">
        <f t="array" ref="AD651">IFS(B651&lt;66, XLOOKUP(year(A651),Lookup!$K$13:$K1000,Lookup!$M$13:$M1000,"missing",,1),B651&gt;65, XLOOKUP(questions!$C$5,Lookup!$K$13:$K1000,Lookup!$M$13:$M1000,"missing",,1))</f>
        <v>787350.7266</v>
      </c>
      <c r="AE651" s="66">
        <f t="array" ref="AE651">IFS(B651&lt;66, XLOOKUP(year(A651),Lookup!$K$13:$K1000,Lookup!$N$13:$N1000,"missing",,1),B651&gt;65,XLOOKUP(questions!$C$5,Lookup!$K$13:$K1000,Lookup!$N$13:$N1000,"missing",,1))</f>
        <v>1574701.453</v>
      </c>
      <c r="AF651" s="37"/>
      <c r="AG651" s="37"/>
      <c r="AH651" s="37"/>
      <c r="AI651" s="37"/>
      <c r="AJ651" s="37"/>
      <c r="AK651" s="37"/>
      <c r="AL651" s="37"/>
      <c r="AM651" s="37"/>
      <c r="AN651" s="37"/>
      <c r="AO651" s="37"/>
      <c r="AP651" s="37"/>
      <c r="AQ651" s="37"/>
    </row>
    <row r="652">
      <c r="A652" s="55">
        <f t="shared" si="7"/>
        <v>65866</v>
      </c>
      <c r="B652" s="56">
        <f>round(YEARFRAC(EOMONTH(questions!$C$3, 0),A652,1),2)</f>
        <v>81.42</v>
      </c>
      <c r="C652" s="58">
        <f>IF(B652&lt;questions!$C$6,if(MONTH(A652)=1,C651*(1+questions!$C$12),C651),0)</f>
        <v>0</v>
      </c>
      <c r="D652" s="58">
        <f>IF(MONTH(A652)=12,C652*questions!$C$11,0)</f>
        <v>0</v>
      </c>
      <c r="E652" s="71">
        <f t="shared" si="2"/>
        <v>0</v>
      </c>
      <c r="F652" s="71">
        <f t="shared" si="3"/>
        <v>0</v>
      </c>
      <c r="G652" s="61">
        <f t="array" ref="G652">if(YEAR(A652)=2025,XLOOKUP(B652,Lookup!$A$3:$A$7,Lookup!$D$3:$D$7,,1)*SUM(E652:F652), XLOOKUP(B652,Lookup!$A$14:$A$18,Lookup!$D$14:$D$18,,1)*SUM(E652:F652))</f>
        <v>0</v>
      </c>
      <c r="H652" s="61">
        <f t="array" ref="H652">if(YEAR(A652)=2025,XLOOKUP(B652,Lookup!$F$3:$F$10,Lookup!$G$3:$G$10,,1)*G652, XLOOKUP(B652,Lookup!$F$14:$F$21,Lookup!$G$14:$G$21,,1)*G652)</f>
        <v>0</v>
      </c>
      <c r="I652" s="61">
        <f t="array" ref="I652">if(B652&lt;55, if(YEAR(A652)=2025,XLOOKUP(B652,Lookup!$F$3:$F$10,Lookup!$H$3:$H$10,,1)*G652, XLOOKUP(B652,Lookup!$F$14:$F$21,Lookup!$H$14:$H$21,,1)*G652),0)</f>
        <v>0</v>
      </c>
      <c r="J652" s="61">
        <f t="array" ref="J652">if(YEAR(A652)=2025,XLOOKUP(B652,Lookup!$F$3:$F$10,Lookup!$I$3:$I$10,,1)*G652, XLOOKUP(B652,Lookup!$F$14:$F$21,Lookup!$I$14:$I$21,,1)*G652)</f>
        <v>0</v>
      </c>
      <c r="K652" s="61">
        <f t="array" ref="K652">if(B652&gt;54, if(YEAR(A652)=2025,XLOOKUP(B652,Lookup!$F$3:$F$10,Lookup!$H$3:$H$10,,1)*G652, XLOOKUP(B652,Lookup!$F$14:$F$21,Lookup!$H$14:$H$21,,1)*G652),0)</f>
        <v>0</v>
      </c>
      <c r="L652" s="62">
        <f>IF(and(A652&lt;questions!$C$19,questions!$C$18="yes"),questions!$C$20,0)</f>
        <v>0</v>
      </c>
      <c r="M652" s="63">
        <f>(Y651+H652)*Lookup!A$26/12</f>
        <v>3046.267345</v>
      </c>
      <c r="N652" s="63">
        <f>if(B652&lt;55, (Z651+I652)*Lookup!B$26/12, (AB651+K652)*Lookup!B$26/12)</f>
        <v>5908.984098</v>
      </c>
      <c r="O652" s="63">
        <f>(AA651+J652)*Lookup!C$26/12</f>
        <v>940.3700287</v>
      </c>
      <c r="P652" s="63">
        <f t="shared" si="8"/>
        <v>12185.06938</v>
      </c>
      <c r="Q652" s="63">
        <f t="shared" si="4"/>
        <v>23635.93639</v>
      </c>
      <c r="R652" s="63">
        <f t="shared" si="5"/>
        <v>3761.480115</v>
      </c>
      <c r="S652" s="64">
        <f t="shared" si="9"/>
        <v>33.33333333</v>
      </c>
      <c r="T652" s="64">
        <f t="shared" si="10"/>
        <v>41.66666667</v>
      </c>
      <c r="U652" s="64">
        <f t="shared" si="11"/>
        <v>0</v>
      </c>
      <c r="V652" s="64">
        <f t="shared" ref="V652:X652" si="660">IF(year($A652)=year($A651), V651+S652, S652)</f>
        <v>133.3333333</v>
      </c>
      <c r="W652" s="64">
        <f t="shared" si="660"/>
        <v>166.6666667</v>
      </c>
      <c r="X652" s="64">
        <f t="shared" si="660"/>
        <v>0</v>
      </c>
      <c r="Y652" s="65">
        <f>IFS(
  B652&lt;55,
    MAX(
      Y651 + IF(MONTH(A652)=12, P652+V652, 0) + H652 - L652
      + MAX(0,
          IF(AA651 &gt;= VLOOKUP(YEAR(A652), Lookup!$Q:$R, 2),
            Z651 + IF(MONTH(A652)=12, Q652+W652, 0) + I652
              + AA651 + IF(MONTH(A652)=12, R652+X652, 0)
              - VLOOKUP(YEAR(A652), Lookup!$Q:$R, 2) + J652,
            Z651 + IF(MONTH(A652)=12, Q652+W652, 0) + I652
          ) - VLOOKUP(YEAR(A652), Lookup!$K:$M, 3)
        ),
    0),
  B652=55,
    IF(Z651&gt;=AD652,
      MAX(Y651 + IF(MONTH(A652)=12, P652+V652, 0) + H652 - L652, 0),
      MAX(MAX(0, Y651-(AD652-Z651)) + IF(MONTH(A652)=12, P652+V652, 0) + H652 - L652, 0)
    ),
  B652&gt;55,
    IF(AB651&gt;=$AH$7,
      MAX(Y651 + IF(MONTH(A652)=12, P652+V652, 0) + H652 - L652 + K652 + Z651, 0),
      MAX(Y651 + IF(MONTH(A652)=12, P652+V652, 0) + H652 - L652, 0)
    )
)</f>
        <v>1462208.326</v>
      </c>
      <c r="Z652" s="65">
        <f>IFS(
  B652&lt;55,
    MIN(
      IF(AA651 &gt;= VLOOKUP(YEAR(A652), Lookup!$Q:$R, 2),
        Z651 + IF(MONTH(A652)=12, Q652+W652, 0) + I652
          + AA651 + IF(MONTH(A652)=12, R652+X652, 0) - VLOOKUP(YEAR(A652), Lookup!$Q:$R, 2) + J652,
        Z651 + IF(MONTH(A652)=12, Q652+W652, 0) + I652
      ),
      VLOOKUP(YEAR(A652), Lookup!$K:$M, 3)
    ),
  B652=55,
    IF(Z651 &gt;= AD652, Z651 - AD652, 0),
  B652&gt;55, 0
)</f>
        <v>0</v>
      </c>
      <c r="AA652" s="65">
        <f>IFS(
  B652&lt;65,
    IF(AA651+J652 &lt; VLOOKUP(YEAR(A652), Lookup!$Q:$R, 2),
      AA651 + IF(MONTH(A652)=12, R651+X651, 0) + J652,
      MIN(
        AA651 + IF(MONTH(A652)=12, R651+X651, 0) + J652 ,
        VLOOKUP(YEAR(A652), Lookup!$Q:$R, 2)
      )
    ),
  B652&gt;=65,
    IF(AA651+J652 &lt; VLOOKUP(questions!$C$5, Lookup!$Q:$R, 2),
      AA651 + IF(MONTH(A652)=12, R651+X651, 0) + J652 ,
      MIN(
        AA651 + IF(MONTH(A652)=12, R651+X651, 0) + J652,
        VLOOKUP(questions!$C$5, Lookup!$Q:$R, 2)
      )
    )
)</f>
        <v>282111.0086</v>
      </c>
      <c r="AB652" s="65">
        <f t="shared" si="13"/>
        <v>1772695.229</v>
      </c>
      <c r="AC652" s="66">
        <f t="array" ref="AC652">IFS(B652&lt;66, XLOOKUP(year(A652),Lookup!$K$13:$K1000,Lookup!$L$13:$L1000,"missing",,1),B652&gt;65,XLOOKUP(questions!$C$5,Lookup!$K$13:$K1000,Lookup!$L$13:$L1000,"missing",,1))</f>
        <v>393675.3633</v>
      </c>
      <c r="AD652" s="66">
        <f t="array" ref="AD652">IFS(B652&lt;66, XLOOKUP(year(A652),Lookup!$K$13:$K1000,Lookup!$M$13:$M1000,"missing",,1),B652&gt;65, XLOOKUP(questions!$C$5,Lookup!$K$13:$K1000,Lookup!$M$13:$M1000,"missing",,1))</f>
        <v>787350.7266</v>
      </c>
      <c r="AE652" s="66">
        <f t="array" ref="AE652">IFS(B652&lt;66, XLOOKUP(year(A652),Lookup!$K$13:$K1000,Lookup!$N$13:$N1000,"missing",,1),B652&gt;65,XLOOKUP(questions!$C$5,Lookup!$K$13:$K1000,Lookup!$N$13:$N1000,"missing",,1))</f>
        <v>1574701.453</v>
      </c>
      <c r="AF652" s="37"/>
      <c r="AG652" s="37"/>
      <c r="AH652" s="37"/>
      <c r="AI652" s="37"/>
      <c r="AJ652" s="37"/>
      <c r="AK652" s="37"/>
      <c r="AL652" s="37"/>
      <c r="AM652" s="37"/>
      <c r="AN652" s="37"/>
      <c r="AO652" s="37"/>
      <c r="AP652" s="37"/>
      <c r="AQ652" s="37"/>
    </row>
    <row r="653">
      <c r="A653" s="55">
        <f t="shared" si="7"/>
        <v>65897</v>
      </c>
      <c r="B653" s="56">
        <f>round(YEARFRAC(EOMONTH(questions!$C$3, 0),A653,1),2)</f>
        <v>81.5</v>
      </c>
      <c r="C653" s="58">
        <f>IF(B653&lt;questions!$C$6,if(MONTH(A653)=1,C652*(1+questions!$C$12),C652),0)</f>
        <v>0</v>
      </c>
      <c r="D653" s="58">
        <f>IF(MONTH(A653)=12,C653*questions!$C$11,0)</f>
        <v>0</v>
      </c>
      <c r="E653" s="71">
        <f t="shared" si="2"/>
        <v>0</v>
      </c>
      <c r="F653" s="71">
        <f t="shared" si="3"/>
        <v>0</v>
      </c>
      <c r="G653" s="61">
        <f t="array" ref="G653">if(YEAR(A653)=2025,XLOOKUP(B653,Lookup!$A$3:$A$7,Lookup!$D$3:$D$7,,1)*SUM(E653:F653), XLOOKUP(B653,Lookup!$A$14:$A$18,Lookup!$D$14:$D$18,,1)*SUM(E653:F653))</f>
        <v>0</v>
      </c>
      <c r="H653" s="61">
        <f t="array" ref="H653">if(YEAR(A653)=2025,XLOOKUP(B653,Lookup!$F$3:$F$10,Lookup!$G$3:$G$10,,1)*G653, XLOOKUP(B653,Lookup!$F$14:$F$21,Lookup!$G$14:$G$21,,1)*G653)</f>
        <v>0</v>
      </c>
      <c r="I653" s="61">
        <f t="array" ref="I653">if(B653&lt;55, if(YEAR(A653)=2025,XLOOKUP(B653,Lookup!$F$3:$F$10,Lookup!$H$3:$H$10,,1)*G653, XLOOKUP(B653,Lookup!$F$14:$F$21,Lookup!$H$14:$H$21,,1)*G653),0)</f>
        <v>0</v>
      </c>
      <c r="J653" s="61">
        <f t="array" ref="J653">if(YEAR(A653)=2025,XLOOKUP(B653,Lookup!$F$3:$F$10,Lookup!$I$3:$I$10,,1)*G653, XLOOKUP(B653,Lookup!$F$14:$F$21,Lookup!$I$14:$I$21,,1)*G653)</f>
        <v>0</v>
      </c>
      <c r="K653" s="61">
        <f t="array" ref="K653">if(B653&gt;54, if(YEAR(A653)=2025,XLOOKUP(B653,Lookup!$F$3:$F$10,Lookup!$H$3:$H$10,,1)*G653, XLOOKUP(B653,Lookup!$F$14:$F$21,Lookup!$H$14:$H$21,,1)*G653),0)</f>
        <v>0</v>
      </c>
      <c r="L653" s="62">
        <f>IF(and(A653&lt;questions!$C$19,questions!$C$18="yes"),questions!$C$20,0)</f>
        <v>0</v>
      </c>
      <c r="M653" s="63">
        <f>(Y652+H653)*Lookup!A$26/12</f>
        <v>3046.267345</v>
      </c>
      <c r="N653" s="63">
        <f>if(B653&lt;55, (Z652+I653)*Lookup!B$26/12, (AB652+K653)*Lookup!B$26/12)</f>
        <v>5908.984098</v>
      </c>
      <c r="O653" s="63">
        <f>(AA652+J653)*Lookup!C$26/12</f>
        <v>940.3700287</v>
      </c>
      <c r="P653" s="63">
        <f t="shared" si="8"/>
        <v>15231.33672</v>
      </c>
      <c r="Q653" s="63">
        <f t="shared" si="4"/>
        <v>29544.92049</v>
      </c>
      <c r="R653" s="63">
        <f t="shared" si="5"/>
        <v>4701.850143</v>
      </c>
      <c r="S653" s="64">
        <f t="shared" si="9"/>
        <v>33.33333333</v>
      </c>
      <c r="T653" s="64">
        <f t="shared" si="10"/>
        <v>41.66666667</v>
      </c>
      <c r="U653" s="64">
        <f t="shared" si="11"/>
        <v>0</v>
      </c>
      <c r="V653" s="64">
        <f t="shared" ref="V653:X653" si="661">IF(year($A653)=year($A652), V652+S653, S653)</f>
        <v>166.6666667</v>
      </c>
      <c r="W653" s="64">
        <f t="shared" si="661"/>
        <v>208.3333333</v>
      </c>
      <c r="X653" s="64">
        <f t="shared" si="661"/>
        <v>0</v>
      </c>
      <c r="Y653" s="65">
        <f>IFS(
  B653&lt;55,
    MAX(
      Y652 + IF(MONTH(A653)=12, P653+V653, 0) + H653 - L653
      + MAX(0,
          IF(AA652 &gt;= VLOOKUP(YEAR(A653), Lookup!$Q:$R, 2),
            Z652 + IF(MONTH(A653)=12, Q653+W653, 0) + I653
              + AA652 + IF(MONTH(A653)=12, R653+X653, 0)
              - VLOOKUP(YEAR(A653), Lookup!$Q:$R, 2) + J653,
            Z652 + IF(MONTH(A653)=12, Q653+W653, 0) + I653
          ) - VLOOKUP(YEAR(A653), Lookup!$K:$M, 3)
        ),
    0),
  B653=55,
    IF(Z652&gt;=AD653,
      MAX(Y652 + IF(MONTH(A653)=12, P653+V653, 0) + H653 - L653, 0),
      MAX(MAX(0, Y652-(AD653-Z652)) + IF(MONTH(A653)=12, P653+V653, 0) + H653 - L653, 0)
    ),
  B653&gt;55,
    IF(AB652&gt;=$AH$7,
      MAX(Y652 + IF(MONTH(A653)=12, P653+V653, 0) + H653 - L653 + K653 + Z652, 0),
      MAX(Y652 + IF(MONTH(A653)=12, P653+V653, 0) + H653 - L653, 0)
    )
)</f>
        <v>1462208.326</v>
      </c>
      <c r="Z653" s="65">
        <f>IFS(
  B653&lt;55,
    MIN(
      IF(AA652 &gt;= VLOOKUP(YEAR(A653), Lookup!$Q:$R, 2),
        Z652 + IF(MONTH(A653)=12, Q653+W653, 0) + I653
          + AA652 + IF(MONTH(A653)=12, R653+X653, 0) - VLOOKUP(YEAR(A653), Lookup!$Q:$R, 2) + J653,
        Z652 + IF(MONTH(A653)=12, Q653+W653, 0) + I653
      ),
      VLOOKUP(YEAR(A653), Lookup!$K:$M, 3)
    ),
  B653=55,
    IF(Z652 &gt;= AD653, Z652 - AD653, 0),
  B653&gt;55, 0
)</f>
        <v>0</v>
      </c>
      <c r="AA653" s="65">
        <f>IFS(
  B653&lt;65,
    IF(AA652+J653 &lt; VLOOKUP(YEAR(A653), Lookup!$Q:$R, 2),
      AA652 + IF(MONTH(A653)=12, R652+X652, 0) + J653,
      MIN(
        AA652 + IF(MONTH(A653)=12, R652+X652, 0) + J653 ,
        VLOOKUP(YEAR(A653), Lookup!$Q:$R, 2)
      )
    ),
  B653&gt;=65,
    IF(AA652+J653 &lt; VLOOKUP(questions!$C$5, Lookup!$Q:$R, 2),
      AA652 + IF(MONTH(A653)=12, R652+X652, 0) + J653 ,
      MIN(
        AA652 + IF(MONTH(A653)=12, R652+X652, 0) + J653,
        VLOOKUP(questions!$C$5, Lookup!$Q:$R, 2)
      )
    )
)</f>
        <v>282111.0086</v>
      </c>
      <c r="AB653" s="65">
        <f t="shared" si="13"/>
        <v>1772695.229</v>
      </c>
      <c r="AC653" s="66">
        <f t="array" ref="AC653">IFS(B653&lt;66, XLOOKUP(year(A653),Lookup!$K$13:$K1000,Lookup!$L$13:$L1000,"missing",,1),B653&gt;65,XLOOKUP(questions!$C$5,Lookup!$K$13:$K1000,Lookup!$L$13:$L1000,"missing",,1))</f>
        <v>393675.3633</v>
      </c>
      <c r="AD653" s="66">
        <f t="array" ref="AD653">IFS(B653&lt;66, XLOOKUP(year(A653),Lookup!$K$13:$K1000,Lookup!$M$13:$M1000,"missing",,1),B653&gt;65, XLOOKUP(questions!$C$5,Lookup!$K$13:$K1000,Lookup!$M$13:$M1000,"missing",,1))</f>
        <v>787350.7266</v>
      </c>
      <c r="AE653" s="66">
        <f t="array" ref="AE653">IFS(B653&lt;66, XLOOKUP(year(A653),Lookup!$K$13:$K1000,Lookup!$N$13:$N1000,"missing",,1),B653&gt;65,XLOOKUP(questions!$C$5,Lookup!$K$13:$K1000,Lookup!$N$13:$N1000,"missing",,1))</f>
        <v>1574701.453</v>
      </c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7"/>
      <c r="AQ653" s="37"/>
    </row>
    <row r="654">
      <c r="A654" s="55">
        <f t="shared" si="7"/>
        <v>65927</v>
      </c>
      <c r="B654" s="56">
        <f>round(YEARFRAC(EOMONTH(questions!$C$3, 0),A654,1),2)</f>
        <v>81.58</v>
      </c>
      <c r="C654" s="58">
        <f>IF(B654&lt;questions!$C$6,if(MONTH(A654)=1,C653*(1+questions!$C$12),C653),0)</f>
        <v>0</v>
      </c>
      <c r="D654" s="58">
        <f>IF(MONTH(A654)=12,C654*questions!$C$11,0)</f>
        <v>0</v>
      </c>
      <c r="E654" s="71">
        <f t="shared" si="2"/>
        <v>0</v>
      </c>
      <c r="F654" s="71">
        <f t="shared" si="3"/>
        <v>0</v>
      </c>
      <c r="G654" s="61">
        <f t="array" ref="G654">if(YEAR(A654)=2025,XLOOKUP(B654,Lookup!$A$3:$A$7,Lookup!$D$3:$D$7,,1)*SUM(E654:F654), XLOOKUP(B654,Lookup!$A$14:$A$18,Lookup!$D$14:$D$18,,1)*SUM(E654:F654))</f>
        <v>0</v>
      </c>
      <c r="H654" s="61">
        <f t="array" ref="H654">if(YEAR(A654)=2025,XLOOKUP(B654,Lookup!$F$3:$F$10,Lookup!$G$3:$G$10,,1)*G654, XLOOKUP(B654,Lookup!$F$14:$F$21,Lookup!$G$14:$G$21,,1)*G654)</f>
        <v>0</v>
      </c>
      <c r="I654" s="61">
        <f t="array" ref="I654">if(B654&lt;55, if(YEAR(A654)=2025,XLOOKUP(B654,Lookup!$F$3:$F$10,Lookup!$H$3:$H$10,,1)*G654, XLOOKUP(B654,Lookup!$F$14:$F$21,Lookup!$H$14:$H$21,,1)*G654),0)</f>
        <v>0</v>
      </c>
      <c r="J654" s="61">
        <f t="array" ref="J654">if(YEAR(A654)=2025,XLOOKUP(B654,Lookup!$F$3:$F$10,Lookup!$I$3:$I$10,,1)*G654, XLOOKUP(B654,Lookup!$F$14:$F$21,Lookup!$I$14:$I$21,,1)*G654)</f>
        <v>0</v>
      </c>
      <c r="K654" s="61">
        <f t="array" ref="K654">if(B654&gt;54, if(YEAR(A654)=2025,XLOOKUP(B654,Lookup!$F$3:$F$10,Lookup!$H$3:$H$10,,1)*G654, XLOOKUP(B654,Lookup!$F$14:$F$21,Lookup!$H$14:$H$21,,1)*G654),0)</f>
        <v>0</v>
      </c>
      <c r="L654" s="62">
        <f>IF(and(A654&lt;questions!$C$19,questions!$C$18="yes"),questions!$C$20,0)</f>
        <v>0</v>
      </c>
      <c r="M654" s="63">
        <f>(Y653+H654)*Lookup!A$26/12</f>
        <v>3046.267345</v>
      </c>
      <c r="N654" s="63">
        <f>if(B654&lt;55, (Z653+I654)*Lookup!B$26/12, (AB653+K654)*Lookup!B$26/12)</f>
        <v>5908.984098</v>
      </c>
      <c r="O654" s="63">
        <f>(AA653+J654)*Lookup!C$26/12</f>
        <v>940.3700287</v>
      </c>
      <c r="P654" s="63">
        <f t="shared" si="8"/>
        <v>18277.60407</v>
      </c>
      <c r="Q654" s="63">
        <f t="shared" si="4"/>
        <v>35453.90459</v>
      </c>
      <c r="R654" s="63">
        <f t="shared" si="5"/>
        <v>5642.220172</v>
      </c>
      <c r="S654" s="64">
        <f t="shared" si="9"/>
        <v>33.33333333</v>
      </c>
      <c r="T654" s="64">
        <f t="shared" si="10"/>
        <v>41.66666667</v>
      </c>
      <c r="U654" s="64">
        <f t="shared" si="11"/>
        <v>0</v>
      </c>
      <c r="V654" s="64">
        <f t="shared" ref="V654:X654" si="662">IF(year($A654)=year($A653), V653+S654, S654)</f>
        <v>200</v>
      </c>
      <c r="W654" s="64">
        <f t="shared" si="662"/>
        <v>250</v>
      </c>
      <c r="X654" s="64">
        <f t="shared" si="662"/>
        <v>0</v>
      </c>
      <c r="Y654" s="65">
        <f>IFS(
  B654&lt;55,
    MAX(
      Y653 + IF(MONTH(A654)=12, P654+V654, 0) + H654 - L654
      + MAX(0,
          IF(AA653 &gt;= VLOOKUP(YEAR(A654), Lookup!$Q:$R, 2),
            Z653 + IF(MONTH(A654)=12, Q654+W654, 0) + I654
              + AA653 + IF(MONTH(A654)=12, R654+X654, 0)
              - VLOOKUP(YEAR(A654), Lookup!$Q:$R, 2) + J654,
            Z653 + IF(MONTH(A654)=12, Q654+W654, 0) + I654
          ) - VLOOKUP(YEAR(A654), Lookup!$K:$M, 3)
        ),
    0),
  B654=55,
    IF(Z653&gt;=AD654,
      MAX(Y653 + IF(MONTH(A654)=12, P654+V654, 0) + H654 - L654, 0),
      MAX(MAX(0, Y653-(AD654-Z653)) + IF(MONTH(A654)=12, P654+V654, 0) + H654 - L654, 0)
    ),
  B654&gt;55,
    IF(AB653&gt;=$AH$7,
      MAX(Y653 + IF(MONTH(A654)=12, P654+V654, 0) + H654 - L654 + K654 + Z653, 0),
      MAX(Y653 + IF(MONTH(A654)=12, P654+V654, 0) + H654 - L654, 0)
    )
)</f>
        <v>1462208.326</v>
      </c>
      <c r="Z654" s="65">
        <f>IFS(
  B654&lt;55,
    MIN(
      IF(AA653 &gt;= VLOOKUP(YEAR(A654), Lookup!$Q:$R, 2),
        Z653 + IF(MONTH(A654)=12, Q654+W654, 0) + I654
          + AA653 + IF(MONTH(A654)=12, R654+X654, 0) - VLOOKUP(YEAR(A654), Lookup!$Q:$R, 2) + J654,
        Z653 + IF(MONTH(A654)=12, Q654+W654, 0) + I654
      ),
      VLOOKUP(YEAR(A654), Lookup!$K:$M, 3)
    ),
  B654=55,
    IF(Z653 &gt;= AD654, Z653 - AD654, 0),
  B654&gt;55, 0
)</f>
        <v>0</v>
      </c>
      <c r="AA654" s="65">
        <f>IFS(
  B654&lt;65,
    IF(AA653+J654 &lt; VLOOKUP(YEAR(A654), Lookup!$Q:$R, 2),
      AA653 + IF(MONTH(A654)=12, R653+X653, 0) + J654,
      MIN(
        AA653 + IF(MONTH(A654)=12, R653+X653, 0) + J654 ,
        VLOOKUP(YEAR(A654), Lookup!$Q:$R, 2)
      )
    ),
  B654&gt;=65,
    IF(AA653+J654 &lt; VLOOKUP(questions!$C$5, Lookup!$Q:$R, 2),
      AA653 + IF(MONTH(A654)=12, R653+X653, 0) + J654 ,
      MIN(
        AA653 + IF(MONTH(A654)=12, R653+X653, 0) + J654,
        VLOOKUP(questions!$C$5, Lookup!$Q:$R, 2)
      )
    )
)</f>
        <v>282111.0086</v>
      </c>
      <c r="AB654" s="65">
        <f t="shared" si="13"/>
        <v>1772695.229</v>
      </c>
      <c r="AC654" s="66">
        <f t="array" ref="AC654">IFS(B654&lt;66, XLOOKUP(year(A654),Lookup!$K$13:$K1000,Lookup!$L$13:$L1000,"missing",,1),B654&gt;65,XLOOKUP(questions!$C$5,Lookup!$K$13:$K1000,Lookup!$L$13:$L1000,"missing",,1))</f>
        <v>393675.3633</v>
      </c>
      <c r="AD654" s="66">
        <f t="array" ref="AD654">IFS(B654&lt;66, XLOOKUP(year(A654),Lookup!$K$13:$K1000,Lookup!$M$13:$M1000,"missing",,1),B654&gt;65, XLOOKUP(questions!$C$5,Lookup!$K$13:$K1000,Lookup!$M$13:$M1000,"missing",,1))</f>
        <v>787350.7266</v>
      </c>
      <c r="AE654" s="66">
        <f t="array" ref="AE654">IFS(B654&lt;66, XLOOKUP(year(A654),Lookup!$K$13:$K1000,Lookup!$N$13:$N1000,"missing",,1),B654&gt;65,XLOOKUP(questions!$C$5,Lookup!$K$13:$K1000,Lookup!$N$13:$N1000,"missing",,1))</f>
        <v>1574701.453</v>
      </c>
      <c r="AF654" s="37"/>
      <c r="AG654" s="37"/>
      <c r="AH654" s="37"/>
      <c r="AI654" s="37"/>
      <c r="AJ654" s="37"/>
      <c r="AK654" s="37"/>
      <c r="AL654" s="37"/>
      <c r="AM654" s="37"/>
      <c r="AN654" s="37"/>
      <c r="AO654" s="37"/>
      <c r="AP654" s="37"/>
      <c r="AQ654" s="37"/>
    </row>
    <row r="655">
      <c r="A655" s="55">
        <f t="shared" si="7"/>
        <v>65958</v>
      </c>
      <c r="B655" s="56">
        <f>round(YEARFRAC(EOMONTH(questions!$C$3, 0),A655,1),2)</f>
        <v>81.67</v>
      </c>
      <c r="C655" s="58">
        <f>IF(B655&lt;questions!$C$6,if(MONTH(A655)=1,C654*(1+questions!$C$12),C654),0)</f>
        <v>0</v>
      </c>
      <c r="D655" s="58">
        <f>IF(MONTH(A655)=12,C655*questions!$C$11,0)</f>
        <v>0</v>
      </c>
      <c r="E655" s="71">
        <f t="shared" si="2"/>
        <v>0</v>
      </c>
      <c r="F655" s="71">
        <f t="shared" si="3"/>
        <v>0</v>
      </c>
      <c r="G655" s="61">
        <f t="array" ref="G655">if(YEAR(A655)=2025,XLOOKUP(B655,Lookup!$A$3:$A$7,Lookup!$D$3:$D$7,,1)*SUM(E655:F655), XLOOKUP(B655,Lookup!$A$14:$A$18,Lookup!$D$14:$D$18,,1)*SUM(E655:F655))</f>
        <v>0</v>
      </c>
      <c r="H655" s="61">
        <f t="array" ref="H655">if(YEAR(A655)=2025,XLOOKUP(B655,Lookup!$F$3:$F$10,Lookup!$G$3:$G$10,,1)*G655, XLOOKUP(B655,Lookup!$F$14:$F$21,Lookup!$G$14:$G$21,,1)*G655)</f>
        <v>0</v>
      </c>
      <c r="I655" s="61">
        <f t="array" ref="I655">if(B655&lt;55, if(YEAR(A655)=2025,XLOOKUP(B655,Lookup!$F$3:$F$10,Lookup!$H$3:$H$10,,1)*G655, XLOOKUP(B655,Lookup!$F$14:$F$21,Lookup!$H$14:$H$21,,1)*G655),0)</f>
        <v>0</v>
      </c>
      <c r="J655" s="61">
        <f t="array" ref="J655">if(YEAR(A655)=2025,XLOOKUP(B655,Lookup!$F$3:$F$10,Lookup!$I$3:$I$10,,1)*G655, XLOOKUP(B655,Lookup!$F$14:$F$21,Lookup!$I$14:$I$21,,1)*G655)</f>
        <v>0</v>
      </c>
      <c r="K655" s="61">
        <f t="array" ref="K655">if(B655&gt;54, if(YEAR(A655)=2025,XLOOKUP(B655,Lookup!$F$3:$F$10,Lookup!$H$3:$H$10,,1)*G655, XLOOKUP(B655,Lookup!$F$14:$F$21,Lookup!$H$14:$H$21,,1)*G655),0)</f>
        <v>0</v>
      </c>
      <c r="L655" s="62">
        <f>IF(and(A655&lt;questions!$C$19,questions!$C$18="yes"),questions!$C$20,0)</f>
        <v>0</v>
      </c>
      <c r="M655" s="63">
        <f>(Y654+H655)*Lookup!A$26/12</f>
        <v>3046.267345</v>
      </c>
      <c r="N655" s="63">
        <f>if(B655&lt;55, (Z654+I655)*Lookup!B$26/12, (AB654+K655)*Lookup!B$26/12)</f>
        <v>5908.984098</v>
      </c>
      <c r="O655" s="63">
        <f>(AA654+J655)*Lookup!C$26/12</f>
        <v>940.3700287</v>
      </c>
      <c r="P655" s="63">
        <f t="shared" si="8"/>
        <v>21323.87141</v>
      </c>
      <c r="Q655" s="63">
        <f t="shared" si="4"/>
        <v>41362.88869</v>
      </c>
      <c r="R655" s="63">
        <f t="shared" si="5"/>
        <v>6582.590201</v>
      </c>
      <c r="S655" s="64">
        <f t="shared" si="9"/>
        <v>33.33333333</v>
      </c>
      <c r="T655" s="64">
        <f t="shared" si="10"/>
        <v>41.66666667</v>
      </c>
      <c r="U655" s="64">
        <f t="shared" si="11"/>
        <v>0</v>
      </c>
      <c r="V655" s="64">
        <f t="shared" ref="V655:X655" si="663">IF(year($A655)=year($A654), V654+S655, S655)</f>
        <v>233.3333333</v>
      </c>
      <c r="W655" s="64">
        <f t="shared" si="663"/>
        <v>291.6666667</v>
      </c>
      <c r="X655" s="64">
        <f t="shared" si="663"/>
        <v>0</v>
      </c>
      <c r="Y655" s="65">
        <f>IFS(
  B655&lt;55,
    MAX(
      Y654 + IF(MONTH(A655)=12, P655+V655, 0) + H655 - L655
      + MAX(0,
          IF(AA654 &gt;= VLOOKUP(YEAR(A655), Lookup!$Q:$R, 2),
            Z654 + IF(MONTH(A655)=12, Q655+W655, 0) + I655
              + AA654 + IF(MONTH(A655)=12, R655+X655, 0)
              - VLOOKUP(YEAR(A655), Lookup!$Q:$R, 2) + J655,
            Z654 + IF(MONTH(A655)=12, Q655+W655, 0) + I655
          ) - VLOOKUP(YEAR(A655), Lookup!$K:$M, 3)
        ),
    0),
  B655=55,
    IF(Z654&gt;=AD655,
      MAX(Y654 + IF(MONTH(A655)=12, P655+V655, 0) + H655 - L655, 0),
      MAX(MAX(0, Y654-(AD655-Z654)) + IF(MONTH(A655)=12, P655+V655, 0) + H655 - L655, 0)
    ),
  B655&gt;55,
    IF(AB654&gt;=$AH$7,
      MAX(Y654 + IF(MONTH(A655)=12, P655+V655, 0) + H655 - L655 + K655 + Z654, 0),
      MAX(Y654 + IF(MONTH(A655)=12, P655+V655, 0) + H655 - L655, 0)
    )
)</f>
        <v>1462208.326</v>
      </c>
      <c r="Z655" s="65">
        <f>IFS(
  B655&lt;55,
    MIN(
      IF(AA654 &gt;= VLOOKUP(YEAR(A655), Lookup!$Q:$R, 2),
        Z654 + IF(MONTH(A655)=12, Q655+W655, 0) + I655
          + AA654 + IF(MONTH(A655)=12, R655+X655, 0) - VLOOKUP(YEAR(A655), Lookup!$Q:$R, 2) + J655,
        Z654 + IF(MONTH(A655)=12, Q655+W655, 0) + I655
      ),
      VLOOKUP(YEAR(A655), Lookup!$K:$M, 3)
    ),
  B655=55,
    IF(Z654 &gt;= AD655, Z654 - AD655, 0),
  B655&gt;55, 0
)</f>
        <v>0</v>
      </c>
      <c r="AA655" s="65">
        <f>IFS(
  B655&lt;65,
    IF(AA654+J655 &lt; VLOOKUP(YEAR(A655), Lookup!$Q:$R, 2),
      AA654 + IF(MONTH(A655)=12, R654+X654, 0) + J655,
      MIN(
        AA654 + IF(MONTH(A655)=12, R654+X654, 0) + J655 ,
        VLOOKUP(YEAR(A655), Lookup!$Q:$R, 2)
      )
    ),
  B655&gt;=65,
    IF(AA654+J655 &lt; VLOOKUP(questions!$C$5, Lookup!$Q:$R, 2),
      AA654 + IF(MONTH(A655)=12, R654+X654, 0) + J655 ,
      MIN(
        AA654 + IF(MONTH(A655)=12, R654+X654, 0) + J655,
        VLOOKUP(questions!$C$5, Lookup!$Q:$R, 2)
      )
    )
)</f>
        <v>282111.0086</v>
      </c>
      <c r="AB655" s="65">
        <f t="shared" si="13"/>
        <v>1772695.229</v>
      </c>
      <c r="AC655" s="66">
        <f t="array" ref="AC655">IFS(B655&lt;66, XLOOKUP(year(A655),Lookup!$K$13:$K1000,Lookup!$L$13:$L1000,"missing",,1),B655&gt;65,XLOOKUP(questions!$C$5,Lookup!$K$13:$K1000,Lookup!$L$13:$L1000,"missing",,1))</f>
        <v>393675.3633</v>
      </c>
      <c r="AD655" s="66">
        <f t="array" ref="AD655">IFS(B655&lt;66, XLOOKUP(year(A655),Lookup!$K$13:$K1000,Lookup!$M$13:$M1000,"missing",,1),B655&gt;65, XLOOKUP(questions!$C$5,Lookup!$K$13:$K1000,Lookup!$M$13:$M1000,"missing",,1))</f>
        <v>787350.7266</v>
      </c>
      <c r="AE655" s="66">
        <f t="array" ref="AE655">IFS(B655&lt;66, XLOOKUP(year(A655),Lookup!$K$13:$K1000,Lookup!$N$13:$N1000,"missing",,1),B655&gt;65,XLOOKUP(questions!$C$5,Lookup!$K$13:$K1000,Lookup!$N$13:$N1000,"missing",,1))</f>
        <v>1574701.453</v>
      </c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7"/>
      <c r="AQ655" s="37"/>
    </row>
    <row r="656">
      <c r="A656" s="55">
        <f t="shared" si="7"/>
        <v>65989</v>
      </c>
      <c r="B656" s="56">
        <f>round(YEARFRAC(EOMONTH(questions!$C$3, 0),A656,1),2)</f>
        <v>81.75</v>
      </c>
      <c r="C656" s="58">
        <f>IF(B656&lt;questions!$C$6,if(MONTH(A656)=1,C655*(1+questions!$C$12),C655),0)</f>
        <v>0</v>
      </c>
      <c r="D656" s="58">
        <f>IF(MONTH(A656)=12,C656*questions!$C$11,0)</f>
        <v>0</v>
      </c>
      <c r="E656" s="71">
        <f t="shared" si="2"/>
        <v>0</v>
      </c>
      <c r="F656" s="71">
        <f t="shared" si="3"/>
        <v>0</v>
      </c>
      <c r="G656" s="61">
        <f t="array" ref="G656">if(YEAR(A656)=2025,XLOOKUP(B656,Lookup!$A$3:$A$7,Lookup!$D$3:$D$7,,1)*SUM(E656:F656), XLOOKUP(B656,Lookup!$A$14:$A$18,Lookup!$D$14:$D$18,,1)*SUM(E656:F656))</f>
        <v>0</v>
      </c>
      <c r="H656" s="61">
        <f t="array" ref="H656">if(YEAR(A656)=2025,XLOOKUP(B656,Lookup!$F$3:$F$10,Lookup!$G$3:$G$10,,1)*G656, XLOOKUP(B656,Lookup!$F$14:$F$21,Lookup!$G$14:$G$21,,1)*G656)</f>
        <v>0</v>
      </c>
      <c r="I656" s="61">
        <f t="array" ref="I656">if(B656&lt;55, if(YEAR(A656)=2025,XLOOKUP(B656,Lookup!$F$3:$F$10,Lookup!$H$3:$H$10,,1)*G656, XLOOKUP(B656,Lookup!$F$14:$F$21,Lookup!$H$14:$H$21,,1)*G656),0)</f>
        <v>0</v>
      </c>
      <c r="J656" s="61">
        <f t="array" ref="J656">if(YEAR(A656)=2025,XLOOKUP(B656,Lookup!$F$3:$F$10,Lookup!$I$3:$I$10,,1)*G656, XLOOKUP(B656,Lookup!$F$14:$F$21,Lookup!$I$14:$I$21,,1)*G656)</f>
        <v>0</v>
      </c>
      <c r="K656" s="61">
        <f t="array" ref="K656">if(B656&gt;54, if(YEAR(A656)=2025,XLOOKUP(B656,Lookup!$F$3:$F$10,Lookup!$H$3:$H$10,,1)*G656, XLOOKUP(B656,Lookup!$F$14:$F$21,Lookup!$H$14:$H$21,,1)*G656),0)</f>
        <v>0</v>
      </c>
      <c r="L656" s="62">
        <f>IF(and(A656&lt;questions!$C$19,questions!$C$18="yes"),questions!$C$20,0)</f>
        <v>0</v>
      </c>
      <c r="M656" s="63">
        <f>(Y655+H656)*Lookup!A$26/12</f>
        <v>3046.267345</v>
      </c>
      <c r="N656" s="63">
        <f>if(B656&lt;55, (Z655+I656)*Lookup!B$26/12, (AB655+K656)*Lookup!B$26/12)</f>
        <v>5908.984098</v>
      </c>
      <c r="O656" s="63">
        <f>(AA655+J656)*Lookup!C$26/12</f>
        <v>940.3700287</v>
      </c>
      <c r="P656" s="63">
        <f t="shared" si="8"/>
        <v>24370.13876</v>
      </c>
      <c r="Q656" s="63">
        <f t="shared" si="4"/>
        <v>47271.87278</v>
      </c>
      <c r="R656" s="63">
        <f t="shared" si="5"/>
        <v>7522.960229</v>
      </c>
      <c r="S656" s="64">
        <f t="shared" si="9"/>
        <v>33.33333333</v>
      </c>
      <c r="T656" s="64">
        <f t="shared" si="10"/>
        <v>41.66666667</v>
      </c>
      <c r="U656" s="64">
        <f t="shared" si="11"/>
        <v>0</v>
      </c>
      <c r="V656" s="64">
        <f t="shared" ref="V656:X656" si="664">IF(year($A656)=year($A655), V655+S656, S656)</f>
        <v>266.6666667</v>
      </c>
      <c r="W656" s="64">
        <f t="shared" si="664"/>
        <v>333.3333333</v>
      </c>
      <c r="X656" s="64">
        <f t="shared" si="664"/>
        <v>0</v>
      </c>
      <c r="Y656" s="65">
        <f>IFS(
  B656&lt;55,
    MAX(
      Y655 + IF(MONTH(A656)=12, P656+V656, 0) + H656 - L656
      + MAX(0,
          IF(AA655 &gt;= VLOOKUP(YEAR(A656), Lookup!$Q:$R, 2),
            Z655 + IF(MONTH(A656)=12, Q656+W656, 0) + I656
              + AA655 + IF(MONTH(A656)=12, R656+X656, 0)
              - VLOOKUP(YEAR(A656), Lookup!$Q:$R, 2) + J656,
            Z655 + IF(MONTH(A656)=12, Q656+W656, 0) + I656
          ) - VLOOKUP(YEAR(A656), Lookup!$K:$M, 3)
        ),
    0),
  B656=55,
    IF(Z655&gt;=AD656,
      MAX(Y655 + IF(MONTH(A656)=12, P656+V656, 0) + H656 - L656, 0),
      MAX(MAX(0, Y655-(AD656-Z655)) + IF(MONTH(A656)=12, P656+V656, 0) + H656 - L656, 0)
    ),
  B656&gt;55,
    IF(AB655&gt;=$AH$7,
      MAX(Y655 + IF(MONTH(A656)=12, P656+V656, 0) + H656 - L656 + K656 + Z655, 0),
      MAX(Y655 + IF(MONTH(A656)=12, P656+V656, 0) + H656 - L656, 0)
    )
)</f>
        <v>1462208.326</v>
      </c>
      <c r="Z656" s="65">
        <f>IFS(
  B656&lt;55,
    MIN(
      IF(AA655 &gt;= VLOOKUP(YEAR(A656), Lookup!$Q:$R, 2),
        Z655 + IF(MONTH(A656)=12, Q656+W656, 0) + I656
          + AA655 + IF(MONTH(A656)=12, R656+X656, 0) - VLOOKUP(YEAR(A656), Lookup!$Q:$R, 2) + J656,
        Z655 + IF(MONTH(A656)=12, Q656+W656, 0) + I656
      ),
      VLOOKUP(YEAR(A656), Lookup!$K:$M, 3)
    ),
  B656=55,
    IF(Z655 &gt;= AD656, Z655 - AD656, 0),
  B656&gt;55, 0
)</f>
        <v>0</v>
      </c>
      <c r="AA656" s="65">
        <f>IFS(
  B656&lt;65,
    IF(AA655+J656 &lt; VLOOKUP(YEAR(A656), Lookup!$Q:$R, 2),
      AA655 + IF(MONTH(A656)=12, R655+X655, 0) + J656,
      MIN(
        AA655 + IF(MONTH(A656)=12, R655+X655, 0) + J656 ,
        VLOOKUP(YEAR(A656), Lookup!$Q:$R, 2)
      )
    ),
  B656&gt;=65,
    IF(AA655+J656 &lt; VLOOKUP(questions!$C$5, Lookup!$Q:$R, 2),
      AA655 + IF(MONTH(A656)=12, R655+X655, 0) + J656 ,
      MIN(
        AA655 + IF(MONTH(A656)=12, R655+X655, 0) + J656,
        VLOOKUP(questions!$C$5, Lookup!$Q:$R, 2)
      )
    )
)</f>
        <v>282111.0086</v>
      </c>
      <c r="AB656" s="65">
        <f t="shared" si="13"/>
        <v>1772695.229</v>
      </c>
      <c r="AC656" s="66">
        <f t="array" ref="AC656">IFS(B656&lt;66, XLOOKUP(year(A656),Lookup!$K$13:$K1000,Lookup!$L$13:$L1000,"missing",,1),B656&gt;65,XLOOKUP(questions!$C$5,Lookup!$K$13:$K1000,Lookup!$L$13:$L1000,"missing",,1))</f>
        <v>393675.3633</v>
      </c>
      <c r="AD656" s="66">
        <f t="array" ref="AD656">IFS(B656&lt;66, XLOOKUP(year(A656),Lookup!$K$13:$K1000,Lookup!$M$13:$M1000,"missing",,1),B656&gt;65, XLOOKUP(questions!$C$5,Lookup!$K$13:$K1000,Lookup!$M$13:$M1000,"missing",,1))</f>
        <v>787350.7266</v>
      </c>
      <c r="AE656" s="66">
        <f t="array" ref="AE656">IFS(B656&lt;66, XLOOKUP(year(A656),Lookup!$K$13:$K1000,Lookup!$N$13:$N1000,"missing",,1),B656&gt;65,XLOOKUP(questions!$C$5,Lookup!$K$13:$K1000,Lookup!$N$13:$N1000,"missing",,1))</f>
        <v>1574701.453</v>
      </c>
      <c r="AF656" s="37"/>
      <c r="AG656" s="37"/>
      <c r="AH656" s="37"/>
      <c r="AI656" s="37"/>
      <c r="AJ656" s="37"/>
      <c r="AK656" s="37"/>
      <c r="AL656" s="37"/>
      <c r="AM656" s="37"/>
      <c r="AN656" s="37"/>
      <c r="AO656" s="37"/>
      <c r="AP656" s="37"/>
      <c r="AQ656" s="37"/>
    </row>
    <row r="657">
      <c r="A657" s="55">
        <f t="shared" si="7"/>
        <v>66019</v>
      </c>
      <c r="B657" s="56">
        <f>round(YEARFRAC(EOMONTH(questions!$C$3, 0),A657,1),2)</f>
        <v>81.83</v>
      </c>
      <c r="C657" s="58">
        <f>IF(B657&lt;questions!$C$6,if(MONTH(A657)=1,C656*(1+questions!$C$12),C656),0)</f>
        <v>0</v>
      </c>
      <c r="D657" s="58">
        <f>IF(MONTH(A657)=12,C657*questions!$C$11,0)</f>
        <v>0</v>
      </c>
      <c r="E657" s="71">
        <f t="shared" si="2"/>
        <v>0</v>
      </c>
      <c r="F657" s="71">
        <f t="shared" si="3"/>
        <v>0</v>
      </c>
      <c r="G657" s="61">
        <f t="array" ref="G657">if(YEAR(A657)=2025,XLOOKUP(B657,Lookup!$A$3:$A$7,Lookup!$D$3:$D$7,,1)*SUM(E657:F657), XLOOKUP(B657,Lookup!$A$14:$A$18,Lookup!$D$14:$D$18,,1)*SUM(E657:F657))</f>
        <v>0</v>
      </c>
      <c r="H657" s="61">
        <f t="array" ref="H657">if(YEAR(A657)=2025,XLOOKUP(B657,Lookup!$F$3:$F$10,Lookup!$G$3:$G$10,,1)*G657, XLOOKUP(B657,Lookup!$F$14:$F$21,Lookup!$G$14:$G$21,,1)*G657)</f>
        <v>0</v>
      </c>
      <c r="I657" s="61">
        <f t="array" ref="I657">if(B657&lt;55, if(YEAR(A657)=2025,XLOOKUP(B657,Lookup!$F$3:$F$10,Lookup!$H$3:$H$10,,1)*G657, XLOOKUP(B657,Lookup!$F$14:$F$21,Lookup!$H$14:$H$21,,1)*G657),0)</f>
        <v>0</v>
      </c>
      <c r="J657" s="61">
        <f t="array" ref="J657">if(YEAR(A657)=2025,XLOOKUP(B657,Lookup!$F$3:$F$10,Lookup!$I$3:$I$10,,1)*G657, XLOOKUP(B657,Lookup!$F$14:$F$21,Lookup!$I$14:$I$21,,1)*G657)</f>
        <v>0</v>
      </c>
      <c r="K657" s="61">
        <f t="array" ref="K657">if(B657&gt;54, if(YEAR(A657)=2025,XLOOKUP(B657,Lookup!$F$3:$F$10,Lookup!$H$3:$H$10,,1)*G657, XLOOKUP(B657,Lookup!$F$14:$F$21,Lookup!$H$14:$H$21,,1)*G657),0)</f>
        <v>0</v>
      </c>
      <c r="L657" s="62">
        <f>IF(and(A657&lt;questions!$C$19,questions!$C$18="yes"),questions!$C$20,0)</f>
        <v>0</v>
      </c>
      <c r="M657" s="63">
        <f>(Y656+H657)*Lookup!A$26/12</f>
        <v>3046.267345</v>
      </c>
      <c r="N657" s="63">
        <f>if(B657&lt;55, (Z656+I657)*Lookup!B$26/12, (AB656+K657)*Lookup!B$26/12)</f>
        <v>5908.984098</v>
      </c>
      <c r="O657" s="63">
        <f>(AA656+J657)*Lookup!C$26/12</f>
        <v>940.3700287</v>
      </c>
      <c r="P657" s="63">
        <f t="shared" si="8"/>
        <v>27416.4061</v>
      </c>
      <c r="Q657" s="63">
        <f t="shared" si="4"/>
        <v>53180.85688</v>
      </c>
      <c r="R657" s="63">
        <f t="shared" si="5"/>
        <v>8463.330258</v>
      </c>
      <c r="S657" s="64">
        <f t="shared" si="9"/>
        <v>33.33333333</v>
      </c>
      <c r="T657" s="64">
        <f t="shared" si="10"/>
        <v>41.66666667</v>
      </c>
      <c r="U657" s="64">
        <f t="shared" si="11"/>
        <v>0</v>
      </c>
      <c r="V657" s="64">
        <f t="shared" ref="V657:X657" si="665">IF(year($A657)=year($A656), V656+S657, S657)</f>
        <v>300</v>
      </c>
      <c r="W657" s="64">
        <f t="shared" si="665"/>
        <v>375</v>
      </c>
      <c r="X657" s="64">
        <f t="shared" si="665"/>
        <v>0</v>
      </c>
      <c r="Y657" s="65">
        <f>IFS(
  B657&lt;55,
    MAX(
      Y656 + IF(MONTH(A657)=12, P657+V657, 0) + H657 - L657
      + MAX(0,
          IF(AA656 &gt;= VLOOKUP(YEAR(A657), Lookup!$Q:$R, 2),
            Z656 + IF(MONTH(A657)=12, Q657+W657, 0) + I657
              + AA656 + IF(MONTH(A657)=12, R657+X657, 0)
              - VLOOKUP(YEAR(A657), Lookup!$Q:$R, 2) + J657,
            Z656 + IF(MONTH(A657)=12, Q657+W657, 0) + I657
          ) - VLOOKUP(YEAR(A657), Lookup!$K:$M, 3)
        ),
    0),
  B657=55,
    IF(Z656&gt;=AD657,
      MAX(Y656 + IF(MONTH(A657)=12, P657+V657, 0) + H657 - L657, 0),
      MAX(MAX(0, Y656-(AD657-Z656)) + IF(MONTH(A657)=12, P657+V657, 0) + H657 - L657, 0)
    ),
  B657&gt;55,
    IF(AB656&gt;=$AH$7,
      MAX(Y656 + IF(MONTH(A657)=12, P657+V657, 0) + H657 - L657 + K657 + Z656, 0),
      MAX(Y656 + IF(MONTH(A657)=12, P657+V657, 0) + H657 - L657, 0)
    )
)</f>
        <v>1462208.326</v>
      </c>
      <c r="Z657" s="65">
        <f>IFS(
  B657&lt;55,
    MIN(
      IF(AA656 &gt;= VLOOKUP(YEAR(A657), Lookup!$Q:$R, 2),
        Z656 + IF(MONTH(A657)=12, Q657+W657, 0) + I657
          + AA656 + IF(MONTH(A657)=12, R657+X657, 0) - VLOOKUP(YEAR(A657), Lookup!$Q:$R, 2) + J657,
        Z656 + IF(MONTH(A657)=12, Q657+W657, 0) + I657
      ),
      VLOOKUP(YEAR(A657), Lookup!$K:$M, 3)
    ),
  B657=55,
    IF(Z656 &gt;= AD657, Z656 - AD657, 0),
  B657&gt;55, 0
)</f>
        <v>0</v>
      </c>
      <c r="AA657" s="65">
        <f>IFS(
  B657&lt;65,
    IF(AA656+J657 &lt; VLOOKUP(YEAR(A657), Lookup!$Q:$R, 2),
      AA656 + IF(MONTH(A657)=12, R656+X656, 0) + J657,
      MIN(
        AA656 + IF(MONTH(A657)=12, R656+X656, 0) + J657 ,
        VLOOKUP(YEAR(A657), Lookup!$Q:$R, 2)
      )
    ),
  B657&gt;=65,
    IF(AA656+J657 &lt; VLOOKUP(questions!$C$5, Lookup!$Q:$R, 2),
      AA656 + IF(MONTH(A657)=12, R656+X656, 0) + J657 ,
      MIN(
        AA656 + IF(MONTH(A657)=12, R656+X656, 0) + J657,
        VLOOKUP(questions!$C$5, Lookup!$Q:$R, 2)
      )
    )
)</f>
        <v>282111.0086</v>
      </c>
      <c r="AB657" s="65">
        <f t="shared" si="13"/>
        <v>1772695.229</v>
      </c>
      <c r="AC657" s="66">
        <f t="array" ref="AC657">IFS(B657&lt;66, XLOOKUP(year(A657),Lookup!$K$13:$K1000,Lookup!$L$13:$L1000,"missing",,1),B657&gt;65,XLOOKUP(questions!$C$5,Lookup!$K$13:$K1000,Lookup!$L$13:$L1000,"missing",,1))</f>
        <v>393675.3633</v>
      </c>
      <c r="AD657" s="66">
        <f t="array" ref="AD657">IFS(B657&lt;66, XLOOKUP(year(A657),Lookup!$K$13:$K1000,Lookup!$M$13:$M1000,"missing",,1),B657&gt;65, XLOOKUP(questions!$C$5,Lookup!$K$13:$K1000,Lookup!$M$13:$M1000,"missing",,1))</f>
        <v>787350.7266</v>
      </c>
      <c r="AE657" s="66">
        <f t="array" ref="AE657">IFS(B657&lt;66, XLOOKUP(year(A657),Lookup!$K$13:$K1000,Lookup!$N$13:$N1000,"missing",,1),B657&gt;65,XLOOKUP(questions!$C$5,Lookup!$K$13:$K1000,Lookup!$N$13:$N1000,"missing",,1))</f>
        <v>1574701.453</v>
      </c>
      <c r="AF657" s="37"/>
      <c r="AG657" s="37"/>
      <c r="AH657" s="37"/>
      <c r="AI657" s="37"/>
      <c r="AJ657" s="37"/>
      <c r="AK657" s="37"/>
      <c r="AL657" s="37"/>
      <c r="AM657" s="37"/>
      <c r="AN657" s="37"/>
      <c r="AO657" s="37"/>
      <c r="AP657" s="37"/>
      <c r="AQ657" s="37"/>
    </row>
    <row r="658">
      <c r="A658" s="55">
        <f t="shared" si="7"/>
        <v>66050</v>
      </c>
      <c r="B658" s="56">
        <f>round(YEARFRAC(EOMONTH(questions!$C$3, 0),A658,1),2)</f>
        <v>81.92</v>
      </c>
      <c r="C658" s="58">
        <f>IF(B658&lt;questions!$C$6,if(MONTH(A658)=1,C657*(1+questions!$C$12),C657),0)</f>
        <v>0</v>
      </c>
      <c r="D658" s="58">
        <f>IF(MONTH(A658)=12,C658*questions!$C$11,0)</f>
        <v>0</v>
      </c>
      <c r="E658" s="71">
        <f t="shared" si="2"/>
        <v>0</v>
      </c>
      <c r="F658" s="71">
        <f t="shared" si="3"/>
        <v>0</v>
      </c>
      <c r="G658" s="61">
        <f t="array" ref="G658">if(YEAR(A658)=2025,XLOOKUP(B658,Lookup!$A$3:$A$7,Lookup!$D$3:$D$7,,1)*SUM(E658:F658), XLOOKUP(B658,Lookup!$A$14:$A$18,Lookup!$D$14:$D$18,,1)*SUM(E658:F658))</f>
        <v>0</v>
      </c>
      <c r="H658" s="61">
        <f t="array" ref="H658">if(YEAR(A658)=2025,XLOOKUP(B658,Lookup!$F$3:$F$10,Lookup!$G$3:$G$10,,1)*G658, XLOOKUP(B658,Lookup!$F$14:$F$21,Lookup!$G$14:$G$21,,1)*G658)</f>
        <v>0</v>
      </c>
      <c r="I658" s="61">
        <f t="array" ref="I658">if(B658&lt;55, if(YEAR(A658)=2025,XLOOKUP(B658,Lookup!$F$3:$F$10,Lookup!$H$3:$H$10,,1)*G658, XLOOKUP(B658,Lookup!$F$14:$F$21,Lookup!$H$14:$H$21,,1)*G658),0)</f>
        <v>0</v>
      </c>
      <c r="J658" s="61">
        <f t="array" ref="J658">if(YEAR(A658)=2025,XLOOKUP(B658,Lookup!$F$3:$F$10,Lookup!$I$3:$I$10,,1)*G658, XLOOKUP(B658,Lookup!$F$14:$F$21,Lookup!$I$14:$I$21,,1)*G658)</f>
        <v>0</v>
      </c>
      <c r="K658" s="61">
        <f t="array" ref="K658">if(B658&gt;54, if(YEAR(A658)=2025,XLOOKUP(B658,Lookup!$F$3:$F$10,Lookup!$H$3:$H$10,,1)*G658, XLOOKUP(B658,Lookup!$F$14:$F$21,Lookup!$H$14:$H$21,,1)*G658),0)</f>
        <v>0</v>
      </c>
      <c r="L658" s="62">
        <f>IF(and(A658&lt;questions!$C$19,questions!$C$18="yes"),questions!$C$20,0)</f>
        <v>0</v>
      </c>
      <c r="M658" s="63">
        <f>(Y657+H658)*Lookup!A$26/12</f>
        <v>3046.267345</v>
      </c>
      <c r="N658" s="63">
        <f>if(B658&lt;55, (Z657+I658)*Lookup!B$26/12, (AB657+K658)*Lookup!B$26/12)</f>
        <v>5908.984098</v>
      </c>
      <c r="O658" s="63">
        <f>(AA657+J658)*Lookup!C$26/12</f>
        <v>940.3700287</v>
      </c>
      <c r="P658" s="63">
        <f t="shared" si="8"/>
        <v>30462.67345</v>
      </c>
      <c r="Q658" s="63">
        <f t="shared" si="4"/>
        <v>59089.84098</v>
      </c>
      <c r="R658" s="63">
        <f t="shared" si="5"/>
        <v>9403.700287</v>
      </c>
      <c r="S658" s="64">
        <f t="shared" si="9"/>
        <v>33.33333333</v>
      </c>
      <c r="T658" s="64">
        <f t="shared" si="10"/>
        <v>41.66666667</v>
      </c>
      <c r="U658" s="64">
        <f t="shared" si="11"/>
        <v>0</v>
      </c>
      <c r="V658" s="64">
        <f t="shared" ref="V658:X658" si="666">IF(year($A658)=year($A657), V657+S658, S658)</f>
        <v>333.3333333</v>
      </c>
      <c r="W658" s="64">
        <f t="shared" si="666"/>
        <v>416.6666667</v>
      </c>
      <c r="X658" s="64">
        <f t="shared" si="666"/>
        <v>0</v>
      </c>
      <c r="Y658" s="65">
        <f>IFS(
  B658&lt;55,
    MAX(
      Y657 + IF(MONTH(A658)=12, P658+V658, 0) + H658 - L658
      + MAX(0,
          IF(AA657 &gt;= VLOOKUP(YEAR(A658), Lookup!$Q:$R, 2),
            Z657 + IF(MONTH(A658)=12, Q658+W658, 0) + I658
              + AA657 + IF(MONTH(A658)=12, R658+X658, 0)
              - VLOOKUP(YEAR(A658), Lookup!$Q:$R, 2) + J658,
            Z657 + IF(MONTH(A658)=12, Q658+W658, 0) + I658
          ) - VLOOKUP(YEAR(A658), Lookup!$K:$M, 3)
        ),
    0),
  B658=55,
    IF(Z657&gt;=AD658,
      MAX(Y657 + IF(MONTH(A658)=12, P658+V658, 0) + H658 - L658, 0),
      MAX(MAX(0, Y657-(AD658-Z657)) + IF(MONTH(A658)=12, P658+V658, 0) + H658 - L658, 0)
    ),
  B658&gt;55,
    IF(AB657&gt;=$AH$7,
      MAX(Y657 + IF(MONTH(A658)=12, P658+V658, 0) + H658 - L658 + K658 + Z657, 0),
      MAX(Y657 + IF(MONTH(A658)=12, P658+V658, 0) + H658 - L658, 0)
    )
)</f>
        <v>1462208.326</v>
      </c>
      <c r="Z658" s="65">
        <f>IFS(
  B658&lt;55,
    MIN(
      IF(AA657 &gt;= VLOOKUP(YEAR(A658), Lookup!$Q:$R, 2),
        Z657 + IF(MONTH(A658)=12, Q658+W658, 0) + I658
          + AA657 + IF(MONTH(A658)=12, R658+X658, 0) - VLOOKUP(YEAR(A658), Lookup!$Q:$R, 2) + J658,
        Z657 + IF(MONTH(A658)=12, Q658+W658, 0) + I658
      ),
      VLOOKUP(YEAR(A658), Lookup!$K:$M, 3)
    ),
  B658=55,
    IF(Z657 &gt;= AD658, Z657 - AD658, 0),
  B658&gt;55, 0
)</f>
        <v>0</v>
      </c>
      <c r="AA658" s="65">
        <f>IFS(
  B658&lt;65,
    IF(AA657+J658 &lt; VLOOKUP(YEAR(A658), Lookup!$Q:$R, 2),
      AA657 + IF(MONTH(A658)=12, R657+X657, 0) + J658,
      MIN(
        AA657 + IF(MONTH(A658)=12, R657+X657, 0) + J658 ,
        VLOOKUP(YEAR(A658), Lookup!$Q:$R, 2)
      )
    ),
  B658&gt;=65,
    IF(AA657+J658 &lt; VLOOKUP(questions!$C$5, Lookup!$Q:$R, 2),
      AA657 + IF(MONTH(A658)=12, R657+X657, 0) + J658 ,
      MIN(
        AA657 + IF(MONTH(A658)=12, R657+X657, 0) + J658,
        VLOOKUP(questions!$C$5, Lookup!$Q:$R, 2)
      )
    )
)</f>
        <v>282111.0086</v>
      </c>
      <c r="AB658" s="65">
        <f t="shared" si="13"/>
        <v>1772695.229</v>
      </c>
      <c r="AC658" s="66">
        <f t="array" ref="AC658">IFS(B658&lt;66, XLOOKUP(year(A658),Lookup!$K$13:$K1000,Lookup!$L$13:$L1000,"missing",,1),B658&gt;65,XLOOKUP(questions!$C$5,Lookup!$K$13:$K1000,Lookup!$L$13:$L1000,"missing",,1))</f>
        <v>393675.3633</v>
      </c>
      <c r="AD658" s="66">
        <f t="array" ref="AD658">IFS(B658&lt;66, XLOOKUP(year(A658),Lookup!$K$13:$K1000,Lookup!$M$13:$M1000,"missing",,1),B658&gt;65, XLOOKUP(questions!$C$5,Lookup!$K$13:$K1000,Lookup!$M$13:$M1000,"missing",,1))</f>
        <v>787350.7266</v>
      </c>
      <c r="AE658" s="66">
        <f t="array" ref="AE658">IFS(B658&lt;66, XLOOKUP(year(A658),Lookup!$K$13:$K1000,Lookup!$N$13:$N1000,"missing",,1),B658&gt;65,XLOOKUP(questions!$C$5,Lookup!$K$13:$K1000,Lookup!$N$13:$N1000,"missing",,1))</f>
        <v>1574701.453</v>
      </c>
      <c r="AF658" s="37"/>
      <c r="AG658" s="37"/>
      <c r="AH658" s="37"/>
      <c r="AI658" s="37"/>
      <c r="AJ658" s="37"/>
      <c r="AK658" s="37"/>
      <c r="AL658" s="37"/>
      <c r="AM658" s="37"/>
      <c r="AN658" s="37"/>
      <c r="AO658" s="37"/>
      <c r="AP658" s="37"/>
      <c r="AQ658" s="37"/>
    </row>
    <row r="659">
      <c r="A659" s="55">
        <f t="shared" si="7"/>
        <v>66080</v>
      </c>
      <c r="B659" s="56">
        <f>round(YEARFRAC(EOMONTH(questions!$C$3, 0),A659,1),2)</f>
        <v>82</v>
      </c>
      <c r="C659" s="58">
        <f>IF(B659&lt;questions!$C$6,if(MONTH(A659)=1,C658*(1+questions!$C$12),C658),0)</f>
        <v>0</v>
      </c>
      <c r="D659" s="58">
        <f>IF(MONTH(A659)=12,C659*questions!$C$11,0)</f>
        <v>0</v>
      </c>
      <c r="E659" s="71">
        <f t="shared" si="2"/>
        <v>0</v>
      </c>
      <c r="F659" s="71">
        <f t="shared" si="3"/>
        <v>0</v>
      </c>
      <c r="G659" s="61">
        <f t="array" ref="G659">if(YEAR(A659)=2025,XLOOKUP(B659,Lookup!$A$3:$A$7,Lookup!$D$3:$D$7,,1)*SUM(E659:F659), XLOOKUP(B659,Lookup!$A$14:$A$18,Lookup!$D$14:$D$18,,1)*SUM(E659:F659))</f>
        <v>0</v>
      </c>
      <c r="H659" s="61">
        <f t="array" ref="H659">if(YEAR(A659)=2025,XLOOKUP(B659,Lookup!$F$3:$F$10,Lookup!$G$3:$G$10,,1)*G659, XLOOKUP(B659,Lookup!$F$14:$F$21,Lookup!$G$14:$G$21,,1)*G659)</f>
        <v>0</v>
      </c>
      <c r="I659" s="61">
        <f t="array" ref="I659">if(B659&lt;55, if(YEAR(A659)=2025,XLOOKUP(B659,Lookup!$F$3:$F$10,Lookup!$H$3:$H$10,,1)*G659, XLOOKUP(B659,Lookup!$F$14:$F$21,Lookup!$H$14:$H$21,,1)*G659),0)</f>
        <v>0</v>
      </c>
      <c r="J659" s="61">
        <f t="array" ref="J659">if(YEAR(A659)=2025,XLOOKUP(B659,Lookup!$F$3:$F$10,Lookup!$I$3:$I$10,,1)*G659, XLOOKUP(B659,Lookup!$F$14:$F$21,Lookup!$I$14:$I$21,,1)*G659)</f>
        <v>0</v>
      </c>
      <c r="K659" s="61">
        <f t="array" ref="K659">if(B659&gt;54, if(YEAR(A659)=2025,XLOOKUP(B659,Lookup!$F$3:$F$10,Lookup!$H$3:$H$10,,1)*G659, XLOOKUP(B659,Lookup!$F$14:$F$21,Lookup!$H$14:$H$21,,1)*G659),0)</f>
        <v>0</v>
      </c>
      <c r="L659" s="62">
        <f>IF(and(A659&lt;questions!$C$19,questions!$C$18="yes"),questions!$C$20,0)</f>
        <v>0</v>
      </c>
      <c r="M659" s="63">
        <f>(Y658+H659)*Lookup!A$26/12</f>
        <v>3046.267345</v>
      </c>
      <c r="N659" s="63">
        <f>if(B659&lt;55, (Z658+I659)*Lookup!B$26/12, (AB658+K659)*Lookup!B$26/12)</f>
        <v>5908.984098</v>
      </c>
      <c r="O659" s="63">
        <f>(AA658+J659)*Lookup!C$26/12</f>
        <v>940.3700287</v>
      </c>
      <c r="P659" s="63">
        <f t="shared" si="8"/>
        <v>33508.94079</v>
      </c>
      <c r="Q659" s="63">
        <f t="shared" si="4"/>
        <v>64998.82508</v>
      </c>
      <c r="R659" s="63">
        <f t="shared" si="5"/>
        <v>10344.07032</v>
      </c>
      <c r="S659" s="64">
        <f t="shared" si="9"/>
        <v>33.33333333</v>
      </c>
      <c r="T659" s="64">
        <f t="shared" si="10"/>
        <v>41.66666667</v>
      </c>
      <c r="U659" s="64">
        <f t="shared" si="11"/>
        <v>0</v>
      </c>
      <c r="V659" s="64">
        <f t="shared" ref="V659:X659" si="667">IF(year($A659)=year($A658), V658+S659, S659)</f>
        <v>366.6666667</v>
      </c>
      <c r="W659" s="64">
        <f t="shared" si="667"/>
        <v>458.3333333</v>
      </c>
      <c r="X659" s="64">
        <f t="shared" si="667"/>
        <v>0</v>
      </c>
      <c r="Y659" s="65">
        <f>IFS(
  B659&lt;55,
    MAX(
      Y658 + IF(MONTH(A659)=12, P659+V659, 0) + H659 - L659
      + MAX(0,
          IF(AA658 &gt;= VLOOKUP(YEAR(A659), Lookup!$Q:$R, 2),
            Z658 + IF(MONTH(A659)=12, Q659+W659, 0) + I659
              + AA658 + IF(MONTH(A659)=12, R659+X659, 0)
              - VLOOKUP(YEAR(A659), Lookup!$Q:$R, 2) + J659,
            Z658 + IF(MONTH(A659)=12, Q659+W659, 0) + I659
          ) - VLOOKUP(YEAR(A659), Lookup!$K:$M, 3)
        ),
    0),
  B659=55,
    IF(Z658&gt;=AD659,
      MAX(Y658 + IF(MONTH(A659)=12, P659+V659, 0) + H659 - L659, 0),
      MAX(MAX(0, Y658-(AD659-Z658)) + IF(MONTH(A659)=12, P659+V659, 0) + H659 - L659, 0)
    ),
  B659&gt;55,
    IF(AB658&gt;=$AH$7,
      MAX(Y658 + IF(MONTH(A659)=12, P659+V659, 0) + H659 - L659 + K659 + Z658, 0),
      MAX(Y658 + IF(MONTH(A659)=12, P659+V659, 0) + H659 - L659, 0)
    )
)</f>
        <v>1462208.326</v>
      </c>
      <c r="Z659" s="65">
        <f>IFS(
  B659&lt;55,
    MIN(
      IF(AA658 &gt;= VLOOKUP(YEAR(A659), Lookup!$Q:$R, 2),
        Z658 + IF(MONTH(A659)=12, Q659+W659, 0) + I659
          + AA658 + IF(MONTH(A659)=12, R659+X659, 0) - VLOOKUP(YEAR(A659), Lookup!$Q:$R, 2) + J659,
        Z658 + IF(MONTH(A659)=12, Q659+W659, 0) + I659
      ),
      VLOOKUP(YEAR(A659), Lookup!$K:$M, 3)
    ),
  B659=55,
    IF(Z658 &gt;= AD659, Z658 - AD659, 0),
  B659&gt;55, 0
)</f>
        <v>0</v>
      </c>
      <c r="AA659" s="65">
        <f>IFS(
  B659&lt;65,
    IF(AA658+J659 &lt; VLOOKUP(YEAR(A659), Lookup!$Q:$R, 2),
      AA658 + IF(MONTH(A659)=12, R658+X658, 0) + J659,
      MIN(
        AA658 + IF(MONTH(A659)=12, R658+X658, 0) + J659 ,
        VLOOKUP(YEAR(A659), Lookup!$Q:$R, 2)
      )
    ),
  B659&gt;=65,
    IF(AA658+J659 &lt; VLOOKUP(questions!$C$5, Lookup!$Q:$R, 2),
      AA658 + IF(MONTH(A659)=12, R658+X658, 0) + J659 ,
      MIN(
        AA658 + IF(MONTH(A659)=12, R658+X658, 0) + J659,
        VLOOKUP(questions!$C$5, Lookup!$Q:$R, 2)
      )
    )
)</f>
        <v>282111.0086</v>
      </c>
      <c r="AB659" s="65">
        <f t="shared" si="13"/>
        <v>1772695.229</v>
      </c>
      <c r="AC659" s="66">
        <f t="array" ref="AC659">IFS(B659&lt;66, XLOOKUP(year(A659),Lookup!$K$13:$K1000,Lookup!$L$13:$L1000,"missing",,1),B659&gt;65,XLOOKUP(questions!$C$5,Lookup!$K$13:$K1000,Lookup!$L$13:$L1000,"missing",,1))</f>
        <v>393675.3633</v>
      </c>
      <c r="AD659" s="66">
        <f t="array" ref="AD659">IFS(B659&lt;66, XLOOKUP(year(A659),Lookup!$K$13:$K1000,Lookup!$M$13:$M1000,"missing",,1),B659&gt;65, XLOOKUP(questions!$C$5,Lookup!$K$13:$K1000,Lookup!$M$13:$M1000,"missing",,1))</f>
        <v>787350.7266</v>
      </c>
      <c r="AE659" s="66">
        <f t="array" ref="AE659">IFS(B659&lt;66, XLOOKUP(year(A659),Lookup!$K$13:$K1000,Lookup!$N$13:$N1000,"missing",,1),B659&gt;65,XLOOKUP(questions!$C$5,Lookup!$K$13:$K1000,Lookup!$N$13:$N1000,"missing",,1))</f>
        <v>1574701.453</v>
      </c>
      <c r="AF659" s="37"/>
      <c r="AG659" s="37"/>
      <c r="AH659" s="37"/>
      <c r="AI659" s="37"/>
      <c r="AJ659" s="37"/>
      <c r="AK659" s="37"/>
      <c r="AL659" s="37"/>
      <c r="AM659" s="37"/>
      <c r="AN659" s="37"/>
      <c r="AO659" s="37"/>
      <c r="AP659" s="37"/>
      <c r="AQ659" s="37"/>
    </row>
    <row r="660">
      <c r="A660" s="55">
        <f t="shared" si="7"/>
        <v>66111</v>
      </c>
      <c r="B660" s="56">
        <f>round(YEARFRAC(EOMONTH(questions!$C$3, 0),A660,1),2)</f>
        <v>82.08</v>
      </c>
      <c r="C660" s="58">
        <f>IF(B660&lt;questions!$C$6,if(MONTH(A660)=1,C659*(1+questions!$C$12),C659),0)</f>
        <v>0</v>
      </c>
      <c r="D660" s="58">
        <f>IF(MONTH(A660)=12,C660*questions!$C$11,0)</f>
        <v>0</v>
      </c>
      <c r="E660" s="71">
        <f t="shared" si="2"/>
        <v>0</v>
      </c>
      <c r="F660" s="71">
        <f t="shared" si="3"/>
        <v>0</v>
      </c>
      <c r="G660" s="61">
        <f t="array" ref="G660">if(YEAR(A660)=2025,XLOOKUP(B660,Lookup!$A$3:$A$7,Lookup!$D$3:$D$7,,1)*SUM(E660:F660), XLOOKUP(B660,Lookup!$A$14:$A$18,Lookup!$D$14:$D$18,,1)*SUM(E660:F660))</f>
        <v>0</v>
      </c>
      <c r="H660" s="61">
        <f t="array" ref="H660">if(YEAR(A660)=2025,XLOOKUP(B660,Lookup!$F$3:$F$10,Lookup!$G$3:$G$10,,1)*G660, XLOOKUP(B660,Lookup!$F$14:$F$21,Lookup!$G$14:$G$21,,1)*G660)</f>
        <v>0</v>
      </c>
      <c r="I660" s="61">
        <f t="array" ref="I660">if(B660&lt;55, if(YEAR(A660)=2025,XLOOKUP(B660,Lookup!$F$3:$F$10,Lookup!$H$3:$H$10,,1)*G660, XLOOKUP(B660,Lookup!$F$14:$F$21,Lookup!$H$14:$H$21,,1)*G660),0)</f>
        <v>0</v>
      </c>
      <c r="J660" s="61">
        <f t="array" ref="J660">if(YEAR(A660)=2025,XLOOKUP(B660,Lookup!$F$3:$F$10,Lookup!$I$3:$I$10,,1)*G660, XLOOKUP(B660,Lookup!$F$14:$F$21,Lookup!$I$14:$I$21,,1)*G660)</f>
        <v>0</v>
      </c>
      <c r="K660" s="61">
        <f t="array" ref="K660">if(B660&gt;54, if(YEAR(A660)=2025,XLOOKUP(B660,Lookup!$F$3:$F$10,Lookup!$H$3:$H$10,,1)*G660, XLOOKUP(B660,Lookup!$F$14:$F$21,Lookup!$H$14:$H$21,,1)*G660),0)</f>
        <v>0</v>
      </c>
      <c r="L660" s="62">
        <f>IF(and(A660&lt;questions!$C$19,questions!$C$18="yes"),questions!$C$20,0)</f>
        <v>0</v>
      </c>
      <c r="M660" s="63">
        <f>(Y659+H660)*Lookup!A$26/12</f>
        <v>3046.267345</v>
      </c>
      <c r="N660" s="63">
        <f>if(B660&lt;55, (Z659+I660)*Lookup!B$26/12, (AB659+K660)*Lookup!B$26/12)</f>
        <v>5908.984098</v>
      </c>
      <c r="O660" s="63">
        <f>(AA659+J660)*Lookup!C$26/12</f>
        <v>940.3700287</v>
      </c>
      <c r="P660" s="63">
        <f t="shared" si="8"/>
        <v>36555.20814</v>
      </c>
      <c r="Q660" s="63">
        <f t="shared" si="4"/>
        <v>70907.80918</v>
      </c>
      <c r="R660" s="63">
        <f t="shared" si="5"/>
        <v>11284.44034</v>
      </c>
      <c r="S660" s="64">
        <f t="shared" si="9"/>
        <v>33.33333333</v>
      </c>
      <c r="T660" s="64">
        <f t="shared" si="10"/>
        <v>41.66666667</v>
      </c>
      <c r="U660" s="64">
        <f t="shared" si="11"/>
        <v>0</v>
      </c>
      <c r="V660" s="64">
        <f t="shared" ref="V660:X660" si="668">IF(year($A660)=year($A659), V659+S660, S660)</f>
        <v>400</v>
      </c>
      <c r="W660" s="64">
        <f t="shared" si="668"/>
        <v>500</v>
      </c>
      <c r="X660" s="64">
        <f t="shared" si="668"/>
        <v>0</v>
      </c>
      <c r="Y660" s="65">
        <f>IFS(
  B660&lt;55,
    MAX(
      Y659 + IF(MONTH(A660)=12, P660+V660, 0) + H660 - L660
      + MAX(0,
          IF(AA659 &gt;= VLOOKUP(YEAR(A660), Lookup!$Q:$R, 2),
            Z659 + IF(MONTH(A660)=12, Q660+W660, 0) + I660
              + AA659 + IF(MONTH(A660)=12, R660+X660, 0)
              - VLOOKUP(YEAR(A660), Lookup!$Q:$R, 2) + J660,
            Z659 + IF(MONTH(A660)=12, Q660+W660, 0) + I660
          ) - VLOOKUP(YEAR(A660), Lookup!$K:$M, 3)
        ),
    0),
  B660=55,
    IF(Z659&gt;=AD660,
      MAX(Y659 + IF(MONTH(A660)=12, P660+V660, 0) + H660 - L660, 0),
      MAX(MAX(0, Y659-(AD660-Z659)) + IF(MONTH(A660)=12, P660+V660, 0) + H660 - L660, 0)
    ),
  B660&gt;55,
    IF(AB659&gt;=$AH$7,
      MAX(Y659 + IF(MONTH(A660)=12, P660+V660, 0) + H660 - L660 + K660 + Z659, 0),
      MAX(Y659 + IF(MONTH(A660)=12, P660+V660, 0) + H660 - L660, 0)
    )
)</f>
        <v>1499163.534</v>
      </c>
      <c r="Z660" s="65">
        <f>IFS(
  B660&lt;55,
    MIN(
      IF(AA659 &gt;= VLOOKUP(YEAR(A660), Lookup!$Q:$R, 2),
        Z659 + IF(MONTH(A660)=12, Q660+W660, 0) + I660
          + AA659 + IF(MONTH(A660)=12, R660+X660, 0) - VLOOKUP(YEAR(A660), Lookup!$Q:$R, 2) + J660,
        Z659 + IF(MONTH(A660)=12, Q660+W660, 0) + I660
      ),
      VLOOKUP(YEAR(A660), Lookup!$K:$M, 3)
    ),
  B660=55,
    IF(Z659 &gt;= AD660, Z659 - AD660, 0),
  B660&gt;55, 0
)</f>
        <v>0</v>
      </c>
      <c r="AA660" s="65">
        <f>IFS(
  B660&lt;65,
    IF(AA659+J660 &lt; VLOOKUP(YEAR(A660), Lookup!$Q:$R, 2),
      AA659 + IF(MONTH(A660)=12, R659+X659, 0) + J660,
      MIN(
        AA659 + IF(MONTH(A660)=12, R659+X659, 0) + J660 ,
        VLOOKUP(YEAR(A660), Lookup!$Q:$R, 2)
      )
    ),
  B660&gt;=65,
    IF(AA659+J660 &lt; VLOOKUP(questions!$C$5, Lookup!$Q:$R, 2),
      AA659 + IF(MONTH(A660)=12, R659+X659, 0) + J660 ,
      MIN(
        AA659 + IF(MONTH(A660)=12, R659+X659, 0) + J660,
        VLOOKUP(questions!$C$5, Lookup!$Q:$R, 2)
      )
    )
)</f>
        <v>282111.0086</v>
      </c>
      <c r="AB660" s="65">
        <f t="shared" si="13"/>
        <v>1844103.039</v>
      </c>
      <c r="AC660" s="66">
        <f t="array" ref="AC660">IFS(B660&lt;66, XLOOKUP(year(A660),Lookup!$K$13:$K1000,Lookup!$L$13:$L1000,"missing",,1),B660&gt;65,XLOOKUP(questions!$C$5,Lookup!$K$13:$K1000,Lookup!$L$13:$L1000,"missing",,1))</f>
        <v>393675.3633</v>
      </c>
      <c r="AD660" s="66">
        <f t="array" ref="AD660">IFS(B660&lt;66, XLOOKUP(year(A660),Lookup!$K$13:$K1000,Lookup!$M$13:$M1000,"missing",,1),B660&gt;65, XLOOKUP(questions!$C$5,Lookup!$K$13:$K1000,Lookup!$M$13:$M1000,"missing",,1))</f>
        <v>787350.7266</v>
      </c>
      <c r="AE660" s="66">
        <f t="array" ref="AE660">IFS(B660&lt;66, XLOOKUP(year(A660),Lookup!$K$13:$K1000,Lookup!$N$13:$N1000,"missing",,1),B660&gt;65,XLOOKUP(questions!$C$5,Lookup!$K$13:$K1000,Lookup!$N$13:$N1000,"missing",,1))</f>
        <v>1574701.453</v>
      </c>
      <c r="AF660" s="37"/>
      <c r="AG660" s="37"/>
      <c r="AH660" s="37"/>
      <c r="AI660" s="37"/>
      <c r="AJ660" s="37"/>
      <c r="AK660" s="37"/>
      <c r="AL660" s="37"/>
      <c r="AM660" s="37"/>
      <c r="AN660" s="37"/>
      <c r="AO660" s="37"/>
      <c r="AP660" s="37"/>
      <c r="AQ660" s="37"/>
    </row>
    <row r="661">
      <c r="A661" s="55">
        <f t="shared" si="7"/>
        <v>66142</v>
      </c>
      <c r="B661" s="56">
        <f>round(YEARFRAC(EOMONTH(questions!$C$3, 0),A661,1),2)</f>
        <v>82.17</v>
      </c>
      <c r="C661" s="58">
        <f>IF(B661&lt;questions!$C$6,if(MONTH(A661)=1,C660*(1+questions!$C$12),C660),0)</f>
        <v>0</v>
      </c>
      <c r="D661" s="58">
        <f>IF(MONTH(A661)=12,C661*questions!$C$11,0)</f>
        <v>0</v>
      </c>
      <c r="E661" s="71">
        <f t="shared" si="2"/>
        <v>0</v>
      </c>
      <c r="F661" s="71">
        <f t="shared" si="3"/>
        <v>0</v>
      </c>
      <c r="G661" s="61">
        <f t="array" ref="G661">if(YEAR(A661)=2025,XLOOKUP(B661,Lookup!$A$3:$A$7,Lookup!$D$3:$D$7,,1)*SUM(E661:F661), XLOOKUP(B661,Lookup!$A$14:$A$18,Lookup!$D$14:$D$18,,1)*SUM(E661:F661))</f>
        <v>0</v>
      </c>
      <c r="H661" s="61">
        <f t="array" ref="H661">if(YEAR(A661)=2025,XLOOKUP(B661,Lookup!$F$3:$F$10,Lookup!$G$3:$G$10,,1)*G661, XLOOKUP(B661,Lookup!$F$14:$F$21,Lookup!$G$14:$G$21,,1)*G661)</f>
        <v>0</v>
      </c>
      <c r="I661" s="61">
        <f t="array" ref="I661">if(B661&lt;55, if(YEAR(A661)=2025,XLOOKUP(B661,Lookup!$F$3:$F$10,Lookup!$H$3:$H$10,,1)*G661, XLOOKUP(B661,Lookup!$F$14:$F$21,Lookup!$H$14:$H$21,,1)*G661),0)</f>
        <v>0</v>
      </c>
      <c r="J661" s="61">
        <f t="array" ref="J661">if(YEAR(A661)=2025,XLOOKUP(B661,Lookup!$F$3:$F$10,Lookup!$I$3:$I$10,,1)*G661, XLOOKUP(B661,Lookup!$F$14:$F$21,Lookup!$I$14:$I$21,,1)*G661)</f>
        <v>0</v>
      </c>
      <c r="K661" s="61">
        <f t="array" ref="K661">if(B661&gt;54, if(YEAR(A661)=2025,XLOOKUP(B661,Lookup!$F$3:$F$10,Lookup!$H$3:$H$10,,1)*G661, XLOOKUP(B661,Lookup!$F$14:$F$21,Lookup!$H$14:$H$21,,1)*G661),0)</f>
        <v>0</v>
      </c>
      <c r="L661" s="62">
        <f>IF(and(A661&lt;questions!$C$19,questions!$C$18="yes"),questions!$C$20,0)</f>
        <v>0</v>
      </c>
      <c r="M661" s="63">
        <f>(Y660+H661)*Lookup!A$26/12</f>
        <v>3123.257362</v>
      </c>
      <c r="N661" s="63">
        <f>if(B661&lt;55, (Z660+I661)*Lookup!B$26/12, (AB660+K661)*Lookup!B$26/12)</f>
        <v>6147.010129</v>
      </c>
      <c r="O661" s="63">
        <f>(AA660+J661)*Lookup!C$26/12</f>
        <v>940.3700287</v>
      </c>
      <c r="P661" s="63">
        <f t="shared" si="8"/>
        <v>3123.257362</v>
      </c>
      <c r="Q661" s="63">
        <f t="shared" si="4"/>
        <v>6147.010129</v>
      </c>
      <c r="R661" s="63">
        <f t="shared" si="5"/>
        <v>940.3700287</v>
      </c>
      <c r="S661" s="64">
        <f t="shared" si="9"/>
        <v>33.33333333</v>
      </c>
      <c r="T661" s="64">
        <f t="shared" si="10"/>
        <v>41.66666667</v>
      </c>
      <c r="U661" s="64">
        <f t="shared" si="11"/>
        <v>0</v>
      </c>
      <c r="V661" s="64">
        <f t="shared" ref="V661:X661" si="669">IF(year($A661)=year($A660), V660+S661, S661)</f>
        <v>33.33333333</v>
      </c>
      <c r="W661" s="64">
        <f t="shared" si="669"/>
        <v>41.66666667</v>
      </c>
      <c r="X661" s="64">
        <f t="shared" si="669"/>
        <v>0</v>
      </c>
      <c r="Y661" s="65">
        <f>IFS(
  B661&lt;55,
    MAX(
      Y660 + IF(MONTH(A661)=12, P661+V661, 0) + H661 - L661
      + MAX(0,
          IF(AA660 &gt;= VLOOKUP(YEAR(A661), Lookup!$Q:$R, 2),
            Z660 + IF(MONTH(A661)=12, Q661+W661, 0) + I661
              + AA660 + IF(MONTH(A661)=12, R661+X661, 0)
              - VLOOKUP(YEAR(A661), Lookup!$Q:$R, 2) + J661,
            Z660 + IF(MONTH(A661)=12, Q661+W661, 0) + I661
          ) - VLOOKUP(YEAR(A661), Lookup!$K:$M, 3)
        ),
    0),
  B661=55,
    IF(Z660&gt;=AD661,
      MAX(Y660 + IF(MONTH(A661)=12, P661+V661, 0) + H661 - L661, 0),
      MAX(MAX(0, Y660-(AD661-Z660)) + IF(MONTH(A661)=12, P661+V661, 0) + H661 - L661, 0)
    ),
  B661&gt;55,
    IF(AB660&gt;=$AH$7,
      MAX(Y660 + IF(MONTH(A661)=12, P661+V661, 0) + H661 - L661 + K661 + Z660, 0),
      MAX(Y660 + IF(MONTH(A661)=12, P661+V661, 0) + H661 - L661, 0)
    )
)</f>
        <v>1499163.534</v>
      </c>
      <c r="Z661" s="65">
        <f>IFS(
  B661&lt;55,
    MIN(
      IF(AA660 &gt;= VLOOKUP(YEAR(A661), Lookup!$Q:$R, 2),
        Z660 + IF(MONTH(A661)=12, Q661+W661, 0) + I661
          + AA660 + IF(MONTH(A661)=12, R661+X661, 0) - VLOOKUP(YEAR(A661), Lookup!$Q:$R, 2) + J661,
        Z660 + IF(MONTH(A661)=12, Q661+W661, 0) + I661
      ),
      VLOOKUP(YEAR(A661), Lookup!$K:$M, 3)
    ),
  B661=55,
    IF(Z660 &gt;= AD661, Z660 - AD661, 0),
  B661&gt;55, 0
)</f>
        <v>0</v>
      </c>
      <c r="AA661" s="65">
        <f>IFS(
  B661&lt;65,
    IF(AA660+J661 &lt; VLOOKUP(YEAR(A661), Lookup!$Q:$R, 2),
      AA660 + IF(MONTH(A661)=12, R660+X660, 0) + J661,
      MIN(
        AA660 + IF(MONTH(A661)=12, R660+X660, 0) + J661 ,
        VLOOKUP(YEAR(A661), Lookup!$Q:$R, 2)
      )
    ),
  B661&gt;=65,
    IF(AA660+J661 &lt; VLOOKUP(questions!$C$5, Lookup!$Q:$R, 2),
      AA660 + IF(MONTH(A661)=12, R660+X660, 0) + J661 ,
      MIN(
        AA660 + IF(MONTH(A661)=12, R660+X660, 0) + J661,
        VLOOKUP(questions!$C$5, Lookup!$Q:$R, 2)
      )
    )
)</f>
        <v>282111.0086</v>
      </c>
      <c r="AB661" s="65">
        <f t="shared" si="13"/>
        <v>1844103.039</v>
      </c>
      <c r="AC661" s="66">
        <f t="array" ref="AC661">IFS(B661&lt;66, XLOOKUP(year(A661),Lookup!$K$13:$K1000,Lookup!$L$13:$L1000,"missing",,1),B661&gt;65,XLOOKUP(questions!$C$5,Lookup!$K$13:$K1000,Lookup!$L$13:$L1000,"missing",,1))</f>
        <v>393675.3633</v>
      </c>
      <c r="AD661" s="66">
        <f t="array" ref="AD661">IFS(B661&lt;66, XLOOKUP(year(A661),Lookup!$K$13:$K1000,Lookup!$M$13:$M1000,"missing",,1),B661&gt;65, XLOOKUP(questions!$C$5,Lookup!$K$13:$K1000,Lookup!$M$13:$M1000,"missing",,1))</f>
        <v>787350.7266</v>
      </c>
      <c r="AE661" s="66">
        <f t="array" ref="AE661">IFS(B661&lt;66, XLOOKUP(year(A661),Lookup!$K$13:$K1000,Lookup!$N$13:$N1000,"missing",,1),B661&gt;65,XLOOKUP(questions!$C$5,Lookup!$K$13:$K1000,Lookup!$N$13:$N1000,"missing",,1))</f>
        <v>1574701.453</v>
      </c>
      <c r="AF661" s="37"/>
      <c r="AG661" s="37"/>
      <c r="AH661" s="37"/>
      <c r="AI661" s="37"/>
      <c r="AJ661" s="37"/>
      <c r="AK661" s="37"/>
      <c r="AL661" s="37"/>
      <c r="AM661" s="37"/>
      <c r="AN661" s="37"/>
      <c r="AO661" s="37"/>
      <c r="AP661" s="37"/>
      <c r="AQ661" s="37"/>
    </row>
    <row r="662">
      <c r="A662" s="55">
        <f t="shared" si="7"/>
        <v>66170</v>
      </c>
      <c r="B662" s="56">
        <f>round(YEARFRAC(EOMONTH(questions!$C$3, 0),A662,1),2)</f>
        <v>82.25</v>
      </c>
      <c r="C662" s="58">
        <f>IF(B662&lt;questions!$C$6,if(MONTH(A662)=1,C661*(1+questions!$C$12),C661),0)</f>
        <v>0</v>
      </c>
      <c r="D662" s="58">
        <f>IF(MONTH(A662)=12,C662*questions!$C$11,0)</f>
        <v>0</v>
      </c>
      <c r="E662" s="71">
        <f t="shared" si="2"/>
        <v>0</v>
      </c>
      <c r="F662" s="71">
        <f t="shared" si="3"/>
        <v>0</v>
      </c>
      <c r="G662" s="61">
        <f t="array" ref="G662">if(YEAR(A662)=2025,XLOOKUP(B662,Lookup!$A$3:$A$7,Lookup!$D$3:$D$7,,1)*SUM(E662:F662), XLOOKUP(B662,Lookup!$A$14:$A$18,Lookup!$D$14:$D$18,,1)*SUM(E662:F662))</f>
        <v>0</v>
      </c>
      <c r="H662" s="61">
        <f t="array" ref="H662">if(YEAR(A662)=2025,XLOOKUP(B662,Lookup!$F$3:$F$10,Lookup!$G$3:$G$10,,1)*G662, XLOOKUP(B662,Lookup!$F$14:$F$21,Lookup!$G$14:$G$21,,1)*G662)</f>
        <v>0</v>
      </c>
      <c r="I662" s="61">
        <f t="array" ref="I662">if(B662&lt;55, if(YEAR(A662)=2025,XLOOKUP(B662,Lookup!$F$3:$F$10,Lookup!$H$3:$H$10,,1)*G662, XLOOKUP(B662,Lookup!$F$14:$F$21,Lookup!$H$14:$H$21,,1)*G662),0)</f>
        <v>0</v>
      </c>
      <c r="J662" s="61">
        <f t="array" ref="J662">if(YEAR(A662)=2025,XLOOKUP(B662,Lookup!$F$3:$F$10,Lookup!$I$3:$I$10,,1)*G662, XLOOKUP(B662,Lookup!$F$14:$F$21,Lookup!$I$14:$I$21,,1)*G662)</f>
        <v>0</v>
      </c>
      <c r="K662" s="61">
        <f t="array" ref="K662">if(B662&gt;54, if(YEAR(A662)=2025,XLOOKUP(B662,Lookup!$F$3:$F$10,Lookup!$H$3:$H$10,,1)*G662, XLOOKUP(B662,Lookup!$F$14:$F$21,Lookup!$H$14:$H$21,,1)*G662),0)</f>
        <v>0</v>
      </c>
      <c r="L662" s="62">
        <f>IF(and(A662&lt;questions!$C$19,questions!$C$18="yes"),questions!$C$20,0)</f>
        <v>0</v>
      </c>
      <c r="M662" s="63">
        <f>(Y661+H662)*Lookup!A$26/12</f>
        <v>3123.257362</v>
      </c>
      <c r="N662" s="63">
        <f>if(B662&lt;55, (Z661+I662)*Lookup!B$26/12, (AB661+K662)*Lookup!B$26/12)</f>
        <v>6147.010129</v>
      </c>
      <c r="O662" s="63">
        <f>(AA661+J662)*Lookup!C$26/12</f>
        <v>940.3700287</v>
      </c>
      <c r="P662" s="63">
        <f t="shared" si="8"/>
        <v>6246.514724</v>
      </c>
      <c r="Q662" s="63">
        <f t="shared" si="4"/>
        <v>12294.02026</v>
      </c>
      <c r="R662" s="63">
        <f t="shared" si="5"/>
        <v>1880.740057</v>
      </c>
      <c r="S662" s="64">
        <f t="shared" si="9"/>
        <v>33.33333333</v>
      </c>
      <c r="T662" s="64">
        <f t="shared" si="10"/>
        <v>41.66666667</v>
      </c>
      <c r="U662" s="64">
        <f t="shared" si="11"/>
        <v>0</v>
      </c>
      <c r="V662" s="64">
        <f t="shared" ref="V662:X662" si="670">IF(year($A662)=year($A661), V661+S662, S662)</f>
        <v>66.66666667</v>
      </c>
      <c r="W662" s="64">
        <f t="shared" si="670"/>
        <v>83.33333333</v>
      </c>
      <c r="X662" s="64">
        <f t="shared" si="670"/>
        <v>0</v>
      </c>
      <c r="Y662" s="65">
        <f>IFS(
  B662&lt;55,
    MAX(
      Y661 + IF(MONTH(A662)=12, P662+V662, 0) + H662 - L662
      + MAX(0,
          IF(AA661 &gt;= VLOOKUP(YEAR(A662), Lookup!$Q:$R, 2),
            Z661 + IF(MONTH(A662)=12, Q662+W662, 0) + I662
              + AA661 + IF(MONTH(A662)=12, R662+X662, 0)
              - VLOOKUP(YEAR(A662), Lookup!$Q:$R, 2) + J662,
            Z661 + IF(MONTH(A662)=12, Q662+W662, 0) + I662
          ) - VLOOKUP(YEAR(A662), Lookup!$K:$M, 3)
        ),
    0),
  B662=55,
    IF(Z661&gt;=AD662,
      MAX(Y661 + IF(MONTH(A662)=12, P662+V662, 0) + H662 - L662, 0),
      MAX(MAX(0, Y661-(AD662-Z661)) + IF(MONTH(A662)=12, P662+V662, 0) + H662 - L662, 0)
    ),
  B662&gt;55,
    IF(AB661&gt;=$AH$7,
      MAX(Y661 + IF(MONTH(A662)=12, P662+V662, 0) + H662 - L662 + K662 + Z661, 0),
      MAX(Y661 + IF(MONTH(A662)=12, P662+V662, 0) + H662 - L662, 0)
    )
)</f>
        <v>1499163.534</v>
      </c>
      <c r="Z662" s="65">
        <f>IFS(
  B662&lt;55,
    MIN(
      IF(AA661 &gt;= VLOOKUP(YEAR(A662), Lookup!$Q:$R, 2),
        Z661 + IF(MONTH(A662)=12, Q662+W662, 0) + I662
          + AA661 + IF(MONTH(A662)=12, R662+X662, 0) - VLOOKUP(YEAR(A662), Lookup!$Q:$R, 2) + J662,
        Z661 + IF(MONTH(A662)=12, Q662+W662, 0) + I662
      ),
      VLOOKUP(YEAR(A662), Lookup!$K:$M, 3)
    ),
  B662=55,
    IF(Z661 &gt;= AD662, Z661 - AD662, 0),
  B662&gt;55, 0
)</f>
        <v>0</v>
      </c>
      <c r="AA662" s="65">
        <f>IFS(
  B662&lt;65,
    IF(AA661+J662 &lt; VLOOKUP(YEAR(A662), Lookup!$Q:$R, 2),
      AA661 + IF(MONTH(A662)=12, R661+X661, 0) + J662,
      MIN(
        AA661 + IF(MONTH(A662)=12, R661+X661, 0) + J662 ,
        VLOOKUP(YEAR(A662), Lookup!$Q:$R, 2)
      )
    ),
  B662&gt;=65,
    IF(AA661+J662 &lt; VLOOKUP(questions!$C$5, Lookup!$Q:$R, 2),
      AA661 + IF(MONTH(A662)=12, R661+X661, 0) + J662 ,
      MIN(
        AA661 + IF(MONTH(A662)=12, R661+X661, 0) + J662,
        VLOOKUP(questions!$C$5, Lookup!$Q:$R, 2)
      )
    )
)</f>
        <v>282111.0086</v>
      </c>
      <c r="AB662" s="65">
        <f t="shared" si="13"/>
        <v>1844103.039</v>
      </c>
      <c r="AC662" s="66">
        <f t="array" ref="AC662">IFS(B662&lt;66, XLOOKUP(year(A662),Lookup!$K$13:$K1000,Lookup!$L$13:$L1000,"missing",,1),B662&gt;65,XLOOKUP(questions!$C$5,Lookup!$K$13:$K1000,Lookup!$L$13:$L1000,"missing",,1))</f>
        <v>393675.3633</v>
      </c>
      <c r="AD662" s="66">
        <f t="array" ref="AD662">IFS(B662&lt;66, XLOOKUP(year(A662),Lookup!$K$13:$K1000,Lookup!$M$13:$M1000,"missing",,1),B662&gt;65, XLOOKUP(questions!$C$5,Lookup!$K$13:$K1000,Lookup!$M$13:$M1000,"missing",,1))</f>
        <v>787350.7266</v>
      </c>
      <c r="AE662" s="66">
        <f t="array" ref="AE662">IFS(B662&lt;66, XLOOKUP(year(A662),Lookup!$K$13:$K1000,Lookup!$N$13:$N1000,"missing",,1),B662&gt;65,XLOOKUP(questions!$C$5,Lookup!$K$13:$K1000,Lookup!$N$13:$N1000,"missing",,1))</f>
        <v>1574701.453</v>
      </c>
      <c r="AF662" s="37"/>
      <c r="AG662" s="37"/>
      <c r="AH662" s="37"/>
      <c r="AI662" s="37"/>
      <c r="AJ662" s="37"/>
      <c r="AK662" s="37"/>
      <c r="AL662" s="37"/>
      <c r="AM662" s="37"/>
      <c r="AN662" s="37"/>
      <c r="AO662" s="37"/>
      <c r="AP662" s="37"/>
      <c r="AQ662" s="37"/>
    </row>
    <row r="663">
      <c r="A663" s="55">
        <f t="shared" si="7"/>
        <v>66201</v>
      </c>
      <c r="B663" s="56">
        <f>round(YEARFRAC(EOMONTH(questions!$C$3, 0),A663,1),2)</f>
        <v>82.33</v>
      </c>
      <c r="C663" s="58">
        <f>IF(B663&lt;questions!$C$6,if(MONTH(A663)=1,C662*(1+questions!$C$12),C662),0)</f>
        <v>0</v>
      </c>
      <c r="D663" s="58">
        <f>IF(MONTH(A663)=12,C663*questions!$C$11,0)</f>
        <v>0</v>
      </c>
      <c r="E663" s="71">
        <f t="shared" si="2"/>
        <v>0</v>
      </c>
      <c r="F663" s="71">
        <f t="shared" si="3"/>
        <v>0</v>
      </c>
      <c r="G663" s="61">
        <f t="array" ref="G663">if(YEAR(A663)=2025,XLOOKUP(B663,Lookup!$A$3:$A$7,Lookup!$D$3:$D$7,,1)*SUM(E663:F663), XLOOKUP(B663,Lookup!$A$14:$A$18,Lookup!$D$14:$D$18,,1)*SUM(E663:F663))</f>
        <v>0</v>
      </c>
      <c r="H663" s="61">
        <f t="array" ref="H663">if(YEAR(A663)=2025,XLOOKUP(B663,Lookup!$F$3:$F$10,Lookup!$G$3:$G$10,,1)*G663, XLOOKUP(B663,Lookup!$F$14:$F$21,Lookup!$G$14:$G$21,,1)*G663)</f>
        <v>0</v>
      </c>
      <c r="I663" s="61">
        <f t="array" ref="I663">if(B663&lt;55, if(YEAR(A663)=2025,XLOOKUP(B663,Lookup!$F$3:$F$10,Lookup!$H$3:$H$10,,1)*G663, XLOOKUP(B663,Lookup!$F$14:$F$21,Lookup!$H$14:$H$21,,1)*G663),0)</f>
        <v>0</v>
      </c>
      <c r="J663" s="61">
        <f t="array" ref="J663">if(YEAR(A663)=2025,XLOOKUP(B663,Lookup!$F$3:$F$10,Lookup!$I$3:$I$10,,1)*G663, XLOOKUP(B663,Lookup!$F$14:$F$21,Lookup!$I$14:$I$21,,1)*G663)</f>
        <v>0</v>
      </c>
      <c r="K663" s="61">
        <f t="array" ref="K663">if(B663&gt;54, if(YEAR(A663)=2025,XLOOKUP(B663,Lookup!$F$3:$F$10,Lookup!$H$3:$H$10,,1)*G663, XLOOKUP(B663,Lookup!$F$14:$F$21,Lookup!$H$14:$H$21,,1)*G663),0)</f>
        <v>0</v>
      </c>
      <c r="L663" s="62">
        <f>IF(and(A663&lt;questions!$C$19,questions!$C$18="yes"),questions!$C$20,0)</f>
        <v>0</v>
      </c>
      <c r="M663" s="63">
        <f>(Y662+H663)*Lookup!A$26/12</f>
        <v>3123.257362</v>
      </c>
      <c r="N663" s="63">
        <f>if(B663&lt;55, (Z662+I663)*Lookup!B$26/12, (AB662+K663)*Lookup!B$26/12)</f>
        <v>6147.010129</v>
      </c>
      <c r="O663" s="63">
        <f>(AA662+J663)*Lookup!C$26/12</f>
        <v>940.3700287</v>
      </c>
      <c r="P663" s="63">
        <f t="shared" si="8"/>
        <v>9369.772085</v>
      </c>
      <c r="Q663" s="63">
        <f t="shared" si="4"/>
        <v>18441.03039</v>
      </c>
      <c r="R663" s="63">
        <f t="shared" si="5"/>
        <v>2821.110086</v>
      </c>
      <c r="S663" s="64">
        <f t="shared" si="9"/>
        <v>33.33333333</v>
      </c>
      <c r="T663" s="64">
        <f t="shared" si="10"/>
        <v>41.66666667</v>
      </c>
      <c r="U663" s="64">
        <f t="shared" si="11"/>
        <v>0</v>
      </c>
      <c r="V663" s="64">
        <f t="shared" ref="V663:X663" si="671">IF(year($A663)=year($A662), V662+S663, S663)</f>
        <v>100</v>
      </c>
      <c r="W663" s="64">
        <f t="shared" si="671"/>
        <v>125</v>
      </c>
      <c r="X663" s="64">
        <f t="shared" si="671"/>
        <v>0</v>
      </c>
      <c r="Y663" s="65">
        <f>IFS(
  B663&lt;55,
    MAX(
      Y662 + IF(MONTH(A663)=12, P663+V663, 0) + H663 - L663
      + MAX(0,
          IF(AA662 &gt;= VLOOKUP(YEAR(A663), Lookup!$Q:$R, 2),
            Z662 + IF(MONTH(A663)=12, Q663+W663, 0) + I663
              + AA662 + IF(MONTH(A663)=12, R663+X663, 0)
              - VLOOKUP(YEAR(A663), Lookup!$Q:$R, 2) + J663,
            Z662 + IF(MONTH(A663)=12, Q663+W663, 0) + I663
          ) - VLOOKUP(YEAR(A663), Lookup!$K:$M, 3)
        ),
    0),
  B663=55,
    IF(Z662&gt;=AD663,
      MAX(Y662 + IF(MONTH(A663)=12, P663+V663, 0) + H663 - L663, 0),
      MAX(MAX(0, Y662-(AD663-Z662)) + IF(MONTH(A663)=12, P663+V663, 0) + H663 - L663, 0)
    ),
  B663&gt;55,
    IF(AB662&gt;=$AH$7,
      MAX(Y662 + IF(MONTH(A663)=12, P663+V663, 0) + H663 - L663 + K663 + Z662, 0),
      MAX(Y662 + IF(MONTH(A663)=12, P663+V663, 0) + H663 - L663, 0)
    )
)</f>
        <v>1499163.534</v>
      </c>
      <c r="Z663" s="65">
        <f>IFS(
  B663&lt;55,
    MIN(
      IF(AA662 &gt;= VLOOKUP(YEAR(A663), Lookup!$Q:$R, 2),
        Z662 + IF(MONTH(A663)=12, Q663+W663, 0) + I663
          + AA662 + IF(MONTH(A663)=12, R663+X663, 0) - VLOOKUP(YEAR(A663), Lookup!$Q:$R, 2) + J663,
        Z662 + IF(MONTH(A663)=12, Q663+W663, 0) + I663
      ),
      VLOOKUP(YEAR(A663), Lookup!$K:$M, 3)
    ),
  B663=55,
    IF(Z662 &gt;= AD663, Z662 - AD663, 0),
  B663&gt;55, 0
)</f>
        <v>0</v>
      </c>
      <c r="AA663" s="65">
        <f>IFS(
  B663&lt;65,
    IF(AA662+J663 &lt; VLOOKUP(YEAR(A663), Lookup!$Q:$R, 2),
      AA662 + IF(MONTH(A663)=12, R662+X662, 0) + J663,
      MIN(
        AA662 + IF(MONTH(A663)=12, R662+X662, 0) + J663 ,
        VLOOKUP(YEAR(A663), Lookup!$Q:$R, 2)
      )
    ),
  B663&gt;=65,
    IF(AA662+J663 &lt; VLOOKUP(questions!$C$5, Lookup!$Q:$R, 2),
      AA662 + IF(MONTH(A663)=12, R662+X662, 0) + J663 ,
      MIN(
        AA662 + IF(MONTH(A663)=12, R662+X662, 0) + J663,
        VLOOKUP(questions!$C$5, Lookup!$Q:$R, 2)
      )
    )
)</f>
        <v>282111.0086</v>
      </c>
      <c r="AB663" s="65">
        <f t="shared" si="13"/>
        <v>1844103.039</v>
      </c>
      <c r="AC663" s="66">
        <f t="array" ref="AC663">IFS(B663&lt;66, XLOOKUP(year(A663),Lookup!$K$13:$K1000,Lookup!$L$13:$L1000,"missing",,1),B663&gt;65,XLOOKUP(questions!$C$5,Lookup!$K$13:$K1000,Lookup!$L$13:$L1000,"missing",,1))</f>
        <v>393675.3633</v>
      </c>
      <c r="AD663" s="66">
        <f t="array" ref="AD663">IFS(B663&lt;66, XLOOKUP(year(A663),Lookup!$K$13:$K1000,Lookup!$M$13:$M1000,"missing",,1),B663&gt;65, XLOOKUP(questions!$C$5,Lookup!$K$13:$K1000,Lookup!$M$13:$M1000,"missing",,1))</f>
        <v>787350.7266</v>
      </c>
      <c r="AE663" s="66">
        <f t="array" ref="AE663">IFS(B663&lt;66, XLOOKUP(year(A663),Lookup!$K$13:$K1000,Lookup!$N$13:$N1000,"missing",,1),B663&gt;65,XLOOKUP(questions!$C$5,Lookup!$K$13:$K1000,Lookup!$N$13:$N1000,"missing",,1))</f>
        <v>1574701.453</v>
      </c>
      <c r="AF663" s="37"/>
      <c r="AG663" s="37"/>
      <c r="AH663" s="37"/>
      <c r="AI663" s="37"/>
      <c r="AJ663" s="37"/>
      <c r="AK663" s="37"/>
      <c r="AL663" s="37"/>
      <c r="AM663" s="37"/>
      <c r="AN663" s="37"/>
      <c r="AO663" s="37"/>
      <c r="AP663" s="37"/>
      <c r="AQ663" s="37"/>
    </row>
    <row r="664">
      <c r="A664" s="55">
        <f t="shared" si="7"/>
        <v>66231</v>
      </c>
      <c r="B664" s="56">
        <f>round(YEARFRAC(EOMONTH(questions!$C$3, 0),A664,1),2)</f>
        <v>82.41</v>
      </c>
      <c r="C664" s="58">
        <f>IF(B664&lt;questions!$C$6,if(MONTH(A664)=1,C663*(1+questions!$C$12),C663),0)</f>
        <v>0</v>
      </c>
      <c r="D664" s="58">
        <f>IF(MONTH(A664)=12,C664*questions!$C$11,0)</f>
        <v>0</v>
      </c>
      <c r="E664" s="71">
        <f t="shared" si="2"/>
        <v>0</v>
      </c>
      <c r="F664" s="71">
        <f t="shared" si="3"/>
        <v>0</v>
      </c>
      <c r="G664" s="61">
        <f t="array" ref="G664">if(YEAR(A664)=2025,XLOOKUP(B664,Lookup!$A$3:$A$7,Lookup!$D$3:$D$7,,1)*SUM(E664:F664), XLOOKUP(B664,Lookup!$A$14:$A$18,Lookup!$D$14:$D$18,,1)*SUM(E664:F664))</f>
        <v>0</v>
      </c>
      <c r="H664" s="61">
        <f t="array" ref="H664">if(YEAR(A664)=2025,XLOOKUP(B664,Lookup!$F$3:$F$10,Lookup!$G$3:$G$10,,1)*G664, XLOOKUP(B664,Lookup!$F$14:$F$21,Lookup!$G$14:$G$21,,1)*G664)</f>
        <v>0</v>
      </c>
      <c r="I664" s="61">
        <f t="array" ref="I664">if(B664&lt;55, if(YEAR(A664)=2025,XLOOKUP(B664,Lookup!$F$3:$F$10,Lookup!$H$3:$H$10,,1)*G664, XLOOKUP(B664,Lookup!$F$14:$F$21,Lookup!$H$14:$H$21,,1)*G664),0)</f>
        <v>0</v>
      </c>
      <c r="J664" s="61">
        <f t="array" ref="J664">if(YEAR(A664)=2025,XLOOKUP(B664,Lookup!$F$3:$F$10,Lookup!$I$3:$I$10,,1)*G664, XLOOKUP(B664,Lookup!$F$14:$F$21,Lookup!$I$14:$I$21,,1)*G664)</f>
        <v>0</v>
      </c>
      <c r="K664" s="61">
        <f t="array" ref="K664">if(B664&gt;54, if(YEAR(A664)=2025,XLOOKUP(B664,Lookup!$F$3:$F$10,Lookup!$H$3:$H$10,,1)*G664, XLOOKUP(B664,Lookup!$F$14:$F$21,Lookup!$H$14:$H$21,,1)*G664),0)</f>
        <v>0</v>
      </c>
      <c r="L664" s="62">
        <f>IF(and(A664&lt;questions!$C$19,questions!$C$18="yes"),questions!$C$20,0)</f>
        <v>0</v>
      </c>
      <c r="M664" s="63">
        <f>(Y663+H664)*Lookup!A$26/12</f>
        <v>3123.257362</v>
      </c>
      <c r="N664" s="63">
        <f>if(B664&lt;55, (Z663+I664)*Lookup!B$26/12, (AB663+K664)*Lookup!B$26/12)</f>
        <v>6147.010129</v>
      </c>
      <c r="O664" s="63">
        <f>(AA663+J664)*Lookup!C$26/12</f>
        <v>940.3700287</v>
      </c>
      <c r="P664" s="63">
        <f t="shared" si="8"/>
        <v>12493.02945</v>
      </c>
      <c r="Q664" s="63">
        <f t="shared" si="4"/>
        <v>24588.04051</v>
      </c>
      <c r="R664" s="63">
        <f t="shared" si="5"/>
        <v>3761.480115</v>
      </c>
      <c r="S664" s="64">
        <f t="shared" si="9"/>
        <v>33.33333333</v>
      </c>
      <c r="T664" s="64">
        <f t="shared" si="10"/>
        <v>41.66666667</v>
      </c>
      <c r="U664" s="64">
        <f t="shared" si="11"/>
        <v>0</v>
      </c>
      <c r="V664" s="64">
        <f t="shared" ref="V664:X664" si="672">IF(year($A664)=year($A663), V663+S664, S664)</f>
        <v>133.3333333</v>
      </c>
      <c r="W664" s="64">
        <f t="shared" si="672"/>
        <v>166.6666667</v>
      </c>
      <c r="X664" s="64">
        <f t="shared" si="672"/>
        <v>0</v>
      </c>
      <c r="Y664" s="65">
        <f>IFS(
  B664&lt;55,
    MAX(
      Y663 + IF(MONTH(A664)=12, P664+V664, 0) + H664 - L664
      + MAX(0,
          IF(AA663 &gt;= VLOOKUP(YEAR(A664), Lookup!$Q:$R, 2),
            Z663 + IF(MONTH(A664)=12, Q664+W664, 0) + I664
              + AA663 + IF(MONTH(A664)=12, R664+X664, 0)
              - VLOOKUP(YEAR(A664), Lookup!$Q:$R, 2) + J664,
            Z663 + IF(MONTH(A664)=12, Q664+W664, 0) + I664
          ) - VLOOKUP(YEAR(A664), Lookup!$K:$M, 3)
        ),
    0),
  B664=55,
    IF(Z663&gt;=AD664,
      MAX(Y663 + IF(MONTH(A664)=12, P664+V664, 0) + H664 - L664, 0),
      MAX(MAX(0, Y663-(AD664-Z663)) + IF(MONTH(A664)=12, P664+V664, 0) + H664 - L664, 0)
    ),
  B664&gt;55,
    IF(AB663&gt;=$AH$7,
      MAX(Y663 + IF(MONTH(A664)=12, P664+V664, 0) + H664 - L664 + K664 + Z663, 0),
      MAX(Y663 + IF(MONTH(A664)=12, P664+V664, 0) + H664 - L664, 0)
    )
)</f>
        <v>1499163.534</v>
      </c>
      <c r="Z664" s="65">
        <f>IFS(
  B664&lt;55,
    MIN(
      IF(AA663 &gt;= VLOOKUP(YEAR(A664), Lookup!$Q:$R, 2),
        Z663 + IF(MONTH(A664)=12, Q664+W664, 0) + I664
          + AA663 + IF(MONTH(A664)=12, R664+X664, 0) - VLOOKUP(YEAR(A664), Lookup!$Q:$R, 2) + J664,
        Z663 + IF(MONTH(A664)=12, Q664+W664, 0) + I664
      ),
      VLOOKUP(YEAR(A664), Lookup!$K:$M, 3)
    ),
  B664=55,
    IF(Z663 &gt;= AD664, Z663 - AD664, 0),
  B664&gt;55, 0
)</f>
        <v>0</v>
      </c>
      <c r="AA664" s="65">
        <f>IFS(
  B664&lt;65,
    IF(AA663+J664 &lt; VLOOKUP(YEAR(A664), Lookup!$Q:$R, 2),
      AA663 + IF(MONTH(A664)=12, R663+X663, 0) + J664,
      MIN(
        AA663 + IF(MONTH(A664)=12, R663+X663, 0) + J664 ,
        VLOOKUP(YEAR(A664), Lookup!$Q:$R, 2)
      )
    ),
  B664&gt;=65,
    IF(AA663+J664 &lt; VLOOKUP(questions!$C$5, Lookup!$Q:$R, 2),
      AA663 + IF(MONTH(A664)=12, R663+X663, 0) + J664 ,
      MIN(
        AA663 + IF(MONTH(A664)=12, R663+X663, 0) + J664,
        VLOOKUP(questions!$C$5, Lookup!$Q:$R, 2)
      )
    )
)</f>
        <v>282111.0086</v>
      </c>
      <c r="AB664" s="65">
        <f t="shared" si="13"/>
        <v>1844103.039</v>
      </c>
      <c r="AC664" s="66">
        <f t="array" ref="AC664">IFS(B664&lt;66, XLOOKUP(year(A664),Lookup!$K$13:$K1000,Lookup!$L$13:$L1000,"missing",,1),B664&gt;65,XLOOKUP(questions!$C$5,Lookup!$K$13:$K1000,Lookup!$L$13:$L1000,"missing",,1))</f>
        <v>393675.3633</v>
      </c>
      <c r="AD664" s="66">
        <f t="array" ref="AD664">IFS(B664&lt;66, XLOOKUP(year(A664),Lookup!$K$13:$K1000,Lookup!$M$13:$M1000,"missing",,1),B664&gt;65, XLOOKUP(questions!$C$5,Lookup!$K$13:$K1000,Lookup!$M$13:$M1000,"missing",,1))</f>
        <v>787350.7266</v>
      </c>
      <c r="AE664" s="66">
        <f t="array" ref="AE664">IFS(B664&lt;66, XLOOKUP(year(A664),Lookup!$K$13:$K1000,Lookup!$N$13:$N1000,"missing",,1),B664&gt;65,XLOOKUP(questions!$C$5,Lookup!$K$13:$K1000,Lookup!$N$13:$N1000,"missing",,1))</f>
        <v>1574701.453</v>
      </c>
      <c r="AF664" s="37"/>
      <c r="AG664" s="37"/>
      <c r="AH664" s="37"/>
      <c r="AI664" s="37"/>
      <c r="AJ664" s="37"/>
      <c r="AK664" s="37"/>
      <c r="AL664" s="37"/>
      <c r="AM664" s="37"/>
      <c r="AN664" s="37"/>
      <c r="AO664" s="37"/>
      <c r="AP664" s="37"/>
      <c r="AQ664" s="37"/>
    </row>
    <row r="665">
      <c r="A665" s="55">
        <f t="shared" si="7"/>
        <v>66262</v>
      </c>
      <c r="B665" s="56">
        <f>round(YEARFRAC(EOMONTH(questions!$C$3, 0),A665,1),2)</f>
        <v>82.5</v>
      </c>
      <c r="C665" s="58">
        <f>IF(B665&lt;questions!$C$6,if(MONTH(A665)=1,C664*(1+questions!$C$12),C664),0)</f>
        <v>0</v>
      </c>
      <c r="D665" s="58">
        <f>IF(MONTH(A665)=12,C665*questions!$C$11,0)</f>
        <v>0</v>
      </c>
      <c r="E665" s="71">
        <f t="shared" si="2"/>
        <v>0</v>
      </c>
      <c r="F665" s="71">
        <f t="shared" si="3"/>
        <v>0</v>
      </c>
      <c r="G665" s="61">
        <f t="array" ref="G665">if(YEAR(A665)=2025,XLOOKUP(B665,Lookup!$A$3:$A$7,Lookup!$D$3:$D$7,,1)*SUM(E665:F665), XLOOKUP(B665,Lookup!$A$14:$A$18,Lookup!$D$14:$D$18,,1)*SUM(E665:F665))</f>
        <v>0</v>
      </c>
      <c r="H665" s="61">
        <f t="array" ref="H665">if(YEAR(A665)=2025,XLOOKUP(B665,Lookup!$F$3:$F$10,Lookup!$G$3:$G$10,,1)*G665, XLOOKUP(B665,Lookup!$F$14:$F$21,Lookup!$G$14:$G$21,,1)*G665)</f>
        <v>0</v>
      </c>
      <c r="I665" s="61">
        <f t="array" ref="I665">if(B665&lt;55, if(YEAR(A665)=2025,XLOOKUP(B665,Lookup!$F$3:$F$10,Lookup!$H$3:$H$10,,1)*G665, XLOOKUP(B665,Lookup!$F$14:$F$21,Lookup!$H$14:$H$21,,1)*G665),0)</f>
        <v>0</v>
      </c>
      <c r="J665" s="61">
        <f t="array" ref="J665">if(YEAR(A665)=2025,XLOOKUP(B665,Lookup!$F$3:$F$10,Lookup!$I$3:$I$10,,1)*G665, XLOOKUP(B665,Lookup!$F$14:$F$21,Lookup!$I$14:$I$21,,1)*G665)</f>
        <v>0</v>
      </c>
      <c r="K665" s="61">
        <f t="array" ref="K665">if(B665&gt;54, if(YEAR(A665)=2025,XLOOKUP(B665,Lookup!$F$3:$F$10,Lookup!$H$3:$H$10,,1)*G665, XLOOKUP(B665,Lookup!$F$14:$F$21,Lookup!$H$14:$H$21,,1)*G665),0)</f>
        <v>0</v>
      </c>
      <c r="L665" s="62">
        <f>IF(and(A665&lt;questions!$C$19,questions!$C$18="yes"),questions!$C$20,0)</f>
        <v>0</v>
      </c>
      <c r="M665" s="63">
        <f>(Y664+H665)*Lookup!A$26/12</f>
        <v>3123.257362</v>
      </c>
      <c r="N665" s="63">
        <f>if(B665&lt;55, (Z664+I665)*Lookup!B$26/12, (AB664+K665)*Lookup!B$26/12)</f>
        <v>6147.010129</v>
      </c>
      <c r="O665" s="63">
        <f>(AA664+J665)*Lookup!C$26/12</f>
        <v>940.3700287</v>
      </c>
      <c r="P665" s="63">
        <f t="shared" si="8"/>
        <v>15616.28681</v>
      </c>
      <c r="Q665" s="63">
        <f t="shared" si="4"/>
        <v>30735.05064</v>
      </c>
      <c r="R665" s="63">
        <f t="shared" si="5"/>
        <v>4701.850143</v>
      </c>
      <c r="S665" s="64">
        <f t="shared" si="9"/>
        <v>33.33333333</v>
      </c>
      <c r="T665" s="64">
        <f t="shared" si="10"/>
        <v>41.66666667</v>
      </c>
      <c r="U665" s="64">
        <f t="shared" si="11"/>
        <v>0</v>
      </c>
      <c r="V665" s="64">
        <f t="shared" ref="V665:X665" si="673">IF(year($A665)=year($A664), V664+S665, S665)</f>
        <v>166.6666667</v>
      </c>
      <c r="W665" s="64">
        <f t="shared" si="673"/>
        <v>208.3333333</v>
      </c>
      <c r="X665" s="64">
        <f t="shared" si="673"/>
        <v>0</v>
      </c>
      <c r="Y665" s="65">
        <f>IFS(
  B665&lt;55,
    MAX(
      Y664 + IF(MONTH(A665)=12, P665+V665, 0) + H665 - L665
      + MAX(0,
          IF(AA664 &gt;= VLOOKUP(YEAR(A665), Lookup!$Q:$R, 2),
            Z664 + IF(MONTH(A665)=12, Q665+W665, 0) + I665
              + AA664 + IF(MONTH(A665)=12, R665+X665, 0)
              - VLOOKUP(YEAR(A665), Lookup!$Q:$R, 2) + J665,
            Z664 + IF(MONTH(A665)=12, Q665+W665, 0) + I665
          ) - VLOOKUP(YEAR(A665), Lookup!$K:$M, 3)
        ),
    0),
  B665=55,
    IF(Z664&gt;=AD665,
      MAX(Y664 + IF(MONTH(A665)=12, P665+V665, 0) + H665 - L665, 0),
      MAX(MAX(0, Y664-(AD665-Z664)) + IF(MONTH(A665)=12, P665+V665, 0) + H665 - L665, 0)
    ),
  B665&gt;55,
    IF(AB664&gt;=$AH$7,
      MAX(Y664 + IF(MONTH(A665)=12, P665+V665, 0) + H665 - L665 + K665 + Z664, 0),
      MAX(Y664 + IF(MONTH(A665)=12, P665+V665, 0) + H665 - L665, 0)
    )
)</f>
        <v>1499163.534</v>
      </c>
      <c r="Z665" s="65">
        <f>IFS(
  B665&lt;55,
    MIN(
      IF(AA664 &gt;= VLOOKUP(YEAR(A665), Lookup!$Q:$R, 2),
        Z664 + IF(MONTH(A665)=12, Q665+W665, 0) + I665
          + AA664 + IF(MONTH(A665)=12, R665+X665, 0) - VLOOKUP(YEAR(A665), Lookup!$Q:$R, 2) + J665,
        Z664 + IF(MONTH(A665)=12, Q665+W665, 0) + I665
      ),
      VLOOKUP(YEAR(A665), Lookup!$K:$M, 3)
    ),
  B665=55,
    IF(Z664 &gt;= AD665, Z664 - AD665, 0),
  B665&gt;55, 0
)</f>
        <v>0</v>
      </c>
      <c r="AA665" s="65">
        <f>IFS(
  B665&lt;65,
    IF(AA664+J665 &lt; VLOOKUP(YEAR(A665), Lookup!$Q:$R, 2),
      AA664 + IF(MONTH(A665)=12, R664+X664, 0) + J665,
      MIN(
        AA664 + IF(MONTH(A665)=12, R664+X664, 0) + J665 ,
        VLOOKUP(YEAR(A665), Lookup!$Q:$R, 2)
      )
    ),
  B665&gt;=65,
    IF(AA664+J665 &lt; VLOOKUP(questions!$C$5, Lookup!$Q:$R, 2),
      AA664 + IF(MONTH(A665)=12, R664+X664, 0) + J665 ,
      MIN(
        AA664 + IF(MONTH(A665)=12, R664+X664, 0) + J665,
        VLOOKUP(questions!$C$5, Lookup!$Q:$R, 2)
      )
    )
)</f>
        <v>282111.0086</v>
      </c>
      <c r="AB665" s="65">
        <f t="shared" si="13"/>
        <v>1844103.039</v>
      </c>
      <c r="AC665" s="66">
        <f t="array" ref="AC665">IFS(B665&lt;66, XLOOKUP(year(A665),Lookup!$K$13:$K1000,Lookup!$L$13:$L1000,"missing",,1),B665&gt;65,XLOOKUP(questions!$C$5,Lookup!$K$13:$K1000,Lookup!$L$13:$L1000,"missing",,1))</f>
        <v>393675.3633</v>
      </c>
      <c r="AD665" s="66">
        <f t="array" ref="AD665">IFS(B665&lt;66, XLOOKUP(year(A665),Lookup!$K$13:$K1000,Lookup!$M$13:$M1000,"missing",,1),B665&gt;65, XLOOKUP(questions!$C$5,Lookup!$K$13:$K1000,Lookup!$M$13:$M1000,"missing",,1))</f>
        <v>787350.7266</v>
      </c>
      <c r="AE665" s="66">
        <f t="array" ref="AE665">IFS(B665&lt;66, XLOOKUP(year(A665),Lookup!$K$13:$K1000,Lookup!$N$13:$N1000,"missing",,1),B665&gt;65,XLOOKUP(questions!$C$5,Lookup!$K$13:$K1000,Lookup!$N$13:$N1000,"missing",,1))</f>
        <v>1574701.453</v>
      </c>
      <c r="AF665" s="37"/>
      <c r="AG665" s="37"/>
      <c r="AH665" s="37"/>
      <c r="AI665" s="37"/>
      <c r="AJ665" s="37"/>
      <c r="AK665" s="37"/>
      <c r="AL665" s="37"/>
      <c r="AM665" s="37"/>
      <c r="AN665" s="37"/>
      <c r="AO665" s="37"/>
      <c r="AP665" s="37"/>
      <c r="AQ665" s="37"/>
    </row>
    <row r="666">
      <c r="A666" s="55">
        <f t="shared" si="7"/>
        <v>66292</v>
      </c>
      <c r="B666" s="56">
        <f>round(YEARFRAC(EOMONTH(questions!$C$3, 0),A666,1),2)</f>
        <v>82.58</v>
      </c>
      <c r="C666" s="58">
        <f>IF(B666&lt;questions!$C$6,if(MONTH(A666)=1,C665*(1+questions!$C$12),C665),0)</f>
        <v>0</v>
      </c>
      <c r="D666" s="58">
        <f>IF(MONTH(A666)=12,C666*questions!$C$11,0)</f>
        <v>0</v>
      </c>
      <c r="E666" s="71">
        <f t="shared" si="2"/>
        <v>0</v>
      </c>
      <c r="F666" s="71">
        <f t="shared" si="3"/>
        <v>0</v>
      </c>
      <c r="G666" s="61">
        <f t="array" ref="G666">if(YEAR(A666)=2025,XLOOKUP(B666,Lookup!$A$3:$A$7,Lookup!$D$3:$D$7,,1)*SUM(E666:F666), XLOOKUP(B666,Lookup!$A$14:$A$18,Lookup!$D$14:$D$18,,1)*SUM(E666:F666))</f>
        <v>0</v>
      </c>
      <c r="H666" s="61">
        <f t="array" ref="H666">if(YEAR(A666)=2025,XLOOKUP(B666,Lookup!$F$3:$F$10,Lookup!$G$3:$G$10,,1)*G666, XLOOKUP(B666,Lookup!$F$14:$F$21,Lookup!$G$14:$G$21,,1)*G666)</f>
        <v>0</v>
      </c>
      <c r="I666" s="61">
        <f t="array" ref="I666">if(B666&lt;55, if(YEAR(A666)=2025,XLOOKUP(B666,Lookup!$F$3:$F$10,Lookup!$H$3:$H$10,,1)*G666, XLOOKUP(B666,Lookup!$F$14:$F$21,Lookup!$H$14:$H$21,,1)*G666),0)</f>
        <v>0</v>
      </c>
      <c r="J666" s="61">
        <f t="array" ref="J666">if(YEAR(A666)=2025,XLOOKUP(B666,Lookup!$F$3:$F$10,Lookup!$I$3:$I$10,,1)*G666, XLOOKUP(B666,Lookup!$F$14:$F$21,Lookup!$I$14:$I$21,,1)*G666)</f>
        <v>0</v>
      </c>
      <c r="K666" s="61">
        <f t="array" ref="K666">if(B666&gt;54, if(YEAR(A666)=2025,XLOOKUP(B666,Lookup!$F$3:$F$10,Lookup!$H$3:$H$10,,1)*G666, XLOOKUP(B666,Lookup!$F$14:$F$21,Lookup!$H$14:$H$21,,1)*G666),0)</f>
        <v>0</v>
      </c>
      <c r="L666" s="62">
        <f>IF(and(A666&lt;questions!$C$19,questions!$C$18="yes"),questions!$C$20,0)</f>
        <v>0</v>
      </c>
      <c r="M666" s="63">
        <f>(Y665+H666)*Lookup!A$26/12</f>
        <v>3123.257362</v>
      </c>
      <c r="N666" s="63">
        <f>if(B666&lt;55, (Z665+I666)*Lookup!B$26/12, (AB665+K666)*Lookup!B$26/12)</f>
        <v>6147.010129</v>
      </c>
      <c r="O666" s="63">
        <f>(AA665+J666)*Lookup!C$26/12</f>
        <v>940.3700287</v>
      </c>
      <c r="P666" s="63">
        <f t="shared" si="8"/>
        <v>18739.54417</v>
      </c>
      <c r="Q666" s="63">
        <f t="shared" si="4"/>
        <v>36882.06077</v>
      </c>
      <c r="R666" s="63">
        <f t="shared" si="5"/>
        <v>5642.220172</v>
      </c>
      <c r="S666" s="64">
        <f t="shared" si="9"/>
        <v>33.33333333</v>
      </c>
      <c r="T666" s="64">
        <f t="shared" si="10"/>
        <v>41.66666667</v>
      </c>
      <c r="U666" s="64">
        <f t="shared" si="11"/>
        <v>0</v>
      </c>
      <c r="V666" s="64">
        <f t="shared" ref="V666:X666" si="674">IF(year($A666)=year($A665), V665+S666, S666)</f>
        <v>200</v>
      </c>
      <c r="W666" s="64">
        <f t="shared" si="674"/>
        <v>250</v>
      </c>
      <c r="X666" s="64">
        <f t="shared" si="674"/>
        <v>0</v>
      </c>
      <c r="Y666" s="65">
        <f>IFS(
  B666&lt;55,
    MAX(
      Y665 + IF(MONTH(A666)=12, P666+V666, 0) + H666 - L666
      + MAX(0,
          IF(AA665 &gt;= VLOOKUP(YEAR(A666), Lookup!$Q:$R, 2),
            Z665 + IF(MONTH(A666)=12, Q666+W666, 0) + I666
              + AA665 + IF(MONTH(A666)=12, R666+X666, 0)
              - VLOOKUP(YEAR(A666), Lookup!$Q:$R, 2) + J666,
            Z665 + IF(MONTH(A666)=12, Q666+W666, 0) + I666
          ) - VLOOKUP(YEAR(A666), Lookup!$K:$M, 3)
        ),
    0),
  B666=55,
    IF(Z665&gt;=AD666,
      MAX(Y665 + IF(MONTH(A666)=12, P666+V666, 0) + H666 - L666, 0),
      MAX(MAX(0, Y665-(AD666-Z665)) + IF(MONTH(A666)=12, P666+V666, 0) + H666 - L666, 0)
    ),
  B666&gt;55,
    IF(AB665&gt;=$AH$7,
      MAX(Y665 + IF(MONTH(A666)=12, P666+V666, 0) + H666 - L666 + K666 + Z665, 0),
      MAX(Y665 + IF(MONTH(A666)=12, P666+V666, 0) + H666 - L666, 0)
    )
)</f>
        <v>1499163.534</v>
      </c>
      <c r="Z666" s="65">
        <f>IFS(
  B666&lt;55,
    MIN(
      IF(AA665 &gt;= VLOOKUP(YEAR(A666), Lookup!$Q:$R, 2),
        Z665 + IF(MONTH(A666)=12, Q666+W666, 0) + I666
          + AA665 + IF(MONTH(A666)=12, R666+X666, 0) - VLOOKUP(YEAR(A666), Lookup!$Q:$R, 2) + J666,
        Z665 + IF(MONTH(A666)=12, Q666+W666, 0) + I666
      ),
      VLOOKUP(YEAR(A666), Lookup!$K:$M, 3)
    ),
  B666=55,
    IF(Z665 &gt;= AD666, Z665 - AD666, 0),
  B666&gt;55, 0
)</f>
        <v>0</v>
      </c>
      <c r="AA666" s="65">
        <f>IFS(
  B666&lt;65,
    IF(AA665+J666 &lt; VLOOKUP(YEAR(A666), Lookup!$Q:$R, 2),
      AA665 + IF(MONTH(A666)=12, R665+X665, 0) + J666,
      MIN(
        AA665 + IF(MONTH(A666)=12, R665+X665, 0) + J666 ,
        VLOOKUP(YEAR(A666), Lookup!$Q:$R, 2)
      )
    ),
  B666&gt;=65,
    IF(AA665+J666 &lt; VLOOKUP(questions!$C$5, Lookup!$Q:$R, 2),
      AA665 + IF(MONTH(A666)=12, R665+X665, 0) + J666 ,
      MIN(
        AA665 + IF(MONTH(A666)=12, R665+X665, 0) + J666,
        VLOOKUP(questions!$C$5, Lookup!$Q:$R, 2)
      )
    )
)</f>
        <v>282111.0086</v>
      </c>
      <c r="AB666" s="65">
        <f t="shared" si="13"/>
        <v>1844103.039</v>
      </c>
      <c r="AC666" s="66">
        <f t="array" ref="AC666">IFS(B666&lt;66, XLOOKUP(year(A666),Lookup!$K$13:$K1000,Lookup!$L$13:$L1000,"missing",,1),B666&gt;65,XLOOKUP(questions!$C$5,Lookup!$K$13:$K1000,Lookup!$L$13:$L1000,"missing",,1))</f>
        <v>393675.3633</v>
      </c>
      <c r="AD666" s="66">
        <f t="array" ref="AD666">IFS(B666&lt;66, XLOOKUP(year(A666),Lookup!$K$13:$K1000,Lookup!$M$13:$M1000,"missing",,1),B666&gt;65, XLOOKUP(questions!$C$5,Lookup!$K$13:$K1000,Lookup!$M$13:$M1000,"missing",,1))</f>
        <v>787350.7266</v>
      </c>
      <c r="AE666" s="66">
        <f t="array" ref="AE666">IFS(B666&lt;66, XLOOKUP(year(A666),Lookup!$K$13:$K1000,Lookup!$N$13:$N1000,"missing",,1),B666&gt;65,XLOOKUP(questions!$C$5,Lookup!$K$13:$K1000,Lookup!$N$13:$N1000,"missing",,1))</f>
        <v>1574701.453</v>
      </c>
      <c r="AF666" s="37"/>
      <c r="AG666" s="37"/>
      <c r="AH666" s="37"/>
      <c r="AI666" s="37"/>
      <c r="AJ666" s="37"/>
      <c r="AK666" s="37"/>
      <c r="AL666" s="37"/>
      <c r="AM666" s="37"/>
      <c r="AN666" s="37"/>
      <c r="AO666" s="37"/>
      <c r="AP666" s="37"/>
      <c r="AQ666" s="37"/>
    </row>
    <row r="667">
      <c r="A667" s="55">
        <f t="shared" si="7"/>
        <v>66323</v>
      </c>
      <c r="B667" s="56">
        <f>round(YEARFRAC(EOMONTH(questions!$C$3, 0),A667,1),2)</f>
        <v>82.67</v>
      </c>
      <c r="C667" s="58">
        <f>IF(B667&lt;questions!$C$6,if(MONTH(A667)=1,C666*(1+questions!$C$12),C666),0)</f>
        <v>0</v>
      </c>
      <c r="D667" s="58">
        <f>IF(MONTH(A667)=12,C667*questions!$C$11,0)</f>
        <v>0</v>
      </c>
      <c r="E667" s="71">
        <f t="shared" si="2"/>
        <v>0</v>
      </c>
      <c r="F667" s="71">
        <f t="shared" si="3"/>
        <v>0</v>
      </c>
      <c r="G667" s="61">
        <f t="array" ref="G667">if(YEAR(A667)=2025,XLOOKUP(B667,Lookup!$A$3:$A$7,Lookup!$D$3:$D$7,,1)*SUM(E667:F667), XLOOKUP(B667,Lookup!$A$14:$A$18,Lookup!$D$14:$D$18,,1)*SUM(E667:F667))</f>
        <v>0</v>
      </c>
      <c r="H667" s="61">
        <f t="array" ref="H667">if(YEAR(A667)=2025,XLOOKUP(B667,Lookup!$F$3:$F$10,Lookup!$G$3:$G$10,,1)*G667, XLOOKUP(B667,Lookup!$F$14:$F$21,Lookup!$G$14:$G$21,,1)*G667)</f>
        <v>0</v>
      </c>
      <c r="I667" s="61">
        <f t="array" ref="I667">if(B667&lt;55, if(YEAR(A667)=2025,XLOOKUP(B667,Lookup!$F$3:$F$10,Lookup!$H$3:$H$10,,1)*G667, XLOOKUP(B667,Lookup!$F$14:$F$21,Lookup!$H$14:$H$21,,1)*G667),0)</f>
        <v>0</v>
      </c>
      <c r="J667" s="61">
        <f t="array" ref="J667">if(YEAR(A667)=2025,XLOOKUP(B667,Lookup!$F$3:$F$10,Lookup!$I$3:$I$10,,1)*G667, XLOOKUP(B667,Lookup!$F$14:$F$21,Lookup!$I$14:$I$21,,1)*G667)</f>
        <v>0</v>
      </c>
      <c r="K667" s="61">
        <f t="array" ref="K667">if(B667&gt;54, if(YEAR(A667)=2025,XLOOKUP(B667,Lookup!$F$3:$F$10,Lookup!$H$3:$H$10,,1)*G667, XLOOKUP(B667,Lookup!$F$14:$F$21,Lookup!$H$14:$H$21,,1)*G667),0)</f>
        <v>0</v>
      </c>
      <c r="L667" s="62">
        <f>IF(and(A667&lt;questions!$C$19,questions!$C$18="yes"),questions!$C$20,0)</f>
        <v>0</v>
      </c>
      <c r="M667" s="63">
        <f>(Y666+H667)*Lookup!A$26/12</f>
        <v>3123.257362</v>
      </c>
      <c r="N667" s="63">
        <f>if(B667&lt;55, (Z666+I667)*Lookup!B$26/12, (AB666+K667)*Lookup!B$26/12)</f>
        <v>6147.010129</v>
      </c>
      <c r="O667" s="63">
        <f>(AA666+J667)*Lookup!C$26/12</f>
        <v>940.3700287</v>
      </c>
      <c r="P667" s="63">
        <f t="shared" si="8"/>
        <v>21862.80153</v>
      </c>
      <c r="Q667" s="63">
        <f t="shared" si="4"/>
        <v>43029.0709</v>
      </c>
      <c r="R667" s="63">
        <f t="shared" si="5"/>
        <v>6582.590201</v>
      </c>
      <c r="S667" s="64">
        <f t="shared" si="9"/>
        <v>33.33333333</v>
      </c>
      <c r="T667" s="64">
        <f t="shared" si="10"/>
        <v>41.66666667</v>
      </c>
      <c r="U667" s="64">
        <f t="shared" si="11"/>
        <v>0</v>
      </c>
      <c r="V667" s="64">
        <f t="shared" ref="V667:X667" si="675">IF(year($A667)=year($A666), V666+S667, S667)</f>
        <v>233.3333333</v>
      </c>
      <c r="W667" s="64">
        <f t="shared" si="675"/>
        <v>291.6666667</v>
      </c>
      <c r="X667" s="64">
        <f t="shared" si="675"/>
        <v>0</v>
      </c>
      <c r="Y667" s="65">
        <f>IFS(
  B667&lt;55,
    MAX(
      Y666 + IF(MONTH(A667)=12, P667+V667, 0) + H667 - L667
      + MAX(0,
          IF(AA666 &gt;= VLOOKUP(YEAR(A667), Lookup!$Q:$R, 2),
            Z666 + IF(MONTH(A667)=12, Q667+W667, 0) + I667
              + AA666 + IF(MONTH(A667)=12, R667+X667, 0)
              - VLOOKUP(YEAR(A667), Lookup!$Q:$R, 2) + J667,
            Z666 + IF(MONTH(A667)=12, Q667+W667, 0) + I667
          ) - VLOOKUP(YEAR(A667), Lookup!$K:$M, 3)
        ),
    0),
  B667=55,
    IF(Z666&gt;=AD667,
      MAX(Y666 + IF(MONTH(A667)=12, P667+V667, 0) + H667 - L667, 0),
      MAX(MAX(0, Y666-(AD667-Z666)) + IF(MONTH(A667)=12, P667+V667, 0) + H667 - L667, 0)
    ),
  B667&gt;55,
    IF(AB666&gt;=$AH$7,
      MAX(Y666 + IF(MONTH(A667)=12, P667+V667, 0) + H667 - L667 + K667 + Z666, 0),
      MAX(Y666 + IF(MONTH(A667)=12, P667+V667, 0) + H667 - L667, 0)
    )
)</f>
        <v>1499163.534</v>
      </c>
      <c r="Z667" s="65">
        <f>IFS(
  B667&lt;55,
    MIN(
      IF(AA666 &gt;= VLOOKUP(YEAR(A667), Lookup!$Q:$R, 2),
        Z666 + IF(MONTH(A667)=12, Q667+W667, 0) + I667
          + AA666 + IF(MONTH(A667)=12, R667+X667, 0) - VLOOKUP(YEAR(A667), Lookup!$Q:$R, 2) + J667,
        Z666 + IF(MONTH(A667)=12, Q667+W667, 0) + I667
      ),
      VLOOKUP(YEAR(A667), Lookup!$K:$M, 3)
    ),
  B667=55,
    IF(Z666 &gt;= AD667, Z666 - AD667, 0),
  B667&gt;55, 0
)</f>
        <v>0</v>
      </c>
      <c r="AA667" s="65">
        <f>IFS(
  B667&lt;65,
    IF(AA666+J667 &lt; VLOOKUP(YEAR(A667), Lookup!$Q:$R, 2),
      AA666 + IF(MONTH(A667)=12, R666+X666, 0) + J667,
      MIN(
        AA666 + IF(MONTH(A667)=12, R666+X666, 0) + J667 ,
        VLOOKUP(YEAR(A667), Lookup!$Q:$R, 2)
      )
    ),
  B667&gt;=65,
    IF(AA666+J667 &lt; VLOOKUP(questions!$C$5, Lookup!$Q:$R, 2),
      AA666 + IF(MONTH(A667)=12, R666+X666, 0) + J667 ,
      MIN(
        AA666 + IF(MONTH(A667)=12, R666+X666, 0) + J667,
        VLOOKUP(questions!$C$5, Lookup!$Q:$R, 2)
      )
    )
)</f>
        <v>282111.0086</v>
      </c>
      <c r="AB667" s="65">
        <f t="shared" si="13"/>
        <v>1844103.039</v>
      </c>
      <c r="AC667" s="66">
        <f t="array" ref="AC667">IFS(B667&lt;66, XLOOKUP(year(A667),Lookup!$K$13:$K1000,Lookup!$L$13:$L1000,"missing",,1),B667&gt;65,XLOOKUP(questions!$C$5,Lookup!$K$13:$K1000,Lookup!$L$13:$L1000,"missing",,1))</f>
        <v>393675.3633</v>
      </c>
      <c r="AD667" s="66">
        <f t="array" ref="AD667">IFS(B667&lt;66, XLOOKUP(year(A667),Lookup!$K$13:$K1000,Lookup!$M$13:$M1000,"missing",,1),B667&gt;65, XLOOKUP(questions!$C$5,Lookup!$K$13:$K1000,Lookup!$M$13:$M1000,"missing",,1))</f>
        <v>787350.7266</v>
      </c>
      <c r="AE667" s="66">
        <f t="array" ref="AE667">IFS(B667&lt;66, XLOOKUP(year(A667),Lookup!$K$13:$K1000,Lookup!$N$13:$N1000,"missing",,1),B667&gt;65,XLOOKUP(questions!$C$5,Lookup!$K$13:$K1000,Lookup!$N$13:$N1000,"missing",,1))</f>
        <v>1574701.453</v>
      </c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7"/>
      <c r="AQ667" s="37"/>
    </row>
    <row r="668">
      <c r="A668" s="55">
        <f t="shared" si="7"/>
        <v>66354</v>
      </c>
      <c r="B668" s="56">
        <f>round(YEARFRAC(EOMONTH(questions!$C$3, 0),A668,1),2)</f>
        <v>82.75</v>
      </c>
      <c r="C668" s="58">
        <f>IF(B668&lt;questions!$C$6,if(MONTH(A668)=1,C667*(1+questions!$C$12),C667),0)</f>
        <v>0</v>
      </c>
      <c r="D668" s="58">
        <f>IF(MONTH(A668)=12,C668*questions!$C$11,0)</f>
        <v>0</v>
      </c>
      <c r="E668" s="71">
        <f t="shared" si="2"/>
        <v>0</v>
      </c>
      <c r="F668" s="71">
        <f t="shared" si="3"/>
        <v>0</v>
      </c>
      <c r="G668" s="61">
        <f t="array" ref="G668">if(YEAR(A668)=2025,XLOOKUP(B668,Lookup!$A$3:$A$7,Lookup!$D$3:$D$7,,1)*SUM(E668:F668), XLOOKUP(B668,Lookup!$A$14:$A$18,Lookup!$D$14:$D$18,,1)*SUM(E668:F668))</f>
        <v>0</v>
      </c>
      <c r="H668" s="61">
        <f t="array" ref="H668">if(YEAR(A668)=2025,XLOOKUP(B668,Lookup!$F$3:$F$10,Lookup!$G$3:$G$10,,1)*G668, XLOOKUP(B668,Lookup!$F$14:$F$21,Lookup!$G$14:$G$21,,1)*G668)</f>
        <v>0</v>
      </c>
      <c r="I668" s="61">
        <f t="array" ref="I668">if(B668&lt;55, if(YEAR(A668)=2025,XLOOKUP(B668,Lookup!$F$3:$F$10,Lookup!$H$3:$H$10,,1)*G668, XLOOKUP(B668,Lookup!$F$14:$F$21,Lookup!$H$14:$H$21,,1)*G668),0)</f>
        <v>0</v>
      </c>
      <c r="J668" s="61">
        <f t="array" ref="J668">if(YEAR(A668)=2025,XLOOKUP(B668,Lookup!$F$3:$F$10,Lookup!$I$3:$I$10,,1)*G668, XLOOKUP(B668,Lookup!$F$14:$F$21,Lookup!$I$14:$I$21,,1)*G668)</f>
        <v>0</v>
      </c>
      <c r="K668" s="61">
        <f t="array" ref="K668">if(B668&gt;54, if(YEAR(A668)=2025,XLOOKUP(B668,Lookup!$F$3:$F$10,Lookup!$H$3:$H$10,,1)*G668, XLOOKUP(B668,Lookup!$F$14:$F$21,Lookup!$H$14:$H$21,,1)*G668),0)</f>
        <v>0</v>
      </c>
      <c r="L668" s="62">
        <f>IF(and(A668&lt;questions!$C$19,questions!$C$18="yes"),questions!$C$20,0)</f>
        <v>0</v>
      </c>
      <c r="M668" s="63">
        <f>(Y667+H668)*Lookup!A$26/12</f>
        <v>3123.257362</v>
      </c>
      <c r="N668" s="63">
        <f>if(B668&lt;55, (Z667+I668)*Lookup!B$26/12, (AB667+K668)*Lookup!B$26/12)</f>
        <v>6147.010129</v>
      </c>
      <c r="O668" s="63">
        <f>(AA667+J668)*Lookup!C$26/12</f>
        <v>940.3700287</v>
      </c>
      <c r="P668" s="63">
        <f t="shared" si="8"/>
        <v>24986.05889</v>
      </c>
      <c r="Q668" s="63">
        <f t="shared" si="4"/>
        <v>49176.08103</v>
      </c>
      <c r="R668" s="63">
        <f t="shared" si="5"/>
        <v>7522.960229</v>
      </c>
      <c r="S668" s="64">
        <f t="shared" si="9"/>
        <v>33.33333333</v>
      </c>
      <c r="T668" s="64">
        <f t="shared" si="10"/>
        <v>41.66666667</v>
      </c>
      <c r="U668" s="64">
        <f t="shared" si="11"/>
        <v>0</v>
      </c>
      <c r="V668" s="64">
        <f t="shared" ref="V668:X668" si="676">IF(year($A668)=year($A667), V667+S668, S668)</f>
        <v>266.6666667</v>
      </c>
      <c r="W668" s="64">
        <f t="shared" si="676"/>
        <v>333.3333333</v>
      </c>
      <c r="X668" s="64">
        <f t="shared" si="676"/>
        <v>0</v>
      </c>
      <c r="Y668" s="65">
        <f>IFS(
  B668&lt;55,
    MAX(
      Y667 + IF(MONTH(A668)=12, P668+V668, 0) + H668 - L668
      + MAX(0,
          IF(AA667 &gt;= VLOOKUP(YEAR(A668), Lookup!$Q:$R, 2),
            Z667 + IF(MONTH(A668)=12, Q668+W668, 0) + I668
              + AA667 + IF(MONTH(A668)=12, R668+X668, 0)
              - VLOOKUP(YEAR(A668), Lookup!$Q:$R, 2) + J668,
            Z667 + IF(MONTH(A668)=12, Q668+W668, 0) + I668
          ) - VLOOKUP(YEAR(A668), Lookup!$K:$M, 3)
        ),
    0),
  B668=55,
    IF(Z667&gt;=AD668,
      MAX(Y667 + IF(MONTH(A668)=12, P668+V668, 0) + H668 - L668, 0),
      MAX(MAX(0, Y667-(AD668-Z667)) + IF(MONTH(A668)=12, P668+V668, 0) + H668 - L668, 0)
    ),
  B668&gt;55,
    IF(AB667&gt;=$AH$7,
      MAX(Y667 + IF(MONTH(A668)=12, P668+V668, 0) + H668 - L668 + K668 + Z667, 0),
      MAX(Y667 + IF(MONTH(A668)=12, P668+V668, 0) + H668 - L668, 0)
    )
)</f>
        <v>1499163.534</v>
      </c>
      <c r="Z668" s="65">
        <f>IFS(
  B668&lt;55,
    MIN(
      IF(AA667 &gt;= VLOOKUP(YEAR(A668), Lookup!$Q:$R, 2),
        Z667 + IF(MONTH(A668)=12, Q668+W668, 0) + I668
          + AA667 + IF(MONTH(A668)=12, R668+X668, 0) - VLOOKUP(YEAR(A668), Lookup!$Q:$R, 2) + J668,
        Z667 + IF(MONTH(A668)=12, Q668+W668, 0) + I668
      ),
      VLOOKUP(YEAR(A668), Lookup!$K:$M, 3)
    ),
  B668=55,
    IF(Z667 &gt;= AD668, Z667 - AD668, 0),
  B668&gt;55, 0
)</f>
        <v>0</v>
      </c>
      <c r="AA668" s="65">
        <f>IFS(
  B668&lt;65,
    IF(AA667+J668 &lt; VLOOKUP(YEAR(A668), Lookup!$Q:$R, 2),
      AA667 + IF(MONTH(A668)=12, R667+X667, 0) + J668,
      MIN(
        AA667 + IF(MONTH(A668)=12, R667+X667, 0) + J668 ,
        VLOOKUP(YEAR(A668), Lookup!$Q:$R, 2)
      )
    ),
  B668&gt;=65,
    IF(AA667+J668 &lt; VLOOKUP(questions!$C$5, Lookup!$Q:$R, 2),
      AA667 + IF(MONTH(A668)=12, R667+X667, 0) + J668 ,
      MIN(
        AA667 + IF(MONTH(A668)=12, R667+X667, 0) + J668,
        VLOOKUP(questions!$C$5, Lookup!$Q:$R, 2)
      )
    )
)</f>
        <v>282111.0086</v>
      </c>
      <c r="AB668" s="65">
        <f t="shared" si="13"/>
        <v>1844103.039</v>
      </c>
      <c r="AC668" s="66">
        <f t="array" ref="AC668">IFS(B668&lt;66, XLOOKUP(year(A668),Lookup!$K$13:$K1000,Lookup!$L$13:$L1000,"missing",,1),B668&gt;65,XLOOKUP(questions!$C$5,Lookup!$K$13:$K1000,Lookup!$L$13:$L1000,"missing",,1))</f>
        <v>393675.3633</v>
      </c>
      <c r="AD668" s="66">
        <f t="array" ref="AD668">IFS(B668&lt;66, XLOOKUP(year(A668),Lookup!$K$13:$K1000,Lookup!$M$13:$M1000,"missing",,1),B668&gt;65, XLOOKUP(questions!$C$5,Lookup!$K$13:$K1000,Lookup!$M$13:$M1000,"missing",,1))</f>
        <v>787350.7266</v>
      </c>
      <c r="AE668" s="66">
        <f t="array" ref="AE668">IFS(B668&lt;66, XLOOKUP(year(A668),Lookup!$K$13:$K1000,Lookup!$N$13:$N1000,"missing",,1),B668&gt;65,XLOOKUP(questions!$C$5,Lookup!$K$13:$K1000,Lookup!$N$13:$N1000,"missing",,1))</f>
        <v>1574701.453</v>
      </c>
      <c r="AF668" s="37"/>
      <c r="AG668" s="37"/>
      <c r="AH668" s="37"/>
      <c r="AI668" s="37"/>
      <c r="AJ668" s="37"/>
      <c r="AK668" s="37"/>
      <c r="AL668" s="37"/>
      <c r="AM668" s="37"/>
      <c r="AN668" s="37"/>
      <c r="AO668" s="37"/>
      <c r="AP668" s="37"/>
      <c r="AQ668" s="37"/>
    </row>
    <row r="669">
      <c r="A669" s="55">
        <f t="shared" si="7"/>
        <v>66384</v>
      </c>
      <c r="B669" s="56">
        <f>round(YEARFRAC(EOMONTH(questions!$C$3, 0),A669,1),2)</f>
        <v>82.83</v>
      </c>
      <c r="C669" s="58">
        <f>IF(B669&lt;questions!$C$6,if(MONTH(A669)=1,C668*(1+questions!$C$12),C668),0)</f>
        <v>0</v>
      </c>
      <c r="D669" s="58">
        <f>IF(MONTH(A669)=12,C669*questions!$C$11,0)</f>
        <v>0</v>
      </c>
      <c r="E669" s="71">
        <f t="shared" si="2"/>
        <v>0</v>
      </c>
      <c r="F669" s="71">
        <f t="shared" si="3"/>
        <v>0</v>
      </c>
      <c r="G669" s="61">
        <f t="array" ref="G669">if(YEAR(A669)=2025,XLOOKUP(B669,Lookup!$A$3:$A$7,Lookup!$D$3:$D$7,,1)*SUM(E669:F669), XLOOKUP(B669,Lookup!$A$14:$A$18,Lookup!$D$14:$D$18,,1)*SUM(E669:F669))</f>
        <v>0</v>
      </c>
      <c r="H669" s="61">
        <f t="array" ref="H669">if(YEAR(A669)=2025,XLOOKUP(B669,Lookup!$F$3:$F$10,Lookup!$G$3:$G$10,,1)*G669, XLOOKUP(B669,Lookup!$F$14:$F$21,Lookup!$G$14:$G$21,,1)*G669)</f>
        <v>0</v>
      </c>
      <c r="I669" s="61">
        <f t="array" ref="I669">if(B669&lt;55, if(YEAR(A669)=2025,XLOOKUP(B669,Lookup!$F$3:$F$10,Lookup!$H$3:$H$10,,1)*G669, XLOOKUP(B669,Lookup!$F$14:$F$21,Lookup!$H$14:$H$21,,1)*G669),0)</f>
        <v>0</v>
      </c>
      <c r="J669" s="61">
        <f t="array" ref="J669">if(YEAR(A669)=2025,XLOOKUP(B669,Lookup!$F$3:$F$10,Lookup!$I$3:$I$10,,1)*G669, XLOOKUP(B669,Lookup!$F$14:$F$21,Lookup!$I$14:$I$21,,1)*G669)</f>
        <v>0</v>
      </c>
      <c r="K669" s="61">
        <f t="array" ref="K669">if(B669&gt;54, if(YEAR(A669)=2025,XLOOKUP(B669,Lookup!$F$3:$F$10,Lookup!$H$3:$H$10,,1)*G669, XLOOKUP(B669,Lookup!$F$14:$F$21,Lookup!$H$14:$H$21,,1)*G669),0)</f>
        <v>0</v>
      </c>
      <c r="L669" s="62">
        <f>IF(and(A669&lt;questions!$C$19,questions!$C$18="yes"),questions!$C$20,0)</f>
        <v>0</v>
      </c>
      <c r="M669" s="63">
        <f>(Y668+H669)*Lookup!A$26/12</f>
        <v>3123.257362</v>
      </c>
      <c r="N669" s="63">
        <f>if(B669&lt;55, (Z668+I669)*Lookup!B$26/12, (AB668+K669)*Lookup!B$26/12)</f>
        <v>6147.010129</v>
      </c>
      <c r="O669" s="63">
        <f>(AA668+J669)*Lookup!C$26/12</f>
        <v>940.3700287</v>
      </c>
      <c r="P669" s="63">
        <f t="shared" si="8"/>
        <v>28109.31626</v>
      </c>
      <c r="Q669" s="63">
        <f t="shared" si="4"/>
        <v>55323.09116</v>
      </c>
      <c r="R669" s="63">
        <f t="shared" si="5"/>
        <v>8463.330258</v>
      </c>
      <c r="S669" s="64">
        <f t="shared" si="9"/>
        <v>33.33333333</v>
      </c>
      <c r="T669" s="64">
        <f t="shared" si="10"/>
        <v>41.66666667</v>
      </c>
      <c r="U669" s="64">
        <f t="shared" si="11"/>
        <v>0</v>
      </c>
      <c r="V669" s="64">
        <f t="shared" ref="V669:X669" si="677">IF(year($A669)=year($A668), V668+S669, S669)</f>
        <v>300</v>
      </c>
      <c r="W669" s="64">
        <f t="shared" si="677"/>
        <v>375</v>
      </c>
      <c r="X669" s="64">
        <f t="shared" si="677"/>
        <v>0</v>
      </c>
      <c r="Y669" s="65">
        <f>IFS(
  B669&lt;55,
    MAX(
      Y668 + IF(MONTH(A669)=12, P669+V669, 0) + H669 - L669
      + MAX(0,
          IF(AA668 &gt;= VLOOKUP(YEAR(A669), Lookup!$Q:$R, 2),
            Z668 + IF(MONTH(A669)=12, Q669+W669, 0) + I669
              + AA668 + IF(MONTH(A669)=12, R669+X669, 0)
              - VLOOKUP(YEAR(A669), Lookup!$Q:$R, 2) + J669,
            Z668 + IF(MONTH(A669)=12, Q669+W669, 0) + I669
          ) - VLOOKUP(YEAR(A669), Lookup!$K:$M, 3)
        ),
    0),
  B669=55,
    IF(Z668&gt;=AD669,
      MAX(Y668 + IF(MONTH(A669)=12, P669+V669, 0) + H669 - L669, 0),
      MAX(MAX(0, Y668-(AD669-Z668)) + IF(MONTH(A669)=12, P669+V669, 0) + H669 - L669, 0)
    ),
  B669&gt;55,
    IF(AB668&gt;=$AH$7,
      MAX(Y668 + IF(MONTH(A669)=12, P669+V669, 0) + H669 - L669 + K669 + Z668, 0),
      MAX(Y668 + IF(MONTH(A669)=12, P669+V669, 0) + H669 - L669, 0)
    )
)</f>
        <v>1499163.534</v>
      </c>
      <c r="Z669" s="65">
        <f>IFS(
  B669&lt;55,
    MIN(
      IF(AA668 &gt;= VLOOKUP(YEAR(A669), Lookup!$Q:$R, 2),
        Z668 + IF(MONTH(A669)=12, Q669+W669, 0) + I669
          + AA668 + IF(MONTH(A669)=12, R669+X669, 0) - VLOOKUP(YEAR(A669), Lookup!$Q:$R, 2) + J669,
        Z668 + IF(MONTH(A669)=12, Q669+W669, 0) + I669
      ),
      VLOOKUP(YEAR(A669), Lookup!$K:$M, 3)
    ),
  B669=55,
    IF(Z668 &gt;= AD669, Z668 - AD669, 0),
  B669&gt;55, 0
)</f>
        <v>0</v>
      </c>
      <c r="AA669" s="65">
        <f>IFS(
  B669&lt;65,
    IF(AA668+J669 &lt; VLOOKUP(YEAR(A669), Lookup!$Q:$R, 2),
      AA668 + IF(MONTH(A669)=12, R668+X668, 0) + J669,
      MIN(
        AA668 + IF(MONTH(A669)=12, R668+X668, 0) + J669 ,
        VLOOKUP(YEAR(A669), Lookup!$Q:$R, 2)
      )
    ),
  B669&gt;=65,
    IF(AA668+J669 &lt; VLOOKUP(questions!$C$5, Lookup!$Q:$R, 2),
      AA668 + IF(MONTH(A669)=12, R668+X668, 0) + J669 ,
      MIN(
        AA668 + IF(MONTH(A669)=12, R668+X668, 0) + J669,
        VLOOKUP(questions!$C$5, Lookup!$Q:$R, 2)
      )
    )
)</f>
        <v>282111.0086</v>
      </c>
      <c r="AB669" s="65">
        <f t="shared" si="13"/>
        <v>1844103.039</v>
      </c>
      <c r="AC669" s="66">
        <f t="array" ref="AC669">IFS(B669&lt;66, XLOOKUP(year(A669),Lookup!$K$13:$K1000,Lookup!$L$13:$L1000,"missing",,1),B669&gt;65,XLOOKUP(questions!$C$5,Lookup!$K$13:$K1000,Lookup!$L$13:$L1000,"missing",,1))</f>
        <v>393675.3633</v>
      </c>
      <c r="AD669" s="66">
        <f t="array" ref="AD669">IFS(B669&lt;66, XLOOKUP(year(A669),Lookup!$K$13:$K1000,Lookup!$M$13:$M1000,"missing",,1),B669&gt;65, XLOOKUP(questions!$C$5,Lookup!$K$13:$K1000,Lookup!$M$13:$M1000,"missing",,1))</f>
        <v>787350.7266</v>
      </c>
      <c r="AE669" s="66">
        <f t="array" ref="AE669">IFS(B669&lt;66, XLOOKUP(year(A669),Lookup!$K$13:$K1000,Lookup!$N$13:$N1000,"missing",,1),B669&gt;65,XLOOKUP(questions!$C$5,Lookup!$K$13:$K1000,Lookup!$N$13:$N1000,"missing",,1))</f>
        <v>1574701.453</v>
      </c>
      <c r="AF669" s="37"/>
      <c r="AG669" s="37"/>
      <c r="AH669" s="37"/>
      <c r="AI669" s="37"/>
      <c r="AJ669" s="37"/>
      <c r="AK669" s="37"/>
      <c r="AL669" s="37"/>
      <c r="AM669" s="37"/>
      <c r="AN669" s="37"/>
      <c r="AO669" s="37"/>
      <c r="AP669" s="37"/>
      <c r="AQ669" s="37"/>
    </row>
    <row r="670">
      <c r="A670" s="55">
        <f t="shared" si="7"/>
        <v>66415</v>
      </c>
      <c r="B670" s="56">
        <f>round(YEARFRAC(EOMONTH(questions!$C$3, 0),A670,1),2)</f>
        <v>82.92</v>
      </c>
      <c r="C670" s="58">
        <f>IF(B670&lt;questions!$C$6,if(MONTH(A670)=1,C669*(1+questions!$C$12),C669),0)</f>
        <v>0</v>
      </c>
      <c r="D670" s="58">
        <f>IF(MONTH(A670)=12,C670*questions!$C$11,0)</f>
        <v>0</v>
      </c>
      <c r="E670" s="71">
        <f t="shared" si="2"/>
        <v>0</v>
      </c>
      <c r="F670" s="71">
        <f t="shared" si="3"/>
        <v>0</v>
      </c>
      <c r="G670" s="61">
        <f t="array" ref="G670">if(YEAR(A670)=2025,XLOOKUP(B670,Lookup!$A$3:$A$7,Lookup!$D$3:$D$7,,1)*SUM(E670:F670), XLOOKUP(B670,Lookup!$A$14:$A$18,Lookup!$D$14:$D$18,,1)*SUM(E670:F670))</f>
        <v>0</v>
      </c>
      <c r="H670" s="61">
        <f t="array" ref="H670">if(YEAR(A670)=2025,XLOOKUP(B670,Lookup!$F$3:$F$10,Lookup!$G$3:$G$10,,1)*G670, XLOOKUP(B670,Lookup!$F$14:$F$21,Lookup!$G$14:$G$21,,1)*G670)</f>
        <v>0</v>
      </c>
      <c r="I670" s="61">
        <f t="array" ref="I670">if(B670&lt;55, if(YEAR(A670)=2025,XLOOKUP(B670,Lookup!$F$3:$F$10,Lookup!$H$3:$H$10,,1)*G670, XLOOKUP(B670,Lookup!$F$14:$F$21,Lookup!$H$14:$H$21,,1)*G670),0)</f>
        <v>0</v>
      </c>
      <c r="J670" s="61">
        <f t="array" ref="J670">if(YEAR(A670)=2025,XLOOKUP(B670,Lookup!$F$3:$F$10,Lookup!$I$3:$I$10,,1)*G670, XLOOKUP(B670,Lookup!$F$14:$F$21,Lookup!$I$14:$I$21,,1)*G670)</f>
        <v>0</v>
      </c>
      <c r="K670" s="61">
        <f t="array" ref="K670">if(B670&gt;54, if(YEAR(A670)=2025,XLOOKUP(B670,Lookup!$F$3:$F$10,Lookup!$H$3:$H$10,,1)*G670, XLOOKUP(B670,Lookup!$F$14:$F$21,Lookup!$H$14:$H$21,,1)*G670),0)</f>
        <v>0</v>
      </c>
      <c r="L670" s="62">
        <f>IF(and(A670&lt;questions!$C$19,questions!$C$18="yes"),questions!$C$20,0)</f>
        <v>0</v>
      </c>
      <c r="M670" s="63">
        <f>(Y669+H670)*Lookup!A$26/12</f>
        <v>3123.257362</v>
      </c>
      <c r="N670" s="63">
        <f>if(B670&lt;55, (Z669+I670)*Lookup!B$26/12, (AB669+K670)*Lookup!B$26/12)</f>
        <v>6147.010129</v>
      </c>
      <c r="O670" s="63">
        <f>(AA669+J670)*Lookup!C$26/12</f>
        <v>940.3700287</v>
      </c>
      <c r="P670" s="63">
        <f t="shared" si="8"/>
        <v>31232.57362</v>
      </c>
      <c r="Q670" s="63">
        <f t="shared" si="4"/>
        <v>61470.10129</v>
      </c>
      <c r="R670" s="63">
        <f t="shared" si="5"/>
        <v>9403.700287</v>
      </c>
      <c r="S670" s="64">
        <f t="shared" si="9"/>
        <v>33.33333333</v>
      </c>
      <c r="T670" s="64">
        <f t="shared" si="10"/>
        <v>41.66666667</v>
      </c>
      <c r="U670" s="64">
        <f t="shared" si="11"/>
        <v>0</v>
      </c>
      <c r="V670" s="64">
        <f t="shared" ref="V670:X670" si="678">IF(year($A670)=year($A669), V669+S670, S670)</f>
        <v>333.3333333</v>
      </c>
      <c r="W670" s="64">
        <f t="shared" si="678"/>
        <v>416.6666667</v>
      </c>
      <c r="X670" s="64">
        <f t="shared" si="678"/>
        <v>0</v>
      </c>
      <c r="Y670" s="65">
        <f>IFS(
  B670&lt;55,
    MAX(
      Y669 + IF(MONTH(A670)=12, P670+V670, 0) + H670 - L670
      + MAX(0,
          IF(AA669 &gt;= VLOOKUP(YEAR(A670), Lookup!$Q:$R, 2),
            Z669 + IF(MONTH(A670)=12, Q670+W670, 0) + I670
              + AA669 + IF(MONTH(A670)=12, R670+X670, 0)
              - VLOOKUP(YEAR(A670), Lookup!$Q:$R, 2) + J670,
            Z669 + IF(MONTH(A670)=12, Q670+W670, 0) + I670
          ) - VLOOKUP(YEAR(A670), Lookup!$K:$M, 3)
        ),
    0),
  B670=55,
    IF(Z669&gt;=AD670,
      MAX(Y669 + IF(MONTH(A670)=12, P670+V670, 0) + H670 - L670, 0),
      MAX(MAX(0, Y669-(AD670-Z669)) + IF(MONTH(A670)=12, P670+V670, 0) + H670 - L670, 0)
    ),
  B670&gt;55,
    IF(AB669&gt;=$AH$7,
      MAX(Y669 + IF(MONTH(A670)=12, P670+V670, 0) + H670 - L670 + K670 + Z669, 0),
      MAX(Y669 + IF(MONTH(A670)=12, P670+V670, 0) + H670 - L670, 0)
    )
)</f>
        <v>1499163.534</v>
      </c>
      <c r="Z670" s="65">
        <f>IFS(
  B670&lt;55,
    MIN(
      IF(AA669 &gt;= VLOOKUP(YEAR(A670), Lookup!$Q:$R, 2),
        Z669 + IF(MONTH(A670)=12, Q670+W670, 0) + I670
          + AA669 + IF(MONTH(A670)=12, R670+X670, 0) - VLOOKUP(YEAR(A670), Lookup!$Q:$R, 2) + J670,
        Z669 + IF(MONTH(A670)=12, Q670+W670, 0) + I670
      ),
      VLOOKUP(YEAR(A670), Lookup!$K:$M, 3)
    ),
  B670=55,
    IF(Z669 &gt;= AD670, Z669 - AD670, 0),
  B670&gt;55, 0
)</f>
        <v>0</v>
      </c>
      <c r="AA670" s="65">
        <f>IFS(
  B670&lt;65,
    IF(AA669+J670 &lt; VLOOKUP(YEAR(A670), Lookup!$Q:$R, 2),
      AA669 + IF(MONTH(A670)=12, R669+X669, 0) + J670,
      MIN(
        AA669 + IF(MONTH(A670)=12, R669+X669, 0) + J670 ,
        VLOOKUP(YEAR(A670), Lookup!$Q:$R, 2)
      )
    ),
  B670&gt;=65,
    IF(AA669+J670 &lt; VLOOKUP(questions!$C$5, Lookup!$Q:$R, 2),
      AA669 + IF(MONTH(A670)=12, R669+X669, 0) + J670 ,
      MIN(
        AA669 + IF(MONTH(A670)=12, R669+X669, 0) + J670,
        VLOOKUP(questions!$C$5, Lookup!$Q:$R, 2)
      )
    )
)</f>
        <v>282111.0086</v>
      </c>
      <c r="AB670" s="65">
        <f t="shared" si="13"/>
        <v>1844103.039</v>
      </c>
      <c r="AC670" s="66">
        <f t="array" ref="AC670">IFS(B670&lt;66, XLOOKUP(year(A670),Lookup!$K$13:$K1000,Lookup!$L$13:$L1000,"missing",,1),B670&gt;65,XLOOKUP(questions!$C$5,Lookup!$K$13:$K1000,Lookup!$L$13:$L1000,"missing",,1))</f>
        <v>393675.3633</v>
      </c>
      <c r="AD670" s="66">
        <f t="array" ref="AD670">IFS(B670&lt;66, XLOOKUP(year(A670),Lookup!$K$13:$K1000,Lookup!$M$13:$M1000,"missing",,1),B670&gt;65, XLOOKUP(questions!$C$5,Lookup!$K$13:$K1000,Lookup!$M$13:$M1000,"missing",,1))</f>
        <v>787350.7266</v>
      </c>
      <c r="AE670" s="66">
        <f t="array" ref="AE670">IFS(B670&lt;66, XLOOKUP(year(A670),Lookup!$K$13:$K1000,Lookup!$N$13:$N1000,"missing",,1),B670&gt;65,XLOOKUP(questions!$C$5,Lookup!$K$13:$K1000,Lookup!$N$13:$N1000,"missing",,1))</f>
        <v>1574701.453</v>
      </c>
      <c r="AF670" s="37"/>
      <c r="AG670" s="37"/>
      <c r="AH670" s="37"/>
      <c r="AI670" s="37"/>
      <c r="AJ670" s="37"/>
      <c r="AK670" s="37"/>
      <c r="AL670" s="37"/>
      <c r="AM670" s="37"/>
      <c r="AN670" s="37"/>
      <c r="AO670" s="37"/>
      <c r="AP670" s="37"/>
      <c r="AQ670" s="37"/>
    </row>
    <row r="671">
      <c r="A671" s="55">
        <f t="shared" si="7"/>
        <v>66445</v>
      </c>
      <c r="B671" s="56">
        <f>round(YEARFRAC(EOMONTH(questions!$C$3, 0),A671,1),2)</f>
        <v>83</v>
      </c>
      <c r="C671" s="58">
        <f>IF(B671&lt;questions!$C$6,if(MONTH(A671)=1,C670*(1+questions!$C$12),C670),0)</f>
        <v>0</v>
      </c>
      <c r="D671" s="58">
        <f>IF(MONTH(A671)=12,C671*questions!$C$11,0)</f>
        <v>0</v>
      </c>
      <c r="E671" s="71">
        <f t="shared" si="2"/>
        <v>0</v>
      </c>
      <c r="F671" s="71">
        <f t="shared" si="3"/>
        <v>0</v>
      </c>
      <c r="G671" s="61">
        <f t="array" ref="G671">if(YEAR(A671)=2025,XLOOKUP(B671,Lookup!$A$3:$A$7,Lookup!$D$3:$D$7,,1)*SUM(E671:F671), XLOOKUP(B671,Lookup!$A$14:$A$18,Lookup!$D$14:$D$18,,1)*SUM(E671:F671))</f>
        <v>0</v>
      </c>
      <c r="H671" s="61">
        <f t="array" ref="H671">if(YEAR(A671)=2025,XLOOKUP(B671,Lookup!$F$3:$F$10,Lookup!$G$3:$G$10,,1)*G671, XLOOKUP(B671,Lookup!$F$14:$F$21,Lookup!$G$14:$G$21,,1)*G671)</f>
        <v>0</v>
      </c>
      <c r="I671" s="61">
        <f t="array" ref="I671">if(B671&lt;55, if(YEAR(A671)=2025,XLOOKUP(B671,Lookup!$F$3:$F$10,Lookup!$H$3:$H$10,,1)*G671, XLOOKUP(B671,Lookup!$F$14:$F$21,Lookup!$H$14:$H$21,,1)*G671),0)</f>
        <v>0</v>
      </c>
      <c r="J671" s="61">
        <f t="array" ref="J671">if(YEAR(A671)=2025,XLOOKUP(B671,Lookup!$F$3:$F$10,Lookup!$I$3:$I$10,,1)*G671, XLOOKUP(B671,Lookup!$F$14:$F$21,Lookup!$I$14:$I$21,,1)*G671)</f>
        <v>0</v>
      </c>
      <c r="K671" s="61">
        <f t="array" ref="K671">if(B671&gt;54, if(YEAR(A671)=2025,XLOOKUP(B671,Lookup!$F$3:$F$10,Lookup!$H$3:$H$10,,1)*G671, XLOOKUP(B671,Lookup!$F$14:$F$21,Lookup!$H$14:$H$21,,1)*G671),0)</f>
        <v>0</v>
      </c>
      <c r="L671" s="62">
        <f>IF(and(A671&lt;questions!$C$19,questions!$C$18="yes"),questions!$C$20,0)</f>
        <v>0</v>
      </c>
      <c r="M671" s="63">
        <f>(Y670+H671)*Lookup!A$26/12</f>
        <v>3123.257362</v>
      </c>
      <c r="N671" s="63">
        <f>if(B671&lt;55, (Z670+I671)*Lookup!B$26/12, (AB670+K671)*Lookup!B$26/12)</f>
        <v>6147.010129</v>
      </c>
      <c r="O671" s="63">
        <f>(AA670+J671)*Lookup!C$26/12</f>
        <v>940.3700287</v>
      </c>
      <c r="P671" s="63">
        <f t="shared" si="8"/>
        <v>34355.83098</v>
      </c>
      <c r="Q671" s="63">
        <f t="shared" si="4"/>
        <v>67617.11142</v>
      </c>
      <c r="R671" s="63">
        <f t="shared" si="5"/>
        <v>10344.07032</v>
      </c>
      <c r="S671" s="64">
        <f t="shared" si="9"/>
        <v>33.33333333</v>
      </c>
      <c r="T671" s="64">
        <f t="shared" si="10"/>
        <v>41.66666667</v>
      </c>
      <c r="U671" s="64">
        <f t="shared" si="11"/>
        <v>0</v>
      </c>
      <c r="V671" s="64">
        <f t="shared" ref="V671:X671" si="679">IF(year($A671)=year($A670), V670+S671, S671)</f>
        <v>366.6666667</v>
      </c>
      <c r="W671" s="64">
        <f t="shared" si="679"/>
        <v>458.3333333</v>
      </c>
      <c r="X671" s="64">
        <f t="shared" si="679"/>
        <v>0</v>
      </c>
      <c r="Y671" s="65">
        <f>IFS(
  B671&lt;55,
    MAX(
      Y670 + IF(MONTH(A671)=12, P671+V671, 0) + H671 - L671
      + MAX(0,
          IF(AA670 &gt;= VLOOKUP(YEAR(A671), Lookup!$Q:$R, 2),
            Z670 + IF(MONTH(A671)=12, Q671+W671, 0) + I671
              + AA670 + IF(MONTH(A671)=12, R671+X671, 0)
              - VLOOKUP(YEAR(A671), Lookup!$Q:$R, 2) + J671,
            Z670 + IF(MONTH(A671)=12, Q671+W671, 0) + I671
          ) - VLOOKUP(YEAR(A671), Lookup!$K:$M, 3)
        ),
    0),
  B671=55,
    IF(Z670&gt;=AD671,
      MAX(Y670 + IF(MONTH(A671)=12, P671+V671, 0) + H671 - L671, 0),
      MAX(MAX(0, Y670-(AD671-Z670)) + IF(MONTH(A671)=12, P671+V671, 0) + H671 - L671, 0)
    ),
  B671&gt;55,
    IF(AB670&gt;=$AH$7,
      MAX(Y670 + IF(MONTH(A671)=12, P671+V671, 0) + H671 - L671 + K671 + Z670, 0),
      MAX(Y670 + IF(MONTH(A671)=12, P671+V671, 0) + H671 - L671, 0)
    )
)</f>
        <v>1499163.534</v>
      </c>
      <c r="Z671" s="65">
        <f>IFS(
  B671&lt;55,
    MIN(
      IF(AA670 &gt;= VLOOKUP(YEAR(A671), Lookup!$Q:$R, 2),
        Z670 + IF(MONTH(A671)=12, Q671+W671, 0) + I671
          + AA670 + IF(MONTH(A671)=12, R671+X671, 0) - VLOOKUP(YEAR(A671), Lookup!$Q:$R, 2) + J671,
        Z670 + IF(MONTH(A671)=12, Q671+W671, 0) + I671
      ),
      VLOOKUP(YEAR(A671), Lookup!$K:$M, 3)
    ),
  B671=55,
    IF(Z670 &gt;= AD671, Z670 - AD671, 0),
  B671&gt;55, 0
)</f>
        <v>0</v>
      </c>
      <c r="AA671" s="65">
        <f>IFS(
  B671&lt;65,
    IF(AA670+J671 &lt; VLOOKUP(YEAR(A671), Lookup!$Q:$R, 2),
      AA670 + IF(MONTH(A671)=12, R670+X670, 0) + J671,
      MIN(
        AA670 + IF(MONTH(A671)=12, R670+X670, 0) + J671 ,
        VLOOKUP(YEAR(A671), Lookup!$Q:$R, 2)
      )
    ),
  B671&gt;=65,
    IF(AA670+J671 &lt; VLOOKUP(questions!$C$5, Lookup!$Q:$R, 2),
      AA670 + IF(MONTH(A671)=12, R670+X670, 0) + J671 ,
      MIN(
        AA670 + IF(MONTH(A671)=12, R670+X670, 0) + J671,
        VLOOKUP(questions!$C$5, Lookup!$Q:$R, 2)
      )
    )
)</f>
        <v>282111.0086</v>
      </c>
      <c r="AB671" s="65">
        <f t="shared" si="13"/>
        <v>1844103.039</v>
      </c>
      <c r="AC671" s="66">
        <f t="array" ref="AC671">IFS(B671&lt;66, XLOOKUP(year(A671),Lookup!$K$13:$K1000,Lookup!$L$13:$L1000,"missing",,1),B671&gt;65,XLOOKUP(questions!$C$5,Lookup!$K$13:$K1000,Lookup!$L$13:$L1000,"missing",,1))</f>
        <v>393675.3633</v>
      </c>
      <c r="AD671" s="66">
        <f t="array" ref="AD671">IFS(B671&lt;66, XLOOKUP(year(A671),Lookup!$K$13:$K1000,Lookup!$M$13:$M1000,"missing",,1),B671&gt;65, XLOOKUP(questions!$C$5,Lookup!$K$13:$K1000,Lookup!$M$13:$M1000,"missing",,1))</f>
        <v>787350.7266</v>
      </c>
      <c r="AE671" s="66">
        <f t="array" ref="AE671">IFS(B671&lt;66, XLOOKUP(year(A671),Lookup!$K$13:$K1000,Lookup!$N$13:$N1000,"missing",,1),B671&gt;65,XLOOKUP(questions!$C$5,Lookup!$K$13:$K1000,Lookup!$N$13:$N1000,"missing",,1))</f>
        <v>1574701.453</v>
      </c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7"/>
      <c r="AQ671" s="37"/>
    </row>
    <row r="672">
      <c r="A672" s="55">
        <f t="shared" si="7"/>
        <v>66476</v>
      </c>
      <c r="B672" s="56">
        <f>round(YEARFRAC(EOMONTH(questions!$C$3, 0),A672,1),2)</f>
        <v>83.08</v>
      </c>
      <c r="C672" s="58">
        <f>IF(B672&lt;questions!$C$6,if(MONTH(A672)=1,C671*(1+questions!$C$12),C671),0)</f>
        <v>0</v>
      </c>
      <c r="D672" s="58">
        <f>IF(MONTH(A672)=12,C672*questions!$C$11,0)</f>
        <v>0</v>
      </c>
      <c r="E672" s="71">
        <f t="shared" si="2"/>
        <v>0</v>
      </c>
      <c r="F672" s="71">
        <f t="shared" si="3"/>
        <v>0</v>
      </c>
      <c r="G672" s="61">
        <f t="array" ref="G672">if(YEAR(A672)=2025,XLOOKUP(B672,Lookup!$A$3:$A$7,Lookup!$D$3:$D$7,,1)*SUM(E672:F672), XLOOKUP(B672,Lookup!$A$14:$A$18,Lookup!$D$14:$D$18,,1)*SUM(E672:F672))</f>
        <v>0</v>
      </c>
      <c r="H672" s="61">
        <f t="array" ref="H672">if(YEAR(A672)=2025,XLOOKUP(B672,Lookup!$F$3:$F$10,Lookup!$G$3:$G$10,,1)*G672, XLOOKUP(B672,Lookup!$F$14:$F$21,Lookup!$G$14:$G$21,,1)*G672)</f>
        <v>0</v>
      </c>
      <c r="I672" s="61">
        <f t="array" ref="I672">if(B672&lt;55, if(YEAR(A672)=2025,XLOOKUP(B672,Lookup!$F$3:$F$10,Lookup!$H$3:$H$10,,1)*G672, XLOOKUP(B672,Lookup!$F$14:$F$21,Lookup!$H$14:$H$21,,1)*G672),0)</f>
        <v>0</v>
      </c>
      <c r="J672" s="61">
        <f t="array" ref="J672">if(YEAR(A672)=2025,XLOOKUP(B672,Lookup!$F$3:$F$10,Lookup!$I$3:$I$10,,1)*G672, XLOOKUP(B672,Lookup!$F$14:$F$21,Lookup!$I$14:$I$21,,1)*G672)</f>
        <v>0</v>
      </c>
      <c r="K672" s="61">
        <f t="array" ref="K672">if(B672&gt;54, if(YEAR(A672)=2025,XLOOKUP(B672,Lookup!$F$3:$F$10,Lookup!$H$3:$H$10,,1)*G672, XLOOKUP(B672,Lookup!$F$14:$F$21,Lookup!$H$14:$H$21,,1)*G672),0)</f>
        <v>0</v>
      </c>
      <c r="L672" s="62">
        <f>IF(and(A672&lt;questions!$C$19,questions!$C$18="yes"),questions!$C$20,0)</f>
        <v>0</v>
      </c>
      <c r="M672" s="63">
        <f>(Y671+H672)*Lookup!A$26/12</f>
        <v>3123.257362</v>
      </c>
      <c r="N672" s="63">
        <f>if(B672&lt;55, (Z671+I672)*Lookup!B$26/12, (AB671+K672)*Lookup!B$26/12)</f>
        <v>6147.010129</v>
      </c>
      <c r="O672" s="63">
        <f>(AA671+J672)*Lookup!C$26/12</f>
        <v>940.3700287</v>
      </c>
      <c r="P672" s="63">
        <f t="shared" si="8"/>
        <v>37479.08834</v>
      </c>
      <c r="Q672" s="63">
        <f t="shared" si="4"/>
        <v>73764.12154</v>
      </c>
      <c r="R672" s="63">
        <f t="shared" si="5"/>
        <v>11284.44034</v>
      </c>
      <c r="S672" s="64">
        <f t="shared" si="9"/>
        <v>33.33333333</v>
      </c>
      <c r="T672" s="64">
        <f t="shared" si="10"/>
        <v>41.66666667</v>
      </c>
      <c r="U672" s="64">
        <f t="shared" si="11"/>
        <v>0</v>
      </c>
      <c r="V672" s="64">
        <f t="shared" ref="V672:X672" si="680">IF(year($A672)=year($A671), V671+S672, S672)</f>
        <v>400</v>
      </c>
      <c r="W672" s="64">
        <f t="shared" si="680"/>
        <v>500</v>
      </c>
      <c r="X672" s="64">
        <f t="shared" si="680"/>
        <v>0</v>
      </c>
      <c r="Y672" s="65">
        <f>IFS(
  B672&lt;55,
    MAX(
      Y671 + IF(MONTH(A672)=12, P672+V672, 0) + H672 - L672
      + MAX(0,
          IF(AA671 &gt;= VLOOKUP(YEAR(A672), Lookup!$Q:$R, 2),
            Z671 + IF(MONTH(A672)=12, Q672+W672, 0) + I672
              + AA671 + IF(MONTH(A672)=12, R672+X672, 0)
              - VLOOKUP(YEAR(A672), Lookup!$Q:$R, 2) + J672,
            Z671 + IF(MONTH(A672)=12, Q672+W672, 0) + I672
          ) - VLOOKUP(YEAR(A672), Lookup!$K:$M, 3)
        ),
    0),
  B672=55,
    IF(Z671&gt;=AD672,
      MAX(Y671 + IF(MONTH(A672)=12, P672+V672, 0) + H672 - L672, 0),
      MAX(MAX(0, Y671-(AD672-Z671)) + IF(MONTH(A672)=12, P672+V672, 0) + H672 - L672, 0)
    ),
  B672&gt;55,
    IF(AB671&gt;=$AH$7,
      MAX(Y671 + IF(MONTH(A672)=12, P672+V672, 0) + H672 - L672 + K672 + Z671, 0),
      MAX(Y671 + IF(MONTH(A672)=12, P672+V672, 0) + H672 - L672, 0)
    )
)</f>
        <v>1537042.622</v>
      </c>
      <c r="Z672" s="65">
        <f>IFS(
  B672&lt;55,
    MIN(
      IF(AA671 &gt;= VLOOKUP(YEAR(A672), Lookup!$Q:$R, 2),
        Z671 + IF(MONTH(A672)=12, Q672+W672, 0) + I672
          + AA671 + IF(MONTH(A672)=12, R672+X672, 0) - VLOOKUP(YEAR(A672), Lookup!$Q:$R, 2) + J672,
        Z671 + IF(MONTH(A672)=12, Q672+W672, 0) + I672
      ),
      VLOOKUP(YEAR(A672), Lookup!$K:$M, 3)
    ),
  B672=55,
    IF(Z671 &gt;= AD672, Z671 - AD672, 0),
  B672&gt;55, 0
)</f>
        <v>0</v>
      </c>
      <c r="AA672" s="65">
        <f>IFS(
  B672&lt;65,
    IF(AA671+J672 &lt; VLOOKUP(YEAR(A672), Lookup!$Q:$R, 2),
      AA671 + IF(MONTH(A672)=12, R671+X671, 0) + J672,
      MIN(
        AA671 + IF(MONTH(A672)=12, R671+X671, 0) + J672 ,
        VLOOKUP(YEAR(A672), Lookup!$Q:$R, 2)
      )
    ),
  B672&gt;=65,
    IF(AA671+J672 &lt; VLOOKUP(questions!$C$5, Lookup!$Q:$R, 2),
      AA671 + IF(MONTH(A672)=12, R671+X671, 0) + J672 ,
      MIN(
        AA671 + IF(MONTH(A672)=12, R671+X671, 0) + J672,
        VLOOKUP(questions!$C$5, Lookup!$Q:$R, 2)
      )
    )
)</f>
        <v>282111.0086</v>
      </c>
      <c r="AB672" s="65">
        <f t="shared" si="13"/>
        <v>1918367.16</v>
      </c>
      <c r="AC672" s="66">
        <f t="array" ref="AC672">IFS(B672&lt;66, XLOOKUP(year(A672),Lookup!$K$13:$K1000,Lookup!$L$13:$L1000,"missing",,1),B672&gt;65,XLOOKUP(questions!$C$5,Lookup!$K$13:$K1000,Lookup!$L$13:$L1000,"missing",,1))</f>
        <v>393675.3633</v>
      </c>
      <c r="AD672" s="66">
        <f t="array" ref="AD672">IFS(B672&lt;66, XLOOKUP(year(A672),Lookup!$K$13:$K1000,Lookup!$M$13:$M1000,"missing",,1),B672&gt;65, XLOOKUP(questions!$C$5,Lookup!$K$13:$K1000,Lookup!$M$13:$M1000,"missing",,1))</f>
        <v>787350.7266</v>
      </c>
      <c r="AE672" s="66">
        <f t="array" ref="AE672">IFS(B672&lt;66, XLOOKUP(year(A672),Lookup!$K$13:$K1000,Lookup!$N$13:$N1000,"missing",,1),B672&gt;65,XLOOKUP(questions!$C$5,Lookup!$K$13:$K1000,Lookup!$N$13:$N1000,"missing",,1))</f>
        <v>1574701.453</v>
      </c>
      <c r="AF672" s="37"/>
      <c r="AG672" s="37"/>
      <c r="AH672" s="37"/>
      <c r="AI672" s="37"/>
      <c r="AJ672" s="37"/>
      <c r="AK672" s="37"/>
      <c r="AL672" s="37"/>
      <c r="AM672" s="37"/>
      <c r="AN672" s="37"/>
      <c r="AO672" s="37"/>
      <c r="AP672" s="37"/>
      <c r="AQ672" s="37"/>
    </row>
    <row r="673">
      <c r="A673" s="55">
        <f t="shared" si="7"/>
        <v>66507</v>
      </c>
      <c r="B673" s="56">
        <f>round(YEARFRAC(EOMONTH(questions!$C$3, 0),A673,1),2)</f>
        <v>83.17</v>
      </c>
      <c r="C673" s="58">
        <f>IF(B673&lt;questions!$C$6,if(MONTH(A673)=1,C672*(1+questions!$C$12),C672),0)</f>
        <v>0</v>
      </c>
      <c r="D673" s="58">
        <f>IF(MONTH(A673)=12,C673*questions!$C$11,0)</f>
        <v>0</v>
      </c>
      <c r="E673" s="71">
        <f t="shared" si="2"/>
        <v>0</v>
      </c>
      <c r="F673" s="71">
        <f t="shared" si="3"/>
        <v>0</v>
      </c>
      <c r="G673" s="61">
        <f t="array" ref="G673">if(YEAR(A673)=2025,XLOOKUP(B673,Lookup!$A$3:$A$7,Lookup!$D$3:$D$7,,1)*SUM(E673:F673), XLOOKUP(B673,Lookup!$A$14:$A$18,Lookup!$D$14:$D$18,,1)*SUM(E673:F673))</f>
        <v>0</v>
      </c>
      <c r="H673" s="61">
        <f t="array" ref="H673">if(YEAR(A673)=2025,XLOOKUP(B673,Lookup!$F$3:$F$10,Lookup!$G$3:$G$10,,1)*G673, XLOOKUP(B673,Lookup!$F$14:$F$21,Lookup!$G$14:$G$21,,1)*G673)</f>
        <v>0</v>
      </c>
      <c r="I673" s="61">
        <f t="array" ref="I673">if(B673&lt;55, if(YEAR(A673)=2025,XLOOKUP(B673,Lookup!$F$3:$F$10,Lookup!$H$3:$H$10,,1)*G673, XLOOKUP(B673,Lookup!$F$14:$F$21,Lookup!$H$14:$H$21,,1)*G673),0)</f>
        <v>0</v>
      </c>
      <c r="J673" s="61">
        <f t="array" ref="J673">if(YEAR(A673)=2025,XLOOKUP(B673,Lookup!$F$3:$F$10,Lookup!$I$3:$I$10,,1)*G673, XLOOKUP(B673,Lookup!$F$14:$F$21,Lookup!$I$14:$I$21,,1)*G673)</f>
        <v>0</v>
      </c>
      <c r="K673" s="61">
        <f t="array" ref="K673">if(B673&gt;54, if(YEAR(A673)=2025,XLOOKUP(B673,Lookup!$F$3:$F$10,Lookup!$H$3:$H$10,,1)*G673, XLOOKUP(B673,Lookup!$F$14:$F$21,Lookup!$H$14:$H$21,,1)*G673),0)</f>
        <v>0</v>
      </c>
      <c r="L673" s="62">
        <f>IF(and(A673&lt;questions!$C$19,questions!$C$18="yes"),questions!$C$20,0)</f>
        <v>0</v>
      </c>
      <c r="M673" s="63">
        <f>(Y672+H673)*Lookup!A$26/12</f>
        <v>3202.172129</v>
      </c>
      <c r="N673" s="63">
        <f>if(B673&lt;55, (Z672+I673)*Lookup!B$26/12, (AB672+K673)*Lookup!B$26/12)</f>
        <v>6394.5572</v>
      </c>
      <c r="O673" s="63">
        <f>(AA672+J673)*Lookup!C$26/12</f>
        <v>940.3700287</v>
      </c>
      <c r="P673" s="63">
        <f t="shared" si="8"/>
        <v>3202.172129</v>
      </c>
      <c r="Q673" s="63">
        <f t="shared" si="4"/>
        <v>6394.5572</v>
      </c>
      <c r="R673" s="63">
        <f t="shared" si="5"/>
        <v>940.3700287</v>
      </c>
      <c r="S673" s="64">
        <f t="shared" si="9"/>
        <v>33.33333333</v>
      </c>
      <c r="T673" s="64">
        <f t="shared" si="10"/>
        <v>41.66666667</v>
      </c>
      <c r="U673" s="64">
        <f t="shared" si="11"/>
        <v>0</v>
      </c>
      <c r="V673" s="64">
        <f t="shared" ref="V673:X673" si="681">IF(year($A673)=year($A672), V672+S673, S673)</f>
        <v>33.33333333</v>
      </c>
      <c r="W673" s="64">
        <f t="shared" si="681"/>
        <v>41.66666667</v>
      </c>
      <c r="X673" s="64">
        <f t="shared" si="681"/>
        <v>0</v>
      </c>
      <c r="Y673" s="65">
        <f>IFS(
  B673&lt;55,
    MAX(
      Y672 + IF(MONTH(A673)=12, P673+V673, 0) + H673 - L673
      + MAX(0,
          IF(AA672 &gt;= VLOOKUP(YEAR(A673), Lookup!$Q:$R, 2),
            Z672 + IF(MONTH(A673)=12, Q673+W673, 0) + I673
              + AA672 + IF(MONTH(A673)=12, R673+X673, 0)
              - VLOOKUP(YEAR(A673), Lookup!$Q:$R, 2) + J673,
            Z672 + IF(MONTH(A673)=12, Q673+W673, 0) + I673
          ) - VLOOKUP(YEAR(A673), Lookup!$K:$M, 3)
        ),
    0),
  B673=55,
    IF(Z672&gt;=AD673,
      MAX(Y672 + IF(MONTH(A673)=12, P673+V673, 0) + H673 - L673, 0),
      MAX(MAX(0, Y672-(AD673-Z672)) + IF(MONTH(A673)=12, P673+V673, 0) + H673 - L673, 0)
    ),
  B673&gt;55,
    IF(AB672&gt;=$AH$7,
      MAX(Y672 + IF(MONTH(A673)=12, P673+V673, 0) + H673 - L673 + K673 + Z672, 0),
      MAX(Y672 + IF(MONTH(A673)=12, P673+V673, 0) + H673 - L673, 0)
    )
)</f>
        <v>1537042.622</v>
      </c>
      <c r="Z673" s="65">
        <f>IFS(
  B673&lt;55,
    MIN(
      IF(AA672 &gt;= VLOOKUP(YEAR(A673), Lookup!$Q:$R, 2),
        Z672 + IF(MONTH(A673)=12, Q673+W673, 0) + I673
          + AA672 + IF(MONTH(A673)=12, R673+X673, 0) - VLOOKUP(YEAR(A673), Lookup!$Q:$R, 2) + J673,
        Z672 + IF(MONTH(A673)=12, Q673+W673, 0) + I673
      ),
      VLOOKUP(YEAR(A673), Lookup!$K:$M, 3)
    ),
  B673=55,
    IF(Z672 &gt;= AD673, Z672 - AD673, 0),
  B673&gt;55, 0
)</f>
        <v>0</v>
      </c>
      <c r="AA673" s="65">
        <f>IFS(
  B673&lt;65,
    IF(AA672+J673 &lt; VLOOKUP(YEAR(A673), Lookup!$Q:$R, 2),
      AA672 + IF(MONTH(A673)=12, R672+X672, 0) + J673,
      MIN(
        AA672 + IF(MONTH(A673)=12, R672+X672, 0) + J673 ,
        VLOOKUP(YEAR(A673), Lookup!$Q:$R, 2)
      )
    ),
  B673&gt;=65,
    IF(AA672+J673 &lt; VLOOKUP(questions!$C$5, Lookup!$Q:$R, 2),
      AA672 + IF(MONTH(A673)=12, R672+X672, 0) + J673 ,
      MIN(
        AA672 + IF(MONTH(A673)=12, R672+X672, 0) + J673,
        VLOOKUP(questions!$C$5, Lookup!$Q:$R, 2)
      )
    )
)</f>
        <v>282111.0086</v>
      </c>
      <c r="AB673" s="65">
        <f t="shared" si="13"/>
        <v>1918367.16</v>
      </c>
      <c r="AC673" s="66">
        <f t="array" ref="AC673">IFS(B673&lt;66, XLOOKUP(year(A673),Lookup!$K$13:$K1000,Lookup!$L$13:$L1000,"missing",,1),B673&gt;65,XLOOKUP(questions!$C$5,Lookup!$K$13:$K1000,Lookup!$L$13:$L1000,"missing",,1))</f>
        <v>393675.3633</v>
      </c>
      <c r="AD673" s="66">
        <f t="array" ref="AD673">IFS(B673&lt;66, XLOOKUP(year(A673),Lookup!$K$13:$K1000,Lookup!$M$13:$M1000,"missing",,1),B673&gt;65, XLOOKUP(questions!$C$5,Lookup!$K$13:$K1000,Lookup!$M$13:$M1000,"missing",,1))</f>
        <v>787350.7266</v>
      </c>
      <c r="AE673" s="66">
        <f t="array" ref="AE673">IFS(B673&lt;66, XLOOKUP(year(A673),Lookup!$K$13:$K1000,Lookup!$N$13:$N1000,"missing",,1),B673&gt;65,XLOOKUP(questions!$C$5,Lookup!$K$13:$K1000,Lookup!$N$13:$N1000,"missing",,1))</f>
        <v>1574701.453</v>
      </c>
      <c r="AF673" s="37"/>
      <c r="AG673" s="37"/>
      <c r="AH673" s="37"/>
      <c r="AI673" s="37"/>
      <c r="AJ673" s="37"/>
      <c r="AK673" s="37"/>
      <c r="AL673" s="37"/>
      <c r="AM673" s="37"/>
      <c r="AN673" s="37"/>
      <c r="AO673" s="37"/>
      <c r="AP673" s="37"/>
      <c r="AQ673" s="37"/>
    </row>
    <row r="674">
      <c r="A674" s="55">
        <f t="shared" si="7"/>
        <v>66535</v>
      </c>
      <c r="B674" s="56">
        <f>round(YEARFRAC(EOMONTH(questions!$C$3, 0),A674,1),2)</f>
        <v>83.25</v>
      </c>
      <c r="C674" s="58">
        <f>IF(B674&lt;questions!$C$6,if(MONTH(A674)=1,C673*(1+questions!$C$12),C673),0)</f>
        <v>0</v>
      </c>
      <c r="D674" s="58">
        <f>IF(MONTH(A674)=12,C674*questions!$C$11,0)</f>
        <v>0</v>
      </c>
      <c r="E674" s="71">
        <f t="shared" si="2"/>
        <v>0</v>
      </c>
      <c r="F674" s="71">
        <f t="shared" si="3"/>
        <v>0</v>
      </c>
      <c r="G674" s="61">
        <f t="array" ref="G674">if(YEAR(A674)=2025,XLOOKUP(B674,Lookup!$A$3:$A$7,Lookup!$D$3:$D$7,,1)*SUM(E674:F674), XLOOKUP(B674,Lookup!$A$14:$A$18,Lookup!$D$14:$D$18,,1)*SUM(E674:F674))</f>
        <v>0</v>
      </c>
      <c r="H674" s="61">
        <f t="array" ref="H674">if(YEAR(A674)=2025,XLOOKUP(B674,Lookup!$F$3:$F$10,Lookup!$G$3:$G$10,,1)*G674, XLOOKUP(B674,Lookup!$F$14:$F$21,Lookup!$G$14:$G$21,,1)*G674)</f>
        <v>0</v>
      </c>
      <c r="I674" s="61">
        <f t="array" ref="I674">if(B674&lt;55, if(YEAR(A674)=2025,XLOOKUP(B674,Lookup!$F$3:$F$10,Lookup!$H$3:$H$10,,1)*G674, XLOOKUP(B674,Lookup!$F$14:$F$21,Lookup!$H$14:$H$21,,1)*G674),0)</f>
        <v>0</v>
      </c>
      <c r="J674" s="61">
        <f t="array" ref="J674">if(YEAR(A674)=2025,XLOOKUP(B674,Lookup!$F$3:$F$10,Lookup!$I$3:$I$10,,1)*G674, XLOOKUP(B674,Lookup!$F$14:$F$21,Lookup!$I$14:$I$21,,1)*G674)</f>
        <v>0</v>
      </c>
      <c r="K674" s="61">
        <f t="array" ref="K674">if(B674&gt;54, if(YEAR(A674)=2025,XLOOKUP(B674,Lookup!$F$3:$F$10,Lookup!$H$3:$H$10,,1)*G674, XLOOKUP(B674,Lookup!$F$14:$F$21,Lookup!$H$14:$H$21,,1)*G674),0)</f>
        <v>0</v>
      </c>
      <c r="L674" s="62">
        <f>IF(and(A674&lt;questions!$C$19,questions!$C$18="yes"),questions!$C$20,0)</f>
        <v>0</v>
      </c>
      <c r="M674" s="63">
        <f>(Y673+H674)*Lookup!A$26/12</f>
        <v>3202.172129</v>
      </c>
      <c r="N674" s="63">
        <f>if(B674&lt;55, (Z673+I674)*Lookup!B$26/12, (AB673+K674)*Lookup!B$26/12)</f>
        <v>6394.5572</v>
      </c>
      <c r="O674" s="63">
        <f>(AA673+J674)*Lookup!C$26/12</f>
        <v>940.3700287</v>
      </c>
      <c r="P674" s="63">
        <f t="shared" si="8"/>
        <v>6404.344258</v>
      </c>
      <c r="Q674" s="63">
        <f t="shared" si="4"/>
        <v>12789.1144</v>
      </c>
      <c r="R674" s="63">
        <f t="shared" si="5"/>
        <v>1880.740057</v>
      </c>
      <c r="S674" s="64">
        <f t="shared" si="9"/>
        <v>33.33333333</v>
      </c>
      <c r="T674" s="64">
        <f t="shared" si="10"/>
        <v>41.66666667</v>
      </c>
      <c r="U674" s="64">
        <f t="shared" si="11"/>
        <v>0</v>
      </c>
      <c r="V674" s="64">
        <f t="shared" ref="V674:X674" si="682">IF(year($A674)=year($A673), V673+S674, S674)</f>
        <v>66.66666667</v>
      </c>
      <c r="W674" s="64">
        <f t="shared" si="682"/>
        <v>83.33333333</v>
      </c>
      <c r="X674" s="64">
        <f t="shared" si="682"/>
        <v>0</v>
      </c>
      <c r="Y674" s="65">
        <f>IFS(
  B674&lt;55,
    MAX(
      Y673 + IF(MONTH(A674)=12, P674+V674, 0) + H674 - L674
      + MAX(0,
          IF(AA673 &gt;= VLOOKUP(YEAR(A674), Lookup!$Q:$R, 2),
            Z673 + IF(MONTH(A674)=12, Q674+W674, 0) + I674
              + AA673 + IF(MONTH(A674)=12, R674+X674, 0)
              - VLOOKUP(YEAR(A674), Lookup!$Q:$R, 2) + J674,
            Z673 + IF(MONTH(A674)=12, Q674+W674, 0) + I674
          ) - VLOOKUP(YEAR(A674), Lookup!$K:$M, 3)
        ),
    0),
  B674=55,
    IF(Z673&gt;=AD674,
      MAX(Y673 + IF(MONTH(A674)=12, P674+V674, 0) + H674 - L674, 0),
      MAX(MAX(0, Y673-(AD674-Z673)) + IF(MONTH(A674)=12, P674+V674, 0) + H674 - L674, 0)
    ),
  B674&gt;55,
    IF(AB673&gt;=$AH$7,
      MAX(Y673 + IF(MONTH(A674)=12, P674+V674, 0) + H674 - L674 + K674 + Z673, 0),
      MAX(Y673 + IF(MONTH(A674)=12, P674+V674, 0) + H674 - L674, 0)
    )
)</f>
        <v>1537042.622</v>
      </c>
      <c r="Z674" s="65">
        <f>IFS(
  B674&lt;55,
    MIN(
      IF(AA673 &gt;= VLOOKUP(YEAR(A674), Lookup!$Q:$R, 2),
        Z673 + IF(MONTH(A674)=12, Q674+W674, 0) + I674
          + AA673 + IF(MONTH(A674)=12, R674+X674, 0) - VLOOKUP(YEAR(A674), Lookup!$Q:$R, 2) + J674,
        Z673 + IF(MONTH(A674)=12, Q674+W674, 0) + I674
      ),
      VLOOKUP(YEAR(A674), Lookup!$K:$M, 3)
    ),
  B674=55,
    IF(Z673 &gt;= AD674, Z673 - AD674, 0),
  B674&gt;55, 0
)</f>
        <v>0</v>
      </c>
      <c r="AA674" s="65">
        <f>IFS(
  B674&lt;65,
    IF(AA673+J674 &lt; VLOOKUP(YEAR(A674), Lookup!$Q:$R, 2),
      AA673 + IF(MONTH(A674)=12, R673+X673, 0) + J674,
      MIN(
        AA673 + IF(MONTH(A674)=12, R673+X673, 0) + J674 ,
        VLOOKUP(YEAR(A674), Lookup!$Q:$R, 2)
      )
    ),
  B674&gt;=65,
    IF(AA673+J674 &lt; VLOOKUP(questions!$C$5, Lookup!$Q:$R, 2),
      AA673 + IF(MONTH(A674)=12, R673+X673, 0) + J674 ,
      MIN(
        AA673 + IF(MONTH(A674)=12, R673+X673, 0) + J674,
        VLOOKUP(questions!$C$5, Lookup!$Q:$R, 2)
      )
    )
)</f>
        <v>282111.0086</v>
      </c>
      <c r="AB674" s="65">
        <f t="shared" si="13"/>
        <v>1918367.16</v>
      </c>
      <c r="AC674" s="66">
        <f t="array" ref="AC674">IFS(B674&lt;66, XLOOKUP(year(A674),Lookup!$K$13:$K1000,Lookup!$L$13:$L1000,"missing",,1),B674&gt;65,XLOOKUP(questions!$C$5,Lookup!$K$13:$K1000,Lookup!$L$13:$L1000,"missing",,1))</f>
        <v>393675.3633</v>
      </c>
      <c r="AD674" s="66">
        <f t="array" ref="AD674">IFS(B674&lt;66, XLOOKUP(year(A674),Lookup!$K$13:$K1000,Lookup!$M$13:$M1000,"missing",,1),B674&gt;65, XLOOKUP(questions!$C$5,Lookup!$K$13:$K1000,Lookup!$M$13:$M1000,"missing",,1))</f>
        <v>787350.7266</v>
      </c>
      <c r="AE674" s="66">
        <f t="array" ref="AE674">IFS(B674&lt;66, XLOOKUP(year(A674),Lookup!$K$13:$K1000,Lookup!$N$13:$N1000,"missing",,1),B674&gt;65,XLOOKUP(questions!$C$5,Lookup!$K$13:$K1000,Lookup!$N$13:$N1000,"missing",,1))</f>
        <v>1574701.453</v>
      </c>
      <c r="AF674" s="37"/>
      <c r="AG674" s="37"/>
      <c r="AH674" s="37"/>
      <c r="AI674" s="37"/>
      <c r="AJ674" s="37"/>
      <c r="AK674" s="37"/>
      <c r="AL674" s="37"/>
      <c r="AM674" s="37"/>
      <c r="AN674" s="37"/>
      <c r="AO674" s="37"/>
      <c r="AP674" s="37"/>
      <c r="AQ674" s="37"/>
    </row>
    <row r="675">
      <c r="A675" s="55">
        <f t="shared" si="7"/>
        <v>66566</v>
      </c>
      <c r="B675" s="56">
        <f>round(YEARFRAC(EOMONTH(questions!$C$3, 0),A675,1),2)</f>
        <v>83.33</v>
      </c>
      <c r="C675" s="58">
        <f>IF(B675&lt;questions!$C$6,if(MONTH(A675)=1,C674*(1+questions!$C$12),C674),0)</f>
        <v>0</v>
      </c>
      <c r="D675" s="58">
        <f>IF(MONTH(A675)=12,C675*questions!$C$11,0)</f>
        <v>0</v>
      </c>
      <c r="E675" s="71">
        <f t="shared" si="2"/>
        <v>0</v>
      </c>
      <c r="F675" s="71">
        <f t="shared" si="3"/>
        <v>0</v>
      </c>
      <c r="G675" s="61">
        <f t="array" ref="G675">if(YEAR(A675)=2025,XLOOKUP(B675,Lookup!$A$3:$A$7,Lookup!$D$3:$D$7,,1)*SUM(E675:F675), XLOOKUP(B675,Lookup!$A$14:$A$18,Lookup!$D$14:$D$18,,1)*SUM(E675:F675))</f>
        <v>0</v>
      </c>
      <c r="H675" s="61">
        <f t="array" ref="H675">if(YEAR(A675)=2025,XLOOKUP(B675,Lookup!$F$3:$F$10,Lookup!$G$3:$G$10,,1)*G675, XLOOKUP(B675,Lookup!$F$14:$F$21,Lookup!$G$14:$G$21,,1)*G675)</f>
        <v>0</v>
      </c>
      <c r="I675" s="61">
        <f t="array" ref="I675">if(B675&lt;55, if(YEAR(A675)=2025,XLOOKUP(B675,Lookup!$F$3:$F$10,Lookup!$H$3:$H$10,,1)*G675, XLOOKUP(B675,Lookup!$F$14:$F$21,Lookup!$H$14:$H$21,,1)*G675),0)</f>
        <v>0</v>
      </c>
      <c r="J675" s="61">
        <f t="array" ref="J675">if(YEAR(A675)=2025,XLOOKUP(B675,Lookup!$F$3:$F$10,Lookup!$I$3:$I$10,,1)*G675, XLOOKUP(B675,Lookup!$F$14:$F$21,Lookup!$I$14:$I$21,,1)*G675)</f>
        <v>0</v>
      </c>
      <c r="K675" s="61">
        <f t="array" ref="K675">if(B675&gt;54, if(YEAR(A675)=2025,XLOOKUP(B675,Lookup!$F$3:$F$10,Lookup!$H$3:$H$10,,1)*G675, XLOOKUP(B675,Lookup!$F$14:$F$21,Lookup!$H$14:$H$21,,1)*G675),0)</f>
        <v>0</v>
      </c>
      <c r="L675" s="62">
        <f>IF(and(A675&lt;questions!$C$19,questions!$C$18="yes"),questions!$C$20,0)</f>
        <v>0</v>
      </c>
      <c r="M675" s="63">
        <f>(Y674+H675)*Lookup!A$26/12</f>
        <v>3202.172129</v>
      </c>
      <c r="N675" s="63">
        <f>if(B675&lt;55, (Z674+I675)*Lookup!B$26/12, (AB674+K675)*Lookup!B$26/12)</f>
        <v>6394.5572</v>
      </c>
      <c r="O675" s="63">
        <f>(AA674+J675)*Lookup!C$26/12</f>
        <v>940.3700287</v>
      </c>
      <c r="P675" s="63">
        <f t="shared" si="8"/>
        <v>9606.516387</v>
      </c>
      <c r="Q675" s="63">
        <f t="shared" si="4"/>
        <v>19183.6716</v>
      </c>
      <c r="R675" s="63">
        <f t="shared" si="5"/>
        <v>2821.110086</v>
      </c>
      <c r="S675" s="64">
        <f t="shared" si="9"/>
        <v>33.33333333</v>
      </c>
      <c r="T675" s="64">
        <f t="shared" si="10"/>
        <v>41.66666667</v>
      </c>
      <c r="U675" s="64">
        <f t="shared" si="11"/>
        <v>0</v>
      </c>
      <c r="V675" s="64">
        <f t="shared" ref="V675:X675" si="683">IF(year($A675)=year($A674), V674+S675, S675)</f>
        <v>100</v>
      </c>
      <c r="W675" s="64">
        <f t="shared" si="683"/>
        <v>125</v>
      </c>
      <c r="X675" s="64">
        <f t="shared" si="683"/>
        <v>0</v>
      </c>
      <c r="Y675" s="65">
        <f>IFS(
  B675&lt;55,
    MAX(
      Y674 + IF(MONTH(A675)=12, P675+V675, 0) + H675 - L675
      + MAX(0,
          IF(AA674 &gt;= VLOOKUP(YEAR(A675), Lookup!$Q:$R, 2),
            Z674 + IF(MONTH(A675)=12, Q675+W675, 0) + I675
              + AA674 + IF(MONTH(A675)=12, R675+X675, 0)
              - VLOOKUP(YEAR(A675), Lookup!$Q:$R, 2) + J675,
            Z674 + IF(MONTH(A675)=12, Q675+W675, 0) + I675
          ) - VLOOKUP(YEAR(A675), Lookup!$K:$M, 3)
        ),
    0),
  B675=55,
    IF(Z674&gt;=AD675,
      MAX(Y674 + IF(MONTH(A675)=12, P675+V675, 0) + H675 - L675, 0),
      MAX(MAX(0, Y674-(AD675-Z674)) + IF(MONTH(A675)=12, P675+V675, 0) + H675 - L675, 0)
    ),
  B675&gt;55,
    IF(AB674&gt;=$AH$7,
      MAX(Y674 + IF(MONTH(A675)=12, P675+V675, 0) + H675 - L675 + K675 + Z674, 0),
      MAX(Y674 + IF(MONTH(A675)=12, P675+V675, 0) + H675 - L675, 0)
    )
)</f>
        <v>1537042.622</v>
      </c>
      <c r="Z675" s="65">
        <f>IFS(
  B675&lt;55,
    MIN(
      IF(AA674 &gt;= VLOOKUP(YEAR(A675), Lookup!$Q:$R, 2),
        Z674 + IF(MONTH(A675)=12, Q675+W675, 0) + I675
          + AA674 + IF(MONTH(A675)=12, R675+X675, 0) - VLOOKUP(YEAR(A675), Lookup!$Q:$R, 2) + J675,
        Z674 + IF(MONTH(A675)=12, Q675+W675, 0) + I675
      ),
      VLOOKUP(YEAR(A675), Lookup!$K:$M, 3)
    ),
  B675=55,
    IF(Z674 &gt;= AD675, Z674 - AD675, 0),
  B675&gt;55, 0
)</f>
        <v>0</v>
      </c>
      <c r="AA675" s="65">
        <f>IFS(
  B675&lt;65,
    IF(AA674+J675 &lt; VLOOKUP(YEAR(A675), Lookup!$Q:$R, 2),
      AA674 + IF(MONTH(A675)=12, R674+X674, 0) + J675,
      MIN(
        AA674 + IF(MONTH(A675)=12, R674+X674, 0) + J675 ,
        VLOOKUP(YEAR(A675), Lookup!$Q:$R, 2)
      )
    ),
  B675&gt;=65,
    IF(AA674+J675 &lt; VLOOKUP(questions!$C$5, Lookup!$Q:$R, 2),
      AA674 + IF(MONTH(A675)=12, R674+X674, 0) + J675 ,
      MIN(
        AA674 + IF(MONTH(A675)=12, R674+X674, 0) + J675,
        VLOOKUP(questions!$C$5, Lookup!$Q:$R, 2)
      )
    )
)</f>
        <v>282111.0086</v>
      </c>
      <c r="AB675" s="65">
        <f t="shared" si="13"/>
        <v>1918367.16</v>
      </c>
      <c r="AC675" s="66">
        <f t="array" ref="AC675">IFS(B675&lt;66, XLOOKUP(year(A675),Lookup!$K$13:$K1000,Lookup!$L$13:$L1000,"missing",,1),B675&gt;65,XLOOKUP(questions!$C$5,Lookup!$K$13:$K1000,Lookup!$L$13:$L1000,"missing",,1))</f>
        <v>393675.3633</v>
      </c>
      <c r="AD675" s="66">
        <f t="array" ref="AD675">IFS(B675&lt;66, XLOOKUP(year(A675),Lookup!$K$13:$K1000,Lookup!$M$13:$M1000,"missing",,1),B675&gt;65, XLOOKUP(questions!$C$5,Lookup!$K$13:$K1000,Lookup!$M$13:$M1000,"missing",,1))</f>
        <v>787350.7266</v>
      </c>
      <c r="AE675" s="66">
        <f t="array" ref="AE675">IFS(B675&lt;66, XLOOKUP(year(A675),Lookup!$K$13:$K1000,Lookup!$N$13:$N1000,"missing",,1),B675&gt;65,XLOOKUP(questions!$C$5,Lookup!$K$13:$K1000,Lookup!$N$13:$N1000,"missing",,1))</f>
        <v>1574701.453</v>
      </c>
      <c r="AF675" s="37"/>
      <c r="AG675" s="37"/>
      <c r="AH675" s="37"/>
      <c r="AI675" s="37"/>
      <c r="AJ675" s="37"/>
      <c r="AK675" s="37"/>
      <c r="AL675" s="37"/>
      <c r="AM675" s="37"/>
      <c r="AN675" s="37"/>
      <c r="AO675" s="37"/>
      <c r="AP675" s="37"/>
      <c r="AQ675" s="37"/>
    </row>
    <row r="676">
      <c r="A676" s="55">
        <f t="shared" si="7"/>
        <v>66596</v>
      </c>
      <c r="B676" s="56">
        <f>round(YEARFRAC(EOMONTH(questions!$C$3, 0),A676,1),2)</f>
        <v>83.41</v>
      </c>
      <c r="C676" s="58">
        <f>IF(B676&lt;questions!$C$6,if(MONTH(A676)=1,C675*(1+questions!$C$12),C675),0)</f>
        <v>0</v>
      </c>
      <c r="D676" s="58">
        <f>IF(MONTH(A676)=12,C676*questions!$C$11,0)</f>
        <v>0</v>
      </c>
      <c r="E676" s="71">
        <f t="shared" si="2"/>
        <v>0</v>
      </c>
      <c r="F676" s="71">
        <f t="shared" si="3"/>
        <v>0</v>
      </c>
      <c r="G676" s="61">
        <f t="array" ref="G676">if(YEAR(A676)=2025,XLOOKUP(B676,Lookup!$A$3:$A$7,Lookup!$D$3:$D$7,,1)*SUM(E676:F676), XLOOKUP(B676,Lookup!$A$14:$A$18,Lookup!$D$14:$D$18,,1)*SUM(E676:F676))</f>
        <v>0</v>
      </c>
      <c r="H676" s="61">
        <f t="array" ref="H676">if(YEAR(A676)=2025,XLOOKUP(B676,Lookup!$F$3:$F$10,Lookup!$G$3:$G$10,,1)*G676, XLOOKUP(B676,Lookup!$F$14:$F$21,Lookup!$G$14:$G$21,,1)*G676)</f>
        <v>0</v>
      </c>
      <c r="I676" s="61">
        <f t="array" ref="I676">if(B676&lt;55, if(YEAR(A676)=2025,XLOOKUP(B676,Lookup!$F$3:$F$10,Lookup!$H$3:$H$10,,1)*G676, XLOOKUP(B676,Lookup!$F$14:$F$21,Lookup!$H$14:$H$21,,1)*G676),0)</f>
        <v>0</v>
      </c>
      <c r="J676" s="61">
        <f t="array" ref="J676">if(YEAR(A676)=2025,XLOOKUP(B676,Lookup!$F$3:$F$10,Lookup!$I$3:$I$10,,1)*G676, XLOOKUP(B676,Lookup!$F$14:$F$21,Lookup!$I$14:$I$21,,1)*G676)</f>
        <v>0</v>
      </c>
      <c r="K676" s="61">
        <f t="array" ref="K676">if(B676&gt;54, if(YEAR(A676)=2025,XLOOKUP(B676,Lookup!$F$3:$F$10,Lookup!$H$3:$H$10,,1)*G676, XLOOKUP(B676,Lookup!$F$14:$F$21,Lookup!$H$14:$H$21,,1)*G676),0)</f>
        <v>0</v>
      </c>
      <c r="L676" s="62">
        <f>IF(and(A676&lt;questions!$C$19,questions!$C$18="yes"),questions!$C$20,0)</f>
        <v>0</v>
      </c>
      <c r="M676" s="63">
        <f>(Y675+H676)*Lookup!A$26/12</f>
        <v>3202.172129</v>
      </c>
      <c r="N676" s="63">
        <f>if(B676&lt;55, (Z675+I676)*Lookup!B$26/12, (AB675+K676)*Lookup!B$26/12)</f>
        <v>6394.5572</v>
      </c>
      <c r="O676" s="63">
        <f>(AA675+J676)*Lookup!C$26/12</f>
        <v>940.3700287</v>
      </c>
      <c r="P676" s="63">
        <f t="shared" si="8"/>
        <v>12808.68852</v>
      </c>
      <c r="Q676" s="63">
        <f t="shared" si="4"/>
        <v>25578.2288</v>
      </c>
      <c r="R676" s="63">
        <f t="shared" si="5"/>
        <v>3761.480115</v>
      </c>
      <c r="S676" s="64">
        <f t="shared" si="9"/>
        <v>33.33333333</v>
      </c>
      <c r="T676" s="64">
        <f t="shared" si="10"/>
        <v>41.66666667</v>
      </c>
      <c r="U676" s="64">
        <f t="shared" si="11"/>
        <v>0</v>
      </c>
      <c r="V676" s="64">
        <f t="shared" ref="V676:X676" si="684">IF(year($A676)=year($A675), V675+S676, S676)</f>
        <v>133.3333333</v>
      </c>
      <c r="W676" s="64">
        <f t="shared" si="684"/>
        <v>166.6666667</v>
      </c>
      <c r="X676" s="64">
        <f t="shared" si="684"/>
        <v>0</v>
      </c>
      <c r="Y676" s="65">
        <f>IFS(
  B676&lt;55,
    MAX(
      Y675 + IF(MONTH(A676)=12, P676+V676, 0) + H676 - L676
      + MAX(0,
          IF(AA675 &gt;= VLOOKUP(YEAR(A676), Lookup!$Q:$R, 2),
            Z675 + IF(MONTH(A676)=12, Q676+W676, 0) + I676
              + AA675 + IF(MONTH(A676)=12, R676+X676, 0)
              - VLOOKUP(YEAR(A676), Lookup!$Q:$R, 2) + J676,
            Z675 + IF(MONTH(A676)=12, Q676+W676, 0) + I676
          ) - VLOOKUP(YEAR(A676), Lookup!$K:$M, 3)
        ),
    0),
  B676=55,
    IF(Z675&gt;=AD676,
      MAX(Y675 + IF(MONTH(A676)=12, P676+V676, 0) + H676 - L676, 0),
      MAX(MAX(0, Y675-(AD676-Z675)) + IF(MONTH(A676)=12, P676+V676, 0) + H676 - L676, 0)
    ),
  B676&gt;55,
    IF(AB675&gt;=$AH$7,
      MAX(Y675 + IF(MONTH(A676)=12, P676+V676, 0) + H676 - L676 + K676 + Z675, 0),
      MAX(Y675 + IF(MONTH(A676)=12, P676+V676, 0) + H676 - L676, 0)
    )
)</f>
        <v>1537042.622</v>
      </c>
      <c r="Z676" s="65">
        <f>IFS(
  B676&lt;55,
    MIN(
      IF(AA675 &gt;= VLOOKUP(YEAR(A676), Lookup!$Q:$R, 2),
        Z675 + IF(MONTH(A676)=12, Q676+W676, 0) + I676
          + AA675 + IF(MONTH(A676)=12, R676+X676, 0) - VLOOKUP(YEAR(A676), Lookup!$Q:$R, 2) + J676,
        Z675 + IF(MONTH(A676)=12, Q676+W676, 0) + I676
      ),
      VLOOKUP(YEAR(A676), Lookup!$K:$M, 3)
    ),
  B676=55,
    IF(Z675 &gt;= AD676, Z675 - AD676, 0),
  B676&gt;55, 0
)</f>
        <v>0</v>
      </c>
      <c r="AA676" s="65">
        <f>IFS(
  B676&lt;65,
    IF(AA675+J676 &lt; VLOOKUP(YEAR(A676), Lookup!$Q:$R, 2),
      AA675 + IF(MONTH(A676)=12, R675+X675, 0) + J676,
      MIN(
        AA675 + IF(MONTH(A676)=12, R675+X675, 0) + J676 ,
        VLOOKUP(YEAR(A676), Lookup!$Q:$R, 2)
      )
    ),
  B676&gt;=65,
    IF(AA675+J676 &lt; VLOOKUP(questions!$C$5, Lookup!$Q:$R, 2),
      AA675 + IF(MONTH(A676)=12, R675+X675, 0) + J676 ,
      MIN(
        AA675 + IF(MONTH(A676)=12, R675+X675, 0) + J676,
        VLOOKUP(questions!$C$5, Lookup!$Q:$R, 2)
      )
    )
)</f>
        <v>282111.0086</v>
      </c>
      <c r="AB676" s="65">
        <f t="shared" si="13"/>
        <v>1918367.16</v>
      </c>
      <c r="AC676" s="66">
        <f t="array" ref="AC676">IFS(B676&lt;66, XLOOKUP(year(A676),Lookup!$K$13:$K1000,Lookup!$L$13:$L1000,"missing",,1),B676&gt;65,XLOOKUP(questions!$C$5,Lookup!$K$13:$K1000,Lookup!$L$13:$L1000,"missing",,1))</f>
        <v>393675.3633</v>
      </c>
      <c r="AD676" s="66">
        <f t="array" ref="AD676">IFS(B676&lt;66, XLOOKUP(year(A676),Lookup!$K$13:$K1000,Lookup!$M$13:$M1000,"missing",,1),B676&gt;65, XLOOKUP(questions!$C$5,Lookup!$K$13:$K1000,Lookup!$M$13:$M1000,"missing",,1))</f>
        <v>787350.7266</v>
      </c>
      <c r="AE676" s="66">
        <f t="array" ref="AE676">IFS(B676&lt;66, XLOOKUP(year(A676),Lookup!$K$13:$K1000,Lookup!$N$13:$N1000,"missing",,1),B676&gt;65,XLOOKUP(questions!$C$5,Lookup!$K$13:$K1000,Lookup!$N$13:$N1000,"missing",,1))</f>
        <v>1574701.453</v>
      </c>
      <c r="AF676" s="37"/>
      <c r="AG676" s="37"/>
      <c r="AH676" s="37"/>
      <c r="AI676" s="37"/>
      <c r="AJ676" s="37"/>
      <c r="AK676" s="37"/>
      <c r="AL676" s="37"/>
      <c r="AM676" s="37"/>
      <c r="AN676" s="37"/>
      <c r="AO676" s="37"/>
      <c r="AP676" s="37"/>
      <c r="AQ676" s="37"/>
    </row>
    <row r="677">
      <c r="A677" s="55">
        <f t="shared" si="7"/>
        <v>66627</v>
      </c>
      <c r="B677" s="56">
        <f>round(YEARFRAC(EOMONTH(questions!$C$3, 0),A677,1),2)</f>
        <v>83.5</v>
      </c>
      <c r="C677" s="58">
        <f>IF(B677&lt;questions!$C$6,if(MONTH(A677)=1,C676*(1+questions!$C$12),C676),0)</f>
        <v>0</v>
      </c>
      <c r="D677" s="58">
        <f>IF(MONTH(A677)=12,C677*questions!$C$11,0)</f>
        <v>0</v>
      </c>
      <c r="E677" s="71">
        <f t="shared" si="2"/>
        <v>0</v>
      </c>
      <c r="F677" s="71">
        <f t="shared" si="3"/>
        <v>0</v>
      </c>
      <c r="G677" s="61">
        <f t="array" ref="G677">if(YEAR(A677)=2025,XLOOKUP(B677,Lookup!$A$3:$A$7,Lookup!$D$3:$D$7,,1)*SUM(E677:F677), XLOOKUP(B677,Lookup!$A$14:$A$18,Lookup!$D$14:$D$18,,1)*SUM(E677:F677))</f>
        <v>0</v>
      </c>
      <c r="H677" s="61">
        <f t="array" ref="H677">if(YEAR(A677)=2025,XLOOKUP(B677,Lookup!$F$3:$F$10,Lookup!$G$3:$G$10,,1)*G677, XLOOKUP(B677,Lookup!$F$14:$F$21,Lookup!$G$14:$G$21,,1)*G677)</f>
        <v>0</v>
      </c>
      <c r="I677" s="61">
        <f t="array" ref="I677">if(B677&lt;55, if(YEAR(A677)=2025,XLOOKUP(B677,Lookup!$F$3:$F$10,Lookup!$H$3:$H$10,,1)*G677, XLOOKUP(B677,Lookup!$F$14:$F$21,Lookup!$H$14:$H$21,,1)*G677),0)</f>
        <v>0</v>
      </c>
      <c r="J677" s="61">
        <f t="array" ref="J677">if(YEAR(A677)=2025,XLOOKUP(B677,Lookup!$F$3:$F$10,Lookup!$I$3:$I$10,,1)*G677, XLOOKUP(B677,Lookup!$F$14:$F$21,Lookup!$I$14:$I$21,,1)*G677)</f>
        <v>0</v>
      </c>
      <c r="K677" s="61">
        <f t="array" ref="K677">if(B677&gt;54, if(YEAR(A677)=2025,XLOOKUP(B677,Lookup!$F$3:$F$10,Lookup!$H$3:$H$10,,1)*G677, XLOOKUP(B677,Lookup!$F$14:$F$21,Lookup!$H$14:$H$21,,1)*G677),0)</f>
        <v>0</v>
      </c>
      <c r="L677" s="62">
        <f>IF(and(A677&lt;questions!$C$19,questions!$C$18="yes"),questions!$C$20,0)</f>
        <v>0</v>
      </c>
      <c r="M677" s="63">
        <f>(Y676+H677)*Lookup!A$26/12</f>
        <v>3202.172129</v>
      </c>
      <c r="N677" s="63">
        <f>if(B677&lt;55, (Z676+I677)*Lookup!B$26/12, (AB676+K677)*Lookup!B$26/12)</f>
        <v>6394.5572</v>
      </c>
      <c r="O677" s="63">
        <f>(AA676+J677)*Lookup!C$26/12</f>
        <v>940.3700287</v>
      </c>
      <c r="P677" s="63">
        <f t="shared" si="8"/>
        <v>16010.86065</v>
      </c>
      <c r="Q677" s="63">
        <f t="shared" si="4"/>
        <v>31972.786</v>
      </c>
      <c r="R677" s="63">
        <f t="shared" si="5"/>
        <v>4701.850143</v>
      </c>
      <c r="S677" s="64">
        <f t="shared" si="9"/>
        <v>33.33333333</v>
      </c>
      <c r="T677" s="64">
        <f t="shared" si="10"/>
        <v>41.66666667</v>
      </c>
      <c r="U677" s="64">
        <f t="shared" si="11"/>
        <v>0</v>
      </c>
      <c r="V677" s="64">
        <f t="shared" ref="V677:X677" si="685">IF(year($A677)=year($A676), V676+S677, S677)</f>
        <v>166.6666667</v>
      </c>
      <c r="W677" s="64">
        <f t="shared" si="685"/>
        <v>208.3333333</v>
      </c>
      <c r="X677" s="64">
        <f t="shared" si="685"/>
        <v>0</v>
      </c>
      <c r="Y677" s="65">
        <f>IFS(
  B677&lt;55,
    MAX(
      Y676 + IF(MONTH(A677)=12, P677+V677, 0) + H677 - L677
      + MAX(0,
          IF(AA676 &gt;= VLOOKUP(YEAR(A677), Lookup!$Q:$R, 2),
            Z676 + IF(MONTH(A677)=12, Q677+W677, 0) + I677
              + AA676 + IF(MONTH(A677)=12, R677+X677, 0)
              - VLOOKUP(YEAR(A677), Lookup!$Q:$R, 2) + J677,
            Z676 + IF(MONTH(A677)=12, Q677+W677, 0) + I677
          ) - VLOOKUP(YEAR(A677), Lookup!$K:$M, 3)
        ),
    0),
  B677=55,
    IF(Z676&gt;=AD677,
      MAX(Y676 + IF(MONTH(A677)=12, P677+V677, 0) + H677 - L677, 0),
      MAX(MAX(0, Y676-(AD677-Z676)) + IF(MONTH(A677)=12, P677+V677, 0) + H677 - L677, 0)
    ),
  B677&gt;55,
    IF(AB676&gt;=$AH$7,
      MAX(Y676 + IF(MONTH(A677)=12, P677+V677, 0) + H677 - L677 + K677 + Z676, 0),
      MAX(Y676 + IF(MONTH(A677)=12, P677+V677, 0) + H677 - L677, 0)
    )
)</f>
        <v>1537042.622</v>
      </c>
      <c r="Z677" s="65">
        <f>IFS(
  B677&lt;55,
    MIN(
      IF(AA676 &gt;= VLOOKUP(YEAR(A677), Lookup!$Q:$R, 2),
        Z676 + IF(MONTH(A677)=12, Q677+W677, 0) + I677
          + AA676 + IF(MONTH(A677)=12, R677+X677, 0) - VLOOKUP(YEAR(A677), Lookup!$Q:$R, 2) + J677,
        Z676 + IF(MONTH(A677)=12, Q677+W677, 0) + I677
      ),
      VLOOKUP(YEAR(A677), Lookup!$K:$M, 3)
    ),
  B677=55,
    IF(Z676 &gt;= AD677, Z676 - AD677, 0),
  B677&gt;55, 0
)</f>
        <v>0</v>
      </c>
      <c r="AA677" s="65">
        <f>IFS(
  B677&lt;65,
    IF(AA676+J677 &lt; VLOOKUP(YEAR(A677), Lookup!$Q:$R, 2),
      AA676 + IF(MONTH(A677)=12, R676+X676, 0) + J677,
      MIN(
        AA676 + IF(MONTH(A677)=12, R676+X676, 0) + J677 ,
        VLOOKUP(YEAR(A677), Lookup!$Q:$R, 2)
      )
    ),
  B677&gt;=65,
    IF(AA676+J677 &lt; VLOOKUP(questions!$C$5, Lookup!$Q:$R, 2),
      AA676 + IF(MONTH(A677)=12, R676+X676, 0) + J677 ,
      MIN(
        AA676 + IF(MONTH(A677)=12, R676+X676, 0) + J677,
        VLOOKUP(questions!$C$5, Lookup!$Q:$R, 2)
      )
    )
)</f>
        <v>282111.0086</v>
      </c>
      <c r="AB677" s="65">
        <f t="shared" si="13"/>
        <v>1918367.16</v>
      </c>
      <c r="AC677" s="66">
        <f t="array" ref="AC677">IFS(B677&lt;66, XLOOKUP(year(A677),Lookup!$K$13:$K1000,Lookup!$L$13:$L1000,"missing",,1),B677&gt;65,XLOOKUP(questions!$C$5,Lookup!$K$13:$K1000,Lookup!$L$13:$L1000,"missing",,1))</f>
        <v>393675.3633</v>
      </c>
      <c r="AD677" s="66">
        <f t="array" ref="AD677">IFS(B677&lt;66, XLOOKUP(year(A677),Lookup!$K$13:$K1000,Lookup!$M$13:$M1000,"missing",,1),B677&gt;65, XLOOKUP(questions!$C$5,Lookup!$K$13:$K1000,Lookup!$M$13:$M1000,"missing",,1))</f>
        <v>787350.7266</v>
      </c>
      <c r="AE677" s="66">
        <f t="array" ref="AE677">IFS(B677&lt;66, XLOOKUP(year(A677),Lookup!$K$13:$K1000,Lookup!$N$13:$N1000,"missing",,1),B677&gt;65,XLOOKUP(questions!$C$5,Lookup!$K$13:$K1000,Lookup!$N$13:$N1000,"missing",,1))</f>
        <v>1574701.453</v>
      </c>
      <c r="AF677" s="37"/>
      <c r="AG677" s="37"/>
      <c r="AH677" s="37"/>
      <c r="AI677" s="37"/>
      <c r="AJ677" s="37"/>
      <c r="AK677" s="37"/>
      <c r="AL677" s="37"/>
      <c r="AM677" s="37"/>
      <c r="AN677" s="37"/>
      <c r="AO677" s="37"/>
      <c r="AP677" s="37"/>
      <c r="AQ677" s="37"/>
    </row>
    <row r="678">
      <c r="A678" s="55">
        <f t="shared" si="7"/>
        <v>66657</v>
      </c>
      <c r="B678" s="56">
        <f>round(YEARFRAC(EOMONTH(questions!$C$3, 0),A678,1),2)</f>
        <v>83.58</v>
      </c>
      <c r="C678" s="58">
        <f>IF(B678&lt;questions!$C$6,if(MONTH(A678)=1,C677*(1+questions!$C$12),C677),0)</f>
        <v>0</v>
      </c>
      <c r="D678" s="58">
        <f>IF(MONTH(A678)=12,C678*questions!$C$11,0)</f>
        <v>0</v>
      </c>
      <c r="E678" s="71">
        <f t="shared" si="2"/>
        <v>0</v>
      </c>
      <c r="F678" s="71">
        <f t="shared" si="3"/>
        <v>0</v>
      </c>
      <c r="G678" s="61">
        <f t="array" ref="G678">if(YEAR(A678)=2025,XLOOKUP(B678,Lookup!$A$3:$A$7,Lookup!$D$3:$D$7,,1)*SUM(E678:F678), XLOOKUP(B678,Lookup!$A$14:$A$18,Lookup!$D$14:$D$18,,1)*SUM(E678:F678))</f>
        <v>0</v>
      </c>
      <c r="H678" s="61">
        <f t="array" ref="H678">if(YEAR(A678)=2025,XLOOKUP(B678,Lookup!$F$3:$F$10,Lookup!$G$3:$G$10,,1)*G678, XLOOKUP(B678,Lookup!$F$14:$F$21,Lookup!$G$14:$G$21,,1)*G678)</f>
        <v>0</v>
      </c>
      <c r="I678" s="61">
        <f t="array" ref="I678">if(B678&lt;55, if(YEAR(A678)=2025,XLOOKUP(B678,Lookup!$F$3:$F$10,Lookup!$H$3:$H$10,,1)*G678, XLOOKUP(B678,Lookup!$F$14:$F$21,Lookup!$H$14:$H$21,,1)*G678),0)</f>
        <v>0</v>
      </c>
      <c r="J678" s="61">
        <f t="array" ref="J678">if(YEAR(A678)=2025,XLOOKUP(B678,Lookup!$F$3:$F$10,Lookup!$I$3:$I$10,,1)*G678, XLOOKUP(B678,Lookup!$F$14:$F$21,Lookup!$I$14:$I$21,,1)*G678)</f>
        <v>0</v>
      </c>
      <c r="K678" s="61">
        <f t="array" ref="K678">if(B678&gt;54, if(YEAR(A678)=2025,XLOOKUP(B678,Lookup!$F$3:$F$10,Lookup!$H$3:$H$10,,1)*G678, XLOOKUP(B678,Lookup!$F$14:$F$21,Lookup!$H$14:$H$21,,1)*G678),0)</f>
        <v>0</v>
      </c>
      <c r="L678" s="62">
        <f>IF(and(A678&lt;questions!$C$19,questions!$C$18="yes"),questions!$C$20,0)</f>
        <v>0</v>
      </c>
      <c r="M678" s="63">
        <f>(Y677+H678)*Lookup!A$26/12</f>
        <v>3202.172129</v>
      </c>
      <c r="N678" s="63">
        <f>if(B678&lt;55, (Z677+I678)*Lookup!B$26/12, (AB677+K678)*Lookup!B$26/12)</f>
        <v>6394.5572</v>
      </c>
      <c r="O678" s="63">
        <f>(AA677+J678)*Lookup!C$26/12</f>
        <v>940.3700287</v>
      </c>
      <c r="P678" s="63">
        <f t="shared" si="8"/>
        <v>19213.03277</v>
      </c>
      <c r="Q678" s="63">
        <f t="shared" si="4"/>
        <v>38367.3432</v>
      </c>
      <c r="R678" s="63">
        <f t="shared" si="5"/>
        <v>5642.220172</v>
      </c>
      <c r="S678" s="64">
        <f t="shared" si="9"/>
        <v>33.33333333</v>
      </c>
      <c r="T678" s="64">
        <f t="shared" si="10"/>
        <v>41.66666667</v>
      </c>
      <c r="U678" s="64">
        <f t="shared" si="11"/>
        <v>0</v>
      </c>
      <c r="V678" s="64">
        <f t="shared" ref="V678:X678" si="686">IF(year($A678)=year($A677), V677+S678, S678)</f>
        <v>200</v>
      </c>
      <c r="W678" s="64">
        <f t="shared" si="686"/>
        <v>250</v>
      </c>
      <c r="X678" s="64">
        <f t="shared" si="686"/>
        <v>0</v>
      </c>
      <c r="Y678" s="65">
        <f>IFS(
  B678&lt;55,
    MAX(
      Y677 + IF(MONTH(A678)=12, P678+V678, 0) + H678 - L678
      + MAX(0,
          IF(AA677 &gt;= VLOOKUP(YEAR(A678), Lookup!$Q:$R, 2),
            Z677 + IF(MONTH(A678)=12, Q678+W678, 0) + I678
              + AA677 + IF(MONTH(A678)=12, R678+X678, 0)
              - VLOOKUP(YEAR(A678), Lookup!$Q:$R, 2) + J678,
            Z677 + IF(MONTH(A678)=12, Q678+W678, 0) + I678
          ) - VLOOKUP(YEAR(A678), Lookup!$K:$M, 3)
        ),
    0),
  B678=55,
    IF(Z677&gt;=AD678,
      MAX(Y677 + IF(MONTH(A678)=12, P678+V678, 0) + H678 - L678, 0),
      MAX(MAX(0, Y677-(AD678-Z677)) + IF(MONTH(A678)=12, P678+V678, 0) + H678 - L678, 0)
    ),
  B678&gt;55,
    IF(AB677&gt;=$AH$7,
      MAX(Y677 + IF(MONTH(A678)=12, P678+V678, 0) + H678 - L678 + K678 + Z677, 0),
      MAX(Y677 + IF(MONTH(A678)=12, P678+V678, 0) + H678 - L678, 0)
    )
)</f>
        <v>1537042.622</v>
      </c>
      <c r="Z678" s="65">
        <f>IFS(
  B678&lt;55,
    MIN(
      IF(AA677 &gt;= VLOOKUP(YEAR(A678), Lookup!$Q:$R, 2),
        Z677 + IF(MONTH(A678)=12, Q678+W678, 0) + I678
          + AA677 + IF(MONTH(A678)=12, R678+X678, 0) - VLOOKUP(YEAR(A678), Lookup!$Q:$R, 2) + J678,
        Z677 + IF(MONTH(A678)=12, Q678+W678, 0) + I678
      ),
      VLOOKUP(YEAR(A678), Lookup!$K:$M, 3)
    ),
  B678=55,
    IF(Z677 &gt;= AD678, Z677 - AD678, 0),
  B678&gt;55, 0
)</f>
        <v>0</v>
      </c>
      <c r="AA678" s="65">
        <f>IFS(
  B678&lt;65,
    IF(AA677+J678 &lt; VLOOKUP(YEAR(A678), Lookup!$Q:$R, 2),
      AA677 + IF(MONTH(A678)=12, R677+X677, 0) + J678,
      MIN(
        AA677 + IF(MONTH(A678)=12, R677+X677, 0) + J678 ,
        VLOOKUP(YEAR(A678), Lookup!$Q:$R, 2)
      )
    ),
  B678&gt;=65,
    IF(AA677+J678 &lt; VLOOKUP(questions!$C$5, Lookup!$Q:$R, 2),
      AA677 + IF(MONTH(A678)=12, R677+X677, 0) + J678 ,
      MIN(
        AA677 + IF(MONTH(A678)=12, R677+X677, 0) + J678,
        VLOOKUP(questions!$C$5, Lookup!$Q:$R, 2)
      )
    )
)</f>
        <v>282111.0086</v>
      </c>
      <c r="AB678" s="65">
        <f t="shared" si="13"/>
        <v>1918367.16</v>
      </c>
      <c r="AC678" s="66">
        <f t="array" ref="AC678">IFS(B678&lt;66, XLOOKUP(year(A678),Lookup!$K$13:$K1000,Lookup!$L$13:$L1000,"missing",,1),B678&gt;65,XLOOKUP(questions!$C$5,Lookup!$K$13:$K1000,Lookup!$L$13:$L1000,"missing",,1))</f>
        <v>393675.3633</v>
      </c>
      <c r="AD678" s="66">
        <f t="array" ref="AD678">IFS(B678&lt;66, XLOOKUP(year(A678),Lookup!$K$13:$K1000,Lookup!$M$13:$M1000,"missing",,1),B678&gt;65, XLOOKUP(questions!$C$5,Lookup!$K$13:$K1000,Lookup!$M$13:$M1000,"missing",,1))</f>
        <v>787350.7266</v>
      </c>
      <c r="AE678" s="66">
        <f t="array" ref="AE678">IFS(B678&lt;66, XLOOKUP(year(A678),Lookup!$K$13:$K1000,Lookup!$N$13:$N1000,"missing",,1),B678&gt;65,XLOOKUP(questions!$C$5,Lookup!$K$13:$K1000,Lookup!$N$13:$N1000,"missing",,1))</f>
        <v>1574701.453</v>
      </c>
      <c r="AF678" s="37"/>
      <c r="AG678" s="37"/>
      <c r="AH678" s="37"/>
      <c r="AI678" s="37"/>
      <c r="AJ678" s="37"/>
      <c r="AK678" s="37"/>
      <c r="AL678" s="37"/>
      <c r="AM678" s="37"/>
      <c r="AN678" s="37"/>
      <c r="AO678" s="37"/>
      <c r="AP678" s="37"/>
      <c r="AQ678" s="37"/>
    </row>
    <row r="679">
      <c r="A679" s="55">
        <f t="shared" si="7"/>
        <v>66688</v>
      </c>
      <c r="B679" s="56">
        <f>round(YEARFRAC(EOMONTH(questions!$C$3, 0),A679,1),2)</f>
        <v>83.67</v>
      </c>
      <c r="C679" s="58">
        <f>IF(B679&lt;questions!$C$6,if(MONTH(A679)=1,C678*(1+questions!$C$12),C678),0)</f>
        <v>0</v>
      </c>
      <c r="D679" s="58">
        <f>IF(MONTH(A679)=12,C679*questions!$C$11,0)</f>
        <v>0</v>
      </c>
      <c r="E679" s="71">
        <f t="shared" si="2"/>
        <v>0</v>
      </c>
      <c r="F679" s="71">
        <f t="shared" si="3"/>
        <v>0</v>
      </c>
      <c r="G679" s="61">
        <f t="array" ref="G679">if(YEAR(A679)=2025,XLOOKUP(B679,Lookup!$A$3:$A$7,Lookup!$D$3:$D$7,,1)*SUM(E679:F679), XLOOKUP(B679,Lookup!$A$14:$A$18,Lookup!$D$14:$D$18,,1)*SUM(E679:F679))</f>
        <v>0</v>
      </c>
      <c r="H679" s="61">
        <f t="array" ref="H679">if(YEAR(A679)=2025,XLOOKUP(B679,Lookup!$F$3:$F$10,Lookup!$G$3:$G$10,,1)*G679, XLOOKUP(B679,Lookup!$F$14:$F$21,Lookup!$G$14:$G$21,,1)*G679)</f>
        <v>0</v>
      </c>
      <c r="I679" s="61">
        <f t="array" ref="I679">if(B679&lt;55, if(YEAR(A679)=2025,XLOOKUP(B679,Lookup!$F$3:$F$10,Lookup!$H$3:$H$10,,1)*G679, XLOOKUP(B679,Lookup!$F$14:$F$21,Lookup!$H$14:$H$21,,1)*G679),0)</f>
        <v>0</v>
      </c>
      <c r="J679" s="61">
        <f t="array" ref="J679">if(YEAR(A679)=2025,XLOOKUP(B679,Lookup!$F$3:$F$10,Lookup!$I$3:$I$10,,1)*G679, XLOOKUP(B679,Lookup!$F$14:$F$21,Lookup!$I$14:$I$21,,1)*G679)</f>
        <v>0</v>
      </c>
      <c r="K679" s="61">
        <f t="array" ref="K679">if(B679&gt;54, if(YEAR(A679)=2025,XLOOKUP(B679,Lookup!$F$3:$F$10,Lookup!$H$3:$H$10,,1)*G679, XLOOKUP(B679,Lookup!$F$14:$F$21,Lookup!$H$14:$H$21,,1)*G679),0)</f>
        <v>0</v>
      </c>
      <c r="L679" s="62">
        <f>IF(and(A679&lt;questions!$C$19,questions!$C$18="yes"),questions!$C$20,0)</f>
        <v>0</v>
      </c>
      <c r="M679" s="63">
        <f>(Y678+H679)*Lookup!A$26/12</f>
        <v>3202.172129</v>
      </c>
      <c r="N679" s="63">
        <f>if(B679&lt;55, (Z678+I679)*Lookup!B$26/12, (AB678+K679)*Lookup!B$26/12)</f>
        <v>6394.5572</v>
      </c>
      <c r="O679" s="63">
        <f>(AA678+J679)*Lookup!C$26/12</f>
        <v>940.3700287</v>
      </c>
      <c r="P679" s="63">
        <f t="shared" si="8"/>
        <v>22415.2049</v>
      </c>
      <c r="Q679" s="63">
        <f t="shared" si="4"/>
        <v>44761.9004</v>
      </c>
      <c r="R679" s="63">
        <f t="shared" si="5"/>
        <v>6582.590201</v>
      </c>
      <c r="S679" s="64">
        <f t="shared" si="9"/>
        <v>33.33333333</v>
      </c>
      <c r="T679" s="64">
        <f t="shared" si="10"/>
        <v>41.66666667</v>
      </c>
      <c r="U679" s="64">
        <f t="shared" si="11"/>
        <v>0</v>
      </c>
      <c r="V679" s="64">
        <f t="shared" ref="V679:X679" si="687">IF(year($A679)=year($A678), V678+S679, S679)</f>
        <v>233.3333333</v>
      </c>
      <c r="W679" s="64">
        <f t="shared" si="687"/>
        <v>291.6666667</v>
      </c>
      <c r="X679" s="64">
        <f t="shared" si="687"/>
        <v>0</v>
      </c>
      <c r="Y679" s="65">
        <f>IFS(
  B679&lt;55,
    MAX(
      Y678 + IF(MONTH(A679)=12, P679+V679, 0) + H679 - L679
      + MAX(0,
          IF(AA678 &gt;= VLOOKUP(YEAR(A679), Lookup!$Q:$R, 2),
            Z678 + IF(MONTH(A679)=12, Q679+W679, 0) + I679
              + AA678 + IF(MONTH(A679)=12, R679+X679, 0)
              - VLOOKUP(YEAR(A679), Lookup!$Q:$R, 2) + J679,
            Z678 + IF(MONTH(A679)=12, Q679+W679, 0) + I679
          ) - VLOOKUP(YEAR(A679), Lookup!$K:$M, 3)
        ),
    0),
  B679=55,
    IF(Z678&gt;=AD679,
      MAX(Y678 + IF(MONTH(A679)=12, P679+V679, 0) + H679 - L679, 0),
      MAX(MAX(0, Y678-(AD679-Z678)) + IF(MONTH(A679)=12, P679+V679, 0) + H679 - L679, 0)
    ),
  B679&gt;55,
    IF(AB678&gt;=$AH$7,
      MAX(Y678 + IF(MONTH(A679)=12, P679+V679, 0) + H679 - L679 + K679 + Z678, 0),
      MAX(Y678 + IF(MONTH(A679)=12, P679+V679, 0) + H679 - L679, 0)
    )
)</f>
        <v>1537042.622</v>
      </c>
      <c r="Z679" s="65">
        <f>IFS(
  B679&lt;55,
    MIN(
      IF(AA678 &gt;= VLOOKUP(YEAR(A679), Lookup!$Q:$R, 2),
        Z678 + IF(MONTH(A679)=12, Q679+W679, 0) + I679
          + AA678 + IF(MONTH(A679)=12, R679+X679, 0) - VLOOKUP(YEAR(A679), Lookup!$Q:$R, 2) + J679,
        Z678 + IF(MONTH(A679)=12, Q679+W679, 0) + I679
      ),
      VLOOKUP(YEAR(A679), Lookup!$K:$M, 3)
    ),
  B679=55,
    IF(Z678 &gt;= AD679, Z678 - AD679, 0),
  B679&gt;55, 0
)</f>
        <v>0</v>
      </c>
      <c r="AA679" s="65">
        <f>IFS(
  B679&lt;65,
    IF(AA678+J679 &lt; VLOOKUP(YEAR(A679), Lookup!$Q:$R, 2),
      AA678 + IF(MONTH(A679)=12, R678+X678, 0) + J679,
      MIN(
        AA678 + IF(MONTH(A679)=12, R678+X678, 0) + J679 ,
        VLOOKUP(YEAR(A679), Lookup!$Q:$R, 2)
      )
    ),
  B679&gt;=65,
    IF(AA678+J679 &lt; VLOOKUP(questions!$C$5, Lookup!$Q:$R, 2),
      AA678 + IF(MONTH(A679)=12, R678+X678, 0) + J679 ,
      MIN(
        AA678 + IF(MONTH(A679)=12, R678+X678, 0) + J679,
        VLOOKUP(questions!$C$5, Lookup!$Q:$R, 2)
      )
    )
)</f>
        <v>282111.0086</v>
      </c>
      <c r="AB679" s="65">
        <f t="shared" si="13"/>
        <v>1918367.16</v>
      </c>
      <c r="AC679" s="66">
        <f t="array" ref="AC679">IFS(B679&lt;66, XLOOKUP(year(A679),Lookup!$K$13:$K1000,Lookup!$L$13:$L1000,"missing",,1),B679&gt;65,XLOOKUP(questions!$C$5,Lookup!$K$13:$K1000,Lookup!$L$13:$L1000,"missing",,1))</f>
        <v>393675.3633</v>
      </c>
      <c r="AD679" s="66">
        <f t="array" ref="AD679">IFS(B679&lt;66, XLOOKUP(year(A679),Lookup!$K$13:$K1000,Lookup!$M$13:$M1000,"missing",,1),B679&gt;65, XLOOKUP(questions!$C$5,Lookup!$K$13:$K1000,Lookup!$M$13:$M1000,"missing",,1))</f>
        <v>787350.7266</v>
      </c>
      <c r="AE679" s="66">
        <f t="array" ref="AE679">IFS(B679&lt;66, XLOOKUP(year(A679),Lookup!$K$13:$K1000,Lookup!$N$13:$N1000,"missing",,1),B679&gt;65,XLOOKUP(questions!$C$5,Lookup!$K$13:$K1000,Lookup!$N$13:$N1000,"missing",,1))</f>
        <v>1574701.453</v>
      </c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  <c r="AQ679" s="37"/>
    </row>
    <row r="680">
      <c r="A680" s="55">
        <f t="shared" si="7"/>
        <v>66719</v>
      </c>
      <c r="B680" s="56">
        <f>round(YEARFRAC(EOMONTH(questions!$C$3, 0),A680,1),2)</f>
        <v>83.75</v>
      </c>
      <c r="C680" s="58">
        <f>IF(B680&lt;questions!$C$6,if(MONTH(A680)=1,C679*(1+questions!$C$12),C679),0)</f>
        <v>0</v>
      </c>
      <c r="D680" s="58">
        <f>IF(MONTH(A680)=12,C680*questions!$C$11,0)</f>
        <v>0</v>
      </c>
      <c r="E680" s="71">
        <f t="shared" si="2"/>
        <v>0</v>
      </c>
      <c r="F680" s="71">
        <f t="shared" si="3"/>
        <v>0</v>
      </c>
      <c r="G680" s="61">
        <f t="array" ref="G680">if(YEAR(A680)=2025,XLOOKUP(B680,Lookup!$A$3:$A$7,Lookup!$D$3:$D$7,,1)*SUM(E680:F680), XLOOKUP(B680,Lookup!$A$14:$A$18,Lookup!$D$14:$D$18,,1)*SUM(E680:F680))</f>
        <v>0</v>
      </c>
      <c r="H680" s="61">
        <f t="array" ref="H680">if(YEAR(A680)=2025,XLOOKUP(B680,Lookup!$F$3:$F$10,Lookup!$G$3:$G$10,,1)*G680, XLOOKUP(B680,Lookup!$F$14:$F$21,Lookup!$G$14:$G$21,,1)*G680)</f>
        <v>0</v>
      </c>
      <c r="I680" s="61">
        <f t="array" ref="I680">if(B680&lt;55, if(YEAR(A680)=2025,XLOOKUP(B680,Lookup!$F$3:$F$10,Lookup!$H$3:$H$10,,1)*G680, XLOOKUP(B680,Lookup!$F$14:$F$21,Lookup!$H$14:$H$21,,1)*G680),0)</f>
        <v>0</v>
      </c>
      <c r="J680" s="61">
        <f t="array" ref="J680">if(YEAR(A680)=2025,XLOOKUP(B680,Lookup!$F$3:$F$10,Lookup!$I$3:$I$10,,1)*G680, XLOOKUP(B680,Lookup!$F$14:$F$21,Lookup!$I$14:$I$21,,1)*G680)</f>
        <v>0</v>
      </c>
      <c r="K680" s="61">
        <f t="array" ref="K680">if(B680&gt;54, if(YEAR(A680)=2025,XLOOKUP(B680,Lookup!$F$3:$F$10,Lookup!$H$3:$H$10,,1)*G680, XLOOKUP(B680,Lookup!$F$14:$F$21,Lookup!$H$14:$H$21,,1)*G680),0)</f>
        <v>0</v>
      </c>
      <c r="L680" s="62">
        <f>IF(and(A680&lt;questions!$C$19,questions!$C$18="yes"),questions!$C$20,0)</f>
        <v>0</v>
      </c>
      <c r="M680" s="63">
        <f>(Y679+H680)*Lookup!A$26/12</f>
        <v>3202.172129</v>
      </c>
      <c r="N680" s="63">
        <f>if(B680&lt;55, (Z679+I680)*Lookup!B$26/12, (AB679+K680)*Lookup!B$26/12)</f>
        <v>6394.5572</v>
      </c>
      <c r="O680" s="63">
        <f>(AA679+J680)*Lookup!C$26/12</f>
        <v>940.3700287</v>
      </c>
      <c r="P680" s="63">
        <f t="shared" si="8"/>
        <v>25617.37703</v>
      </c>
      <c r="Q680" s="63">
        <f t="shared" si="4"/>
        <v>51156.4576</v>
      </c>
      <c r="R680" s="63">
        <f t="shared" si="5"/>
        <v>7522.960229</v>
      </c>
      <c r="S680" s="64">
        <f t="shared" si="9"/>
        <v>33.33333333</v>
      </c>
      <c r="T680" s="64">
        <f t="shared" si="10"/>
        <v>41.66666667</v>
      </c>
      <c r="U680" s="64">
        <f t="shared" si="11"/>
        <v>0</v>
      </c>
      <c r="V680" s="64">
        <f t="shared" ref="V680:X680" si="688">IF(year($A680)=year($A679), V679+S680, S680)</f>
        <v>266.6666667</v>
      </c>
      <c r="W680" s="64">
        <f t="shared" si="688"/>
        <v>333.3333333</v>
      </c>
      <c r="X680" s="64">
        <f t="shared" si="688"/>
        <v>0</v>
      </c>
      <c r="Y680" s="65">
        <f>IFS(
  B680&lt;55,
    MAX(
      Y679 + IF(MONTH(A680)=12, P680+V680, 0) + H680 - L680
      + MAX(0,
          IF(AA679 &gt;= VLOOKUP(YEAR(A680), Lookup!$Q:$R, 2),
            Z679 + IF(MONTH(A680)=12, Q680+W680, 0) + I680
              + AA679 + IF(MONTH(A680)=12, R680+X680, 0)
              - VLOOKUP(YEAR(A680), Lookup!$Q:$R, 2) + J680,
            Z679 + IF(MONTH(A680)=12, Q680+W680, 0) + I680
          ) - VLOOKUP(YEAR(A680), Lookup!$K:$M, 3)
        ),
    0),
  B680=55,
    IF(Z679&gt;=AD680,
      MAX(Y679 + IF(MONTH(A680)=12, P680+V680, 0) + H680 - L680, 0),
      MAX(MAX(0, Y679-(AD680-Z679)) + IF(MONTH(A680)=12, P680+V680, 0) + H680 - L680, 0)
    ),
  B680&gt;55,
    IF(AB679&gt;=$AH$7,
      MAX(Y679 + IF(MONTH(A680)=12, P680+V680, 0) + H680 - L680 + K680 + Z679, 0),
      MAX(Y679 + IF(MONTH(A680)=12, P680+V680, 0) + H680 - L680, 0)
    )
)</f>
        <v>1537042.622</v>
      </c>
      <c r="Z680" s="65">
        <f>IFS(
  B680&lt;55,
    MIN(
      IF(AA679 &gt;= VLOOKUP(YEAR(A680), Lookup!$Q:$R, 2),
        Z679 + IF(MONTH(A680)=12, Q680+W680, 0) + I680
          + AA679 + IF(MONTH(A680)=12, R680+X680, 0) - VLOOKUP(YEAR(A680), Lookup!$Q:$R, 2) + J680,
        Z679 + IF(MONTH(A680)=12, Q680+W680, 0) + I680
      ),
      VLOOKUP(YEAR(A680), Lookup!$K:$M, 3)
    ),
  B680=55,
    IF(Z679 &gt;= AD680, Z679 - AD680, 0),
  B680&gt;55, 0
)</f>
        <v>0</v>
      </c>
      <c r="AA680" s="65">
        <f>IFS(
  B680&lt;65,
    IF(AA679+J680 &lt; VLOOKUP(YEAR(A680), Lookup!$Q:$R, 2),
      AA679 + IF(MONTH(A680)=12, R679+X679, 0) + J680,
      MIN(
        AA679 + IF(MONTH(A680)=12, R679+X679, 0) + J680 ,
        VLOOKUP(YEAR(A680), Lookup!$Q:$R, 2)
      )
    ),
  B680&gt;=65,
    IF(AA679+J680 &lt; VLOOKUP(questions!$C$5, Lookup!$Q:$R, 2),
      AA679 + IF(MONTH(A680)=12, R679+X679, 0) + J680 ,
      MIN(
        AA679 + IF(MONTH(A680)=12, R679+X679, 0) + J680,
        VLOOKUP(questions!$C$5, Lookup!$Q:$R, 2)
      )
    )
)</f>
        <v>282111.0086</v>
      </c>
      <c r="AB680" s="65">
        <f t="shared" si="13"/>
        <v>1918367.16</v>
      </c>
      <c r="AC680" s="66">
        <f t="array" ref="AC680">IFS(B680&lt;66, XLOOKUP(year(A680),Lookup!$K$13:$K1000,Lookup!$L$13:$L1000,"missing",,1),B680&gt;65,XLOOKUP(questions!$C$5,Lookup!$K$13:$K1000,Lookup!$L$13:$L1000,"missing",,1))</f>
        <v>393675.3633</v>
      </c>
      <c r="AD680" s="66">
        <f t="array" ref="AD680">IFS(B680&lt;66, XLOOKUP(year(A680),Lookup!$K$13:$K1000,Lookup!$M$13:$M1000,"missing",,1),B680&gt;65, XLOOKUP(questions!$C$5,Lookup!$K$13:$K1000,Lookup!$M$13:$M1000,"missing",,1))</f>
        <v>787350.7266</v>
      </c>
      <c r="AE680" s="66">
        <f t="array" ref="AE680">IFS(B680&lt;66, XLOOKUP(year(A680),Lookup!$K$13:$K1000,Lookup!$N$13:$N1000,"missing",,1),B680&gt;65,XLOOKUP(questions!$C$5,Lookup!$K$13:$K1000,Lookup!$N$13:$N1000,"missing",,1))</f>
        <v>1574701.453</v>
      </c>
      <c r="AF680" s="37"/>
      <c r="AG680" s="37"/>
      <c r="AH680" s="37"/>
      <c r="AI680" s="37"/>
      <c r="AJ680" s="37"/>
      <c r="AK680" s="37"/>
      <c r="AL680" s="37"/>
      <c r="AM680" s="37"/>
      <c r="AN680" s="37"/>
      <c r="AO680" s="37"/>
      <c r="AP680" s="37"/>
      <c r="AQ680" s="37"/>
    </row>
    <row r="681">
      <c r="A681" s="55">
        <f t="shared" si="7"/>
        <v>66749</v>
      </c>
      <c r="B681" s="56">
        <f>round(YEARFRAC(EOMONTH(questions!$C$3, 0),A681,1),2)</f>
        <v>83.83</v>
      </c>
      <c r="C681" s="58">
        <f>IF(B681&lt;questions!$C$6,if(MONTH(A681)=1,C680*(1+questions!$C$12),C680),0)</f>
        <v>0</v>
      </c>
      <c r="D681" s="58">
        <f>IF(MONTH(A681)=12,C681*questions!$C$11,0)</f>
        <v>0</v>
      </c>
      <c r="E681" s="71">
        <f t="shared" si="2"/>
        <v>0</v>
      </c>
      <c r="F681" s="71">
        <f t="shared" si="3"/>
        <v>0</v>
      </c>
      <c r="G681" s="61">
        <f t="array" ref="G681">if(YEAR(A681)=2025,XLOOKUP(B681,Lookup!$A$3:$A$7,Lookup!$D$3:$D$7,,1)*SUM(E681:F681), XLOOKUP(B681,Lookup!$A$14:$A$18,Lookup!$D$14:$D$18,,1)*SUM(E681:F681))</f>
        <v>0</v>
      </c>
      <c r="H681" s="61">
        <f t="array" ref="H681">if(YEAR(A681)=2025,XLOOKUP(B681,Lookup!$F$3:$F$10,Lookup!$G$3:$G$10,,1)*G681, XLOOKUP(B681,Lookup!$F$14:$F$21,Lookup!$G$14:$G$21,,1)*G681)</f>
        <v>0</v>
      </c>
      <c r="I681" s="61">
        <f t="array" ref="I681">if(B681&lt;55, if(YEAR(A681)=2025,XLOOKUP(B681,Lookup!$F$3:$F$10,Lookup!$H$3:$H$10,,1)*G681, XLOOKUP(B681,Lookup!$F$14:$F$21,Lookup!$H$14:$H$21,,1)*G681),0)</f>
        <v>0</v>
      </c>
      <c r="J681" s="61">
        <f t="array" ref="J681">if(YEAR(A681)=2025,XLOOKUP(B681,Lookup!$F$3:$F$10,Lookup!$I$3:$I$10,,1)*G681, XLOOKUP(B681,Lookup!$F$14:$F$21,Lookup!$I$14:$I$21,,1)*G681)</f>
        <v>0</v>
      </c>
      <c r="K681" s="61">
        <f t="array" ref="K681">if(B681&gt;54, if(YEAR(A681)=2025,XLOOKUP(B681,Lookup!$F$3:$F$10,Lookup!$H$3:$H$10,,1)*G681, XLOOKUP(B681,Lookup!$F$14:$F$21,Lookup!$H$14:$H$21,,1)*G681),0)</f>
        <v>0</v>
      </c>
      <c r="L681" s="62">
        <f>IF(and(A681&lt;questions!$C$19,questions!$C$18="yes"),questions!$C$20,0)</f>
        <v>0</v>
      </c>
      <c r="M681" s="63">
        <f>(Y680+H681)*Lookup!A$26/12</f>
        <v>3202.172129</v>
      </c>
      <c r="N681" s="63">
        <f>if(B681&lt;55, (Z680+I681)*Lookup!B$26/12, (AB680+K681)*Lookup!B$26/12)</f>
        <v>6394.5572</v>
      </c>
      <c r="O681" s="63">
        <f>(AA680+J681)*Lookup!C$26/12</f>
        <v>940.3700287</v>
      </c>
      <c r="P681" s="63">
        <f t="shared" si="8"/>
        <v>28819.54916</v>
      </c>
      <c r="Q681" s="63">
        <f t="shared" si="4"/>
        <v>57551.0148</v>
      </c>
      <c r="R681" s="63">
        <f t="shared" si="5"/>
        <v>8463.330258</v>
      </c>
      <c r="S681" s="64">
        <f t="shared" si="9"/>
        <v>33.33333333</v>
      </c>
      <c r="T681" s="64">
        <f t="shared" si="10"/>
        <v>41.66666667</v>
      </c>
      <c r="U681" s="64">
        <f t="shared" si="11"/>
        <v>0</v>
      </c>
      <c r="V681" s="64">
        <f t="shared" ref="V681:X681" si="689">IF(year($A681)=year($A680), V680+S681, S681)</f>
        <v>300</v>
      </c>
      <c r="W681" s="64">
        <f t="shared" si="689"/>
        <v>375</v>
      </c>
      <c r="X681" s="64">
        <f t="shared" si="689"/>
        <v>0</v>
      </c>
      <c r="Y681" s="65">
        <f>IFS(
  B681&lt;55,
    MAX(
      Y680 + IF(MONTH(A681)=12, P681+V681, 0) + H681 - L681
      + MAX(0,
          IF(AA680 &gt;= VLOOKUP(YEAR(A681), Lookup!$Q:$R, 2),
            Z680 + IF(MONTH(A681)=12, Q681+W681, 0) + I681
              + AA680 + IF(MONTH(A681)=12, R681+X681, 0)
              - VLOOKUP(YEAR(A681), Lookup!$Q:$R, 2) + J681,
            Z680 + IF(MONTH(A681)=12, Q681+W681, 0) + I681
          ) - VLOOKUP(YEAR(A681), Lookup!$K:$M, 3)
        ),
    0),
  B681=55,
    IF(Z680&gt;=AD681,
      MAX(Y680 + IF(MONTH(A681)=12, P681+V681, 0) + H681 - L681, 0),
      MAX(MAX(0, Y680-(AD681-Z680)) + IF(MONTH(A681)=12, P681+V681, 0) + H681 - L681, 0)
    ),
  B681&gt;55,
    IF(AB680&gt;=$AH$7,
      MAX(Y680 + IF(MONTH(A681)=12, P681+V681, 0) + H681 - L681 + K681 + Z680, 0),
      MAX(Y680 + IF(MONTH(A681)=12, P681+V681, 0) + H681 - L681, 0)
    )
)</f>
        <v>1537042.622</v>
      </c>
      <c r="Z681" s="65">
        <f>IFS(
  B681&lt;55,
    MIN(
      IF(AA680 &gt;= VLOOKUP(YEAR(A681), Lookup!$Q:$R, 2),
        Z680 + IF(MONTH(A681)=12, Q681+W681, 0) + I681
          + AA680 + IF(MONTH(A681)=12, R681+X681, 0) - VLOOKUP(YEAR(A681), Lookup!$Q:$R, 2) + J681,
        Z680 + IF(MONTH(A681)=12, Q681+W681, 0) + I681
      ),
      VLOOKUP(YEAR(A681), Lookup!$K:$M, 3)
    ),
  B681=55,
    IF(Z680 &gt;= AD681, Z680 - AD681, 0),
  B681&gt;55, 0
)</f>
        <v>0</v>
      </c>
      <c r="AA681" s="65">
        <f>IFS(
  B681&lt;65,
    IF(AA680+J681 &lt; VLOOKUP(YEAR(A681), Lookup!$Q:$R, 2),
      AA680 + IF(MONTH(A681)=12, R680+X680, 0) + J681,
      MIN(
        AA680 + IF(MONTH(A681)=12, R680+X680, 0) + J681 ,
        VLOOKUP(YEAR(A681), Lookup!$Q:$R, 2)
      )
    ),
  B681&gt;=65,
    IF(AA680+J681 &lt; VLOOKUP(questions!$C$5, Lookup!$Q:$R, 2),
      AA680 + IF(MONTH(A681)=12, R680+X680, 0) + J681 ,
      MIN(
        AA680 + IF(MONTH(A681)=12, R680+X680, 0) + J681,
        VLOOKUP(questions!$C$5, Lookup!$Q:$R, 2)
      )
    )
)</f>
        <v>282111.0086</v>
      </c>
      <c r="AB681" s="65">
        <f t="shared" si="13"/>
        <v>1918367.16</v>
      </c>
      <c r="AC681" s="66">
        <f t="array" ref="AC681">IFS(B681&lt;66, XLOOKUP(year(A681),Lookup!$K$13:$K1000,Lookup!$L$13:$L1000,"missing",,1),B681&gt;65,XLOOKUP(questions!$C$5,Lookup!$K$13:$K1000,Lookup!$L$13:$L1000,"missing",,1))</f>
        <v>393675.3633</v>
      </c>
      <c r="AD681" s="66">
        <f t="array" ref="AD681">IFS(B681&lt;66, XLOOKUP(year(A681),Lookup!$K$13:$K1000,Lookup!$M$13:$M1000,"missing",,1),B681&gt;65, XLOOKUP(questions!$C$5,Lookup!$K$13:$K1000,Lookup!$M$13:$M1000,"missing",,1))</f>
        <v>787350.7266</v>
      </c>
      <c r="AE681" s="66">
        <f t="array" ref="AE681">IFS(B681&lt;66, XLOOKUP(year(A681),Lookup!$K$13:$K1000,Lookup!$N$13:$N1000,"missing",,1),B681&gt;65,XLOOKUP(questions!$C$5,Lookup!$K$13:$K1000,Lookup!$N$13:$N1000,"missing",,1))</f>
        <v>1574701.453</v>
      </c>
      <c r="AF681" s="37"/>
      <c r="AG681" s="37"/>
      <c r="AH681" s="37"/>
      <c r="AI681" s="37"/>
      <c r="AJ681" s="37"/>
      <c r="AK681" s="37"/>
      <c r="AL681" s="37"/>
      <c r="AM681" s="37"/>
      <c r="AN681" s="37"/>
      <c r="AO681" s="37"/>
      <c r="AP681" s="37"/>
      <c r="AQ681" s="37"/>
    </row>
    <row r="682">
      <c r="A682" s="55">
        <f t="shared" si="7"/>
        <v>66780</v>
      </c>
      <c r="B682" s="56">
        <f>round(YEARFRAC(EOMONTH(questions!$C$3, 0),A682,1),2)</f>
        <v>83.92</v>
      </c>
      <c r="C682" s="58">
        <f>IF(B682&lt;questions!$C$6,if(MONTH(A682)=1,C681*(1+questions!$C$12),C681),0)</f>
        <v>0</v>
      </c>
      <c r="D682" s="58">
        <f>IF(MONTH(A682)=12,C682*questions!$C$11,0)</f>
        <v>0</v>
      </c>
      <c r="E682" s="71">
        <f t="shared" si="2"/>
        <v>0</v>
      </c>
      <c r="F682" s="71">
        <f t="shared" si="3"/>
        <v>0</v>
      </c>
      <c r="G682" s="61">
        <f t="array" ref="G682">if(YEAR(A682)=2025,XLOOKUP(B682,Lookup!$A$3:$A$7,Lookup!$D$3:$D$7,,1)*SUM(E682:F682), XLOOKUP(B682,Lookup!$A$14:$A$18,Lookup!$D$14:$D$18,,1)*SUM(E682:F682))</f>
        <v>0</v>
      </c>
      <c r="H682" s="61">
        <f t="array" ref="H682">if(YEAR(A682)=2025,XLOOKUP(B682,Lookup!$F$3:$F$10,Lookup!$G$3:$G$10,,1)*G682, XLOOKUP(B682,Lookup!$F$14:$F$21,Lookup!$G$14:$G$21,,1)*G682)</f>
        <v>0</v>
      </c>
      <c r="I682" s="61">
        <f t="array" ref="I682">if(B682&lt;55, if(YEAR(A682)=2025,XLOOKUP(B682,Lookup!$F$3:$F$10,Lookup!$H$3:$H$10,,1)*G682, XLOOKUP(B682,Lookup!$F$14:$F$21,Lookup!$H$14:$H$21,,1)*G682),0)</f>
        <v>0</v>
      </c>
      <c r="J682" s="61">
        <f t="array" ref="J682">if(YEAR(A682)=2025,XLOOKUP(B682,Lookup!$F$3:$F$10,Lookup!$I$3:$I$10,,1)*G682, XLOOKUP(B682,Lookup!$F$14:$F$21,Lookup!$I$14:$I$21,,1)*G682)</f>
        <v>0</v>
      </c>
      <c r="K682" s="61">
        <f t="array" ref="K682">if(B682&gt;54, if(YEAR(A682)=2025,XLOOKUP(B682,Lookup!$F$3:$F$10,Lookup!$H$3:$H$10,,1)*G682, XLOOKUP(B682,Lookup!$F$14:$F$21,Lookup!$H$14:$H$21,,1)*G682),0)</f>
        <v>0</v>
      </c>
      <c r="L682" s="62">
        <f>IF(and(A682&lt;questions!$C$19,questions!$C$18="yes"),questions!$C$20,0)</f>
        <v>0</v>
      </c>
      <c r="M682" s="63">
        <f>(Y681+H682)*Lookup!A$26/12</f>
        <v>3202.172129</v>
      </c>
      <c r="N682" s="63">
        <f>if(B682&lt;55, (Z681+I682)*Lookup!B$26/12, (AB681+K682)*Lookup!B$26/12)</f>
        <v>6394.5572</v>
      </c>
      <c r="O682" s="63">
        <f>(AA681+J682)*Lookup!C$26/12</f>
        <v>940.3700287</v>
      </c>
      <c r="P682" s="63">
        <f t="shared" si="8"/>
        <v>32021.72129</v>
      </c>
      <c r="Q682" s="63">
        <f t="shared" si="4"/>
        <v>63945.572</v>
      </c>
      <c r="R682" s="63">
        <f t="shared" si="5"/>
        <v>9403.700287</v>
      </c>
      <c r="S682" s="64">
        <f t="shared" si="9"/>
        <v>33.33333333</v>
      </c>
      <c r="T682" s="64">
        <f t="shared" si="10"/>
        <v>41.66666667</v>
      </c>
      <c r="U682" s="64">
        <f t="shared" si="11"/>
        <v>0</v>
      </c>
      <c r="V682" s="64">
        <f t="shared" ref="V682:X682" si="690">IF(year($A682)=year($A681), V681+S682, S682)</f>
        <v>333.3333333</v>
      </c>
      <c r="W682" s="64">
        <f t="shared" si="690"/>
        <v>416.6666667</v>
      </c>
      <c r="X682" s="64">
        <f t="shared" si="690"/>
        <v>0</v>
      </c>
      <c r="Y682" s="65">
        <f>IFS(
  B682&lt;55,
    MAX(
      Y681 + IF(MONTH(A682)=12, P682+V682, 0) + H682 - L682
      + MAX(0,
          IF(AA681 &gt;= VLOOKUP(YEAR(A682), Lookup!$Q:$R, 2),
            Z681 + IF(MONTH(A682)=12, Q682+W682, 0) + I682
              + AA681 + IF(MONTH(A682)=12, R682+X682, 0)
              - VLOOKUP(YEAR(A682), Lookup!$Q:$R, 2) + J682,
            Z681 + IF(MONTH(A682)=12, Q682+W682, 0) + I682
          ) - VLOOKUP(YEAR(A682), Lookup!$K:$M, 3)
        ),
    0),
  B682=55,
    IF(Z681&gt;=AD682,
      MAX(Y681 + IF(MONTH(A682)=12, P682+V682, 0) + H682 - L682, 0),
      MAX(MAX(0, Y681-(AD682-Z681)) + IF(MONTH(A682)=12, P682+V682, 0) + H682 - L682, 0)
    ),
  B682&gt;55,
    IF(AB681&gt;=$AH$7,
      MAX(Y681 + IF(MONTH(A682)=12, P682+V682, 0) + H682 - L682 + K682 + Z681, 0),
      MAX(Y681 + IF(MONTH(A682)=12, P682+V682, 0) + H682 - L682, 0)
    )
)</f>
        <v>1537042.622</v>
      </c>
      <c r="Z682" s="65">
        <f>IFS(
  B682&lt;55,
    MIN(
      IF(AA681 &gt;= VLOOKUP(YEAR(A682), Lookup!$Q:$R, 2),
        Z681 + IF(MONTH(A682)=12, Q682+W682, 0) + I682
          + AA681 + IF(MONTH(A682)=12, R682+X682, 0) - VLOOKUP(YEAR(A682), Lookup!$Q:$R, 2) + J682,
        Z681 + IF(MONTH(A682)=12, Q682+W682, 0) + I682
      ),
      VLOOKUP(YEAR(A682), Lookup!$K:$M, 3)
    ),
  B682=55,
    IF(Z681 &gt;= AD682, Z681 - AD682, 0),
  B682&gt;55, 0
)</f>
        <v>0</v>
      </c>
      <c r="AA682" s="65">
        <f>IFS(
  B682&lt;65,
    IF(AA681+J682 &lt; VLOOKUP(YEAR(A682), Lookup!$Q:$R, 2),
      AA681 + IF(MONTH(A682)=12, R681+X681, 0) + J682,
      MIN(
        AA681 + IF(MONTH(A682)=12, R681+X681, 0) + J682 ,
        VLOOKUP(YEAR(A682), Lookup!$Q:$R, 2)
      )
    ),
  B682&gt;=65,
    IF(AA681+J682 &lt; VLOOKUP(questions!$C$5, Lookup!$Q:$R, 2),
      AA681 + IF(MONTH(A682)=12, R681+X681, 0) + J682 ,
      MIN(
        AA681 + IF(MONTH(A682)=12, R681+X681, 0) + J682,
        VLOOKUP(questions!$C$5, Lookup!$Q:$R, 2)
      )
    )
)</f>
        <v>282111.0086</v>
      </c>
      <c r="AB682" s="65">
        <f t="shared" si="13"/>
        <v>1918367.16</v>
      </c>
      <c r="AC682" s="66">
        <f t="array" ref="AC682">IFS(B682&lt;66, XLOOKUP(year(A682),Lookup!$K$13:$K1000,Lookup!$L$13:$L1000,"missing",,1),B682&gt;65,XLOOKUP(questions!$C$5,Lookup!$K$13:$K1000,Lookup!$L$13:$L1000,"missing",,1))</f>
        <v>393675.3633</v>
      </c>
      <c r="AD682" s="66">
        <f t="array" ref="AD682">IFS(B682&lt;66, XLOOKUP(year(A682),Lookup!$K$13:$K1000,Lookup!$M$13:$M1000,"missing",,1),B682&gt;65, XLOOKUP(questions!$C$5,Lookup!$K$13:$K1000,Lookup!$M$13:$M1000,"missing",,1))</f>
        <v>787350.7266</v>
      </c>
      <c r="AE682" s="66">
        <f t="array" ref="AE682">IFS(B682&lt;66, XLOOKUP(year(A682),Lookup!$K$13:$K1000,Lookup!$N$13:$N1000,"missing",,1),B682&gt;65,XLOOKUP(questions!$C$5,Lookup!$K$13:$K1000,Lookup!$N$13:$N1000,"missing",,1))</f>
        <v>1574701.453</v>
      </c>
      <c r="AF682" s="37"/>
      <c r="AG682" s="37"/>
      <c r="AH682" s="37"/>
      <c r="AI682" s="37"/>
      <c r="AJ682" s="37"/>
      <c r="AK682" s="37"/>
      <c r="AL682" s="37"/>
      <c r="AM682" s="37"/>
      <c r="AN682" s="37"/>
      <c r="AO682" s="37"/>
      <c r="AP682" s="37"/>
      <c r="AQ682" s="37"/>
    </row>
    <row r="683">
      <c r="A683" s="55">
        <f t="shared" si="7"/>
        <v>66810</v>
      </c>
      <c r="B683" s="56">
        <f>round(YEARFRAC(EOMONTH(questions!$C$3, 0),A683,1),2)</f>
        <v>84</v>
      </c>
      <c r="C683" s="58">
        <f>IF(B683&lt;questions!$C$6,if(MONTH(A683)=1,C682*(1+questions!$C$12),C682),0)</f>
        <v>0</v>
      </c>
      <c r="D683" s="58">
        <f>IF(MONTH(A683)=12,C683*questions!$C$11,0)</f>
        <v>0</v>
      </c>
      <c r="E683" s="71">
        <f t="shared" si="2"/>
        <v>0</v>
      </c>
      <c r="F683" s="71">
        <f t="shared" si="3"/>
        <v>0</v>
      </c>
      <c r="G683" s="61">
        <f t="array" ref="G683">if(YEAR(A683)=2025,XLOOKUP(B683,Lookup!$A$3:$A$7,Lookup!$D$3:$D$7,,1)*SUM(E683:F683), XLOOKUP(B683,Lookup!$A$14:$A$18,Lookup!$D$14:$D$18,,1)*SUM(E683:F683))</f>
        <v>0</v>
      </c>
      <c r="H683" s="61">
        <f t="array" ref="H683">if(YEAR(A683)=2025,XLOOKUP(B683,Lookup!$F$3:$F$10,Lookup!$G$3:$G$10,,1)*G683, XLOOKUP(B683,Lookup!$F$14:$F$21,Lookup!$G$14:$G$21,,1)*G683)</f>
        <v>0</v>
      </c>
      <c r="I683" s="61">
        <f t="array" ref="I683">if(B683&lt;55, if(YEAR(A683)=2025,XLOOKUP(B683,Lookup!$F$3:$F$10,Lookup!$H$3:$H$10,,1)*G683, XLOOKUP(B683,Lookup!$F$14:$F$21,Lookup!$H$14:$H$21,,1)*G683),0)</f>
        <v>0</v>
      </c>
      <c r="J683" s="61">
        <f t="array" ref="J683">if(YEAR(A683)=2025,XLOOKUP(B683,Lookup!$F$3:$F$10,Lookup!$I$3:$I$10,,1)*G683, XLOOKUP(B683,Lookup!$F$14:$F$21,Lookup!$I$14:$I$21,,1)*G683)</f>
        <v>0</v>
      </c>
      <c r="K683" s="61">
        <f t="array" ref="K683">if(B683&gt;54, if(YEAR(A683)=2025,XLOOKUP(B683,Lookup!$F$3:$F$10,Lookup!$H$3:$H$10,,1)*G683, XLOOKUP(B683,Lookup!$F$14:$F$21,Lookup!$H$14:$H$21,,1)*G683),0)</f>
        <v>0</v>
      </c>
      <c r="L683" s="62">
        <f>IF(and(A683&lt;questions!$C$19,questions!$C$18="yes"),questions!$C$20,0)</f>
        <v>0</v>
      </c>
      <c r="M683" s="63">
        <f>(Y682+H683)*Lookup!A$26/12</f>
        <v>3202.172129</v>
      </c>
      <c r="N683" s="63">
        <f>if(B683&lt;55, (Z682+I683)*Lookup!B$26/12, (AB682+K683)*Lookup!B$26/12)</f>
        <v>6394.5572</v>
      </c>
      <c r="O683" s="63">
        <f>(AA682+J683)*Lookup!C$26/12</f>
        <v>940.3700287</v>
      </c>
      <c r="P683" s="63">
        <f t="shared" si="8"/>
        <v>35223.89342</v>
      </c>
      <c r="Q683" s="63">
        <f t="shared" si="4"/>
        <v>70340.12921</v>
      </c>
      <c r="R683" s="63">
        <f t="shared" si="5"/>
        <v>10344.07032</v>
      </c>
      <c r="S683" s="64">
        <f t="shared" si="9"/>
        <v>33.33333333</v>
      </c>
      <c r="T683" s="64">
        <f t="shared" si="10"/>
        <v>41.66666667</v>
      </c>
      <c r="U683" s="64">
        <f t="shared" si="11"/>
        <v>0</v>
      </c>
      <c r="V683" s="64">
        <f t="shared" ref="V683:X683" si="691">IF(year($A683)=year($A682), V682+S683, S683)</f>
        <v>366.6666667</v>
      </c>
      <c r="W683" s="64">
        <f t="shared" si="691"/>
        <v>458.3333333</v>
      </c>
      <c r="X683" s="64">
        <f t="shared" si="691"/>
        <v>0</v>
      </c>
      <c r="Y683" s="65">
        <f>IFS(
  B683&lt;55,
    MAX(
      Y682 + IF(MONTH(A683)=12, P683+V683, 0) + H683 - L683
      + MAX(0,
          IF(AA682 &gt;= VLOOKUP(YEAR(A683), Lookup!$Q:$R, 2),
            Z682 + IF(MONTH(A683)=12, Q683+W683, 0) + I683
              + AA682 + IF(MONTH(A683)=12, R683+X683, 0)
              - VLOOKUP(YEAR(A683), Lookup!$Q:$R, 2) + J683,
            Z682 + IF(MONTH(A683)=12, Q683+W683, 0) + I683
          ) - VLOOKUP(YEAR(A683), Lookup!$K:$M, 3)
        ),
    0),
  B683=55,
    IF(Z682&gt;=AD683,
      MAX(Y682 + IF(MONTH(A683)=12, P683+V683, 0) + H683 - L683, 0),
      MAX(MAX(0, Y682-(AD683-Z682)) + IF(MONTH(A683)=12, P683+V683, 0) + H683 - L683, 0)
    ),
  B683&gt;55,
    IF(AB682&gt;=$AH$7,
      MAX(Y682 + IF(MONTH(A683)=12, P683+V683, 0) + H683 - L683 + K683 + Z682, 0),
      MAX(Y682 + IF(MONTH(A683)=12, P683+V683, 0) + H683 - L683, 0)
    )
)</f>
        <v>1537042.622</v>
      </c>
      <c r="Z683" s="65">
        <f>IFS(
  B683&lt;55,
    MIN(
      IF(AA682 &gt;= VLOOKUP(YEAR(A683), Lookup!$Q:$R, 2),
        Z682 + IF(MONTH(A683)=12, Q683+W683, 0) + I683
          + AA682 + IF(MONTH(A683)=12, R683+X683, 0) - VLOOKUP(YEAR(A683), Lookup!$Q:$R, 2) + J683,
        Z682 + IF(MONTH(A683)=12, Q683+W683, 0) + I683
      ),
      VLOOKUP(YEAR(A683), Lookup!$K:$M, 3)
    ),
  B683=55,
    IF(Z682 &gt;= AD683, Z682 - AD683, 0),
  B683&gt;55, 0
)</f>
        <v>0</v>
      </c>
      <c r="AA683" s="65">
        <f>IFS(
  B683&lt;65,
    IF(AA682+J683 &lt; VLOOKUP(YEAR(A683), Lookup!$Q:$R, 2),
      AA682 + IF(MONTH(A683)=12, R682+X682, 0) + J683,
      MIN(
        AA682 + IF(MONTH(A683)=12, R682+X682, 0) + J683 ,
        VLOOKUP(YEAR(A683), Lookup!$Q:$R, 2)
      )
    ),
  B683&gt;=65,
    IF(AA682+J683 &lt; VLOOKUP(questions!$C$5, Lookup!$Q:$R, 2),
      AA682 + IF(MONTH(A683)=12, R682+X682, 0) + J683 ,
      MIN(
        AA682 + IF(MONTH(A683)=12, R682+X682, 0) + J683,
        VLOOKUP(questions!$C$5, Lookup!$Q:$R, 2)
      )
    )
)</f>
        <v>282111.0086</v>
      </c>
      <c r="AB683" s="65">
        <f t="shared" si="13"/>
        <v>1918367.16</v>
      </c>
      <c r="AC683" s="66">
        <f t="array" ref="AC683">IFS(B683&lt;66, XLOOKUP(year(A683),Lookup!$K$13:$K1000,Lookup!$L$13:$L1000,"missing",,1),B683&gt;65,XLOOKUP(questions!$C$5,Lookup!$K$13:$K1000,Lookup!$L$13:$L1000,"missing",,1))</f>
        <v>393675.3633</v>
      </c>
      <c r="AD683" s="66">
        <f t="array" ref="AD683">IFS(B683&lt;66, XLOOKUP(year(A683),Lookup!$K$13:$K1000,Lookup!$M$13:$M1000,"missing",,1),B683&gt;65, XLOOKUP(questions!$C$5,Lookup!$K$13:$K1000,Lookup!$M$13:$M1000,"missing",,1))</f>
        <v>787350.7266</v>
      </c>
      <c r="AE683" s="66">
        <f t="array" ref="AE683">IFS(B683&lt;66, XLOOKUP(year(A683),Lookup!$K$13:$K1000,Lookup!$N$13:$N1000,"missing",,1),B683&gt;65,XLOOKUP(questions!$C$5,Lookup!$K$13:$K1000,Lookup!$N$13:$N1000,"missing",,1))</f>
        <v>1574701.453</v>
      </c>
      <c r="AF683" s="37"/>
      <c r="AG683" s="37"/>
      <c r="AH683" s="37"/>
      <c r="AI683" s="37"/>
      <c r="AJ683" s="37"/>
      <c r="AK683" s="37"/>
      <c r="AL683" s="37"/>
      <c r="AM683" s="37"/>
      <c r="AN683" s="37"/>
      <c r="AO683" s="37"/>
      <c r="AP683" s="37"/>
      <c r="AQ683" s="37"/>
    </row>
    <row r="684">
      <c r="A684" s="55">
        <f t="shared" si="7"/>
        <v>66841</v>
      </c>
      <c r="B684" s="56">
        <f>round(YEARFRAC(EOMONTH(questions!$C$3, 0),A684,1),2)</f>
        <v>84.08</v>
      </c>
      <c r="C684" s="58">
        <f>IF(B684&lt;questions!$C$6,if(MONTH(A684)=1,C683*(1+questions!$C$12),C683),0)</f>
        <v>0</v>
      </c>
      <c r="D684" s="58">
        <f>IF(MONTH(A684)=12,C684*questions!$C$11,0)</f>
        <v>0</v>
      </c>
      <c r="E684" s="71">
        <f t="shared" si="2"/>
        <v>0</v>
      </c>
      <c r="F684" s="71">
        <f t="shared" si="3"/>
        <v>0</v>
      </c>
      <c r="G684" s="61">
        <f t="array" ref="G684">if(YEAR(A684)=2025,XLOOKUP(B684,Lookup!$A$3:$A$7,Lookup!$D$3:$D$7,,1)*SUM(E684:F684), XLOOKUP(B684,Lookup!$A$14:$A$18,Lookup!$D$14:$D$18,,1)*SUM(E684:F684))</f>
        <v>0</v>
      </c>
      <c r="H684" s="61">
        <f t="array" ref="H684">if(YEAR(A684)=2025,XLOOKUP(B684,Lookup!$F$3:$F$10,Lookup!$G$3:$G$10,,1)*G684, XLOOKUP(B684,Lookup!$F$14:$F$21,Lookup!$G$14:$G$21,,1)*G684)</f>
        <v>0</v>
      </c>
      <c r="I684" s="61">
        <f t="array" ref="I684">if(B684&lt;55, if(YEAR(A684)=2025,XLOOKUP(B684,Lookup!$F$3:$F$10,Lookup!$H$3:$H$10,,1)*G684, XLOOKUP(B684,Lookup!$F$14:$F$21,Lookup!$H$14:$H$21,,1)*G684),0)</f>
        <v>0</v>
      </c>
      <c r="J684" s="61">
        <f t="array" ref="J684">if(YEAR(A684)=2025,XLOOKUP(B684,Lookup!$F$3:$F$10,Lookup!$I$3:$I$10,,1)*G684, XLOOKUP(B684,Lookup!$F$14:$F$21,Lookup!$I$14:$I$21,,1)*G684)</f>
        <v>0</v>
      </c>
      <c r="K684" s="61">
        <f t="array" ref="K684">if(B684&gt;54, if(YEAR(A684)=2025,XLOOKUP(B684,Lookup!$F$3:$F$10,Lookup!$H$3:$H$10,,1)*G684, XLOOKUP(B684,Lookup!$F$14:$F$21,Lookup!$H$14:$H$21,,1)*G684),0)</f>
        <v>0</v>
      </c>
      <c r="L684" s="62">
        <f>IF(and(A684&lt;questions!$C$19,questions!$C$18="yes"),questions!$C$20,0)</f>
        <v>0</v>
      </c>
      <c r="M684" s="63">
        <f>(Y683+H684)*Lookup!A$26/12</f>
        <v>3202.172129</v>
      </c>
      <c r="N684" s="63">
        <f>if(B684&lt;55, (Z683+I684)*Lookup!B$26/12, (AB683+K684)*Lookup!B$26/12)</f>
        <v>6394.5572</v>
      </c>
      <c r="O684" s="63">
        <f>(AA683+J684)*Lookup!C$26/12</f>
        <v>940.3700287</v>
      </c>
      <c r="P684" s="63">
        <f t="shared" si="8"/>
        <v>38426.06555</v>
      </c>
      <c r="Q684" s="63">
        <f t="shared" si="4"/>
        <v>76734.68641</v>
      </c>
      <c r="R684" s="63">
        <f t="shared" si="5"/>
        <v>11284.44034</v>
      </c>
      <c r="S684" s="64">
        <f t="shared" si="9"/>
        <v>33.33333333</v>
      </c>
      <c r="T684" s="64">
        <f t="shared" si="10"/>
        <v>41.66666667</v>
      </c>
      <c r="U684" s="64">
        <f t="shared" si="11"/>
        <v>0</v>
      </c>
      <c r="V684" s="64">
        <f t="shared" ref="V684:X684" si="692">IF(year($A684)=year($A683), V683+S684, S684)</f>
        <v>400</v>
      </c>
      <c r="W684" s="64">
        <f t="shared" si="692"/>
        <v>500</v>
      </c>
      <c r="X684" s="64">
        <f t="shared" si="692"/>
        <v>0</v>
      </c>
      <c r="Y684" s="65">
        <f>IFS(
  B684&lt;55,
    MAX(
      Y683 + IF(MONTH(A684)=12, P684+V684, 0) + H684 - L684
      + MAX(0,
          IF(AA683 &gt;= VLOOKUP(YEAR(A684), Lookup!$Q:$R, 2),
            Z683 + IF(MONTH(A684)=12, Q684+W684, 0) + I684
              + AA683 + IF(MONTH(A684)=12, R684+X684, 0)
              - VLOOKUP(YEAR(A684), Lookup!$Q:$R, 2) + J684,
            Z683 + IF(MONTH(A684)=12, Q684+W684, 0) + I684
          ) - VLOOKUP(YEAR(A684), Lookup!$K:$M, 3)
        ),
    0),
  B684=55,
    IF(Z683&gt;=AD684,
      MAX(Y683 + IF(MONTH(A684)=12, P684+V684, 0) + H684 - L684, 0),
      MAX(MAX(0, Y683-(AD684-Z683)) + IF(MONTH(A684)=12, P684+V684, 0) + H684 - L684, 0)
    ),
  B684&gt;55,
    IF(AB683&gt;=$AH$7,
      MAX(Y683 + IF(MONTH(A684)=12, P684+V684, 0) + H684 - L684 + K684 + Z683, 0),
      MAX(Y683 + IF(MONTH(A684)=12, P684+V684, 0) + H684 - L684, 0)
    )
)</f>
        <v>1575868.688</v>
      </c>
      <c r="Z684" s="65">
        <f>IFS(
  B684&lt;55,
    MIN(
      IF(AA683 &gt;= VLOOKUP(YEAR(A684), Lookup!$Q:$R, 2),
        Z683 + IF(MONTH(A684)=12, Q684+W684, 0) + I684
          + AA683 + IF(MONTH(A684)=12, R684+X684, 0) - VLOOKUP(YEAR(A684), Lookup!$Q:$R, 2) + J684,
        Z683 + IF(MONTH(A684)=12, Q684+W684, 0) + I684
      ),
      VLOOKUP(YEAR(A684), Lookup!$K:$M, 3)
    ),
  B684=55,
    IF(Z683 &gt;= AD684, Z683 - AD684, 0),
  B684&gt;55, 0
)</f>
        <v>0</v>
      </c>
      <c r="AA684" s="65">
        <f>IFS(
  B684&lt;65,
    IF(AA683+J684 &lt; VLOOKUP(YEAR(A684), Lookup!$Q:$R, 2),
      AA683 + IF(MONTH(A684)=12, R683+X683, 0) + J684,
      MIN(
        AA683 + IF(MONTH(A684)=12, R683+X683, 0) + J684 ,
        VLOOKUP(YEAR(A684), Lookup!$Q:$R, 2)
      )
    ),
  B684&gt;=65,
    IF(AA683+J684 &lt; VLOOKUP(questions!$C$5, Lookup!$Q:$R, 2),
      AA683 + IF(MONTH(A684)=12, R683+X683, 0) + J684 ,
      MIN(
        AA683 + IF(MONTH(A684)=12, R683+X683, 0) + J684,
        VLOOKUP(questions!$C$5, Lookup!$Q:$R, 2)
      )
    )
)</f>
        <v>282111.0086</v>
      </c>
      <c r="AB684" s="65">
        <f t="shared" si="13"/>
        <v>1995601.847</v>
      </c>
      <c r="AC684" s="66">
        <f t="array" ref="AC684">IFS(B684&lt;66, XLOOKUP(year(A684),Lookup!$K$13:$K1000,Lookup!$L$13:$L1000,"missing",,1),B684&gt;65,XLOOKUP(questions!$C$5,Lookup!$K$13:$K1000,Lookup!$L$13:$L1000,"missing",,1))</f>
        <v>393675.3633</v>
      </c>
      <c r="AD684" s="66">
        <f t="array" ref="AD684">IFS(B684&lt;66, XLOOKUP(year(A684),Lookup!$K$13:$K1000,Lookup!$M$13:$M1000,"missing",,1),B684&gt;65, XLOOKUP(questions!$C$5,Lookup!$K$13:$K1000,Lookup!$M$13:$M1000,"missing",,1))</f>
        <v>787350.7266</v>
      </c>
      <c r="AE684" s="66">
        <f t="array" ref="AE684">IFS(B684&lt;66, XLOOKUP(year(A684),Lookup!$K$13:$K1000,Lookup!$N$13:$N1000,"missing",,1),B684&gt;65,XLOOKUP(questions!$C$5,Lookup!$K$13:$K1000,Lookup!$N$13:$N1000,"missing",,1))</f>
        <v>1574701.453</v>
      </c>
      <c r="AF684" s="37"/>
      <c r="AG684" s="37"/>
      <c r="AH684" s="37"/>
      <c r="AI684" s="37"/>
      <c r="AJ684" s="37"/>
      <c r="AK684" s="37"/>
      <c r="AL684" s="37"/>
      <c r="AM684" s="37"/>
      <c r="AN684" s="37"/>
      <c r="AO684" s="37"/>
      <c r="AP684" s="37"/>
      <c r="AQ684" s="37"/>
    </row>
    <row r="685">
      <c r="A685" s="55">
        <f t="shared" si="7"/>
        <v>66872</v>
      </c>
      <c r="B685" s="56">
        <f>round(YEARFRAC(EOMONTH(questions!$C$3, 0),A685,1),2)</f>
        <v>84.17</v>
      </c>
      <c r="C685" s="58">
        <f>IF(B685&lt;questions!$C$6,if(MONTH(A685)=1,C684*(1+questions!$C$12),C684),0)</f>
        <v>0</v>
      </c>
      <c r="D685" s="58">
        <f>IF(MONTH(A685)=12,C685*questions!$C$11,0)</f>
        <v>0</v>
      </c>
      <c r="E685" s="71">
        <f t="shared" si="2"/>
        <v>0</v>
      </c>
      <c r="F685" s="71">
        <f t="shared" si="3"/>
        <v>0</v>
      </c>
      <c r="G685" s="61">
        <f t="array" ref="G685">if(YEAR(A685)=2025,XLOOKUP(B685,Lookup!$A$3:$A$7,Lookup!$D$3:$D$7,,1)*SUM(E685:F685), XLOOKUP(B685,Lookup!$A$14:$A$18,Lookup!$D$14:$D$18,,1)*SUM(E685:F685))</f>
        <v>0</v>
      </c>
      <c r="H685" s="61">
        <f t="array" ref="H685">if(YEAR(A685)=2025,XLOOKUP(B685,Lookup!$F$3:$F$10,Lookup!$G$3:$G$10,,1)*G685, XLOOKUP(B685,Lookup!$F$14:$F$21,Lookup!$G$14:$G$21,,1)*G685)</f>
        <v>0</v>
      </c>
      <c r="I685" s="61">
        <f t="array" ref="I685">if(B685&lt;55, if(YEAR(A685)=2025,XLOOKUP(B685,Lookup!$F$3:$F$10,Lookup!$H$3:$H$10,,1)*G685, XLOOKUP(B685,Lookup!$F$14:$F$21,Lookup!$H$14:$H$21,,1)*G685),0)</f>
        <v>0</v>
      </c>
      <c r="J685" s="61">
        <f t="array" ref="J685">if(YEAR(A685)=2025,XLOOKUP(B685,Lookup!$F$3:$F$10,Lookup!$I$3:$I$10,,1)*G685, XLOOKUP(B685,Lookup!$F$14:$F$21,Lookup!$I$14:$I$21,,1)*G685)</f>
        <v>0</v>
      </c>
      <c r="K685" s="61">
        <f t="array" ref="K685">if(B685&gt;54, if(YEAR(A685)=2025,XLOOKUP(B685,Lookup!$F$3:$F$10,Lookup!$H$3:$H$10,,1)*G685, XLOOKUP(B685,Lookup!$F$14:$F$21,Lookup!$H$14:$H$21,,1)*G685),0)</f>
        <v>0</v>
      </c>
      <c r="L685" s="62">
        <f>IF(and(A685&lt;questions!$C$19,questions!$C$18="yes"),questions!$C$20,0)</f>
        <v>0</v>
      </c>
      <c r="M685" s="63">
        <f>(Y684+H685)*Lookup!A$26/12</f>
        <v>3283.059766</v>
      </c>
      <c r="N685" s="63">
        <f>if(B685&lt;55, (Z684+I685)*Lookup!B$26/12, (AB684+K685)*Lookup!B$26/12)</f>
        <v>6652.006155</v>
      </c>
      <c r="O685" s="63">
        <f>(AA684+J685)*Lookup!C$26/12</f>
        <v>940.3700287</v>
      </c>
      <c r="P685" s="63">
        <f t="shared" si="8"/>
        <v>3283.059766</v>
      </c>
      <c r="Q685" s="63">
        <f t="shared" si="4"/>
        <v>6652.006155</v>
      </c>
      <c r="R685" s="63">
        <f t="shared" si="5"/>
        <v>940.3700287</v>
      </c>
      <c r="S685" s="64">
        <f t="shared" si="9"/>
        <v>33.33333333</v>
      </c>
      <c r="T685" s="64">
        <f t="shared" si="10"/>
        <v>41.66666667</v>
      </c>
      <c r="U685" s="64">
        <f t="shared" si="11"/>
        <v>0</v>
      </c>
      <c r="V685" s="64">
        <f t="shared" ref="V685:X685" si="693">IF(year($A685)=year($A684), V684+S685, S685)</f>
        <v>33.33333333</v>
      </c>
      <c r="W685" s="64">
        <f t="shared" si="693"/>
        <v>41.66666667</v>
      </c>
      <c r="X685" s="64">
        <f t="shared" si="693"/>
        <v>0</v>
      </c>
      <c r="Y685" s="65">
        <f>IFS(
  B685&lt;55,
    MAX(
      Y684 + IF(MONTH(A685)=12, P685+V685, 0) + H685 - L685
      + MAX(0,
          IF(AA684 &gt;= VLOOKUP(YEAR(A685), Lookup!$Q:$R, 2),
            Z684 + IF(MONTH(A685)=12, Q685+W685, 0) + I685
              + AA684 + IF(MONTH(A685)=12, R685+X685, 0)
              - VLOOKUP(YEAR(A685), Lookup!$Q:$R, 2) + J685,
            Z684 + IF(MONTH(A685)=12, Q685+W685, 0) + I685
          ) - VLOOKUP(YEAR(A685), Lookup!$K:$M, 3)
        ),
    0),
  B685=55,
    IF(Z684&gt;=AD685,
      MAX(Y684 + IF(MONTH(A685)=12, P685+V685, 0) + H685 - L685, 0),
      MAX(MAX(0, Y684-(AD685-Z684)) + IF(MONTH(A685)=12, P685+V685, 0) + H685 - L685, 0)
    ),
  B685&gt;55,
    IF(AB684&gt;=$AH$7,
      MAX(Y684 + IF(MONTH(A685)=12, P685+V685, 0) + H685 - L685 + K685 + Z684, 0),
      MAX(Y684 + IF(MONTH(A685)=12, P685+V685, 0) + H685 - L685, 0)
    )
)</f>
        <v>1575868.688</v>
      </c>
      <c r="Z685" s="65">
        <f>IFS(
  B685&lt;55,
    MIN(
      IF(AA684 &gt;= VLOOKUP(YEAR(A685), Lookup!$Q:$R, 2),
        Z684 + IF(MONTH(A685)=12, Q685+W685, 0) + I685
          + AA684 + IF(MONTH(A685)=12, R685+X685, 0) - VLOOKUP(YEAR(A685), Lookup!$Q:$R, 2) + J685,
        Z684 + IF(MONTH(A685)=12, Q685+W685, 0) + I685
      ),
      VLOOKUP(YEAR(A685), Lookup!$K:$M, 3)
    ),
  B685=55,
    IF(Z684 &gt;= AD685, Z684 - AD685, 0),
  B685&gt;55, 0
)</f>
        <v>0</v>
      </c>
      <c r="AA685" s="65">
        <f>IFS(
  B685&lt;65,
    IF(AA684+J685 &lt; VLOOKUP(YEAR(A685), Lookup!$Q:$R, 2),
      AA684 + IF(MONTH(A685)=12, R684+X684, 0) + J685,
      MIN(
        AA684 + IF(MONTH(A685)=12, R684+X684, 0) + J685 ,
        VLOOKUP(YEAR(A685), Lookup!$Q:$R, 2)
      )
    ),
  B685&gt;=65,
    IF(AA684+J685 &lt; VLOOKUP(questions!$C$5, Lookup!$Q:$R, 2),
      AA684 + IF(MONTH(A685)=12, R684+X684, 0) + J685 ,
      MIN(
        AA684 + IF(MONTH(A685)=12, R684+X684, 0) + J685,
        VLOOKUP(questions!$C$5, Lookup!$Q:$R, 2)
      )
    )
)</f>
        <v>282111.0086</v>
      </c>
      <c r="AB685" s="65">
        <f t="shared" si="13"/>
        <v>1995601.847</v>
      </c>
      <c r="AC685" s="66">
        <f t="array" ref="AC685">IFS(B685&lt;66, XLOOKUP(year(A685),Lookup!$K$13:$K1000,Lookup!$L$13:$L1000,"missing",,1),B685&gt;65,XLOOKUP(questions!$C$5,Lookup!$K$13:$K1000,Lookup!$L$13:$L1000,"missing",,1))</f>
        <v>393675.3633</v>
      </c>
      <c r="AD685" s="66">
        <f t="array" ref="AD685">IFS(B685&lt;66, XLOOKUP(year(A685),Lookup!$K$13:$K1000,Lookup!$M$13:$M1000,"missing",,1),B685&gt;65, XLOOKUP(questions!$C$5,Lookup!$K$13:$K1000,Lookup!$M$13:$M1000,"missing",,1))</f>
        <v>787350.7266</v>
      </c>
      <c r="AE685" s="66">
        <f t="array" ref="AE685">IFS(B685&lt;66, XLOOKUP(year(A685),Lookup!$K$13:$K1000,Lookup!$N$13:$N1000,"missing",,1),B685&gt;65,XLOOKUP(questions!$C$5,Lookup!$K$13:$K1000,Lookup!$N$13:$N1000,"missing",,1))</f>
        <v>1574701.453</v>
      </c>
      <c r="AF685" s="37"/>
      <c r="AG685" s="37"/>
      <c r="AH685" s="37"/>
      <c r="AI685" s="37"/>
      <c r="AJ685" s="37"/>
      <c r="AK685" s="37"/>
      <c r="AL685" s="37"/>
      <c r="AM685" s="37"/>
      <c r="AN685" s="37"/>
      <c r="AO685" s="37"/>
      <c r="AP685" s="37"/>
      <c r="AQ685" s="37"/>
    </row>
    <row r="686">
      <c r="A686" s="55">
        <f t="shared" si="7"/>
        <v>66900</v>
      </c>
      <c r="B686" s="56">
        <f>round(YEARFRAC(EOMONTH(questions!$C$3, 0),A686,1),2)</f>
        <v>84.25</v>
      </c>
      <c r="C686" s="58">
        <f>IF(B686&lt;questions!$C$6,if(MONTH(A686)=1,C685*(1+questions!$C$12),C685),0)</f>
        <v>0</v>
      </c>
      <c r="D686" s="58">
        <f>IF(MONTH(A686)=12,C686*questions!$C$11,0)</f>
        <v>0</v>
      </c>
      <c r="E686" s="71">
        <f t="shared" si="2"/>
        <v>0</v>
      </c>
      <c r="F686" s="71">
        <f t="shared" si="3"/>
        <v>0</v>
      </c>
      <c r="G686" s="61">
        <f t="array" ref="G686">if(YEAR(A686)=2025,XLOOKUP(B686,Lookup!$A$3:$A$7,Lookup!$D$3:$D$7,,1)*SUM(E686:F686), XLOOKUP(B686,Lookup!$A$14:$A$18,Lookup!$D$14:$D$18,,1)*SUM(E686:F686))</f>
        <v>0</v>
      </c>
      <c r="H686" s="61">
        <f t="array" ref="H686">if(YEAR(A686)=2025,XLOOKUP(B686,Lookup!$F$3:$F$10,Lookup!$G$3:$G$10,,1)*G686, XLOOKUP(B686,Lookup!$F$14:$F$21,Lookup!$G$14:$G$21,,1)*G686)</f>
        <v>0</v>
      </c>
      <c r="I686" s="61">
        <f t="array" ref="I686">if(B686&lt;55, if(YEAR(A686)=2025,XLOOKUP(B686,Lookup!$F$3:$F$10,Lookup!$H$3:$H$10,,1)*G686, XLOOKUP(B686,Lookup!$F$14:$F$21,Lookup!$H$14:$H$21,,1)*G686),0)</f>
        <v>0</v>
      </c>
      <c r="J686" s="61">
        <f t="array" ref="J686">if(YEAR(A686)=2025,XLOOKUP(B686,Lookup!$F$3:$F$10,Lookup!$I$3:$I$10,,1)*G686, XLOOKUP(B686,Lookup!$F$14:$F$21,Lookup!$I$14:$I$21,,1)*G686)</f>
        <v>0</v>
      </c>
      <c r="K686" s="61">
        <f t="array" ref="K686">if(B686&gt;54, if(YEAR(A686)=2025,XLOOKUP(B686,Lookup!$F$3:$F$10,Lookup!$H$3:$H$10,,1)*G686, XLOOKUP(B686,Lookup!$F$14:$F$21,Lookup!$H$14:$H$21,,1)*G686),0)</f>
        <v>0</v>
      </c>
      <c r="L686" s="62">
        <f>IF(and(A686&lt;questions!$C$19,questions!$C$18="yes"),questions!$C$20,0)</f>
        <v>0</v>
      </c>
      <c r="M686" s="63">
        <f>(Y685+H686)*Lookup!A$26/12</f>
        <v>3283.059766</v>
      </c>
      <c r="N686" s="63">
        <f>if(B686&lt;55, (Z685+I686)*Lookup!B$26/12, (AB685+K686)*Lookup!B$26/12)</f>
        <v>6652.006155</v>
      </c>
      <c r="O686" s="63">
        <f>(AA685+J686)*Lookup!C$26/12</f>
        <v>940.3700287</v>
      </c>
      <c r="P686" s="63">
        <f t="shared" si="8"/>
        <v>6566.119531</v>
      </c>
      <c r="Q686" s="63">
        <f t="shared" si="4"/>
        <v>13304.01231</v>
      </c>
      <c r="R686" s="63">
        <f t="shared" si="5"/>
        <v>1880.740057</v>
      </c>
      <c r="S686" s="64">
        <f t="shared" si="9"/>
        <v>33.33333333</v>
      </c>
      <c r="T686" s="64">
        <f t="shared" si="10"/>
        <v>41.66666667</v>
      </c>
      <c r="U686" s="64">
        <f t="shared" si="11"/>
        <v>0</v>
      </c>
      <c r="V686" s="64">
        <f t="shared" ref="V686:X686" si="694">IF(year($A686)=year($A685), V685+S686, S686)</f>
        <v>66.66666667</v>
      </c>
      <c r="W686" s="64">
        <f t="shared" si="694"/>
        <v>83.33333333</v>
      </c>
      <c r="X686" s="64">
        <f t="shared" si="694"/>
        <v>0</v>
      </c>
      <c r="Y686" s="65">
        <f>IFS(
  B686&lt;55,
    MAX(
      Y685 + IF(MONTH(A686)=12, P686+V686, 0) + H686 - L686
      + MAX(0,
          IF(AA685 &gt;= VLOOKUP(YEAR(A686), Lookup!$Q:$R, 2),
            Z685 + IF(MONTH(A686)=12, Q686+W686, 0) + I686
              + AA685 + IF(MONTH(A686)=12, R686+X686, 0)
              - VLOOKUP(YEAR(A686), Lookup!$Q:$R, 2) + J686,
            Z685 + IF(MONTH(A686)=12, Q686+W686, 0) + I686
          ) - VLOOKUP(YEAR(A686), Lookup!$K:$M, 3)
        ),
    0),
  B686=55,
    IF(Z685&gt;=AD686,
      MAX(Y685 + IF(MONTH(A686)=12, P686+V686, 0) + H686 - L686, 0),
      MAX(MAX(0, Y685-(AD686-Z685)) + IF(MONTH(A686)=12, P686+V686, 0) + H686 - L686, 0)
    ),
  B686&gt;55,
    IF(AB685&gt;=$AH$7,
      MAX(Y685 + IF(MONTH(A686)=12, P686+V686, 0) + H686 - L686 + K686 + Z685, 0),
      MAX(Y685 + IF(MONTH(A686)=12, P686+V686, 0) + H686 - L686, 0)
    )
)</f>
        <v>1575868.688</v>
      </c>
      <c r="Z686" s="65">
        <f>IFS(
  B686&lt;55,
    MIN(
      IF(AA685 &gt;= VLOOKUP(YEAR(A686), Lookup!$Q:$R, 2),
        Z685 + IF(MONTH(A686)=12, Q686+W686, 0) + I686
          + AA685 + IF(MONTH(A686)=12, R686+X686, 0) - VLOOKUP(YEAR(A686), Lookup!$Q:$R, 2) + J686,
        Z685 + IF(MONTH(A686)=12, Q686+W686, 0) + I686
      ),
      VLOOKUP(YEAR(A686), Lookup!$K:$M, 3)
    ),
  B686=55,
    IF(Z685 &gt;= AD686, Z685 - AD686, 0),
  B686&gt;55, 0
)</f>
        <v>0</v>
      </c>
      <c r="AA686" s="65">
        <f>IFS(
  B686&lt;65,
    IF(AA685+J686 &lt; VLOOKUP(YEAR(A686), Lookup!$Q:$R, 2),
      AA685 + IF(MONTH(A686)=12, R685+X685, 0) + J686,
      MIN(
        AA685 + IF(MONTH(A686)=12, R685+X685, 0) + J686 ,
        VLOOKUP(YEAR(A686), Lookup!$Q:$R, 2)
      )
    ),
  B686&gt;=65,
    IF(AA685+J686 &lt; VLOOKUP(questions!$C$5, Lookup!$Q:$R, 2),
      AA685 + IF(MONTH(A686)=12, R685+X685, 0) + J686 ,
      MIN(
        AA685 + IF(MONTH(A686)=12, R685+X685, 0) + J686,
        VLOOKUP(questions!$C$5, Lookup!$Q:$R, 2)
      )
    )
)</f>
        <v>282111.0086</v>
      </c>
      <c r="AB686" s="65">
        <f t="shared" si="13"/>
        <v>1995601.847</v>
      </c>
      <c r="AC686" s="66">
        <f t="array" ref="AC686">IFS(B686&lt;66, XLOOKUP(year(A686),Lookup!$K$13:$K1000,Lookup!$L$13:$L1000,"missing",,1),B686&gt;65,XLOOKUP(questions!$C$5,Lookup!$K$13:$K1000,Lookup!$L$13:$L1000,"missing",,1))</f>
        <v>393675.3633</v>
      </c>
      <c r="AD686" s="66">
        <f t="array" ref="AD686">IFS(B686&lt;66, XLOOKUP(year(A686),Lookup!$K$13:$K1000,Lookup!$M$13:$M1000,"missing",,1),B686&gt;65, XLOOKUP(questions!$C$5,Lookup!$K$13:$K1000,Lookup!$M$13:$M1000,"missing",,1))</f>
        <v>787350.7266</v>
      </c>
      <c r="AE686" s="66">
        <f t="array" ref="AE686">IFS(B686&lt;66, XLOOKUP(year(A686),Lookup!$K$13:$K1000,Lookup!$N$13:$N1000,"missing",,1),B686&gt;65,XLOOKUP(questions!$C$5,Lookup!$K$13:$K1000,Lookup!$N$13:$N1000,"missing",,1))</f>
        <v>1574701.453</v>
      </c>
      <c r="AF686" s="37"/>
      <c r="AG686" s="37"/>
      <c r="AH686" s="37"/>
      <c r="AI686" s="37"/>
      <c r="AJ686" s="37"/>
      <c r="AK686" s="37"/>
      <c r="AL686" s="37"/>
      <c r="AM686" s="37"/>
      <c r="AN686" s="37"/>
      <c r="AO686" s="37"/>
      <c r="AP686" s="37"/>
      <c r="AQ686" s="37"/>
    </row>
    <row r="687">
      <c r="A687" s="55">
        <f t="shared" si="7"/>
        <v>66931</v>
      </c>
      <c r="B687" s="56">
        <f>round(YEARFRAC(EOMONTH(questions!$C$3, 0),A687,1),2)</f>
        <v>84.33</v>
      </c>
      <c r="C687" s="58">
        <f>IF(B687&lt;questions!$C$6,if(MONTH(A687)=1,C686*(1+questions!$C$12),C686),0)</f>
        <v>0</v>
      </c>
      <c r="D687" s="58">
        <f>IF(MONTH(A687)=12,C687*questions!$C$11,0)</f>
        <v>0</v>
      </c>
      <c r="E687" s="71">
        <f t="shared" si="2"/>
        <v>0</v>
      </c>
      <c r="F687" s="71">
        <f t="shared" si="3"/>
        <v>0</v>
      </c>
      <c r="G687" s="61">
        <f t="array" ref="G687">if(YEAR(A687)=2025,XLOOKUP(B687,Lookup!$A$3:$A$7,Lookup!$D$3:$D$7,,1)*SUM(E687:F687), XLOOKUP(B687,Lookup!$A$14:$A$18,Lookup!$D$14:$D$18,,1)*SUM(E687:F687))</f>
        <v>0</v>
      </c>
      <c r="H687" s="61">
        <f t="array" ref="H687">if(YEAR(A687)=2025,XLOOKUP(B687,Lookup!$F$3:$F$10,Lookup!$G$3:$G$10,,1)*G687, XLOOKUP(B687,Lookup!$F$14:$F$21,Lookup!$G$14:$G$21,,1)*G687)</f>
        <v>0</v>
      </c>
      <c r="I687" s="61">
        <f t="array" ref="I687">if(B687&lt;55, if(YEAR(A687)=2025,XLOOKUP(B687,Lookup!$F$3:$F$10,Lookup!$H$3:$H$10,,1)*G687, XLOOKUP(B687,Lookup!$F$14:$F$21,Lookup!$H$14:$H$21,,1)*G687),0)</f>
        <v>0</v>
      </c>
      <c r="J687" s="61">
        <f t="array" ref="J687">if(YEAR(A687)=2025,XLOOKUP(B687,Lookup!$F$3:$F$10,Lookup!$I$3:$I$10,,1)*G687, XLOOKUP(B687,Lookup!$F$14:$F$21,Lookup!$I$14:$I$21,,1)*G687)</f>
        <v>0</v>
      </c>
      <c r="K687" s="61">
        <f t="array" ref="K687">if(B687&gt;54, if(YEAR(A687)=2025,XLOOKUP(B687,Lookup!$F$3:$F$10,Lookup!$H$3:$H$10,,1)*G687, XLOOKUP(B687,Lookup!$F$14:$F$21,Lookup!$H$14:$H$21,,1)*G687),0)</f>
        <v>0</v>
      </c>
      <c r="L687" s="62">
        <f>IF(and(A687&lt;questions!$C$19,questions!$C$18="yes"),questions!$C$20,0)</f>
        <v>0</v>
      </c>
      <c r="M687" s="63">
        <f>(Y686+H687)*Lookup!A$26/12</f>
        <v>3283.059766</v>
      </c>
      <c r="N687" s="63">
        <f>if(B687&lt;55, (Z686+I687)*Lookup!B$26/12, (AB686+K687)*Lookup!B$26/12)</f>
        <v>6652.006155</v>
      </c>
      <c r="O687" s="63">
        <f>(AA686+J687)*Lookup!C$26/12</f>
        <v>940.3700287</v>
      </c>
      <c r="P687" s="63">
        <f t="shared" si="8"/>
        <v>9849.179297</v>
      </c>
      <c r="Q687" s="63">
        <f t="shared" si="4"/>
        <v>19956.01847</v>
      </c>
      <c r="R687" s="63">
        <f t="shared" si="5"/>
        <v>2821.110086</v>
      </c>
      <c r="S687" s="64">
        <f t="shared" si="9"/>
        <v>33.33333333</v>
      </c>
      <c r="T687" s="64">
        <f t="shared" si="10"/>
        <v>41.66666667</v>
      </c>
      <c r="U687" s="64">
        <f t="shared" si="11"/>
        <v>0</v>
      </c>
      <c r="V687" s="64">
        <f t="shared" ref="V687:X687" si="695">IF(year($A687)=year($A686), V686+S687, S687)</f>
        <v>100</v>
      </c>
      <c r="W687" s="64">
        <f t="shared" si="695"/>
        <v>125</v>
      </c>
      <c r="X687" s="64">
        <f t="shared" si="695"/>
        <v>0</v>
      </c>
      <c r="Y687" s="65">
        <f>IFS(
  B687&lt;55,
    MAX(
      Y686 + IF(MONTH(A687)=12, P687+V687, 0) + H687 - L687
      + MAX(0,
          IF(AA686 &gt;= VLOOKUP(YEAR(A687), Lookup!$Q:$R, 2),
            Z686 + IF(MONTH(A687)=12, Q687+W687, 0) + I687
              + AA686 + IF(MONTH(A687)=12, R687+X687, 0)
              - VLOOKUP(YEAR(A687), Lookup!$Q:$R, 2) + J687,
            Z686 + IF(MONTH(A687)=12, Q687+W687, 0) + I687
          ) - VLOOKUP(YEAR(A687), Lookup!$K:$M, 3)
        ),
    0),
  B687=55,
    IF(Z686&gt;=AD687,
      MAX(Y686 + IF(MONTH(A687)=12, P687+V687, 0) + H687 - L687, 0),
      MAX(MAX(0, Y686-(AD687-Z686)) + IF(MONTH(A687)=12, P687+V687, 0) + H687 - L687, 0)
    ),
  B687&gt;55,
    IF(AB686&gt;=$AH$7,
      MAX(Y686 + IF(MONTH(A687)=12, P687+V687, 0) + H687 - L687 + K687 + Z686, 0),
      MAX(Y686 + IF(MONTH(A687)=12, P687+V687, 0) + H687 - L687, 0)
    )
)</f>
        <v>1575868.688</v>
      </c>
      <c r="Z687" s="65">
        <f>IFS(
  B687&lt;55,
    MIN(
      IF(AA686 &gt;= VLOOKUP(YEAR(A687), Lookup!$Q:$R, 2),
        Z686 + IF(MONTH(A687)=12, Q687+W687, 0) + I687
          + AA686 + IF(MONTH(A687)=12, R687+X687, 0) - VLOOKUP(YEAR(A687), Lookup!$Q:$R, 2) + J687,
        Z686 + IF(MONTH(A687)=12, Q687+W687, 0) + I687
      ),
      VLOOKUP(YEAR(A687), Lookup!$K:$M, 3)
    ),
  B687=55,
    IF(Z686 &gt;= AD687, Z686 - AD687, 0),
  B687&gt;55, 0
)</f>
        <v>0</v>
      </c>
      <c r="AA687" s="65">
        <f>IFS(
  B687&lt;65,
    IF(AA686+J687 &lt; VLOOKUP(YEAR(A687), Lookup!$Q:$R, 2),
      AA686 + IF(MONTH(A687)=12, R686+X686, 0) + J687,
      MIN(
        AA686 + IF(MONTH(A687)=12, R686+X686, 0) + J687 ,
        VLOOKUP(YEAR(A687), Lookup!$Q:$R, 2)
      )
    ),
  B687&gt;=65,
    IF(AA686+J687 &lt; VLOOKUP(questions!$C$5, Lookup!$Q:$R, 2),
      AA686 + IF(MONTH(A687)=12, R686+X686, 0) + J687 ,
      MIN(
        AA686 + IF(MONTH(A687)=12, R686+X686, 0) + J687,
        VLOOKUP(questions!$C$5, Lookup!$Q:$R, 2)
      )
    )
)</f>
        <v>282111.0086</v>
      </c>
      <c r="AB687" s="65">
        <f t="shared" si="13"/>
        <v>1995601.847</v>
      </c>
      <c r="AC687" s="66">
        <f t="array" ref="AC687">IFS(B687&lt;66, XLOOKUP(year(A687),Lookup!$K$13:$K1000,Lookup!$L$13:$L1000,"missing",,1),B687&gt;65,XLOOKUP(questions!$C$5,Lookup!$K$13:$K1000,Lookup!$L$13:$L1000,"missing",,1))</f>
        <v>393675.3633</v>
      </c>
      <c r="AD687" s="66">
        <f t="array" ref="AD687">IFS(B687&lt;66, XLOOKUP(year(A687),Lookup!$K$13:$K1000,Lookup!$M$13:$M1000,"missing",,1),B687&gt;65, XLOOKUP(questions!$C$5,Lookup!$K$13:$K1000,Lookup!$M$13:$M1000,"missing",,1))</f>
        <v>787350.7266</v>
      </c>
      <c r="AE687" s="66">
        <f t="array" ref="AE687">IFS(B687&lt;66, XLOOKUP(year(A687),Lookup!$K$13:$K1000,Lookup!$N$13:$N1000,"missing",,1),B687&gt;65,XLOOKUP(questions!$C$5,Lookup!$K$13:$K1000,Lookup!$N$13:$N1000,"missing",,1))</f>
        <v>1574701.453</v>
      </c>
      <c r="AF687" s="37"/>
      <c r="AG687" s="37"/>
      <c r="AH687" s="37"/>
      <c r="AI687" s="37"/>
      <c r="AJ687" s="37"/>
      <c r="AK687" s="37"/>
      <c r="AL687" s="37"/>
      <c r="AM687" s="37"/>
      <c r="AN687" s="37"/>
      <c r="AO687" s="37"/>
      <c r="AP687" s="37"/>
      <c r="AQ687" s="37"/>
    </row>
    <row r="688">
      <c r="A688" s="55">
        <f t="shared" si="7"/>
        <v>66961</v>
      </c>
      <c r="B688" s="56">
        <f>round(YEARFRAC(EOMONTH(questions!$C$3, 0),A688,1),2)</f>
        <v>84.41</v>
      </c>
      <c r="C688" s="58">
        <f>IF(B688&lt;questions!$C$6,if(MONTH(A688)=1,C687*(1+questions!$C$12),C687),0)</f>
        <v>0</v>
      </c>
      <c r="D688" s="58">
        <f>IF(MONTH(A688)=12,C688*questions!$C$11,0)</f>
        <v>0</v>
      </c>
      <c r="E688" s="71">
        <f t="shared" si="2"/>
        <v>0</v>
      </c>
      <c r="F688" s="71">
        <f t="shared" si="3"/>
        <v>0</v>
      </c>
      <c r="G688" s="61">
        <f t="array" ref="G688">if(YEAR(A688)=2025,XLOOKUP(B688,Lookup!$A$3:$A$7,Lookup!$D$3:$D$7,,1)*SUM(E688:F688), XLOOKUP(B688,Lookup!$A$14:$A$18,Lookup!$D$14:$D$18,,1)*SUM(E688:F688))</f>
        <v>0</v>
      </c>
      <c r="H688" s="61">
        <f t="array" ref="H688">if(YEAR(A688)=2025,XLOOKUP(B688,Lookup!$F$3:$F$10,Lookup!$G$3:$G$10,,1)*G688, XLOOKUP(B688,Lookup!$F$14:$F$21,Lookup!$G$14:$G$21,,1)*G688)</f>
        <v>0</v>
      </c>
      <c r="I688" s="61">
        <f t="array" ref="I688">if(B688&lt;55, if(YEAR(A688)=2025,XLOOKUP(B688,Lookup!$F$3:$F$10,Lookup!$H$3:$H$10,,1)*G688, XLOOKUP(B688,Lookup!$F$14:$F$21,Lookup!$H$14:$H$21,,1)*G688),0)</f>
        <v>0</v>
      </c>
      <c r="J688" s="61">
        <f t="array" ref="J688">if(YEAR(A688)=2025,XLOOKUP(B688,Lookup!$F$3:$F$10,Lookup!$I$3:$I$10,,1)*G688, XLOOKUP(B688,Lookup!$F$14:$F$21,Lookup!$I$14:$I$21,,1)*G688)</f>
        <v>0</v>
      </c>
      <c r="K688" s="61">
        <f t="array" ref="K688">if(B688&gt;54, if(YEAR(A688)=2025,XLOOKUP(B688,Lookup!$F$3:$F$10,Lookup!$H$3:$H$10,,1)*G688, XLOOKUP(B688,Lookup!$F$14:$F$21,Lookup!$H$14:$H$21,,1)*G688),0)</f>
        <v>0</v>
      </c>
      <c r="L688" s="62">
        <f>IF(and(A688&lt;questions!$C$19,questions!$C$18="yes"),questions!$C$20,0)</f>
        <v>0</v>
      </c>
      <c r="M688" s="63">
        <f>(Y687+H688)*Lookup!A$26/12</f>
        <v>3283.059766</v>
      </c>
      <c r="N688" s="63">
        <f>if(B688&lt;55, (Z687+I688)*Lookup!B$26/12, (AB687+K688)*Lookup!B$26/12)</f>
        <v>6652.006155</v>
      </c>
      <c r="O688" s="63">
        <f>(AA687+J688)*Lookup!C$26/12</f>
        <v>940.3700287</v>
      </c>
      <c r="P688" s="63">
        <f t="shared" si="8"/>
        <v>13132.23906</v>
      </c>
      <c r="Q688" s="63">
        <f t="shared" si="4"/>
        <v>26608.02462</v>
      </c>
      <c r="R688" s="63">
        <f t="shared" si="5"/>
        <v>3761.480115</v>
      </c>
      <c r="S688" s="64">
        <f t="shared" si="9"/>
        <v>33.33333333</v>
      </c>
      <c r="T688" s="64">
        <f t="shared" si="10"/>
        <v>41.66666667</v>
      </c>
      <c r="U688" s="64">
        <f t="shared" si="11"/>
        <v>0</v>
      </c>
      <c r="V688" s="64">
        <f t="shared" ref="V688:X688" si="696">IF(year($A688)=year($A687), V687+S688, S688)</f>
        <v>133.3333333</v>
      </c>
      <c r="W688" s="64">
        <f t="shared" si="696"/>
        <v>166.6666667</v>
      </c>
      <c r="X688" s="64">
        <f t="shared" si="696"/>
        <v>0</v>
      </c>
      <c r="Y688" s="65">
        <f>IFS(
  B688&lt;55,
    MAX(
      Y687 + IF(MONTH(A688)=12, P688+V688, 0) + H688 - L688
      + MAX(0,
          IF(AA687 &gt;= VLOOKUP(YEAR(A688), Lookup!$Q:$R, 2),
            Z687 + IF(MONTH(A688)=12, Q688+W688, 0) + I688
              + AA687 + IF(MONTH(A688)=12, R688+X688, 0)
              - VLOOKUP(YEAR(A688), Lookup!$Q:$R, 2) + J688,
            Z687 + IF(MONTH(A688)=12, Q688+W688, 0) + I688
          ) - VLOOKUP(YEAR(A688), Lookup!$K:$M, 3)
        ),
    0),
  B688=55,
    IF(Z687&gt;=AD688,
      MAX(Y687 + IF(MONTH(A688)=12, P688+V688, 0) + H688 - L688, 0),
      MAX(MAX(0, Y687-(AD688-Z687)) + IF(MONTH(A688)=12, P688+V688, 0) + H688 - L688, 0)
    ),
  B688&gt;55,
    IF(AB687&gt;=$AH$7,
      MAX(Y687 + IF(MONTH(A688)=12, P688+V688, 0) + H688 - L688 + K688 + Z687, 0),
      MAX(Y687 + IF(MONTH(A688)=12, P688+V688, 0) + H688 - L688, 0)
    )
)</f>
        <v>1575868.688</v>
      </c>
      <c r="Z688" s="65">
        <f>IFS(
  B688&lt;55,
    MIN(
      IF(AA687 &gt;= VLOOKUP(YEAR(A688), Lookup!$Q:$R, 2),
        Z687 + IF(MONTH(A688)=12, Q688+W688, 0) + I688
          + AA687 + IF(MONTH(A688)=12, R688+X688, 0) - VLOOKUP(YEAR(A688), Lookup!$Q:$R, 2) + J688,
        Z687 + IF(MONTH(A688)=12, Q688+W688, 0) + I688
      ),
      VLOOKUP(YEAR(A688), Lookup!$K:$M, 3)
    ),
  B688=55,
    IF(Z687 &gt;= AD688, Z687 - AD688, 0),
  B688&gt;55, 0
)</f>
        <v>0</v>
      </c>
      <c r="AA688" s="65">
        <f>IFS(
  B688&lt;65,
    IF(AA687+J688 &lt; VLOOKUP(YEAR(A688), Lookup!$Q:$R, 2),
      AA687 + IF(MONTH(A688)=12, R687+X687, 0) + J688,
      MIN(
        AA687 + IF(MONTH(A688)=12, R687+X687, 0) + J688 ,
        VLOOKUP(YEAR(A688), Lookup!$Q:$R, 2)
      )
    ),
  B688&gt;=65,
    IF(AA687+J688 &lt; VLOOKUP(questions!$C$5, Lookup!$Q:$R, 2),
      AA687 + IF(MONTH(A688)=12, R687+X687, 0) + J688 ,
      MIN(
        AA687 + IF(MONTH(A688)=12, R687+X687, 0) + J688,
        VLOOKUP(questions!$C$5, Lookup!$Q:$R, 2)
      )
    )
)</f>
        <v>282111.0086</v>
      </c>
      <c r="AB688" s="65">
        <f t="shared" si="13"/>
        <v>1995601.847</v>
      </c>
      <c r="AC688" s="66">
        <f t="array" ref="AC688">IFS(B688&lt;66, XLOOKUP(year(A688),Lookup!$K$13:$K1000,Lookup!$L$13:$L1000,"missing",,1),B688&gt;65,XLOOKUP(questions!$C$5,Lookup!$K$13:$K1000,Lookup!$L$13:$L1000,"missing",,1))</f>
        <v>393675.3633</v>
      </c>
      <c r="AD688" s="66">
        <f t="array" ref="AD688">IFS(B688&lt;66, XLOOKUP(year(A688),Lookup!$K$13:$K1000,Lookup!$M$13:$M1000,"missing",,1),B688&gt;65, XLOOKUP(questions!$C$5,Lookup!$K$13:$K1000,Lookup!$M$13:$M1000,"missing",,1))</f>
        <v>787350.7266</v>
      </c>
      <c r="AE688" s="66">
        <f t="array" ref="AE688">IFS(B688&lt;66, XLOOKUP(year(A688),Lookup!$K$13:$K1000,Lookup!$N$13:$N1000,"missing",,1),B688&gt;65,XLOOKUP(questions!$C$5,Lookup!$K$13:$K1000,Lookup!$N$13:$N1000,"missing",,1))</f>
        <v>1574701.453</v>
      </c>
      <c r="AF688" s="37"/>
      <c r="AG688" s="37"/>
      <c r="AH688" s="37"/>
      <c r="AI688" s="37"/>
      <c r="AJ688" s="37"/>
      <c r="AK688" s="37"/>
      <c r="AL688" s="37"/>
      <c r="AM688" s="37"/>
      <c r="AN688" s="37"/>
      <c r="AO688" s="37"/>
      <c r="AP688" s="37"/>
      <c r="AQ688" s="37"/>
    </row>
    <row r="689">
      <c r="A689" s="55">
        <f t="shared" si="7"/>
        <v>66992</v>
      </c>
      <c r="B689" s="56">
        <f>round(YEARFRAC(EOMONTH(questions!$C$3, 0),A689,1),2)</f>
        <v>84.5</v>
      </c>
      <c r="C689" s="58">
        <f>IF(B689&lt;questions!$C$6,if(MONTH(A689)=1,C688*(1+questions!$C$12),C688),0)</f>
        <v>0</v>
      </c>
      <c r="D689" s="58">
        <f>IF(MONTH(A689)=12,C689*questions!$C$11,0)</f>
        <v>0</v>
      </c>
      <c r="E689" s="71">
        <f t="shared" si="2"/>
        <v>0</v>
      </c>
      <c r="F689" s="71">
        <f t="shared" si="3"/>
        <v>0</v>
      </c>
      <c r="G689" s="61">
        <f t="array" ref="G689">if(YEAR(A689)=2025,XLOOKUP(B689,Lookup!$A$3:$A$7,Lookup!$D$3:$D$7,,1)*SUM(E689:F689), XLOOKUP(B689,Lookup!$A$14:$A$18,Lookup!$D$14:$D$18,,1)*SUM(E689:F689))</f>
        <v>0</v>
      </c>
      <c r="H689" s="61">
        <f t="array" ref="H689">if(YEAR(A689)=2025,XLOOKUP(B689,Lookup!$F$3:$F$10,Lookup!$G$3:$G$10,,1)*G689, XLOOKUP(B689,Lookup!$F$14:$F$21,Lookup!$G$14:$G$21,,1)*G689)</f>
        <v>0</v>
      </c>
      <c r="I689" s="61">
        <f t="array" ref="I689">if(B689&lt;55, if(YEAR(A689)=2025,XLOOKUP(B689,Lookup!$F$3:$F$10,Lookup!$H$3:$H$10,,1)*G689, XLOOKUP(B689,Lookup!$F$14:$F$21,Lookup!$H$14:$H$21,,1)*G689),0)</f>
        <v>0</v>
      </c>
      <c r="J689" s="61">
        <f t="array" ref="J689">if(YEAR(A689)=2025,XLOOKUP(B689,Lookup!$F$3:$F$10,Lookup!$I$3:$I$10,,1)*G689, XLOOKUP(B689,Lookup!$F$14:$F$21,Lookup!$I$14:$I$21,,1)*G689)</f>
        <v>0</v>
      </c>
      <c r="K689" s="61">
        <f t="array" ref="K689">if(B689&gt;54, if(YEAR(A689)=2025,XLOOKUP(B689,Lookup!$F$3:$F$10,Lookup!$H$3:$H$10,,1)*G689, XLOOKUP(B689,Lookup!$F$14:$F$21,Lookup!$H$14:$H$21,,1)*G689),0)</f>
        <v>0</v>
      </c>
      <c r="L689" s="62">
        <f>IF(and(A689&lt;questions!$C$19,questions!$C$18="yes"),questions!$C$20,0)</f>
        <v>0</v>
      </c>
      <c r="M689" s="63">
        <f>(Y688+H689)*Lookup!A$26/12</f>
        <v>3283.059766</v>
      </c>
      <c r="N689" s="63">
        <f>if(B689&lt;55, (Z688+I689)*Lookup!B$26/12, (AB688+K689)*Lookup!B$26/12)</f>
        <v>6652.006155</v>
      </c>
      <c r="O689" s="63">
        <f>(AA688+J689)*Lookup!C$26/12</f>
        <v>940.3700287</v>
      </c>
      <c r="P689" s="63">
        <f t="shared" si="8"/>
        <v>16415.29883</v>
      </c>
      <c r="Q689" s="63">
        <f t="shared" si="4"/>
        <v>33260.03078</v>
      </c>
      <c r="R689" s="63">
        <f t="shared" si="5"/>
        <v>4701.850143</v>
      </c>
      <c r="S689" s="64">
        <f t="shared" si="9"/>
        <v>33.33333333</v>
      </c>
      <c r="T689" s="64">
        <f t="shared" si="10"/>
        <v>41.66666667</v>
      </c>
      <c r="U689" s="64">
        <f t="shared" si="11"/>
        <v>0</v>
      </c>
      <c r="V689" s="64">
        <f t="shared" ref="V689:X689" si="697">IF(year($A689)=year($A688), V688+S689, S689)</f>
        <v>166.6666667</v>
      </c>
      <c r="W689" s="64">
        <f t="shared" si="697"/>
        <v>208.3333333</v>
      </c>
      <c r="X689" s="64">
        <f t="shared" si="697"/>
        <v>0</v>
      </c>
      <c r="Y689" s="65">
        <f>IFS(
  B689&lt;55,
    MAX(
      Y688 + IF(MONTH(A689)=12, P689+V689, 0) + H689 - L689
      + MAX(0,
          IF(AA688 &gt;= VLOOKUP(YEAR(A689), Lookup!$Q:$R, 2),
            Z688 + IF(MONTH(A689)=12, Q689+W689, 0) + I689
              + AA688 + IF(MONTH(A689)=12, R689+X689, 0)
              - VLOOKUP(YEAR(A689), Lookup!$Q:$R, 2) + J689,
            Z688 + IF(MONTH(A689)=12, Q689+W689, 0) + I689
          ) - VLOOKUP(YEAR(A689), Lookup!$K:$M, 3)
        ),
    0),
  B689=55,
    IF(Z688&gt;=AD689,
      MAX(Y688 + IF(MONTH(A689)=12, P689+V689, 0) + H689 - L689, 0),
      MAX(MAX(0, Y688-(AD689-Z688)) + IF(MONTH(A689)=12, P689+V689, 0) + H689 - L689, 0)
    ),
  B689&gt;55,
    IF(AB688&gt;=$AH$7,
      MAX(Y688 + IF(MONTH(A689)=12, P689+V689, 0) + H689 - L689 + K689 + Z688, 0),
      MAX(Y688 + IF(MONTH(A689)=12, P689+V689, 0) + H689 - L689, 0)
    )
)</f>
        <v>1575868.688</v>
      </c>
      <c r="Z689" s="65">
        <f>IFS(
  B689&lt;55,
    MIN(
      IF(AA688 &gt;= VLOOKUP(YEAR(A689), Lookup!$Q:$R, 2),
        Z688 + IF(MONTH(A689)=12, Q689+W689, 0) + I689
          + AA688 + IF(MONTH(A689)=12, R689+X689, 0) - VLOOKUP(YEAR(A689), Lookup!$Q:$R, 2) + J689,
        Z688 + IF(MONTH(A689)=12, Q689+W689, 0) + I689
      ),
      VLOOKUP(YEAR(A689), Lookup!$K:$M, 3)
    ),
  B689=55,
    IF(Z688 &gt;= AD689, Z688 - AD689, 0),
  B689&gt;55, 0
)</f>
        <v>0</v>
      </c>
      <c r="AA689" s="65">
        <f>IFS(
  B689&lt;65,
    IF(AA688+J689 &lt; VLOOKUP(YEAR(A689), Lookup!$Q:$R, 2),
      AA688 + IF(MONTH(A689)=12, R688+X688, 0) + J689,
      MIN(
        AA688 + IF(MONTH(A689)=12, R688+X688, 0) + J689 ,
        VLOOKUP(YEAR(A689), Lookup!$Q:$R, 2)
      )
    ),
  B689&gt;=65,
    IF(AA688+J689 &lt; VLOOKUP(questions!$C$5, Lookup!$Q:$R, 2),
      AA688 + IF(MONTH(A689)=12, R688+X688, 0) + J689 ,
      MIN(
        AA688 + IF(MONTH(A689)=12, R688+X688, 0) + J689,
        VLOOKUP(questions!$C$5, Lookup!$Q:$R, 2)
      )
    )
)</f>
        <v>282111.0086</v>
      </c>
      <c r="AB689" s="65">
        <f t="shared" si="13"/>
        <v>1995601.847</v>
      </c>
      <c r="AC689" s="66">
        <f t="array" ref="AC689">IFS(B689&lt;66, XLOOKUP(year(A689),Lookup!$K$13:$K1000,Lookup!$L$13:$L1000,"missing",,1),B689&gt;65,XLOOKUP(questions!$C$5,Lookup!$K$13:$K1000,Lookup!$L$13:$L1000,"missing",,1))</f>
        <v>393675.3633</v>
      </c>
      <c r="AD689" s="66">
        <f t="array" ref="AD689">IFS(B689&lt;66, XLOOKUP(year(A689),Lookup!$K$13:$K1000,Lookup!$M$13:$M1000,"missing",,1),B689&gt;65, XLOOKUP(questions!$C$5,Lookup!$K$13:$K1000,Lookup!$M$13:$M1000,"missing",,1))</f>
        <v>787350.7266</v>
      </c>
      <c r="AE689" s="66">
        <f t="array" ref="AE689">IFS(B689&lt;66, XLOOKUP(year(A689),Lookup!$K$13:$K1000,Lookup!$N$13:$N1000,"missing",,1),B689&gt;65,XLOOKUP(questions!$C$5,Lookup!$K$13:$K1000,Lookup!$N$13:$N1000,"missing",,1))</f>
        <v>1574701.453</v>
      </c>
      <c r="AF689" s="37"/>
      <c r="AG689" s="37"/>
      <c r="AH689" s="37"/>
      <c r="AI689" s="37"/>
      <c r="AJ689" s="37"/>
      <c r="AK689" s="37"/>
      <c r="AL689" s="37"/>
      <c r="AM689" s="37"/>
      <c r="AN689" s="37"/>
      <c r="AO689" s="37"/>
      <c r="AP689" s="37"/>
      <c r="AQ689" s="37"/>
    </row>
    <row r="690">
      <c r="A690" s="55">
        <f t="shared" si="7"/>
        <v>67022</v>
      </c>
      <c r="B690" s="56">
        <f>round(YEARFRAC(EOMONTH(questions!$C$3, 0),A690,1),2)</f>
        <v>84.58</v>
      </c>
      <c r="C690" s="58">
        <f>IF(B690&lt;questions!$C$6,if(MONTH(A690)=1,C689*(1+questions!$C$12),C689),0)</f>
        <v>0</v>
      </c>
      <c r="D690" s="58">
        <f>IF(MONTH(A690)=12,C690*questions!$C$11,0)</f>
        <v>0</v>
      </c>
      <c r="E690" s="71">
        <f t="shared" si="2"/>
        <v>0</v>
      </c>
      <c r="F690" s="71">
        <f t="shared" si="3"/>
        <v>0</v>
      </c>
      <c r="G690" s="61">
        <f t="array" ref="G690">if(YEAR(A690)=2025,XLOOKUP(B690,Lookup!$A$3:$A$7,Lookup!$D$3:$D$7,,1)*SUM(E690:F690), XLOOKUP(B690,Lookup!$A$14:$A$18,Lookup!$D$14:$D$18,,1)*SUM(E690:F690))</f>
        <v>0</v>
      </c>
      <c r="H690" s="61">
        <f t="array" ref="H690">if(YEAR(A690)=2025,XLOOKUP(B690,Lookup!$F$3:$F$10,Lookup!$G$3:$G$10,,1)*G690, XLOOKUP(B690,Lookup!$F$14:$F$21,Lookup!$G$14:$G$21,,1)*G690)</f>
        <v>0</v>
      </c>
      <c r="I690" s="61">
        <f t="array" ref="I690">if(B690&lt;55, if(YEAR(A690)=2025,XLOOKUP(B690,Lookup!$F$3:$F$10,Lookup!$H$3:$H$10,,1)*G690, XLOOKUP(B690,Lookup!$F$14:$F$21,Lookup!$H$14:$H$21,,1)*G690),0)</f>
        <v>0</v>
      </c>
      <c r="J690" s="61">
        <f t="array" ref="J690">if(YEAR(A690)=2025,XLOOKUP(B690,Lookup!$F$3:$F$10,Lookup!$I$3:$I$10,,1)*G690, XLOOKUP(B690,Lookup!$F$14:$F$21,Lookup!$I$14:$I$21,,1)*G690)</f>
        <v>0</v>
      </c>
      <c r="K690" s="61">
        <f t="array" ref="K690">if(B690&gt;54, if(YEAR(A690)=2025,XLOOKUP(B690,Lookup!$F$3:$F$10,Lookup!$H$3:$H$10,,1)*G690, XLOOKUP(B690,Lookup!$F$14:$F$21,Lookup!$H$14:$H$21,,1)*G690),0)</f>
        <v>0</v>
      </c>
      <c r="L690" s="62">
        <f>IF(and(A690&lt;questions!$C$19,questions!$C$18="yes"),questions!$C$20,0)</f>
        <v>0</v>
      </c>
      <c r="M690" s="63">
        <f>(Y689+H690)*Lookup!A$26/12</f>
        <v>3283.059766</v>
      </c>
      <c r="N690" s="63">
        <f>if(B690&lt;55, (Z689+I690)*Lookup!B$26/12, (AB689+K690)*Lookup!B$26/12)</f>
        <v>6652.006155</v>
      </c>
      <c r="O690" s="63">
        <f>(AA689+J690)*Lookup!C$26/12</f>
        <v>940.3700287</v>
      </c>
      <c r="P690" s="63">
        <f t="shared" si="8"/>
        <v>19698.35859</v>
      </c>
      <c r="Q690" s="63">
        <f t="shared" si="4"/>
        <v>39912.03693</v>
      </c>
      <c r="R690" s="63">
        <f t="shared" si="5"/>
        <v>5642.220172</v>
      </c>
      <c r="S690" s="64">
        <f t="shared" si="9"/>
        <v>33.33333333</v>
      </c>
      <c r="T690" s="64">
        <f t="shared" si="10"/>
        <v>41.66666667</v>
      </c>
      <c r="U690" s="64">
        <f t="shared" si="11"/>
        <v>0</v>
      </c>
      <c r="V690" s="64">
        <f t="shared" ref="V690:X690" si="698">IF(year($A690)=year($A689), V689+S690, S690)</f>
        <v>200</v>
      </c>
      <c r="W690" s="64">
        <f t="shared" si="698"/>
        <v>250</v>
      </c>
      <c r="X690" s="64">
        <f t="shared" si="698"/>
        <v>0</v>
      </c>
      <c r="Y690" s="65">
        <f>IFS(
  B690&lt;55,
    MAX(
      Y689 + IF(MONTH(A690)=12, P690+V690, 0) + H690 - L690
      + MAX(0,
          IF(AA689 &gt;= VLOOKUP(YEAR(A690), Lookup!$Q:$R, 2),
            Z689 + IF(MONTH(A690)=12, Q690+W690, 0) + I690
              + AA689 + IF(MONTH(A690)=12, R690+X690, 0)
              - VLOOKUP(YEAR(A690), Lookup!$Q:$R, 2) + J690,
            Z689 + IF(MONTH(A690)=12, Q690+W690, 0) + I690
          ) - VLOOKUP(YEAR(A690), Lookup!$K:$M, 3)
        ),
    0),
  B690=55,
    IF(Z689&gt;=AD690,
      MAX(Y689 + IF(MONTH(A690)=12, P690+V690, 0) + H690 - L690, 0),
      MAX(MAX(0, Y689-(AD690-Z689)) + IF(MONTH(A690)=12, P690+V690, 0) + H690 - L690, 0)
    ),
  B690&gt;55,
    IF(AB689&gt;=$AH$7,
      MAX(Y689 + IF(MONTH(A690)=12, P690+V690, 0) + H690 - L690 + K690 + Z689, 0),
      MAX(Y689 + IF(MONTH(A690)=12, P690+V690, 0) + H690 - L690, 0)
    )
)</f>
        <v>1575868.688</v>
      </c>
      <c r="Z690" s="65">
        <f>IFS(
  B690&lt;55,
    MIN(
      IF(AA689 &gt;= VLOOKUP(YEAR(A690), Lookup!$Q:$R, 2),
        Z689 + IF(MONTH(A690)=12, Q690+W690, 0) + I690
          + AA689 + IF(MONTH(A690)=12, R690+X690, 0) - VLOOKUP(YEAR(A690), Lookup!$Q:$R, 2) + J690,
        Z689 + IF(MONTH(A690)=12, Q690+W690, 0) + I690
      ),
      VLOOKUP(YEAR(A690), Lookup!$K:$M, 3)
    ),
  B690=55,
    IF(Z689 &gt;= AD690, Z689 - AD690, 0),
  B690&gt;55, 0
)</f>
        <v>0</v>
      </c>
      <c r="AA690" s="65">
        <f>IFS(
  B690&lt;65,
    IF(AA689+J690 &lt; VLOOKUP(YEAR(A690), Lookup!$Q:$R, 2),
      AA689 + IF(MONTH(A690)=12, R689+X689, 0) + J690,
      MIN(
        AA689 + IF(MONTH(A690)=12, R689+X689, 0) + J690 ,
        VLOOKUP(YEAR(A690), Lookup!$Q:$R, 2)
      )
    ),
  B690&gt;=65,
    IF(AA689+J690 &lt; VLOOKUP(questions!$C$5, Lookup!$Q:$R, 2),
      AA689 + IF(MONTH(A690)=12, R689+X689, 0) + J690 ,
      MIN(
        AA689 + IF(MONTH(A690)=12, R689+X689, 0) + J690,
        VLOOKUP(questions!$C$5, Lookup!$Q:$R, 2)
      )
    )
)</f>
        <v>282111.0086</v>
      </c>
      <c r="AB690" s="65">
        <f t="shared" si="13"/>
        <v>1995601.847</v>
      </c>
      <c r="AC690" s="66">
        <f t="array" ref="AC690">IFS(B690&lt;66, XLOOKUP(year(A690),Lookup!$K$13:$K1000,Lookup!$L$13:$L1000,"missing",,1),B690&gt;65,XLOOKUP(questions!$C$5,Lookup!$K$13:$K1000,Lookup!$L$13:$L1000,"missing",,1))</f>
        <v>393675.3633</v>
      </c>
      <c r="AD690" s="66">
        <f t="array" ref="AD690">IFS(B690&lt;66, XLOOKUP(year(A690),Lookup!$K$13:$K1000,Lookup!$M$13:$M1000,"missing",,1),B690&gt;65, XLOOKUP(questions!$C$5,Lookup!$K$13:$K1000,Lookup!$M$13:$M1000,"missing",,1))</f>
        <v>787350.7266</v>
      </c>
      <c r="AE690" s="66">
        <f t="array" ref="AE690">IFS(B690&lt;66, XLOOKUP(year(A690),Lookup!$K$13:$K1000,Lookup!$N$13:$N1000,"missing",,1),B690&gt;65,XLOOKUP(questions!$C$5,Lookup!$K$13:$K1000,Lookup!$N$13:$N1000,"missing",,1))</f>
        <v>1574701.453</v>
      </c>
      <c r="AF690" s="37"/>
      <c r="AG690" s="37"/>
      <c r="AH690" s="37"/>
      <c r="AI690" s="37"/>
      <c r="AJ690" s="37"/>
      <c r="AK690" s="37"/>
      <c r="AL690" s="37"/>
      <c r="AM690" s="37"/>
      <c r="AN690" s="37"/>
      <c r="AO690" s="37"/>
      <c r="AP690" s="37"/>
      <c r="AQ690" s="37"/>
    </row>
    <row r="691">
      <c r="A691" s="55">
        <f t="shared" si="7"/>
        <v>67053</v>
      </c>
      <c r="B691" s="56">
        <f>round(YEARFRAC(EOMONTH(questions!$C$3, 0),A691,1),2)</f>
        <v>84.67</v>
      </c>
      <c r="C691" s="58">
        <f>IF(B691&lt;questions!$C$6,if(MONTH(A691)=1,C690*(1+questions!$C$12),C690),0)</f>
        <v>0</v>
      </c>
      <c r="D691" s="58">
        <f>IF(MONTH(A691)=12,C691*questions!$C$11,0)</f>
        <v>0</v>
      </c>
      <c r="E691" s="71">
        <f t="shared" si="2"/>
        <v>0</v>
      </c>
      <c r="F691" s="71">
        <f t="shared" si="3"/>
        <v>0</v>
      </c>
      <c r="G691" s="61">
        <f t="array" ref="G691">if(YEAR(A691)=2025,XLOOKUP(B691,Lookup!$A$3:$A$7,Lookup!$D$3:$D$7,,1)*SUM(E691:F691), XLOOKUP(B691,Lookup!$A$14:$A$18,Lookup!$D$14:$D$18,,1)*SUM(E691:F691))</f>
        <v>0</v>
      </c>
      <c r="H691" s="61">
        <f t="array" ref="H691">if(YEAR(A691)=2025,XLOOKUP(B691,Lookup!$F$3:$F$10,Lookup!$G$3:$G$10,,1)*G691, XLOOKUP(B691,Lookup!$F$14:$F$21,Lookup!$G$14:$G$21,,1)*G691)</f>
        <v>0</v>
      </c>
      <c r="I691" s="61">
        <f t="array" ref="I691">if(B691&lt;55, if(YEAR(A691)=2025,XLOOKUP(B691,Lookup!$F$3:$F$10,Lookup!$H$3:$H$10,,1)*G691, XLOOKUP(B691,Lookup!$F$14:$F$21,Lookup!$H$14:$H$21,,1)*G691),0)</f>
        <v>0</v>
      </c>
      <c r="J691" s="61">
        <f t="array" ref="J691">if(YEAR(A691)=2025,XLOOKUP(B691,Lookup!$F$3:$F$10,Lookup!$I$3:$I$10,,1)*G691, XLOOKUP(B691,Lookup!$F$14:$F$21,Lookup!$I$14:$I$21,,1)*G691)</f>
        <v>0</v>
      </c>
      <c r="K691" s="61">
        <f t="array" ref="K691">if(B691&gt;54, if(YEAR(A691)=2025,XLOOKUP(B691,Lookup!$F$3:$F$10,Lookup!$H$3:$H$10,,1)*G691, XLOOKUP(B691,Lookup!$F$14:$F$21,Lookup!$H$14:$H$21,,1)*G691),0)</f>
        <v>0</v>
      </c>
      <c r="L691" s="62">
        <f>IF(and(A691&lt;questions!$C$19,questions!$C$18="yes"),questions!$C$20,0)</f>
        <v>0</v>
      </c>
      <c r="M691" s="63">
        <f>(Y690+H691)*Lookup!A$26/12</f>
        <v>3283.059766</v>
      </c>
      <c r="N691" s="63">
        <f>if(B691&lt;55, (Z690+I691)*Lookup!B$26/12, (AB690+K691)*Lookup!B$26/12)</f>
        <v>6652.006155</v>
      </c>
      <c r="O691" s="63">
        <f>(AA690+J691)*Lookup!C$26/12</f>
        <v>940.3700287</v>
      </c>
      <c r="P691" s="63">
        <f t="shared" si="8"/>
        <v>22981.41836</v>
      </c>
      <c r="Q691" s="63">
        <f t="shared" si="4"/>
        <v>46564.04309</v>
      </c>
      <c r="R691" s="63">
        <f t="shared" si="5"/>
        <v>6582.590201</v>
      </c>
      <c r="S691" s="64">
        <f t="shared" si="9"/>
        <v>33.33333333</v>
      </c>
      <c r="T691" s="64">
        <f t="shared" si="10"/>
        <v>41.66666667</v>
      </c>
      <c r="U691" s="64">
        <f t="shared" si="11"/>
        <v>0</v>
      </c>
      <c r="V691" s="64">
        <f t="shared" ref="V691:X691" si="699">IF(year($A691)=year($A690), V690+S691, S691)</f>
        <v>233.3333333</v>
      </c>
      <c r="W691" s="64">
        <f t="shared" si="699"/>
        <v>291.6666667</v>
      </c>
      <c r="X691" s="64">
        <f t="shared" si="699"/>
        <v>0</v>
      </c>
      <c r="Y691" s="65">
        <f>IFS(
  B691&lt;55,
    MAX(
      Y690 + IF(MONTH(A691)=12, P691+V691, 0) + H691 - L691
      + MAX(0,
          IF(AA690 &gt;= VLOOKUP(YEAR(A691), Lookup!$Q:$R, 2),
            Z690 + IF(MONTH(A691)=12, Q691+W691, 0) + I691
              + AA690 + IF(MONTH(A691)=12, R691+X691, 0)
              - VLOOKUP(YEAR(A691), Lookup!$Q:$R, 2) + J691,
            Z690 + IF(MONTH(A691)=12, Q691+W691, 0) + I691
          ) - VLOOKUP(YEAR(A691), Lookup!$K:$M, 3)
        ),
    0),
  B691=55,
    IF(Z690&gt;=AD691,
      MAX(Y690 + IF(MONTH(A691)=12, P691+V691, 0) + H691 - L691, 0),
      MAX(MAX(0, Y690-(AD691-Z690)) + IF(MONTH(A691)=12, P691+V691, 0) + H691 - L691, 0)
    ),
  B691&gt;55,
    IF(AB690&gt;=$AH$7,
      MAX(Y690 + IF(MONTH(A691)=12, P691+V691, 0) + H691 - L691 + K691 + Z690, 0),
      MAX(Y690 + IF(MONTH(A691)=12, P691+V691, 0) + H691 - L691, 0)
    )
)</f>
        <v>1575868.688</v>
      </c>
      <c r="Z691" s="65">
        <f>IFS(
  B691&lt;55,
    MIN(
      IF(AA690 &gt;= VLOOKUP(YEAR(A691), Lookup!$Q:$R, 2),
        Z690 + IF(MONTH(A691)=12, Q691+W691, 0) + I691
          + AA690 + IF(MONTH(A691)=12, R691+X691, 0) - VLOOKUP(YEAR(A691), Lookup!$Q:$R, 2) + J691,
        Z690 + IF(MONTH(A691)=12, Q691+W691, 0) + I691
      ),
      VLOOKUP(YEAR(A691), Lookup!$K:$M, 3)
    ),
  B691=55,
    IF(Z690 &gt;= AD691, Z690 - AD691, 0),
  B691&gt;55, 0
)</f>
        <v>0</v>
      </c>
      <c r="AA691" s="65">
        <f>IFS(
  B691&lt;65,
    IF(AA690+J691 &lt; VLOOKUP(YEAR(A691), Lookup!$Q:$R, 2),
      AA690 + IF(MONTH(A691)=12, R690+X690, 0) + J691,
      MIN(
        AA690 + IF(MONTH(A691)=12, R690+X690, 0) + J691 ,
        VLOOKUP(YEAR(A691), Lookup!$Q:$R, 2)
      )
    ),
  B691&gt;=65,
    IF(AA690+J691 &lt; VLOOKUP(questions!$C$5, Lookup!$Q:$R, 2),
      AA690 + IF(MONTH(A691)=12, R690+X690, 0) + J691 ,
      MIN(
        AA690 + IF(MONTH(A691)=12, R690+X690, 0) + J691,
        VLOOKUP(questions!$C$5, Lookup!$Q:$R, 2)
      )
    )
)</f>
        <v>282111.0086</v>
      </c>
      <c r="AB691" s="65">
        <f t="shared" si="13"/>
        <v>1995601.847</v>
      </c>
      <c r="AC691" s="66">
        <f t="array" ref="AC691">IFS(B691&lt;66, XLOOKUP(year(A691),Lookup!$K$13:$K1000,Lookup!$L$13:$L1000,"missing",,1),B691&gt;65,XLOOKUP(questions!$C$5,Lookup!$K$13:$K1000,Lookup!$L$13:$L1000,"missing",,1))</f>
        <v>393675.3633</v>
      </c>
      <c r="AD691" s="66">
        <f t="array" ref="AD691">IFS(B691&lt;66, XLOOKUP(year(A691),Lookup!$K$13:$K1000,Lookup!$M$13:$M1000,"missing",,1),B691&gt;65, XLOOKUP(questions!$C$5,Lookup!$K$13:$K1000,Lookup!$M$13:$M1000,"missing",,1))</f>
        <v>787350.7266</v>
      </c>
      <c r="AE691" s="66">
        <f t="array" ref="AE691">IFS(B691&lt;66, XLOOKUP(year(A691),Lookup!$K$13:$K1000,Lookup!$N$13:$N1000,"missing",,1),B691&gt;65,XLOOKUP(questions!$C$5,Lookup!$K$13:$K1000,Lookup!$N$13:$N1000,"missing",,1))</f>
        <v>1574701.453</v>
      </c>
      <c r="AF691" s="37"/>
      <c r="AG691" s="37"/>
      <c r="AH691" s="37"/>
      <c r="AI691" s="37"/>
      <c r="AJ691" s="37"/>
      <c r="AK691" s="37"/>
      <c r="AL691" s="37"/>
      <c r="AM691" s="37"/>
      <c r="AN691" s="37"/>
      <c r="AO691" s="37"/>
      <c r="AP691" s="37"/>
      <c r="AQ691" s="37"/>
    </row>
    <row r="692">
      <c r="A692" s="55">
        <f t="shared" si="7"/>
        <v>67084</v>
      </c>
      <c r="B692" s="56">
        <f>round(YEARFRAC(EOMONTH(questions!$C$3, 0),A692,1),2)</f>
        <v>84.75</v>
      </c>
      <c r="C692" s="58">
        <f>IF(B692&lt;questions!$C$6,if(MONTH(A692)=1,C691*(1+questions!$C$12),C691),0)</f>
        <v>0</v>
      </c>
      <c r="D692" s="58">
        <f>IF(MONTH(A692)=12,C692*questions!$C$11,0)</f>
        <v>0</v>
      </c>
      <c r="E692" s="71">
        <f t="shared" si="2"/>
        <v>0</v>
      </c>
      <c r="F692" s="71">
        <f t="shared" si="3"/>
        <v>0</v>
      </c>
      <c r="G692" s="61">
        <f t="array" ref="G692">if(YEAR(A692)=2025,XLOOKUP(B692,Lookup!$A$3:$A$7,Lookup!$D$3:$D$7,,1)*SUM(E692:F692), XLOOKUP(B692,Lookup!$A$14:$A$18,Lookup!$D$14:$D$18,,1)*SUM(E692:F692))</f>
        <v>0</v>
      </c>
      <c r="H692" s="61">
        <f t="array" ref="H692">if(YEAR(A692)=2025,XLOOKUP(B692,Lookup!$F$3:$F$10,Lookup!$G$3:$G$10,,1)*G692, XLOOKUP(B692,Lookup!$F$14:$F$21,Lookup!$G$14:$G$21,,1)*G692)</f>
        <v>0</v>
      </c>
      <c r="I692" s="61">
        <f t="array" ref="I692">if(B692&lt;55, if(YEAR(A692)=2025,XLOOKUP(B692,Lookup!$F$3:$F$10,Lookup!$H$3:$H$10,,1)*G692, XLOOKUP(B692,Lookup!$F$14:$F$21,Lookup!$H$14:$H$21,,1)*G692),0)</f>
        <v>0</v>
      </c>
      <c r="J692" s="61">
        <f t="array" ref="J692">if(YEAR(A692)=2025,XLOOKUP(B692,Lookup!$F$3:$F$10,Lookup!$I$3:$I$10,,1)*G692, XLOOKUP(B692,Lookup!$F$14:$F$21,Lookup!$I$14:$I$21,,1)*G692)</f>
        <v>0</v>
      </c>
      <c r="K692" s="61">
        <f t="array" ref="K692">if(B692&gt;54, if(YEAR(A692)=2025,XLOOKUP(B692,Lookup!$F$3:$F$10,Lookup!$H$3:$H$10,,1)*G692, XLOOKUP(B692,Lookup!$F$14:$F$21,Lookup!$H$14:$H$21,,1)*G692),0)</f>
        <v>0</v>
      </c>
      <c r="L692" s="62">
        <f>IF(and(A692&lt;questions!$C$19,questions!$C$18="yes"),questions!$C$20,0)</f>
        <v>0</v>
      </c>
      <c r="M692" s="63">
        <f>(Y691+H692)*Lookup!A$26/12</f>
        <v>3283.059766</v>
      </c>
      <c r="N692" s="63">
        <f>if(B692&lt;55, (Z691+I692)*Lookup!B$26/12, (AB691+K692)*Lookup!B$26/12)</f>
        <v>6652.006155</v>
      </c>
      <c r="O692" s="63">
        <f>(AA691+J692)*Lookup!C$26/12</f>
        <v>940.3700287</v>
      </c>
      <c r="P692" s="63">
        <f t="shared" si="8"/>
        <v>26264.47813</v>
      </c>
      <c r="Q692" s="63">
        <f t="shared" si="4"/>
        <v>53216.04924</v>
      </c>
      <c r="R692" s="63">
        <f t="shared" si="5"/>
        <v>7522.960229</v>
      </c>
      <c r="S692" s="64">
        <f t="shared" si="9"/>
        <v>33.33333333</v>
      </c>
      <c r="T692" s="64">
        <f t="shared" si="10"/>
        <v>41.66666667</v>
      </c>
      <c r="U692" s="64">
        <f t="shared" si="11"/>
        <v>0</v>
      </c>
      <c r="V692" s="64">
        <f t="shared" ref="V692:X692" si="700">IF(year($A692)=year($A691), V691+S692, S692)</f>
        <v>266.6666667</v>
      </c>
      <c r="W692" s="64">
        <f t="shared" si="700"/>
        <v>333.3333333</v>
      </c>
      <c r="X692" s="64">
        <f t="shared" si="700"/>
        <v>0</v>
      </c>
      <c r="Y692" s="65">
        <f>IFS(
  B692&lt;55,
    MAX(
      Y691 + IF(MONTH(A692)=12, P692+V692, 0) + H692 - L692
      + MAX(0,
          IF(AA691 &gt;= VLOOKUP(YEAR(A692), Lookup!$Q:$R, 2),
            Z691 + IF(MONTH(A692)=12, Q692+W692, 0) + I692
              + AA691 + IF(MONTH(A692)=12, R692+X692, 0)
              - VLOOKUP(YEAR(A692), Lookup!$Q:$R, 2) + J692,
            Z691 + IF(MONTH(A692)=12, Q692+W692, 0) + I692
          ) - VLOOKUP(YEAR(A692), Lookup!$K:$M, 3)
        ),
    0),
  B692=55,
    IF(Z691&gt;=AD692,
      MAX(Y691 + IF(MONTH(A692)=12, P692+V692, 0) + H692 - L692, 0),
      MAX(MAX(0, Y691-(AD692-Z691)) + IF(MONTH(A692)=12, P692+V692, 0) + H692 - L692, 0)
    ),
  B692&gt;55,
    IF(AB691&gt;=$AH$7,
      MAX(Y691 + IF(MONTH(A692)=12, P692+V692, 0) + H692 - L692 + K692 + Z691, 0),
      MAX(Y691 + IF(MONTH(A692)=12, P692+V692, 0) + H692 - L692, 0)
    )
)</f>
        <v>1575868.688</v>
      </c>
      <c r="Z692" s="65">
        <f>IFS(
  B692&lt;55,
    MIN(
      IF(AA691 &gt;= VLOOKUP(YEAR(A692), Lookup!$Q:$R, 2),
        Z691 + IF(MONTH(A692)=12, Q692+W692, 0) + I692
          + AA691 + IF(MONTH(A692)=12, R692+X692, 0) - VLOOKUP(YEAR(A692), Lookup!$Q:$R, 2) + J692,
        Z691 + IF(MONTH(A692)=12, Q692+W692, 0) + I692
      ),
      VLOOKUP(YEAR(A692), Lookup!$K:$M, 3)
    ),
  B692=55,
    IF(Z691 &gt;= AD692, Z691 - AD692, 0),
  B692&gt;55, 0
)</f>
        <v>0</v>
      </c>
      <c r="AA692" s="65">
        <f>IFS(
  B692&lt;65,
    IF(AA691+J692 &lt; VLOOKUP(YEAR(A692), Lookup!$Q:$R, 2),
      AA691 + IF(MONTH(A692)=12, R691+X691, 0) + J692,
      MIN(
        AA691 + IF(MONTH(A692)=12, R691+X691, 0) + J692 ,
        VLOOKUP(YEAR(A692), Lookup!$Q:$R, 2)
      )
    ),
  B692&gt;=65,
    IF(AA691+J692 &lt; VLOOKUP(questions!$C$5, Lookup!$Q:$R, 2),
      AA691 + IF(MONTH(A692)=12, R691+X691, 0) + J692 ,
      MIN(
        AA691 + IF(MONTH(A692)=12, R691+X691, 0) + J692,
        VLOOKUP(questions!$C$5, Lookup!$Q:$R, 2)
      )
    )
)</f>
        <v>282111.0086</v>
      </c>
      <c r="AB692" s="65">
        <f t="shared" si="13"/>
        <v>1995601.847</v>
      </c>
      <c r="AC692" s="66">
        <f t="array" ref="AC692">IFS(B692&lt;66, XLOOKUP(year(A692),Lookup!$K$13:$K1000,Lookup!$L$13:$L1000,"missing",,1),B692&gt;65,XLOOKUP(questions!$C$5,Lookup!$K$13:$K1000,Lookup!$L$13:$L1000,"missing",,1))</f>
        <v>393675.3633</v>
      </c>
      <c r="AD692" s="66">
        <f t="array" ref="AD692">IFS(B692&lt;66, XLOOKUP(year(A692),Lookup!$K$13:$K1000,Lookup!$M$13:$M1000,"missing",,1),B692&gt;65, XLOOKUP(questions!$C$5,Lookup!$K$13:$K1000,Lookup!$M$13:$M1000,"missing",,1))</f>
        <v>787350.7266</v>
      </c>
      <c r="AE692" s="66">
        <f t="array" ref="AE692">IFS(B692&lt;66, XLOOKUP(year(A692),Lookup!$K$13:$K1000,Lookup!$N$13:$N1000,"missing",,1),B692&gt;65,XLOOKUP(questions!$C$5,Lookup!$K$13:$K1000,Lookup!$N$13:$N1000,"missing",,1))</f>
        <v>1574701.453</v>
      </c>
      <c r="AF692" s="37"/>
      <c r="AG692" s="37"/>
      <c r="AH692" s="37"/>
      <c r="AI692" s="37"/>
      <c r="AJ692" s="37"/>
      <c r="AK692" s="37"/>
      <c r="AL692" s="37"/>
      <c r="AM692" s="37"/>
      <c r="AN692" s="37"/>
      <c r="AO692" s="37"/>
      <c r="AP692" s="37"/>
      <c r="AQ692" s="37"/>
    </row>
    <row r="693">
      <c r="A693" s="55">
        <f t="shared" si="7"/>
        <v>67114</v>
      </c>
      <c r="B693" s="56">
        <f>round(YEARFRAC(EOMONTH(questions!$C$3, 0),A693,1),2)</f>
        <v>84.83</v>
      </c>
      <c r="C693" s="58">
        <f>IF(B693&lt;questions!$C$6,if(MONTH(A693)=1,C692*(1+questions!$C$12),C692),0)</f>
        <v>0</v>
      </c>
      <c r="D693" s="58">
        <f>IF(MONTH(A693)=12,C693*questions!$C$11,0)</f>
        <v>0</v>
      </c>
      <c r="E693" s="71">
        <f t="shared" si="2"/>
        <v>0</v>
      </c>
      <c r="F693" s="71">
        <f t="shared" si="3"/>
        <v>0</v>
      </c>
      <c r="G693" s="61">
        <f t="array" ref="G693">if(YEAR(A693)=2025,XLOOKUP(B693,Lookup!$A$3:$A$7,Lookup!$D$3:$D$7,,1)*SUM(E693:F693), XLOOKUP(B693,Lookup!$A$14:$A$18,Lookup!$D$14:$D$18,,1)*SUM(E693:F693))</f>
        <v>0</v>
      </c>
      <c r="H693" s="61">
        <f t="array" ref="H693">if(YEAR(A693)=2025,XLOOKUP(B693,Lookup!$F$3:$F$10,Lookup!$G$3:$G$10,,1)*G693, XLOOKUP(B693,Lookup!$F$14:$F$21,Lookup!$G$14:$G$21,,1)*G693)</f>
        <v>0</v>
      </c>
      <c r="I693" s="61">
        <f t="array" ref="I693">if(B693&lt;55, if(YEAR(A693)=2025,XLOOKUP(B693,Lookup!$F$3:$F$10,Lookup!$H$3:$H$10,,1)*G693, XLOOKUP(B693,Lookup!$F$14:$F$21,Lookup!$H$14:$H$21,,1)*G693),0)</f>
        <v>0</v>
      </c>
      <c r="J693" s="61">
        <f t="array" ref="J693">if(YEAR(A693)=2025,XLOOKUP(B693,Lookup!$F$3:$F$10,Lookup!$I$3:$I$10,,1)*G693, XLOOKUP(B693,Lookup!$F$14:$F$21,Lookup!$I$14:$I$21,,1)*G693)</f>
        <v>0</v>
      </c>
      <c r="K693" s="61">
        <f t="array" ref="K693">if(B693&gt;54, if(YEAR(A693)=2025,XLOOKUP(B693,Lookup!$F$3:$F$10,Lookup!$H$3:$H$10,,1)*G693, XLOOKUP(B693,Lookup!$F$14:$F$21,Lookup!$H$14:$H$21,,1)*G693),0)</f>
        <v>0</v>
      </c>
      <c r="L693" s="62">
        <f>IF(and(A693&lt;questions!$C$19,questions!$C$18="yes"),questions!$C$20,0)</f>
        <v>0</v>
      </c>
      <c r="M693" s="63">
        <f>(Y692+H693)*Lookup!A$26/12</f>
        <v>3283.059766</v>
      </c>
      <c r="N693" s="63">
        <f>if(B693&lt;55, (Z692+I693)*Lookup!B$26/12, (AB692+K693)*Lookup!B$26/12)</f>
        <v>6652.006155</v>
      </c>
      <c r="O693" s="63">
        <f>(AA692+J693)*Lookup!C$26/12</f>
        <v>940.3700287</v>
      </c>
      <c r="P693" s="63">
        <f t="shared" si="8"/>
        <v>29547.53789</v>
      </c>
      <c r="Q693" s="63">
        <f t="shared" si="4"/>
        <v>59868.0554</v>
      </c>
      <c r="R693" s="63">
        <f t="shared" si="5"/>
        <v>8463.330258</v>
      </c>
      <c r="S693" s="64">
        <f t="shared" si="9"/>
        <v>33.33333333</v>
      </c>
      <c r="T693" s="64">
        <f t="shared" si="10"/>
        <v>41.66666667</v>
      </c>
      <c r="U693" s="64">
        <f t="shared" si="11"/>
        <v>0</v>
      </c>
      <c r="V693" s="64">
        <f t="shared" ref="V693:X693" si="701">IF(year($A693)=year($A692), V692+S693, S693)</f>
        <v>300</v>
      </c>
      <c r="W693" s="64">
        <f t="shared" si="701"/>
        <v>375</v>
      </c>
      <c r="X693" s="64">
        <f t="shared" si="701"/>
        <v>0</v>
      </c>
      <c r="Y693" s="65">
        <f>IFS(
  B693&lt;55,
    MAX(
      Y692 + IF(MONTH(A693)=12, P693+V693, 0) + H693 - L693
      + MAX(0,
          IF(AA692 &gt;= VLOOKUP(YEAR(A693), Lookup!$Q:$R, 2),
            Z692 + IF(MONTH(A693)=12, Q693+W693, 0) + I693
              + AA692 + IF(MONTH(A693)=12, R693+X693, 0)
              - VLOOKUP(YEAR(A693), Lookup!$Q:$R, 2) + J693,
            Z692 + IF(MONTH(A693)=12, Q693+W693, 0) + I693
          ) - VLOOKUP(YEAR(A693), Lookup!$K:$M, 3)
        ),
    0),
  B693=55,
    IF(Z692&gt;=AD693,
      MAX(Y692 + IF(MONTH(A693)=12, P693+V693, 0) + H693 - L693, 0),
      MAX(MAX(0, Y692-(AD693-Z692)) + IF(MONTH(A693)=12, P693+V693, 0) + H693 - L693, 0)
    ),
  B693&gt;55,
    IF(AB692&gt;=$AH$7,
      MAX(Y692 + IF(MONTH(A693)=12, P693+V693, 0) + H693 - L693 + K693 + Z692, 0),
      MAX(Y692 + IF(MONTH(A693)=12, P693+V693, 0) + H693 - L693, 0)
    )
)</f>
        <v>1575868.688</v>
      </c>
      <c r="Z693" s="65">
        <f>IFS(
  B693&lt;55,
    MIN(
      IF(AA692 &gt;= VLOOKUP(YEAR(A693), Lookup!$Q:$R, 2),
        Z692 + IF(MONTH(A693)=12, Q693+W693, 0) + I693
          + AA692 + IF(MONTH(A693)=12, R693+X693, 0) - VLOOKUP(YEAR(A693), Lookup!$Q:$R, 2) + J693,
        Z692 + IF(MONTH(A693)=12, Q693+W693, 0) + I693
      ),
      VLOOKUP(YEAR(A693), Lookup!$K:$M, 3)
    ),
  B693=55,
    IF(Z692 &gt;= AD693, Z692 - AD693, 0),
  B693&gt;55, 0
)</f>
        <v>0</v>
      </c>
      <c r="AA693" s="65">
        <f>IFS(
  B693&lt;65,
    IF(AA692+J693 &lt; VLOOKUP(YEAR(A693), Lookup!$Q:$R, 2),
      AA692 + IF(MONTH(A693)=12, R692+X692, 0) + J693,
      MIN(
        AA692 + IF(MONTH(A693)=12, R692+X692, 0) + J693 ,
        VLOOKUP(YEAR(A693), Lookup!$Q:$R, 2)
      )
    ),
  B693&gt;=65,
    IF(AA692+J693 &lt; VLOOKUP(questions!$C$5, Lookup!$Q:$R, 2),
      AA692 + IF(MONTH(A693)=12, R692+X692, 0) + J693 ,
      MIN(
        AA692 + IF(MONTH(A693)=12, R692+X692, 0) + J693,
        VLOOKUP(questions!$C$5, Lookup!$Q:$R, 2)
      )
    )
)</f>
        <v>282111.0086</v>
      </c>
      <c r="AB693" s="65">
        <f t="shared" si="13"/>
        <v>1995601.847</v>
      </c>
      <c r="AC693" s="66">
        <f t="array" ref="AC693">IFS(B693&lt;66, XLOOKUP(year(A693),Lookup!$K$13:$K1000,Lookup!$L$13:$L1000,"missing",,1),B693&gt;65,XLOOKUP(questions!$C$5,Lookup!$K$13:$K1000,Lookup!$L$13:$L1000,"missing",,1))</f>
        <v>393675.3633</v>
      </c>
      <c r="AD693" s="66">
        <f t="array" ref="AD693">IFS(B693&lt;66, XLOOKUP(year(A693),Lookup!$K$13:$K1000,Lookup!$M$13:$M1000,"missing",,1),B693&gt;65, XLOOKUP(questions!$C$5,Lookup!$K$13:$K1000,Lookup!$M$13:$M1000,"missing",,1))</f>
        <v>787350.7266</v>
      </c>
      <c r="AE693" s="66">
        <f t="array" ref="AE693">IFS(B693&lt;66, XLOOKUP(year(A693),Lookup!$K$13:$K1000,Lookup!$N$13:$N1000,"missing",,1),B693&gt;65,XLOOKUP(questions!$C$5,Lookup!$K$13:$K1000,Lookup!$N$13:$N1000,"missing",,1))</f>
        <v>1574701.453</v>
      </c>
      <c r="AF693" s="37"/>
      <c r="AG693" s="37"/>
      <c r="AH693" s="37"/>
      <c r="AI693" s="37"/>
      <c r="AJ693" s="37"/>
      <c r="AK693" s="37"/>
      <c r="AL693" s="37"/>
      <c r="AM693" s="37"/>
      <c r="AN693" s="37"/>
      <c r="AO693" s="37"/>
      <c r="AP693" s="37"/>
      <c r="AQ693" s="37"/>
    </row>
    <row r="694">
      <c r="A694" s="55">
        <f t="shared" si="7"/>
        <v>67145</v>
      </c>
      <c r="B694" s="56">
        <f>round(YEARFRAC(EOMONTH(questions!$C$3, 0),A694,1),2)</f>
        <v>84.92</v>
      </c>
      <c r="C694" s="58">
        <f>IF(B694&lt;questions!$C$6,if(MONTH(A694)=1,C693*(1+questions!$C$12),C693),0)</f>
        <v>0</v>
      </c>
      <c r="D694" s="58">
        <f>IF(MONTH(A694)=12,C694*questions!$C$11,0)</f>
        <v>0</v>
      </c>
      <c r="E694" s="71">
        <f t="shared" si="2"/>
        <v>0</v>
      </c>
      <c r="F694" s="71">
        <f t="shared" si="3"/>
        <v>0</v>
      </c>
      <c r="G694" s="61">
        <f t="array" ref="G694">if(YEAR(A694)=2025,XLOOKUP(B694,Lookup!$A$3:$A$7,Lookup!$D$3:$D$7,,1)*SUM(E694:F694), XLOOKUP(B694,Lookup!$A$14:$A$18,Lookup!$D$14:$D$18,,1)*SUM(E694:F694))</f>
        <v>0</v>
      </c>
      <c r="H694" s="61">
        <f t="array" ref="H694">if(YEAR(A694)=2025,XLOOKUP(B694,Lookup!$F$3:$F$10,Lookup!$G$3:$G$10,,1)*G694, XLOOKUP(B694,Lookup!$F$14:$F$21,Lookup!$G$14:$G$21,,1)*G694)</f>
        <v>0</v>
      </c>
      <c r="I694" s="61">
        <f t="array" ref="I694">if(B694&lt;55, if(YEAR(A694)=2025,XLOOKUP(B694,Lookup!$F$3:$F$10,Lookup!$H$3:$H$10,,1)*G694, XLOOKUP(B694,Lookup!$F$14:$F$21,Lookup!$H$14:$H$21,,1)*G694),0)</f>
        <v>0</v>
      </c>
      <c r="J694" s="61">
        <f t="array" ref="J694">if(YEAR(A694)=2025,XLOOKUP(B694,Lookup!$F$3:$F$10,Lookup!$I$3:$I$10,,1)*G694, XLOOKUP(B694,Lookup!$F$14:$F$21,Lookup!$I$14:$I$21,,1)*G694)</f>
        <v>0</v>
      </c>
      <c r="K694" s="61">
        <f t="array" ref="K694">if(B694&gt;54, if(YEAR(A694)=2025,XLOOKUP(B694,Lookup!$F$3:$F$10,Lookup!$H$3:$H$10,,1)*G694, XLOOKUP(B694,Lookup!$F$14:$F$21,Lookup!$H$14:$H$21,,1)*G694),0)</f>
        <v>0</v>
      </c>
      <c r="L694" s="62">
        <f>IF(and(A694&lt;questions!$C$19,questions!$C$18="yes"),questions!$C$20,0)</f>
        <v>0</v>
      </c>
      <c r="M694" s="63">
        <f>(Y693+H694)*Lookup!A$26/12</f>
        <v>3283.059766</v>
      </c>
      <c r="N694" s="63">
        <f>if(B694&lt;55, (Z693+I694)*Lookup!B$26/12, (AB693+K694)*Lookup!B$26/12)</f>
        <v>6652.006155</v>
      </c>
      <c r="O694" s="63">
        <f>(AA693+J694)*Lookup!C$26/12</f>
        <v>940.3700287</v>
      </c>
      <c r="P694" s="63">
        <f t="shared" si="8"/>
        <v>32830.59766</v>
      </c>
      <c r="Q694" s="63">
        <f t="shared" si="4"/>
        <v>66520.06155</v>
      </c>
      <c r="R694" s="63">
        <f t="shared" si="5"/>
        <v>9403.700287</v>
      </c>
      <c r="S694" s="64">
        <f t="shared" si="9"/>
        <v>33.33333333</v>
      </c>
      <c r="T694" s="64">
        <f t="shared" si="10"/>
        <v>41.66666667</v>
      </c>
      <c r="U694" s="64">
        <f t="shared" si="11"/>
        <v>0</v>
      </c>
      <c r="V694" s="64">
        <f t="shared" ref="V694:X694" si="702">IF(year($A694)=year($A693), V693+S694, S694)</f>
        <v>333.3333333</v>
      </c>
      <c r="W694" s="64">
        <f t="shared" si="702"/>
        <v>416.6666667</v>
      </c>
      <c r="X694" s="64">
        <f t="shared" si="702"/>
        <v>0</v>
      </c>
      <c r="Y694" s="65">
        <f>IFS(
  B694&lt;55,
    MAX(
      Y693 + IF(MONTH(A694)=12, P694+V694, 0) + H694 - L694
      + MAX(0,
          IF(AA693 &gt;= VLOOKUP(YEAR(A694), Lookup!$Q:$R, 2),
            Z693 + IF(MONTH(A694)=12, Q694+W694, 0) + I694
              + AA693 + IF(MONTH(A694)=12, R694+X694, 0)
              - VLOOKUP(YEAR(A694), Lookup!$Q:$R, 2) + J694,
            Z693 + IF(MONTH(A694)=12, Q694+W694, 0) + I694
          ) - VLOOKUP(YEAR(A694), Lookup!$K:$M, 3)
        ),
    0),
  B694=55,
    IF(Z693&gt;=AD694,
      MAX(Y693 + IF(MONTH(A694)=12, P694+V694, 0) + H694 - L694, 0),
      MAX(MAX(0, Y693-(AD694-Z693)) + IF(MONTH(A694)=12, P694+V694, 0) + H694 - L694, 0)
    ),
  B694&gt;55,
    IF(AB693&gt;=$AH$7,
      MAX(Y693 + IF(MONTH(A694)=12, P694+V694, 0) + H694 - L694 + K694 + Z693, 0),
      MAX(Y693 + IF(MONTH(A694)=12, P694+V694, 0) + H694 - L694, 0)
    )
)</f>
        <v>1575868.688</v>
      </c>
      <c r="Z694" s="65">
        <f>IFS(
  B694&lt;55,
    MIN(
      IF(AA693 &gt;= VLOOKUP(YEAR(A694), Lookup!$Q:$R, 2),
        Z693 + IF(MONTH(A694)=12, Q694+W694, 0) + I694
          + AA693 + IF(MONTH(A694)=12, R694+X694, 0) - VLOOKUP(YEAR(A694), Lookup!$Q:$R, 2) + J694,
        Z693 + IF(MONTH(A694)=12, Q694+W694, 0) + I694
      ),
      VLOOKUP(YEAR(A694), Lookup!$K:$M, 3)
    ),
  B694=55,
    IF(Z693 &gt;= AD694, Z693 - AD694, 0),
  B694&gt;55, 0
)</f>
        <v>0</v>
      </c>
      <c r="AA694" s="65">
        <f>IFS(
  B694&lt;65,
    IF(AA693+J694 &lt; VLOOKUP(YEAR(A694), Lookup!$Q:$R, 2),
      AA693 + IF(MONTH(A694)=12, R693+X693, 0) + J694,
      MIN(
        AA693 + IF(MONTH(A694)=12, R693+X693, 0) + J694 ,
        VLOOKUP(YEAR(A694), Lookup!$Q:$R, 2)
      )
    ),
  B694&gt;=65,
    IF(AA693+J694 &lt; VLOOKUP(questions!$C$5, Lookup!$Q:$R, 2),
      AA693 + IF(MONTH(A694)=12, R693+X693, 0) + J694 ,
      MIN(
        AA693 + IF(MONTH(A694)=12, R693+X693, 0) + J694,
        VLOOKUP(questions!$C$5, Lookup!$Q:$R, 2)
      )
    )
)</f>
        <v>282111.0086</v>
      </c>
      <c r="AB694" s="65">
        <f t="shared" si="13"/>
        <v>1995601.847</v>
      </c>
      <c r="AC694" s="66">
        <f t="array" ref="AC694">IFS(B694&lt;66, XLOOKUP(year(A694),Lookup!$K$13:$K1000,Lookup!$L$13:$L1000,"missing",,1),B694&gt;65,XLOOKUP(questions!$C$5,Lookup!$K$13:$K1000,Lookup!$L$13:$L1000,"missing",,1))</f>
        <v>393675.3633</v>
      </c>
      <c r="AD694" s="66">
        <f t="array" ref="AD694">IFS(B694&lt;66, XLOOKUP(year(A694),Lookup!$K$13:$K1000,Lookup!$M$13:$M1000,"missing",,1),B694&gt;65, XLOOKUP(questions!$C$5,Lookup!$K$13:$K1000,Lookup!$M$13:$M1000,"missing",,1))</f>
        <v>787350.7266</v>
      </c>
      <c r="AE694" s="66">
        <f t="array" ref="AE694">IFS(B694&lt;66, XLOOKUP(year(A694),Lookup!$K$13:$K1000,Lookup!$N$13:$N1000,"missing",,1),B694&gt;65,XLOOKUP(questions!$C$5,Lookup!$K$13:$K1000,Lookup!$N$13:$N1000,"missing",,1))</f>
        <v>1574701.453</v>
      </c>
      <c r="AF694" s="37"/>
      <c r="AG694" s="37"/>
      <c r="AH694" s="37"/>
      <c r="AI694" s="37"/>
      <c r="AJ694" s="37"/>
      <c r="AK694" s="37"/>
      <c r="AL694" s="37"/>
      <c r="AM694" s="37"/>
      <c r="AN694" s="37"/>
      <c r="AO694" s="37"/>
      <c r="AP694" s="37"/>
      <c r="AQ694" s="37"/>
    </row>
    <row r="695">
      <c r="A695" s="55">
        <f t="shared" si="7"/>
        <v>67175</v>
      </c>
      <c r="B695" s="56">
        <f>round(YEARFRAC(EOMONTH(questions!$C$3, 0),A695,1),2)</f>
        <v>85</v>
      </c>
      <c r="C695" s="58">
        <f>IF(B695&lt;questions!$C$6,if(MONTH(A695)=1,C694*(1+questions!$C$12),C694),0)</f>
        <v>0</v>
      </c>
      <c r="D695" s="58">
        <f>IF(MONTH(A695)=12,C695*questions!$C$11,0)</f>
        <v>0</v>
      </c>
      <c r="E695" s="71">
        <f t="shared" si="2"/>
        <v>0</v>
      </c>
      <c r="F695" s="71">
        <f t="shared" si="3"/>
        <v>0</v>
      </c>
      <c r="G695" s="61">
        <f t="array" ref="G695">if(YEAR(A695)=2025,XLOOKUP(B695,Lookup!$A$3:$A$7,Lookup!$D$3:$D$7,,1)*SUM(E695:F695), XLOOKUP(B695,Lookup!$A$14:$A$18,Lookup!$D$14:$D$18,,1)*SUM(E695:F695))</f>
        <v>0</v>
      </c>
      <c r="H695" s="61">
        <f t="array" ref="H695">if(YEAR(A695)=2025,XLOOKUP(B695,Lookup!$F$3:$F$10,Lookup!$G$3:$G$10,,1)*G695, XLOOKUP(B695,Lookup!$F$14:$F$21,Lookup!$G$14:$G$21,,1)*G695)</f>
        <v>0</v>
      </c>
      <c r="I695" s="61">
        <f t="array" ref="I695">if(B695&lt;55, if(YEAR(A695)=2025,XLOOKUP(B695,Lookup!$F$3:$F$10,Lookup!$H$3:$H$10,,1)*G695, XLOOKUP(B695,Lookup!$F$14:$F$21,Lookup!$H$14:$H$21,,1)*G695),0)</f>
        <v>0</v>
      </c>
      <c r="J695" s="61">
        <f t="array" ref="J695">if(YEAR(A695)=2025,XLOOKUP(B695,Lookup!$F$3:$F$10,Lookup!$I$3:$I$10,,1)*G695, XLOOKUP(B695,Lookup!$F$14:$F$21,Lookup!$I$14:$I$21,,1)*G695)</f>
        <v>0</v>
      </c>
      <c r="K695" s="61">
        <f t="array" ref="K695">if(B695&gt;54, if(YEAR(A695)=2025,XLOOKUP(B695,Lookup!$F$3:$F$10,Lookup!$H$3:$H$10,,1)*G695, XLOOKUP(B695,Lookup!$F$14:$F$21,Lookup!$H$14:$H$21,,1)*G695),0)</f>
        <v>0</v>
      </c>
      <c r="L695" s="62">
        <f>IF(and(A695&lt;questions!$C$19,questions!$C$18="yes"),questions!$C$20,0)</f>
        <v>0</v>
      </c>
      <c r="M695" s="63">
        <f>(Y694+H695)*Lookup!A$26/12</f>
        <v>3283.059766</v>
      </c>
      <c r="N695" s="63">
        <f>if(B695&lt;55, (Z694+I695)*Lookup!B$26/12, (AB694+K695)*Lookup!B$26/12)</f>
        <v>6652.006155</v>
      </c>
      <c r="O695" s="63">
        <f>(AA694+J695)*Lookup!C$26/12</f>
        <v>940.3700287</v>
      </c>
      <c r="P695" s="63">
        <f t="shared" si="8"/>
        <v>36113.65742</v>
      </c>
      <c r="Q695" s="63">
        <f t="shared" si="4"/>
        <v>73172.06771</v>
      </c>
      <c r="R695" s="63">
        <f t="shared" si="5"/>
        <v>10344.07032</v>
      </c>
      <c r="S695" s="64">
        <f t="shared" si="9"/>
        <v>33.33333333</v>
      </c>
      <c r="T695" s="64">
        <f t="shared" si="10"/>
        <v>41.66666667</v>
      </c>
      <c r="U695" s="64">
        <f t="shared" si="11"/>
        <v>0</v>
      </c>
      <c r="V695" s="64">
        <f t="shared" ref="V695:X695" si="703">IF(year($A695)=year($A694), V694+S695, S695)</f>
        <v>366.6666667</v>
      </c>
      <c r="W695" s="64">
        <f t="shared" si="703"/>
        <v>458.3333333</v>
      </c>
      <c r="X695" s="64">
        <f t="shared" si="703"/>
        <v>0</v>
      </c>
      <c r="Y695" s="65">
        <f>IFS(
  B695&lt;55,
    MAX(
      Y694 + IF(MONTH(A695)=12, P695+V695, 0) + H695 - L695
      + MAX(0,
          IF(AA694 &gt;= VLOOKUP(YEAR(A695), Lookup!$Q:$R, 2),
            Z694 + IF(MONTH(A695)=12, Q695+W695, 0) + I695
              + AA694 + IF(MONTH(A695)=12, R695+X695, 0)
              - VLOOKUP(YEAR(A695), Lookup!$Q:$R, 2) + J695,
            Z694 + IF(MONTH(A695)=12, Q695+W695, 0) + I695
          ) - VLOOKUP(YEAR(A695), Lookup!$K:$M, 3)
        ),
    0),
  B695=55,
    IF(Z694&gt;=AD695,
      MAX(Y694 + IF(MONTH(A695)=12, P695+V695, 0) + H695 - L695, 0),
      MAX(MAX(0, Y694-(AD695-Z694)) + IF(MONTH(A695)=12, P695+V695, 0) + H695 - L695, 0)
    ),
  B695&gt;55,
    IF(AB694&gt;=$AH$7,
      MAX(Y694 + IF(MONTH(A695)=12, P695+V695, 0) + H695 - L695 + K695 + Z694, 0),
      MAX(Y694 + IF(MONTH(A695)=12, P695+V695, 0) + H695 - L695, 0)
    )
)</f>
        <v>1575868.688</v>
      </c>
      <c r="Z695" s="65">
        <f>IFS(
  B695&lt;55,
    MIN(
      IF(AA694 &gt;= VLOOKUP(YEAR(A695), Lookup!$Q:$R, 2),
        Z694 + IF(MONTH(A695)=12, Q695+W695, 0) + I695
          + AA694 + IF(MONTH(A695)=12, R695+X695, 0) - VLOOKUP(YEAR(A695), Lookup!$Q:$R, 2) + J695,
        Z694 + IF(MONTH(A695)=12, Q695+W695, 0) + I695
      ),
      VLOOKUP(YEAR(A695), Lookup!$K:$M, 3)
    ),
  B695=55,
    IF(Z694 &gt;= AD695, Z694 - AD695, 0),
  B695&gt;55, 0
)</f>
        <v>0</v>
      </c>
      <c r="AA695" s="65">
        <f>IFS(
  B695&lt;65,
    IF(AA694+J695 &lt; VLOOKUP(YEAR(A695), Lookup!$Q:$R, 2),
      AA694 + IF(MONTH(A695)=12, R694+X694, 0) + J695,
      MIN(
        AA694 + IF(MONTH(A695)=12, R694+X694, 0) + J695 ,
        VLOOKUP(YEAR(A695), Lookup!$Q:$R, 2)
      )
    ),
  B695&gt;=65,
    IF(AA694+J695 &lt; VLOOKUP(questions!$C$5, Lookup!$Q:$R, 2),
      AA694 + IF(MONTH(A695)=12, R694+X694, 0) + J695 ,
      MIN(
        AA694 + IF(MONTH(A695)=12, R694+X694, 0) + J695,
        VLOOKUP(questions!$C$5, Lookup!$Q:$R, 2)
      )
    )
)</f>
        <v>282111.0086</v>
      </c>
      <c r="AB695" s="65">
        <f t="shared" si="13"/>
        <v>1995601.847</v>
      </c>
      <c r="AC695" s="66">
        <f t="array" ref="AC695">IFS(B695&lt;66, XLOOKUP(year(A695),Lookup!$K$13:$K1000,Lookup!$L$13:$L1000,"missing",,1),B695&gt;65,XLOOKUP(questions!$C$5,Lookup!$K$13:$K1000,Lookup!$L$13:$L1000,"missing",,1))</f>
        <v>393675.3633</v>
      </c>
      <c r="AD695" s="66">
        <f t="array" ref="AD695">IFS(B695&lt;66, XLOOKUP(year(A695),Lookup!$K$13:$K1000,Lookup!$M$13:$M1000,"missing",,1),B695&gt;65, XLOOKUP(questions!$C$5,Lookup!$K$13:$K1000,Lookup!$M$13:$M1000,"missing",,1))</f>
        <v>787350.7266</v>
      </c>
      <c r="AE695" s="66">
        <f t="array" ref="AE695">IFS(B695&lt;66, XLOOKUP(year(A695),Lookup!$K$13:$K1000,Lookup!$N$13:$N1000,"missing",,1),B695&gt;65,XLOOKUP(questions!$C$5,Lookup!$K$13:$K1000,Lookup!$N$13:$N1000,"missing",,1))</f>
        <v>1574701.453</v>
      </c>
      <c r="AF695" s="37"/>
      <c r="AG695" s="37"/>
      <c r="AH695" s="37"/>
      <c r="AI695" s="37"/>
      <c r="AJ695" s="37"/>
      <c r="AK695" s="37"/>
      <c r="AL695" s="37"/>
      <c r="AM695" s="37"/>
      <c r="AN695" s="37"/>
      <c r="AO695" s="37"/>
      <c r="AP695" s="37"/>
      <c r="AQ695" s="37"/>
    </row>
    <row r="696">
      <c r="A696" s="55">
        <f t="shared" si="7"/>
        <v>67206</v>
      </c>
      <c r="B696" s="56">
        <f>round(YEARFRAC(EOMONTH(questions!$C$3, 0),A696,1),2)</f>
        <v>85.08</v>
      </c>
      <c r="C696" s="58">
        <f>IF(B696&lt;questions!$C$6,if(MONTH(A696)=1,C695*(1+questions!$C$12),C695),0)</f>
        <v>0</v>
      </c>
      <c r="D696" s="58">
        <f>IF(MONTH(A696)=12,C696*questions!$C$11,0)</f>
        <v>0</v>
      </c>
      <c r="E696" s="71">
        <f t="shared" si="2"/>
        <v>0</v>
      </c>
      <c r="F696" s="71">
        <f t="shared" si="3"/>
        <v>0</v>
      </c>
      <c r="G696" s="61">
        <f t="array" ref="G696">if(YEAR(A696)=2025,XLOOKUP(B696,Lookup!$A$3:$A$7,Lookup!$D$3:$D$7,,1)*SUM(E696:F696), XLOOKUP(B696,Lookup!$A$14:$A$18,Lookup!$D$14:$D$18,,1)*SUM(E696:F696))</f>
        <v>0</v>
      </c>
      <c r="H696" s="61">
        <f t="array" ref="H696">if(YEAR(A696)=2025,XLOOKUP(B696,Lookup!$F$3:$F$10,Lookup!$G$3:$G$10,,1)*G696, XLOOKUP(B696,Lookup!$F$14:$F$21,Lookup!$G$14:$G$21,,1)*G696)</f>
        <v>0</v>
      </c>
      <c r="I696" s="61">
        <f t="array" ref="I696">if(B696&lt;55, if(YEAR(A696)=2025,XLOOKUP(B696,Lookup!$F$3:$F$10,Lookup!$H$3:$H$10,,1)*G696, XLOOKUP(B696,Lookup!$F$14:$F$21,Lookup!$H$14:$H$21,,1)*G696),0)</f>
        <v>0</v>
      </c>
      <c r="J696" s="61">
        <f t="array" ref="J696">if(YEAR(A696)=2025,XLOOKUP(B696,Lookup!$F$3:$F$10,Lookup!$I$3:$I$10,,1)*G696, XLOOKUP(B696,Lookup!$F$14:$F$21,Lookup!$I$14:$I$21,,1)*G696)</f>
        <v>0</v>
      </c>
      <c r="K696" s="61">
        <f t="array" ref="K696">if(B696&gt;54, if(YEAR(A696)=2025,XLOOKUP(B696,Lookup!$F$3:$F$10,Lookup!$H$3:$H$10,,1)*G696, XLOOKUP(B696,Lookup!$F$14:$F$21,Lookup!$H$14:$H$21,,1)*G696),0)</f>
        <v>0</v>
      </c>
      <c r="L696" s="62">
        <f>IF(and(A696&lt;questions!$C$19,questions!$C$18="yes"),questions!$C$20,0)</f>
        <v>0</v>
      </c>
      <c r="M696" s="63">
        <f>(Y695+H696)*Lookup!A$26/12</f>
        <v>3283.059766</v>
      </c>
      <c r="N696" s="63">
        <f>if(B696&lt;55, (Z695+I696)*Lookup!B$26/12, (AB695+K696)*Lookup!B$26/12)</f>
        <v>6652.006155</v>
      </c>
      <c r="O696" s="63">
        <f>(AA695+J696)*Lookup!C$26/12</f>
        <v>940.3700287</v>
      </c>
      <c r="P696" s="63">
        <f t="shared" si="8"/>
        <v>39396.71719</v>
      </c>
      <c r="Q696" s="63">
        <f t="shared" si="4"/>
        <v>79824.07386</v>
      </c>
      <c r="R696" s="63">
        <f t="shared" si="5"/>
        <v>11284.44034</v>
      </c>
      <c r="S696" s="64">
        <f t="shared" si="9"/>
        <v>33.33333333</v>
      </c>
      <c r="T696" s="64">
        <f t="shared" si="10"/>
        <v>41.66666667</v>
      </c>
      <c r="U696" s="64">
        <f t="shared" si="11"/>
        <v>0</v>
      </c>
      <c r="V696" s="64">
        <f t="shared" ref="V696:X696" si="704">IF(year($A696)=year($A695), V695+S696, S696)</f>
        <v>400</v>
      </c>
      <c r="W696" s="64">
        <f t="shared" si="704"/>
        <v>500</v>
      </c>
      <c r="X696" s="64">
        <f t="shared" si="704"/>
        <v>0</v>
      </c>
      <c r="Y696" s="65">
        <f>IFS(
  B696&lt;55,
    MAX(
      Y695 + IF(MONTH(A696)=12, P696+V696, 0) + H696 - L696
      + MAX(0,
          IF(AA695 &gt;= VLOOKUP(YEAR(A696), Lookup!$Q:$R, 2),
            Z695 + IF(MONTH(A696)=12, Q696+W696, 0) + I696
              + AA695 + IF(MONTH(A696)=12, R696+X696, 0)
              - VLOOKUP(YEAR(A696), Lookup!$Q:$R, 2) + J696,
            Z695 + IF(MONTH(A696)=12, Q696+W696, 0) + I696
          ) - VLOOKUP(YEAR(A696), Lookup!$K:$M, 3)
        ),
    0),
  B696=55,
    IF(Z695&gt;=AD696,
      MAX(Y695 + IF(MONTH(A696)=12, P696+V696, 0) + H696 - L696, 0),
      MAX(MAX(0, Y695-(AD696-Z695)) + IF(MONTH(A696)=12, P696+V696, 0) + H696 - L696, 0)
    ),
  B696&gt;55,
    IF(AB695&gt;=$AH$7,
      MAX(Y695 + IF(MONTH(A696)=12, P696+V696, 0) + H696 - L696 + K696 + Z695, 0),
      MAX(Y695 + IF(MONTH(A696)=12, P696+V696, 0) + H696 - L696, 0)
    )
)</f>
        <v>1615665.405</v>
      </c>
      <c r="Z696" s="65">
        <f>IFS(
  B696&lt;55,
    MIN(
      IF(AA695 &gt;= VLOOKUP(YEAR(A696), Lookup!$Q:$R, 2),
        Z695 + IF(MONTH(A696)=12, Q696+W696, 0) + I696
          + AA695 + IF(MONTH(A696)=12, R696+X696, 0) - VLOOKUP(YEAR(A696), Lookup!$Q:$R, 2) + J696,
        Z695 + IF(MONTH(A696)=12, Q696+W696, 0) + I696
      ),
      VLOOKUP(YEAR(A696), Lookup!$K:$M, 3)
    ),
  B696=55,
    IF(Z695 &gt;= AD696, Z695 - AD696, 0),
  B696&gt;55, 0
)</f>
        <v>0</v>
      </c>
      <c r="AA696" s="65">
        <f>IFS(
  B696&lt;65,
    IF(AA695+J696 &lt; VLOOKUP(YEAR(A696), Lookup!$Q:$R, 2),
      AA695 + IF(MONTH(A696)=12, R695+X695, 0) + J696,
      MIN(
        AA695 + IF(MONTH(A696)=12, R695+X695, 0) + J696 ,
        VLOOKUP(YEAR(A696), Lookup!$Q:$R, 2)
      )
    ),
  B696&gt;=65,
    IF(AA695+J696 &lt; VLOOKUP(questions!$C$5, Lookup!$Q:$R, 2),
      AA695 + IF(MONTH(A696)=12, R695+X695, 0) + J696 ,
      MIN(
        AA695 + IF(MONTH(A696)=12, R695+X695, 0) + J696,
        VLOOKUP(questions!$C$5, Lookup!$Q:$R, 2)
      )
    )
)</f>
        <v>282111.0086</v>
      </c>
      <c r="AB696" s="65">
        <f t="shared" si="13"/>
        <v>2075925.92</v>
      </c>
      <c r="AC696" s="66">
        <f t="array" ref="AC696">IFS(B696&lt;66, XLOOKUP(year(A696),Lookup!$K$13:$K1000,Lookup!$L$13:$L1000,"missing",,1),B696&gt;65,XLOOKUP(questions!$C$5,Lookup!$K$13:$K1000,Lookup!$L$13:$L1000,"missing",,1))</f>
        <v>393675.3633</v>
      </c>
      <c r="AD696" s="66">
        <f t="array" ref="AD696">IFS(B696&lt;66, XLOOKUP(year(A696),Lookup!$K$13:$K1000,Lookup!$M$13:$M1000,"missing",,1),B696&gt;65, XLOOKUP(questions!$C$5,Lookup!$K$13:$K1000,Lookup!$M$13:$M1000,"missing",,1))</f>
        <v>787350.7266</v>
      </c>
      <c r="AE696" s="66">
        <f t="array" ref="AE696">IFS(B696&lt;66, XLOOKUP(year(A696),Lookup!$K$13:$K1000,Lookup!$N$13:$N1000,"missing",,1),B696&gt;65,XLOOKUP(questions!$C$5,Lookup!$K$13:$K1000,Lookup!$N$13:$N1000,"missing",,1))</f>
        <v>1574701.453</v>
      </c>
      <c r="AF696" s="37"/>
      <c r="AG696" s="37"/>
      <c r="AH696" s="37"/>
      <c r="AI696" s="37"/>
      <c r="AJ696" s="37"/>
      <c r="AK696" s="37"/>
      <c r="AL696" s="37"/>
      <c r="AM696" s="37"/>
      <c r="AN696" s="37"/>
      <c r="AO696" s="37"/>
      <c r="AP696" s="37"/>
      <c r="AQ696" s="37"/>
    </row>
    <row r="697">
      <c r="A697" s="55">
        <f t="shared" si="7"/>
        <v>67237</v>
      </c>
      <c r="B697" s="56">
        <f>round(YEARFRAC(EOMONTH(questions!$C$3, 0),A697,1),2)</f>
        <v>85.17</v>
      </c>
      <c r="C697" s="58">
        <f>IF(B697&lt;questions!$C$6,if(MONTH(A697)=1,C696*(1+questions!$C$12),C696),0)</f>
        <v>0</v>
      </c>
      <c r="D697" s="58">
        <f>IF(MONTH(A697)=12,C697*questions!$C$11,0)</f>
        <v>0</v>
      </c>
      <c r="E697" s="71">
        <f t="shared" si="2"/>
        <v>0</v>
      </c>
      <c r="F697" s="71">
        <f t="shared" si="3"/>
        <v>0</v>
      </c>
      <c r="G697" s="61">
        <f t="array" ref="G697">if(YEAR(A697)=2025,XLOOKUP(B697,Lookup!$A$3:$A$7,Lookup!$D$3:$D$7,,1)*SUM(E697:F697), XLOOKUP(B697,Lookup!$A$14:$A$18,Lookup!$D$14:$D$18,,1)*SUM(E697:F697))</f>
        <v>0</v>
      </c>
      <c r="H697" s="61">
        <f t="array" ref="H697">if(YEAR(A697)=2025,XLOOKUP(B697,Lookup!$F$3:$F$10,Lookup!$G$3:$G$10,,1)*G697, XLOOKUP(B697,Lookup!$F$14:$F$21,Lookup!$G$14:$G$21,,1)*G697)</f>
        <v>0</v>
      </c>
      <c r="I697" s="61">
        <f t="array" ref="I697">if(B697&lt;55, if(YEAR(A697)=2025,XLOOKUP(B697,Lookup!$F$3:$F$10,Lookup!$H$3:$H$10,,1)*G697, XLOOKUP(B697,Lookup!$F$14:$F$21,Lookup!$H$14:$H$21,,1)*G697),0)</f>
        <v>0</v>
      </c>
      <c r="J697" s="61">
        <f t="array" ref="J697">if(YEAR(A697)=2025,XLOOKUP(B697,Lookup!$F$3:$F$10,Lookup!$I$3:$I$10,,1)*G697, XLOOKUP(B697,Lookup!$F$14:$F$21,Lookup!$I$14:$I$21,,1)*G697)</f>
        <v>0</v>
      </c>
      <c r="K697" s="61">
        <f t="array" ref="K697">if(B697&gt;54, if(YEAR(A697)=2025,XLOOKUP(B697,Lookup!$F$3:$F$10,Lookup!$H$3:$H$10,,1)*G697, XLOOKUP(B697,Lookup!$F$14:$F$21,Lookup!$H$14:$H$21,,1)*G697),0)</f>
        <v>0</v>
      </c>
      <c r="L697" s="62">
        <f>IF(and(A697&lt;questions!$C$19,questions!$C$18="yes"),questions!$C$20,0)</f>
        <v>0</v>
      </c>
      <c r="M697" s="63">
        <f>(Y696+H697)*Lookup!A$26/12</f>
        <v>3365.969593</v>
      </c>
      <c r="N697" s="63">
        <f>if(B697&lt;55, (Z696+I697)*Lookup!B$26/12, (AB696+K697)*Lookup!B$26/12)</f>
        <v>6919.753068</v>
      </c>
      <c r="O697" s="63">
        <f>(AA696+J697)*Lookup!C$26/12</f>
        <v>940.3700287</v>
      </c>
      <c r="P697" s="63">
        <f t="shared" si="8"/>
        <v>3365.969593</v>
      </c>
      <c r="Q697" s="63">
        <f t="shared" si="4"/>
        <v>6919.753068</v>
      </c>
      <c r="R697" s="63">
        <f t="shared" si="5"/>
        <v>940.3700287</v>
      </c>
      <c r="S697" s="64">
        <f t="shared" si="9"/>
        <v>33.33333333</v>
      </c>
      <c r="T697" s="64">
        <f t="shared" si="10"/>
        <v>41.66666667</v>
      </c>
      <c r="U697" s="64">
        <f t="shared" si="11"/>
        <v>0</v>
      </c>
      <c r="V697" s="64">
        <f t="shared" ref="V697:X697" si="705">IF(year($A697)=year($A696), V696+S697, S697)</f>
        <v>33.33333333</v>
      </c>
      <c r="W697" s="64">
        <f t="shared" si="705"/>
        <v>41.66666667</v>
      </c>
      <c r="X697" s="64">
        <f t="shared" si="705"/>
        <v>0</v>
      </c>
      <c r="Y697" s="65">
        <f>IFS(
  B697&lt;55,
    MAX(
      Y696 + IF(MONTH(A697)=12, P697+V697, 0) + H697 - L697
      + MAX(0,
          IF(AA696 &gt;= VLOOKUP(YEAR(A697), Lookup!$Q:$R, 2),
            Z696 + IF(MONTH(A697)=12, Q697+W697, 0) + I697
              + AA696 + IF(MONTH(A697)=12, R697+X697, 0)
              - VLOOKUP(YEAR(A697), Lookup!$Q:$R, 2) + J697,
            Z696 + IF(MONTH(A697)=12, Q697+W697, 0) + I697
          ) - VLOOKUP(YEAR(A697), Lookup!$K:$M, 3)
        ),
    0),
  B697=55,
    IF(Z696&gt;=AD697,
      MAX(Y696 + IF(MONTH(A697)=12, P697+V697, 0) + H697 - L697, 0),
      MAX(MAX(0, Y696-(AD697-Z696)) + IF(MONTH(A697)=12, P697+V697, 0) + H697 - L697, 0)
    ),
  B697&gt;55,
    IF(AB696&gt;=$AH$7,
      MAX(Y696 + IF(MONTH(A697)=12, P697+V697, 0) + H697 - L697 + K697 + Z696, 0),
      MAX(Y696 + IF(MONTH(A697)=12, P697+V697, 0) + H697 - L697, 0)
    )
)</f>
        <v>1615665.405</v>
      </c>
      <c r="Z697" s="65">
        <f>IFS(
  B697&lt;55,
    MIN(
      IF(AA696 &gt;= VLOOKUP(YEAR(A697), Lookup!$Q:$R, 2),
        Z696 + IF(MONTH(A697)=12, Q697+W697, 0) + I697
          + AA696 + IF(MONTH(A697)=12, R697+X697, 0) - VLOOKUP(YEAR(A697), Lookup!$Q:$R, 2) + J697,
        Z696 + IF(MONTH(A697)=12, Q697+W697, 0) + I697
      ),
      VLOOKUP(YEAR(A697), Lookup!$K:$M, 3)
    ),
  B697=55,
    IF(Z696 &gt;= AD697, Z696 - AD697, 0),
  B697&gt;55, 0
)</f>
        <v>0</v>
      </c>
      <c r="AA697" s="65">
        <f>IFS(
  B697&lt;65,
    IF(AA696+J697 &lt; VLOOKUP(YEAR(A697), Lookup!$Q:$R, 2),
      AA696 + IF(MONTH(A697)=12, R696+X696, 0) + J697,
      MIN(
        AA696 + IF(MONTH(A697)=12, R696+X696, 0) + J697 ,
        VLOOKUP(YEAR(A697), Lookup!$Q:$R, 2)
      )
    ),
  B697&gt;=65,
    IF(AA696+J697 &lt; VLOOKUP(questions!$C$5, Lookup!$Q:$R, 2),
      AA696 + IF(MONTH(A697)=12, R696+X696, 0) + J697 ,
      MIN(
        AA696 + IF(MONTH(A697)=12, R696+X696, 0) + J697,
        VLOOKUP(questions!$C$5, Lookup!$Q:$R, 2)
      )
    )
)</f>
        <v>282111.0086</v>
      </c>
      <c r="AB697" s="65">
        <f t="shared" si="13"/>
        <v>2075925.92</v>
      </c>
      <c r="AC697" s="66">
        <f t="array" ref="AC697">IFS(B697&lt;66, XLOOKUP(year(A697),Lookup!$K$13:$K1000,Lookup!$L$13:$L1000,"missing",,1),B697&gt;65,XLOOKUP(questions!$C$5,Lookup!$K$13:$K1000,Lookup!$L$13:$L1000,"missing",,1))</f>
        <v>393675.3633</v>
      </c>
      <c r="AD697" s="66">
        <f t="array" ref="AD697">IFS(B697&lt;66, XLOOKUP(year(A697),Lookup!$K$13:$K1000,Lookup!$M$13:$M1000,"missing",,1),B697&gt;65, XLOOKUP(questions!$C$5,Lookup!$K$13:$K1000,Lookup!$M$13:$M1000,"missing",,1))</f>
        <v>787350.7266</v>
      </c>
      <c r="AE697" s="66">
        <f t="array" ref="AE697">IFS(B697&lt;66, XLOOKUP(year(A697),Lookup!$K$13:$K1000,Lookup!$N$13:$N1000,"missing",,1),B697&gt;65,XLOOKUP(questions!$C$5,Lookup!$K$13:$K1000,Lookup!$N$13:$N1000,"missing",,1))</f>
        <v>1574701.453</v>
      </c>
      <c r="AF697" s="37"/>
      <c r="AG697" s="37"/>
      <c r="AH697" s="37"/>
      <c r="AI697" s="37"/>
      <c r="AJ697" s="37"/>
      <c r="AK697" s="37"/>
      <c r="AL697" s="37"/>
      <c r="AM697" s="37"/>
      <c r="AN697" s="37"/>
      <c r="AO697" s="37"/>
      <c r="AP697" s="37"/>
      <c r="AQ697" s="37"/>
    </row>
    <row r="698">
      <c r="A698" s="55">
        <f t="shared" si="7"/>
        <v>67266</v>
      </c>
      <c r="B698" s="56">
        <f>round(YEARFRAC(EOMONTH(questions!$C$3, 0),A698,1),2)</f>
        <v>85.25</v>
      </c>
      <c r="C698" s="58">
        <f>IF(B698&lt;questions!$C$6,if(MONTH(A698)=1,C697*(1+questions!$C$12),C697),0)</f>
        <v>0</v>
      </c>
      <c r="D698" s="58">
        <f>IF(MONTH(A698)=12,C698*questions!$C$11,0)</f>
        <v>0</v>
      </c>
      <c r="E698" s="71">
        <f t="shared" si="2"/>
        <v>0</v>
      </c>
      <c r="F698" s="71">
        <f t="shared" si="3"/>
        <v>0</v>
      </c>
      <c r="G698" s="61">
        <f t="array" ref="G698">if(YEAR(A698)=2025,XLOOKUP(B698,Lookup!$A$3:$A$7,Lookup!$D$3:$D$7,,1)*SUM(E698:F698), XLOOKUP(B698,Lookup!$A$14:$A$18,Lookup!$D$14:$D$18,,1)*SUM(E698:F698))</f>
        <v>0</v>
      </c>
      <c r="H698" s="61">
        <f t="array" ref="H698">if(YEAR(A698)=2025,XLOOKUP(B698,Lookup!$F$3:$F$10,Lookup!$G$3:$G$10,,1)*G698, XLOOKUP(B698,Lookup!$F$14:$F$21,Lookup!$G$14:$G$21,,1)*G698)</f>
        <v>0</v>
      </c>
      <c r="I698" s="61">
        <f t="array" ref="I698">if(B698&lt;55, if(YEAR(A698)=2025,XLOOKUP(B698,Lookup!$F$3:$F$10,Lookup!$H$3:$H$10,,1)*G698, XLOOKUP(B698,Lookup!$F$14:$F$21,Lookup!$H$14:$H$21,,1)*G698),0)</f>
        <v>0</v>
      </c>
      <c r="J698" s="61">
        <f t="array" ref="J698">if(YEAR(A698)=2025,XLOOKUP(B698,Lookup!$F$3:$F$10,Lookup!$I$3:$I$10,,1)*G698, XLOOKUP(B698,Lookup!$F$14:$F$21,Lookup!$I$14:$I$21,,1)*G698)</f>
        <v>0</v>
      </c>
      <c r="K698" s="61">
        <f t="array" ref="K698">if(B698&gt;54, if(YEAR(A698)=2025,XLOOKUP(B698,Lookup!$F$3:$F$10,Lookup!$H$3:$H$10,,1)*G698, XLOOKUP(B698,Lookup!$F$14:$F$21,Lookup!$H$14:$H$21,,1)*G698),0)</f>
        <v>0</v>
      </c>
      <c r="L698" s="62">
        <f>IF(and(A698&lt;questions!$C$19,questions!$C$18="yes"),questions!$C$20,0)</f>
        <v>0</v>
      </c>
      <c r="M698" s="63">
        <f>(Y697+H698)*Lookup!A$26/12</f>
        <v>3365.969593</v>
      </c>
      <c r="N698" s="63">
        <f>if(B698&lt;55, (Z697+I698)*Lookup!B$26/12, (AB697+K698)*Lookup!B$26/12)</f>
        <v>6919.753068</v>
      </c>
      <c r="O698" s="63">
        <f>(AA697+J698)*Lookup!C$26/12</f>
        <v>940.3700287</v>
      </c>
      <c r="P698" s="63">
        <f t="shared" si="8"/>
        <v>6731.939186</v>
      </c>
      <c r="Q698" s="63">
        <f t="shared" si="4"/>
        <v>13839.50614</v>
      </c>
      <c r="R698" s="63">
        <f t="shared" si="5"/>
        <v>1880.740057</v>
      </c>
      <c r="S698" s="64">
        <f t="shared" si="9"/>
        <v>33.33333333</v>
      </c>
      <c r="T698" s="64">
        <f t="shared" si="10"/>
        <v>41.66666667</v>
      </c>
      <c r="U698" s="64">
        <f t="shared" si="11"/>
        <v>0</v>
      </c>
      <c r="V698" s="64">
        <f t="shared" ref="V698:X698" si="706">IF(year($A698)=year($A697), V697+S698, S698)</f>
        <v>66.66666667</v>
      </c>
      <c r="W698" s="64">
        <f t="shared" si="706"/>
        <v>83.33333333</v>
      </c>
      <c r="X698" s="64">
        <f t="shared" si="706"/>
        <v>0</v>
      </c>
      <c r="Y698" s="65">
        <f>IFS(
  B698&lt;55,
    MAX(
      Y697 + IF(MONTH(A698)=12, P698+V698, 0) + H698 - L698
      + MAX(0,
          IF(AA697 &gt;= VLOOKUP(YEAR(A698), Lookup!$Q:$R, 2),
            Z697 + IF(MONTH(A698)=12, Q698+W698, 0) + I698
              + AA697 + IF(MONTH(A698)=12, R698+X698, 0)
              - VLOOKUP(YEAR(A698), Lookup!$Q:$R, 2) + J698,
            Z697 + IF(MONTH(A698)=12, Q698+W698, 0) + I698
          ) - VLOOKUP(YEAR(A698), Lookup!$K:$M, 3)
        ),
    0),
  B698=55,
    IF(Z697&gt;=AD698,
      MAX(Y697 + IF(MONTH(A698)=12, P698+V698, 0) + H698 - L698, 0),
      MAX(MAX(0, Y697-(AD698-Z697)) + IF(MONTH(A698)=12, P698+V698, 0) + H698 - L698, 0)
    ),
  B698&gt;55,
    IF(AB697&gt;=$AH$7,
      MAX(Y697 + IF(MONTH(A698)=12, P698+V698, 0) + H698 - L698 + K698 + Z697, 0),
      MAX(Y697 + IF(MONTH(A698)=12, P698+V698, 0) + H698 - L698, 0)
    )
)</f>
        <v>1615665.405</v>
      </c>
      <c r="Z698" s="65">
        <f>IFS(
  B698&lt;55,
    MIN(
      IF(AA697 &gt;= VLOOKUP(YEAR(A698), Lookup!$Q:$R, 2),
        Z697 + IF(MONTH(A698)=12, Q698+W698, 0) + I698
          + AA697 + IF(MONTH(A698)=12, R698+X698, 0) - VLOOKUP(YEAR(A698), Lookup!$Q:$R, 2) + J698,
        Z697 + IF(MONTH(A698)=12, Q698+W698, 0) + I698
      ),
      VLOOKUP(YEAR(A698), Lookup!$K:$M, 3)
    ),
  B698=55,
    IF(Z697 &gt;= AD698, Z697 - AD698, 0),
  B698&gt;55, 0
)</f>
        <v>0</v>
      </c>
      <c r="AA698" s="65">
        <f>IFS(
  B698&lt;65,
    IF(AA697+J698 &lt; VLOOKUP(YEAR(A698), Lookup!$Q:$R, 2),
      AA697 + IF(MONTH(A698)=12, R697+X697, 0) + J698,
      MIN(
        AA697 + IF(MONTH(A698)=12, R697+X697, 0) + J698 ,
        VLOOKUP(YEAR(A698), Lookup!$Q:$R, 2)
      )
    ),
  B698&gt;=65,
    IF(AA697+J698 &lt; VLOOKUP(questions!$C$5, Lookup!$Q:$R, 2),
      AA697 + IF(MONTH(A698)=12, R697+X697, 0) + J698 ,
      MIN(
        AA697 + IF(MONTH(A698)=12, R697+X697, 0) + J698,
        VLOOKUP(questions!$C$5, Lookup!$Q:$R, 2)
      )
    )
)</f>
        <v>282111.0086</v>
      </c>
      <c r="AB698" s="65">
        <f t="shared" si="13"/>
        <v>2075925.92</v>
      </c>
      <c r="AC698" s="66">
        <f t="array" ref="AC698">IFS(B698&lt;66, XLOOKUP(year(A698),Lookup!$K$13:$K1000,Lookup!$L$13:$L1000,"missing",,1),B698&gt;65,XLOOKUP(questions!$C$5,Lookup!$K$13:$K1000,Lookup!$L$13:$L1000,"missing",,1))</f>
        <v>393675.3633</v>
      </c>
      <c r="AD698" s="66">
        <f t="array" ref="AD698">IFS(B698&lt;66, XLOOKUP(year(A698),Lookup!$K$13:$K1000,Lookup!$M$13:$M1000,"missing",,1),B698&gt;65, XLOOKUP(questions!$C$5,Lookup!$K$13:$K1000,Lookup!$M$13:$M1000,"missing",,1))</f>
        <v>787350.7266</v>
      </c>
      <c r="AE698" s="66">
        <f t="array" ref="AE698">IFS(B698&lt;66, XLOOKUP(year(A698),Lookup!$K$13:$K1000,Lookup!$N$13:$N1000,"missing",,1),B698&gt;65,XLOOKUP(questions!$C$5,Lookup!$K$13:$K1000,Lookup!$N$13:$N1000,"missing",,1))</f>
        <v>1574701.453</v>
      </c>
      <c r="AF698" s="37"/>
      <c r="AG698" s="37"/>
      <c r="AH698" s="37"/>
      <c r="AI698" s="37"/>
      <c r="AJ698" s="37"/>
      <c r="AK698" s="37"/>
      <c r="AL698" s="37"/>
      <c r="AM698" s="37"/>
      <c r="AN698" s="37"/>
      <c r="AO698" s="37"/>
      <c r="AP698" s="37"/>
      <c r="AQ698" s="37"/>
    </row>
    <row r="699">
      <c r="A699" s="55">
        <f t="shared" si="7"/>
        <v>67297</v>
      </c>
      <c r="B699" s="56">
        <f>round(YEARFRAC(EOMONTH(questions!$C$3, 0),A699,1),2)</f>
        <v>85.33</v>
      </c>
      <c r="C699" s="58">
        <f>IF(B699&lt;questions!$C$6,if(MONTH(A699)=1,C698*(1+questions!$C$12),C698),0)</f>
        <v>0</v>
      </c>
      <c r="D699" s="58">
        <f>IF(MONTH(A699)=12,C699*questions!$C$11,0)</f>
        <v>0</v>
      </c>
      <c r="E699" s="71">
        <f t="shared" si="2"/>
        <v>0</v>
      </c>
      <c r="F699" s="71">
        <f t="shared" si="3"/>
        <v>0</v>
      </c>
      <c r="G699" s="61">
        <f t="array" ref="G699">if(YEAR(A699)=2025,XLOOKUP(B699,Lookup!$A$3:$A$7,Lookup!$D$3:$D$7,,1)*SUM(E699:F699), XLOOKUP(B699,Lookup!$A$14:$A$18,Lookup!$D$14:$D$18,,1)*SUM(E699:F699))</f>
        <v>0</v>
      </c>
      <c r="H699" s="61">
        <f t="array" ref="H699">if(YEAR(A699)=2025,XLOOKUP(B699,Lookup!$F$3:$F$10,Lookup!$G$3:$G$10,,1)*G699, XLOOKUP(B699,Lookup!$F$14:$F$21,Lookup!$G$14:$G$21,,1)*G699)</f>
        <v>0</v>
      </c>
      <c r="I699" s="61">
        <f t="array" ref="I699">if(B699&lt;55, if(YEAR(A699)=2025,XLOOKUP(B699,Lookup!$F$3:$F$10,Lookup!$H$3:$H$10,,1)*G699, XLOOKUP(B699,Lookup!$F$14:$F$21,Lookup!$H$14:$H$21,,1)*G699),0)</f>
        <v>0</v>
      </c>
      <c r="J699" s="61">
        <f t="array" ref="J699">if(YEAR(A699)=2025,XLOOKUP(B699,Lookup!$F$3:$F$10,Lookup!$I$3:$I$10,,1)*G699, XLOOKUP(B699,Lookup!$F$14:$F$21,Lookup!$I$14:$I$21,,1)*G699)</f>
        <v>0</v>
      </c>
      <c r="K699" s="61">
        <f t="array" ref="K699">if(B699&gt;54, if(YEAR(A699)=2025,XLOOKUP(B699,Lookup!$F$3:$F$10,Lookup!$H$3:$H$10,,1)*G699, XLOOKUP(B699,Lookup!$F$14:$F$21,Lookup!$H$14:$H$21,,1)*G699),0)</f>
        <v>0</v>
      </c>
      <c r="L699" s="62">
        <f>IF(and(A699&lt;questions!$C$19,questions!$C$18="yes"),questions!$C$20,0)</f>
        <v>0</v>
      </c>
      <c r="M699" s="63">
        <f>(Y698+H699)*Lookup!A$26/12</f>
        <v>3365.969593</v>
      </c>
      <c r="N699" s="63">
        <f>if(B699&lt;55, (Z698+I699)*Lookup!B$26/12, (AB698+K699)*Lookup!B$26/12)</f>
        <v>6919.753068</v>
      </c>
      <c r="O699" s="63">
        <f>(AA698+J699)*Lookup!C$26/12</f>
        <v>940.3700287</v>
      </c>
      <c r="P699" s="63">
        <f t="shared" si="8"/>
        <v>10097.90878</v>
      </c>
      <c r="Q699" s="63">
        <f t="shared" si="4"/>
        <v>20759.2592</v>
      </c>
      <c r="R699" s="63">
        <f t="shared" si="5"/>
        <v>2821.110086</v>
      </c>
      <c r="S699" s="64">
        <f t="shared" si="9"/>
        <v>33.33333333</v>
      </c>
      <c r="T699" s="64">
        <f t="shared" si="10"/>
        <v>41.66666667</v>
      </c>
      <c r="U699" s="64">
        <f t="shared" si="11"/>
        <v>0</v>
      </c>
      <c r="V699" s="64">
        <f t="shared" ref="V699:X699" si="707">IF(year($A699)=year($A698), V698+S699, S699)</f>
        <v>100</v>
      </c>
      <c r="W699" s="64">
        <f t="shared" si="707"/>
        <v>125</v>
      </c>
      <c r="X699" s="64">
        <f t="shared" si="707"/>
        <v>0</v>
      </c>
      <c r="Y699" s="65">
        <f>IFS(
  B699&lt;55,
    MAX(
      Y698 + IF(MONTH(A699)=12, P699+V699, 0) + H699 - L699
      + MAX(0,
          IF(AA698 &gt;= VLOOKUP(YEAR(A699), Lookup!$Q:$R, 2),
            Z698 + IF(MONTH(A699)=12, Q699+W699, 0) + I699
              + AA698 + IF(MONTH(A699)=12, R699+X699, 0)
              - VLOOKUP(YEAR(A699), Lookup!$Q:$R, 2) + J699,
            Z698 + IF(MONTH(A699)=12, Q699+W699, 0) + I699
          ) - VLOOKUP(YEAR(A699), Lookup!$K:$M, 3)
        ),
    0),
  B699=55,
    IF(Z698&gt;=AD699,
      MAX(Y698 + IF(MONTH(A699)=12, P699+V699, 0) + H699 - L699, 0),
      MAX(MAX(0, Y698-(AD699-Z698)) + IF(MONTH(A699)=12, P699+V699, 0) + H699 - L699, 0)
    ),
  B699&gt;55,
    IF(AB698&gt;=$AH$7,
      MAX(Y698 + IF(MONTH(A699)=12, P699+V699, 0) + H699 - L699 + K699 + Z698, 0),
      MAX(Y698 + IF(MONTH(A699)=12, P699+V699, 0) + H699 - L699, 0)
    )
)</f>
        <v>1615665.405</v>
      </c>
      <c r="Z699" s="65">
        <f>IFS(
  B699&lt;55,
    MIN(
      IF(AA698 &gt;= VLOOKUP(YEAR(A699), Lookup!$Q:$R, 2),
        Z698 + IF(MONTH(A699)=12, Q699+W699, 0) + I699
          + AA698 + IF(MONTH(A699)=12, R699+X699, 0) - VLOOKUP(YEAR(A699), Lookup!$Q:$R, 2) + J699,
        Z698 + IF(MONTH(A699)=12, Q699+W699, 0) + I699
      ),
      VLOOKUP(YEAR(A699), Lookup!$K:$M, 3)
    ),
  B699=55,
    IF(Z698 &gt;= AD699, Z698 - AD699, 0),
  B699&gt;55, 0
)</f>
        <v>0</v>
      </c>
      <c r="AA699" s="65">
        <f>IFS(
  B699&lt;65,
    IF(AA698+J699 &lt; VLOOKUP(YEAR(A699), Lookup!$Q:$R, 2),
      AA698 + IF(MONTH(A699)=12, R698+X698, 0) + J699,
      MIN(
        AA698 + IF(MONTH(A699)=12, R698+X698, 0) + J699 ,
        VLOOKUP(YEAR(A699), Lookup!$Q:$R, 2)
      )
    ),
  B699&gt;=65,
    IF(AA698+J699 &lt; VLOOKUP(questions!$C$5, Lookup!$Q:$R, 2),
      AA698 + IF(MONTH(A699)=12, R698+X698, 0) + J699 ,
      MIN(
        AA698 + IF(MONTH(A699)=12, R698+X698, 0) + J699,
        VLOOKUP(questions!$C$5, Lookup!$Q:$R, 2)
      )
    )
)</f>
        <v>282111.0086</v>
      </c>
      <c r="AB699" s="65">
        <f t="shared" si="13"/>
        <v>2075925.92</v>
      </c>
      <c r="AC699" s="66">
        <f t="array" ref="AC699">IFS(B699&lt;66, XLOOKUP(year(A699),Lookup!$K$13:$K1000,Lookup!$L$13:$L1000,"missing",,1),B699&gt;65,XLOOKUP(questions!$C$5,Lookup!$K$13:$K1000,Lookup!$L$13:$L1000,"missing",,1))</f>
        <v>393675.3633</v>
      </c>
      <c r="AD699" s="66">
        <f t="array" ref="AD699">IFS(B699&lt;66, XLOOKUP(year(A699),Lookup!$K$13:$K1000,Lookup!$M$13:$M1000,"missing",,1),B699&gt;65, XLOOKUP(questions!$C$5,Lookup!$K$13:$K1000,Lookup!$M$13:$M1000,"missing",,1))</f>
        <v>787350.7266</v>
      </c>
      <c r="AE699" s="66">
        <f t="array" ref="AE699">IFS(B699&lt;66, XLOOKUP(year(A699),Lookup!$K$13:$K1000,Lookup!$N$13:$N1000,"missing",,1),B699&gt;65,XLOOKUP(questions!$C$5,Lookup!$K$13:$K1000,Lookup!$N$13:$N1000,"missing",,1))</f>
        <v>1574701.453</v>
      </c>
      <c r="AF699" s="37"/>
      <c r="AG699" s="37"/>
      <c r="AH699" s="37"/>
      <c r="AI699" s="37"/>
      <c r="AJ699" s="37"/>
      <c r="AK699" s="37"/>
      <c r="AL699" s="37"/>
      <c r="AM699" s="37"/>
      <c r="AN699" s="37"/>
      <c r="AO699" s="37"/>
      <c r="AP699" s="37"/>
      <c r="AQ699" s="37"/>
    </row>
    <row r="700">
      <c r="A700" s="55">
        <f t="shared" si="7"/>
        <v>67327</v>
      </c>
      <c r="B700" s="56">
        <f>round(YEARFRAC(EOMONTH(questions!$C$3, 0),A700,1),2)</f>
        <v>85.42</v>
      </c>
      <c r="C700" s="58">
        <f>IF(B700&lt;questions!$C$6,if(MONTH(A700)=1,C699*(1+questions!$C$12),C699),0)</f>
        <v>0</v>
      </c>
      <c r="D700" s="58">
        <f>IF(MONTH(A700)=12,C700*questions!$C$11,0)</f>
        <v>0</v>
      </c>
      <c r="E700" s="71">
        <f t="shared" si="2"/>
        <v>0</v>
      </c>
      <c r="F700" s="71">
        <f t="shared" si="3"/>
        <v>0</v>
      </c>
      <c r="G700" s="61">
        <f t="array" ref="G700">if(YEAR(A700)=2025,XLOOKUP(B700,Lookup!$A$3:$A$7,Lookup!$D$3:$D$7,,1)*SUM(E700:F700), XLOOKUP(B700,Lookup!$A$14:$A$18,Lookup!$D$14:$D$18,,1)*SUM(E700:F700))</f>
        <v>0</v>
      </c>
      <c r="H700" s="61">
        <f t="array" ref="H700">if(YEAR(A700)=2025,XLOOKUP(B700,Lookup!$F$3:$F$10,Lookup!$G$3:$G$10,,1)*G700, XLOOKUP(B700,Lookup!$F$14:$F$21,Lookup!$G$14:$G$21,,1)*G700)</f>
        <v>0</v>
      </c>
      <c r="I700" s="61">
        <f t="array" ref="I700">if(B700&lt;55, if(YEAR(A700)=2025,XLOOKUP(B700,Lookup!$F$3:$F$10,Lookup!$H$3:$H$10,,1)*G700, XLOOKUP(B700,Lookup!$F$14:$F$21,Lookup!$H$14:$H$21,,1)*G700),0)</f>
        <v>0</v>
      </c>
      <c r="J700" s="61">
        <f t="array" ref="J700">if(YEAR(A700)=2025,XLOOKUP(B700,Lookup!$F$3:$F$10,Lookup!$I$3:$I$10,,1)*G700, XLOOKUP(B700,Lookup!$F$14:$F$21,Lookup!$I$14:$I$21,,1)*G700)</f>
        <v>0</v>
      </c>
      <c r="K700" s="61">
        <f t="array" ref="K700">if(B700&gt;54, if(YEAR(A700)=2025,XLOOKUP(B700,Lookup!$F$3:$F$10,Lookup!$H$3:$H$10,,1)*G700, XLOOKUP(B700,Lookup!$F$14:$F$21,Lookup!$H$14:$H$21,,1)*G700),0)</f>
        <v>0</v>
      </c>
      <c r="L700" s="62">
        <f>IF(and(A700&lt;questions!$C$19,questions!$C$18="yes"),questions!$C$20,0)</f>
        <v>0</v>
      </c>
      <c r="M700" s="63">
        <f>(Y699+H700)*Lookup!A$26/12</f>
        <v>3365.969593</v>
      </c>
      <c r="N700" s="63">
        <f>if(B700&lt;55, (Z699+I700)*Lookup!B$26/12, (AB699+K700)*Lookup!B$26/12)</f>
        <v>6919.753068</v>
      </c>
      <c r="O700" s="63">
        <f>(AA699+J700)*Lookup!C$26/12</f>
        <v>940.3700287</v>
      </c>
      <c r="P700" s="63">
        <f t="shared" si="8"/>
        <v>13463.87837</v>
      </c>
      <c r="Q700" s="63">
        <f t="shared" si="4"/>
        <v>27679.01227</v>
      </c>
      <c r="R700" s="63">
        <f t="shared" si="5"/>
        <v>3761.480115</v>
      </c>
      <c r="S700" s="64">
        <f t="shared" si="9"/>
        <v>33.33333333</v>
      </c>
      <c r="T700" s="64">
        <f t="shared" si="10"/>
        <v>41.66666667</v>
      </c>
      <c r="U700" s="64">
        <f t="shared" si="11"/>
        <v>0</v>
      </c>
      <c r="V700" s="64">
        <f t="shared" ref="V700:X700" si="708">IF(year($A700)=year($A699), V699+S700, S700)</f>
        <v>133.3333333</v>
      </c>
      <c r="W700" s="64">
        <f t="shared" si="708"/>
        <v>166.6666667</v>
      </c>
      <c r="X700" s="64">
        <f t="shared" si="708"/>
        <v>0</v>
      </c>
      <c r="Y700" s="65">
        <f>IFS(
  B700&lt;55,
    MAX(
      Y699 + IF(MONTH(A700)=12, P700+V700, 0) + H700 - L700
      + MAX(0,
          IF(AA699 &gt;= VLOOKUP(YEAR(A700), Lookup!$Q:$R, 2),
            Z699 + IF(MONTH(A700)=12, Q700+W700, 0) + I700
              + AA699 + IF(MONTH(A700)=12, R700+X700, 0)
              - VLOOKUP(YEAR(A700), Lookup!$Q:$R, 2) + J700,
            Z699 + IF(MONTH(A700)=12, Q700+W700, 0) + I700
          ) - VLOOKUP(YEAR(A700), Lookup!$K:$M, 3)
        ),
    0),
  B700=55,
    IF(Z699&gt;=AD700,
      MAX(Y699 + IF(MONTH(A700)=12, P700+V700, 0) + H700 - L700, 0),
      MAX(MAX(0, Y699-(AD700-Z699)) + IF(MONTH(A700)=12, P700+V700, 0) + H700 - L700, 0)
    ),
  B700&gt;55,
    IF(AB699&gt;=$AH$7,
      MAX(Y699 + IF(MONTH(A700)=12, P700+V700, 0) + H700 - L700 + K700 + Z699, 0),
      MAX(Y699 + IF(MONTH(A700)=12, P700+V700, 0) + H700 - L700, 0)
    )
)</f>
        <v>1615665.405</v>
      </c>
      <c r="Z700" s="65">
        <f>IFS(
  B700&lt;55,
    MIN(
      IF(AA699 &gt;= VLOOKUP(YEAR(A700), Lookup!$Q:$R, 2),
        Z699 + IF(MONTH(A700)=12, Q700+W700, 0) + I700
          + AA699 + IF(MONTH(A700)=12, R700+X700, 0) - VLOOKUP(YEAR(A700), Lookup!$Q:$R, 2) + J700,
        Z699 + IF(MONTH(A700)=12, Q700+W700, 0) + I700
      ),
      VLOOKUP(YEAR(A700), Lookup!$K:$M, 3)
    ),
  B700=55,
    IF(Z699 &gt;= AD700, Z699 - AD700, 0),
  B700&gt;55, 0
)</f>
        <v>0</v>
      </c>
      <c r="AA700" s="65">
        <f>IFS(
  B700&lt;65,
    IF(AA699+J700 &lt; VLOOKUP(YEAR(A700), Lookup!$Q:$R, 2),
      AA699 + IF(MONTH(A700)=12, R699+X699, 0) + J700,
      MIN(
        AA699 + IF(MONTH(A700)=12, R699+X699, 0) + J700 ,
        VLOOKUP(YEAR(A700), Lookup!$Q:$R, 2)
      )
    ),
  B700&gt;=65,
    IF(AA699+J700 &lt; VLOOKUP(questions!$C$5, Lookup!$Q:$R, 2),
      AA699 + IF(MONTH(A700)=12, R699+X699, 0) + J700 ,
      MIN(
        AA699 + IF(MONTH(A700)=12, R699+X699, 0) + J700,
        VLOOKUP(questions!$C$5, Lookup!$Q:$R, 2)
      )
    )
)</f>
        <v>282111.0086</v>
      </c>
      <c r="AB700" s="65">
        <f t="shared" si="13"/>
        <v>2075925.92</v>
      </c>
      <c r="AC700" s="66">
        <f t="array" ref="AC700">IFS(B700&lt;66, XLOOKUP(year(A700),Lookup!$K$13:$K1000,Lookup!$L$13:$L1000,"missing",,1),B700&gt;65,XLOOKUP(questions!$C$5,Lookup!$K$13:$K1000,Lookup!$L$13:$L1000,"missing",,1))</f>
        <v>393675.3633</v>
      </c>
      <c r="AD700" s="66">
        <f t="array" ref="AD700">IFS(B700&lt;66, XLOOKUP(year(A700),Lookup!$K$13:$K1000,Lookup!$M$13:$M1000,"missing",,1),B700&gt;65, XLOOKUP(questions!$C$5,Lookup!$K$13:$K1000,Lookup!$M$13:$M1000,"missing",,1))</f>
        <v>787350.7266</v>
      </c>
      <c r="AE700" s="66">
        <f t="array" ref="AE700">IFS(B700&lt;66, XLOOKUP(year(A700),Lookup!$K$13:$K1000,Lookup!$N$13:$N1000,"missing",,1),B700&gt;65,XLOOKUP(questions!$C$5,Lookup!$K$13:$K1000,Lookup!$N$13:$N1000,"missing",,1))</f>
        <v>1574701.453</v>
      </c>
      <c r="AF700" s="37"/>
      <c r="AG700" s="37"/>
      <c r="AH700" s="37"/>
      <c r="AI700" s="37"/>
      <c r="AJ700" s="37"/>
      <c r="AK700" s="37"/>
      <c r="AL700" s="37"/>
      <c r="AM700" s="37"/>
      <c r="AN700" s="37"/>
      <c r="AO700" s="37"/>
      <c r="AP700" s="37"/>
      <c r="AQ700" s="37"/>
    </row>
    <row r="701">
      <c r="A701" s="55">
        <f t="shared" si="7"/>
        <v>67358</v>
      </c>
      <c r="B701" s="56">
        <f>round(YEARFRAC(EOMONTH(questions!$C$3, 0),A701,1),2)</f>
        <v>85.5</v>
      </c>
      <c r="C701" s="58">
        <f>IF(B701&lt;questions!$C$6,if(MONTH(A701)=1,C700*(1+questions!$C$12),C700),0)</f>
        <v>0</v>
      </c>
      <c r="D701" s="58">
        <f>IF(MONTH(A701)=12,C701*questions!$C$11,0)</f>
        <v>0</v>
      </c>
      <c r="E701" s="71">
        <f t="shared" si="2"/>
        <v>0</v>
      </c>
      <c r="F701" s="71">
        <f t="shared" si="3"/>
        <v>0</v>
      </c>
      <c r="G701" s="61">
        <f t="array" ref="G701">if(YEAR(A701)=2025,XLOOKUP(B701,Lookup!$A$3:$A$7,Lookup!$D$3:$D$7,,1)*SUM(E701:F701), XLOOKUP(B701,Lookup!$A$14:$A$18,Lookup!$D$14:$D$18,,1)*SUM(E701:F701))</f>
        <v>0</v>
      </c>
      <c r="H701" s="61">
        <f t="array" ref="H701">if(YEAR(A701)=2025,XLOOKUP(B701,Lookup!$F$3:$F$10,Lookup!$G$3:$G$10,,1)*G701, XLOOKUP(B701,Lookup!$F$14:$F$21,Lookup!$G$14:$G$21,,1)*G701)</f>
        <v>0</v>
      </c>
      <c r="I701" s="61">
        <f t="array" ref="I701">if(B701&lt;55, if(YEAR(A701)=2025,XLOOKUP(B701,Lookup!$F$3:$F$10,Lookup!$H$3:$H$10,,1)*G701, XLOOKUP(B701,Lookup!$F$14:$F$21,Lookup!$H$14:$H$21,,1)*G701),0)</f>
        <v>0</v>
      </c>
      <c r="J701" s="61">
        <f t="array" ref="J701">if(YEAR(A701)=2025,XLOOKUP(B701,Lookup!$F$3:$F$10,Lookup!$I$3:$I$10,,1)*G701, XLOOKUP(B701,Lookup!$F$14:$F$21,Lookup!$I$14:$I$21,,1)*G701)</f>
        <v>0</v>
      </c>
      <c r="K701" s="61">
        <f t="array" ref="K701">if(B701&gt;54, if(YEAR(A701)=2025,XLOOKUP(B701,Lookup!$F$3:$F$10,Lookup!$H$3:$H$10,,1)*G701, XLOOKUP(B701,Lookup!$F$14:$F$21,Lookup!$H$14:$H$21,,1)*G701),0)</f>
        <v>0</v>
      </c>
      <c r="L701" s="62">
        <f>IF(and(A701&lt;questions!$C$19,questions!$C$18="yes"),questions!$C$20,0)</f>
        <v>0</v>
      </c>
      <c r="M701" s="63">
        <f>(Y700+H701)*Lookup!A$26/12</f>
        <v>3365.969593</v>
      </c>
      <c r="N701" s="63">
        <f>if(B701&lt;55, (Z700+I701)*Lookup!B$26/12, (AB700+K701)*Lookup!B$26/12)</f>
        <v>6919.753068</v>
      </c>
      <c r="O701" s="63">
        <f>(AA700+J701)*Lookup!C$26/12</f>
        <v>940.3700287</v>
      </c>
      <c r="P701" s="63">
        <f t="shared" si="8"/>
        <v>16829.84797</v>
      </c>
      <c r="Q701" s="63">
        <f t="shared" si="4"/>
        <v>34598.76534</v>
      </c>
      <c r="R701" s="63">
        <f t="shared" si="5"/>
        <v>4701.850143</v>
      </c>
      <c r="S701" s="64">
        <f t="shared" si="9"/>
        <v>33.33333333</v>
      </c>
      <c r="T701" s="64">
        <f t="shared" si="10"/>
        <v>41.66666667</v>
      </c>
      <c r="U701" s="64">
        <f t="shared" si="11"/>
        <v>0</v>
      </c>
      <c r="V701" s="64">
        <f t="shared" ref="V701:X701" si="709">IF(year($A701)=year($A700), V700+S701, S701)</f>
        <v>166.6666667</v>
      </c>
      <c r="W701" s="64">
        <f t="shared" si="709"/>
        <v>208.3333333</v>
      </c>
      <c r="X701" s="64">
        <f t="shared" si="709"/>
        <v>0</v>
      </c>
      <c r="Y701" s="65">
        <f>IFS(
  B701&lt;55,
    MAX(
      Y700 + IF(MONTH(A701)=12, P701+V701, 0) + H701 - L701
      + MAX(0,
          IF(AA700 &gt;= VLOOKUP(YEAR(A701), Lookup!$Q:$R, 2),
            Z700 + IF(MONTH(A701)=12, Q701+W701, 0) + I701
              + AA700 + IF(MONTH(A701)=12, R701+X701, 0)
              - VLOOKUP(YEAR(A701), Lookup!$Q:$R, 2) + J701,
            Z700 + IF(MONTH(A701)=12, Q701+W701, 0) + I701
          ) - VLOOKUP(YEAR(A701), Lookup!$K:$M, 3)
        ),
    0),
  B701=55,
    IF(Z700&gt;=AD701,
      MAX(Y700 + IF(MONTH(A701)=12, P701+V701, 0) + H701 - L701, 0),
      MAX(MAX(0, Y700-(AD701-Z700)) + IF(MONTH(A701)=12, P701+V701, 0) + H701 - L701, 0)
    ),
  B701&gt;55,
    IF(AB700&gt;=$AH$7,
      MAX(Y700 + IF(MONTH(A701)=12, P701+V701, 0) + H701 - L701 + K701 + Z700, 0),
      MAX(Y700 + IF(MONTH(A701)=12, P701+V701, 0) + H701 - L701, 0)
    )
)</f>
        <v>1615665.405</v>
      </c>
      <c r="Z701" s="65">
        <f>IFS(
  B701&lt;55,
    MIN(
      IF(AA700 &gt;= VLOOKUP(YEAR(A701), Lookup!$Q:$R, 2),
        Z700 + IF(MONTH(A701)=12, Q701+W701, 0) + I701
          + AA700 + IF(MONTH(A701)=12, R701+X701, 0) - VLOOKUP(YEAR(A701), Lookup!$Q:$R, 2) + J701,
        Z700 + IF(MONTH(A701)=12, Q701+W701, 0) + I701
      ),
      VLOOKUP(YEAR(A701), Lookup!$K:$M, 3)
    ),
  B701=55,
    IF(Z700 &gt;= AD701, Z700 - AD701, 0),
  B701&gt;55, 0
)</f>
        <v>0</v>
      </c>
      <c r="AA701" s="65">
        <f>IFS(
  B701&lt;65,
    IF(AA700+J701 &lt; VLOOKUP(YEAR(A701), Lookup!$Q:$R, 2),
      AA700 + IF(MONTH(A701)=12, R700+X700, 0) + J701,
      MIN(
        AA700 + IF(MONTH(A701)=12, R700+X700, 0) + J701 ,
        VLOOKUP(YEAR(A701), Lookup!$Q:$R, 2)
      )
    ),
  B701&gt;=65,
    IF(AA700+J701 &lt; VLOOKUP(questions!$C$5, Lookup!$Q:$R, 2),
      AA700 + IF(MONTH(A701)=12, R700+X700, 0) + J701 ,
      MIN(
        AA700 + IF(MONTH(A701)=12, R700+X700, 0) + J701,
        VLOOKUP(questions!$C$5, Lookup!$Q:$R, 2)
      )
    )
)</f>
        <v>282111.0086</v>
      </c>
      <c r="AB701" s="65">
        <f t="shared" si="13"/>
        <v>2075925.92</v>
      </c>
      <c r="AC701" s="66">
        <f t="array" ref="AC701">IFS(B701&lt;66, XLOOKUP(year(A701),Lookup!$K$13:$K1000,Lookup!$L$13:$L1000,"missing",,1),B701&gt;65,XLOOKUP(questions!$C$5,Lookup!$K$13:$K1000,Lookup!$L$13:$L1000,"missing",,1))</f>
        <v>393675.3633</v>
      </c>
      <c r="AD701" s="66">
        <f t="array" ref="AD701">IFS(B701&lt;66, XLOOKUP(year(A701),Lookup!$K$13:$K1000,Lookup!$M$13:$M1000,"missing",,1),B701&gt;65, XLOOKUP(questions!$C$5,Lookup!$K$13:$K1000,Lookup!$M$13:$M1000,"missing",,1))</f>
        <v>787350.7266</v>
      </c>
      <c r="AE701" s="66">
        <f t="array" ref="AE701">IFS(B701&lt;66, XLOOKUP(year(A701),Lookup!$K$13:$K1000,Lookup!$N$13:$N1000,"missing",,1),B701&gt;65,XLOOKUP(questions!$C$5,Lookup!$K$13:$K1000,Lookup!$N$13:$N1000,"missing",,1))</f>
        <v>1574701.453</v>
      </c>
      <c r="AF701" s="37"/>
      <c r="AG701" s="37"/>
      <c r="AH701" s="37"/>
      <c r="AI701" s="37"/>
      <c r="AJ701" s="37"/>
      <c r="AK701" s="37"/>
      <c r="AL701" s="37"/>
      <c r="AM701" s="37"/>
      <c r="AN701" s="37"/>
      <c r="AO701" s="37"/>
      <c r="AP701" s="37"/>
      <c r="AQ701" s="37"/>
    </row>
    <row r="702">
      <c r="A702" s="55">
        <f t="shared" si="7"/>
        <v>67388</v>
      </c>
      <c r="B702" s="56">
        <f>round(YEARFRAC(EOMONTH(questions!$C$3, 0),A702,1),2)</f>
        <v>85.58</v>
      </c>
      <c r="C702" s="58">
        <f>IF(B702&lt;questions!$C$6,if(MONTH(A702)=1,C701*(1+questions!$C$12),C701),0)</f>
        <v>0</v>
      </c>
      <c r="D702" s="58">
        <f>IF(MONTH(A702)=12,C702*questions!$C$11,0)</f>
        <v>0</v>
      </c>
      <c r="E702" s="71">
        <f t="shared" si="2"/>
        <v>0</v>
      </c>
      <c r="F702" s="71">
        <f t="shared" si="3"/>
        <v>0</v>
      </c>
      <c r="G702" s="61">
        <f t="array" ref="G702">if(YEAR(A702)=2025,XLOOKUP(B702,Lookup!$A$3:$A$7,Lookup!$D$3:$D$7,,1)*SUM(E702:F702), XLOOKUP(B702,Lookup!$A$14:$A$18,Lookup!$D$14:$D$18,,1)*SUM(E702:F702))</f>
        <v>0</v>
      </c>
      <c r="H702" s="61">
        <f t="array" ref="H702">if(YEAR(A702)=2025,XLOOKUP(B702,Lookup!$F$3:$F$10,Lookup!$G$3:$G$10,,1)*G702, XLOOKUP(B702,Lookup!$F$14:$F$21,Lookup!$G$14:$G$21,,1)*G702)</f>
        <v>0</v>
      </c>
      <c r="I702" s="61">
        <f t="array" ref="I702">if(B702&lt;55, if(YEAR(A702)=2025,XLOOKUP(B702,Lookup!$F$3:$F$10,Lookup!$H$3:$H$10,,1)*G702, XLOOKUP(B702,Lookup!$F$14:$F$21,Lookup!$H$14:$H$21,,1)*G702),0)</f>
        <v>0</v>
      </c>
      <c r="J702" s="61">
        <f t="array" ref="J702">if(YEAR(A702)=2025,XLOOKUP(B702,Lookup!$F$3:$F$10,Lookup!$I$3:$I$10,,1)*G702, XLOOKUP(B702,Lookup!$F$14:$F$21,Lookup!$I$14:$I$21,,1)*G702)</f>
        <v>0</v>
      </c>
      <c r="K702" s="61">
        <f t="array" ref="K702">if(B702&gt;54, if(YEAR(A702)=2025,XLOOKUP(B702,Lookup!$F$3:$F$10,Lookup!$H$3:$H$10,,1)*G702, XLOOKUP(B702,Lookup!$F$14:$F$21,Lookup!$H$14:$H$21,,1)*G702),0)</f>
        <v>0</v>
      </c>
      <c r="L702" s="62">
        <f>IF(and(A702&lt;questions!$C$19,questions!$C$18="yes"),questions!$C$20,0)</f>
        <v>0</v>
      </c>
      <c r="M702" s="63">
        <f>(Y701+H702)*Lookup!A$26/12</f>
        <v>3365.969593</v>
      </c>
      <c r="N702" s="63">
        <f>if(B702&lt;55, (Z701+I702)*Lookup!B$26/12, (AB701+K702)*Lookup!B$26/12)</f>
        <v>6919.753068</v>
      </c>
      <c r="O702" s="63">
        <f>(AA701+J702)*Lookup!C$26/12</f>
        <v>940.3700287</v>
      </c>
      <c r="P702" s="63">
        <f t="shared" si="8"/>
        <v>20195.81756</v>
      </c>
      <c r="Q702" s="63">
        <f t="shared" si="4"/>
        <v>41518.51841</v>
      </c>
      <c r="R702" s="63">
        <f t="shared" si="5"/>
        <v>5642.220172</v>
      </c>
      <c r="S702" s="64">
        <f t="shared" si="9"/>
        <v>33.33333333</v>
      </c>
      <c r="T702" s="64">
        <f t="shared" si="10"/>
        <v>41.66666667</v>
      </c>
      <c r="U702" s="64">
        <f t="shared" si="11"/>
        <v>0</v>
      </c>
      <c r="V702" s="64">
        <f t="shared" ref="V702:X702" si="710">IF(year($A702)=year($A701), V701+S702, S702)</f>
        <v>200</v>
      </c>
      <c r="W702" s="64">
        <f t="shared" si="710"/>
        <v>250</v>
      </c>
      <c r="X702" s="64">
        <f t="shared" si="710"/>
        <v>0</v>
      </c>
      <c r="Y702" s="65">
        <f>IFS(
  B702&lt;55,
    MAX(
      Y701 + IF(MONTH(A702)=12, P702+V702, 0) + H702 - L702
      + MAX(0,
          IF(AA701 &gt;= VLOOKUP(YEAR(A702), Lookup!$Q:$R, 2),
            Z701 + IF(MONTH(A702)=12, Q702+W702, 0) + I702
              + AA701 + IF(MONTH(A702)=12, R702+X702, 0)
              - VLOOKUP(YEAR(A702), Lookup!$Q:$R, 2) + J702,
            Z701 + IF(MONTH(A702)=12, Q702+W702, 0) + I702
          ) - VLOOKUP(YEAR(A702), Lookup!$K:$M, 3)
        ),
    0),
  B702=55,
    IF(Z701&gt;=AD702,
      MAX(Y701 + IF(MONTH(A702)=12, P702+V702, 0) + H702 - L702, 0),
      MAX(MAX(0, Y701-(AD702-Z701)) + IF(MONTH(A702)=12, P702+V702, 0) + H702 - L702, 0)
    ),
  B702&gt;55,
    IF(AB701&gt;=$AH$7,
      MAX(Y701 + IF(MONTH(A702)=12, P702+V702, 0) + H702 - L702 + K702 + Z701, 0),
      MAX(Y701 + IF(MONTH(A702)=12, P702+V702, 0) + H702 - L702, 0)
    )
)</f>
        <v>1615665.405</v>
      </c>
      <c r="Z702" s="65">
        <f>IFS(
  B702&lt;55,
    MIN(
      IF(AA701 &gt;= VLOOKUP(YEAR(A702), Lookup!$Q:$R, 2),
        Z701 + IF(MONTH(A702)=12, Q702+W702, 0) + I702
          + AA701 + IF(MONTH(A702)=12, R702+X702, 0) - VLOOKUP(YEAR(A702), Lookup!$Q:$R, 2) + J702,
        Z701 + IF(MONTH(A702)=12, Q702+W702, 0) + I702
      ),
      VLOOKUP(YEAR(A702), Lookup!$K:$M, 3)
    ),
  B702=55,
    IF(Z701 &gt;= AD702, Z701 - AD702, 0),
  B702&gt;55, 0
)</f>
        <v>0</v>
      </c>
      <c r="AA702" s="65">
        <f>IFS(
  B702&lt;65,
    IF(AA701+J702 &lt; VLOOKUP(YEAR(A702), Lookup!$Q:$R, 2),
      AA701 + IF(MONTH(A702)=12, R701+X701, 0) + J702,
      MIN(
        AA701 + IF(MONTH(A702)=12, R701+X701, 0) + J702 ,
        VLOOKUP(YEAR(A702), Lookup!$Q:$R, 2)
      )
    ),
  B702&gt;=65,
    IF(AA701+J702 &lt; VLOOKUP(questions!$C$5, Lookup!$Q:$R, 2),
      AA701 + IF(MONTH(A702)=12, R701+X701, 0) + J702 ,
      MIN(
        AA701 + IF(MONTH(A702)=12, R701+X701, 0) + J702,
        VLOOKUP(questions!$C$5, Lookup!$Q:$R, 2)
      )
    )
)</f>
        <v>282111.0086</v>
      </c>
      <c r="AB702" s="65">
        <f t="shared" si="13"/>
        <v>2075925.92</v>
      </c>
      <c r="AC702" s="66">
        <f t="array" ref="AC702">IFS(B702&lt;66, XLOOKUP(year(A702),Lookup!$K$13:$K1000,Lookup!$L$13:$L1000,"missing",,1),B702&gt;65,XLOOKUP(questions!$C$5,Lookup!$K$13:$K1000,Lookup!$L$13:$L1000,"missing",,1))</f>
        <v>393675.3633</v>
      </c>
      <c r="AD702" s="66">
        <f t="array" ref="AD702">IFS(B702&lt;66, XLOOKUP(year(A702),Lookup!$K$13:$K1000,Lookup!$M$13:$M1000,"missing",,1),B702&gt;65, XLOOKUP(questions!$C$5,Lookup!$K$13:$K1000,Lookup!$M$13:$M1000,"missing",,1))</f>
        <v>787350.7266</v>
      </c>
      <c r="AE702" s="66">
        <f t="array" ref="AE702">IFS(B702&lt;66, XLOOKUP(year(A702),Lookup!$K$13:$K1000,Lookup!$N$13:$N1000,"missing",,1),B702&gt;65,XLOOKUP(questions!$C$5,Lookup!$K$13:$K1000,Lookup!$N$13:$N1000,"missing",,1))</f>
        <v>1574701.453</v>
      </c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  <c r="AQ702" s="37"/>
    </row>
    <row r="703">
      <c r="A703" s="55">
        <f t="shared" si="7"/>
        <v>67419</v>
      </c>
      <c r="B703" s="56">
        <f>round(YEARFRAC(EOMONTH(questions!$C$3, 0),A703,1),2)</f>
        <v>85.67</v>
      </c>
      <c r="C703" s="58">
        <f>IF(B703&lt;questions!$C$6,if(MONTH(A703)=1,C702*(1+questions!$C$12),C702),0)</f>
        <v>0</v>
      </c>
      <c r="D703" s="58">
        <f>IF(MONTH(A703)=12,C703*questions!$C$11,0)</f>
        <v>0</v>
      </c>
      <c r="E703" s="71">
        <f t="shared" si="2"/>
        <v>0</v>
      </c>
      <c r="F703" s="71">
        <f t="shared" si="3"/>
        <v>0</v>
      </c>
      <c r="G703" s="61">
        <f t="array" ref="G703">if(YEAR(A703)=2025,XLOOKUP(B703,Lookup!$A$3:$A$7,Lookup!$D$3:$D$7,,1)*SUM(E703:F703), XLOOKUP(B703,Lookup!$A$14:$A$18,Lookup!$D$14:$D$18,,1)*SUM(E703:F703))</f>
        <v>0</v>
      </c>
      <c r="H703" s="61">
        <f t="array" ref="H703">if(YEAR(A703)=2025,XLOOKUP(B703,Lookup!$F$3:$F$10,Lookup!$G$3:$G$10,,1)*G703, XLOOKUP(B703,Lookup!$F$14:$F$21,Lookup!$G$14:$G$21,,1)*G703)</f>
        <v>0</v>
      </c>
      <c r="I703" s="61">
        <f t="array" ref="I703">if(B703&lt;55, if(YEAR(A703)=2025,XLOOKUP(B703,Lookup!$F$3:$F$10,Lookup!$H$3:$H$10,,1)*G703, XLOOKUP(B703,Lookup!$F$14:$F$21,Lookup!$H$14:$H$21,,1)*G703),0)</f>
        <v>0</v>
      </c>
      <c r="J703" s="61">
        <f t="array" ref="J703">if(YEAR(A703)=2025,XLOOKUP(B703,Lookup!$F$3:$F$10,Lookup!$I$3:$I$10,,1)*G703, XLOOKUP(B703,Lookup!$F$14:$F$21,Lookup!$I$14:$I$21,,1)*G703)</f>
        <v>0</v>
      </c>
      <c r="K703" s="61">
        <f t="array" ref="K703">if(B703&gt;54, if(YEAR(A703)=2025,XLOOKUP(B703,Lookup!$F$3:$F$10,Lookup!$H$3:$H$10,,1)*G703, XLOOKUP(B703,Lookup!$F$14:$F$21,Lookup!$H$14:$H$21,,1)*G703),0)</f>
        <v>0</v>
      </c>
      <c r="L703" s="62">
        <f>IF(and(A703&lt;questions!$C$19,questions!$C$18="yes"),questions!$C$20,0)</f>
        <v>0</v>
      </c>
      <c r="M703" s="63">
        <f>(Y702+H703)*Lookup!A$26/12</f>
        <v>3365.969593</v>
      </c>
      <c r="N703" s="63">
        <f>if(B703&lt;55, (Z702+I703)*Lookup!B$26/12, (AB702+K703)*Lookup!B$26/12)</f>
        <v>6919.753068</v>
      </c>
      <c r="O703" s="63">
        <f>(AA702+J703)*Lookup!C$26/12</f>
        <v>940.3700287</v>
      </c>
      <c r="P703" s="63">
        <f t="shared" si="8"/>
        <v>23561.78715</v>
      </c>
      <c r="Q703" s="63">
        <f t="shared" si="4"/>
        <v>48438.27148</v>
      </c>
      <c r="R703" s="63">
        <f t="shared" si="5"/>
        <v>6582.590201</v>
      </c>
      <c r="S703" s="64">
        <f t="shared" si="9"/>
        <v>33.33333333</v>
      </c>
      <c r="T703" s="64">
        <f t="shared" si="10"/>
        <v>41.66666667</v>
      </c>
      <c r="U703" s="64">
        <f t="shared" si="11"/>
        <v>0</v>
      </c>
      <c r="V703" s="64">
        <f t="shared" ref="V703:X703" si="711">IF(year($A703)=year($A702), V702+S703, S703)</f>
        <v>233.3333333</v>
      </c>
      <c r="W703" s="64">
        <f t="shared" si="711"/>
        <v>291.6666667</v>
      </c>
      <c r="X703" s="64">
        <f t="shared" si="711"/>
        <v>0</v>
      </c>
      <c r="Y703" s="65">
        <f>IFS(
  B703&lt;55,
    MAX(
      Y702 + IF(MONTH(A703)=12, P703+V703, 0) + H703 - L703
      + MAX(0,
          IF(AA702 &gt;= VLOOKUP(YEAR(A703), Lookup!$Q:$R, 2),
            Z702 + IF(MONTH(A703)=12, Q703+W703, 0) + I703
              + AA702 + IF(MONTH(A703)=12, R703+X703, 0)
              - VLOOKUP(YEAR(A703), Lookup!$Q:$R, 2) + J703,
            Z702 + IF(MONTH(A703)=12, Q703+W703, 0) + I703
          ) - VLOOKUP(YEAR(A703), Lookup!$K:$M, 3)
        ),
    0),
  B703=55,
    IF(Z702&gt;=AD703,
      MAX(Y702 + IF(MONTH(A703)=12, P703+V703, 0) + H703 - L703, 0),
      MAX(MAX(0, Y702-(AD703-Z702)) + IF(MONTH(A703)=12, P703+V703, 0) + H703 - L703, 0)
    ),
  B703&gt;55,
    IF(AB702&gt;=$AH$7,
      MAX(Y702 + IF(MONTH(A703)=12, P703+V703, 0) + H703 - L703 + K703 + Z702, 0),
      MAX(Y702 + IF(MONTH(A703)=12, P703+V703, 0) + H703 - L703, 0)
    )
)</f>
        <v>1615665.405</v>
      </c>
      <c r="Z703" s="65">
        <f>IFS(
  B703&lt;55,
    MIN(
      IF(AA702 &gt;= VLOOKUP(YEAR(A703), Lookup!$Q:$R, 2),
        Z702 + IF(MONTH(A703)=12, Q703+W703, 0) + I703
          + AA702 + IF(MONTH(A703)=12, R703+X703, 0) - VLOOKUP(YEAR(A703), Lookup!$Q:$R, 2) + J703,
        Z702 + IF(MONTH(A703)=12, Q703+W703, 0) + I703
      ),
      VLOOKUP(YEAR(A703), Lookup!$K:$M, 3)
    ),
  B703=55,
    IF(Z702 &gt;= AD703, Z702 - AD703, 0),
  B703&gt;55, 0
)</f>
        <v>0</v>
      </c>
      <c r="AA703" s="65">
        <f>IFS(
  B703&lt;65,
    IF(AA702+J703 &lt; VLOOKUP(YEAR(A703), Lookup!$Q:$R, 2),
      AA702 + IF(MONTH(A703)=12, R702+X702, 0) + J703,
      MIN(
        AA702 + IF(MONTH(A703)=12, R702+X702, 0) + J703 ,
        VLOOKUP(YEAR(A703), Lookup!$Q:$R, 2)
      )
    ),
  B703&gt;=65,
    IF(AA702+J703 &lt; VLOOKUP(questions!$C$5, Lookup!$Q:$R, 2),
      AA702 + IF(MONTH(A703)=12, R702+X702, 0) + J703 ,
      MIN(
        AA702 + IF(MONTH(A703)=12, R702+X702, 0) + J703,
        VLOOKUP(questions!$C$5, Lookup!$Q:$R, 2)
      )
    )
)</f>
        <v>282111.0086</v>
      </c>
      <c r="AB703" s="65">
        <f t="shared" si="13"/>
        <v>2075925.92</v>
      </c>
      <c r="AC703" s="66">
        <f t="array" ref="AC703">IFS(B703&lt;66, XLOOKUP(year(A703),Lookup!$K$13:$K1000,Lookup!$L$13:$L1000,"missing",,1),B703&gt;65,XLOOKUP(questions!$C$5,Lookup!$K$13:$K1000,Lookup!$L$13:$L1000,"missing",,1))</f>
        <v>393675.3633</v>
      </c>
      <c r="AD703" s="66">
        <f t="array" ref="AD703">IFS(B703&lt;66, XLOOKUP(year(A703),Lookup!$K$13:$K1000,Lookup!$M$13:$M1000,"missing",,1),B703&gt;65, XLOOKUP(questions!$C$5,Lookup!$K$13:$K1000,Lookup!$M$13:$M1000,"missing",,1))</f>
        <v>787350.7266</v>
      </c>
      <c r="AE703" s="66">
        <f t="array" ref="AE703">IFS(B703&lt;66, XLOOKUP(year(A703),Lookup!$K$13:$K1000,Lookup!$N$13:$N1000,"missing",,1),B703&gt;65,XLOOKUP(questions!$C$5,Lookup!$K$13:$K1000,Lookup!$N$13:$N1000,"missing",,1))</f>
        <v>1574701.453</v>
      </c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7"/>
      <c r="AQ703" s="37"/>
    </row>
    <row r="704">
      <c r="A704" s="55">
        <f t="shared" si="7"/>
        <v>67450</v>
      </c>
      <c r="B704" s="56">
        <f>round(YEARFRAC(EOMONTH(questions!$C$3, 0),A704,1),2)</f>
        <v>85.75</v>
      </c>
      <c r="C704" s="58">
        <f>IF(B704&lt;questions!$C$6,if(MONTH(A704)=1,C703*(1+questions!$C$12),C703),0)</f>
        <v>0</v>
      </c>
      <c r="D704" s="58">
        <f>IF(MONTH(A704)=12,C704*questions!$C$11,0)</f>
        <v>0</v>
      </c>
      <c r="E704" s="71">
        <f t="shared" si="2"/>
        <v>0</v>
      </c>
      <c r="F704" s="71">
        <f t="shared" si="3"/>
        <v>0</v>
      </c>
      <c r="G704" s="61">
        <f t="array" ref="G704">if(YEAR(A704)=2025,XLOOKUP(B704,Lookup!$A$3:$A$7,Lookup!$D$3:$D$7,,1)*SUM(E704:F704), XLOOKUP(B704,Lookup!$A$14:$A$18,Lookup!$D$14:$D$18,,1)*SUM(E704:F704))</f>
        <v>0</v>
      </c>
      <c r="H704" s="61">
        <f t="array" ref="H704">if(YEAR(A704)=2025,XLOOKUP(B704,Lookup!$F$3:$F$10,Lookup!$G$3:$G$10,,1)*G704, XLOOKUP(B704,Lookup!$F$14:$F$21,Lookup!$G$14:$G$21,,1)*G704)</f>
        <v>0</v>
      </c>
      <c r="I704" s="61">
        <f t="array" ref="I704">if(B704&lt;55, if(YEAR(A704)=2025,XLOOKUP(B704,Lookup!$F$3:$F$10,Lookup!$H$3:$H$10,,1)*G704, XLOOKUP(B704,Lookup!$F$14:$F$21,Lookup!$H$14:$H$21,,1)*G704),0)</f>
        <v>0</v>
      </c>
      <c r="J704" s="61">
        <f t="array" ref="J704">if(YEAR(A704)=2025,XLOOKUP(B704,Lookup!$F$3:$F$10,Lookup!$I$3:$I$10,,1)*G704, XLOOKUP(B704,Lookup!$F$14:$F$21,Lookup!$I$14:$I$21,,1)*G704)</f>
        <v>0</v>
      </c>
      <c r="K704" s="61">
        <f t="array" ref="K704">if(B704&gt;54, if(YEAR(A704)=2025,XLOOKUP(B704,Lookup!$F$3:$F$10,Lookup!$H$3:$H$10,,1)*G704, XLOOKUP(B704,Lookup!$F$14:$F$21,Lookup!$H$14:$H$21,,1)*G704),0)</f>
        <v>0</v>
      </c>
      <c r="L704" s="62">
        <f>IF(and(A704&lt;questions!$C$19,questions!$C$18="yes"),questions!$C$20,0)</f>
        <v>0</v>
      </c>
      <c r="M704" s="63">
        <f>(Y703+H704)*Lookup!A$26/12</f>
        <v>3365.969593</v>
      </c>
      <c r="N704" s="63">
        <f>if(B704&lt;55, (Z703+I704)*Lookup!B$26/12, (AB703+K704)*Lookup!B$26/12)</f>
        <v>6919.753068</v>
      </c>
      <c r="O704" s="63">
        <f>(AA703+J704)*Lookup!C$26/12</f>
        <v>940.3700287</v>
      </c>
      <c r="P704" s="63">
        <f t="shared" si="8"/>
        <v>26927.75675</v>
      </c>
      <c r="Q704" s="63">
        <f t="shared" si="4"/>
        <v>55358.02454</v>
      </c>
      <c r="R704" s="63">
        <f t="shared" si="5"/>
        <v>7522.960229</v>
      </c>
      <c r="S704" s="64">
        <f t="shared" si="9"/>
        <v>33.33333333</v>
      </c>
      <c r="T704" s="64">
        <f t="shared" si="10"/>
        <v>41.66666667</v>
      </c>
      <c r="U704" s="64">
        <f t="shared" si="11"/>
        <v>0</v>
      </c>
      <c r="V704" s="64">
        <f t="shared" ref="V704:X704" si="712">IF(year($A704)=year($A703), V703+S704, S704)</f>
        <v>266.6666667</v>
      </c>
      <c r="W704" s="64">
        <f t="shared" si="712"/>
        <v>333.3333333</v>
      </c>
      <c r="X704" s="64">
        <f t="shared" si="712"/>
        <v>0</v>
      </c>
      <c r="Y704" s="65">
        <f>IFS(
  B704&lt;55,
    MAX(
      Y703 + IF(MONTH(A704)=12, P704+V704, 0) + H704 - L704
      + MAX(0,
          IF(AA703 &gt;= VLOOKUP(YEAR(A704), Lookup!$Q:$R, 2),
            Z703 + IF(MONTH(A704)=12, Q704+W704, 0) + I704
              + AA703 + IF(MONTH(A704)=12, R704+X704, 0)
              - VLOOKUP(YEAR(A704), Lookup!$Q:$R, 2) + J704,
            Z703 + IF(MONTH(A704)=12, Q704+W704, 0) + I704
          ) - VLOOKUP(YEAR(A704), Lookup!$K:$M, 3)
        ),
    0),
  B704=55,
    IF(Z703&gt;=AD704,
      MAX(Y703 + IF(MONTH(A704)=12, P704+V704, 0) + H704 - L704, 0),
      MAX(MAX(0, Y703-(AD704-Z703)) + IF(MONTH(A704)=12, P704+V704, 0) + H704 - L704, 0)
    ),
  B704&gt;55,
    IF(AB703&gt;=$AH$7,
      MAX(Y703 + IF(MONTH(A704)=12, P704+V704, 0) + H704 - L704 + K704 + Z703, 0),
      MAX(Y703 + IF(MONTH(A704)=12, P704+V704, 0) + H704 - L704, 0)
    )
)</f>
        <v>1615665.405</v>
      </c>
      <c r="Z704" s="65">
        <f>IFS(
  B704&lt;55,
    MIN(
      IF(AA703 &gt;= VLOOKUP(YEAR(A704), Lookup!$Q:$R, 2),
        Z703 + IF(MONTH(A704)=12, Q704+W704, 0) + I704
          + AA703 + IF(MONTH(A704)=12, R704+X704, 0) - VLOOKUP(YEAR(A704), Lookup!$Q:$R, 2) + J704,
        Z703 + IF(MONTH(A704)=12, Q704+W704, 0) + I704
      ),
      VLOOKUP(YEAR(A704), Lookup!$K:$M, 3)
    ),
  B704=55,
    IF(Z703 &gt;= AD704, Z703 - AD704, 0),
  B704&gt;55, 0
)</f>
        <v>0</v>
      </c>
      <c r="AA704" s="65">
        <f>IFS(
  B704&lt;65,
    IF(AA703+J704 &lt; VLOOKUP(YEAR(A704), Lookup!$Q:$R, 2),
      AA703 + IF(MONTH(A704)=12, R703+X703, 0) + J704,
      MIN(
        AA703 + IF(MONTH(A704)=12, R703+X703, 0) + J704 ,
        VLOOKUP(YEAR(A704), Lookup!$Q:$R, 2)
      )
    ),
  B704&gt;=65,
    IF(AA703+J704 &lt; VLOOKUP(questions!$C$5, Lookup!$Q:$R, 2),
      AA703 + IF(MONTH(A704)=12, R703+X703, 0) + J704 ,
      MIN(
        AA703 + IF(MONTH(A704)=12, R703+X703, 0) + J704,
        VLOOKUP(questions!$C$5, Lookup!$Q:$R, 2)
      )
    )
)</f>
        <v>282111.0086</v>
      </c>
      <c r="AB704" s="65">
        <f t="shared" si="13"/>
        <v>2075925.92</v>
      </c>
      <c r="AC704" s="66">
        <f t="array" ref="AC704">IFS(B704&lt;66, XLOOKUP(year(A704),Lookup!$K$13:$K1000,Lookup!$L$13:$L1000,"missing",,1),B704&gt;65,XLOOKUP(questions!$C$5,Lookup!$K$13:$K1000,Lookup!$L$13:$L1000,"missing",,1))</f>
        <v>393675.3633</v>
      </c>
      <c r="AD704" s="66">
        <f t="array" ref="AD704">IFS(B704&lt;66, XLOOKUP(year(A704),Lookup!$K$13:$K1000,Lookup!$M$13:$M1000,"missing",,1),B704&gt;65, XLOOKUP(questions!$C$5,Lookup!$K$13:$K1000,Lookup!$M$13:$M1000,"missing",,1))</f>
        <v>787350.7266</v>
      </c>
      <c r="AE704" s="66">
        <f t="array" ref="AE704">IFS(B704&lt;66, XLOOKUP(year(A704),Lookup!$K$13:$K1000,Lookup!$N$13:$N1000,"missing",,1),B704&gt;65,XLOOKUP(questions!$C$5,Lookup!$K$13:$K1000,Lookup!$N$13:$N1000,"missing",,1))</f>
        <v>1574701.453</v>
      </c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7"/>
      <c r="AQ704" s="37"/>
    </row>
    <row r="705">
      <c r="A705" s="55">
        <f t="shared" si="7"/>
        <v>67480</v>
      </c>
      <c r="B705" s="56">
        <f>round(YEARFRAC(EOMONTH(questions!$C$3, 0),A705,1),2)</f>
        <v>85.83</v>
      </c>
      <c r="C705" s="58">
        <f>IF(B705&lt;questions!$C$6,if(MONTH(A705)=1,C704*(1+questions!$C$12),C704),0)</f>
        <v>0</v>
      </c>
      <c r="D705" s="58">
        <f>IF(MONTH(A705)=12,C705*questions!$C$11,0)</f>
        <v>0</v>
      </c>
      <c r="E705" s="71">
        <f t="shared" si="2"/>
        <v>0</v>
      </c>
      <c r="F705" s="71">
        <f t="shared" si="3"/>
        <v>0</v>
      </c>
      <c r="G705" s="61">
        <f t="array" ref="G705">if(YEAR(A705)=2025,XLOOKUP(B705,Lookup!$A$3:$A$7,Lookup!$D$3:$D$7,,1)*SUM(E705:F705), XLOOKUP(B705,Lookup!$A$14:$A$18,Lookup!$D$14:$D$18,,1)*SUM(E705:F705))</f>
        <v>0</v>
      </c>
      <c r="H705" s="61">
        <f t="array" ref="H705">if(YEAR(A705)=2025,XLOOKUP(B705,Lookup!$F$3:$F$10,Lookup!$G$3:$G$10,,1)*G705, XLOOKUP(B705,Lookup!$F$14:$F$21,Lookup!$G$14:$G$21,,1)*G705)</f>
        <v>0</v>
      </c>
      <c r="I705" s="61">
        <f t="array" ref="I705">if(B705&lt;55, if(YEAR(A705)=2025,XLOOKUP(B705,Lookup!$F$3:$F$10,Lookup!$H$3:$H$10,,1)*G705, XLOOKUP(B705,Lookup!$F$14:$F$21,Lookup!$H$14:$H$21,,1)*G705),0)</f>
        <v>0</v>
      </c>
      <c r="J705" s="61">
        <f t="array" ref="J705">if(YEAR(A705)=2025,XLOOKUP(B705,Lookup!$F$3:$F$10,Lookup!$I$3:$I$10,,1)*G705, XLOOKUP(B705,Lookup!$F$14:$F$21,Lookup!$I$14:$I$21,,1)*G705)</f>
        <v>0</v>
      </c>
      <c r="K705" s="61">
        <f t="array" ref="K705">if(B705&gt;54, if(YEAR(A705)=2025,XLOOKUP(B705,Lookup!$F$3:$F$10,Lookup!$H$3:$H$10,,1)*G705, XLOOKUP(B705,Lookup!$F$14:$F$21,Lookup!$H$14:$H$21,,1)*G705),0)</f>
        <v>0</v>
      </c>
      <c r="L705" s="62">
        <f>IF(and(A705&lt;questions!$C$19,questions!$C$18="yes"),questions!$C$20,0)</f>
        <v>0</v>
      </c>
      <c r="M705" s="63">
        <f>(Y704+H705)*Lookup!A$26/12</f>
        <v>3365.969593</v>
      </c>
      <c r="N705" s="63">
        <f>if(B705&lt;55, (Z704+I705)*Lookup!B$26/12, (AB704+K705)*Lookup!B$26/12)</f>
        <v>6919.753068</v>
      </c>
      <c r="O705" s="63">
        <f>(AA704+J705)*Lookup!C$26/12</f>
        <v>940.3700287</v>
      </c>
      <c r="P705" s="63">
        <f t="shared" si="8"/>
        <v>30293.72634</v>
      </c>
      <c r="Q705" s="63">
        <f t="shared" si="4"/>
        <v>62277.77761</v>
      </c>
      <c r="R705" s="63">
        <f t="shared" si="5"/>
        <v>8463.330258</v>
      </c>
      <c r="S705" s="64">
        <f t="shared" si="9"/>
        <v>33.33333333</v>
      </c>
      <c r="T705" s="64">
        <f t="shared" si="10"/>
        <v>41.66666667</v>
      </c>
      <c r="U705" s="64">
        <f t="shared" si="11"/>
        <v>0</v>
      </c>
      <c r="V705" s="64">
        <f t="shared" ref="V705:X705" si="713">IF(year($A705)=year($A704), V704+S705, S705)</f>
        <v>300</v>
      </c>
      <c r="W705" s="64">
        <f t="shared" si="713"/>
        <v>375</v>
      </c>
      <c r="X705" s="64">
        <f t="shared" si="713"/>
        <v>0</v>
      </c>
      <c r="Y705" s="65">
        <f>IFS(
  B705&lt;55,
    MAX(
      Y704 + IF(MONTH(A705)=12, P705+V705, 0) + H705 - L705
      + MAX(0,
          IF(AA704 &gt;= VLOOKUP(YEAR(A705), Lookup!$Q:$R, 2),
            Z704 + IF(MONTH(A705)=12, Q705+W705, 0) + I705
              + AA704 + IF(MONTH(A705)=12, R705+X705, 0)
              - VLOOKUP(YEAR(A705), Lookup!$Q:$R, 2) + J705,
            Z704 + IF(MONTH(A705)=12, Q705+W705, 0) + I705
          ) - VLOOKUP(YEAR(A705), Lookup!$K:$M, 3)
        ),
    0),
  B705=55,
    IF(Z704&gt;=AD705,
      MAX(Y704 + IF(MONTH(A705)=12, P705+V705, 0) + H705 - L705, 0),
      MAX(MAX(0, Y704-(AD705-Z704)) + IF(MONTH(A705)=12, P705+V705, 0) + H705 - L705, 0)
    ),
  B705&gt;55,
    IF(AB704&gt;=$AH$7,
      MAX(Y704 + IF(MONTH(A705)=12, P705+V705, 0) + H705 - L705 + K705 + Z704, 0),
      MAX(Y704 + IF(MONTH(A705)=12, P705+V705, 0) + H705 - L705, 0)
    )
)</f>
        <v>1615665.405</v>
      </c>
      <c r="Z705" s="65">
        <f>IFS(
  B705&lt;55,
    MIN(
      IF(AA704 &gt;= VLOOKUP(YEAR(A705), Lookup!$Q:$R, 2),
        Z704 + IF(MONTH(A705)=12, Q705+W705, 0) + I705
          + AA704 + IF(MONTH(A705)=12, R705+X705, 0) - VLOOKUP(YEAR(A705), Lookup!$Q:$R, 2) + J705,
        Z704 + IF(MONTH(A705)=12, Q705+W705, 0) + I705
      ),
      VLOOKUP(YEAR(A705), Lookup!$K:$M, 3)
    ),
  B705=55,
    IF(Z704 &gt;= AD705, Z704 - AD705, 0),
  B705&gt;55, 0
)</f>
        <v>0</v>
      </c>
      <c r="AA705" s="65">
        <f>IFS(
  B705&lt;65,
    IF(AA704+J705 &lt; VLOOKUP(YEAR(A705), Lookup!$Q:$R, 2),
      AA704 + IF(MONTH(A705)=12, R704+X704, 0) + J705,
      MIN(
        AA704 + IF(MONTH(A705)=12, R704+X704, 0) + J705 ,
        VLOOKUP(YEAR(A705), Lookup!$Q:$R, 2)
      )
    ),
  B705&gt;=65,
    IF(AA704+J705 &lt; VLOOKUP(questions!$C$5, Lookup!$Q:$R, 2),
      AA704 + IF(MONTH(A705)=12, R704+X704, 0) + J705 ,
      MIN(
        AA704 + IF(MONTH(A705)=12, R704+X704, 0) + J705,
        VLOOKUP(questions!$C$5, Lookup!$Q:$R, 2)
      )
    )
)</f>
        <v>282111.0086</v>
      </c>
      <c r="AB705" s="65">
        <f t="shared" si="13"/>
        <v>2075925.92</v>
      </c>
      <c r="AC705" s="66">
        <f t="array" ref="AC705">IFS(B705&lt;66, XLOOKUP(year(A705),Lookup!$K$13:$K1000,Lookup!$L$13:$L1000,"missing",,1),B705&gt;65,XLOOKUP(questions!$C$5,Lookup!$K$13:$K1000,Lookup!$L$13:$L1000,"missing",,1))</f>
        <v>393675.3633</v>
      </c>
      <c r="AD705" s="66">
        <f t="array" ref="AD705">IFS(B705&lt;66, XLOOKUP(year(A705),Lookup!$K$13:$K1000,Lookup!$M$13:$M1000,"missing",,1),B705&gt;65, XLOOKUP(questions!$C$5,Lookup!$K$13:$K1000,Lookup!$M$13:$M1000,"missing",,1))</f>
        <v>787350.7266</v>
      </c>
      <c r="AE705" s="66">
        <f t="array" ref="AE705">IFS(B705&lt;66, XLOOKUP(year(A705),Lookup!$K$13:$K1000,Lookup!$N$13:$N1000,"missing",,1),B705&gt;65,XLOOKUP(questions!$C$5,Lookup!$K$13:$K1000,Lookup!$N$13:$N1000,"missing",,1))</f>
        <v>1574701.453</v>
      </c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7"/>
      <c r="AQ705" s="37"/>
    </row>
    <row r="706">
      <c r="A706" s="55">
        <f t="shared" si="7"/>
        <v>67511</v>
      </c>
      <c r="B706" s="56">
        <f>round(YEARFRAC(EOMONTH(questions!$C$3, 0),A706,1),2)</f>
        <v>85.92</v>
      </c>
      <c r="C706" s="58">
        <f>IF(B706&lt;questions!$C$6,if(MONTH(A706)=1,C705*(1+questions!$C$12),C705),0)</f>
        <v>0</v>
      </c>
      <c r="D706" s="58">
        <f>IF(MONTH(A706)=12,C706*questions!$C$11,0)</f>
        <v>0</v>
      </c>
      <c r="E706" s="71">
        <f t="shared" si="2"/>
        <v>0</v>
      </c>
      <c r="F706" s="71">
        <f t="shared" si="3"/>
        <v>0</v>
      </c>
      <c r="G706" s="61">
        <f t="array" ref="G706">if(YEAR(A706)=2025,XLOOKUP(B706,Lookup!$A$3:$A$7,Lookup!$D$3:$D$7,,1)*SUM(E706:F706), XLOOKUP(B706,Lookup!$A$14:$A$18,Lookup!$D$14:$D$18,,1)*SUM(E706:F706))</f>
        <v>0</v>
      </c>
      <c r="H706" s="61">
        <f t="array" ref="H706">if(YEAR(A706)=2025,XLOOKUP(B706,Lookup!$F$3:$F$10,Lookup!$G$3:$G$10,,1)*G706, XLOOKUP(B706,Lookup!$F$14:$F$21,Lookup!$G$14:$G$21,,1)*G706)</f>
        <v>0</v>
      </c>
      <c r="I706" s="61">
        <f t="array" ref="I706">if(B706&lt;55, if(YEAR(A706)=2025,XLOOKUP(B706,Lookup!$F$3:$F$10,Lookup!$H$3:$H$10,,1)*G706, XLOOKUP(B706,Lookup!$F$14:$F$21,Lookup!$H$14:$H$21,,1)*G706),0)</f>
        <v>0</v>
      </c>
      <c r="J706" s="61">
        <f t="array" ref="J706">if(YEAR(A706)=2025,XLOOKUP(B706,Lookup!$F$3:$F$10,Lookup!$I$3:$I$10,,1)*G706, XLOOKUP(B706,Lookup!$F$14:$F$21,Lookup!$I$14:$I$21,,1)*G706)</f>
        <v>0</v>
      </c>
      <c r="K706" s="61">
        <f t="array" ref="K706">if(B706&gt;54, if(YEAR(A706)=2025,XLOOKUP(B706,Lookup!$F$3:$F$10,Lookup!$H$3:$H$10,,1)*G706, XLOOKUP(B706,Lookup!$F$14:$F$21,Lookup!$H$14:$H$21,,1)*G706),0)</f>
        <v>0</v>
      </c>
      <c r="L706" s="62">
        <f>IF(and(A706&lt;questions!$C$19,questions!$C$18="yes"),questions!$C$20,0)</f>
        <v>0</v>
      </c>
      <c r="M706" s="63">
        <f>(Y705+H706)*Lookup!A$26/12</f>
        <v>3365.969593</v>
      </c>
      <c r="N706" s="63">
        <f>if(B706&lt;55, (Z705+I706)*Lookup!B$26/12, (AB705+K706)*Lookup!B$26/12)</f>
        <v>6919.753068</v>
      </c>
      <c r="O706" s="63">
        <f>(AA705+J706)*Lookup!C$26/12</f>
        <v>940.3700287</v>
      </c>
      <c r="P706" s="63">
        <f t="shared" si="8"/>
        <v>33659.69593</v>
      </c>
      <c r="Q706" s="63">
        <f t="shared" si="4"/>
        <v>69197.53068</v>
      </c>
      <c r="R706" s="63">
        <f t="shared" si="5"/>
        <v>9403.700287</v>
      </c>
      <c r="S706" s="64">
        <f t="shared" si="9"/>
        <v>33.33333333</v>
      </c>
      <c r="T706" s="64">
        <f t="shared" si="10"/>
        <v>41.66666667</v>
      </c>
      <c r="U706" s="64">
        <f t="shared" si="11"/>
        <v>0</v>
      </c>
      <c r="V706" s="64">
        <f t="shared" ref="V706:X706" si="714">IF(year($A706)=year($A705), V705+S706, S706)</f>
        <v>333.3333333</v>
      </c>
      <c r="W706" s="64">
        <f t="shared" si="714"/>
        <v>416.6666667</v>
      </c>
      <c r="X706" s="64">
        <f t="shared" si="714"/>
        <v>0</v>
      </c>
      <c r="Y706" s="65">
        <f>IFS(
  B706&lt;55,
    MAX(
      Y705 + IF(MONTH(A706)=12, P706+V706, 0) + H706 - L706
      + MAX(0,
          IF(AA705 &gt;= VLOOKUP(YEAR(A706), Lookup!$Q:$R, 2),
            Z705 + IF(MONTH(A706)=12, Q706+W706, 0) + I706
              + AA705 + IF(MONTH(A706)=12, R706+X706, 0)
              - VLOOKUP(YEAR(A706), Lookup!$Q:$R, 2) + J706,
            Z705 + IF(MONTH(A706)=12, Q706+W706, 0) + I706
          ) - VLOOKUP(YEAR(A706), Lookup!$K:$M, 3)
        ),
    0),
  B706=55,
    IF(Z705&gt;=AD706,
      MAX(Y705 + IF(MONTH(A706)=12, P706+V706, 0) + H706 - L706, 0),
      MAX(MAX(0, Y705-(AD706-Z705)) + IF(MONTH(A706)=12, P706+V706, 0) + H706 - L706, 0)
    ),
  B706&gt;55,
    IF(AB705&gt;=$AH$7,
      MAX(Y705 + IF(MONTH(A706)=12, P706+V706, 0) + H706 - L706 + K706 + Z705, 0),
      MAX(Y705 + IF(MONTH(A706)=12, P706+V706, 0) + H706 - L706, 0)
    )
)</f>
        <v>1615665.405</v>
      </c>
      <c r="Z706" s="65">
        <f>IFS(
  B706&lt;55,
    MIN(
      IF(AA705 &gt;= VLOOKUP(YEAR(A706), Lookup!$Q:$R, 2),
        Z705 + IF(MONTH(A706)=12, Q706+W706, 0) + I706
          + AA705 + IF(MONTH(A706)=12, R706+X706, 0) - VLOOKUP(YEAR(A706), Lookup!$Q:$R, 2) + J706,
        Z705 + IF(MONTH(A706)=12, Q706+W706, 0) + I706
      ),
      VLOOKUP(YEAR(A706), Lookup!$K:$M, 3)
    ),
  B706=55,
    IF(Z705 &gt;= AD706, Z705 - AD706, 0),
  B706&gt;55, 0
)</f>
        <v>0</v>
      </c>
      <c r="AA706" s="65">
        <f>IFS(
  B706&lt;65,
    IF(AA705+J706 &lt; VLOOKUP(YEAR(A706), Lookup!$Q:$R, 2),
      AA705 + IF(MONTH(A706)=12, R705+X705, 0) + J706,
      MIN(
        AA705 + IF(MONTH(A706)=12, R705+X705, 0) + J706 ,
        VLOOKUP(YEAR(A706), Lookup!$Q:$R, 2)
      )
    ),
  B706&gt;=65,
    IF(AA705+J706 &lt; VLOOKUP(questions!$C$5, Lookup!$Q:$R, 2),
      AA705 + IF(MONTH(A706)=12, R705+X705, 0) + J706 ,
      MIN(
        AA705 + IF(MONTH(A706)=12, R705+X705, 0) + J706,
        VLOOKUP(questions!$C$5, Lookup!$Q:$R, 2)
      )
    )
)</f>
        <v>282111.0086</v>
      </c>
      <c r="AB706" s="65">
        <f t="shared" si="13"/>
        <v>2075925.92</v>
      </c>
      <c r="AC706" s="66">
        <f t="array" ref="AC706">IFS(B706&lt;66, XLOOKUP(year(A706),Lookup!$K$13:$K1000,Lookup!$L$13:$L1000,"missing",,1),B706&gt;65,XLOOKUP(questions!$C$5,Lookup!$K$13:$K1000,Lookup!$L$13:$L1000,"missing",,1))</f>
        <v>393675.3633</v>
      </c>
      <c r="AD706" s="66">
        <f t="array" ref="AD706">IFS(B706&lt;66, XLOOKUP(year(A706),Lookup!$K$13:$K1000,Lookup!$M$13:$M1000,"missing",,1),B706&gt;65, XLOOKUP(questions!$C$5,Lookup!$K$13:$K1000,Lookup!$M$13:$M1000,"missing",,1))</f>
        <v>787350.7266</v>
      </c>
      <c r="AE706" s="66">
        <f t="array" ref="AE706">IFS(B706&lt;66, XLOOKUP(year(A706),Lookup!$K$13:$K1000,Lookup!$N$13:$N1000,"missing",,1),B706&gt;65,XLOOKUP(questions!$C$5,Lookup!$K$13:$K1000,Lookup!$N$13:$N1000,"missing",,1))</f>
        <v>1574701.453</v>
      </c>
      <c r="AF706" s="37"/>
      <c r="AG706" s="37"/>
      <c r="AH706" s="37"/>
      <c r="AI706" s="37"/>
      <c r="AJ706" s="37"/>
      <c r="AK706" s="37"/>
      <c r="AL706" s="37"/>
      <c r="AM706" s="37"/>
      <c r="AN706" s="37"/>
      <c r="AO706" s="37"/>
      <c r="AP706" s="37"/>
      <c r="AQ706" s="37"/>
    </row>
    <row r="707">
      <c r="A707" s="55">
        <f t="shared" si="7"/>
        <v>67541</v>
      </c>
      <c r="B707" s="56">
        <f>round(YEARFRAC(EOMONTH(questions!$C$3, 0),A707,1),2)</f>
        <v>86</v>
      </c>
      <c r="C707" s="58">
        <f>IF(B707&lt;questions!$C$6,if(MONTH(A707)=1,C706*(1+questions!$C$12),C706),0)</f>
        <v>0</v>
      </c>
      <c r="D707" s="58">
        <f>IF(MONTH(A707)=12,C707*questions!$C$11,0)</f>
        <v>0</v>
      </c>
      <c r="E707" s="71">
        <f t="shared" si="2"/>
        <v>0</v>
      </c>
      <c r="F707" s="71">
        <f t="shared" si="3"/>
        <v>0</v>
      </c>
      <c r="G707" s="61">
        <f t="array" ref="G707">if(YEAR(A707)=2025,XLOOKUP(B707,Lookup!$A$3:$A$7,Lookup!$D$3:$D$7,,1)*SUM(E707:F707), XLOOKUP(B707,Lookup!$A$14:$A$18,Lookup!$D$14:$D$18,,1)*SUM(E707:F707))</f>
        <v>0</v>
      </c>
      <c r="H707" s="61">
        <f t="array" ref="H707">if(YEAR(A707)=2025,XLOOKUP(B707,Lookup!$F$3:$F$10,Lookup!$G$3:$G$10,,1)*G707, XLOOKUP(B707,Lookup!$F$14:$F$21,Lookup!$G$14:$G$21,,1)*G707)</f>
        <v>0</v>
      </c>
      <c r="I707" s="61">
        <f t="array" ref="I707">if(B707&lt;55, if(YEAR(A707)=2025,XLOOKUP(B707,Lookup!$F$3:$F$10,Lookup!$H$3:$H$10,,1)*G707, XLOOKUP(B707,Lookup!$F$14:$F$21,Lookup!$H$14:$H$21,,1)*G707),0)</f>
        <v>0</v>
      </c>
      <c r="J707" s="61">
        <f t="array" ref="J707">if(YEAR(A707)=2025,XLOOKUP(B707,Lookup!$F$3:$F$10,Lookup!$I$3:$I$10,,1)*G707, XLOOKUP(B707,Lookup!$F$14:$F$21,Lookup!$I$14:$I$21,,1)*G707)</f>
        <v>0</v>
      </c>
      <c r="K707" s="61">
        <f t="array" ref="K707">if(B707&gt;54, if(YEAR(A707)=2025,XLOOKUP(B707,Lookup!$F$3:$F$10,Lookup!$H$3:$H$10,,1)*G707, XLOOKUP(B707,Lookup!$F$14:$F$21,Lookup!$H$14:$H$21,,1)*G707),0)</f>
        <v>0</v>
      </c>
      <c r="L707" s="62">
        <f>IF(and(A707&lt;questions!$C$19,questions!$C$18="yes"),questions!$C$20,0)</f>
        <v>0</v>
      </c>
      <c r="M707" s="63">
        <f>(Y706+H707)*Lookup!A$26/12</f>
        <v>3365.969593</v>
      </c>
      <c r="N707" s="63">
        <f>if(B707&lt;55, (Z706+I707)*Lookup!B$26/12, (AB706+K707)*Lookup!B$26/12)</f>
        <v>6919.753068</v>
      </c>
      <c r="O707" s="63">
        <f>(AA706+J707)*Lookup!C$26/12</f>
        <v>940.3700287</v>
      </c>
      <c r="P707" s="63">
        <f t="shared" si="8"/>
        <v>37025.66552</v>
      </c>
      <c r="Q707" s="63">
        <f t="shared" si="4"/>
        <v>76117.28375</v>
      </c>
      <c r="R707" s="63">
        <f t="shared" si="5"/>
        <v>10344.07032</v>
      </c>
      <c r="S707" s="64">
        <f t="shared" si="9"/>
        <v>33.33333333</v>
      </c>
      <c r="T707" s="64">
        <f t="shared" si="10"/>
        <v>41.66666667</v>
      </c>
      <c r="U707" s="64">
        <f t="shared" si="11"/>
        <v>0</v>
      </c>
      <c r="V707" s="64">
        <f t="shared" ref="V707:X707" si="715">IF(year($A707)=year($A706), V706+S707, S707)</f>
        <v>366.6666667</v>
      </c>
      <c r="W707" s="64">
        <f t="shared" si="715"/>
        <v>458.3333333</v>
      </c>
      <c r="X707" s="64">
        <f t="shared" si="715"/>
        <v>0</v>
      </c>
      <c r="Y707" s="65">
        <f>IFS(
  B707&lt;55,
    MAX(
      Y706 + IF(MONTH(A707)=12, P707+V707, 0) + H707 - L707
      + MAX(0,
          IF(AA706 &gt;= VLOOKUP(YEAR(A707), Lookup!$Q:$R, 2),
            Z706 + IF(MONTH(A707)=12, Q707+W707, 0) + I707
              + AA706 + IF(MONTH(A707)=12, R707+X707, 0)
              - VLOOKUP(YEAR(A707), Lookup!$Q:$R, 2) + J707,
            Z706 + IF(MONTH(A707)=12, Q707+W707, 0) + I707
          ) - VLOOKUP(YEAR(A707), Lookup!$K:$M, 3)
        ),
    0),
  B707=55,
    IF(Z706&gt;=AD707,
      MAX(Y706 + IF(MONTH(A707)=12, P707+V707, 0) + H707 - L707, 0),
      MAX(MAX(0, Y706-(AD707-Z706)) + IF(MONTH(A707)=12, P707+V707, 0) + H707 - L707, 0)
    ),
  B707&gt;55,
    IF(AB706&gt;=$AH$7,
      MAX(Y706 + IF(MONTH(A707)=12, P707+V707, 0) + H707 - L707 + K707 + Z706, 0),
      MAX(Y706 + IF(MONTH(A707)=12, P707+V707, 0) + H707 - L707, 0)
    )
)</f>
        <v>1615665.405</v>
      </c>
      <c r="Z707" s="65">
        <f>IFS(
  B707&lt;55,
    MIN(
      IF(AA706 &gt;= VLOOKUP(YEAR(A707), Lookup!$Q:$R, 2),
        Z706 + IF(MONTH(A707)=12, Q707+W707, 0) + I707
          + AA706 + IF(MONTH(A707)=12, R707+X707, 0) - VLOOKUP(YEAR(A707), Lookup!$Q:$R, 2) + J707,
        Z706 + IF(MONTH(A707)=12, Q707+W707, 0) + I707
      ),
      VLOOKUP(YEAR(A707), Lookup!$K:$M, 3)
    ),
  B707=55,
    IF(Z706 &gt;= AD707, Z706 - AD707, 0),
  B707&gt;55, 0
)</f>
        <v>0</v>
      </c>
      <c r="AA707" s="65">
        <f>IFS(
  B707&lt;65,
    IF(AA706+J707 &lt; VLOOKUP(YEAR(A707), Lookup!$Q:$R, 2),
      AA706 + IF(MONTH(A707)=12, R706+X706, 0) + J707,
      MIN(
        AA706 + IF(MONTH(A707)=12, R706+X706, 0) + J707 ,
        VLOOKUP(YEAR(A707), Lookup!$Q:$R, 2)
      )
    ),
  B707&gt;=65,
    IF(AA706+J707 &lt; VLOOKUP(questions!$C$5, Lookup!$Q:$R, 2),
      AA706 + IF(MONTH(A707)=12, R706+X706, 0) + J707 ,
      MIN(
        AA706 + IF(MONTH(A707)=12, R706+X706, 0) + J707,
        VLOOKUP(questions!$C$5, Lookup!$Q:$R, 2)
      )
    )
)</f>
        <v>282111.0086</v>
      </c>
      <c r="AB707" s="65">
        <f t="shared" si="13"/>
        <v>2075925.92</v>
      </c>
      <c r="AC707" s="66">
        <f t="array" ref="AC707">IFS(B707&lt;66, XLOOKUP(year(A707),Lookup!$K$13:$K1000,Lookup!$L$13:$L1000,"missing",,1),B707&gt;65,XLOOKUP(questions!$C$5,Lookup!$K$13:$K1000,Lookup!$L$13:$L1000,"missing",,1))</f>
        <v>393675.3633</v>
      </c>
      <c r="AD707" s="66">
        <f t="array" ref="AD707">IFS(B707&lt;66, XLOOKUP(year(A707),Lookup!$K$13:$K1000,Lookup!$M$13:$M1000,"missing",,1),B707&gt;65, XLOOKUP(questions!$C$5,Lookup!$K$13:$K1000,Lookup!$M$13:$M1000,"missing",,1))</f>
        <v>787350.7266</v>
      </c>
      <c r="AE707" s="66">
        <f t="array" ref="AE707">IFS(B707&lt;66, XLOOKUP(year(A707),Lookup!$K$13:$K1000,Lookup!$N$13:$N1000,"missing",,1),B707&gt;65,XLOOKUP(questions!$C$5,Lookup!$K$13:$K1000,Lookup!$N$13:$N1000,"missing",,1))</f>
        <v>1574701.453</v>
      </c>
      <c r="AF707" s="37"/>
      <c r="AG707" s="37"/>
      <c r="AH707" s="37"/>
      <c r="AI707" s="37"/>
      <c r="AJ707" s="37"/>
      <c r="AK707" s="37"/>
      <c r="AL707" s="37"/>
      <c r="AM707" s="37"/>
      <c r="AN707" s="37"/>
      <c r="AO707" s="37"/>
      <c r="AP707" s="37"/>
      <c r="AQ707" s="37"/>
    </row>
    <row r="708">
      <c r="A708" s="55">
        <f t="shared" si="7"/>
        <v>67572</v>
      </c>
      <c r="B708" s="56">
        <f>round(YEARFRAC(EOMONTH(questions!$C$3, 0),A708,1),2)</f>
        <v>86.08</v>
      </c>
      <c r="C708" s="58">
        <f>IF(B708&lt;questions!$C$6,if(MONTH(A708)=1,C707*(1+questions!$C$12),C707),0)</f>
        <v>0</v>
      </c>
      <c r="D708" s="58">
        <f>IF(MONTH(A708)=12,C708*questions!$C$11,0)</f>
        <v>0</v>
      </c>
      <c r="E708" s="71">
        <f t="shared" si="2"/>
        <v>0</v>
      </c>
      <c r="F708" s="71">
        <f t="shared" si="3"/>
        <v>0</v>
      </c>
      <c r="G708" s="61">
        <f t="array" ref="G708">if(YEAR(A708)=2025,XLOOKUP(B708,Lookup!$A$3:$A$7,Lookup!$D$3:$D$7,,1)*SUM(E708:F708), XLOOKUP(B708,Lookup!$A$14:$A$18,Lookup!$D$14:$D$18,,1)*SUM(E708:F708))</f>
        <v>0</v>
      </c>
      <c r="H708" s="61">
        <f t="array" ref="H708">if(YEAR(A708)=2025,XLOOKUP(B708,Lookup!$F$3:$F$10,Lookup!$G$3:$G$10,,1)*G708, XLOOKUP(B708,Lookup!$F$14:$F$21,Lookup!$G$14:$G$21,,1)*G708)</f>
        <v>0</v>
      </c>
      <c r="I708" s="61">
        <f t="array" ref="I708">if(B708&lt;55, if(YEAR(A708)=2025,XLOOKUP(B708,Lookup!$F$3:$F$10,Lookup!$H$3:$H$10,,1)*G708, XLOOKUP(B708,Lookup!$F$14:$F$21,Lookup!$H$14:$H$21,,1)*G708),0)</f>
        <v>0</v>
      </c>
      <c r="J708" s="61">
        <f t="array" ref="J708">if(YEAR(A708)=2025,XLOOKUP(B708,Lookup!$F$3:$F$10,Lookup!$I$3:$I$10,,1)*G708, XLOOKUP(B708,Lookup!$F$14:$F$21,Lookup!$I$14:$I$21,,1)*G708)</f>
        <v>0</v>
      </c>
      <c r="K708" s="61">
        <f t="array" ref="K708">if(B708&gt;54, if(YEAR(A708)=2025,XLOOKUP(B708,Lookup!$F$3:$F$10,Lookup!$H$3:$H$10,,1)*G708, XLOOKUP(B708,Lookup!$F$14:$F$21,Lookup!$H$14:$H$21,,1)*G708),0)</f>
        <v>0</v>
      </c>
      <c r="L708" s="62">
        <f>IF(and(A708&lt;questions!$C$19,questions!$C$18="yes"),questions!$C$20,0)</f>
        <v>0</v>
      </c>
      <c r="M708" s="63">
        <f>(Y707+H708)*Lookup!A$26/12</f>
        <v>3365.969593</v>
      </c>
      <c r="N708" s="63">
        <f>if(B708&lt;55, (Z707+I708)*Lookup!B$26/12, (AB707+K708)*Lookup!B$26/12)</f>
        <v>6919.753068</v>
      </c>
      <c r="O708" s="63">
        <f>(AA707+J708)*Lookup!C$26/12</f>
        <v>940.3700287</v>
      </c>
      <c r="P708" s="63">
        <f t="shared" si="8"/>
        <v>40391.63512</v>
      </c>
      <c r="Q708" s="63">
        <f t="shared" si="4"/>
        <v>83037.03682</v>
      </c>
      <c r="R708" s="63">
        <f t="shared" si="5"/>
        <v>11284.44034</v>
      </c>
      <c r="S708" s="64">
        <f t="shared" si="9"/>
        <v>33.33333333</v>
      </c>
      <c r="T708" s="64">
        <f t="shared" si="10"/>
        <v>41.66666667</v>
      </c>
      <c r="U708" s="64">
        <f t="shared" si="11"/>
        <v>0</v>
      </c>
      <c r="V708" s="64">
        <f t="shared" ref="V708:X708" si="716">IF(year($A708)=year($A707), V707+S708, S708)</f>
        <v>400</v>
      </c>
      <c r="W708" s="64">
        <f t="shared" si="716"/>
        <v>500</v>
      </c>
      <c r="X708" s="64">
        <f t="shared" si="716"/>
        <v>0</v>
      </c>
      <c r="Y708" s="65">
        <f>IFS(
  B708&lt;55,
    MAX(
      Y707 + IF(MONTH(A708)=12, P708+V708, 0) + H708 - L708
      + MAX(0,
          IF(AA707 &gt;= VLOOKUP(YEAR(A708), Lookup!$Q:$R, 2),
            Z707 + IF(MONTH(A708)=12, Q708+W708, 0) + I708
              + AA707 + IF(MONTH(A708)=12, R708+X708, 0)
              - VLOOKUP(YEAR(A708), Lookup!$Q:$R, 2) + J708,
            Z707 + IF(MONTH(A708)=12, Q708+W708, 0) + I708
          ) - VLOOKUP(YEAR(A708), Lookup!$K:$M, 3)
        ),
    0),
  B708=55,
    IF(Z707&gt;=AD708,
      MAX(Y707 + IF(MONTH(A708)=12, P708+V708, 0) + H708 - L708, 0),
      MAX(MAX(0, Y707-(AD708-Z707)) + IF(MONTH(A708)=12, P708+V708, 0) + H708 - L708, 0)
    ),
  B708&gt;55,
    IF(AB707&gt;=$AH$7,
      MAX(Y707 + IF(MONTH(A708)=12, P708+V708, 0) + H708 - L708 + K708 + Z707, 0),
      MAX(Y707 + IF(MONTH(A708)=12, P708+V708, 0) + H708 - L708, 0)
    )
)</f>
        <v>1656457.04</v>
      </c>
      <c r="Z708" s="65">
        <f>IFS(
  B708&lt;55,
    MIN(
      IF(AA707 &gt;= VLOOKUP(YEAR(A708), Lookup!$Q:$R, 2),
        Z707 + IF(MONTH(A708)=12, Q708+W708, 0) + I708
          + AA707 + IF(MONTH(A708)=12, R708+X708, 0) - VLOOKUP(YEAR(A708), Lookup!$Q:$R, 2) + J708,
        Z707 + IF(MONTH(A708)=12, Q708+W708, 0) + I708
      ),
      VLOOKUP(YEAR(A708), Lookup!$K:$M, 3)
    ),
  B708=55,
    IF(Z707 &gt;= AD708, Z707 - AD708, 0),
  B708&gt;55, 0
)</f>
        <v>0</v>
      </c>
      <c r="AA708" s="65">
        <f>IFS(
  B708&lt;65,
    IF(AA707+J708 &lt; VLOOKUP(YEAR(A708), Lookup!$Q:$R, 2),
      AA707 + IF(MONTH(A708)=12, R707+X707, 0) + J708,
      MIN(
        AA707 + IF(MONTH(A708)=12, R707+X707, 0) + J708 ,
        VLOOKUP(YEAR(A708), Lookup!$Q:$R, 2)
      )
    ),
  B708&gt;=65,
    IF(AA707+J708 &lt; VLOOKUP(questions!$C$5, Lookup!$Q:$R, 2),
      AA707 + IF(MONTH(A708)=12, R707+X707, 0) + J708 ,
      MIN(
        AA707 + IF(MONTH(A708)=12, R707+X707, 0) + J708,
        VLOOKUP(questions!$C$5, Lookup!$Q:$R, 2)
      )
    )
)</f>
        <v>282111.0086</v>
      </c>
      <c r="AB708" s="65">
        <f t="shared" si="13"/>
        <v>2159462.957</v>
      </c>
      <c r="AC708" s="66">
        <f t="array" ref="AC708">IFS(B708&lt;66, XLOOKUP(year(A708),Lookup!$K$13:$K1000,Lookup!$L$13:$L1000,"missing",,1),B708&gt;65,XLOOKUP(questions!$C$5,Lookup!$K$13:$K1000,Lookup!$L$13:$L1000,"missing",,1))</f>
        <v>393675.3633</v>
      </c>
      <c r="AD708" s="66">
        <f t="array" ref="AD708">IFS(B708&lt;66, XLOOKUP(year(A708),Lookup!$K$13:$K1000,Lookup!$M$13:$M1000,"missing",,1),B708&gt;65, XLOOKUP(questions!$C$5,Lookup!$K$13:$K1000,Lookup!$M$13:$M1000,"missing",,1))</f>
        <v>787350.7266</v>
      </c>
      <c r="AE708" s="66">
        <f t="array" ref="AE708">IFS(B708&lt;66, XLOOKUP(year(A708),Lookup!$K$13:$K1000,Lookup!$N$13:$N1000,"missing",,1),B708&gt;65,XLOOKUP(questions!$C$5,Lookup!$K$13:$K1000,Lookup!$N$13:$N1000,"missing",,1))</f>
        <v>1574701.453</v>
      </c>
      <c r="AF708" s="37"/>
      <c r="AG708" s="37"/>
      <c r="AH708" s="37"/>
      <c r="AI708" s="37"/>
      <c r="AJ708" s="37"/>
      <c r="AK708" s="37"/>
      <c r="AL708" s="37"/>
      <c r="AM708" s="37"/>
      <c r="AN708" s="37"/>
      <c r="AO708" s="37"/>
      <c r="AP708" s="37"/>
      <c r="AQ708" s="37"/>
    </row>
    <row r="709">
      <c r="A709" s="55">
        <f t="shared" si="7"/>
        <v>67603</v>
      </c>
      <c r="B709" s="56">
        <f>round(YEARFRAC(EOMONTH(questions!$C$3, 0),A709,1),2)</f>
        <v>86.17</v>
      </c>
      <c r="C709" s="58">
        <f>IF(B709&lt;questions!$C$6,if(MONTH(A709)=1,C708*(1+questions!$C$12),C708),0)</f>
        <v>0</v>
      </c>
      <c r="D709" s="58">
        <f>IF(MONTH(A709)=12,C709*questions!$C$11,0)</f>
        <v>0</v>
      </c>
      <c r="E709" s="71">
        <f t="shared" si="2"/>
        <v>0</v>
      </c>
      <c r="F709" s="71">
        <f t="shared" si="3"/>
        <v>0</v>
      </c>
      <c r="G709" s="61">
        <f t="array" ref="G709">if(YEAR(A709)=2025,XLOOKUP(B709,Lookup!$A$3:$A$7,Lookup!$D$3:$D$7,,1)*SUM(E709:F709), XLOOKUP(B709,Lookup!$A$14:$A$18,Lookup!$D$14:$D$18,,1)*SUM(E709:F709))</f>
        <v>0</v>
      </c>
      <c r="H709" s="61">
        <f t="array" ref="H709">if(YEAR(A709)=2025,XLOOKUP(B709,Lookup!$F$3:$F$10,Lookup!$G$3:$G$10,,1)*G709, XLOOKUP(B709,Lookup!$F$14:$F$21,Lookup!$G$14:$G$21,,1)*G709)</f>
        <v>0</v>
      </c>
      <c r="I709" s="61">
        <f t="array" ref="I709">if(B709&lt;55, if(YEAR(A709)=2025,XLOOKUP(B709,Lookup!$F$3:$F$10,Lookup!$H$3:$H$10,,1)*G709, XLOOKUP(B709,Lookup!$F$14:$F$21,Lookup!$H$14:$H$21,,1)*G709),0)</f>
        <v>0</v>
      </c>
      <c r="J709" s="61">
        <f t="array" ref="J709">if(YEAR(A709)=2025,XLOOKUP(B709,Lookup!$F$3:$F$10,Lookup!$I$3:$I$10,,1)*G709, XLOOKUP(B709,Lookup!$F$14:$F$21,Lookup!$I$14:$I$21,,1)*G709)</f>
        <v>0</v>
      </c>
      <c r="K709" s="61">
        <f t="array" ref="K709">if(B709&gt;54, if(YEAR(A709)=2025,XLOOKUP(B709,Lookup!$F$3:$F$10,Lookup!$H$3:$H$10,,1)*G709, XLOOKUP(B709,Lookup!$F$14:$F$21,Lookup!$H$14:$H$21,,1)*G709),0)</f>
        <v>0</v>
      </c>
      <c r="L709" s="62">
        <f>IF(and(A709&lt;questions!$C$19,questions!$C$18="yes"),questions!$C$20,0)</f>
        <v>0</v>
      </c>
      <c r="M709" s="63">
        <f>(Y708+H709)*Lookup!A$26/12</f>
        <v>3450.952166</v>
      </c>
      <c r="N709" s="63">
        <f>if(B709&lt;55, (Z708+I709)*Lookup!B$26/12, (AB708+K709)*Lookup!B$26/12)</f>
        <v>7198.209857</v>
      </c>
      <c r="O709" s="63">
        <f>(AA708+J709)*Lookup!C$26/12</f>
        <v>940.3700287</v>
      </c>
      <c r="P709" s="63">
        <f t="shared" si="8"/>
        <v>3450.952166</v>
      </c>
      <c r="Q709" s="63">
        <f t="shared" si="4"/>
        <v>7198.209857</v>
      </c>
      <c r="R709" s="63">
        <f t="shared" si="5"/>
        <v>940.3700287</v>
      </c>
      <c r="S709" s="64">
        <f t="shared" si="9"/>
        <v>33.33333333</v>
      </c>
      <c r="T709" s="64">
        <f t="shared" si="10"/>
        <v>41.66666667</v>
      </c>
      <c r="U709" s="64">
        <f t="shared" si="11"/>
        <v>0</v>
      </c>
      <c r="V709" s="64">
        <f t="shared" ref="V709:X709" si="717">IF(year($A709)=year($A708), V708+S709, S709)</f>
        <v>33.33333333</v>
      </c>
      <c r="W709" s="64">
        <f t="shared" si="717"/>
        <v>41.66666667</v>
      </c>
      <c r="X709" s="64">
        <f t="shared" si="717"/>
        <v>0</v>
      </c>
      <c r="Y709" s="65">
        <f>IFS(
  B709&lt;55,
    MAX(
      Y708 + IF(MONTH(A709)=12, P709+V709, 0) + H709 - L709
      + MAX(0,
          IF(AA708 &gt;= VLOOKUP(YEAR(A709), Lookup!$Q:$R, 2),
            Z708 + IF(MONTH(A709)=12, Q709+W709, 0) + I709
              + AA708 + IF(MONTH(A709)=12, R709+X709, 0)
              - VLOOKUP(YEAR(A709), Lookup!$Q:$R, 2) + J709,
            Z708 + IF(MONTH(A709)=12, Q709+W709, 0) + I709
          ) - VLOOKUP(YEAR(A709), Lookup!$K:$M, 3)
        ),
    0),
  B709=55,
    IF(Z708&gt;=AD709,
      MAX(Y708 + IF(MONTH(A709)=12, P709+V709, 0) + H709 - L709, 0),
      MAX(MAX(0, Y708-(AD709-Z708)) + IF(MONTH(A709)=12, P709+V709, 0) + H709 - L709, 0)
    ),
  B709&gt;55,
    IF(AB708&gt;=$AH$7,
      MAX(Y708 + IF(MONTH(A709)=12, P709+V709, 0) + H709 - L709 + K709 + Z708, 0),
      MAX(Y708 + IF(MONTH(A709)=12, P709+V709, 0) + H709 - L709, 0)
    )
)</f>
        <v>1656457.04</v>
      </c>
      <c r="Z709" s="65">
        <f>IFS(
  B709&lt;55,
    MIN(
      IF(AA708 &gt;= VLOOKUP(YEAR(A709), Lookup!$Q:$R, 2),
        Z708 + IF(MONTH(A709)=12, Q709+W709, 0) + I709
          + AA708 + IF(MONTH(A709)=12, R709+X709, 0) - VLOOKUP(YEAR(A709), Lookup!$Q:$R, 2) + J709,
        Z708 + IF(MONTH(A709)=12, Q709+W709, 0) + I709
      ),
      VLOOKUP(YEAR(A709), Lookup!$K:$M, 3)
    ),
  B709=55,
    IF(Z708 &gt;= AD709, Z708 - AD709, 0),
  B709&gt;55, 0
)</f>
        <v>0</v>
      </c>
      <c r="AA709" s="65">
        <f>IFS(
  B709&lt;65,
    IF(AA708+J709 &lt; VLOOKUP(YEAR(A709), Lookup!$Q:$R, 2),
      AA708 + IF(MONTH(A709)=12, R708+X708, 0) + J709,
      MIN(
        AA708 + IF(MONTH(A709)=12, R708+X708, 0) + J709 ,
        VLOOKUP(YEAR(A709), Lookup!$Q:$R, 2)
      )
    ),
  B709&gt;=65,
    IF(AA708+J709 &lt; VLOOKUP(questions!$C$5, Lookup!$Q:$R, 2),
      AA708 + IF(MONTH(A709)=12, R708+X708, 0) + J709 ,
      MIN(
        AA708 + IF(MONTH(A709)=12, R708+X708, 0) + J709,
        VLOOKUP(questions!$C$5, Lookup!$Q:$R, 2)
      )
    )
)</f>
        <v>282111.0086</v>
      </c>
      <c r="AB709" s="65">
        <f t="shared" si="13"/>
        <v>2159462.957</v>
      </c>
      <c r="AC709" s="66">
        <f t="array" ref="AC709">IFS(B709&lt;66, XLOOKUP(year(A709),Lookup!$K$13:$K1000,Lookup!$L$13:$L1000,"missing",,1),B709&gt;65,XLOOKUP(questions!$C$5,Lookup!$K$13:$K1000,Lookup!$L$13:$L1000,"missing",,1))</f>
        <v>393675.3633</v>
      </c>
      <c r="AD709" s="66">
        <f t="array" ref="AD709">IFS(B709&lt;66, XLOOKUP(year(A709),Lookup!$K$13:$K1000,Lookup!$M$13:$M1000,"missing",,1),B709&gt;65, XLOOKUP(questions!$C$5,Lookup!$K$13:$K1000,Lookup!$M$13:$M1000,"missing",,1))</f>
        <v>787350.7266</v>
      </c>
      <c r="AE709" s="66">
        <f t="array" ref="AE709">IFS(B709&lt;66, XLOOKUP(year(A709),Lookup!$K$13:$K1000,Lookup!$N$13:$N1000,"missing",,1),B709&gt;65,XLOOKUP(questions!$C$5,Lookup!$K$13:$K1000,Lookup!$N$13:$N1000,"missing",,1))</f>
        <v>1574701.453</v>
      </c>
      <c r="AF709" s="37"/>
      <c r="AG709" s="37"/>
      <c r="AH709" s="37"/>
      <c r="AI709" s="37"/>
      <c r="AJ709" s="37"/>
      <c r="AK709" s="37"/>
      <c r="AL709" s="37"/>
      <c r="AM709" s="37"/>
      <c r="AN709" s="37"/>
      <c r="AO709" s="37"/>
      <c r="AP709" s="37"/>
      <c r="AQ709" s="37"/>
    </row>
    <row r="710">
      <c r="A710" s="55">
        <f t="shared" si="7"/>
        <v>67631</v>
      </c>
      <c r="B710" s="56">
        <f>round(YEARFRAC(EOMONTH(questions!$C$3, 0),A710,1),2)</f>
        <v>86.25</v>
      </c>
      <c r="C710" s="58">
        <f>IF(B710&lt;questions!$C$6,if(MONTH(A710)=1,C709*(1+questions!$C$12),C709),0)</f>
        <v>0</v>
      </c>
      <c r="D710" s="58">
        <f>IF(MONTH(A710)=12,C710*questions!$C$11,0)</f>
        <v>0</v>
      </c>
      <c r="E710" s="71">
        <f t="shared" si="2"/>
        <v>0</v>
      </c>
      <c r="F710" s="71">
        <f t="shared" si="3"/>
        <v>0</v>
      </c>
      <c r="G710" s="61">
        <f t="array" ref="G710">if(YEAR(A710)=2025,XLOOKUP(B710,Lookup!$A$3:$A$7,Lookup!$D$3:$D$7,,1)*SUM(E710:F710), XLOOKUP(B710,Lookup!$A$14:$A$18,Lookup!$D$14:$D$18,,1)*SUM(E710:F710))</f>
        <v>0</v>
      </c>
      <c r="H710" s="61">
        <f t="array" ref="H710">if(YEAR(A710)=2025,XLOOKUP(B710,Lookup!$F$3:$F$10,Lookup!$G$3:$G$10,,1)*G710, XLOOKUP(B710,Lookup!$F$14:$F$21,Lookup!$G$14:$G$21,,1)*G710)</f>
        <v>0</v>
      </c>
      <c r="I710" s="61">
        <f t="array" ref="I710">if(B710&lt;55, if(YEAR(A710)=2025,XLOOKUP(B710,Lookup!$F$3:$F$10,Lookup!$H$3:$H$10,,1)*G710, XLOOKUP(B710,Lookup!$F$14:$F$21,Lookup!$H$14:$H$21,,1)*G710),0)</f>
        <v>0</v>
      </c>
      <c r="J710" s="61">
        <f t="array" ref="J710">if(YEAR(A710)=2025,XLOOKUP(B710,Lookup!$F$3:$F$10,Lookup!$I$3:$I$10,,1)*G710, XLOOKUP(B710,Lookup!$F$14:$F$21,Lookup!$I$14:$I$21,,1)*G710)</f>
        <v>0</v>
      </c>
      <c r="K710" s="61">
        <f t="array" ref="K710">if(B710&gt;54, if(YEAR(A710)=2025,XLOOKUP(B710,Lookup!$F$3:$F$10,Lookup!$H$3:$H$10,,1)*G710, XLOOKUP(B710,Lookup!$F$14:$F$21,Lookup!$H$14:$H$21,,1)*G710),0)</f>
        <v>0</v>
      </c>
      <c r="L710" s="62">
        <f>IF(and(A710&lt;questions!$C$19,questions!$C$18="yes"),questions!$C$20,0)</f>
        <v>0</v>
      </c>
      <c r="M710" s="63">
        <f>(Y709+H710)*Lookup!A$26/12</f>
        <v>3450.952166</v>
      </c>
      <c r="N710" s="63">
        <f>if(B710&lt;55, (Z709+I710)*Lookup!B$26/12, (AB709+K710)*Lookup!B$26/12)</f>
        <v>7198.209857</v>
      </c>
      <c r="O710" s="63">
        <f>(AA709+J710)*Lookup!C$26/12</f>
        <v>940.3700287</v>
      </c>
      <c r="P710" s="63">
        <f t="shared" si="8"/>
        <v>6901.904333</v>
      </c>
      <c r="Q710" s="63">
        <f t="shared" si="4"/>
        <v>14396.41971</v>
      </c>
      <c r="R710" s="63">
        <f t="shared" si="5"/>
        <v>1880.740057</v>
      </c>
      <c r="S710" s="64">
        <f t="shared" si="9"/>
        <v>33.33333333</v>
      </c>
      <c r="T710" s="64">
        <f t="shared" si="10"/>
        <v>41.66666667</v>
      </c>
      <c r="U710" s="64">
        <f t="shared" si="11"/>
        <v>0</v>
      </c>
      <c r="V710" s="64">
        <f t="shared" ref="V710:X710" si="718">IF(year($A710)=year($A709), V709+S710, S710)</f>
        <v>66.66666667</v>
      </c>
      <c r="W710" s="64">
        <f t="shared" si="718"/>
        <v>83.33333333</v>
      </c>
      <c r="X710" s="64">
        <f t="shared" si="718"/>
        <v>0</v>
      </c>
      <c r="Y710" s="65">
        <f>IFS(
  B710&lt;55,
    MAX(
      Y709 + IF(MONTH(A710)=12, P710+V710, 0) + H710 - L710
      + MAX(0,
          IF(AA709 &gt;= VLOOKUP(YEAR(A710), Lookup!$Q:$R, 2),
            Z709 + IF(MONTH(A710)=12, Q710+W710, 0) + I710
              + AA709 + IF(MONTH(A710)=12, R710+X710, 0)
              - VLOOKUP(YEAR(A710), Lookup!$Q:$R, 2) + J710,
            Z709 + IF(MONTH(A710)=12, Q710+W710, 0) + I710
          ) - VLOOKUP(YEAR(A710), Lookup!$K:$M, 3)
        ),
    0),
  B710=55,
    IF(Z709&gt;=AD710,
      MAX(Y709 + IF(MONTH(A710)=12, P710+V710, 0) + H710 - L710, 0),
      MAX(MAX(0, Y709-(AD710-Z709)) + IF(MONTH(A710)=12, P710+V710, 0) + H710 - L710, 0)
    ),
  B710&gt;55,
    IF(AB709&gt;=$AH$7,
      MAX(Y709 + IF(MONTH(A710)=12, P710+V710, 0) + H710 - L710 + K710 + Z709, 0),
      MAX(Y709 + IF(MONTH(A710)=12, P710+V710, 0) + H710 - L710, 0)
    )
)</f>
        <v>1656457.04</v>
      </c>
      <c r="Z710" s="65">
        <f>IFS(
  B710&lt;55,
    MIN(
      IF(AA709 &gt;= VLOOKUP(YEAR(A710), Lookup!$Q:$R, 2),
        Z709 + IF(MONTH(A710)=12, Q710+W710, 0) + I710
          + AA709 + IF(MONTH(A710)=12, R710+X710, 0) - VLOOKUP(YEAR(A710), Lookup!$Q:$R, 2) + J710,
        Z709 + IF(MONTH(A710)=12, Q710+W710, 0) + I710
      ),
      VLOOKUP(YEAR(A710), Lookup!$K:$M, 3)
    ),
  B710=55,
    IF(Z709 &gt;= AD710, Z709 - AD710, 0),
  B710&gt;55, 0
)</f>
        <v>0</v>
      </c>
      <c r="AA710" s="65">
        <f>IFS(
  B710&lt;65,
    IF(AA709+J710 &lt; VLOOKUP(YEAR(A710), Lookup!$Q:$R, 2),
      AA709 + IF(MONTH(A710)=12, R709+X709, 0) + J710,
      MIN(
        AA709 + IF(MONTH(A710)=12, R709+X709, 0) + J710 ,
        VLOOKUP(YEAR(A710), Lookup!$Q:$R, 2)
      )
    ),
  B710&gt;=65,
    IF(AA709+J710 &lt; VLOOKUP(questions!$C$5, Lookup!$Q:$R, 2),
      AA709 + IF(MONTH(A710)=12, R709+X709, 0) + J710 ,
      MIN(
        AA709 + IF(MONTH(A710)=12, R709+X709, 0) + J710,
        VLOOKUP(questions!$C$5, Lookup!$Q:$R, 2)
      )
    )
)</f>
        <v>282111.0086</v>
      </c>
      <c r="AB710" s="65">
        <f t="shared" si="13"/>
        <v>2159462.957</v>
      </c>
      <c r="AC710" s="66">
        <f t="array" ref="AC710">IFS(B710&lt;66, XLOOKUP(year(A710),Lookup!$K$13:$K1000,Lookup!$L$13:$L1000,"missing",,1),B710&gt;65,XLOOKUP(questions!$C$5,Lookup!$K$13:$K1000,Lookup!$L$13:$L1000,"missing",,1))</f>
        <v>393675.3633</v>
      </c>
      <c r="AD710" s="66">
        <f t="array" ref="AD710">IFS(B710&lt;66, XLOOKUP(year(A710),Lookup!$K$13:$K1000,Lookup!$M$13:$M1000,"missing",,1),B710&gt;65, XLOOKUP(questions!$C$5,Lookup!$K$13:$K1000,Lookup!$M$13:$M1000,"missing",,1))</f>
        <v>787350.7266</v>
      </c>
      <c r="AE710" s="66">
        <f t="array" ref="AE710">IFS(B710&lt;66, XLOOKUP(year(A710),Lookup!$K$13:$K1000,Lookup!$N$13:$N1000,"missing",,1),B710&gt;65,XLOOKUP(questions!$C$5,Lookup!$K$13:$K1000,Lookup!$N$13:$N1000,"missing",,1))</f>
        <v>1574701.453</v>
      </c>
      <c r="AF710" s="37"/>
      <c r="AG710" s="37"/>
      <c r="AH710" s="37"/>
      <c r="AI710" s="37"/>
      <c r="AJ710" s="37"/>
      <c r="AK710" s="37"/>
      <c r="AL710" s="37"/>
      <c r="AM710" s="37"/>
      <c r="AN710" s="37"/>
      <c r="AO710" s="37"/>
      <c r="AP710" s="37"/>
      <c r="AQ710" s="37"/>
    </row>
    <row r="711">
      <c r="A711" s="55">
        <f t="shared" si="7"/>
        <v>67662</v>
      </c>
      <c r="B711" s="56">
        <f>round(YEARFRAC(EOMONTH(questions!$C$3, 0),A711,1),2)</f>
        <v>86.33</v>
      </c>
      <c r="C711" s="58">
        <f>IF(B711&lt;questions!$C$6,if(MONTH(A711)=1,C710*(1+questions!$C$12),C710),0)</f>
        <v>0</v>
      </c>
      <c r="D711" s="58">
        <f>IF(MONTH(A711)=12,C711*questions!$C$11,0)</f>
        <v>0</v>
      </c>
      <c r="E711" s="71">
        <f t="shared" si="2"/>
        <v>0</v>
      </c>
      <c r="F711" s="71">
        <f t="shared" si="3"/>
        <v>0</v>
      </c>
      <c r="G711" s="61">
        <f t="array" ref="G711">if(YEAR(A711)=2025,XLOOKUP(B711,Lookup!$A$3:$A$7,Lookup!$D$3:$D$7,,1)*SUM(E711:F711), XLOOKUP(B711,Lookup!$A$14:$A$18,Lookup!$D$14:$D$18,,1)*SUM(E711:F711))</f>
        <v>0</v>
      </c>
      <c r="H711" s="61">
        <f t="array" ref="H711">if(YEAR(A711)=2025,XLOOKUP(B711,Lookup!$F$3:$F$10,Lookup!$G$3:$G$10,,1)*G711, XLOOKUP(B711,Lookup!$F$14:$F$21,Lookup!$G$14:$G$21,,1)*G711)</f>
        <v>0</v>
      </c>
      <c r="I711" s="61">
        <f t="array" ref="I711">if(B711&lt;55, if(YEAR(A711)=2025,XLOOKUP(B711,Lookup!$F$3:$F$10,Lookup!$H$3:$H$10,,1)*G711, XLOOKUP(B711,Lookup!$F$14:$F$21,Lookup!$H$14:$H$21,,1)*G711),0)</f>
        <v>0</v>
      </c>
      <c r="J711" s="61">
        <f t="array" ref="J711">if(YEAR(A711)=2025,XLOOKUP(B711,Lookup!$F$3:$F$10,Lookup!$I$3:$I$10,,1)*G711, XLOOKUP(B711,Lookup!$F$14:$F$21,Lookup!$I$14:$I$21,,1)*G711)</f>
        <v>0</v>
      </c>
      <c r="K711" s="61">
        <f t="array" ref="K711">if(B711&gt;54, if(YEAR(A711)=2025,XLOOKUP(B711,Lookup!$F$3:$F$10,Lookup!$H$3:$H$10,,1)*G711, XLOOKUP(B711,Lookup!$F$14:$F$21,Lookup!$H$14:$H$21,,1)*G711),0)</f>
        <v>0</v>
      </c>
      <c r="L711" s="62">
        <f>IF(and(A711&lt;questions!$C$19,questions!$C$18="yes"),questions!$C$20,0)</f>
        <v>0</v>
      </c>
      <c r="M711" s="63">
        <f>(Y710+H711)*Lookup!A$26/12</f>
        <v>3450.952166</v>
      </c>
      <c r="N711" s="63">
        <f>if(B711&lt;55, (Z710+I711)*Lookup!B$26/12, (AB710+K711)*Lookup!B$26/12)</f>
        <v>7198.209857</v>
      </c>
      <c r="O711" s="63">
        <f>(AA710+J711)*Lookup!C$26/12</f>
        <v>940.3700287</v>
      </c>
      <c r="P711" s="63">
        <f t="shared" si="8"/>
        <v>10352.8565</v>
      </c>
      <c r="Q711" s="63">
        <f t="shared" si="4"/>
        <v>21594.62957</v>
      </c>
      <c r="R711" s="63">
        <f t="shared" si="5"/>
        <v>2821.110086</v>
      </c>
      <c r="S711" s="64">
        <f t="shared" si="9"/>
        <v>33.33333333</v>
      </c>
      <c r="T711" s="64">
        <f t="shared" si="10"/>
        <v>41.66666667</v>
      </c>
      <c r="U711" s="64">
        <f t="shared" si="11"/>
        <v>0</v>
      </c>
      <c r="V711" s="64">
        <f t="shared" ref="V711:X711" si="719">IF(year($A711)=year($A710), V710+S711, S711)</f>
        <v>100</v>
      </c>
      <c r="W711" s="64">
        <f t="shared" si="719"/>
        <v>125</v>
      </c>
      <c r="X711" s="64">
        <f t="shared" si="719"/>
        <v>0</v>
      </c>
      <c r="Y711" s="65">
        <f>IFS(
  B711&lt;55,
    MAX(
      Y710 + IF(MONTH(A711)=12, P711+V711, 0) + H711 - L711
      + MAX(0,
          IF(AA710 &gt;= VLOOKUP(YEAR(A711), Lookup!$Q:$R, 2),
            Z710 + IF(MONTH(A711)=12, Q711+W711, 0) + I711
              + AA710 + IF(MONTH(A711)=12, R711+X711, 0)
              - VLOOKUP(YEAR(A711), Lookup!$Q:$R, 2) + J711,
            Z710 + IF(MONTH(A711)=12, Q711+W711, 0) + I711
          ) - VLOOKUP(YEAR(A711), Lookup!$K:$M, 3)
        ),
    0),
  B711=55,
    IF(Z710&gt;=AD711,
      MAX(Y710 + IF(MONTH(A711)=12, P711+V711, 0) + H711 - L711, 0),
      MAX(MAX(0, Y710-(AD711-Z710)) + IF(MONTH(A711)=12, P711+V711, 0) + H711 - L711, 0)
    ),
  B711&gt;55,
    IF(AB710&gt;=$AH$7,
      MAX(Y710 + IF(MONTH(A711)=12, P711+V711, 0) + H711 - L711 + K711 + Z710, 0),
      MAX(Y710 + IF(MONTH(A711)=12, P711+V711, 0) + H711 - L711, 0)
    )
)</f>
        <v>1656457.04</v>
      </c>
      <c r="Z711" s="65">
        <f>IFS(
  B711&lt;55,
    MIN(
      IF(AA710 &gt;= VLOOKUP(YEAR(A711), Lookup!$Q:$R, 2),
        Z710 + IF(MONTH(A711)=12, Q711+W711, 0) + I711
          + AA710 + IF(MONTH(A711)=12, R711+X711, 0) - VLOOKUP(YEAR(A711), Lookup!$Q:$R, 2) + J711,
        Z710 + IF(MONTH(A711)=12, Q711+W711, 0) + I711
      ),
      VLOOKUP(YEAR(A711), Lookup!$K:$M, 3)
    ),
  B711=55,
    IF(Z710 &gt;= AD711, Z710 - AD711, 0),
  B711&gt;55, 0
)</f>
        <v>0</v>
      </c>
      <c r="AA711" s="65">
        <f>IFS(
  B711&lt;65,
    IF(AA710+J711 &lt; VLOOKUP(YEAR(A711), Lookup!$Q:$R, 2),
      AA710 + IF(MONTH(A711)=12, R710+X710, 0) + J711,
      MIN(
        AA710 + IF(MONTH(A711)=12, R710+X710, 0) + J711 ,
        VLOOKUP(YEAR(A711), Lookup!$Q:$R, 2)
      )
    ),
  B711&gt;=65,
    IF(AA710+J711 &lt; VLOOKUP(questions!$C$5, Lookup!$Q:$R, 2),
      AA710 + IF(MONTH(A711)=12, R710+X710, 0) + J711 ,
      MIN(
        AA710 + IF(MONTH(A711)=12, R710+X710, 0) + J711,
        VLOOKUP(questions!$C$5, Lookup!$Q:$R, 2)
      )
    )
)</f>
        <v>282111.0086</v>
      </c>
      <c r="AB711" s="65">
        <f t="shared" si="13"/>
        <v>2159462.957</v>
      </c>
      <c r="AC711" s="66">
        <f t="array" ref="AC711">IFS(B711&lt;66, XLOOKUP(year(A711),Lookup!$K$13:$K1000,Lookup!$L$13:$L1000,"missing",,1),B711&gt;65,XLOOKUP(questions!$C$5,Lookup!$K$13:$K1000,Lookup!$L$13:$L1000,"missing",,1))</f>
        <v>393675.3633</v>
      </c>
      <c r="AD711" s="66">
        <f t="array" ref="AD711">IFS(B711&lt;66, XLOOKUP(year(A711),Lookup!$K$13:$K1000,Lookup!$M$13:$M1000,"missing",,1),B711&gt;65, XLOOKUP(questions!$C$5,Lookup!$K$13:$K1000,Lookup!$M$13:$M1000,"missing",,1))</f>
        <v>787350.7266</v>
      </c>
      <c r="AE711" s="66">
        <f t="array" ref="AE711">IFS(B711&lt;66, XLOOKUP(year(A711),Lookup!$K$13:$K1000,Lookup!$N$13:$N1000,"missing",,1),B711&gt;65,XLOOKUP(questions!$C$5,Lookup!$K$13:$K1000,Lookup!$N$13:$N1000,"missing",,1))</f>
        <v>1574701.453</v>
      </c>
      <c r="AF711" s="37"/>
      <c r="AG711" s="37"/>
      <c r="AH711" s="37"/>
      <c r="AI711" s="37"/>
      <c r="AJ711" s="37"/>
      <c r="AK711" s="37"/>
      <c r="AL711" s="37"/>
      <c r="AM711" s="37"/>
      <c r="AN711" s="37"/>
      <c r="AO711" s="37"/>
      <c r="AP711" s="37"/>
      <c r="AQ711" s="37"/>
    </row>
    <row r="712">
      <c r="A712" s="55">
        <f t="shared" si="7"/>
        <v>67692</v>
      </c>
      <c r="B712" s="56">
        <f>round(YEARFRAC(EOMONTH(questions!$C$3, 0),A712,1),2)</f>
        <v>86.41</v>
      </c>
      <c r="C712" s="58">
        <f>IF(B712&lt;questions!$C$6,if(MONTH(A712)=1,C711*(1+questions!$C$12),C711),0)</f>
        <v>0</v>
      </c>
      <c r="D712" s="58">
        <f>IF(MONTH(A712)=12,C712*questions!$C$11,0)</f>
        <v>0</v>
      </c>
      <c r="E712" s="71">
        <f t="shared" si="2"/>
        <v>0</v>
      </c>
      <c r="F712" s="71">
        <f t="shared" si="3"/>
        <v>0</v>
      </c>
      <c r="G712" s="61">
        <f t="array" ref="G712">if(YEAR(A712)=2025,XLOOKUP(B712,Lookup!$A$3:$A$7,Lookup!$D$3:$D$7,,1)*SUM(E712:F712), XLOOKUP(B712,Lookup!$A$14:$A$18,Lookup!$D$14:$D$18,,1)*SUM(E712:F712))</f>
        <v>0</v>
      </c>
      <c r="H712" s="61">
        <f t="array" ref="H712">if(YEAR(A712)=2025,XLOOKUP(B712,Lookup!$F$3:$F$10,Lookup!$G$3:$G$10,,1)*G712, XLOOKUP(B712,Lookup!$F$14:$F$21,Lookup!$G$14:$G$21,,1)*G712)</f>
        <v>0</v>
      </c>
      <c r="I712" s="61">
        <f t="array" ref="I712">if(B712&lt;55, if(YEAR(A712)=2025,XLOOKUP(B712,Lookup!$F$3:$F$10,Lookup!$H$3:$H$10,,1)*G712, XLOOKUP(B712,Lookup!$F$14:$F$21,Lookup!$H$14:$H$21,,1)*G712),0)</f>
        <v>0</v>
      </c>
      <c r="J712" s="61">
        <f t="array" ref="J712">if(YEAR(A712)=2025,XLOOKUP(B712,Lookup!$F$3:$F$10,Lookup!$I$3:$I$10,,1)*G712, XLOOKUP(B712,Lookup!$F$14:$F$21,Lookup!$I$14:$I$21,,1)*G712)</f>
        <v>0</v>
      </c>
      <c r="K712" s="61">
        <f t="array" ref="K712">if(B712&gt;54, if(YEAR(A712)=2025,XLOOKUP(B712,Lookup!$F$3:$F$10,Lookup!$H$3:$H$10,,1)*G712, XLOOKUP(B712,Lookup!$F$14:$F$21,Lookup!$H$14:$H$21,,1)*G712),0)</f>
        <v>0</v>
      </c>
      <c r="L712" s="62">
        <f>IF(and(A712&lt;questions!$C$19,questions!$C$18="yes"),questions!$C$20,0)</f>
        <v>0</v>
      </c>
      <c r="M712" s="63">
        <f>(Y711+H712)*Lookup!A$26/12</f>
        <v>3450.952166</v>
      </c>
      <c r="N712" s="63">
        <f>if(B712&lt;55, (Z711+I712)*Lookup!B$26/12, (AB711+K712)*Lookup!B$26/12)</f>
        <v>7198.209857</v>
      </c>
      <c r="O712" s="63">
        <f>(AA711+J712)*Lookup!C$26/12</f>
        <v>940.3700287</v>
      </c>
      <c r="P712" s="63">
        <f t="shared" si="8"/>
        <v>13803.80867</v>
      </c>
      <c r="Q712" s="63">
        <f t="shared" si="4"/>
        <v>28792.83943</v>
      </c>
      <c r="R712" s="63">
        <f t="shared" si="5"/>
        <v>3761.480115</v>
      </c>
      <c r="S712" s="64">
        <f t="shared" si="9"/>
        <v>33.33333333</v>
      </c>
      <c r="T712" s="64">
        <f t="shared" si="10"/>
        <v>41.66666667</v>
      </c>
      <c r="U712" s="64">
        <f t="shared" si="11"/>
        <v>0</v>
      </c>
      <c r="V712" s="64">
        <f t="shared" ref="V712:X712" si="720">IF(year($A712)=year($A711), V711+S712, S712)</f>
        <v>133.3333333</v>
      </c>
      <c r="W712" s="64">
        <f t="shared" si="720"/>
        <v>166.6666667</v>
      </c>
      <c r="X712" s="64">
        <f t="shared" si="720"/>
        <v>0</v>
      </c>
      <c r="Y712" s="65">
        <f>IFS(
  B712&lt;55,
    MAX(
      Y711 + IF(MONTH(A712)=12, P712+V712, 0) + H712 - L712
      + MAX(0,
          IF(AA711 &gt;= VLOOKUP(YEAR(A712), Lookup!$Q:$R, 2),
            Z711 + IF(MONTH(A712)=12, Q712+W712, 0) + I712
              + AA711 + IF(MONTH(A712)=12, R712+X712, 0)
              - VLOOKUP(YEAR(A712), Lookup!$Q:$R, 2) + J712,
            Z711 + IF(MONTH(A712)=12, Q712+W712, 0) + I712
          ) - VLOOKUP(YEAR(A712), Lookup!$K:$M, 3)
        ),
    0),
  B712=55,
    IF(Z711&gt;=AD712,
      MAX(Y711 + IF(MONTH(A712)=12, P712+V712, 0) + H712 - L712, 0),
      MAX(MAX(0, Y711-(AD712-Z711)) + IF(MONTH(A712)=12, P712+V712, 0) + H712 - L712, 0)
    ),
  B712&gt;55,
    IF(AB711&gt;=$AH$7,
      MAX(Y711 + IF(MONTH(A712)=12, P712+V712, 0) + H712 - L712 + K712 + Z711, 0),
      MAX(Y711 + IF(MONTH(A712)=12, P712+V712, 0) + H712 - L712, 0)
    )
)</f>
        <v>1656457.04</v>
      </c>
      <c r="Z712" s="65">
        <f>IFS(
  B712&lt;55,
    MIN(
      IF(AA711 &gt;= VLOOKUP(YEAR(A712), Lookup!$Q:$R, 2),
        Z711 + IF(MONTH(A712)=12, Q712+W712, 0) + I712
          + AA711 + IF(MONTH(A712)=12, R712+X712, 0) - VLOOKUP(YEAR(A712), Lookup!$Q:$R, 2) + J712,
        Z711 + IF(MONTH(A712)=12, Q712+W712, 0) + I712
      ),
      VLOOKUP(YEAR(A712), Lookup!$K:$M, 3)
    ),
  B712=55,
    IF(Z711 &gt;= AD712, Z711 - AD712, 0),
  B712&gt;55, 0
)</f>
        <v>0</v>
      </c>
      <c r="AA712" s="65">
        <f>IFS(
  B712&lt;65,
    IF(AA711+J712 &lt; VLOOKUP(YEAR(A712), Lookup!$Q:$R, 2),
      AA711 + IF(MONTH(A712)=12, R711+X711, 0) + J712,
      MIN(
        AA711 + IF(MONTH(A712)=12, R711+X711, 0) + J712 ,
        VLOOKUP(YEAR(A712), Lookup!$Q:$R, 2)
      )
    ),
  B712&gt;=65,
    IF(AA711+J712 &lt; VLOOKUP(questions!$C$5, Lookup!$Q:$R, 2),
      AA711 + IF(MONTH(A712)=12, R711+X711, 0) + J712 ,
      MIN(
        AA711 + IF(MONTH(A712)=12, R711+X711, 0) + J712,
        VLOOKUP(questions!$C$5, Lookup!$Q:$R, 2)
      )
    )
)</f>
        <v>282111.0086</v>
      </c>
      <c r="AB712" s="65">
        <f t="shared" si="13"/>
        <v>2159462.957</v>
      </c>
      <c r="AC712" s="66">
        <f t="array" ref="AC712">IFS(B712&lt;66, XLOOKUP(year(A712),Lookup!$K$13:$K1000,Lookup!$L$13:$L1000,"missing",,1),B712&gt;65,XLOOKUP(questions!$C$5,Lookup!$K$13:$K1000,Lookup!$L$13:$L1000,"missing",,1))</f>
        <v>393675.3633</v>
      </c>
      <c r="AD712" s="66">
        <f t="array" ref="AD712">IFS(B712&lt;66, XLOOKUP(year(A712),Lookup!$K$13:$K1000,Lookup!$M$13:$M1000,"missing",,1),B712&gt;65, XLOOKUP(questions!$C$5,Lookup!$K$13:$K1000,Lookup!$M$13:$M1000,"missing",,1))</f>
        <v>787350.7266</v>
      </c>
      <c r="AE712" s="66">
        <f t="array" ref="AE712">IFS(B712&lt;66, XLOOKUP(year(A712),Lookup!$K$13:$K1000,Lookup!$N$13:$N1000,"missing",,1),B712&gt;65,XLOOKUP(questions!$C$5,Lookup!$K$13:$K1000,Lookup!$N$13:$N1000,"missing",,1))</f>
        <v>1574701.453</v>
      </c>
      <c r="AF712" s="37"/>
      <c r="AG712" s="37"/>
      <c r="AH712" s="37"/>
      <c r="AI712" s="37"/>
      <c r="AJ712" s="37"/>
      <c r="AK712" s="37"/>
      <c r="AL712" s="37"/>
      <c r="AM712" s="37"/>
      <c r="AN712" s="37"/>
      <c r="AO712" s="37"/>
      <c r="AP712" s="37"/>
      <c r="AQ712" s="37"/>
    </row>
    <row r="713">
      <c r="A713" s="55">
        <f t="shared" si="7"/>
        <v>67723</v>
      </c>
      <c r="B713" s="56">
        <f>round(YEARFRAC(EOMONTH(questions!$C$3, 0),A713,1),2)</f>
        <v>86.5</v>
      </c>
      <c r="C713" s="58">
        <f>IF(B713&lt;questions!$C$6,if(MONTH(A713)=1,C712*(1+questions!$C$12),C712),0)</f>
        <v>0</v>
      </c>
      <c r="D713" s="58">
        <f>IF(MONTH(A713)=12,C713*questions!$C$11,0)</f>
        <v>0</v>
      </c>
      <c r="E713" s="71">
        <f t="shared" si="2"/>
        <v>0</v>
      </c>
      <c r="F713" s="71">
        <f t="shared" si="3"/>
        <v>0</v>
      </c>
      <c r="G713" s="61">
        <f t="array" ref="G713">if(YEAR(A713)=2025,XLOOKUP(B713,Lookup!$A$3:$A$7,Lookup!$D$3:$D$7,,1)*SUM(E713:F713), XLOOKUP(B713,Lookup!$A$14:$A$18,Lookup!$D$14:$D$18,,1)*SUM(E713:F713))</f>
        <v>0</v>
      </c>
      <c r="H713" s="61">
        <f t="array" ref="H713">if(YEAR(A713)=2025,XLOOKUP(B713,Lookup!$F$3:$F$10,Lookup!$G$3:$G$10,,1)*G713, XLOOKUP(B713,Lookup!$F$14:$F$21,Lookup!$G$14:$G$21,,1)*G713)</f>
        <v>0</v>
      </c>
      <c r="I713" s="61">
        <f t="array" ref="I713">if(B713&lt;55, if(YEAR(A713)=2025,XLOOKUP(B713,Lookup!$F$3:$F$10,Lookup!$H$3:$H$10,,1)*G713, XLOOKUP(B713,Lookup!$F$14:$F$21,Lookup!$H$14:$H$21,,1)*G713),0)</f>
        <v>0</v>
      </c>
      <c r="J713" s="61">
        <f t="array" ref="J713">if(YEAR(A713)=2025,XLOOKUP(B713,Lookup!$F$3:$F$10,Lookup!$I$3:$I$10,,1)*G713, XLOOKUP(B713,Lookup!$F$14:$F$21,Lookup!$I$14:$I$21,,1)*G713)</f>
        <v>0</v>
      </c>
      <c r="K713" s="61">
        <f t="array" ref="K713">if(B713&gt;54, if(YEAR(A713)=2025,XLOOKUP(B713,Lookup!$F$3:$F$10,Lookup!$H$3:$H$10,,1)*G713, XLOOKUP(B713,Lookup!$F$14:$F$21,Lookup!$H$14:$H$21,,1)*G713),0)</f>
        <v>0</v>
      </c>
      <c r="L713" s="62">
        <f>IF(and(A713&lt;questions!$C$19,questions!$C$18="yes"),questions!$C$20,0)</f>
        <v>0</v>
      </c>
      <c r="M713" s="63">
        <f>(Y712+H713)*Lookup!A$26/12</f>
        <v>3450.952166</v>
      </c>
      <c r="N713" s="63">
        <f>if(B713&lt;55, (Z712+I713)*Lookup!B$26/12, (AB712+K713)*Lookup!B$26/12)</f>
        <v>7198.209857</v>
      </c>
      <c r="O713" s="63">
        <f>(AA712+J713)*Lookup!C$26/12</f>
        <v>940.3700287</v>
      </c>
      <c r="P713" s="63">
        <f t="shared" si="8"/>
        <v>17254.76083</v>
      </c>
      <c r="Q713" s="63">
        <f t="shared" si="4"/>
        <v>35991.04929</v>
      </c>
      <c r="R713" s="63">
        <f t="shared" si="5"/>
        <v>4701.850143</v>
      </c>
      <c r="S713" s="64">
        <f t="shared" si="9"/>
        <v>33.33333333</v>
      </c>
      <c r="T713" s="64">
        <f t="shared" si="10"/>
        <v>41.66666667</v>
      </c>
      <c r="U713" s="64">
        <f t="shared" si="11"/>
        <v>0</v>
      </c>
      <c r="V713" s="64">
        <f t="shared" ref="V713:X713" si="721">IF(year($A713)=year($A712), V712+S713, S713)</f>
        <v>166.6666667</v>
      </c>
      <c r="W713" s="64">
        <f t="shared" si="721"/>
        <v>208.3333333</v>
      </c>
      <c r="X713" s="64">
        <f t="shared" si="721"/>
        <v>0</v>
      </c>
      <c r="Y713" s="65">
        <f>IFS(
  B713&lt;55,
    MAX(
      Y712 + IF(MONTH(A713)=12, P713+V713, 0) + H713 - L713
      + MAX(0,
          IF(AA712 &gt;= VLOOKUP(YEAR(A713), Lookup!$Q:$R, 2),
            Z712 + IF(MONTH(A713)=12, Q713+W713, 0) + I713
              + AA712 + IF(MONTH(A713)=12, R713+X713, 0)
              - VLOOKUP(YEAR(A713), Lookup!$Q:$R, 2) + J713,
            Z712 + IF(MONTH(A713)=12, Q713+W713, 0) + I713
          ) - VLOOKUP(YEAR(A713), Lookup!$K:$M, 3)
        ),
    0),
  B713=55,
    IF(Z712&gt;=AD713,
      MAX(Y712 + IF(MONTH(A713)=12, P713+V713, 0) + H713 - L713, 0),
      MAX(MAX(0, Y712-(AD713-Z712)) + IF(MONTH(A713)=12, P713+V713, 0) + H713 - L713, 0)
    ),
  B713&gt;55,
    IF(AB712&gt;=$AH$7,
      MAX(Y712 + IF(MONTH(A713)=12, P713+V713, 0) + H713 - L713 + K713 + Z712, 0),
      MAX(Y712 + IF(MONTH(A713)=12, P713+V713, 0) + H713 - L713, 0)
    )
)</f>
        <v>1656457.04</v>
      </c>
      <c r="Z713" s="65">
        <f>IFS(
  B713&lt;55,
    MIN(
      IF(AA712 &gt;= VLOOKUP(YEAR(A713), Lookup!$Q:$R, 2),
        Z712 + IF(MONTH(A713)=12, Q713+W713, 0) + I713
          + AA712 + IF(MONTH(A713)=12, R713+X713, 0) - VLOOKUP(YEAR(A713), Lookup!$Q:$R, 2) + J713,
        Z712 + IF(MONTH(A713)=12, Q713+W713, 0) + I713
      ),
      VLOOKUP(YEAR(A713), Lookup!$K:$M, 3)
    ),
  B713=55,
    IF(Z712 &gt;= AD713, Z712 - AD713, 0),
  B713&gt;55, 0
)</f>
        <v>0</v>
      </c>
      <c r="AA713" s="65">
        <f>IFS(
  B713&lt;65,
    IF(AA712+J713 &lt; VLOOKUP(YEAR(A713), Lookup!$Q:$R, 2),
      AA712 + IF(MONTH(A713)=12, R712+X712, 0) + J713,
      MIN(
        AA712 + IF(MONTH(A713)=12, R712+X712, 0) + J713 ,
        VLOOKUP(YEAR(A713), Lookup!$Q:$R, 2)
      )
    ),
  B713&gt;=65,
    IF(AA712+J713 &lt; VLOOKUP(questions!$C$5, Lookup!$Q:$R, 2),
      AA712 + IF(MONTH(A713)=12, R712+X712, 0) + J713 ,
      MIN(
        AA712 + IF(MONTH(A713)=12, R712+X712, 0) + J713,
        VLOOKUP(questions!$C$5, Lookup!$Q:$R, 2)
      )
    )
)</f>
        <v>282111.0086</v>
      </c>
      <c r="AB713" s="65">
        <f t="shared" si="13"/>
        <v>2159462.957</v>
      </c>
      <c r="AC713" s="66">
        <f t="array" ref="AC713">IFS(B713&lt;66, XLOOKUP(year(A713),Lookup!$K$13:$K1000,Lookup!$L$13:$L1000,"missing",,1),B713&gt;65,XLOOKUP(questions!$C$5,Lookup!$K$13:$K1000,Lookup!$L$13:$L1000,"missing",,1))</f>
        <v>393675.3633</v>
      </c>
      <c r="AD713" s="66">
        <f t="array" ref="AD713">IFS(B713&lt;66, XLOOKUP(year(A713),Lookup!$K$13:$K1000,Lookup!$M$13:$M1000,"missing",,1),B713&gt;65, XLOOKUP(questions!$C$5,Lookup!$K$13:$K1000,Lookup!$M$13:$M1000,"missing",,1))</f>
        <v>787350.7266</v>
      </c>
      <c r="AE713" s="66">
        <f t="array" ref="AE713">IFS(B713&lt;66, XLOOKUP(year(A713),Lookup!$K$13:$K1000,Lookup!$N$13:$N1000,"missing",,1),B713&gt;65,XLOOKUP(questions!$C$5,Lookup!$K$13:$K1000,Lookup!$N$13:$N1000,"missing",,1))</f>
        <v>1574701.453</v>
      </c>
      <c r="AF713" s="37"/>
      <c r="AG713" s="37"/>
      <c r="AH713" s="37"/>
      <c r="AI713" s="37"/>
      <c r="AJ713" s="37"/>
      <c r="AK713" s="37"/>
      <c r="AL713" s="37"/>
      <c r="AM713" s="37"/>
      <c r="AN713" s="37"/>
      <c r="AO713" s="37"/>
      <c r="AP713" s="37"/>
      <c r="AQ713" s="37"/>
    </row>
    <row r="714">
      <c r="A714" s="55">
        <f t="shared" si="7"/>
        <v>67753</v>
      </c>
      <c r="B714" s="56">
        <f>round(YEARFRAC(EOMONTH(questions!$C$3, 0),A714,1),2)</f>
        <v>86.58</v>
      </c>
      <c r="C714" s="58">
        <f>IF(B714&lt;questions!$C$6,if(MONTH(A714)=1,C713*(1+questions!$C$12),C713),0)</f>
        <v>0</v>
      </c>
      <c r="D714" s="58">
        <f>IF(MONTH(A714)=12,C714*questions!$C$11,0)</f>
        <v>0</v>
      </c>
      <c r="E714" s="71">
        <f t="shared" si="2"/>
        <v>0</v>
      </c>
      <c r="F714" s="71">
        <f t="shared" si="3"/>
        <v>0</v>
      </c>
      <c r="G714" s="61">
        <f t="array" ref="G714">if(YEAR(A714)=2025,XLOOKUP(B714,Lookup!$A$3:$A$7,Lookup!$D$3:$D$7,,1)*SUM(E714:F714), XLOOKUP(B714,Lookup!$A$14:$A$18,Lookup!$D$14:$D$18,,1)*SUM(E714:F714))</f>
        <v>0</v>
      </c>
      <c r="H714" s="61">
        <f t="array" ref="H714">if(YEAR(A714)=2025,XLOOKUP(B714,Lookup!$F$3:$F$10,Lookup!$G$3:$G$10,,1)*G714, XLOOKUP(B714,Lookup!$F$14:$F$21,Lookup!$G$14:$G$21,,1)*G714)</f>
        <v>0</v>
      </c>
      <c r="I714" s="61">
        <f t="array" ref="I714">if(B714&lt;55, if(YEAR(A714)=2025,XLOOKUP(B714,Lookup!$F$3:$F$10,Lookup!$H$3:$H$10,,1)*G714, XLOOKUP(B714,Lookup!$F$14:$F$21,Lookup!$H$14:$H$21,,1)*G714),0)</f>
        <v>0</v>
      </c>
      <c r="J714" s="61">
        <f t="array" ref="J714">if(YEAR(A714)=2025,XLOOKUP(B714,Lookup!$F$3:$F$10,Lookup!$I$3:$I$10,,1)*G714, XLOOKUP(B714,Lookup!$F$14:$F$21,Lookup!$I$14:$I$21,,1)*G714)</f>
        <v>0</v>
      </c>
      <c r="K714" s="61">
        <f t="array" ref="K714">if(B714&gt;54, if(YEAR(A714)=2025,XLOOKUP(B714,Lookup!$F$3:$F$10,Lookup!$H$3:$H$10,,1)*G714, XLOOKUP(B714,Lookup!$F$14:$F$21,Lookup!$H$14:$H$21,,1)*G714),0)</f>
        <v>0</v>
      </c>
      <c r="L714" s="62">
        <f>IF(and(A714&lt;questions!$C$19,questions!$C$18="yes"),questions!$C$20,0)</f>
        <v>0</v>
      </c>
      <c r="M714" s="63">
        <f>(Y713+H714)*Lookup!A$26/12</f>
        <v>3450.952166</v>
      </c>
      <c r="N714" s="63">
        <f>if(B714&lt;55, (Z713+I714)*Lookup!B$26/12, (AB713+K714)*Lookup!B$26/12)</f>
        <v>7198.209857</v>
      </c>
      <c r="O714" s="63">
        <f>(AA713+J714)*Lookup!C$26/12</f>
        <v>940.3700287</v>
      </c>
      <c r="P714" s="63">
        <f t="shared" si="8"/>
        <v>20705.713</v>
      </c>
      <c r="Q714" s="63">
        <f t="shared" si="4"/>
        <v>43189.25914</v>
      </c>
      <c r="R714" s="63">
        <f t="shared" si="5"/>
        <v>5642.220172</v>
      </c>
      <c r="S714" s="64">
        <f t="shared" si="9"/>
        <v>33.33333333</v>
      </c>
      <c r="T714" s="64">
        <f t="shared" si="10"/>
        <v>41.66666667</v>
      </c>
      <c r="U714" s="64">
        <f t="shared" si="11"/>
        <v>0</v>
      </c>
      <c r="V714" s="64">
        <f t="shared" ref="V714:X714" si="722">IF(year($A714)=year($A713), V713+S714, S714)</f>
        <v>200</v>
      </c>
      <c r="W714" s="64">
        <f t="shared" si="722"/>
        <v>250</v>
      </c>
      <c r="X714" s="64">
        <f t="shared" si="722"/>
        <v>0</v>
      </c>
      <c r="Y714" s="65">
        <f>IFS(
  B714&lt;55,
    MAX(
      Y713 + IF(MONTH(A714)=12, P714+V714, 0) + H714 - L714
      + MAX(0,
          IF(AA713 &gt;= VLOOKUP(YEAR(A714), Lookup!$Q:$R, 2),
            Z713 + IF(MONTH(A714)=12, Q714+W714, 0) + I714
              + AA713 + IF(MONTH(A714)=12, R714+X714, 0)
              - VLOOKUP(YEAR(A714), Lookup!$Q:$R, 2) + J714,
            Z713 + IF(MONTH(A714)=12, Q714+W714, 0) + I714
          ) - VLOOKUP(YEAR(A714), Lookup!$K:$M, 3)
        ),
    0),
  B714=55,
    IF(Z713&gt;=AD714,
      MAX(Y713 + IF(MONTH(A714)=12, P714+V714, 0) + H714 - L714, 0),
      MAX(MAX(0, Y713-(AD714-Z713)) + IF(MONTH(A714)=12, P714+V714, 0) + H714 - L714, 0)
    ),
  B714&gt;55,
    IF(AB713&gt;=$AH$7,
      MAX(Y713 + IF(MONTH(A714)=12, P714+V714, 0) + H714 - L714 + K714 + Z713, 0),
      MAX(Y713 + IF(MONTH(A714)=12, P714+V714, 0) + H714 - L714, 0)
    )
)</f>
        <v>1656457.04</v>
      </c>
      <c r="Z714" s="65">
        <f>IFS(
  B714&lt;55,
    MIN(
      IF(AA713 &gt;= VLOOKUP(YEAR(A714), Lookup!$Q:$R, 2),
        Z713 + IF(MONTH(A714)=12, Q714+W714, 0) + I714
          + AA713 + IF(MONTH(A714)=12, R714+X714, 0) - VLOOKUP(YEAR(A714), Lookup!$Q:$R, 2) + J714,
        Z713 + IF(MONTH(A714)=12, Q714+W714, 0) + I714
      ),
      VLOOKUP(YEAR(A714), Lookup!$K:$M, 3)
    ),
  B714=55,
    IF(Z713 &gt;= AD714, Z713 - AD714, 0),
  B714&gt;55, 0
)</f>
        <v>0</v>
      </c>
      <c r="AA714" s="65">
        <f>IFS(
  B714&lt;65,
    IF(AA713+J714 &lt; VLOOKUP(YEAR(A714), Lookup!$Q:$R, 2),
      AA713 + IF(MONTH(A714)=12, R713+X713, 0) + J714,
      MIN(
        AA713 + IF(MONTH(A714)=12, R713+X713, 0) + J714 ,
        VLOOKUP(YEAR(A714), Lookup!$Q:$R, 2)
      )
    ),
  B714&gt;=65,
    IF(AA713+J714 &lt; VLOOKUP(questions!$C$5, Lookup!$Q:$R, 2),
      AA713 + IF(MONTH(A714)=12, R713+X713, 0) + J714 ,
      MIN(
        AA713 + IF(MONTH(A714)=12, R713+X713, 0) + J714,
        VLOOKUP(questions!$C$5, Lookup!$Q:$R, 2)
      )
    )
)</f>
        <v>282111.0086</v>
      </c>
      <c r="AB714" s="65">
        <f t="shared" si="13"/>
        <v>2159462.957</v>
      </c>
      <c r="AC714" s="66">
        <f t="array" ref="AC714">IFS(B714&lt;66, XLOOKUP(year(A714),Lookup!$K$13:$K1000,Lookup!$L$13:$L1000,"missing",,1),B714&gt;65,XLOOKUP(questions!$C$5,Lookup!$K$13:$K1000,Lookup!$L$13:$L1000,"missing",,1))</f>
        <v>393675.3633</v>
      </c>
      <c r="AD714" s="66">
        <f t="array" ref="AD714">IFS(B714&lt;66, XLOOKUP(year(A714),Lookup!$K$13:$K1000,Lookup!$M$13:$M1000,"missing",,1),B714&gt;65, XLOOKUP(questions!$C$5,Lookup!$K$13:$K1000,Lookup!$M$13:$M1000,"missing",,1))</f>
        <v>787350.7266</v>
      </c>
      <c r="AE714" s="66">
        <f t="array" ref="AE714">IFS(B714&lt;66, XLOOKUP(year(A714),Lookup!$K$13:$K1000,Lookup!$N$13:$N1000,"missing",,1),B714&gt;65,XLOOKUP(questions!$C$5,Lookup!$K$13:$K1000,Lookup!$N$13:$N1000,"missing",,1))</f>
        <v>1574701.453</v>
      </c>
      <c r="AF714" s="37"/>
      <c r="AG714" s="37"/>
      <c r="AH714" s="37"/>
      <c r="AI714" s="37"/>
      <c r="AJ714" s="37"/>
      <c r="AK714" s="37"/>
      <c r="AL714" s="37"/>
      <c r="AM714" s="37"/>
      <c r="AN714" s="37"/>
      <c r="AO714" s="37"/>
      <c r="AP714" s="37"/>
      <c r="AQ714" s="37"/>
    </row>
    <row r="715">
      <c r="A715" s="55">
        <f t="shared" si="7"/>
        <v>67784</v>
      </c>
      <c r="B715" s="56">
        <f>round(YEARFRAC(EOMONTH(questions!$C$3, 0),A715,1),2)</f>
        <v>86.67</v>
      </c>
      <c r="C715" s="58">
        <f>IF(B715&lt;questions!$C$6,if(MONTH(A715)=1,C714*(1+questions!$C$12),C714),0)</f>
        <v>0</v>
      </c>
      <c r="D715" s="58">
        <f>IF(MONTH(A715)=12,C715*questions!$C$11,0)</f>
        <v>0</v>
      </c>
      <c r="E715" s="71">
        <f t="shared" si="2"/>
        <v>0</v>
      </c>
      <c r="F715" s="71">
        <f t="shared" si="3"/>
        <v>0</v>
      </c>
      <c r="G715" s="61">
        <f t="array" ref="G715">if(YEAR(A715)=2025,XLOOKUP(B715,Lookup!$A$3:$A$7,Lookup!$D$3:$D$7,,1)*SUM(E715:F715), XLOOKUP(B715,Lookup!$A$14:$A$18,Lookup!$D$14:$D$18,,1)*SUM(E715:F715))</f>
        <v>0</v>
      </c>
      <c r="H715" s="61">
        <f t="array" ref="H715">if(YEAR(A715)=2025,XLOOKUP(B715,Lookup!$F$3:$F$10,Lookup!$G$3:$G$10,,1)*G715, XLOOKUP(B715,Lookup!$F$14:$F$21,Lookup!$G$14:$G$21,,1)*G715)</f>
        <v>0</v>
      </c>
      <c r="I715" s="61">
        <f t="array" ref="I715">if(B715&lt;55, if(YEAR(A715)=2025,XLOOKUP(B715,Lookup!$F$3:$F$10,Lookup!$H$3:$H$10,,1)*G715, XLOOKUP(B715,Lookup!$F$14:$F$21,Lookup!$H$14:$H$21,,1)*G715),0)</f>
        <v>0</v>
      </c>
      <c r="J715" s="61">
        <f t="array" ref="J715">if(YEAR(A715)=2025,XLOOKUP(B715,Lookup!$F$3:$F$10,Lookup!$I$3:$I$10,,1)*G715, XLOOKUP(B715,Lookup!$F$14:$F$21,Lookup!$I$14:$I$21,,1)*G715)</f>
        <v>0</v>
      </c>
      <c r="K715" s="61">
        <f t="array" ref="K715">if(B715&gt;54, if(YEAR(A715)=2025,XLOOKUP(B715,Lookup!$F$3:$F$10,Lookup!$H$3:$H$10,,1)*G715, XLOOKUP(B715,Lookup!$F$14:$F$21,Lookup!$H$14:$H$21,,1)*G715),0)</f>
        <v>0</v>
      </c>
      <c r="L715" s="62">
        <f>IF(and(A715&lt;questions!$C$19,questions!$C$18="yes"),questions!$C$20,0)</f>
        <v>0</v>
      </c>
      <c r="M715" s="63">
        <f>(Y714+H715)*Lookup!A$26/12</f>
        <v>3450.952166</v>
      </c>
      <c r="N715" s="63">
        <f>if(B715&lt;55, (Z714+I715)*Lookup!B$26/12, (AB714+K715)*Lookup!B$26/12)</f>
        <v>7198.209857</v>
      </c>
      <c r="O715" s="63">
        <f>(AA714+J715)*Lookup!C$26/12</f>
        <v>940.3700287</v>
      </c>
      <c r="P715" s="63">
        <f t="shared" si="8"/>
        <v>24156.66516</v>
      </c>
      <c r="Q715" s="63">
        <f t="shared" si="4"/>
        <v>50387.469</v>
      </c>
      <c r="R715" s="63">
        <f t="shared" si="5"/>
        <v>6582.590201</v>
      </c>
      <c r="S715" s="64">
        <f t="shared" si="9"/>
        <v>33.33333333</v>
      </c>
      <c r="T715" s="64">
        <f t="shared" si="10"/>
        <v>41.66666667</v>
      </c>
      <c r="U715" s="64">
        <f t="shared" si="11"/>
        <v>0</v>
      </c>
      <c r="V715" s="64">
        <f t="shared" ref="V715:X715" si="723">IF(year($A715)=year($A714), V714+S715, S715)</f>
        <v>233.3333333</v>
      </c>
      <c r="W715" s="64">
        <f t="shared" si="723"/>
        <v>291.6666667</v>
      </c>
      <c r="X715" s="64">
        <f t="shared" si="723"/>
        <v>0</v>
      </c>
      <c r="Y715" s="65">
        <f>IFS(
  B715&lt;55,
    MAX(
      Y714 + IF(MONTH(A715)=12, P715+V715, 0) + H715 - L715
      + MAX(0,
          IF(AA714 &gt;= VLOOKUP(YEAR(A715), Lookup!$Q:$R, 2),
            Z714 + IF(MONTH(A715)=12, Q715+W715, 0) + I715
              + AA714 + IF(MONTH(A715)=12, R715+X715, 0)
              - VLOOKUP(YEAR(A715), Lookup!$Q:$R, 2) + J715,
            Z714 + IF(MONTH(A715)=12, Q715+W715, 0) + I715
          ) - VLOOKUP(YEAR(A715), Lookup!$K:$M, 3)
        ),
    0),
  B715=55,
    IF(Z714&gt;=AD715,
      MAX(Y714 + IF(MONTH(A715)=12, P715+V715, 0) + H715 - L715, 0),
      MAX(MAX(0, Y714-(AD715-Z714)) + IF(MONTH(A715)=12, P715+V715, 0) + H715 - L715, 0)
    ),
  B715&gt;55,
    IF(AB714&gt;=$AH$7,
      MAX(Y714 + IF(MONTH(A715)=12, P715+V715, 0) + H715 - L715 + K715 + Z714, 0),
      MAX(Y714 + IF(MONTH(A715)=12, P715+V715, 0) + H715 - L715, 0)
    )
)</f>
        <v>1656457.04</v>
      </c>
      <c r="Z715" s="65">
        <f>IFS(
  B715&lt;55,
    MIN(
      IF(AA714 &gt;= VLOOKUP(YEAR(A715), Lookup!$Q:$R, 2),
        Z714 + IF(MONTH(A715)=12, Q715+W715, 0) + I715
          + AA714 + IF(MONTH(A715)=12, R715+X715, 0) - VLOOKUP(YEAR(A715), Lookup!$Q:$R, 2) + J715,
        Z714 + IF(MONTH(A715)=12, Q715+W715, 0) + I715
      ),
      VLOOKUP(YEAR(A715), Lookup!$K:$M, 3)
    ),
  B715=55,
    IF(Z714 &gt;= AD715, Z714 - AD715, 0),
  B715&gt;55, 0
)</f>
        <v>0</v>
      </c>
      <c r="AA715" s="65">
        <f>IFS(
  B715&lt;65,
    IF(AA714+J715 &lt; VLOOKUP(YEAR(A715), Lookup!$Q:$R, 2),
      AA714 + IF(MONTH(A715)=12, R714+X714, 0) + J715,
      MIN(
        AA714 + IF(MONTH(A715)=12, R714+X714, 0) + J715 ,
        VLOOKUP(YEAR(A715), Lookup!$Q:$R, 2)
      )
    ),
  B715&gt;=65,
    IF(AA714+J715 &lt; VLOOKUP(questions!$C$5, Lookup!$Q:$R, 2),
      AA714 + IF(MONTH(A715)=12, R714+X714, 0) + J715 ,
      MIN(
        AA714 + IF(MONTH(A715)=12, R714+X714, 0) + J715,
        VLOOKUP(questions!$C$5, Lookup!$Q:$R, 2)
      )
    )
)</f>
        <v>282111.0086</v>
      </c>
      <c r="AB715" s="65">
        <f t="shared" si="13"/>
        <v>2159462.957</v>
      </c>
      <c r="AC715" s="66">
        <f t="array" ref="AC715">IFS(B715&lt;66, XLOOKUP(year(A715),Lookup!$K$13:$K1000,Lookup!$L$13:$L1000,"missing",,1),B715&gt;65,XLOOKUP(questions!$C$5,Lookup!$K$13:$K1000,Lookup!$L$13:$L1000,"missing",,1))</f>
        <v>393675.3633</v>
      </c>
      <c r="AD715" s="66">
        <f t="array" ref="AD715">IFS(B715&lt;66, XLOOKUP(year(A715),Lookup!$K$13:$K1000,Lookup!$M$13:$M1000,"missing",,1),B715&gt;65, XLOOKUP(questions!$C$5,Lookup!$K$13:$K1000,Lookup!$M$13:$M1000,"missing",,1))</f>
        <v>787350.7266</v>
      </c>
      <c r="AE715" s="66">
        <f t="array" ref="AE715">IFS(B715&lt;66, XLOOKUP(year(A715),Lookup!$K$13:$K1000,Lookup!$N$13:$N1000,"missing",,1),B715&gt;65,XLOOKUP(questions!$C$5,Lookup!$K$13:$K1000,Lookup!$N$13:$N1000,"missing",,1))</f>
        <v>1574701.453</v>
      </c>
      <c r="AF715" s="37"/>
      <c r="AG715" s="37"/>
      <c r="AH715" s="37"/>
      <c r="AI715" s="37"/>
      <c r="AJ715" s="37"/>
      <c r="AK715" s="37"/>
      <c r="AL715" s="37"/>
      <c r="AM715" s="37"/>
      <c r="AN715" s="37"/>
      <c r="AO715" s="37"/>
      <c r="AP715" s="37"/>
      <c r="AQ715" s="37"/>
    </row>
    <row r="716">
      <c r="A716" s="55">
        <f t="shared" si="7"/>
        <v>67815</v>
      </c>
      <c r="B716" s="56">
        <f>round(YEARFRAC(EOMONTH(questions!$C$3, 0),A716,1),2)</f>
        <v>86.75</v>
      </c>
      <c r="C716" s="58">
        <f>IF(B716&lt;questions!$C$6,if(MONTH(A716)=1,C715*(1+questions!$C$12),C715),0)</f>
        <v>0</v>
      </c>
      <c r="D716" s="58">
        <f>IF(MONTH(A716)=12,C716*questions!$C$11,0)</f>
        <v>0</v>
      </c>
      <c r="E716" s="71">
        <f t="shared" si="2"/>
        <v>0</v>
      </c>
      <c r="F716" s="71">
        <f t="shared" si="3"/>
        <v>0</v>
      </c>
      <c r="G716" s="61">
        <f t="array" ref="G716">if(YEAR(A716)=2025,XLOOKUP(B716,Lookup!$A$3:$A$7,Lookup!$D$3:$D$7,,1)*SUM(E716:F716), XLOOKUP(B716,Lookup!$A$14:$A$18,Lookup!$D$14:$D$18,,1)*SUM(E716:F716))</f>
        <v>0</v>
      </c>
      <c r="H716" s="61">
        <f t="array" ref="H716">if(YEAR(A716)=2025,XLOOKUP(B716,Lookup!$F$3:$F$10,Lookup!$G$3:$G$10,,1)*G716, XLOOKUP(B716,Lookup!$F$14:$F$21,Lookup!$G$14:$G$21,,1)*G716)</f>
        <v>0</v>
      </c>
      <c r="I716" s="61">
        <f t="array" ref="I716">if(B716&lt;55, if(YEAR(A716)=2025,XLOOKUP(B716,Lookup!$F$3:$F$10,Lookup!$H$3:$H$10,,1)*G716, XLOOKUP(B716,Lookup!$F$14:$F$21,Lookup!$H$14:$H$21,,1)*G716),0)</f>
        <v>0</v>
      </c>
      <c r="J716" s="61">
        <f t="array" ref="J716">if(YEAR(A716)=2025,XLOOKUP(B716,Lookup!$F$3:$F$10,Lookup!$I$3:$I$10,,1)*G716, XLOOKUP(B716,Lookup!$F$14:$F$21,Lookup!$I$14:$I$21,,1)*G716)</f>
        <v>0</v>
      </c>
      <c r="K716" s="61">
        <f t="array" ref="K716">if(B716&gt;54, if(YEAR(A716)=2025,XLOOKUP(B716,Lookup!$F$3:$F$10,Lookup!$H$3:$H$10,,1)*G716, XLOOKUP(B716,Lookup!$F$14:$F$21,Lookup!$H$14:$H$21,,1)*G716),0)</f>
        <v>0</v>
      </c>
      <c r="L716" s="62">
        <f>IF(and(A716&lt;questions!$C$19,questions!$C$18="yes"),questions!$C$20,0)</f>
        <v>0</v>
      </c>
      <c r="M716" s="63">
        <f>(Y715+H716)*Lookup!A$26/12</f>
        <v>3450.952166</v>
      </c>
      <c r="N716" s="63">
        <f>if(B716&lt;55, (Z715+I716)*Lookup!B$26/12, (AB715+K716)*Lookup!B$26/12)</f>
        <v>7198.209857</v>
      </c>
      <c r="O716" s="63">
        <f>(AA715+J716)*Lookup!C$26/12</f>
        <v>940.3700287</v>
      </c>
      <c r="P716" s="63">
        <f t="shared" si="8"/>
        <v>27607.61733</v>
      </c>
      <c r="Q716" s="63">
        <f t="shared" si="4"/>
        <v>57585.67886</v>
      </c>
      <c r="R716" s="63">
        <f t="shared" si="5"/>
        <v>7522.960229</v>
      </c>
      <c r="S716" s="64">
        <f t="shared" si="9"/>
        <v>33.33333333</v>
      </c>
      <c r="T716" s="64">
        <f t="shared" si="10"/>
        <v>41.66666667</v>
      </c>
      <c r="U716" s="64">
        <f t="shared" si="11"/>
        <v>0</v>
      </c>
      <c r="V716" s="64">
        <f t="shared" ref="V716:X716" si="724">IF(year($A716)=year($A715), V715+S716, S716)</f>
        <v>266.6666667</v>
      </c>
      <c r="W716" s="64">
        <f t="shared" si="724"/>
        <v>333.3333333</v>
      </c>
      <c r="X716" s="64">
        <f t="shared" si="724"/>
        <v>0</v>
      </c>
      <c r="Y716" s="65">
        <f>IFS(
  B716&lt;55,
    MAX(
      Y715 + IF(MONTH(A716)=12, P716+V716, 0) + H716 - L716
      + MAX(0,
          IF(AA715 &gt;= VLOOKUP(YEAR(A716), Lookup!$Q:$R, 2),
            Z715 + IF(MONTH(A716)=12, Q716+W716, 0) + I716
              + AA715 + IF(MONTH(A716)=12, R716+X716, 0)
              - VLOOKUP(YEAR(A716), Lookup!$Q:$R, 2) + J716,
            Z715 + IF(MONTH(A716)=12, Q716+W716, 0) + I716
          ) - VLOOKUP(YEAR(A716), Lookup!$K:$M, 3)
        ),
    0),
  B716=55,
    IF(Z715&gt;=AD716,
      MAX(Y715 + IF(MONTH(A716)=12, P716+V716, 0) + H716 - L716, 0),
      MAX(MAX(0, Y715-(AD716-Z715)) + IF(MONTH(A716)=12, P716+V716, 0) + H716 - L716, 0)
    ),
  B716&gt;55,
    IF(AB715&gt;=$AH$7,
      MAX(Y715 + IF(MONTH(A716)=12, P716+V716, 0) + H716 - L716 + K716 + Z715, 0),
      MAX(Y715 + IF(MONTH(A716)=12, P716+V716, 0) + H716 - L716, 0)
    )
)</f>
        <v>1656457.04</v>
      </c>
      <c r="Z716" s="65">
        <f>IFS(
  B716&lt;55,
    MIN(
      IF(AA715 &gt;= VLOOKUP(YEAR(A716), Lookup!$Q:$R, 2),
        Z715 + IF(MONTH(A716)=12, Q716+W716, 0) + I716
          + AA715 + IF(MONTH(A716)=12, R716+X716, 0) - VLOOKUP(YEAR(A716), Lookup!$Q:$R, 2) + J716,
        Z715 + IF(MONTH(A716)=12, Q716+W716, 0) + I716
      ),
      VLOOKUP(YEAR(A716), Lookup!$K:$M, 3)
    ),
  B716=55,
    IF(Z715 &gt;= AD716, Z715 - AD716, 0),
  B716&gt;55, 0
)</f>
        <v>0</v>
      </c>
      <c r="AA716" s="65">
        <f>IFS(
  B716&lt;65,
    IF(AA715+J716 &lt; VLOOKUP(YEAR(A716), Lookup!$Q:$R, 2),
      AA715 + IF(MONTH(A716)=12, R715+X715, 0) + J716,
      MIN(
        AA715 + IF(MONTH(A716)=12, R715+X715, 0) + J716 ,
        VLOOKUP(YEAR(A716), Lookup!$Q:$R, 2)
      )
    ),
  B716&gt;=65,
    IF(AA715+J716 &lt; VLOOKUP(questions!$C$5, Lookup!$Q:$R, 2),
      AA715 + IF(MONTH(A716)=12, R715+X715, 0) + J716 ,
      MIN(
        AA715 + IF(MONTH(A716)=12, R715+X715, 0) + J716,
        VLOOKUP(questions!$C$5, Lookup!$Q:$R, 2)
      )
    )
)</f>
        <v>282111.0086</v>
      </c>
      <c r="AB716" s="65">
        <f t="shared" si="13"/>
        <v>2159462.957</v>
      </c>
      <c r="AC716" s="66">
        <f t="array" ref="AC716">IFS(B716&lt;66, XLOOKUP(year(A716),Lookup!$K$13:$K1000,Lookup!$L$13:$L1000,"missing",,1),B716&gt;65,XLOOKUP(questions!$C$5,Lookup!$K$13:$K1000,Lookup!$L$13:$L1000,"missing",,1))</f>
        <v>393675.3633</v>
      </c>
      <c r="AD716" s="66">
        <f t="array" ref="AD716">IFS(B716&lt;66, XLOOKUP(year(A716),Lookup!$K$13:$K1000,Lookup!$M$13:$M1000,"missing",,1),B716&gt;65, XLOOKUP(questions!$C$5,Lookup!$K$13:$K1000,Lookup!$M$13:$M1000,"missing",,1))</f>
        <v>787350.7266</v>
      </c>
      <c r="AE716" s="66">
        <f t="array" ref="AE716">IFS(B716&lt;66, XLOOKUP(year(A716),Lookup!$K$13:$K1000,Lookup!$N$13:$N1000,"missing",,1),B716&gt;65,XLOOKUP(questions!$C$5,Lookup!$K$13:$K1000,Lookup!$N$13:$N1000,"missing",,1))</f>
        <v>1574701.453</v>
      </c>
      <c r="AF716" s="37"/>
      <c r="AG716" s="37"/>
      <c r="AH716" s="37"/>
      <c r="AI716" s="37"/>
      <c r="AJ716" s="37"/>
      <c r="AK716" s="37"/>
      <c r="AL716" s="37"/>
      <c r="AM716" s="37"/>
      <c r="AN716" s="37"/>
      <c r="AO716" s="37"/>
      <c r="AP716" s="37"/>
      <c r="AQ716" s="37"/>
    </row>
    <row r="717">
      <c r="A717" s="55">
        <f t="shared" si="7"/>
        <v>67845</v>
      </c>
      <c r="B717" s="56">
        <f>round(YEARFRAC(EOMONTH(questions!$C$3, 0),A717,1),2)</f>
        <v>86.83</v>
      </c>
      <c r="C717" s="58">
        <f>IF(B717&lt;questions!$C$6,if(MONTH(A717)=1,C716*(1+questions!$C$12),C716),0)</f>
        <v>0</v>
      </c>
      <c r="D717" s="58">
        <f>IF(MONTH(A717)=12,C717*questions!$C$11,0)</f>
        <v>0</v>
      </c>
      <c r="E717" s="71">
        <f t="shared" si="2"/>
        <v>0</v>
      </c>
      <c r="F717" s="71">
        <f t="shared" si="3"/>
        <v>0</v>
      </c>
      <c r="G717" s="61">
        <f t="array" ref="G717">if(YEAR(A717)=2025,XLOOKUP(B717,Lookup!$A$3:$A$7,Lookup!$D$3:$D$7,,1)*SUM(E717:F717), XLOOKUP(B717,Lookup!$A$14:$A$18,Lookup!$D$14:$D$18,,1)*SUM(E717:F717))</f>
        <v>0</v>
      </c>
      <c r="H717" s="61">
        <f t="array" ref="H717">if(YEAR(A717)=2025,XLOOKUP(B717,Lookup!$F$3:$F$10,Lookup!$G$3:$G$10,,1)*G717, XLOOKUP(B717,Lookup!$F$14:$F$21,Lookup!$G$14:$G$21,,1)*G717)</f>
        <v>0</v>
      </c>
      <c r="I717" s="61">
        <f t="array" ref="I717">if(B717&lt;55, if(YEAR(A717)=2025,XLOOKUP(B717,Lookup!$F$3:$F$10,Lookup!$H$3:$H$10,,1)*G717, XLOOKUP(B717,Lookup!$F$14:$F$21,Lookup!$H$14:$H$21,,1)*G717),0)</f>
        <v>0</v>
      </c>
      <c r="J717" s="61">
        <f t="array" ref="J717">if(YEAR(A717)=2025,XLOOKUP(B717,Lookup!$F$3:$F$10,Lookup!$I$3:$I$10,,1)*G717, XLOOKUP(B717,Lookup!$F$14:$F$21,Lookup!$I$14:$I$21,,1)*G717)</f>
        <v>0</v>
      </c>
      <c r="K717" s="61">
        <f t="array" ref="K717">if(B717&gt;54, if(YEAR(A717)=2025,XLOOKUP(B717,Lookup!$F$3:$F$10,Lookup!$H$3:$H$10,,1)*G717, XLOOKUP(B717,Lookup!$F$14:$F$21,Lookup!$H$14:$H$21,,1)*G717),0)</f>
        <v>0</v>
      </c>
      <c r="L717" s="62">
        <f>IF(and(A717&lt;questions!$C$19,questions!$C$18="yes"),questions!$C$20,0)</f>
        <v>0</v>
      </c>
      <c r="M717" s="63">
        <f>(Y716+H717)*Lookup!A$26/12</f>
        <v>3450.952166</v>
      </c>
      <c r="N717" s="63">
        <f>if(B717&lt;55, (Z716+I717)*Lookup!B$26/12, (AB716+K717)*Lookup!B$26/12)</f>
        <v>7198.209857</v>
      </c>
      <c r="O717" s="63">
        <f>(AA716+J717)*Lookup!C$26/12</f>
        <v>940.3700287</v>
      </c>
      <c r="P717" s="63">
        <f t="shared" si="8"/>
        <v>31058.5695</v>
      </c>
      <c r="Q717" s="63">
        <f t="shared" si="4"/>
        <v>64783.88872</v>
      </c>
      <c r="R717" s="63">
        <f t="shared" si="5"/>
        <v>8463.330258</v>
      </c>
      <c r="S717" s="64">
        <f t="shared" si="9"/>
        <v>33.33333333</v>
      </c>
      <c r="T717" s="64">
        <f t="shared" si="10"/>
        <v>41.66666667</v>
      </c>
      <c r="U717" s="64">
        <f t="shared" si="11"/>
        <v>0</v>
      </c>
      <c r="V717" s="64">
        <f t="shared" ref="V717:X717" si="725">IF(year($A717)=year($A716), V716+S717, S717)</f>
        <v>300</v>
      </c>
      <c r="W717" s="64">
        <f t="shared" si="725"/>
        <v>375</v>
      </c>
      <c r="X717" s="64">
        <f t="shared" si="725"/>
        <v>0</v>
      </c>
      <c r="Y717" s="65">
        <f>IFS(
  B717&lt;55,
    MAX(
      Y716 + IF(MONTH(A717)=12, P717+V717, 0) + H717 - L717
      + MAX(0,
          IF(AA716 &gt;= VLOOKUP(YEAR(A717), Lookup!$Q:$R, 2),
            Z716 + IF(MONTH(A717)=12, Q717+W717, 0) + I717
              + AA716 + IF(MONTH(A717)=12, R717+X717, 0)
              - VLOOKUP(YEAR(A717), Lookup!$Q:$R, 2) + J717,
            Z716 + IF(MONTH(A717)=12, Q717+W717, 0) + I717
          ) - VLOOKUP(YEAR(A717), Lookup!$K:$M, 3)
        ),
    0),
  B717=55,
    IF(Z716&gt;=AD717,
      MAX(Y716 + IF(MONTH(A717)=12, P717+V717, 0) + H717 - L717, 0),
      MAX(MAX(0, Y716-(AD717-Z716)) + IF(MONTH(A717)=12, P717+V717, 0) + H717 - L717, 0)
    ),
  B717&gt;55,
    IF(AB716&gt;=$AH$7,
      MAX(Y716 + IF(MONTH(A717)=12, P717+V717, 0) + H717 - L717 + K717 + Z716, 0),
      MAX(Y716 + IF(MONTH(A717)=12, P717+V717, 0) + H717 - L717, 0)
    )
)</f>
        <v>1656457.04</v>
      </c>
      <c r="Z717" s="65">
        <f>IFS(
  B717&lt;55,
    MIN(
      IF(AA716 &gt;= VLOOKUP(YEAR(A717), Lookup!$Q:$R, 2),
        Z716 + IF(MONTH(A717)=12, Q717+W717, 0) + I717
          + AA716 + IF(MONTH(A717)=12, R717+X717, 0) - VLOOKUP(YEAR(A717), Lookup!$Q:$R, 2) + J717,
        Z716 + IF(MONTH(A717)=12, Q717+W717, 0) + I717
      ),
      VLOOKUP(YEAR(A717), Lookup!$K:$M, 3)
    ),
  B717=55,
    IF(Z716 &gt;= AD717, Z716 - AD717, 0),
  B717&gt;55, 0
)</f>
        <v>0</v>
      </c>
      <c r="AA717" s="65">
        <f>IFS(
  B717&lt;65,
    IF(AA716+J717 &lt; VLOOKUP(YEAR(A717), Lookup!$Q:$R, 2),
      AA716 + IF(MONTH(A717)=12, R716+X716, 0) + J717,
      MIN(
        AA716 + IF(MONTH(A717)=12, R716+X716, 0) + J717 ,
        VLOOKUP(YEAR(A717), Lookup!$Q:$R, 2)
      )
    ),
  B717&gt;=65,
    IF(AA716+J717 &lt; VLOOKUP(questions!$C$5, Lookup!$Q:$R, 2),
      AA716 + IF(MONTH(A717)=12, R716+X716, 0) + J717 ,
      MIN(
        AA716 + IF(MONTH(A717)=12, R716+X716, 0) + J717,
        VLOOKUP(questions!$C$5, Lookup!$Q:$R, 2)
      )
    )
)</f>
        <v>282111.0086</v>
      </c>
      <c r="AB717" s="65">
        <f t="shared" si="13"/>
        <v>2159462.957</v>
      </c>
      <c r="AC717" s="66">
        <f t="array" ref="AC717">IFS(B717&lt;66, XLOOKUP(year(A717),Lookup!$K$13:$K1000,Lookup!$L$13:$L1000,"missing",,1),B717&gt;65,XLOOKUP(questions!$C$5,Lookup!$K$13:$K1000,Lookup!$L$13:$L1000,"missing",,1))</f>
        <v>393675.3633</v>
      </c>
      <c r="AD717" s="66">
        <f t="array" ref="AD717">IFS(B717&lt;66, XLOOKUP(year(A717),Lookup!$K$13:$K1000,Lookup!$M$13:$M1000,"missing",,1),B717&gt;65, XLOOKUP(questions!$C$5,Lookup!$K$13:$K1000,Lookup!$M$13:$M1000,"missing",,1))</f>
        <v>787350.7266</v>
      </c>
      <c r="AE717" s="66">
        <f t="array" ref="AE717">IFS(B717&lt;66, XLOOKUP(year(A717),Lookup!$K$13:$K1000,Lookup!$N$13:$N1000,"missing",,1),B717&gt;65,XLOOKUP(questions!$C$5,Lookup!$K$13:$K1000,Lookup!$N$13:$N1000,"missing",,1))</f>
        <v>1574701.453</v>
      </c>
      <c r="AF717" s="37"/>
      <c r="AG717" s="37"/>
      <c r="AH717" s="37"/>
      <c r="AI717" s="37"/>
      <c r="AJ717" s="37"/>
      <c r="AK717" s="37"/>
      <c r="AL717" s="37"/>
      <c r="AM717" s="37"/>
      <c r="AN717" s="37"/>
      <c r="AO717" s="37"/>
      <c r="AP717" s="37"/>
      <c r="AQ717" s="37"/>
    </row>
    <row r="718">
      <c r="A718" s="55">
        <f t="shared" si="7"/>
        <v>67876</v>
      </c>
      <c r="B718" s="56">
        <f>round(YEARFRAC(EOMONTH(questions!$C$3, 0),A718,1),2)</f>
        <v>86.92</v>
      </c>
      <c r="C718" s="58">
        <f>IF(B718&lt;questions!$C$6,if(MONTH(A718)=1,C717*(1+questions!$C$12),C717),0)</f>
        <v>0</v>
      </c>
      <c r="D718" s="58">
        <f>IF(MONTH(A718)=12,C718*questions!$C$11,0)</f>
        <v>0</v>
      </c>
      <c r="E718" s="71">
        <f t="shared" si="2"/>
        <v>0</v>
      </c>
      <c r="F718" s="71">
        <f t="shared" si="3"/>
        <v>0</v>
      </c>
      <c r="G718" s="61">
        <f t="array" ref="G718">if(YEAR(A718)=2025,XLOOKUP(B718,Lookup!$A$3:$A$7,Lookup!$D$3:$D$7,,1)*SUM(E718:F718), XLOOKUP(B718,Lookup!$A$14:$A$18,Lookup!$D$14:$D$18,,1)*SUM(E718:F718))</f>
        <v>0</v>
      </c>
      <c r="H718" s="61">
        <f t="array" ref="H718">if(YEAR(A718)=2025,XLOOKUP(B718,Lookup!$F$3:$F$10,Lookup!$G$3:$G$10,,1)*G718, XLOOKUP(B718,Lookup!$F$14:$F$21,Lookup!$G$14:$G$21,,1)*G718)</f>
        <v>0</v>
      </c>
      <c r="I718" s="61">
        <f t="array" ref="I718">if(B718&lt;55, if(YEAR(A718)=2025,XLOOKUP(B718,Lookup!$F$3:$F$10,Lookup!$H$3:$H$10,,1)*G718, XLOOKUP(B718,Lookup!$F$14:$F$21,Lookup!$H$14:$H$21,,1)*G718),0)</f>
        <v>0</v>
      </c>
      <c r="J718" s="61">
        <f t="array" ref="J718">if(YEAR(A718)=2025,XLOOKUP(B718,Lookup!$F$3:$F$10,Lookup!$I$3:$I$10,,1)*G718, XLOOKUP(B718,Lookup!$F$14:$F$21,Lookup!$I$14:$I$21,,1)*G718)</f>
        <v>0</v>
      </c>
      <c r="K718" s="61">
        <f t="array" ref="K718">if(B718&gt;54, if(YEAR(A718)=2025,XLOOKUP(B718,Lookup!$F$3:$F$10,Lookup!$H$3:$H$10,,1)*G718, XLOOKUP(B718,Lookup!$F$14:$F$21,Lookup!$H$14:$H$21,,1)*G718),0)</f>
        <v>0</v>
      </c>
      <c r="L718" s="62">
        <f>IF(and(A718&lt;questions!$C$19,questions!$C$18="yes"),questions!$C$20,0)</f>
        <v>0</v>
      </c>
      <c r="M718" s="63">
        <f>(Y717+H718)*Lookup!A$26/12</f>
        <v>3450.952166</v>
      </c>
      <c r="N718" s="63">
        <f>if(B718&lt;55, (Z717+I718)*Lookup!B$26/12, (AB717+K718)*Lookup!B$26/12)</f>
        <v>7198.209857</v>
      </c>
      <c r="O718" s="63">
        <f>(AA717+J718)*Lookup!C$26/12</f>
        <v>940.3700287</v>
      </c>
      <c r="P718" s="63">
        <f t="shared" si="8"/>
        <v>34509.52166</v>
      </c>
      <c r="Q718" s="63">
        <f t="shared" si="4"/>
        <v>71982.09857</v>
      </c>
      <c r="R718" s="63">
        <f t="shared" si="5"/>
        <v>9403.700287</v>
      </c>
      <c r="S718" s="64">
        <f t="shared" si="9"/>
        <v>33.33333333</v>
      </c>
      <c r="T718" s="64">
        <f t="shared" si="10"/>
        <v>41.66666667</v>
      </c>
      <c r="U718" s="64">
        <f t="shared" si="11"/>
        <v>0</v>
      </c>
      <c r="V718" s="64">
        <f t="shared" ref="V718:X718" si="726">IF(year($A718)=year($A717), V717+S718, S718)</f>
        <v>333.3333333</v>
      </c>
      <c r="W718" s="64">
        <f t="shared" si="726"/>
        <v>416.6666667</v>
      </c>
      <c r="X718" s="64">
        <f t="shared" si="726"/>
        <v>0</v>
      </c>
      <c r="Y718" s="65">
        <f>IFS(
  B718&lt;55,
    MAX(
      Y717 + IF(MONTH(A718)=12, P718+V718, 0) + H718 - L718
      + MAX(0,
          IF(AA717 &gt;= VLOOKUP(YEAR(A718), Lookup!$Q:$R, 2),
            Z717 + IF(MONTH(A718)=12, Q718+W718, 0) + I718
              + AA717 + IF(MONTH(A718)=12, R718+X718, 0)
              - VLOOKUP(YEAR(A718), Lookup!$Q:$R, 2) + J718,
            Z717 + IF(MONTH(A718)=12, Q718+W718, 0) + I718
          ) - VLOOKUP(YEAR(A718), Lookup!$K:$M, 3)
        ),
    0),
  B718=55,
    IF(Z717&gt;=AD718,
      MAX(Y717 + IF(MONTH(A718)=12, P718+V718, 0) + H718 - L718, 0),
      MAX(MAX(0, Y717-(AD718-Z717)) + IF(MONTH(A718)=12, P718+V718, 0) + H718 - L718, 0)
    ),
  B718&gt;55,
    IF(AB717&gt;=$AH$7,
      MAX(Y717 + IF(MONTH(A718)=12, P718+V718, 0) + H718 - L718 + K718 + Z717, 0),
      MAX(Y717 + IF(MONTH(A718)=12, P718+V718, 0) + H718 - L718, 0)
    )
)</f>
        <v>1656457.04</v>
      </c>
      <c r="Z718" s="65">
        <f>IFS(
  B718&lt;55,
    MIN(
      IF(AA717 &gt;= VLOOKUP(YEAR(A718), Lookup!$Q:$R, 2),
        Z717 + IF(MONTH(A718)=12, Q718+W718, 0) + I718
          + AA717 + IF(MONTH(A718)=12, R718+X718, 0) - VLOOKUP(YEAR(A718), Lookup!$Q:$R, 2) + J718,
        Z717 + IF(MONTH(A718)=12, Q718+W718, 0) + I718
      ),
      VLOOKUP(YEAR(A718), Lookup!$K:$M, 3)
    ),
  B718=55,
    IF(Z717 &gt;= AD718, Z717 - AD718, 0),
  B718&gt;55, 0
)</f>
        <v>0</v>
      </c>
      <c r="AA718" s="65">
        <f>IFS(
  B718&lt;65,
    IF(AA717+J718 &lt; VLOOKUP(YEAR(A718), Lookup!$Q:$R, 2),
      AA717 + IF(MONTH(A718)=12, R717+X717, 0) + J718,
      MIN(
        AA717 + IF(MONTH(A718)=12, R717+X717, 0) + J718 ,
        VLOOKUP(YEAR(A718), Lookup!$Q:$R, 2)
      )
    ),
  B718&gt;=65,
    IF(AA717+J718 &lt; VLOOKUP(questions!$C$5, Lookup!$Q:$R, 2),
      AA717 + IF(MONTH(A718)=12, R717+X717, 0) + J718 ,
      MIN(
        AA717 + IF(MONTH(A718)=12, R717+X717, 0) + J718,
        VLOOKUP(questions!$C$5, Lookup!$Q:$R, 2)
      )
    )
)</f>
        <v>282111.0086</v>
      </c>
      <c r="AB718" s="65">
        <f t="shared" si="13"/>
        <v>2159462.957</v>
      </c>
      <c r="AC718" s="66">
        <f t="array" ref="AC718">IFS(B718&lt;66, XLOOKUP(year(A718),Lookup!$K$13:$K1000,Lookup!$L$13:$L1000,"missing",,1),B718&gt;65,XLOOKUP(questions!$C$5,Lookup!$K$13:$K1000,Lookup!$L$13:$L1000,"missing",,1))</f>
        <v>393675.3633</v>
      </c>
      <c r="AD718" s="66">
        <f t="array" ref="AD718">IFS(B718&lt;66, XLOOKUP(year(A718),Lookup!$K$13:$K1000,Lookup!$M$13:$M1000,"missing",,1),B718&gt;65, XLOOKUP(questions!$C$5,Lookup!$K$13:$K1000,Lookup!$M$13:$M1000,"missing",,1))</f>
        <v>787350.7266</v>
      </c>
      <c r="AE718" s="66">
        <f t="array" ref="AE718">IFS(B718&lt;66, XLOOKUP(year(A718),Lookup!$K$13:$K1000,Lookup!$N$13:$N1000,"missing",,1),B718&gt;65,XLOOKUP(questions!$C$5,Lookup!$K$13:$K1000,Lookup!$N$13:$N1000,"missing",,1))</f>
        <v>1574701.453</v>
      </c>
      <c r="AF718" s="37"/>
      <c r="AG718" s="37"/>
      <c r="AH718" s="37"/>
      <c r="AI718" s="37"/>
      <c r="AJ718" s="37"/>
      <c r="AK718" s="37"/>
      <c r="AL718" s="37"/>
      <c r="AM718" s="37"/>
      <c r="AN718" s="37"/>
      <c r="AO718" s="37"/>
      <c r="AP718" s="37"/>
      <c r="AQ718" s="37"/>
    </row>
    <row r="719">
      <c r="A719" s="55">
        <f t="shared" si="7"/>
        <v>67906</v>
      </c>
      <c r="B719" s="56">
        <f>round(YEARFRAC(EOMONTH(questions!$C$3, 0),A719,1),2)</f>
        <v>87</v>
      </c>
      <c r="C719" s="58">
        <f>IF(B719&lt;questions!$C$6,if(MONTH(A719)=1,C718*(1+questions!$C$12),C718),0)</f>
        <v>0</v>
      </c>
      <c r="D719" s="58">
        <f>IF(MONTH(A719)=12,C719*questions!$C$11,0)</f>
        <v>0</v>
      </c>
      <c r="E719" s="71">
        <f t="shared" si="2"/>
        <v>0</v>
      </c>
      <c r="F719" s="71">
        <f t="shared" si="3"/>
        <v>0</v>
      </c>
      <c r="G719" s="61">
        <f t="array" ref="G719">if(YEAR(A719)=2025,XLOOKUP(B719,Lookup!$A$3:$A$7,Lookup!$D$3:$D$7,,1)*SUM(E719:F719), XLOOKUP(B719,Lookup!$A$14:$A$18,Lookup!$D$14:$D$18,,1)*SUM(E719:F719))</f>
        <v>0</v>
      </c>
      <c r="H719" s="61">
        <f t="array" ref="H719">if(YEAR(A719)=2025,XLOOKUP(B719,Lookup!$F$3:$F$10,Lookup!$G$3:$G$10,,1)*G719, XLOOKUP(B719,Lookup!$F$14:$F$21,Lookup!$G$14:$G$21,,1)*G719)</f>
        <v>0</v>
      </c>
      <c r="I719" s="61">
        <f t="array" ref="I719">if(B719&lt;55, if(YEAR(A719)=2025,XLOOKUP(B719,Lookup!$F$3:$F$10,Lookup!$H$3:$H$10,,1)*G719, XLOOKUP(B719,Lookup!$F$14:$F$21,Lookup!$H$14:$H$21,,1)*G719),0)</f>
        <v>0</v>
      </c>
      <c r="J719" s="61">
        <f t="array" ref="J719">if(YEAR(A719)=2025,XLOOKUP(B719,Lookup!$F$3:$F$10,Lookup!$I$3:$I$10,,1)*G719, XLOOKUP(B719,Lookup!$F$14:$F$21,Lookup!$I$14:$I$21,,1)*G719)</f>
        <v>0</v>
      </c>
      <c r="K719" s="61">
        <f t="array" ref="K719">if(B719&gt;54, if(YEAR(A719)=2025,XLOOKUP(B719,Lookup!$F$3:$F$10,Lookup!$H$3:$H$10,,1)*G719, XLOOKUP(B719,Lookup!$F$14:$F$21,Lookup!$H$14:$H$21,,1)*G719),0)</f>
        <v>0</v>
      </c>
      <c r="L719" s="62">
        <f>IF(and(A719&lt;questions!$C$19,questions!$C$18="yes"),questions!$C$20,0)</f>
        <v>0</v>
      </c>
      <c r="M719" s="63">
        <f>(Y718+H719)*Lookup!A$26/12</f>
        <v>3450.952166</v>
      </c>
      <c r="N719" s="63">
        <f>if(B719&lt;55, (Z718+I719)*Lookup!B$26/12, (AB718+K719)*Lookup!B$26/12)</f>
        <v>7198.209857</v>
      </c>
      <c r="O719" s="63">
        <f>(AA718+J719)*Lookup!C$26/12</f>
        <v>940.3700287</v>
      </c>
      <c r="P719" s="63">
        <f t="shared" si="8"/>
        <v>37960.47383</v>
      </c>
      <c r="Q719" s="63">
        <f t="shared" si="4"/>
        <v>79180.30843</v>
      </c>
      <c r="R719" s="63">
        <f t="shared" si="5"/>
        <v>10344.07032</v>
      </c>
      <c r="S719" s="64">
        <f t="shared" si="9"/>
        <v>33.33333333</v>
      </c>
      <c r="T719" s="64">
        <f t="shared" si="10"/>
        <v>41.66666667</v>
      </c>
      <c r="U719" s="64">
        <f t="shared" si="11"/>
        <v>0</v>
      </c>
      <c r="V719" s="64">
        <f t="shared" ref="V719:X719" si="727">IF(year($A719)=year($A718), V718+S719, S719)</f>
        <v>366.6666667</v>
      </c>
      <c r="W719" s="64">
        <f t="shared" si="727"/>
        <v>458.3333333</v>
      </c>
      <c r="X719" s="64">
        <f t="shared" si="727"/>
        <v>0</v>
      </c>
      <c r="Y719" s="65">
        <f>IFS(
  B719&lt;55,
    MAX(
      Y718 + IF(MONTH(A719)=12, P719+V719, 0) + H719 - L719
      + MAX(0,
          IF(AA718 &gt;= VLOOKUP(YEAR(A719), Lookup!$Q:$R, 2),
            Z718 + IF(MONTH(A719)=12, Q719+W719, 0) + I719
              + AA718 + IF(MONTH(A719)=12, R719+X719, 0)
              - VLOOKUP(YEAR(A719), Lookup!$Q:$R, 2) + J719,
            Z718 + IF(MONTH(A719)=12, Q719+W719, 0) + I719
          ) - VLOOKUP(YEAR(A719), Lookup!$K:$M, 3)
        ),
    0),
  B719=55,
    IF(Z718&gt;=AD719,
      MAX(Y718 + IF(MONTH(A719)=12, P719+V719, 0) + H719 - L719, 0),
      MAX(MAX(0, Y718-(AD719-Z718)) + IF(MONTH(A719)=12, P719+V719, 0) + H719 - L719, 0)
    ),
  B719&gt;55,
    IF(AB718&gt;=$AH$7,
      MAX(Y718 + IF(MONTH(A719)=12, P719+V719, 0) + H719 - L719 + K719 + Z718, 0),
      MAX(Y718 + IF(MONTH(A719)=12, P719+V719, 0) + H719 - L719, 0)
    )
)</f>
        <v>1656457.04</v>
      </c>
      <c r="Z719" s="65">
        <f>IFS(
  B719&lt;55,
    MIN(
      IF(AA718 &gt;= VLOOKUP(YEAR(A719), Lookup!$Q:$R, 2),
        Z718 + IF(MONTH(A719)=12, Q719+W719, 0) + I719
          + AA718 + IF(MONTH(A719)=12, R719+X719, 0) - VLOOKUP(YEAR(A719), Lookup!$Q:$R, 2) + J719,
        Z718 + IF(MONTH(A719)=12, Q719+W719, 0) + I719
      ),
      VLOOKUP(YEAR(A719), Lookup!$K:$M, 3)
    ),
  B719=55,
    IF(Z718 &gt;= AD719, Z718 - AD719, 0),
  B719&gt;55, 0
)</f>
        <v>0</v>
      </c>
      <c r="AA719" s="65">
        <f>IFS(
  B719&lt;65,
    IF(AA718+J719 &lt; VLOOKUP(YEAR(A719), Lookup!$Q:$R, 2),
      AA718 + IF(MONTH(A719)=12, R718+X718, 0) + J719,
      MIN(
        AA718 + IF(MONTH(A719)=12, R718+X718, 0) + J719 ,
        VLOOKUP(YEAR(A719), Lookup!$Q:$R, 2)
      )
    ),
  B719&gt;=65,
    IF(AA718+J719 &lt; VLOOKUP(questions!$C$5, Lookup!$Q:$R, 2),
      AA718 + IF(MONTH(A719)=12, R718+X718, 0) + J719 ,
      MIN(
        AA718 + IF(MONTH(A719)=12, R718+X718, 0) + J719,
        VLOOKUP(questions!$C$5, Lookup!$Q:$R, 2)
      )
    )
)</f>
        <v>282111.0086</v>
      </c>
      <c r="AB719" s="65">
        <f t="shared" si="13"/>
        <v>2159462.957</v>
      </c>
      <c r="AC719" s="66">
        <f t="array" ref="AC719">IFS(B719&lt;66, XLOOKUP(year(A719),Lookup!$K$13:$K1000,Lookup!$L$13:$L1000,"missing",,1),B719&gt;65,XLOOKUP(questions!$C$5,Lookup!$K$13:$K1000,Lookup!$L$13:$L1000,"missing",,1))</f>
        <v>393675.3633</v>
      </c>
      <c r="AD719" s="66">
        <f t="array" ref="AD719">IFS(B719&lt;66, XLOOKUP(year(A719),Lookup!$K$13:$K1000,Lookup!$M$13:$M1000,"missing",,1),B719&gt;65, XLOOKUP(questions!$C$5,Lookup!$K$13:$K1000,Lookup!$M$13:$M1000,"missing",,1))</f>
        <v>787350.7266</v>
      </c>
      <c r="AE719" s="66">
        <f t="array" ref="AE719">IFS(B719&lt;66, XLOOKUP(year(A719),Lookup!$K$13:$K1000,Lookup!$N$13:$N1000,"missing",,1),B719&gt;65,XLOOKUP(questions!$C$5,Lookup!$K$13:$K1000,Lookup!$N$13:$N1000,"missing",,1))</f>
        <v>1574701.453</v>
      </c>
      <c r="AF719" s="37"/>
      <c r="AG719" s="37"/>
      <c r="AH719" s="37"/>
      <c r="AI719" s="37"/>
      <c r="AJ719" s="37"/>
      <c r="AK719" s="37"/>
      <c r="AL719" s="37"/>
      <c r="AM719" s="37"/>
      <c r="AN719" s="37"/>
      <c r="AO719" s="37"/>
      <c r="AP719" s="37"/>
      <c r="AQ719" s="37"/>
    </row>
    <row r="720">
      <c r="A720" s="55">
        <f t="shared" si="7"/>
        <v>67937</v>
      </c>
      <c r="B720" s="56">
        <f>round(YEARFRAC(EOMONTH(questions!$C$3, 0),A720,1),2)</f>
        <v>87.08</v>
      </c>
      <c r="C720" s="58">
        <f>IF(B720&lt;questions!$C$6,if(MONTH(A720)=1,C719*(1+questions!$C$12),C719),0)</f>
        <v>0</v>
      </c>
      <c r="D720" s="58">
        <f>IF(MONTH(A720)=12,C720*questions!$C$11,0)</f>
        <v>0</v>
      </c>
      <c r="E720" s="71">
        <f t="shared" si="2"/>
        <v>0</v>
      </c>
      <c r="F720" s="71">
        <f t="shared" si="3"/>
        <v>0</v>
      </c>
      <c r="G720" s="61">
        <f t="array" ref="G720">if(YEAR(A720)=2025,XLOOKUP(B720,Lookup!$A$3:$A$7,Lookup!$D$3:$D$7,,1)*SUM(E720:F720), XLOOKUP(B720,Lookup!$A$14:$A$18,Lookup!$D$14:$D$18,,1)*SUM(E720:F720))</f>
        <v>0</v>
      </c>
      <c r="H720" s="61">
        <f t="array" ref="H720">if(YEAR(A720)=2025,XLOOKUP(B720,Lookup!$F$3:$F$10,Lookup!$G$3:$G$10,,1)*G720, XLOOKUP(B720,Lookup!$F$14:$F$21,Lookup!$G$14:$G$21,,1)*G720)</f>
        <v>0</v>
      </c>
      <c r="I720" s="61">
        <f t="array" ref="I720">if(B720&lt;55, if(YEAR(A720)=2025,XLOOKUP(B720,Lookup!$F$3:$F$10,Lookup!$H$3:$H$10,,1)*G720, XLOOKUP(B720,Lookup!$F$14:$F$21,Lookup!$H$14:$H$21,,1)*G720),0)</f>
        <v>0</v>
      </c>
      <c r="J720" s="61">
        <f t="array" ref="J720">if(YEAR(A720)=2025,XLOOKUP(B720,Lookup!$F$3:$F$10,Lookup!$I$3:$I$10,,1)*G720, XLOOKUP(B720,Lookup!$F$14:$F$21,Lookup!$I$14:$I$21,,1)*G720)</f>
        <v>0</v>
      </c>
      <c r="K720" s="61">
        <f t="array" ref="K720">if(B720&gt;54, if(YEAR(A720)=2025,XLOOKUP(B720,Lookup!$F$3:$F$10,Lookup!$H$3:$H$10,,1)*G720, XLOOKUP(B720,Lookup!$F$14:$F$21,Lookup!$H$14:$H$21,,1)*G720),0)</f>
        <v>0</v>
      </c>
      <c r="L720" s="62">
        <f>IF(and(A720&lt;questions!$C$19,questions!$C$18="yes"),questions!$C$20,0)</f>
        <v>0</v>
      </c>
      <c r="M720" s="63">
        <f>(Y719+H720)*Lookup!A$26/12</f>
        <v>3450.952166</v>
      </c>
      <c r="N720" s="63">
        <f>if(B720&lt;55, (Z719+I720)*Lookup!B$26/12, (AB719+K720)*Lookup!B$26/12)</f>
        <v>7198.209857</v>
      </c>
      <c r="O720" s="63">
        <f>(AA719+J720)*Lookup!C$26/12</f>
        <v>940.3700287</v>
      </c>
      <c r="P720" s="63">
        <f t="shared" si="8"/>
        <v>41411.426</v>
      </c>
      <c r="Q720" s="63">
        <f t="shared" si="4"/>
        <v>86378.51829</v>
      </c>
      <c r="R720" s="63">
        <f t="shared" si="5"/>
        <v>11284.44034</v>
      </c>
      <c r="S720" s="64">
        <f t="shared" si="9"/>
        <v>33.33333333</v>
      </c>
      <c r="T720" s="64">
        <f t="shared" si="10"/>
        <v>41.66666667</v>
      </c>
      <c r="U720" s="64">
        <f t="shared" si="11"/>
        <v>0</v>
      </c>
      <c r="V720" s="64">
        <f t="shared" ref="V720:X720" si="728">IF(year($A720)=year($A719), V719+S720, S720)</f>
        <v>400</v>
      </c>
      <c r="W720" s="64">
        <f t="shared" si="728"/>
        <v>500</v>
      </c>
      <c r="X720" s="64">
        <f t="shared" si="728"/>
        <v>0</v>
      </c>
      <c r="Y720" s="65">
        <f>IFS(
  B720&lt;55,
    MAX(
      Y719 + IF(MONTH(A720)=12, P720+V720, 0) + H720 - L720
      + MAX(0,
          IF(AA719 &gt;= VLOOKUP(YEAR(A720), Lookup!$Q:$R, 2),
            Z719 + IF(MONTH(A720)=12, Q720+W720, 0) + I720
              + AA719 + IF(MONTH(A720)=12, R720+X720, 0)
              - VLOOKUP(YEAR(A720), Lookup!$Q:$R, 2) + J720,
            Z719 + IF(MONTH(A720)=12, Q720+W720, 0) + I720
          ) - VLOOKUP(YEAR(A720), Lookup!$K:$M, 3)
        ),
    0),
  B720=55,
    IF(Z719&gt;=AD720,
      MAX(Y719 + IF(MONTH(A720)=12, P720+V720, 0) + H720 - L720, 0),
      MAX(MAX(0, Y719-(AD720-Z719)) + IF(MONTH(A720)=12, P720+V720, 0) + H720 - L720, 0)
    ),
  B720&gt;55,
    IF(AB719&gt;=$AH$7,
      MAX(Y719 + IF(MONTH(A720)=12, P720+V720, 0) + H720 - L720 + K720 + Z719, 0),
      MAX(Y719 + IF(MONTH(A720)=12, P720+V720, 0) + H720 - L720, 0)
    )
)</f>
        <v>1698268.466</v>
      </c>
      <c r="Z720" s="65">
        <f>IFS(
  B720&lt;55,
    MIN(
      IF(AA719 &gt;= VLOOKUP(YEAR(A720), Lookup!$Q:$R, 2),
        Z719 + IF(MONTH(A720)=12, Q720+W720, 0) + I720
          + AA719 + IF(MONTH(A720)=12, R720+X720, 0) - VLOOKUP(YEAR(A720), Lookup!$Q:$R, 2) + J720,
        Z719 + IF(MONTH(A720)=12, Q720+W720, 0) + I720
      ),
      VLOOKUP(YEAR(A720), Lookup!$K:$M, 3)
    ),
  B720=55,
    IF(Z719 &gt;= AD720, Z719 - AD720, 0),
  B720&gt;55, 0
)</f>
        <v>0</v>
      </c>
      <c r="AA720" s="65">
        <f>IFS(
  B720&lt;65,
    IF(AA719+J720 &lt; VLOOKUP(YEAR(A720), Lookup!$Q:$R, 2),
      AA719 + IF(MONTH(A720)=12, R719+X719, 0) + J720,
      MIN(
        AA719 + IF(MONTH(A720)=12, R719+X719, 0) + J720 ,
        VLOOKUP(YEAR(A720), Lookup!$Q:$R, 2)
      )
    ),
  B720&gt;=65,
    IF(AA719+J720 &lt; VLOOKUP(questions!$C$5, Lookup!$Q:$R, 2),
      AA719 + IF(MONTH(A720)=12, R719+X719, 0) + J720 ,
      MIN(
        AA719 + IF(MONTH(A720)=12, R719+X719, 0) + J720,
        VLOOKUP(questions!$C$5, Lookup!$Q:$R, 2)
      )
    )
)</f>
        <v>282111.0086</v>
      </c>
      <c r="AB720" s="65">
        <f t="shared" si="13"/>
        <v>2246341.476</v>
      </c>
      <c r="AC720" s="66">
        <f t="array" ref="AC720">IFS(B720&lt;66, XLOOKUP(year(A720),Lookup!$K$13:$K1000,Lookup!$L$13:$L1000,"missing",,1),B720&gt;65,XLOOKUP(questions!$C$5,Lookup!$K$13:$K1000,Lookup!$L$13:$L1000,"missing",,1))</f>
        <v>393675.3633</v>
      </c>
      <c r="AD720" s="66">
        <f t="array" ref="AD720">IFS(B720&lt;66, XLOOKUP(year(A720),Lookup!$K$13:$K1000,Lookup!$M$13:$M1000,"missing",,1),B720&gt;65, XLOOKUP(questions!$C$5,Lookup!$K$13:$K1000,Lookup!$M$13:$M1000,"missing",,1))</f>
        <v>787350.7266</v>
      </c>
      <c r="AE720" s="66">
        <f t="array" ref="AE720">IFS(B720&lt;66, XLOOKUP(year(A720),Lookup!$K$13:$K1000,Lookup!$N$13:$N1000,"missing",,1),B720&gt;65,XLOOKUP(questions!$C$5,Lookup!$K$13:$K1000,Lookup!$N$13:$N1000,"missing",,1))</f>
        <v>1574701.453</v>
      </c>
      <c r="AF720" s="37"/>
      <c r="AG720" s="37"/>
      <c r="AH720" s="37"/>
      <c r="AI720" s="37"/>
      <c r="AJ720" s="37"/>
      <c r="AK720" s="37"/>
      <c r="AL720" s="37"/>
      <c r="AM720" s="37"/>
      <c r="AN720" s="37"/>
      <c r="AO720" s="37"/>
      <c r="AP720" s="37"/>
      <c r="AQ720" s="37"/>
    </row>
    <row r="721">
      <c r="A721" s="55">
        <f t="shared" si="7"/>
        <v>67968</v>
      </c>
      <c r="B721" s="56">
        <f>round(YEARFRAC(EOMONTH(questions!$C$3, 0),A721,1),2)</f>
        <v>87.17</v>
      </c>
      <c r="C721" s="58">
        <f>IF(B721&lt;questions!$C$6,if(MONTH(A721)=1,C720*(1+questions!$C$12),C720),0)</f>
        <v>0</v>
      </c>
      <c r="D721" s="58">
        <f>IF(MONTH(A721)=12,C721*questions!$C$11,0)</f>
        <v>0</v>
      </c>
      <c r="E721" s="71">
        <f t="shared" si="2"/>
        <v>0</v>
      </c>
      <c r="F721" s="71">
        <f t="shared" si="3"/>
        <v>0</v>
      </c>
      <c r="G721" s="61">
        <f t="array" ref="G721">if(YEAR(A721)=2025,XLOOKUP(B721,Lookup!$A$3:$A$7,Lookup!$D$3:$D$7,,1)*SUM(E721:F721), XLOOKUP(B721,Lookup!$A$14:$A$18,Lookup!$D$14:$D$18,,1)*SUM(E721:F721))</f>
        <v>0</v>
      </c>
      <c r="H721" s="61">
        <f t="array" ref="H721">if(YEAR(A721)=2025,XLOOKUP(B721,Lookup!$F$3:$F$10,Lookup!$G$3:$G$10,,1)*G721, XLOOKUP(B721,Lookup!$F$14:$F$21,Lookup!$G$14:$G$21,,1)*G721)</f>
        <v>0</v>
      </c>
      <c r="I721" s="61">
        <f t="array" ref="I721">if(B721&lt;55, if(YEAR(A721)=2025,XLOOKUP(B721,Lookup!$F$3:$F$10,Lookup!$H$3:$H$10,,1)*G721, XLOOKUP(B721,Lookup!$F$14:$F$21,Lookup!$H$14:$H$21,,1)*G721),0)</f>
        <v>0</v>
      </c>
      <c r="J721" s="61">
        <f t="array" ref="J721">if(YEAR(A721)=2025,XLOOKUP(B721,Lookup!$F$3:$F$10,Lookup!$I$3:$I$10,,1)*G721, XLOOKUP(B721,Lookup!$F$14:$F$21,Lookup!$I$14:$I$21,,1)*G721)</f>
        <v>0</v>
      </c>
      <c r="K721" s="61">
        <f t="array" ref="K721">if(B721&gt;54, if(YEAR(A721)=2025,XLOOKUP(B721,Lookup!$F$3:$F$10,Lookup!$H$3:$H$10,,1)*G721, XLOOKUP(B721,Lookup!$F$14:$F$21,Lookup!$H$14:$H$21,,1)*G721),0)</f>
        <v>0</v>
      </c>
      <c r="L721" s="62">
        <f>IF(and(A721&lt;questions!$C$19,questions!$C$18="yes"),questions!$C$20,0)</f>
        <v>0</v>
      </c>
      <c r="M721" s="63">
        <f>(Y720+H721)*Lookup!A$26/12</f>
        <v>3538.059304</v>
      </c>
      <c r="N721" s="63">
        <f>if(B721&lt;55, (Z720+I721)*Lookup!B$26/12, (AB720+K721)*Lookup!B$26/12)</f>
        <v>7487.804918</v>
      </c>
      <c r="O721" s="63">
        <f>(AA720+J721)*Lookup!C$26/12</f>
        <v>940.3700287</v>
      </c>
      <c r="P721" s="63">
        <f t="shared" si="8"/>
        <v>3538.059304</v>
      </c>
      <c r="Q721" s="63">
        <f t="shared" si="4"/>
        <v>7487.804918</v>
      </c>
      <c r="R721" s="63">
        <f t="shared" si="5"/>
        <v>940.3700287</v>
      </c>
      <c r="S721" s="64">
        <f t="shared" si="9"/>
        <v>33.33333333</v>
      </c>
      <c r="T721" s="64">
        <f t="shared" si="10"/>
        <v>41.66666667</v>
      </c>
      <c r="U721" s="64">
        <f t="shared" si="11"/>
        <v>0</v>
      </c>
      <c r="V721" s="64">
        <f t="shared" ref="V721:X721" si="729">IF(year($A721)=year($A720), V720+S721, S721)</f>
        <v>33.33333333</v>
      </c>
      <c r="W721" s="64">
        <f t="shared" si="729"/>
        <v>41.66666667</v>
      </c>
      <c r="X721" s="64">
        <f t="shared" si="729"/>
        <v>0</v>
      </c>
      <c r="Y721" s="65">
        <f>IFS(
  B721&lt;55,
    MAX(
      Y720 + IF(MONTH(A721)=12, P721+V721, 0) + H721 - L721
      + MAX(0,
          IF(AA720 &gt;= VLOOKUP(YEAR(A721), Lookup!$Q:$R, 2),
            Z720 + IF(MONTH(A721)=12, Q721+W721, 0) + I721
              + AA720 + IF(MONTH(A721)=12, R721+X721, 0)
              - VLOOKUP(YEAR(A721), Lookup!$Q:$R, 2) + J721,
            Z720 + IF(MONTH(A721)=12, Q721+W721, 0) + I721
          ) - VLOOKUP(YEAR(A721), Lookup!$K:$M, 3)
        ),
    0),
  B721=55,
    IF(Z720&gt;=AD721,
      MAX(Y720 + IF(MONTH(A721)=12, P721+V721, 0) + H721 - L721, 0),
      MAX(MAX(0, Y720-(AD721-Z720)) + IF(MONTH(A721)=12, P721+V721, 0) + H721 - L721, 0)
    ),
  B721&gt;55,
    IF(AB720&gt;=$AH$7,
      MAX(Y720 + IF(MONTH(A721)=12, P721+V721, 0) + H721 - L721 + K721 + Z720, 0),
      MAX(Y720 + IF(MONTH(A721)=12, P721+V721, 0) + H721 - L721, 0)
    )
)</f>
        <v>1698268.466</v>
      </c>
      <c r="Z721" s="65">
        <f>IFS(
  B721&lt;55,
    MIN(
      IF(AA720 &gt;= VLOOKUP(YEAR(A721), Lookup!$Q:$R, 2),
        Z720 + IF(MONTH(A721)=12, Q721+W721, 0) + I721
          + AA720 + IF(MONTH(A721)=12, R721+X721, 0) - VLOOKUP(YEAR(A721), Lookup!$Q:$R, 2) + J721,
        Z720 + IF(MONTH(A721)=12, Q721+W721, 0) + I721
      ),
      VLOOKUP(YEAR(A721), Lookup!$K:$M, 3)
    ),
  B721=55,
    IF(Z720 &gt;= AD721, Z720 - AD721, 0),
  B721&gt;55, 0
)</f>
        <v>0</v>
      </c>
      <c r="AA721" s="65">
        <f>IFS(
  B721&lt;65,
    IF(AA720+J721 &lt; VLOOKUP(YEAR(A721), Lookup!$Q:$R, 2),
      AA720 + IF(MONTH(A721)=12, R720+X720, 0) + J721,
      MIN(
        AA720 + IF(MONTH(A721)=12, R720+X720, 0) + J721 ,
        VLOOKUP(YEAR(A721), Lookup!$Q:$R, 2)
      )
    ),
  B721&gt;=65,
    IF(AA720+J721 &lt; VLOOKUP(questions!$C$5, Lookup!$Q:$R, 2),
      AA720 + IF(MONTH(A721)=12, R720+X720, 0) + J721 ,
      MIN(
        AA720 + IF(MONTH(A721)=12, R720+X720, 0) + J721,
        VLOOKUP(questions!$C$5, Lookup!$Q:$R, 2)
      )
    )
)</f>
        <v>282111.0086</v>
      </c>
      <c r="AB721" s="65">
        <f t="shared" si="13"/>
        <v>2246341.476</v>
      </c>
      <c r="AC721" s="66">
        <f t="array" ref="AC721">IFS(B721&lt;66, XLOOKUP(year(A721),Lookup!$K$13:$K1000,Lookup!$L$13:$L1000,"missing",,1),B721&gt;65,XLOOKUP(questions!$C$5,Lookup!$K$13:$K1000,Lookup!$L$13:$L1000,"missing",,1))</f>
        <v>393675.3633</v>
      </c>
      <c r="AD721" s="66">
        <f t="array" ref="AD721">IFS(B721&lt;66, XLOOKUP(year(A721),Lookup!$K$13:$K1000,Lookup!$M$13:$M1000,"missing",,1),B721&gt;65, XLOOKUP(questions!$C$5,Lookup!$K$13:$K1000,Lookup!$M$13:$M1000,"missing",,1))</f>
        <v>787350.7266</v>
      </c>
      <c r="AE721" s="66">
        <f t="array" ref="AE721">IFS(B721&lt;66, XLOOKUP(year(A721),Lookup!$K$13:$K1000,Lookup!$N$13:$N1000,"missing",,1),B721&gt;65,XLOOKUP(questions!$C$5,Lookup!$K$13:$K1000,Lookup!$N$13:$N1000,"missing",,1))</f>
        <v>1574701.453</v>
      </c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7"/>
      <c r="AQ721" s="37"/>
    </row>
    <row r="722">
      <c r="A722" s="55">
        <f t="shared" si="7"/>
        <v>67996</v>
      </c>
      <c r="B722" s="56">
        <f>round(YEARFRAC(EOMONTH(questions!$C$3, 0),A722,1),2)</f>
        <v>87.25</v>
      </c>
      <c r="C722" s="58">
        <f>IF(B722&lt;questions!$C$6,if(MONTH(A722)=1,C721*(1+questions!$C$12),C721),0)</f>
        <v>0</v>
      </c>
      <c r="D722" s="58">
        <f>IF(MONTH(A722)=12,C722*questions!$C$11,0)</f>
        <v>0</v>
      </c>
      <c r="E722" s="71">
        <f t="shared" si="2"/>
        <v>0</v>
      </c>
      <c r="F722" s="71">
        <f t="shared" si="3"/>
        <v>0</v>
      </c>
      <c r="G722" s="61">
        <f t="array" ref="G722">if(YEAR(A722)=2025,XLOOKUP(B722,Lookup!$A$3:$A$7,Lookup!$D$3:$D$7,,1)*SUM(E722:F722), XLOOKUP(B722,Lookup!$A$14:$A$18,Lookup!$D$14:$D$18,,1)*SUM(E722:F722))</f>
        <v>0</v>
      </c>
      <c r="H722" s="61">
        <f t="array" ref="H722">if(YEAR(A722)=2025,XLOOKUP(B722,Lookup!$F$3:$F$10,Lookup!$G$3:$G$10,,1)*G722, XLOOKUP(B722,Lookup!$F$14:$F$21,Lookup!$G$14:$G$21,,1)*G722)</f>
        <v>0</v>
      </c>
      <c r="I722" s="61">
        <f t="array" ref="I722">if(B722&lt;55, if(YEAR(A722)=2025,XLOOKUP(B722,Lookup!$F$3:$F$10,Lookup!$H$3:$H$10,,1)*G722, XLOOKUP(B722,Lookup!$F$14:$F$21,Lookup!$H$14:$H$21,,1)*G722),0)</f>
        <v>0</v>
      </c>
      <c r="J722" s="61">
        <f t="array" ref="J722">if(YEAR(A722)=2025,XLOOKUP(B722,Lookup!$F$3:$F$10,Lookup!$I$3:$I$10,,1)*G722, XLOOKUP(B722,Lookup!$F$14:$F$21,Lookup!$I$14:$I$21,,1)*G722)</f>
        <v>0</v>
      </c>
      <c r="K722" s="61">
        <f t="array" ref="K722">if(B722&gt;54, if(YEAR(A722)=2025,XLOOKUP(B722,Lookup!$F$3:$F$10,Lookup!$H$3:$H$10,,1)*G722, XLOOKUP(B722,Lookup!$F$14:$F$21,Lookup!$H$14:$H$21,,1)*G722),0)</f>
        <v>0</v>
      </c>
      <c r="L722" s="62">
        <f>IF(and(A722&lt;questions!$C$19,questions!$C$18="yes"),questions!$C$20,0)</f>
        <v>0</v>
      </c>
      <c r="M722" s="63">
        <f>(Y721+H722)*Lookup!A$26/12</f>
        <v>3538.059304</v>
      </c>
      <c r="N722" s="63">
        <f>if(B722&lt;55, (Z721+I722)*Lookup!B$26/12, (AB721+K722)*Lookup!B$26/12)</f>
        <v>7487.804918</v>
      </c>
      <c r="O722" s="63">
        <f>(AA721+J722)*Lookup!C$26/12</f>
        <v>940.3700287</v>
      </c>
      <c r="P722" s="63">
        <f t="shared" si="8"/>
        <v>7076.118608</v>
      </c>
      <c r="Q722" s="63">
        <f t="shared" si="4"/>
        <v>14975.60984</v>
      </c>
      <c r="R722" s="63">
        <f t="shared" si="5"/>
        <v>1880.740057</v>
      </c>
      <c r="S722" s="64">
        <f t="shared" si="9"/>
        <v>33.33333333</v>
      </c>
      <c r="T722" s="64">
        <f t="shared" si="10"/>
        <v>41.66666667</v>
      </c>
      <c r="U722" s="64">
        <f t="shared" si="11"/>
        <v>0</v>
      </c>
      <c r="V722" s="64">
        <f t="shared" ref="V722:X722" si="730">IF(year($A722)=year($A721), V721+S722, S722)</f>
        <v>66.66666667</v>
      </c>
      <c r="W722" s="64">
        <f t="shared" si="730"/>
        <v>83.33333333</v>
      </c>
      <c r="X722" s="64">
        <f t="shared" si="730"/>
        <v>0</v>
      </c>
      <c r="Y722" s="65">
        <f>IFS(
  B722&lt;55,
    MAX(
      Y721 + IF(MONTH(A722)=12, P722+V722, 0) + H722 - L722
      + MAX(0,
          IF(AA721 &gt;= VLOOKUP(YEAR(A722), Lookup!$Q:$R, 2),
            Z721 + IF(MONTH(A722)=12, Q722+W722, 0) + I722
              + AA721 + IF(MONTH(A722)=12, R722+X722, 0)
              - VLOOKUP(YEAR(A722), Lookup!$Q:$R, 2) + J722,
            Z721 + IF(MONTH(A722)=12, Q722+W722, 0) + I722
          ) - VLOOKUP(YEAR(A722), Lookup!$K:$M, 3)
        ),
    0),
  B722=55,
    IF(Z721&gt;=AD722,
      MAX(Y721 + IF(MONTH(A722)=12, P722+V722, 0) + H722 - L722, 0),
      MAX(MAX(0, Y721-(AD722-Z721)) + IF(MONTH(A722)=12, P722+V722, 0) + H722 - L722, 0)
    ),
  B722&gt;55,
    IF(AB721&gt;=$AH$7,
      MAX(Y721 + IF(MONTH(A722)=12, P722+V722, 0) + H722 - L722 + K722 + Z721, 0),
      MAX(Y721 + IF(MONTH(A722)=12, P722+V722, 0) + H722 - L722, 0)
    )
)</f>
        <v>1698268.466</v>
      </c>
      <c r="Z722" s="65">
        <f>IFS(
  B722&lt;55,
    MIN(
      IF(AA721 &gt;= VLOOKUP(YEAR(A722), Lookup!$Q:$R, 2),
        Z721 + IF(MONTH(A722)=12, Q722+W722, 0) + I722
          + AA721 + IF(MONTH(A722)=12, R722+X722, 0) - VLOOKUP(YEAR(A722), Lookup!$Q:$R, 2) + J722,
        Z721 + IF(MONTH(A722)=12, Q722+W722, 0) + I722
      ),
      VLOOKUP(YEAR(A722), Lookup!$K:$M, 3)
    ),
  B722=55,
    IF(Z721 &gt;= AD722, Z721 - AD722, 0),
  B722&gt;55, 0
)</f>
        <v>0</v>
      </c>
      <c r="AA722" s="65">
        <f>IFS(
  B722&lt;65,
    IF(AA721+J722 &lt; VLOOKUP(YEAR(A722), Lookup!$Q:$R, 2),
      AA721 + IF(MONTH(A722)=12, R721+X721, 0) + J722,
      MIN(
        AA721 + IF(MONTH(A722)=12, R721+X721, 0) + J722 ,
        VLOOKUP(YEAR(A722), Lookup!$Q:$R, 2)
      )
    ),
  B722&gt;=65,
    IF(AA721+J722 &lt; VLOOKUP(questions!$C$5, Lookup!$Q:$R, 2),
      AA721 + IF(MONTH(A722)=12, R721+X721, 0) + J722 ,
      MIN(
        AA721 + IF(MONTH(A722)=12, R721+X721, 0) + J722,
        VLOOKUP(questions!$C$5, Lookup!$Q:$R, 2)
      )
    )
)</f>
        <v>282111.0086</v>
      </c>
      <c r="AB722" s="65">
        <f t="shared" si="13"/>
        <v>2246341.476</v>
      </c>
      <c r="AC722" s="66">
        <f t="array" ref="AC722">IFS(B722&lt;66, XLOOKUP(year(A722),Lookup!$K$13:$K1000,Lookup!$L$13:$L1000,"missing",,1),B722&gt;65,XLOOKUP(questions!$C$5,Lookup!$K$13:$K1000,Lookup!$L$13:$L1000,"missing",,1))</f>
        <v>393675.3633</v>
      </c>
      <c r="AD722" s="66">
        <f t="array" ref="AD722">IFS(B722&lt;66, XLOOKUP(year(A722),Lookup!$K$13:$K1000,Lookup!$M$13:$M1000,"missing",,1),B722&gt;65, XLOOKUP(questions!$C$5,Lookup!$K$13:$K1000,Lookup!$M$13:$M1000,"missing",,1))</f>
        <v>787350.7266</v>
      </c>
      <c r="AE722" s="66">
        <f t="array" ref="AE722">IFS(B722&lt;66, XLOOKUP(year(A722),Lookup!$K$13:$K1000,Lookup!$N$13:$N1000,"missing",,1),B722&gt;65,XLOOKUP(questions!$C$5,Lookup!$K$13:$K1000,Lookup!$N$13:$N1000,"missing",,1))</f>
        <v>1574701.453</v>
      </c>
      <c r="AF722" s="37"/>
      <c r="AG722" s="37"/>
      <c r="AH722" s="37"/>
      <c r="AI722" s="37"/>
      <c r="AJ722" s="37"/>
      <c r="AK722" s="37"/>
      <c r="AL722" s="37"/>
      <c r="AM722" s="37"/>
      <c r="AN722" s="37"/>
      <c r="AO722" s="37"/>
      <c r="AP722" s="37"/>
      <c r="AQ722" s="37"/>
    </row>
    <row r="723">
      <c r="A723" s="55">
        <f t="shared" si="7"/>
        <v>68027</v>
      </c>
      <c r="B723" s="56">
        <f>round(YEARFRAC(EOMONTH(questions!$C$3, 0),A723,1),2)</f>
        <v>87.33</v>
      </c>
      <c r="C723" s="58">
        <f>IF(B723&lt;questions!$C$6,if(MONTH(A723)=1,C722*(1+questions!$C$12),C722),0)</f>
        <v>0</v>
      </c>
      <c r="D723" s="58">
        <f>IF(MONTH(A723)=12,C723*questions!$C$11,0)</f>
        <v>0</v>
      </c>
      <c r="E723" s="71">
        <f t="shared" si="2"/>
        <v>0</v>
      </c>
      <c r="F723" s="71">
        <f t="shared" si="3"/>
        <v>0</v>
      </c>
      <c r="G723" s="61">
        <f t="array" ref="G723">if(YEAR(A723)=2025,XLOOKUP(B723,Lookup!$A$3:$A$7,Lookup!$D$3:$D$7,,1)*SUM(E723:F723), XLOOKUP(B723,Lookup!$A$14:$A$18,Lookup!$D$14:$D$18,,1)*SUM(E723:F723))</f>
        <v>0</v>
      </c>
      <c r="H723" s="61">
        <f t="array" ref="H723">if(YEAR(A723)=2025,XLOOKUP(B723,Lookup!$F$3:$F$10,Lookup!$G$3:$G$10,,1)*G723, XLOOKUP(B723,Lookup!$F$14:$F$21,Lookup!$G$14:$G$21,,1)*G723)</f>
        <v>0</v>
      </c>
      <c r="I723" s="61">
        <f t="array" ref="I723">if(B723&lt;55, if(YEAR(A723)=2025,XLOOKUP(B723,Lookup!$F$3:$F$10,Lookup!$H$3:$H$10,,1)*G723, XLOOKUP(B723,Lookup!$F$14:$F$21,Lookup!$H$14:$H$21,,1)*G723),0)</f>
        <v>0</v>
      </c>
      <c r="J723" s="61">
        <f t="array" ref="J723">if(YEAR(A723)=2025,XLOOKUP(B723,Lookup!$F$3:$F$10,Lookup!$I$3:$I$10,,1)*G723, XLOOKUP(B723,Lookup!$F$14:$F$21,Lookup!$I$14:$I$21,,1)*G723)</f>
        <v>0</v>
      </c>
      <c r="K723" s="61">
        <f t="array" ref="K723">if(B723&gt;54, if(YEAR(A723)=2025,XLOOKUP(B723,Lookup!$F$3:$F$10,Lookup!$H$3:$H$10,,1)*G723, XLOOKUP(B723,Lookup!$F$14:$F$21,Lookup!$H$14:$H$21,,1)*G723),0)</f>
        <v>0</v>
      </c>
      <c r="L723" s="62">
        <f>IF(and(A723&lt;questions!$C$19,questions!$C$18="yes"),questions!$C$20,0)</f>
        <v>0</v>
      </c>
      <c r="M723" s="63">
        <f>(Y722+H723)*Lookup!A$26/12</f>
        <v>3538.059304</v>
      </c>
      <c r="N723" s="63">
        <f>if(B723&lt;55, (Z722+I723)*Lookup!B$26/12, (AB722+K723)*Lookup!B$26/12)</f>
        <v>7487.804918</v>
      </c>
      <c r="O723" s="63">
        <f>(AA722+J723)*Lookup!C$26/12</f>
        <v>940.3700287</v>
      </c>
      <c r="P723" s="63">
        <f t="shared" si="8"/>
        <v>10614.17791</v>
      </c>
      <c r="Q723" s="63">
        <f t="shared" si="4"/>
        <v>22463.41476</v>
      </c>
      <c r="R723" s="63">
        <f t="shared" si="5"/>
        <v>2821.110086</v>
      </c>
      <c r="S723" s="64">
        <f t="shared" si="9"/>
        <v>33.33333333</v>
      </c>
      <c r="T723" s="64">
        <f t="shared" si="10"/>
        <v>41.66666667</v>
      </c>
      <c r="U723" s="64">
        <f t="shared" si="11"/>
        <v>0</v>
      </c>
      <c r="V723" s="64">
        <f t="shared" ref="V723:X723" si="731">IF(year($A723)=year($A722), V722+S723, S723)</f>
        <v>100</v>
      </c>
      <c r="W723" s="64">
        <f t="shared" si="731"/>
        <v>125</v>
      </c>
      <c r="X723" s="64">
        <f t="shared" si="731"/>
        <v>0</v>
      </c>
      <c r="Y723" s="65">
        <f>IFS(
  B723&lt;55,
    MAX(
      Y722 + IF(MONTH(A723)=12, P723+V723, 0) + H723 - L723
      + MAX(0,
          IF(AA722 &gt;= VLOOKUP(YEAR(A723), Lookup!$Q:$R, 2),
            Z722 + IF(MONTH(A723)=12, Q723+W723, 0) + I723
              + AA722 + IF(MONTH(A723)=12, R723+X723, 0)
              - VLOOKUP(YEAR(A723), Lookup!$Q:$R, 2) + J723,
            Z722 + IF(MONTH(A723)=12, Q723+W723, 0) + I723
          ) - VLOOKUP(YEAR(A723), Lookup!$K:$M, 3)
        ),
    0),
  B723=55,
    IF(Z722&gt;=AD723,
      MAX(Y722 + IF(MONTH(A723)=12, P723+V723, 0) + H723 - L723, 0),
      MAX(MAX(0, Y722-(AD723-Z722)) + IF(MONTH(A723)=12, P723+V723, 0) + H723 - L723, 0)
    ),
  B723&gt;55,
    IF(AB722&gt;=$AH$7,
      MAX(Y722 + IF(MONTH(A723)=12, P723+V723, 0) + H723 - L723 + K723 + Z722, 0),
      MAX(Y722 + IF(MONTH(A723)=12, P723+V723, 0) + H723 - L723, 0)
    )
)</f>
        <v>1698268.466</v>
      </c>
      <c r="Z723" s="65">
        <f>IFS(
  B723&lt;55,
    MIN(
      IF(AA722 &gt;= VLOOKUP(YEAR(A723), Lookup!$Q:$R, 2),
        Z722 + IF(MONTH(A723)=12, Q723+W723, 0) + I723
          + AA722 + IF(MONTH(A723)=12, R723+X723, 0) - VLOOKUP(YEAR(A723), Lookup!$Q:$R, 2) + J723,
        Z722 + IF(MONTH(A723)=12, Q723+W723, 0) + I723
      ),
      VLOOKUP(YEAR(A723), Lookup!$K:$M, 3)
    ),
  B723=55,
    IF(Z722 &gt;= AD723, Z722 - AD723, 0),
  B723&gt;55, 0
)</f>
        <v>0</v>
      </c>
      <c r="AA723" s="65">
        <f>IFS(
  B723&lt;65,
    IF(AA722+J723 &lt; VLOOKUP(YEAR(A723), Lookup!$Q:$R, 2),
      AA722 + IF(MONTH(A723)=12, R722+X722, 0) + J723,
      MIN(
        AA722 + IF(MONTH(A723)=12, R722+X722, 0) + J723 ,
        VLOOKUP(YEAR(A723), Lookup!$Q:$R, 2)
      )
    ),
  B723&gt;=65,
    IF(AA722+J723 &lt; VLOOKUP(questions!$C$5, Lookup!$Q:$R, 2),
      AA722 + IF(MONTH(A723)=12, R722+X722, 0) + J723 ,
      MIN(
        AA722 + IF(MONTH(A723)=12, R722+X722, 0) + J723,
        VLOOKUP(questions!$C$5, Lookup!$Q:$R, 2)
      )
    )
)</f>
        <v>282111.0086</v>
      </c>
      <c r="AB723" s="65">
        <f t="shared" si="13"/>
        <v>2246341.476</v>
      </c>
      <c r="AC723" s="66">
        <f t="array" ref="AC723">IFS(B723&lt;66, XLOOKUP(year(A723),Lookup!$K$13:$K1000,Lookup!$L$13:$L1000,"missing",,1),B723&gt;65,XLOOKUP(questions!$C$5,Lookup!$K$13:$K1000,Lookup!$L$13:$L1000,"missing",,1))</f>
        <v>393675.3633</v>
      </c>
      <c r="AD723" s="66">
        <f t="array" ref="AD723">IFS(B723&lt;66, XLOOKUP(year(A723),Lookup!$K$13:$K1000,Lookup!$M$13:$M1000,"missing",,1),B723&gt;65, XLOOKUP(questions!$C$5,Lookup!$K$13:$K1000,Lookup!$M$13:$M1000,"missing",,1))</f>
        <v>787350.7266</v>
      </c>
      <c r="AE723" s="66">
        <f t="array" ref="AE723">IFS(B723&lt;66, XLOOKUP(year(A723),Lookup!$K$13:$K1000,Lookup!$N$13:$N1000,"missing",,1),B723&gt;65,XLOOKUP(questions!$C$5,Lookup!$K$13:$K1000,Lookup!$N$13:$N1000,"missing",,1))</f>
        <v>1574701.453</v>
      </c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7"/>
      <c r="AQ723" s="37"/>
    </row>
    <row r="724">
      <c r="A724" s="55">
        <f t="shared" si="7"/>
        <v>68057</v>
      </c>
      <c r="B724" s="56">
        <f>round(YEARFRAC(EOMONTH(questions!$C$3, 0),A724,1),2)</f>
        <v>87.41</v>
      </c>
      <c r="C724" s="58">
        <f>IF(B724&lt;questions!$C$6,if(MONTH(A724)=1,C723*(1+questions!$C$12),C723),0)</f>
        <v>0</v>
      </c>
      <c r="D724" s="58">
        <f>IF(MONTH(A724)=12,C724*questions!$C$11,0)</f>
        <v>0</v>
      </c>
      <c r="E724" s="71">
        <f t="shared" si="2"/>
        <v>0</v>
      </c>
      <c r="F724" s="71">
        <f t="shared" si="3"/>
        <v>0</v>
      </c>
      <c r="G724" s="61">
        <f t="array" ref="G724">if(YEAR(A724)=2025,XLOOKUP(B724,Lookup!$A$3:$A$7,Lookup!$D$3:$D$7,,1)*SUM(E724:F724), XLOOKUP(B724,Lookup!$A$14:$A$18,Lookup!$D$14:$D$18,,1)*SUM(E724:F724))</f>
        <v>0</v>
      </c>
      <c r="H724" s="61">
        <f t="array" ref="H724">if(YEAR(A724)=2025,XLOOKUP(B724,Lookup!$F$3:$F$10,Lookup!$G$3:$G$10,,1)*G724, XLOOKUP(B724,Lookup!$F$14:$F$21,Lookup!$G$14:$G$21,,1)*G724)</f>
        <v>0</v>
      </c>
      <c r="I724" s="61">
        <f t="array" ref="I724">if(B724&lt;55, if(YEAR(A724)=2025,XLOOKUP(B724,Lookup!$F$3:$F$10,Lookup!$H$3:$H$10,,1)*G724, XLOOKUP(B724,Lookup!$F$14:$F$21,Lookup!$H$14:$H$21,,1)*G724),0)</f>
        <v>0</v>
      </c>
      <c r="J724" s="61">
        <f t="array" ref="J724">if(YEAR(A724)=2025,XLOOKUP(B724,Lookup!$F$3:$F$10,Lookup!$I$3:$I$10,,1)*G724, XLOOKUP(B724,Lookup!$F$14:$F$21,Lookup!$I$14:$I$21,,1)*G724)</f>
        <v>0</v>
      </c>
      <c r="K724" s="61">
        <f t="array" ref="K724">if(B724&gt;54, if(YEAR(A724)=2025,XLOOKUP(B724,Lookup!$F$3:$F$10,Lookup!$H$3:$H$10,,1)*G724, XLOOKUP(B724,Lookup!$F$14:$F$21,Lookup!$H$14:$H$21,,1)*G724),0)</f>
        <v>0</v>
      </c>
      <c r="L724" s="62">
        <f>IF(and(A724&lt;questions!$C$19,questions!$C$18="yes"),questions!$C$20,0)</f>
        <v>0</v>
      </c>
      <c r="M724" s="63">
        <f>(Y723+H724)*Lookup!A$26/12</f>
        <v>3538.059304</v>
      </c>
      <c r="N724" s="63">
        <f>if(B724&lt;55, (Z723+I724)*Lookup!B$26/12, (AB723+K724)*Lookup!B$26/12)</f>
        <v>7487.804918</v>
      </c>
      <c r="O724" s="63">
        <f>(AA723+J724)*Lookup!C$26/12</f>
        <v>940.3700287</v>
      </c>
      <c r="P724" s="63">
        <f t="shared" si="8"/>
        <v>14152.23722</v>
      </c>
      <c r="Q724" s="63">
        <f t="shared" si="4"/>
        <v>29951.21967</v>
      </c>
      <c r="R724" s="63">
        <f t="shared" si="5"/>
        <v>3761.480115</v>
      </c>
      <c r="S724" s="64">
        <f t="shared" si="9"/>
        <v>33.33333333</v>
      </c>
      <c r="T724" s="64">
        <f t="shared" si="10"/>
        <v>41.66666667</v>
      </c>
      <c r="U724" s="64">
        <f t="shared" si="11"/>
        <v>0</v>
      </c>
      <c r="V724" s="64">
        <f t="shared" ref="V724:X724" si="732">IF(year($A724)=year($A723), V723+S724, S724)</f>
        <v>133.3333333</v>
      </c>
      <c r="W724" s="64">
        <f t="shared" si="732"/>
        <v>166.6666667</v>
      </c>
      <c r="X724" s="64">
        <f t="shared" si="732"/>
        <v>0</v>
      </c>
      <c r="Y724" s="65">
        <f>IFS(
  B724&lt;55,
    MAX(
      Y723 + IF(MONTH(A724)=12, P724+V724, 0) + H724 - L724
      + MAX(0,
          IF(AA723 &gt;= VLOOKUP(YEAR(A724), Lookup!$Q:$R, 2),
            Z723 + IF(MONTH(A724)=12, Q724+W724, 0) + I724
              + AA723 + IF(MONTH(A724)=12, R724+X724, 0)
              - VLOOKUP(YEAR(A724), Lookup!$Q:$R, 2) + J724,
            Z723 + IF(MONTH(A724)=12, Q724+W724, 0) + I724
          ) - VLOOKUP(YEAR(A724), Lookup!$K:$M, 3)
        ),
    0),
  B724=55,
    IF(Z723&gt;=AD724,
      MAX(Y723 + IF(MONTH(A724)=12, P724+V724, 0) + H724 - L724, 0),
      MAX(MAX(0, Y723-(AD724-Z723)) + IF(MONTH(A724)=12, P724+V724, 0) + H724 - L724, 0)
    ),
  B724&gt;55,
    IF(AB723&gt;=$AH$7,
      MAX(Y723 + IF(MONTH(A724)=12, P724+V724, 0) + H724 - L724 + K724 + Z723, 0),
      MAX(Y723 + IF(MONTH(A724)=12, P724+V724, 0) + H724 - L724, 0)
    )
)</f>
        <v>1698268.466</v>
      </c>
      <c r="Z724" s="65">
        <f>IFS(
  B724&lt;55,
    MIN(
      IF(AA723 &gt;= VLOOKUP(YEAR(A724), Lookup!$Q:$R, 2),
        Z723 + IF(MONTH(A724)=12, Q724+W724, 0) + I724
          + AA723 + IF(MONTH(A724)=12, R724+X724, 0) - VLOOKUP(YEAR(A724), Lookup!$Q:$R, 2) + J724,
        Z723 + IF(MONTH(A724)=12, Q724+W724, 0) + I724
      ),
      VLOOKUP(YEAR(A724), Lookup!$K:$M, 3)
    ),
  B724=55,
    IF(Z723 &gt;= AD724, Z723 - AD724, 0),
  B724&gt;55, 0
)</f>
        <v>0</v>
      </c>
      <c r="AA724" s="65">
        <f>IFS(
  B724&lt;65,
    IF(AA723+J724 &lt; VLOOKUP(YEAR(A724), Lookup!$Q:$R, 2),
      AA723 + IF(MONTH(A724)=12, R723+X723, 0) + J724,
      MIN(
        AA723 + IF(MONTH(A724)=12, R723+X723, 0) + J724 ,
        VLOOKUP(YEAR(A724), Lookup!$Q:$R, 2)
      )
    ),
  B724&gt;=65,
    IF(AA723+J724 &lt; VLOOKUP(questions!$C$5, Lookup!$Q:$R, 2),
      AA723 + IF(MONTH(A724)=12, R723+X723, 0) + J724 ,
      MIN(
        AA723 + IF(MONTH(A724)=12, R723+X723, 0) + J724,
        VLOOKUP(questions!$C$5, Lookup!$Q:$R, 2)
      )
    )
)</f>
        <v>282111.0086</v>
      </c>
      <c r="AB724" s="65">
        <f t="shared" si="13"/>
        <v>2246341.476</v>
      </c>
      <c r="AC724" s="66">
        <f t="array" ref="AC724">IFS(B724&lt;66, XLOOKUP(year(A724),Lookup!$K$13:$K1000,Lookup!$L$13:$L1000,"missing",,1),B724&gt;65,XLOOKUP(questions!$C$5,Lookup!$K$13:$K1000,Lookup!$L$13:$L1000,"missing",,1))</f>
        <v>393675.3633</v>
      </c>
      <c r="AD724" s="66">
        <f t="array" ref="AD724">IFS(B724&lt;66, XLOOKUP(year(A724),Lookup!$K$13:$K1000,Lookup!$M$13:$M1000,"missing",,1),B724&gt;65, XLOOKUP(questions!$C$5,Lookup!$K$13:$K1000,Lookup!$M$13:$M1000,"missing",,1))</f>
        <v>787350.7266</v>
      </c>
      <c r="AE724" s="66">
        <f t="array" ref="AE724">IFS(B724&lt;66, XLOOKUP(year(A724),Lookup!$K$13:$K1000,Lookup!$N$13:$N1000,"missing",,1),B724&gt;65,XLOOKUP(questions!$C$5,Lookup!$K$13:$K1000,Lookup!$N$13:$N1000,"missing",,1))</f>
        <v>1574701.453</v>
      </c>
      <c r="AF724" s="37"/>
      <c r="AG724" s="37"/>
      <c r="AH724" s="37"/>
      <c r="AI724" s="37"/>
      <c r="AJ724" s="37"/>
      <c r="AK724" s="37"/>
      <c r="AL724" s="37"/>
      <c r="AM724" s="37"/>
      <c r="AN724" s="37"/>
      <c r="AO724" s="37"/>
      <c r="AP724" s="37"/>
      <c r="AQ724" s="37"/>
    </row>
    <row r="725">
      <c r="A725" s="55">
        <f t="shared" si="7"/>
        <v>68088</v>
      </c>
      <c r="B725" s="56">
        <f>round(YEARFRAC(EOMONTH(questions!$C$3, 0),A725,1),2)</f>
        <v>87.5</v>
      </c>
      <c r="C725" s="58">
        <f>IF(B725&lt;questions!$C$6,if(MONTH(A725)=1,C724*(1+questions!$C$12),C724),0)</f>
        <v>0</v>
      </c>
      <c r="D725" s="58">
        <f>IF(MONTH(A725)=12,C725*questions!$C$11,0)</f>
        <v>0</v>
      </c>
      <c r="E725" s="71">
        <f t="shared" si="2"/>
        <v>0</v>
      </c>
      <c r="F725" s="71">
        <f t="shared" si="3"/>
        <v>0</v>
      </c>
      <c r="G725" s="61">
        <f t="array" ref="G725">if(YEAR(A725)=2025,XLOOKUP(B725,Lookup!$A$3:$A$7,Lookup!$D$3:$D$7,,1)*SUM(E725:F725), XLOOKUP(B725,Lookup!$A$14:$A$18,Lookup!$D$14:$D$18,,1)*SUM(E725:F725))</f>
        <v>0</v>
      </c>
      <c r="H725" s="61">
        <f t="array" ref="H725">if(YEAR(A725)=2025,XLOOKUP(B725,Lookup!$F$3:$F$10,Lookup!$G$3:$G$10,,1)*G725, XLOOKUP(B725,Lookup!$F$14:$F$21,Lookup!$G$14:$G$21,,1)*G725)</f>
        <v>0</v>
      </c>
      <c r="I725" s="61">
        <f t="array" ref="I725">if(B725&lt;55, if(YEAR(A725)=2025,XLOOKUP(B725,Lookup!$F$3:$F$10,Lookup!$H$3:$H$10,,1)*G725, XLOOKUP(B725,Lookup!$F$14:$F$21,Lookup!$H$14:$H$21,,1)*G725),0)</f>
        <v>0</v>
      </c>
      <c r="J725" s="61">
        <f t="array" ref="J725">if(YEAR(A725)=2025,XLOOKUP(B725,Lookup!$F$3:$F$10,Lookup!$I$3:$I$10,,1)*G725, XLOOKUP(B725,Lookup!$F$14:$F$21,Lookup!$I$14:$I$21,,1)*G725)</f>
        <v>0</v>
      </c>
      <c r="K725" s="61">
        <f t="array" ref="K725">if(B725&gt;54, if(YEAR(A725)=2025,XLOOKUP(B725,Lookup!$F$3:$F$10,Lookup!$H$3:$H$10,,1)*G725, XLOOKUP(B725,Lookup!$F$14:$F$21,Lookup!$H$14:$H$21,,1)*G725),0)</f>
        <v>0</v>
      </c>
      <c r="L725" s="62">
        <f>IF(and(A725&lt;questions!$C$19,questions!$C$18="yes"),questions!$C$20,0)</f>
        <v>0</v>
      </c>
      <c r="M725" s="63">
        <f>(Y724+H725)*Lookup!A$26/12</f>
        <v>3538.059304</v>
      </c>
      <c r="N725" s="63">
        <f>if(B725&lt;55, (Z724+I725)*Lookup!B$26/12, (AB724+K725)*Lookup!B$26/12)</f>
        <v>7487.804918</v>
      </c>
      <c r="O725" s="63">
        <f>(AA724+J725)*Lookup!C$26/12</f>
        <v>940.3700287</v>
      </c>
      <c r="P725" s="63">
        <f t="shared" si="8"/>
        <v>17690.29652</v>
      </c>
      <c r="Q725" s="63">
        <f t="shared" si="4"/>
        <v>37439.02459</v>
      </c>
      <c r="R725" s="63">
        <f t="shared" si="5"/>
        <v>4701.850143</v>
      </c>
      <c r="S725" s="64">
        <f t="shared" si="9"/>
        <v>33.33333333</v>
      </c>
      <c r="T725" s="64">
        <f t="shared" si="10"/>
        <v>41.66666667</v>
      </c>
      <c r="U725" s="64">
        <f t="shared" si="11"/>
        <v>0</v>
      </c>
      <c r="V725" s="64">
        <f t="shared" ref="V725:X725" si="733">IF(year($A725)=year($A724), V724+S725, S725)</f>
        <v>166.6666667</v>
      </c>
      <c r="W725" s="64">
        <f t="shared" si="733"/>
        <v>208.3333333</v>
      </c>
      <c r="X725" s="64">
        <f t="shared" si="733"/>
        <v>0</v>
      </c>
      <c r="Y725" s="65">
        <f>IFS(
  B725&lt;55,
    MAX(
      Y724 + IF(MONTH(A725)=12, P725+V725, 0) + H725 - L725
      + MAX(0,
          IF(AA724 &gt;= VLOOKUP(YEAR(A725), Lookup!$Q:$R, 2),
            Z724 + IF(MONTH(A725)=12, Q725+W725, 0) + I725
              + AA724 + IF(MONTH(A725)=12, R725+X725, 0)
              - VLOOKUP(YEAR(A725), Lookup!$Q:$R, 2) + J725,
            Z724 + IF(MONTH(A725)=12, Q725+W725, 0) + I725
          ) - VLOOKUP(YEAR(A725), Lookup!$K:$M, 3)
        ),
    0),
  B725=55,
    IF(Z724&gt;=AD725,
      MAX(Y724 + IF(MONTH(A725)=12, P725+V725, 0) + H725 - L725, 0),
      MAX(MAX(0, Y724-(AD725-Z724)) + IF(MONTH(A725)=12, P725+V725, 0) + H725 - L725, 0)
    ),
  B725&gt;55,
    IF(AB724&gt;=$AH$7,
      MAX(Y724 + IF(MONTH(A725)=12, P725+V725, 0) + H725 - L725 + K725 + Z724, 0),
      MAX(Y724 + IF(MONTH(A725)=12, P725+V725, 0) + H725 - L725, 0)
    )
)</f>
        <v>1698268.466</v>
      </c>
      <c r="Z725" s="65">
        <f>IFS(
  B725&lt;55,
    MIN(
      IF(AA724 &gt;= VLOOKUP(YEAR(A725), Lookup!$Q:$R, 2),
        Z724 + IF(MONTH(A725)=12, Q725+W725, 0) + I725
          + AA724 + IF(MONTH(A725)=12, R725+X725, 0) - VLOOKUP(YEAR(A725), Lookup!$Q:$R, 2) + J725,
        Z724 + IF(MONTH(A725)=12, Q725+W725, 0) + I725
      ),
      VLOOKUP(YEAR(A725), Lookup!$K:$M, 3)
    ),
  B725=55,
    IF(Z724 &gt;= AD725, Z724 - AD725, 0),
  B725&gt;55, 0
)</f>
        <v>0</v>
      </c>
      <c r="AA725" s="65">
        <f>IFS(
  B725&lt;65,
    IF(AA724+J725 &lt; VLOOKUP(YEAR(A725), Lookup!$Q:$R, 2),
      AA724 + IF(MONTH(A725)=12, R724+X724, 0) + J725,
      MIN(
        AA724 + IF(MONTH(A725)=12, R724+X724, 0) + J725 ,
        VLOOKUP(YEAR(A725), Lookup!$Q:$R, 2)
      )
    ),
  B725&gt;=65,
    IF(AA724+J725 &lt; VLOOKUP(questions!$C$5, Lookup!$Q:$R, 2),
      AA724 + IF(MONTH(A725)=12, R724+X724, 0) + J725 ,
      MIN(
        AA724 + IF(MONTH(A725)=12, R724+X724, 0) + J725,
        VLOOKUP(questions!$C$5, Lookup!$Q:$R, 2)
      )
    )
)</f>
        <v>282111.0086</v>
      </c>
      <c r="AB725" s="65">
        <f t="shared" si="13"/>
        <v>2246341.476</v>
      </c>
      <c r="AC725" s="66">
        <f t="array" ref="AC725">IFS(B725&lt;66, XLOOKUP(year(A725),Lookup!$K$13:$K1000,Lookup!$L$13:$L1000,"missing",,1),B725&gt;65,XLOOKUP(questions!$C$5,Lookup!$K$13:$K1000,Lookup!$L$13:$L1000,"missing",,1))</f>
        <v>393675.3633</v>
      </c>
      <c r="AD725" s="66">
        <f t="array" ref="AD725">IFS(B725&lt;66, XLOOKUP(year(A725),Lookup!$K$13:$K1000,Lookup!$M$13:$M1000,"missing",,1),B725&gt;65, XLOOKUP(questions!$C$5,Lookup!$K$13:$K1000,Lookup!$M$13:$M1000,"missing",,1))</f>
        <v>787350.7266</v>
      </c>
      <c r="AE725" s="66">
        <f t="array" ref="AE725">IFS(B725&lt;66, XLOOKUP(year(A725),Lookup!$K$13:$K1000,Lookup!$N$13:$N1000,"missing",,1),B725&gt;65,XLOOKUP(questions!$C$5,Lookup!$K$13:$K1000,Lookup!$N$13:$N1000,"missing",,1))</f>
        <v>1574701.453</v>
      </c>
      <c r="AF725" s="37"/>
      <c r="AG725" s="37"/>
      <c r="AH725" s="37"/>
      <c r="AI725" s="37"/>
      <c r="AJ725" s="37"/>
      <c r="AK725" s="37"/>
      <c r="AL725" s="37"/>
      <c r="AM725" s="37"/>
      <c r="AN725" s="37"/>
      <c r="AO725" s="37"/>
      <c r="AP725" s="37"/>
      <c r="AQ725" s="37"/>
    </row>
    <row r="726">
      <c r="A726" s="55">
        <f t="shared" si="7"/>
        <v>68118</v>
      </c>
      <c r="B726" s="56">
        <f>round(YEARFRAC(EOMONTH(questions!$C$3, 0),A726,1),2)</f>
        <v>87.58</v>
      </c>
      <c r="C726" s="58">
        <f>IF(B726&lt;questions!$C$6,if(MONTH(A726)=1,C725*(1+questions!$C$12),C725),0)</f>
        <v>0</v>
      </c>
      <c r="D726" s="58">
        <f>IF(MONTH(A726)=12,C726*questions!$C$11,0)</f>
        <v>0</v>
      </c>
      <c r="E726" s="71">
        <f t="shared" si="2"/>
        <v>0</v>
      </c>
      <c r="F726" s="71">
        <f t="shared" si="3"/>
        <v>0</v>
      </c>
      <c r="G726" s="61">
        <f t="array" ref="G726">if(YEAR(A726)=2025,XLOOKUP(B726,Lookup!$A$3:$A$7,Lookup!$D$3:$D$7,,1)*SUM(E726:F726), XLOOKUP(B726,Lookup!$A$14:$A$18,Lookup!$D$14:$D$18,,1)*SUM(E726:F726))</f>
        <v>0</v>
      </c>
      <c r="H726" s="61">
        <f t="array" ref="H726">if(YEAR(A726)=2025,XLOOKUP(B726,Lookup!$F$3:$F$10,Lookup!$G$3:$G$10,,1)*G726, XLOOKUP(B726,Lookup!$F$14:$F$21,Lookup!$G$14:$G$21,,1)*G726)</f>
        <v>0</v>
      </c>
      <c r="I726" s="61">
        <f t="array" ref="I726">if(B726&lt;55, if(YEAR(A726)=2025,XLOOKUP(B726,Lookup!$F$3:$F$10,Lookup!$H$3:$H$10,,1)*G726, XLOOKUP(B726,Lookup!$F$14:$F$21,Lookup!$H$14:$H$21,,1)*G726),0)</f>
        <v>0</v>
      </c>
      <c r="J726" s="61">
        <f t="array" ref="J726">if(YEAR(A726)=2025,XLOOKUP(B726,Lookup!$F$3:$F$10,Lookup!$I$3:$I$10,,1)*G726, XLOOKUP(B726,Lookup!$F$14:$F$21,Lookup!$I$14:$I$21,,1)*G726)</f>
        <v>0</v>
      </c>
      <c r="K726" s="61">
        <f t="array" ref="K726">if(B726&gt;54, if(YEAR(A726)=2025,XLOOKUP(B726,Lookup!$F$3:$F$10,Lookup!$H$3:$H$10,,1)*G726, XLOOKUP(B726,Lookup!$F$14:$F$21,Lookup!$H$14:$H$21,,1)*G726),0)</f>
        <v>0</v>
      </c>
      <c r="L726" s="62">
        <f>IF(and(A726&lt;questions!$C$19,questions!$C$18="yes"),questions!$C$20,0)</f>
        <v>0</v>
      </c>
      <c r="M726" s="63">
        <f>(Y725+H726)*Lookup!A$26/12</f>
        <v>3538.059304</v>
      </c>
      <c r="N726" s="63">
        <f>if(B726&lt;55, (Z725+I726)*Lookup!B$26/12, (AB725+K726)*Lookup!B$26/12)</f>
        <v>7487.804918</v>
      </c>
      <c r="O726" s="63">
        <f>(AA725+J726)*Lookup!C$26/12</f>
        <v>940.3700287</v>
      </c>
      <c r="P726" s="63">
        <f t="shared" si="8"/>
        <v>21228.35582</v>
      </c>
      <c r="Q726" s="63">
        <f t="shared" si="4"/>
        <v>44926.82951</v>
      </c>
      <c r="R726" s="63">
        <f t="shared" si="5"/>
        <v>5642.220172</v>
      </c>
      <c r="S726" s="64">
        <f t="shared" si="9"/>
        <v>33.33333333</v>
      </c>
      <c r="T726" s="64">
        <f t="shared" si="10"/>
        <v>41.66666667</v>
      </c>
      <c r="U726" s="64">
        <f t="shared" si="11"/>
        <v>0</v>
      </c>
      <c r="V726" s="64">
        <f t="shared" ref="V726:X726" si="734">IF(year($A726)=year($A725), V725+S726, S726)</f>
        <v>200</v>
      </c>
      <c r="W726" s="64">
        <f t="shared" si="734"/>
        <v>250</v>
      </c>
      <c r="X726" s="64">
        <f t="shared" si="734"/>
        <v>0</v>
      </c>
      <c r="Y726" s="65">
        <f>IFS(
  B726&lt;55,
    MAX(
      Y725 + IF(MONTH(A726)=12, P726+V726, 0) + H726 - L726
      + MAX(0,
          IF(AA725 &gt;= VLOOKUP(YEAR(A726), Lookup!$Q:$R, 2),
            Z725 + IF(MONTH(A726)=12, Q726+W726, 0) + I726
              + AA725 + IF(MONTH(A726)=12, R726+X726, 0)
              - VLOOKUP(YEAR(A726), Lookup!$Q:$R, 2) + J726,
            Z725 + IF(MONTH(A726)=12, Q726+W726, 0) + I726
          ) - VLOOKUP(YEAR(A726), Lookup!$K:$M, 3)
        ),
    0),
  B726=55,
    IF(Z725&gt;=AD726,
      MAX(Y725 + IF(MONTH(A726)=12, P726+V726, 0) + H726 - L726, 0),
      MAX(MAX(0, Y725-(AD726-Z725)) + IF(MONTH(A726)=12, P726+V726, 0) + H726 - L726, 0)
    ),
  B726&gt;55,
    IF(AB725&gt;=$AH$7,
      MAX(Y725 + IF(MONTH(A726)=12, P726+V726, 0) + H726 - L726 + K726 + Z725, 0),
      MAX(Y725 + IF(MONTH(A726)=12, P726+V726, 0) + H726 - L726, 0)
    )
)</f>
        <v>1698268.466</v>
      </c>
      <c r="Z726" s="65">
        <f>IFS(
  B726&lt;55,
    MIN(
      IF(AA725 &gt;= VLOOKUP(YEAR(A726), Lookup!$Q:$R, 2),
        Z725 + IF(MONTH(A726)=12, Q726+W726, 0) + I726
          + AA725 + IF(MONTH(A726)=12, R726+X726, 0) - VLOOKUP(YEAR(A726), Lookup!$Q:$R, 2) + J726,
        Z725 + IF(MONTH(A726)=12, Q726+W726, 0) + I726
      ),
      VLOOKUP(YEAR(A726), Lookup!$K:$M, 3)
    ),
  B726=55,
    IF(Z725 &gt;= AD726, Z725 - AD726, 0),
  B726&gt;55, 0
)</f>
        <v>0</v>
      </c>
      <c r="AA726" s="65">
        <f>IFS(
  B726&lt;65,
    IF(AA725+J726 &lt; VLOOKUP(YEAR(A726), Lookup!$Q:$R, 2),
      AA725 + IF(MONTH(A726)=12, R725+X725, 0) + J726,
      MIN(
        AA725 + IF(MONTH(A726)=12, R725+X725, 0) + J726 ,
        VLOOKUP(YEAR(A726), Lookup!$Q:$R, 2)
      )
    ),
  B726&gt;=65,
    IF(AA725+J726 &lt; VLOOKUP(questions!$C$5, Lookup!$Q:$R, 2),
      AA725 + IF(MONTH(A726)=12, R725+X725, 0) + J726 ,
      MIN(
        AA725 + IF(MONTH(A726)=12, R725+X725, 0) + J726,
        VLOOKUP(questions!$C$5, Lookup!$Q:$R, 2)
      )
    )
)</f>
        <v>282111.0086</v>
      </c>
      <c r="AB726" s="65">
        <f t="shared" si="13"/>
        <v>2246341.476</v>
      </c>
      <c r="AC726" s="66">
        <f t="array" ref="AC726">IFS(B726&lt;66, XLOOKUP(year(A726),Lookup!$K$13:$K1000,Lookup!$L$13:$L1000,"missing",,1),B726&gt;65,XLOOKUP(questions!$C$5,Lookup!$K$13:$K1000,Lookup!$L$13:$L1000,"missing",,1))</f>
        <v>393675.3633</v>
      </c>
      <c r="AD726" s="66">
        <f t="array" ref="AD726">IFS(B726&lt;66, XLOOKUP(year(A726),Lookup!$K$13:$K1000,Lookup!$M$13:$M1000,"missing",,1),B726&gt;65, XLOOKUP(questions!$C$5,Lookup!$K$13:$K1000,Lookup!$M$13:$M1000,"missing",,1))</f>
        <v>787350.7266</v>
      </c>
      <c r="AE726" s="66">
        <f t="array" ref="AE726">IFS(B726&lt;66, XLOOKUP(year(A726),Lookup!$K$13:$K1000,Lookup!$N$13:$N1000,"missing",,1),B726&gt;65,XLOOKUP(questions!$C$5,Lookup!$K$13:$K1000,Lookup!$N$13:$N1000,"missing",,1))</f>
        <v>1574701.453</v>
      </c>
      <c r="AF726" s="37"/>
      <c r="AG726" s="37"/>
      <c r="AH726" s="37"/>
      <c r="AI726" s="37"/>
      <c r="AJ726" s="37"/>
      <c r="AK726" s="37"/>
      <c r="AL726" s="37"/>
      <c r="AM726" s="37"/>
      <c r="AN726" s="37"/>
      <c r="AO726" s="37"/>
      <c r="AP726" s="37"/>
      <c r="AQ726" s="37"/>
    </row>
    <row r="727">
      <c r="A727" s="55">
        <f t="shared" si="7"/>
        <v>68149</v>
      </c>
      <c r="B727" s="56">
        <f>round(YEARFRAC(EOMONTH(questions!$C$3, 0),A727,1),2)</f>
        <v>87.67</v>
      </c>
      <c r="C727" s="58">
        <f>IF(B727&lt;questions!$C$6,if(MONTH(A727)=1,C726*(1+questions!$C$12),C726),0)</f>
        <v>0</v>
      </c>
      <c r="D727" s="58">
        <f>IF(MONTH(A727)=12,C727*questions!$C$11,0)</f>
        <v>0</v>
      </c>
      <c r="E727" s="71">
        <f t="shared" si="2"/>
        <v>0</v>
      </c>
      <c r="F727" s="71">
        <f t="shared" si="3"/>
        <v>0</v>
      </c>
      <c r="G727" s="61">
        <f t="array" ref="G727">if(YEAR(A727)=2025,XLOOKUP(B727,Lookup!$A$3:$A$7,Lookup!$D$3:$D$7,,1)*SUM(E727:F727), XLOOKUP(B727,Lookup!$A$14:$A$18,Lookup!$D$14:$D$18,,1)*SUM(E727:F727))</f>
        <v>0</v>
      </c>
      <c r="H727" s="61">
        <f t="array" ref="H727">if(YEAR(A727)=2025,XLOOKUP(B727,Lookup!$F$3:$F$10,Lookup!$G$3:$G$10,,1)*G727, XLOOKUP(B727,Lookup!$F$14:$F$21,Lookup!$G$14:$G$21,,1)*G727)</f>
        <v>0</v>
      </c>
      <c r="I727" s="61">
        <f t="array" ref="I727">if(B727&lt;55, if(YEAR(A727)=2025,XLOOKUP(B727,Lookup!$F$3:$F$10,Lookup!$H$3:$H$10,,1)*G727, XLOOKUP(B727,Lookup!$F$14:$F$21,Lookup!$H$14:$H$21,,1)*G727),0)</f>
        <v>0</v>
      </c>
      <c r="J727" s="61">
        <f t="array" ref="J727">if(YEAR(A727)=2025,XLOOKUP(B727,Lookup!$F$3:$F$10,Lookup!$I$3:$I$10,,1)*G727, XLOOKUP(B727,Lookup!$F$14:$F$21,Lookup!$I$14:$I$21,,1)*G727)</f>
        <v>0</v>
      </c>
      <c r="K727" s="61">
        <f t="array" ref="K727">if(B727&gt;54, if(YEAR(A727)=2025,XLOOKUP(B727,Lookup!$F$3:$F$10,Lookup!$H$3:$H$10,,1)*G727, XLOOKUP(B727,Lookup!$F$14:$F$21,Lookup!$H$14:$H$21,,1)*G727),0)</f>
        <v>0</v>
      </c>
      <c r="L727" s="62">
        <f>IF(and(A727&lt;questions!$C$19,questions!$C$18="yes"),questions!$C$20,0)</f>
        <v>0</v>
      </c>
      <c r="M727" s="63">
        <f>(Y726+H727)*Lookup!A$26/12</f>
        <v>3538.059304</v>
      </c>
      <c r="N727" s="63">
        <f>if(B727&lt;55, (Z726+I727)*Lookup!B$26/12, (AB726+K727)*Lookup!B$26/12)</f>
        <v>7487.804918</v>
      </c>
      <c r="O727" s="63">
        <f>(AA726+J727)*Lookup!C$26/12</f>
        <v>940.3700287</v>
      </c>
      <c r="P727" s="63">
        <f t="shared" si="8"/>
        <v>24766.41513</v>
      </c>
      <c r="Q727" s="63">
        <f t="shared" si="4"/>
        <v>52414.63443</v>
      </c>
      <c r="R727" s="63">
        <f t="shared" si="5"/>
        <v>6582.590201</v>
      </c>
      <c r="S727" s="64">
        <f t="shared" si="9"/>
        <v>33.33333333</v>
      </c>
      <c r="T727" s="64">
        <f t="shared" si="10"/>
        <v>41.66666667</v>
      </c>
      <c r="U727" s="64">
        <f t="shared" si="11"/>
        <v>0</v>
      </c>
      <c r="V727" s="64">
        <f t="shared" ref="V727:X727" si="735">IF(year($A727)=year($A726), V726+S727, S727)</f>
        <v>233.3333333</v>
      </c>
      <c r="W727" s="64">
        <f t="shared" si="735"/>
        <v>291.6666667</v>
      </c>
      <c r="X727" s="64">
        <f t="shared" si="735"/>
        <v>0</v>
      </c>
      <c r="Y727" s="65">
        <f>IFS(
  B727&lt;55,
    MAX(
      Y726 + IF(MONTH(A727)=12, P727+V727, 0) + H727 - L727
      + MAX(0,
          IF(AA726 &gt;= VLOOKUP(YEAR(A727), Lookup!$Q:$R, 2),
            Z726 + IF(MONTH(A727)=12, Q727+W727, 0) + I727
              + AA726 + IF(MONTH(A727)=12, R727+X727, 0)
              - VLOOKUP(YEAR(A727), Lookup!$Q:$R, 2) + J727,
            Z726 + IF(MONTH(A727)=12, Q727+W727, 0) + I727
          ) - VLOOKUP(YEAR(A727), Lookup!$K:$M, 3)
        ),
    0),
  B727=55,
    IF(Z726&gt;=AD727,
      MAX(Y726 + IF(MONTH(A727)=12, P727+V727, 0) + H727 - L727, 0),
      MAX(MAX(0, Y726-(AD727-Z726)) + IF(MONTH(A727)=12, P727+V727, 0) + H727 - L727, 0)
    ),
  B727&gt;55,
    IF(AB726&gt;=$AH$7,
      MAX(Y726 + IF(MONTH(A727)=12, P727+V727, 0) + H727 - L727 + K727 + Z726, 0),
      MAX(Y726 + IF(MONTH(A727)=12, P727+V727, 0) + H727 - L727, 0)
    )
)</f>
        <v>1698268.466</v>
      </c>
      <c r="Z727" s="65">
        <f>IFS(
  B727&lt;55,
    MIN(
      IF(AA726 &gt;= VLOOKUP(YEAR(A727), Lookup!$Q:$R, 2),
        Z726 + IF(MONTH(A727)=12, Q727+W727, 0) + I727
          + AA726 + IF(MONTH(A727)=12, R727+X727, 0) - VLOOKUP(YEAR(A727), Lookup!$Q:$R, 2) + J727,
        Z726 + IF(MONTH(A727)=12, Q727+W727, 0) + I727
      ),
      VLOOKUP(YEAR(A727), Lookup!$K:$M, 3)
    ),
  B727=55,
    IF(Z726 &gt;= AD727, Z726 - AD727, 0),
  B727&gt;55, 0
)</f>
        <v>0</v>
      </c>
      <c r="AA727" s="65">
        <f>IFS(
  B727&lt;65,
    IF(AA726+J727 &lt; VLOOKUP(YEAR(A727), Lookup!$Q:$R, 2),
      AA726 + IF(MONTH(A727)=12, R726+X726, 0) + J727,
      MIN(
        AA726 + IF(MONTH(A727)=12, R726+X726, 0) + J727 ,
        VLOOKUP(YEAR(A727), Lookup!$Q:$R, 2)
      )
    ),
  B727&gt;=65,
    IF(AA726+J727 &lt; VLOOKUP(questions!$C$5, Lookup!$Q:$R, 2),
      AA726 + IF(MONTH(A727)=12, R726+X726, 0) + J727 ,
      MIN(
        AA726 + IF(MONTH(A727)=12, R726+X726, 0) + J727,
        VLOOKUP(questions!$C$5, Lookup!$Q:$R, 2)
      )
    )
)</f>
        <v>282111.0086</v>
      </c>
      <c r="AB727" s="65">
        <f t="shared" si="13"/>
        <v>2246341.476</v>
      </c>
      <c r="AC727" s="66">
        <f t="array" ref="AC727">IFS(B727&lt;66, XLOOKUP(year(A727),Lookup!$K$13:$K1000,Lookup!$L$13:$L1000,"missing",,1),B727&gt;65,XLOOKUP(questions!$C$5,Lookup!$K$13:$K1000,Lookup!$L$13:$L1000,"missing",,1))</f>
        <v>393675.3633</v>
      </c>
      <c r="AD727" s="66">
        <f t="array" ref="AD727">IFS(B727&lt;66, XLOOKUP(year(A727),Lookup!$K$13:$K1000,Lookup!$M$13:$M1000,"missing",,1),B727&gt;65, XLOOKUP(questions!$C$5,Lookup!$K$13:$K1000,Lookup!$M$13:$M1000,"missing",,1))</f>
        <v>787350.7266</v>
      </c>
      <c r="AE727" s="66">
        <f t="array" ref="AE727">IFS(B727&lt;66, XLOOKUP(year(A727),Lookup!$K$13:$K1000,Lookup!$N$13:$N1000,"missing",,1),B727&gt;65,XLOOKUP(questions!$C$5,Lookup!$K$13:$K1000,Lookup!$N$13:$N1000,"missing",,1))</f>
        <v>1574701.453</v>
      </c>
      <c r="AF727" s="37"/>
      <c r="AG727" s="37"/>
      <c r="AH727" s="37"/>
      <c r="AI727" s="37"/>
      <c r="AJ727" s="37"/>
      <c r="AK727" s="37"/>
      <c r="AL727" s="37"/>
      <c r="AM727" s="37"/>
      <c r="AN727" s="37"/>
      <c r="AO727" s="37"/>
      <c r="AP727" s="37"/>
      <c r="AQ727" s="37"/>
    </row>
    <row r="728">
      <c r="A728" s="55">
        <f t="shared" si="7"/>
        <v>68180</v>
      </c>
      <c r="B728" s="56">
        <f>round(YEARFRAC(EOMONTH(questions!$C$3, 0),A728,1),2)</f>
        <v>87.75</v>
      </c>
      <c r="C728" s="58">
        <f>IF(B728&lt;questions!$C$6,if(MONTH(A728)=1,C727*(1+questions!$C$12),C727),0)</f>
        <v>0</v>
      </c>
      <c r="D728" s="58">
        <f>IF(MONTH(A728)=12,C728*questions!$C$11,0)</f>
        <v>0</v>
      </c>
      <c r="E728" s="71">
        <f t="shared" si="2"/>
        <v>0</v>
      </c>
      <c r="F728" s="71">
        <f t="shared" si="3"/>
        <v>0</v>
      </c>
      <c r="G728" s="61">
        <f t="array" ref="G728">if(YEAR(A728)=2025,XLOOKUP(B728,Lookup!$A$3:$A$7,Lookup!$D$3:$D$7,,1)*SUM(E728:F728), XLOOKUP(B728,Lookup!$A$14:$A$18,Lookup!$D$14:$D$18,,1)*SUM(E728:F728))</f>
        <v>0</v>
      </c>
      <c r="H728" s="61">
        <f t="array" ref="H728">if(YEAR(A728)=2025,XLOOKUP(B728,Lookup!$F$3:$F$10,Lookup!$G$3:$G$10,,1)*G728, XLOOKUP(B728,Lookup!$F$14:$F$21,Lookup!$G$14:$G$21,,1)*G728)</f>
        <v>0</v>
      </c>
      <c r="I728" s="61">
        <f t="array" ref="I728">if(B728&lt;55, if(YEAR(A728)=2025,XLOOKUP(B728,Lookup!$F$3:$F$10,Lookup!$H$3:$H$10,,1)*G728, XLOOKUP(B728,Lookup!$F$14:$F$21,Lookup!$H$14:$H$21,,1)*G728),0)</f>
        <v>0</v>
      </c>
      <c r="J728" s="61">
        <f t="array" ref="J728">if(YEAR(A728)=2025,XLOOKUP(B728,Lookup!$F$3:$F$10,Lookup!$I$3:$I$10,,1)*G728, XLOOKUP(B728,Lookup!$F$14:$F$21,Lookup!$I$14:$I$21,,1)*G728)</f>
        <v>0</v>
      </c>
      <c r="K728" s="61">
        <f t="array" ref="K728">if(B728&gt;54, if(YEAR(A728)=2025,XLOOKUP(B728,Lookup!$F$3:$F$10,Lookup!$H$3:$H$10,,1)*G728, XLOOKUP(B728,Lookup!$F$14:$F$21,Lookup!$H$14:$H$21,,1)*G728),0)</f>
        <v>0</v>
      </c>
      <c r="L728" s="62">
        <f>IF(and(A728&lt;questions!$C$19,questions!$C$18="yes"),questions!$C$20,0)</f>
        <v>0</v>
      </c>
      <c r="M728" s="63">
        <f>(Y727+H728)*Lookup!A$26/12</f>
        <v>3538.059304</v>
      </c>
      <c r="N728" s="63">
        <f>if(B728&lt;55, (Z727+I728)*Lookup!B$26/12, (AB727+K728)*Lookup!B$26/12)</f>
        <v>7487.804918</v>
      </c>
      <c r="O728" s="63">
        <f>(AA727+J728)*Lookup!C$26/12</f>
        <v>940.3700287</v>
      </c>
      <c r="P728" s="63">
        <f t="shared" si="8"/>
        <v>28304.47443</v>
      </c>
      <c r="Q728" s="63">
        <f t="shared" si="4"/>
        <v>59902.43935</v>
      </c>
      <c r="R728" s="63">
        <f t="shared" si="5"/>
        <v>7522.960229</v>
      </c>
      <c r="S728" s="64">
        <f t="shared" si="9"/>
        <v>33.33333333</v>
      </c>
      <c r="T728" s="64">
        <f t="shared" si="10"/>
        <v>41.66666667</v>
      </c>
      <c r="U728" s="64">
        <f t="shared" si="11"/>
        <v>0</v>
      </c>
      <c r="V728" s="64">
        <f t="shared" ref="V728:X728" si="736">IF(year($A728)=year($A727), V727+S728, S728)</f>
        <v>266.6666667</v>
      </c>
      <c r="W728" s="64">
        <f t="shared" si="736"/>
        <v>333.3333333</v>
      </c>
      <c r="X728" s="64">
        <f t="shared" si="736"/>
        <v>0</v>
      </c>
      <c r="Y728" s="65">
        <f>IFS(
  B728&lt;55,
    MAX(
      Y727 + IF(MONTH(A728)=12, P728+V728, 0) + H728 - L728
      + MAX(0,
          IF(AA727 &gt;= VLOOKUP(YEAR(A728), Lookup!$Q:$R, 2),
            Z727 + IF(MONTH(A728)=12, Q728+W728, 0) + I728
              + AA727 + IF(MONTH(A728)=12, R728+X728, 0)
              - VLOOKUP(YEAR(A728), Lookup!$Q:$R, 2) + J728,
            Z727 + IF(MONTH(A728)=12, Q728+W728, 0) + I728
          ) - VLOOKUP(YEAR(A728), Lookup!$K:$M, 3)
        ),
    0),
  B728=55,
    IF(Z727&gt;=AD728,
      MAX(Y727 + IF(MONTH(A728)=12, P728+V728, 0) + H728 - L728, 0),
      MAX(MAX(0, Y727-(AD728-Z727)) + IF(MONTH(A728)=12, P728+V728, 0) + H728 - L728, 0)
    ),
  B728&gt;55,
    IF(AB727&gt;=$AH$7,
      MAX(Y727 + IF(MONTH(A728)=12, P728+V728, 0) + H728 - L728 + K728 + Z727, 0),
      MAX(Y727 + IF(MONTH(A728)=12, P728+V728, 0) + H728 - L728, 0)
    )
)</f>
        <v>1698268.466</v>
      </c>
      <c r="Z728" s="65">
        <f>IFS(
  B728&lt;55,
    MIN(
      IF(AA727 &gt;= VLOOKUP(YEAR(A728), Lookup!$Q:$R, 2),
        Z727 + IF(MONTH(A728)=12, Q728+W728, 0) + I728
          + AA727 + IF(MONTH(A728)=12, R728+X728, 0) - VLOOKUP(YEAR(A728), Lookup!$Q:$R, 2) + J728,
        Z727 + IF(MONTH(A728)=12, Q728+W728, 0) + I728
      ),
      VLOOKUP(YEAR(A728), Lookup!$K:$M, 3)
    ),
  B728=55,
    IF(Z727 &gt;= AD728, Z727 - AD728, 0),
  B728&gt;55, 0
)</f>
        <v>0</v>
      </c>
      <c r="AA728" s="65">
        <f>IFS(
  B728&lt;65,
    IF(AA727+J728 &lt; VLOOKUP(YEAR(A728), Lookup!$Q:$R, 2),
      AA727 + IF(MONTH(A728)=12, R727+X727, 0) + J728,
      MIN(
        AA727 + IF(MONTH(A728)=12, R727+X727, 0) + J728 ,
        VLOOKUP(YEAR(A728), Lookup!$Q:$R, 2)
      )
    ),
  B728&gt;=65,
    IF(AA727+J728 &lt; VLOOKUP(questions!$C$5, Lookup!$Q:$R, 2),
      AA727 + IF(MONTH(A728)=12, R727+X727, 0) + J728 ,
      MIN(
        AA727 + IF(MONTH(A728)=12, R727+X727, 0) + J728,
        VLOOKUP(questions!$C$5, Lookup!$Q:$R, 2)
      )
    )
)</f>
        <v>282111.0086</v>
      </c>
      <c r="AB728" s="65">
        <f t="shared" si="13"/>
        <v>2246341.476</v>
      </c>
      <c r="AC728" s="66">
        <f t="array" ref="AC728">IFS(B728&lt;66, XLOOKUP(year(A728),Lookup!$K$13:$K1000,Lookup!$L$13:$L1000,"missing",,1),B728&gt;65,XLOOKUP(questions!$C$5,Lookup!$K$13:$K1000,Lookup!$L$13:$L1000,"missing",,1))</f>
        <v>393675.3633</v>
      </c>
      <c r="AD728" s="66">
        <f t="array" ref="AD728">IFS(B728&lt;66, XLOOKUP(year(A728),Lookup!$K$13:$K1000,Lookup!$M$13:$M1000,"missing",,1),B728&gt;65, XLOOKUP(questions!$C$5,Lookup!$K$13:$K1000,Lookup!$M$13:$M1000,"missing",,1))</f>
        <v>787350.7266</v>
      </c>
      <c r="AE728" s="66">
        <f t="array" ref="AE728">IFS(B728&lt;66, XLOOKUP(year(A728),Lookup!$K$13:$K1000,Lookup!$N$13:$N1000,"missing",,1),B728&gt;65,XLOOKUP(questions!$C$5,Lookup!$K$13:$K1000,Lookup!$N$13:$N1000,"missing",,1))</f>
        <v>1574701.453</v>
      </c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7"/>
      <c r="AQ728" s="37"/>
    </row>
    <row r="729">
      <c r="A729" s="55">
        <f t="shared" si="7"/>
        <v>68210</v>
      </c>
      <c r="B729" s="56">
        <f>round(YEARFRAC(EOMONTH(questions!$C$3, 0),A729,1),2)</f>
        <v>87.83</v>
      </c>
      <c r="C729" s="58">
        <f>IF(B729&lt;questions!$C$6,if(MONTH(A729)=1,C728*(1+questions!$C$12),C728),0)</f>
        <v>0</v>
      </c>
      <c r="D729" s="58">
        <f>IF(MONTH(A729)=12,C729*questions!$C$11,0)</f>
        <v>0</v>
      </c>
      <c r="E729" s="71">
        <f t="shared" si="2"/>
        <v>0</v>
      </c>
      <c r="F729" s="71">
        <f t="shared" si="3"/>
        <v>0</v>
      </c>
      <c r="G729" s="61">
        <f t="array" ref="G729">if(YEAR(A729)=2025,XLOOKUP(B729,Lookup!$A$3:$A$7,Lookup!$D$3:$D$7,,1)*SUM(E729:F729), XLOOKUP(B729,Lookup!$A$14:$A$18,Lookup!$D$14:$D$18,,1)*SUM(E729:F729))</f>
        <v>0</v>
      </c>
      <c r="H729" s="61">
        <f t="array" ref="H729">if(YEAR(A729)=2025,XLOOKUP(B729,Lookup!$F$3:$F$10,Lookup!$G$3:$G$10,,1)*G729, XLOOKUP(B729,Lookup!$F$14:$F$21,Lookup!$G$14:$G$21,,1)*G729)</f>
        <v>0</v>
      </c>
      <c r="I729" s="61">
        <f t="array" ref="I729">if(B729&lt;55, if(YEAR(A729)=2025,XLOOKUP(B729,Lookup!$F$3:$F$10,Lookup!$H$3:$H$10,,1)*G729, XLOOKUP(B729,Lookup!$F$14:$F$21,Lookup!$H$14:$H$21,,1)*G729),0)</f>
        <v>0</v>
      </c>
      <c r="J729" s="61">
        <f t="array" ref="J729">if(YEAR(A729)=2025,XLOOKUP(B729,Lookup!$F$3:$F$10,Lookup!$I$3:$I$10,,1)*G729, XLOOKUP(B729,Lookup!$F$14:$F$21,Lookup!$I$14:$I$21,,1)*G729)</f>
        <v>0</v>
      </c>
      <c r="K729" s="61">
        <f t="array" ref="K729">if(B729&gt;54, if(YEAR(A729)=2025,XLOOKUP(B729,Lookup!$F$3:$F$10,Lookup!$H$3:$H$10,,1)*G729, XLOOKUP(B729,Lookup!$F$14:$F$21,Lookup!$H$14:$H$21,,1)*G729),0)</f>
        <v>0</v>
      </c>
      <c r="L729" s="62">
        <f>IF(and(A729&lt;questions!$C$19,questions!$C$18="yes"),questions!$C$20,0)</f>
        <v>0</v>
      </c>
      <c r="M729" s="63">
        <f>(Y728+H729)*Lookup!A$26/12</f>
        <v>3538.059304</v>
      </c>
      <c r="N729" s="63">
        <f>if(B729&lt;55, (Z728+I729)*Lookup!B$26/12, (AB728+K729)*Lookup!B$26/12)</f>
        <v>7487.804918</v>
      </c>
      <c r="O729" s="63">
        <f>(AA728+J729)*Lookup!C$26/12</f>
        <v>940.3700287</v>
      </c>
      <c r="P729" s="63">
        <f t="shared" si="8"/>
        <v>31842.53373</v>
      </c>
      <c r="Q729" s="63">
        <f t="shared" si="4"/>
        <v>67390.24427</v>
      </c>
      <c r="R729" s="63">
        <f t="shared" si="5"/>
        <v>8463.330258</v>
      </c>
      <c r="S729" s="64">
        <f t="shared" si="9"/>
        <v>33.33333333</v>
      </c>
      <c r="T729" s="64">
        <f t="shared" si="10"/>
        <v>41.66666667</v>
      </c>
      <c r="U729" s="64">
        <f t="shared" si="11"/>
        <v>0</v>
      </c>
      <c r="V729" s="64">
        <f t="shared" ref="V729:X729" si="737">IF(year($A729)=year($A728), V728+S729, S729)</f>
        <v>300</v>
      </c>
      <c r="W729" s="64">
        <f t="shared" si="737"/>
        <v>375</v>
      </c>
      <c r="X729" s="64">
        <f t="shared" si="737"/>
        <v>0</v>
      </c>
      <c r="Y729" s="65">
        <f>IFS(
  B729&lt;55,
    MAX(
      Y728 + IF(MONTH(A729)=12, P729+V729, 0) + H729 - L729
      + MAX(0,
          IF(AA728 &gt;= VLOOKUP(YEAR(A729), Lookup!$Q:$R, 2),
            Z728 + IF(MONTH(A729)=12, Q729+W729, 0) + I729
              + AA728 + IF(MONTH(A729)=12, R729+X729, 0)
              - VLOOKUP(YEAR(A729), Lookup!$Q:$R, 2) + J729,
            Z728 + IF(MONTH(A729)=12, Q729+W729, 0) + I729
          ) - VLOOKUP(YEAR(A729), Lookup!$K:$M, 3)
        ),
    0),
  B729=55,
    IF(Z728&gt;=AD729,
      MAX(Y728 + IF(MONTH(A729)=12, P729+V729, 0) + H729 - L729, 0),
      MAX(MAX(0, Y728-(AD729-Z728)) + IF(MONTH(A729)=12, P729+V729, 0) + H729 - L729, 0)
    ),
  B729&gt;55,
    IF(AB728&gt;=$AH$7,
      MAX(Y728 + IF(MONTH(A729)=12, P729+V729, 0) + H729 - L729 + K729 + Z728, 0),
      MAX(Y728 + IF(MONTH(A729)=12, P729+V729, 0) + H729 - L729, 0)
    )
)</f>
        <v>1698268.466</v>
      </c>
      <c r="Z729" s="65">
        <f>IFS(
  B729&lt;55,
    MIN(
      IF(AA728 &gt;= VLOOKUP(YEAR(A729), Lookup!$Q:$R, 2),
        Z728 + IF(MONTH(A729)=12, Q729+W729, 0) + I729
          + AA728 + IF(MONTH(A729)=12, R729+X729, 0) - VLOOKUP(YEAR(A729), Lookup!$Q:$R, 2) + J729,
        Z728 + IF(MONTH(A729)=12, Q729+W729, 0) + I729
      ),
      VLOOKUP(YEAR(A729), Lookup!$K:$M, 3)
    ),
  B729=55,
    IF(Z728 &gt;= AD729, Z728 - AD729, 0),
  B729&gt;55, 0
)</f>
        <v>0</v>
      </c>
      <c r="AA729" s="65">
        <f>IFS(
  B729&lt;65,
    IF(AA728+J729 &lt; VLOOKUP(YEAR(A729), Lookup!$Q:$R, 2),
      AA728 + IF(MONTH(A729)=12, R728+X728, 0) + J729,
      MIN(
        AA728 + IF(MONTH(A729)=12, R728+X728, 0) + J729 ,
        VLOOKUP(YEAR(A729), Lookup!$Q:$R, 2)
      )
    ),
  B729&gt;=65,
    IF(AA728+J729 &lt; VLOOKUP(questions!$C$5, Lookup!$Q:$R, 2),
      AA728 + IF(MONTH(A729)=12, R728+X728, 0) + J729 ,
      MIN(
        AA728 + IF(MONTH(A729)=12, R728+X728, 0) + J729,
        VLOOKUP(questions!$C$5, Lookup!$Q:$R, 2)
      )
    )
)</f>
        <v>282111.0086</v>
      </c>
      <c r="AB729" s="65">
        <f t="shared" si="13"/>
        <v>2246341.476</v>
      </c>
      <c r="AC729" s="66">
        <f t="array" ref="AC729">IFS(B729&lt;66, XLOOKUP(year(A729),Lookup!$K$13:$K1000,Lookup!$L$13:$L1000,"missing",,1),B729&gt;65,XLOOKUP(questions!$C$5,Lookup!$K$13:$K1000,Lookup!$L$13:$L1000,"missing",,1))</f>
        <v>393675.3633</v>
      </c>
      <c r="AD729" s="66">
        <f t="array" ref="AD729">IFS(B729&lt;66, XLOOKUP(year(A729),Lookup!$K$13:$K1000,Lookup!$M$13:$M1000,"missing",,1),B729&gt;65, XLOOKUP(questions!$C$5,Lookup!$K$13:$K1000,Lookup!$M$13:$M1000,"missing",,1))</f>
        <v>787350.7266</v>
      </c>
      <c r="AE729" s="66">
        <f t="array" ref="AE729">IFS(B729&lt;66, XLOOKUP(year(A729),Lookup!$K$13:$K1000,Lookup!$N$13:$N1000,"missing",,1),B729&gt;65,XLOOKUP(questions!$C$5,Lookup!$K$13:$K1000,Lookup!$N$13:$N1000,"missing",,1))</f>
        <v>1574701.453</v>
      </c>
      <c r="AF729" s="37"/>
      <c r="AG729" s="37"/>
      <c r="AH729" s="37"/>
      <c r="AI729" s="37"/>
      <c r="AJ729" s="37"/>
      <c r="AK729" s="37"/>
      <c r="AL729" s="37"/>
      <c r="AM729" s="37"/>
      <c r="AN729" s="37"/>
      <c r="AO729" s="37"/>
      <c r="AP729" s="37"/>
      <c r="AQ729" s="37"/>
    </row>
    <row r="730">
      <c r="A730" s="55">
        <f t="shared" si="7"/>
        <v>68241</v>
      </c>
      <c r="B730" s="56">
        <f>round(YEARFRAC(EOMONTH(questions!$C$3, 0),A730,1),2)</f>
        <v>87.92</v>
      </c>
      <c r="C730" s="58">
        <f>IF(B730&lt;questions!$C$6,if(MONTH(A730)=1,C729*(1+questions!$C$12),C729),0)</f>
        <v>0</v>
      </c>
      <c r="D730" s="58">
        <f>IF(MONTH(A730)=12,C730*questions!$C$11,0)</f>
        <v>0</v>
      </c>
      <c r="E730" s="71">
        <f t="shared" si="2"/>
        <v>0</v>
      </c>
      <c r="F730" s="71">
        <f t="shared" si="3"/>
        <v>0</v>
      </c>
      <c r="G730" s="61">
        <f t="array" ref="G730">if(YEAR(A730)=2025,XLOOKUP(B730,Lookup!$A$3:$A$7,Lookup!$D$3:$D$7,,1)*SUM(E730:F730), XLOOKUP(B730,Lookup!$A$14:$A$18,Lookup!$D$14:$D$18,,1)*SUM(E730:F730))</f>
        <v>0</v>
      </c>
      <c r="H730" s="61">
        <f t="array" ref="H730">if(YEAR(A730)=2025,XLOOKUP(B730,Lookup!$F$3:$F$10,Lookup!$G$3:$G$10,,1)*G730, XLOOKUP(B730,Lookup!$F$14:$F$21,Lookup!$G$14:$G$21,,1)*G730)</f>
        <v>0</v>
      </c>
      <c r="I730" s="61">
        <f t="array" ref="I730">if(B730&lt;55, if(YEAR(A730)=2025,XLOOKUP(B730,Lookup!$F$3:$F$10,Lookup!$H$3:$H$10,,1)*G730, XLOOKUP(B730,Lookup!$F$14:$F$21,Lookup!$H$14:$H$21,,1)*G730),0)</f>
        <v>0</v>
      </c>
      <c r="J730" s="61">
        <f t="array" ref="J730">if(YEAR(A730)=2025,XLOOKUP(B730,Lookup!$F$3:$F$10,Lookup!$I$3:$I$10,,1)*G730, XLOOKUP(B730,Lookup!$F$14:$F$21,Lookup!$I$14:$I$21,,1)*G730)</f>
        <v>0</v>
      </c>
      <c r="K730" s="61">
        <f t="array" ref="K730">if(B730&gt;54, if(YEAR(A730)=2025,XLOOKUP(B730,Lookup!$F$3:$F$10,Lookup!$H$3:$H$10,,1)*G730, XLOOKUP(B730,Lookup!$F$14:$F$21,Lookup!$H$14:$H$21,,1)*G730),0)</f>
        <v>0</v>
      </c>
      <c r="L730" s="62">
        <f>IF(and(A730&lt;questions!$C$19,questions!$C$18="yes"),questions!$C$20,0)</f>
        <v>0</v>
      </c>
      <c r="M730" s="63">
        <f>(Y729+H730)*Lookup!A$26/12</f>
        <v>3538.059304</v>
      </c>
      <c r="N730" s="63">
        <f>if(B730&lt;55, (Z729+I730)*Lookup!B$26/12, (AB729+K730)*Lookup!B$26/12)</f>
        <v>7487.804918</v>
      </c>
      <c r="O730" s="63">
        <f>(AA729+J730)*Lookup!C$26/12</f>
        <v>940.3700287</v>
      </c>
      <c r="P730" s="63">
        <f t="shared" si="8"/>
        <v>35380.59304</v>
      </c>
      <c r="Q730" s="63">
        <f t="shared" si="4"/>
        <v>74878.04918</v>
      </c>
      <c r="R730" s="63">
        <f t="shared" si="5"/>
        <v>9403.700287</v>
      </c>
      <c r="S730" s="64">
        <f t="shared" si="9"/>
        <v>33.33333333</v>
      </c>
      <c r="T730" s="64">
        <f t="shared" si="10"/>
        <v>41.66666667</v>
      </c>
      <c r="U730" s="64">
        <f t="shared" si="11"/>
        <v>0</v>
      </c>
      <c r="V730" s="64">
        <f t="shared" ref="V730:X730" si="738">IF(year($A730)=year($A729), V729+S730, S730)</f>
        <v>333.3333333</v>
      </c>
      <c r="W730" s="64">
        <f t="shared" si="738"/>
        <v>416.6666667</v>
      </c>
      <c r="X730" s="64">
        <f t="shared" si="738"/>
        <v>0</v>
      </c>
      <c r="Y730" s="65">
        <f>IFS(
  B730&lt;55,
    MAX(
      Y729 + IF(MONTH(A730)=12, P730+V730, 0) + H730 - L730
      + MAX(0,
          IF(AA729 &gt;= VLOOKUP(YEAR(A730), Lookup!$Q:$R, 2),
            Z729 + IF(MONTH(A730)=12, Q730+W730, 0) + I730
              + AA729 + IF(MONTH(A730)=12, R730+X730, 0)
              - VLOOKUP(YEAR(A730), Lookup!$Q:$R, 2) + J730,
            Z729 + IF(MONTH(A730)=12, Q730+W730, 0) + I730
          ) - VLOOKUP(YEAR(A730), Lookup!$K:$M, 3)
        ),
    0),
  B730=55,
    IF(Z729&gt;=AD730,
      MAX(Y729 + IF(MONTH(A730)=12, P730+V730, 0) + H730 - L730, 0),
      MAX(MAX(0, Y729-(AD730-Z729)) + IF(MONTH(A730)=12, P730+V730, 0) + H730 - L730, 0)
    ),
  B730&gt;55,
    IF(AB729&gt;=$AH$7,
      MAX(Y729 + IF(MONTH(A730)=12, P730+V730, 0) + H730 - L730 + K730 + Z729, 0),
      MAX(Y729 + IF(MONTH(A730)=12, P730+V730, 0) + H730 - L730, 0)
    )
)</f>
        <v>1698268.466</v>
      </c>
      <c r="Z730" s="65">
        <f>IFS(
  B730&lt;55,
    MIN(
      IF(AA729 &gt;= VLOOKUP(YEAR(A730), Lookup!$Q:$R, 2),
        Z729 + IF(MONTH(A730)=12, Q730+W730, 0) + I730
          + AA729 + IF(MONTH(A730)=12, R730+X730, 0) - VLOOKUP(YEAR(A730), Lookup!$Q:$R, 2) + J730,
        Z729 + IF(MONTH(A730)=12, Q730+W730, 0) + I730
      ),
      VLOOKUP(YEAR(A730), Lookup!$K:$M, 3)
    ),
  B730=55,
    IF(Z729 &gt;= AD730, Z729 - AD730, 0),
  B730&gt;55, 0
)</f>
        <v>0</v>
      </c>
      <c r="AA730" s="65">
        <f>IFS(
  B730&lt;65,
    IF(AA729+J730 &lt; VLOOKUP(YEAR(A730), Lookup!$Q:$R, 2),
      AA729 + IF(MONTH(A730)=12, R729+X729, 0) + J730,
      MIN(
        AA729 + IF(MONTH(A730)=12, R729+X729, 0) + J730 ,
        VLOOKUP(YEAR(A730), Lookup!$Q:$R, 2)
      )
    ),
  B730&gt;=65,
    IF(AA729+J730 &lt; VLOOKUP(questions!$C$5, Lookup!$Q:$R, 2),
      AA729 + IF(MONTH(A730)=12, R729+X729, 0) + J730 ,
      MIN(
        AA729 + IF(MONTH(A730)=12, R729+X729, 0) + J730,
        VLOOKUP(questions!$C$5, Lookup!$Q:$R, 2)
      )
    )
)</f>
        <v>282111.0086</v>
      </c>
      <c r="AB730" s="65">
        <f t="shared" si="13"/>
        <v>2246341.476</v>
      </c>
      <c r="AC730" s="66">
        <f t="array" ref="AC730">IFS(B730&lt;66, XLOOKUP(year(A730),Lookup!$K$13:$K1000,Lookup!$L$13:$L1000,"missing",,1),B730&gt;65,XLOOKUP(questions!$C$5,Lookup!$K$13:$K1000,Lookup!$L$13:$L1000,"missing",,1))</f>
        <v>393675.3633</v>
      </c>
      <c r="AD730" s="66">
        <f t="array" ref="AD730">IFS(B730&lt;66, XLOOKUP(year(A730),Lookup!$K$13:$K1000,Lookup!$M$13:$M1000,"missing",,1),B730&gt;65, XLOOKUP(questions!$C$5,Lookup!$K$13:$K1000,Lookup!$M$13:$M1000,"missing",,1))</f>
        <v>787350.7266</v>
      </c>
      <c r="AE730" s="66">
        <f t="array" ref="AE730">IFS(B730&lt;66, XLOOKUP(year(A730),Lookup!$K$13:$K1000,Lookup!$N$13:$N1000,"missing",,1),B730&gt;65,XLOOKUP(questions!$C$5,Lookup!$K$13:$K1000,Lookup!$N$13:$N1000,"missing",,1))</f>
        <v>1574701.453</v>
      </c>
      <c r="AF730" s="37"/>
      <c r="AG730" s="37"/>
      <c r="AH730" s="37"/>
      <c r="AI730" s="37"/>
      <c r="AJ730" s="37"/>
      <c r="AK730" s="37"/>
      <c r="AL730" s="37"/>
      <c r="AM730" s="37"/>
      <c r="AN730" s="37"/>
      <c r="AO730" s="37"/>
      <c r="AP730" s="37"/>
      <c r="AQ730" s="37"/>
    </row>
    <row r="731">
      <c r="A731" s="55">
        <f t="shared" si="7"/>
        <v>68271</v>
      </c>
      <c r="B731" s="56">
        <f>round(YEARFRAC(EOMONTH(questions!$C$3, 0),A731,1),2)</f>
        <v>88</v>
      </c>
      <c r="C731" s="58">
        <f>IF(B731&lt;questions!$C$6,if(MONTH(A731)=1,C730*(1+questions!$C$12),C730),0)</f>
        <v>0</v>
      </c>
      <c r="D731" s="58">
        <f>IF(MONTH(A731)=12,C731*questions!$C$11,0)</f>
        <v>0</v>
      </c>
      <c r="E731" s="71">
        <f t="shared" si="2"/>
        <v>0</v>
      </c>
      <c r="F731" s="71">
        <f t="shared" si="3"/>
        <v>0</v>
      </c>
      <c r="G731" s="61">
        <f t="array" ref="G731">if(YEAR(A731)=2025,XLOOKUP(B731,Lookup!$A$3:$A$7,Lookup!$D$3:$D$7,,1)*SUM(E731:F731), XLOOKUP(B731,Lookup!$A$14:$A$18,Lookup!$D$14:$D$18,,1)*SUM(E731:F731))</f>
        <v>0</v>
      </c>
      <c r="H731" s="61">
        <f t="array" ref="H731">if(YEAR(A731)=2025,XLOOKUP(B731,Lookup!$F$3:$F$10,Lookup!$G$3:$G$10,,1)*G731, XLOOKUP(B731,Lookup!$F$14:$F$21,Lookup!$G$14:$G$21,,1)*G731)</f>
        <v>0</v>
      </c>
      <c r="I731" s="61">
        <f t="array" ref="I731">if(B731&lt;55, if(YEAR(A731)=2025,XLOOKUP(B731,Lookup!$F$3:$F$10,Lookup!$H$3:$H$10,,1)*G731, XLOOKUP(B731,Lookup!$F$14:$F$21,Lookup!$H$14:$H$21,,1)*G731),0)</f>
        <v>0</v>
      </c>
      <c r="J731" s="61">
        <f t="array" ref="J731">if(YEAR(A731)=2025,XLOOKUP(B731,Lookup!$F$3:$F$10,Lookup!$I$3:$I$10,,1)*G731, XLOOKUP(B731,Lookup!$F$14:$F$21,Lookup!$I$14:$I$21,,1)*G731)</f>
        <v>0</v>
      </c>
      <c r="K731" s="61">
        <f t="array" ref="K731">if(B731&gt;54, if(YEAR(A731)=2025,XLOOKUP(B731,Lookup!$F$3:$F$10,Lookup!$H$3:$H$10,,1)*G731, XLOOKUP(B731,Lookup!$F$14:$F$21,Lookup!$H$14:$H$21,,1)*G731),0)</f>
        <v>0</v>
      </c>
      <c r="L731" s="62">
        <f>IF(and(A731&lt;questions!$C$19,questions!$C$18="yes"),questions!$C$20,0)</f>
        <v>0</v>
      </c>
      <c r="M731" s="63">
        <f>(Y730+H731)*Lookup!A$26/12</f>
        <v>3538.059304</v>
      </c>
      <c r="N731" s="63">
        <f>if(B731&lt;55, (Z730+I731)*Lookup!B$26/12, (AB730+K731)*Lookup!B$26/12)</f>
        <v>7487.804918</v>
      </c>
      <c r="O731" s="63">
        <f>(AA730+J731)*Lookup!C$26/12</f>
        <v>940.3700287</v>
      </c>
      <c r="P731" s="63">
        <f t="shared" si="8"/>
        <v>38918.65234</v>
      </c>
      <c r="Q731" s="63">
        <f t="shared" si="4"/>
        <v>82365.8541</v>
      </c>
      <c r="R731" s="63">
        <f t="shared" si="5"/>
        <v>10344.07032</v>
      </c>
      <c r="S731" s="64">
        <f t="shared" si="9"/>
        <v>33.33333333</v>
      </c>
      <c r="T731" s="64">
        <f t="shared" si="10"/>
        <v>41.66666667</v>
      </c>
      <c r="U731" s="64">
        <f t="shared" si="11"/>
        <v>0</v>
      </c>
      <c r="V731" s="64">
        <f t="shared" ref="V731:X731" si="739">IF(year($A731)=year($A730), V730+S731, S731)</f>
        <v>366.6666667</v>
      </c>
      <c r="W731" s="64">
        <f t="shared" si="739"/>
        <v>458.3333333</v>
      </c>
      <c r="X731" s="64">
        <f t="shared" si="739"/>
        <v>0</v>
      </c>
      <c r="Y731" s="65">
        <f>IFS(
  B731&lt;55,
    MAX(
      Y730 + IF(MONTH(A731)=12, P731+V731, 0) + H731 - L731
      + MAX(0,
          IF(AA730 &gt;= VLOOKUP(YEAR(A731), Lookup!$Q:$R, 2),
            Z730 + IF(MONTH(A731)=12, Q731+W731, 0) + I731
              + AA730 + IF(MONTH(A731)=12, R731+X731, 0)
              - VLOOKUP(YEAR(A731), Lookup!$Q:$R, 2) + J731,
            Z730 + IF(MONTH(A731)=12, Q731+W731, 0) + I731
          ) - VLOOKUP(YEAR(A731), Lookup!$K:$M, 3)
        ),
    0),
  B731=55,
    IF(Z730&gt;=AD731,
      MAX(Y730 + IF(MONTH(A731)=12, P731+V731, 0) + H731 - L731, 0),
      MAX(MAX(0, Y730-(AD731-Z730)) + IF(MONTH(A731)=12, P731+V731, 0) + H731 - L731, 0)
    ),
  B731&gt;55,
    IF(AB730&gt;=$AH$7,
      MAX(Y730 + IF(MONTH(A731)=12, P731+V731, 0) + H731 - L731 + K731 + Z730, 0),
      MAX(Y730 + IF(MONTH(A731)=12, P731+V731, 0) + H731 - L731, 0)
    )
)</f>
        <v>1698268.466</v>
      </c>
      <c r="Z731" s="65">
        <f>IFS(
  B731&lt;55,
    MIN(
      IF(AA730 &gt;= VLOOKUP(YEAR(A731), Lookup!$Q:$R, 2),
        Z730 + IF(MONTH(A731)=12, Q731+W731, 0) + I731
          + AA730 + IF(MONTH(A731)=12, R731+X731, 0) - VLOOKUP(YEAR(A731), Lookup!$Q:$R, 2) + J731,
        Z730 + IF(MONTH(A731)=12, Q731+W731, 0) + I731
      ),
      VLOOKUP(YEAR(A731), Lookup!$K:$M, 3)
    ),
  B731=55,
    IF(Z730 &gt;= AD731, Z730 - AD731, 0),
  B731&gt;55, 0
)</f>
        <v>0</v>
      </c>
      <c r="AA731" s="65">
        <f>IFS(
  B731&lt;65,
    IF(AA730+J731 &lt; VLOOKUP(YEAR(A731), Lookup!$Q:$R, 2),
      AA730 + IF(MONTH(A731)=12, R730+X730, 0) + J731,
      MIN(
        AA730 + IF(MONTH(A731)=12, R730+X730, 0) + J731 ,
        VLOOKUP(YEAR(A731), Lookup!$Q:$R, 2)
      )
    ),
  B731&gt;=65,
    IF(AA730+J731 &lt; VLOOKUP(questions!$C$5, Lookup!$Q:$R, 2),
      AA730 + IF(MONTH(A731)=12, R730+X730, 0) + J731 ,
      MIN(
        AA730 + IF(MONTH(A731)=12, R730+X730, 0) + J731,
        VLOOKUP(questions!$C$5, Lookup!$Q:$R, 2)
      )
    )
)</f>
        <v>282111.0086</v>
      </c>
      <c r="AB731" s="65">
        <f t="shared" si="13"/>
        <v>2246341.476</v>
      </c>
      <c r="AC731" s="66">
        <f t="array" ref="AC731">IFS(B731&lt;66, XLOOKUP(year(A731),Lookup!$K$13:$K1000,Lookup!$L$13:$L1000,"missing",,1),B731&gt;65,XLOOKUP(questions!$C$5,Lookup!$K$13:$K1000,Lookup!$L$13:$L1000,"missing",,1))</f>
        <v>393675.3633</v>
      </c>
      <c r="AD731" s="66">
        <f t="array" ref="AD731">IFS(B731&lt;66, XLOOKUP(year(A731),Lookup!$K$13:$K1000,Lookup!$M$13:$M1000,"missing",,1),B731&gt;65, XLOOKUP(questions!$C$5,Lookup!$K$13:$K1000,Lookup!$M$13:$M1000,"missing",,1))</f>
        <v>787350.7266</v>
      </c>
      <c r="AE731" s="66">
        <f t="array" ref="AE731">IFS(B731&lt;66, XLOOKUP(year(A731),Lookup!$K$13:$K1000,Lookup!$N$13:$N1000,"missing",,1),B731&gt;65,XLOOKUP(questions!$C$5,Lookup!$K$13:$K1000,Lookup!$N$13:$N1000,"missing",,1))</f>
        <v>1574701.453</v>
      </c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  <c r="AQ731" s="37"/>
    </row>
    <row r="732">
      <c r="A732" s="55">
        <f t="shared" si="7"/>
        <v>68302</v>
      </c>
      <c r="B732" s="56">
        <f>round(YEARFRAC(EOMONTH(questions!$C$3, 0),A732,1),2)</f>
        <v>88.08</v>
      </c>
      <c r="C732" s="58">
        <f>IF(B732&lt;questions!$C$6,if(MONTH(A732)=1,C731*(1+questions!$C$12),C731),0)</f>
        <v>0</v>
      </c>
      <c r="D732" s="58">
        <f>IF(MONTH(A732)=12,C732*questions!$C$11,0)</f>
        <v>0</v>
      </c>
      <c r="E732" s="71">
        <f t="shared" si="2"/>
        <v>0</v>
      </c>
      <c r="F732" s="71">
        <f t="shared" si="3"/>
        <v>0</v>
      </c>
      <c r="G732" s="61">
        <f t="array" ref="G732">if(YEAR(A732)=2025,XLOOKUP(B732,Lookup!$A$3:$A$7,Lookup!$D$3:$D$7,,1)*SUM(E732:F732), XLOOKUP(B732,Lookup!$A$14:$A$18,Lookup!$D$14:$D$18,,1)*SUM(E732:F732))</f>
        <v>0</v>
      </c>
      <c r="H732" s="61">
        <f t="array" ref="H732">if(YEAR(A732)=2025,XLOOKUP(B732,Lookup!$F$3:$F$10,Lookup!$G$3:$G$10,,1)*G732, XLOOKUP(B732,Lookup!$F$14:$F$21,Lookup!$G$14:$G$21,,1)*G732)</f>
        <v>0</v>
      </c>
      <c r="I732" s="61">
        <f t="array" ref="I732">if(B732&lt;55, if(YEAR(A732)=2025,XLOOKUP(B732,Lookup!$F$3:$F$10,Lookup!$H$3:$H$10,,1)*G732, XLOOKUP(B732,Lookup!$F$14:$F$21,Lookup!$H$14:$H$21,,1)*G732),0)</f>
        <v>0</v>
      </c>
      <c r="J732" s="61">
        <f t="array" ref="J732">if(YEAR(A732)=2025,XLOOKUP(B732,Lookup!$F$3:$F$10,Lookup!$I$3:$I$10,,1)*G732, XLOOKUP(B732,Lookup!$F$14:$F$21,Lookup!$I$14:$I$21,,1)*G732)</f>
        <v>0</v>
      </c>
      <c r="K732" s="61">
        <f t="array" ref="K732">if(B732&gt;54, if(YEAR(A732)=2025,XLOOKUP(B732,Lookup!$F$3:$F$10,Lookup!$H$3:$H$10,,1)*G732, XLOOKUP(B732,Lookup!$F$14:$F$21,Lookup!$H$14:$H$21,,1)*G732),0)</f>
        <v>0</v>
      </c>
      <c r="L732" s="62">
        <f>IF(and(A732&lt;questions!$C$19,questions!$C$18="yes"),questions!$C$20,0)</f>
        <v>0</v>
      </c>
      <c r="M732" s="63">
        <f>(Y731+H732)*Lookup!A$26/12</f>
        <v>3538.059304</v>
      </c>
      <c r="N732" s="63">
        <f>if(B732&lt;55, (Z731+I732)*Lookup!B$26/12, (AB731+K732)*Lookup!B$26/12)</f>
        <v>7487.804918</v>
      </c>
      <c r="O732" s="63">
        <f>(AA731+J732)*Lookup!C$26/12</f>
        <v>940.3700287</v>
      </c>
      <c r="P732" s="63">
        <f t="shared" si="8"/>
        <v>42456.71165</v>
      </c>
      <c r="Q732" s="63">
        <f t="shared" si="4"/>
        <v>89853.65902</v>
      </c>
      <c r="R732" s="63">
        <f t="shared" si="5"/>
        <v>11284.44034</v>
      </c>
      <c r="S732" s="64">
        <f t="shared" si="9"/>
        <v>33.33333333</v>
      </c>
      <c r="T732" s="64">
        <f t="shared" si="10"/>
        <v>41.66666667</v>
      </c>
      <c r="U732" s="64">
        <f t="shared" si="11"/>
        <v>0</v>
      </c>
      <c r="V732" s="64">
        <f t="shared" ref="V732:X732" si="740">IF(year($A732)=year($A731), V731+S732, S732)</f>
        <v>400</v>
      </c>
      <c r="W732" s="64">
        <f t="shared" si="740"/>
        <v>500</v>
      </c>
      <c r="X732" s="64">
        <f t="shared" si="740"/>
        <v>0</v>
      </c>
      <c r="Y732" s="65">
        <f>IFS(
  B732&lt;55,
    MAX(
      Y731 + IF(MONTH(A732)=12, P732+V732, 0) + H732 - L732
      + MAX(0,
          IF(AA731 &gt;= VLOOKUP(YEAR(A732), Lookup!$Q:$R, 2),
            Z731 + IF(MONTH(A732)=12, Q732+W732, 0) + I732
              + AA731 + IF(MONTH(A732)=12, R732+X732, 0)
              - VLOOKUP(YEAR(A732), Lookup!$Q:$R, 2) + J732,
            Z731 + IF(MONTH(A732)=12, Q732+W732, 0) + I732
          ) - VLOOKUP(YEAR(A732), Lookup!$K:$M, 3)
        ),
    0),
  B732=55,
    IF(Z731&gt;=AD732,
      MAX(Y731 + IF(MONTH(A732)=12, P732+V732, 0) + H732 - L732, 0),
      MAX(MAX(0, Y731-(AD732-Z731)) + IF(MONTH(A732)=12, P732+V732, 0) + H732 - L732, 0)
    ),
  B732&gt;55,
    IF(AB731&gt;=$AH$7,
      MAX(Y731 + IF(MONTH(A732)=12, P732+V732, 0) + H732 - L732 + K732 + Z731, 0),
      MAX(Y731 + IF(MONTH(A732)=12, P732+V732, 0) + H732 - L732, 0)
    )
)</f>
        <v>1741125.177</v>
      </c>
      <c r="Z732" s="65">
        <f>IFS(
  B732&lt;55,
    MIN(
      IF(AA731 &gt;= VLOOKUP(YEAR(A732), Lookup!$Q:$R, 2),
        Z731 + IF(MONTH(A732)=12, Q732+W732, 0) + I732
          + AA731 + IF(MONTH(A732)=12, R732+X732, 0) - VLOOKUP(YEAR(A732), Lookup!$Q:$R, 2) + J732,
        Z731 + IF(MONTH(A732)=12, Q732+W732, 0) + I732
      ),
      VLOOKUP(YEAR(A732), Lookup!$K:$M, 3)
    ),
  B732=55,
    IF(Z731 &gt;= AD732, Z731 - AD732, 0),
  B732&gt;55, 0
)</f>
        <v>0</v>
      </c>
      <c r="AA732" s="65">
        <f>IFS(
  B732&lt;65,
    IF(AA731+J732 &lt; VLOOKUP(YEAR(A732), Lookup!$Q:$R, 2),
      AA731 + IF(MONTH(A732)=12, R731+X731, 0) + J732,
      MIN(
        AA731 + IF(MONTH(A732)=12, R731+X731, 0) + J732 ,
        VLOOKUP(YEAR(A732), Lookup!$Q:$R, 2)
      )
    ),
  B732&gt;=65,
    IF(AA731+J732 &lt; VLOOKUP(questions!$C$5, Lookup!$Q:$R, 2),
      AA731 + IF(MONTH(A732)=12, R731+X731, 0) + J732 ,
      MIN(
        AA731 + IF(MONTH(A732)=12, R731+X731, 0) + J732,
        VLOOKUP(questions!$C$5, Lookup!$Q:$R, 2)
      )
    )
)</f>
        <v>282111.0086</v>
      </c>
      <c r="AB732" s="65">
        <f t="shared" si="13"/>
        <v>2336695.135</v>
      </c>
      <c r="AC732" s="66">
        <f t="array" ref="AC732">IFS(B732&lt;66, XLOOKUP(year(A732),Lookup!$K$13:$K1000,Lookup!$L$13:$L1000,"missing",,1),B732&gt;65,XLOOKUP(questions!$C$5,Lookup!$K$13:$K1000,Lookup!$L$13:$L1000,"missing",,1))</f>
        <v>393675.3633</v>
      </c>
      <c r="AD732" s="66">
        <f t="array" ref="AD732">IFS(B732&lt;66, XLOOKUP(year(A732),Lookup!$K$13:$K1000,Lookup!$M$13:$M1000,"missing",,1),B732&gt;65, XLOOKUP(questions!$C$5,Lookup!$K$13:$K1000,Lookup!$M$13:$M1000,"missing",,1))</f>
        <v>787350.7266</v>
      </c>
      <c r="AE732" s="66">
        <f t="array" ref="AE732">IFS(B732&lt;66, XLOOKUP(year(A732),Lookup!$K$13:$K1000,Lookup!$N$13:$N1000,"missing",,1),B732&gt;65,XLOOKUP(questions!$C$5,Lookup!$K$13:$K1000,Lookup!$N$13:$N1000,"missing",,1))</f>
        <v>1574701.453</v>
      </c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  <c r="AQ732" s="37"/>
    </row>
    <row r="733">
      <c r="A733" s="55">
        <f t="shared" si="7"/>
        <v>68333</v>
      </c>
      <c r="B733" s="56">
        <f>round(YEARFRAC(EOMONTH(questions!$C$3, 0),A733,1),2)</f>
        <v>88.17</v>
      </c>
      <c r="C733" s="58">
        <f>IF(B733&lt;questions!$C$6,if(MONTH(A733)=1,C732*(1+questions!$C$12),C732),0)</f>
        <v>0</v>
      </c>
      <c r="D733" s="58">
        <f>IF(MONTH(A733)=12,C733*questions!$C$11,0)</f>
        <v>0</v>
      </c>
      <c r="E733" s="71">
        <f t="shared" si="2"/>
        <v>0</v>
      </c>
      <c r="F733" s="71">
        <f t="shared" si="3"/>
        <v>0</v>
      </c>
      <c r="G733" s="61">
        <f t="array" ref="G733">if(YEAR(A733)=2025,XLOOKUP(B733,Lookup!$A$3:$A$7,Lookup!$D$3:$D$7,,1)*SUM(E733:F733), XLOOKUP(B733,Lookup!$A$14:$A$18,Lookup!$D$14:$D$18,,1)*SUM(E733:F733))</f>
        <v>0</v>
      </c>
      <c r="H733" s="61">
        <f t="array" ref="H733">if(YEAR(A733)=2025,XLOOKUP(B733,Lookup!$F$3:$F$10,Lookup!$G$3:$G$10,,1)*G733, XLOOKUP(B733,Lookup!$F$14:$F$21,Lookup!$G$14:$G$21,,1)*G733)</f>
        <v>0</v>
      </c>
      <c r="I733" s="61">
        <f t="array" ref="I733">if(B733&lt;55, if(YEAR(A733)=2025,XLOOKUP(B733,Lookup!$F$3:$F$10,Lookup!$H$3:$H$10,,1)*G733, XLOOKUP(B733,Lookup!$F$14:$F$21,Lookup!$H$14:$H$21,,1)*G733),0)</f>
        <v>0</v>
      </c>
      <c r="J733" s="61">
        <f t="array" ref="J733">if(YEAR(A733)=2025,XLOOKUP(B733,Lookup!$F$3:$F$10,Lookup!$I$3:$I$10,,1)*G733, XLOOKUP(B733,Lookup!$F$14:$F$21,Lookup!$I$14:$I$21,,1)*G733)</f>
        <v>0</v>
      </c>
      <c r="K733" s="61">
        <f t="array" ref="K733">if(B733&gt;54, if(YEAR(A733)=2025,XLOOKUP(B733,Lookup!$F$3:$F$10,Lookup!$H$3:$H$10,,1)*G733, XLOOKUP(B733,Lookup!$F$14:$F$21,Lookup!$H$14:$H$21,,1)*G733),0)</f>
        <v>0</v>
      </c>
      <c r="L733" s="62">
        <f>IF(and(A733&lt;questions!$C$19,questions!$C$18="yes"),questions!$C$20,0)</f>
        <v>0</v>
      </c>
      <c r="M733" s="63">
        <f>(Y732+H733)*Lookup!A$26/12</f>
        <v>3627.34412</v>
      </c>
      <c r="N733" s="63">
        <f>if(B733&lt;55, (Z732+I733)*Lookup!B$26/12, (AB732+K733)*Lookup!B$26/12)</f>
        <v>7788.983782</v>
      </c>
      <c r="O733" s="63">
        <f>(AA732+J733)*Lookup!C$26/12</f>
        <v>940.3700287</v>
      </c>
      <c r="P733" s="63">
        <f t="shared" si="8"/>
        <v>3627.34412</v>
      </c>
      <c r="Q733" s="63">
        <f t="shared" si="4"/>
        <v>7788.983782</v>
      </c>
      <c r="R733" s="63">
        <f t="shared" si="5"/>
        <v>940.3700287</v>
      </c>
      <c r="S733" s="64">
        <f t="shared" si="9"/>
        <v>33.33333333</v>
      </c>
      <c r="T733" s="64">
        <f t="shared" si="10"/>
        <v>41.66666667</v>
      </c>
      <c r="U733" s="64">
        <f t="shared" si="11"/>
        <v>0</v>
      </c>
      <c r="V733" s="64">
        <f t="shared" ref="V733:X733" si="741">IF(year($A733)=year($A732), V732+S733, S733)</f>
        <v>33.33333333</v>
      </c>
      <c r="W733" s="64">
        <f t="shared" si="741"/>
        <v>41.66666667</v>
      </c>
      <c r="X733" s="64">
        <f t="shared" si="741"/>
        <v>0</v>
      </c>
      <c r="Y733" s="65">
        <f>IFS(
  B733&lt;55,
    MAX(
      Y732 + IF(MONTH(A733)=12, P733+V733, 0) + H733 - L733
      + MAX(0,
          IF(AA732 &gt;= VLOOKUP(YEAR(A733), Lookup!$Q:$R, 2),
            Z732 + IF(MONTH(A733)=12, Q733+W733, 0) + I733
              + AA732 + IF(MONTH(A733)=12, R733+X733, 0)
              - VLOOKUP(YEAR(A733), Lookup!$Q:$R, 2) + J733,
            Z732 + IF(MONTH(A733)=12, Q733+W733, 0) + I733
          ) - VLOOKUP(YEAR(A733), Lookup!$K:$M, 3)
        ),
    0),
  B733=55,
    IF(Z732&gt;=AD733,
      MAX(Y732 + IF(MONTH(A733)=12, P733+V733, 0) + H733 - L733, 0),
      MAX(MAX(0, Y732-(AD733-Z732)) + IF(MONTH(A733)=12, P733+V733, 0) + H733 - L733, 0)
    ),
  B733&gt;55,
    IF(AB732&gt;=$AH$7,
      MAX(Y732 + IF(MONTH(A733)=12, P733+V733, 0) + H733 - L733 + K733 + Z732, 0),
      MAX(Y732 + IF(MONTH(A733)=12, P733+V733, 0) + H733 - L733, 0)
    )
)</f>
        <v>1741125.177</v>
      </c>
      <c r="Z733" s="65">
        <f>IFS(
  B733&lt;55,
    MIN(
      IF(AA732 &gt;= VLOOKUP(YEAR(A733), Lookup!$Q:$R, 2),
        Z732 + IF(MONTH(A733)=12, Q733+W733, 0) + I733
          + AA732 + IF(MONTH(A733)=12, R733+X733, 0) - VLOOKUP(YEAR(A733), Lookup!$Q:$R, 2) + J733,
        Z732 + IF(MONTH(A733)=12, Q733+W733, 0) + I733
      ),
      VLOOKUP(YEAR(A733), Lookup!$K:$M, 3)
    ),
  B733=55,
    IF(Z732 &gt;= AD733, Z732 - AD733, 0),
  B733&gt;55, 0
)</f>
        <v>0</v>
      </c>
      <c r="AA733" s="65">
        <f>IFS(
  B733&lt;65,
    IF(AA732+J733 &lt; VLOOKUP(YEAR(A733), Lookup!$Q:$R, 2),
      AA732 + IF(MONTH(A733)=12, R732+X732, 0) + J733,
      MIN(
        AA732 + IF(MONTH(A733)=12, R732+X732, 0) + J733 ,
        VLOOKUP(YEAR(A733), Lookup!$Q:$R, 2)
      )
    ),
  B733&gt;=65,
    IF(AA732+J733 &lt; VLOOKUP(questions!$C$5, Lookup!$Q:$R, 2),
      AA732 + IF(MONTH(A733)=12, R732+X732, 0) + J733 ,
      MIN(
        AA732 + IF(MONTH(A733)=12, R732+X732, 0) + J733,
        VLOOKUP(questions!$C$5, Lookup!$Q:$R, 2)
      )
    )
)</f>
        <v>282111.0086</v>
      </c>
      <c r="AB733" s="65">
        <f t="shared" si="13"/>
        <v>2336695.135</v>
      </c>
      <c r="AC733" s="66">
        <f t="array" ref="AC733">IFS(B733&lt;66, XLOOKUP(year(A733),Lookup!$K$13:$K1000,Lookup!$L$13:$L1000,"missing",,1),B733&gt;65,XLOOKUP(questions!$C$5,Lookup!$K$13:$K1000,Lookup!$L$13:$L1000,"missing",,1))</f>
        <v>393675.3633</v>
      </c>
      <c r="AD733" s="66">
        <f t="array" ref="AD733">IFS(B733&lt;66, XLOOKUP(year(A733),Lookup!$K$13:$K1000,Lookup!$M$13:$M1000,"missing",,1),B733&gt;65, XLOOKUP(questions!$C$5,Lookup!$K$13:$K1000,Lookup!$M$13:$M1000,"missing",,1))</f>
        <v>787350.7266</v>
      </c>
      <c r="AE733" s="66">
        <f t="array" ref="AE733">IFS(B733&lt;66, XLOOKUP(year(A733),Lookup!$K$13:$K1000,Lookup!$N$13:$N1000,"missing",,1),B733&gt;65,XLOOKUP(questions!$C$5,Lookup!$K$13:$K1000,Lookup!$N$13:$N1000,"missing",,1))</f>
        <v>1574701.453</v>
      </c>
      <c r="AF733" s="37"/>
      <c r="AG733" s="37"/>
      <c r="AH733" s="37"/>
      <c r="AI733" s="37"/>
      <c r="AJ733" s="37"/>
      <c r="AK733" s="37"/>
      <c r="AL733" s="37"/>
      <c r="AM733" s="37"/>
      <c r="AN733" s="37"/>
      <c r="AO733" s="37"/>
      <c r="AP733" s="37"/>
      <c r="AQ733" s="37"/>
    </row>
    <row r="734">
      <c r="A734" s="55">
        <f t="shared" si="7"/>
        <v>68361</v>
      </c>
      <c r="B734" s="56">
        <f>round(YEARFRAC(EOMONTH(questions!$C$3, 0),A734,1),2)</f>
        <v>88.25</v>
      </c>
      <c r="C734" s="58">
        <f>IF(B734&lt;questions!$C$6,if(MONTH(A734)=1,C733*(1+questions!$C$12),C733),0)</f>
        <v>0</v>
      </c>
      <c r="D734" s="58">
        <f>IF(MONTH(A734)=12,C734*questions!$C$11,0)</f>
        <v>0</v>
      </c>
      <c r="E734" s="71">
        <f t="shared" si="2"/>
        <v>0</v>
      </c>
      <c r="F734" s="71">
        <f t="shared" si="3"/>
        <v>0</v>
      </c>
      <c r="G734" s="61">
        <f t="array" ref="G734">if(YEAR(A734)=2025,XLOOKUP(B734,Lookup!$A$3:$A$7,Lookup!$D$3:$D$7,,1)*SUM(E734:F734), XLOOKUP(B734,Lookup!$A$14:$A$18,Lookup!$D$14:$D$18,,1)*SUM(E734:F734))</f>
        <v>0</v>
      </c>
      <c r="H734" s="61">
        <f t="array" ref="H734">if(YEAR(A734)=2025,XLOOKUP(B734,Lookup!$F$3:$F$10,Lookup!$G$3:$G$10,,1)*G734, XLOOKUP(B734,Lookup!$F$14:$F$21,Lookup!$G$14:$G$21,,1)*G734)</f>
        <v>0</v>
      </c>
      <c r="I734" s="61">
        <f t="array" ref="I734">if(B734&lt;55, if(YEAR(A734)=2025,XLOOKUP(B734,Lookup!$F$3:$F$10,Lookup!$H$3:$H$10,,1)*G734, XLOOKUP(B734,Lookup!$F$14:$F$21,Lookup!$H$14:$H$21,,1)*G734),0)</f>
        <v>0</v>
      </c>
      <c r="J734" s="61">
        <f t="array" ref="J734">if(YEAR(A734)=2025,XLOOKUP(B734,Lookup!$F$3:$F$10,Lookup!$I$3:$I$10,,1)*G734, XLOOKUP(B734,Lookup!$F$14:$F$21,Lookup!$I$14:$I$21,,1)*G734)</f>
        <v>0</v>
      </c>
      <c r="K734" s="61">
        <f t="array" ref="K734">if(B734&gt;54, if(YEAR(A734)=2025,XLOOKUP(B734,Lookup!$F$3:$F$10,Lookup!$H$3:$H$10,,1)*G734, XLOOKUP(B734,Lookup!$F$14:$F$21,Lookup!$H$14:$H$21,,1)*G734),0)</f>
        <v>0</v>
      </c>
      <c r="L734" s="62">
        <f>IF(and(A734&lt;questions!$C$19,questions!$C$18="yes"),questions!$C$20,0)</f>
        <v>0</v>
      </c>
      <c r="M734" s="63">
        <f>(Y733+H734)*Lookup!A$26/12</f>
        <v>3627.34412</v>
      </c>
      <c r="N734" s="63">
        <f>if(B734&lt;55, (Z733+I734)*Lookup!B$26/12, (AB733+K734)*Lookup!B$26/12)</f>
        <v>7788.983782</v>
      </c>
      <c r="O734" s="63">
        <f>(AA733+J734)*Lookup!C$26/12</f>
        <v>940.3700287</v>
      </c>
      <c r="P734" s="63">
        <f t="shared" si="8"/>
        <v>7254.68824</v>
      </c>
      <c r="Q734" s="63">
        <f t="shared" si="4"/>
        <v>15577.96756</v>
      </c>
      <c r="R734" s="63">
        <f t="shared" si="5"/>
        <v>1880.740057</v>
      </c>
      <c r="S734" s="64">
        <f t="shared" si="9"/>
        <v>33.33333333</v>
      </c>
      <c r="T734" s="64">
        <f t="shared" si="10"/>
        <v>41.66666667</v>
      </c>
      <c r="U734" s="64">
        <f t="shared" si="11"/>
        <v>0</v>
      </c>
      <c r="V734" s="64">
        <f t="shared" ref="V734:X734" si="742">IF(year($A734)=year($A733), V733+S734, S734)</f>
        <v>66.66666667</v>
      </c>
      <c r="W734" s="64">
        <f t="shared" si="742"/>
        <v>83.33333333</v>
      </c>
      <c r="X734" s="64">
        <f t="shared" si="742"/>
        <v>0</v>
      </c>
      <c r="Y734" s="65">
        <f>IFS(
  B734&lt;55,
    MAX(
      Y733 + IF(MONTH(A734)=12, P734+V734, 0) + H734 - L734
      + MAX(0,
          IF(AA733 &gt;= VLOOKUP(YEAR(A734), Lookup!$Q:$R, 2),
            Z733 + IF(MONTH(A734)=12, Q734+W734, 0) + I734
              + AA733 + IF(MONTH(A734)=12, R734+X734, 0)
              - VLOOKUP(YEAR(A734), Lookup!$Q:$R, 2) + J734,
            Z733 + IF(MONTH(A734)=12, Q734+W734, 0) + I734
          ) - VLOOKUP(YEAR(A734), Lookup!$K:$M, 3)
        ),
    0),
  B734=55,
    IF(Z733&gt;=AD734,
      MAX(Y733 + IF(MONTH(A734)=12, P734+V734, 0) + H734 - L734, 0),
      MAX(MAX(0, Y733-(AD734-Z733)) + IF(MONTH(A734)=12, P734+V734, 0) + H734 - L734, 0)
    ),
  B734&gt;55,
    IF(AB733&gt;=$AH$7,
      MAX(Y733 + IF(MONTH(A734)=12, P734+V734, 0) + H734 - L734 + K734 + Z733, 0),
      MAX(Y733 + IF(MONTH(A734)=12, P734+V734, 0) + H734 - L734, 0)
    )
)</f>
        <v>1741125.177</v>
      </c>
      <c r="Z734" s="65">
        <f>IFS(
  B734&lt;55,
    MIN(
      IF(AA733 &gt;= VLOOKUP(YEAR(A734), Lookup!$Q:$R, 2),
        Z733 + IF(MONTH(A734)=12, Q734+W734, 0) + I734
          + AA733 + IF(MONTH(A734)=12, R734+X734, 0) - VLOOKUP(YEAR(A734), Lookup!$Q:$R, 2) + J734,
        Z733 + IF(MONTH(A734)=12, Q734+W734, 0) + I734
      ),
      VLOOKUP(YEAR(A734), Lookup!$K:$M, 3)
    ),
  B734=55,
    IF(Z733 &gt;= AD734, Z733 - AD734, 0),
  B734&gt;55, 0
)</f>
        <v>0</v>
      </c>
      <c r="AA734" s="65">
        <f>IFS(
  B734&lt;65,
    IF(AA733+J734 &lt; VLOOKUP(YEAR(A734), Lookup!$Q:$R, 2),
      AA733 + IF(MONTH(A734)=12, R733+X733, 0) + J734,
      MIN(
        AA733 + IF(MONTH(A734)=12, R733+X733, 0) + J734 ,
        VLOOKUP(YEAR(A734), Lookup!$Q:$R, 2)
      )
    ),
  B734&gt;=65,
    IF(AA733+J734 &lt; VLOOKUP(questions!$C$5, Lookup!$Q:$R, 2),
      AA733 + IF(MONTH(A734)=12, R733+X733, 0) + J734 ,
      MIN(
        AA733 + IF(MONTH(A734)=12, R733+X733, 0) + J734,
        VLOOKUP(questions!$C$5, Lookup!$Q:$R, 2)
      )
    )
)</f>
        <v>282111.0086</v>
      </c>
      <c r="AB734" s="65">
        <f t="shared" si="13"/>
        <v>2336695.135</v>
      </c>
      <c r="AC734" s="66">
        <f t="array" ref="AC734">IFS(B734&lt;66, XLOOKUP(year(A734),Lookup!$K$13:$K1000,Lookup!$L$13:$L1000,"missing",,1),B734&gt;65,XLOOKUP(questions!$C$5,Lookup!$K$13:$K1000,Lookup!$L$13:$L1000,"missing",,1))</f>
        <v>393675.3633</v>
      </c>
      <c r="AD734" s="66">
        <f t="array" ref="AD734">IFS(B734&lt;66, XLOOKUP(year(A734),Lookup!$K$13:$K1000,Lookup!$M$13:$M1000,"missing",,1),B734&gt;65, XLOOKUP(questions!$C$5,Lookup!$K$13:$K1000,Lookup!$M$13:$M1000,"missing",,1))</f>
        <v>787350.7266</v>
      </c>
      <c r="AE734" s="66">
        <f t="array" ref="AE734">IFS(B734&lt;66, XLOOKUP(year(A734),Lookup!$K$13:$K1000,Lookup!$N$13:$N1000,"missing",,1),B734&gt;65,XLOOKUP(questions!$C$5,Lookup!$K$13:$K1000,Lookup!$N$13:$N1000,"missing",,1))</f>
        <v>1574701.453</v>
      </c>
      <c r="AF734" s="37"/>
      <c r="AG734" s="37"/>
      <c r="AH734" s="37"/>
      <c r="AI734" s="37"/>
      <c r="AJ734" s="37"/>
      <c r="AK734" s="37"/>
      <c r="AL734" s="37"/>
      <c r="AM734" s="37"/>
      <c r="AN734" s="37"/>
      <c r="AO734" s="37"/>
      <c r="AP734" s="37"/>
      <c r="AQ734" s="37"/>
    </row>
    <row r="735">
      <c r="A735" s="55">
        <f t="shared" si="7"/>
        <v>68392</v>
      </c>
      <c r="B735" s="56">
        <f>round(YEARFRAC(EOMONTH(questions!$C$3, 0),A735,1),2)</f>
        <v>88.33</v>
      </c>
      <c r="C735" s="58">
        <f>IF(B735&lt;questions!$C$6,if(MONTH(A735)=1,C734*(1+questions!$C$12),C734),0)</f>
        <v>0</v>
      </c>
      <c r="D735" s="58">
        <f>IF(MONTH(A735)=12,C735*questions!$C$11,0)</f>
        <v>0</v>
      </c>
      <c r="E735" s="71">
        <f t="shared" si="2"/>
        <v>0</v>
      </c>
      <c r="F735" s="71">
        <f t="shared" si="3"/>
        <v>0</v>
      </c>
      <c r="G735" s="61">
        <f t="array" ref="G735">if(YEAR(A735)=2025,XLOOKUP(B735,Lookup!$A$3:$A$7,Lookup!$D$3:$D$7,,1)*SUM(E735:F735), XLOOKUP(B735,Lookup!$A$14:$A$18,Lookup!$D$14:$D$18,,1)*SUM(E735:F735))</f>
        <v>0</v>
      </c>
      <c r="H735" s="61">
        <f t="array" ref="H735">if(YEAR(A735)=2025,XLOOKUP(B735,Lookup!$F$3:$F$10,Lookup!$G$3:$G$10,,1)*G735, XLOOKUP(B735,Lookup!$F$14:$F$21,Lookup!$G$14:$G$21,,1)*G735)</f>
        <v>0</v>
      </c>
      <c r="I735" s="61">
        <f t="array" ref="I735">if(B735&lt;55, if(YEAR(A735)=2025,XLOOKUP(B735,Lookup!$F$3:$F$10,Lookup!$H$3:$H$10,,1)*G735, XLOOKUP(B735,Lookup!$F$14:$F$21,Lookup!$H$14:$H$21,,1)*G735),0)</f>
        <v>0</v>
      </c>
      <c r="J735" s="61">
        <f t="array" ref="J735">if(YEAR(A735)=2025,XLOOKUP(B735,Lookup!$F$3:$F$10,Lookup!$I$3:$I$10,,1)*G735, XLOOKUP(B735,Lookup!$F$14:$F$21,Lookup!$I$14:$I$21,,1)*G735)</f>
        <v>0</v>
      </c>
      <c r="K735" s="61">
        <f t="array" ref="K735">if(B735&gt;54, if(YEAR(A735)=2025,XLOOKUP(B735,Lookup!$F$3:$F$10,Lookup!$H$3:$H$10,,1)*G735, XLOOKUP(B735,Lookup!$F$14:$F$21,Lookup!$H$14:$H$21,,1)*G735),0)</f>
        <v>0</v>
      </c>
      <c r="L735" s="62">
        <f>IF(and(A735&lt;questions!$C$19,questions!$C$18="yes"),questions!$C$20,0)</f>
        <v>0</v>
      </c>
      <c r="M735" s="63">
        <f>(Y734+H735)*Lookup!A$26/12</f>
        <v>3627.34412</v>
      </c>
      <c r="N735" s="63">
        <f>if(B735&lt;55, (Z734+I735)*Lookup!B$26/12, (AB734+K735)*Lookup!B$26/12)</f>
        <v>7788.983782</v>
      </c>
      <c r="O735" s="63">
        <f>(AA734+J735)*Lookup!C$26/12</f>
        <v>940.3700287</v>
      </c>
      <c r="P735" s="63">
        <f t="shared" si="8"/>
        <v>10882.03236</v>
      </c>
      <c r="Q735" s="63">
        <f t="shared" si="4"/>
        <v>23366.95135</v>
      </c>
      <c r="R735" s="63">
        <f t="shared" si="5"/>
        <v>2821.110086</v>
      </c>
      <c r="S735" s="64">
        <f t="shared" si="9"/>
        <v>33.33333333</v>
      </c>
      <c r="T735" s="64">
        <f t="shared" si="10"/>
        <v>41.66666667</v>
      </c>
      <c r="U735" s="64">
        <f t="shared" si="11"/>
        <v>0</v>
      </c>
      <c r="V735" s="64">
        <f t="shared" ref="V735:X735" si="743">IF(year($A735)=year($A734), V734+S735, S735)</f>
        <v>100</v>
      </c>
      <c r="W735" s="64">
        <f t="shared" si="743"/>
        <v>125</v>
      </c>
      <c r="X735" s="64">
        <f t="shared" si="743"/>
        <v>0</v>
      </c>
      <c r="Y735" s="65">
        <f>IFS(
  B735&lt;55,
    MAX(
      Y734 + IF(MONTH(A735)=12, P735+V735, 0) + H735 - L735
      + MAX(0,
          IF(AA734 &gt;= VLOOKUP(YEAR(A735), Lookup!$Q:$R, 2),
            Z734 + IF(MONTH(A735)=12, Q735+W735, 0) + I735
              + AA734 + IF(MONTH(A735)=12, R735+X735, 0)
              - VLOOKUP(YEAR(A735), Lookup!$Q:$R, 2) + J735,
            Z734 + IF(MONTH(A735)=12, Q735+W735, 0) + I735
          ) - VLOOKUP(YEAR(A735), Lookup!$K:$M, 3)
        ),
    0),
  B735=55,
    IF(Z734&gt;=AD735,
      MAX(Y734 + IF(MONTH(A735)=12, P735+V735, 0) + H735 - L735, 0),
      MAX(MAX(0, Y734-(AD735-Z734)) + IF(MONTH(A735)=12, P735+V735, 0) + H735 - L735, 0)
    ),
  B735&gt;55,
    IF(AB734&gt;=$AH$7,
      MAX(Y734 + IF(MONTH(A735)=12, P735+V735, 0) + H735 - L735 + K735 + Z734, 0),
      MAX(Y734 + IF(MONTH(A735)=12, P735+V735, 0) + H735 - L735, 0)
    )
)</f>
        <v>1741125.177</v>
      </c>
      <c r="Z735" s="65">
        <f>IFS(
  B735&lt;55,
    MIN(
      IF(AA734 &gt;= VLOOKUP(YEAR(A735), Lookup!$Q:$R, 2),
        Z734 + IF(MONTH(A735)=12, Q735+W735, 0) + I735
          + AA734 + IF(MONTH(A735)=12, R735+X735, 0) - VLOOKUP(YEAR(A735), Lookup!$Q:$R, 2) + J735,
        Z734 + IF(MONTH(A735)=12, Q735+W735, 0) + I735
      ),
      VLOOKUP(YEAR(A735), Lookup!$K:$M, 3)
    ),
  B735=55,
    IF(Z734 &gt;= AD735, Z734 - AD735, 0),
  B735&gt;55, 0
)</f>
        <v>0</v>
      </c>
      <c r="AA735" s="65">
        <f>IFS(
  B735&lt;65,
    IF(AA734+J735 &lt; VLOOKUP(YEAR(A735), Lookup!$Q:$R, 2),
      AA734 + IF(MONTH(A735)=12, R734+X734, 0) + J735,
      MIN(
        AA734 + IF(MONTH(A735)=12, R734+X734, 0) + J735 ,
        VLOOKUP(YEAR(A735), Lookup!$Q:$R, 2)
      )
    ),
  B735&gt;=65,
    IF(AA734+J735 &lt; VLOOKUP(questions!$C$5, Lookup!$Q:$R, 2),
      AA734 + IF(MONTH(A735)=12, R734+X734, 0) + J735 ,
      MIN(
        AA734 + IF(MONTH(A735)=12, R734+X734, 0) + J735,
        VLOOKUP(questions!$C$5, Lookup!$Q:$R, 2)
      )
    )
)</f>
        <v>282111.0086</v>
      </c>
      <c r="AB735" s="65">
        <f t="shared" si="13"/>
        <v>2336695.135</v>
      </c>
      <c r="AC735" s="66">
        <f t="array" ref="AC735">IFS(B735&lt;66, XLOOKUP(year(A735),Lookup!$K$13:$K1000,Lookup!$L$13:$L1000,"missing",,1),B735&gt;65,XLOOKUP(questions!$C$5,Lookup!$K$13:$K1000,Lookup!$L$13:$L1000,"missing",,1))</f>
        <v>393675.3633</v>
      </c>
      <c r="AD735" s="66">
        <f t="array" ref="AD735">IFS(B735&lt;66, XLOOKUP(year(A735),Lookup!$K$13:$K1000,Lookup!$M$13:$M1000,"missing",,1),B735&gt;65, XLOOKUP(questions!$C$5,Lookup!$K$13:$K1000,Lookup!$M$13:$M1000,"missing",,1))</f>
        <v>787350.7266</v>
      </c>
      <c r="AE735" s="66">
        <f t="array" ref="AE735">IFS(B735&lt;66, XLOOKUP(year(A735),Lookup!$K$13:$K1000,Lookup!$N$13:$N1000,"missing",,1),B735&gt;65,XLOOKUP(questions!$C$5,Lookup!$K$13:$K1000,Lookup!$N$13:$N1000,"missing",,1))</f>
        <v>1574701.453</v>
      </c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7"/>
      <c r="AQ735" s="37"/>
    </row>
    <row r="736">
      <c r="A736" s="55">
        <f t="shared" si="7"/>
        <v>68422</v>
      </c>
      <c r="B736" s="56">
        <f>round(YEARFRAC(EOMONTH(questions!$C$3, 0),A736,1),2)</f>
        <v>88.41</v>
      </c>
      <c r="C736" s="58">
        <f>IF(B736&lt;questions!$C$6,if(MONTH(A736)=1,C735*(1+questions!$C$12),C735),0)</f>
        <v>0</v>
      </c>
      <c r="D736" s="58">
        <f>IF(MONTH(A736)=12,C736*questions!$C$11,0)</f>
        <v>0</v>
      </c>
      <c r="E736" s="71">
        <f t="shared" si="2"/>
        <v>0</v>
      </c>
      <c r="F736" s="71">
        <f t="shared" si="3"/>
        <v>0</v>
      </c>
      <c r="G736" s="61">
        <f t="array" ref="G736">if(YEAR(A736)=2025,XLOOKUP(B736,Lookup!$A$3:$A$7,Lookup!$D$3:$D$7,,1)*SUM(E736:F736), XLOOKUP(B736,Lookup!$A$14:$A$18,Lookup!$D$14:$D$18,,1)*SUM(E736:F736))</f>
        <v>0</v>
      </c>
      <c r="H736" s="61">
        <f t="array" ref="H736">if(YEAR(A736)=2025,XLOOKUP(B736,Lookup!$F$3:$F$10,Lookup!$G$3:$G$10,,1)*G736, XLOOKUP(B736,Lookup!$F$14:$F$21,Lookup!$G$14:$G$21,,1)*G736)</f>
        <v>0</v>
      </c>
      <c r="I736" s="61">
        <f t="array" ref="I736">if(B736&lt;55, if(YEAR(A736)=2025,XLOOKUP(B736,Lookup!$F$3:$F$10,Lookup!$H$3:$H$10,,1)*G736, XLOOKUP(B736,Lookup!$F$14:$F$21,Lookup!$H$14:$H$21,,1)*G736),0)</f>
        <v>0</v>
      </c>
      <c r="J736" s="61">
        <f t="array" ref="J736">if(YEAR(A736)=2025,XLOOKUP(B736,Lookup!$F$3:$F$10,Lookup!$I$3:$I$10,,1)*G736, XLOOKUP(B736,Lookup!$F$14:$F$21,Lookup!$I$14:$I$21,,1)*G736)</f>
        <v>0</v>
      </c>
      <c r="K736" s="61">
        <f t="array" ref="K736">if(B736&gt;54, if(YEAR(A736)=2025,XLOOKUP(B736,Lookup!$F$3:$F$10,Lookup!$H$3:$H$10,,1)*G736, XLOOKUP(B736,Lookup!$F$14:$F$21,Lookup!$H$14:$H$21,,1)*G736),0)</f>
        <v>0</v>
      </c>
      <c r="L736" s="62">
        <f>IF(and(A736&lt;questions!$C$19,questions!$C$18="yes"),questions!$C$20,0)</f>
        <v>0</v>
      </c>
      <c r="M736" s="63">
        <f>(Y735+H736)*Lookup!A$26/12</f>
        <v>3627.34412</v>
      </c>
      <c r="N736" s="63">
        <f>if(B736&lt;55, (Z735+I736)*Lookup!B$26/12, (AB735+K736)*Lookup!B$26/12)</f>
        <v>7788.983782</v>
      </c>
      <c r="O736" s="63">
        <f>(AA735+J736)*Lookup!C$26/12</f>
        <v>940.3700287</v>
      </c>
      <c r="P736" s="63">
        <f t="shared" si="8"/>
        <v>14509.37648</v>
      </c>
      <c r="Q736" s="63">
        <f t="shared" si="4"/>
        <v>31155.93513</v>
      </c>
      <c r="R736" s="63">
        <f t="shared" si="5"/>
        <v>3761.480115</v>
      </c>
      <c r="S736" s="64">
        <f t="shared" si="9"/>
        <v>33.33333333</v>
      </c>
      <c r="T736" s="64">
        <f t="shared" si="10"/>
        <v>41.66666667</v>
      </c>
      <c r="U736" s="64">
        <f t="shared" si="11"/>
        <v>0</v>
      </c>
      <c r="V736" s="64">
        <f t="shared" ref="V736:X736" si="744">IF(year($A736)=year($A735), V735+S736, S736)</f>
        <v>133.3333333</v>
      </c>
      <c r="W736" s="64">
        <f t="shared" si="744"/>
        <v>166.6666667</v>
      </c>
      <c r="X736" s="64">
        <f t="shared" si="744"/>
        <v>0</v>
      </c>
      <c r="Y736" s="65">
        <f>IFS(
  B736&lt;55,
    MAX(
      Y735 + IF(MONTH(A736)=12, P736+V736, 0) + H736 - L736
      + MAX(0,
          IF(AA735 &gt;= VLOOKUP(YEAR(A736), Lookup!$Q:$R, 2),
            Z735 + IF(MONTH(A736)=12, Q736+W736, 0) + I736
              + AA735 + IF(MONTH(A736)=12, R736+X736, 0)
              - VLOOKUP(YEAR(A736), Lookup!$Q:$R, 2) + J736,
            Z735 + IF(MONTH(A736)=12, Q736+W736, 0) + I736
          ) - VLOOKUP(YEAR(A736), Lookup!$K:$M, 3)
        ),
    0),
  B736=55,
    IF(Z735&gt;=AD736,
      MAX(Y735 + IF(MONTH(A736)=12, P736+V736, 0) + H736 - L736, 0),
      MAX(MAX(0, Y735-(AD736-Z735)) + IF(MONTH(A736)=12, P736+V736, 0) + H736 - L736, 0)
    ),
  B736&gt;55,
    IF(AB735&gt;=$AH$7,
      MAX(Y735 + IF(MONTH(A736)=12, P736+V736, 0) + H736 - L736 + K736 + Z735, 0),
      MAX(Y735 + IF(MONTH(A736)=12, P736+V736, 0) + H736 - L736, 0)
    )
)</f>
        <v>1741125.177</v>
      </c>
      <c r="Z736" s="65">
        <f>IFS(
  B736&lt;55,
    MIN(
      IF(AA735 &gt;= VLOOKUP(YEAR(A736), Lookup!$Q:$R, 2),
        Z735 + IF(MONTH(A736)=12, Q736+W736, 0) + I736
          + AA735 + IF(MONTH(A736)=12, R736+X736, 0) - VLOOKUP(YEAR(A736), Lookup!$Q:$R, 2) + J736,
        Z735 + IF(MONTH(A736)=12, Q736+W736, 0) + I736
      ),
      VLOOKUP(YEAR(A736), Lookup!$K:$M, 3)
    ),
  B736=55,
    IF(Z735 &gt;= AD736, Z735 - AD736, 0),
  B736&gt;55, 0
)</f>
        <v>0</v>
      </c>
      <c r="AA736" s="65">
        <f>IFS(
  B736&lt;65,
    IF(AA735+J736 &lt; VLOOKUP(YEAR(A736), Lookup!$Q:$R, 2),
      AA735 + IF(MONTH(A736)=12, R735+X735, 0) + J736,
      MIN(
        AA735 + IF(MONTH(A736)=12, R735+X735, 0) + J736 ,
        VLOOKUP(YEAR(A736), Lookup!$Q:$R, 2)
      )
    ),
  B736&gt;=65,
    IF(AA735+J736 &lt; VLOOKUP(questions!$C$5, Lookup!$Q:$R, 2),
      AA735 + IF(MONTH(A736)=12, R735+X735, 0) + J736 ,
      MIN(
        AA735 + IF(MONTH(A736)=12, R735+X735, 0) + J736,
        VLOOKUP(questions!$C$5, Lookup!$Q:$R, 2)
      )
    )
)</f>
        <v>282111.0086</v>
      </c>
      <c r="AB736" s="65">
        <f t="shared" si="13"/>
        <v>2336695.135</v>
      </c>
      <c r="AC736" s="66">
        <f t="array" ref="AC736">IFS(B736&lt;66, XLOOKUP(year(A736),Lookup!$K$13:$K1000,Lookup!$L$13:$L1000,"missing",,1),B736&gt;65,XLOOKUP(questions!$C$5,Lookup!$K$13:$K1000,Lookup!$L$13:$L1000,"missing",,1))</f>
        <v>393675.3633</v>
      </c>
      <c r="AD736" s="66">
        <f t="array" ref="AD736">IFS(B736&lt;66, XLOOKUP(year(A736),Lookup!$K$13:$K1000,Lookup!$M$13:$M1000,"missing",,1),B736&gt;65, XLOOKUP(questions!$C$5,Lookup!$K$13:$K1000,Lookup!$M$13:$M1000,"missing",,1))</f>
        <v>787350.7266</v>
      </c>
      <c r="AE736" s="66">
        <f t="array" ref="AE736">IFS(B736&lt;66, XLOOKUP(year(A736),Lookup!$K$13:$K1000,Lookup!$N$13:$N1000,"missing",,1),B736&gt;65,XLOOKUP(questions!$C$5,Lookup!$K$13:$K1000,Lookup!$N$13:$N1000,"missing",,1))</f>
        <v>1574701.453</v>
      </c>
      <c r="AF736" s="37"/>
      <c r="AG736" s="37"/>
      <c r="AH736" s="37"/>
      <c r="AI736" s="37"/>
      <c r="AJ736" s="37"/>
      <c r="AK736" s="37"/>
      <c r="AL736" s="37"/>
      <c r="AM736" s="37"/>
      <c r="AN736" s="37"/>
      <c r="AO736" s="37"/>
      <c r="AP736" s="37"/>
      <c r="AQ736" s="37"/>
    </row>
    <row r="737">
      <c r="A737" s="55">
        <f t="shared" si="7"/>
        <v>68453</v>
      </c>
      <c r="B737" s="56">
        <f>round(YEARFRAC(EOMONTH(questions!$C$3, 0),A737,1),2)</f>
        <v>88.5</v>
      </c>
      <c r="C737" s="58">
        <f>IF(B737&lt;questions!$C$6,if(MONTH(A737)=1,C736*(1+questions!$C$12),C736),0)</f>
        <v>0</v>
      </c>
      <c r="D737" s="58">
        <f>IF(MONTH(A737)=12,C737*questions!$C$11,0)</f>
        <v>0</v>
      </c>
      <c r="E737" s="71">
        <f t="shared" si="2"/>
        <v>0</v>
      </c>
      <c r="F737" s="71">
        <f t="shared" si="3"/>
        <v>0</v>
      </c>
      <c r="G737" s="61">
        <f t="array" ref="G737">if(YEAR(A737)=2025,XLOOKUP(B737,Lookup!$A$3:$A$7,Lookup!$D$3:$D$7,,1)*SUM(E737:F737), XLOOKUP(B737,Lookup!$A$14:$A$18,Lookup!$D$14:$D$18,,1)*SUM(E737:F737))</f>
        <v>0</v>
      </c>
      <c r="H737" s="61">
        <f t="array" ref="H737">if(YEAR(A737)=2025,XLOOKUP(B737,Lookup!$F$3:$F$10,Lookup!$G$3:$G$10,,1)*G737, XLOOKUP(B737,Lookup!$F$14:$F$21,Lookup!$G$14:$G$21,,1)*G737)</f>
        <v>0</v>
      </c>
      <c r="I737" s="61">
        <f t="array" ref="I737">if(B737&lt;55, if(YEAR(A737)=2025,XLOOKUP(B737,Lookup!$F$3:$F$10,Lookup!$H$3:$H$10,,1)*G737, XLOOKUP(B737,Lookup!$F$14:$F$21,Lookup!$H$14:$H$21,,1)*G737),0)</f>
        <v>0</v>
      </c>
      <c r="J737" s="61">
        <f t="array" ref="J737">if(YEAR(A737)=2025,XLOOKUP(B737,Lookup!$F$3:$F$10,Lookup!$I$3:$I$10,,1)*G737, XLOOKUP(B737,Lookup!$F$14:$F$21,Lookup!$I$14:$I$21,,1)*G737)</f>
        <v>0</v>
      </c>
      <c r="K737" s="61">
        <f t="array" ref="K737">if(B737&gt;54, if(YEAR(A737)=2025,XLOOKUP(B737,Lookup!$F$3:$F$10,Lookup!$H$3:$H$10,,1)*G737, XLOOKUP(B737,Lookup!$F$14:$F$21,Lookup!$H$14:$H$21,,1)*G737),0)</f>
        <v>0</v>
      </c>
      <c r="L737" s="62">
        <f>IF(and(A737&lt;questions!$C$19,questions!$C$18="yes"),questions!$C$20,0)</f>
        <v>0</v>
      </c>
      <c r="M737" s="63">
        <f>(Y736+H737)*Lookup!A$26/12</f>
        <v>3627.34412</v>
      </c>
      <c r="N737" s="63">
        <f>if(B737&lt;55, (Z736+I737)*Lookup!B$26/12, (AB736+K737)*Lookup!B$26/12)</f>
        <v>7788.983782</v>
      </c>
      <c r="O737" s="63">
        <f>(AA736+J737)*Lookup!C$26/12</f>
        <v>940.3700287</v>
      </c>
      <c r="P737" s="63">
        <f t="shared" si="8"/>
        <v>18136.7206</v>
      </c>
      <c r="Q737" s="63">
        <f t="shared" si="4"/>
        <v>38944.91891</v>
      </c>
      <c r="R737" s="63">
        <f t="shared" si="5"/>
        <v>4701.850143</v>
      </c>
      <c r="S737" s="64">
        <f t="shared" si="9"/>
        <v>33.33333333</v>
      </c>
      <c r="T737" s="64">
        <f t="shared" si="10"/>
        <v>41.66666667</v>
      </c>
      <c r="U737" s="64">
        <f t="shared" si="11"/>
        <v>0</v>
      </c>
      <c r="V737" s="64">
        <f t="shared" ref="V737:X737" si="745">IF(year($A737)=year($A736), V736+S737, S737)</f>
        <v>166.6666667</v>
      </c>
      <c r="W737" s="64">
        <f t="shared" si="745"/>
        <v>208.3333333</v>
      </c>
      <c r="X737" s="64">
        <f t="shared" si="745"/>
        <v>0</v>
      </c>
      <c r="Y737" s="65">
        <f>IFS(
  B737&lt;55,
    MAX(
      Y736 + IF(MONTH(A737)=12, P737+V737, 0) + H737 - L737
      + MAX(0,
          IF(AA736 &gt;= VLOOKUP(YEAR(A737), Lookup!$Q:$R, 2),
            Z736 + IF(MONTH(A737)=12, Q737+W737, 0) + I737
              + AA736 + IF(MONTH(A737)=12, R737+X737, 0)
              - VLOOKUP(YEAR(A737), Lookup!$Q:$R, 2) + J737,
            Z736 + IF(MONTH(A737)=12, Q737+W737, 0) + I737
          ) - VLOOKUP(YEAR(A737), Lookup!$K:$M, 3)
        ),
    0),
  B737=55,
    IF(Z736&gt;=AD737,
      MAX(Y736 + IF(MONTH(A737)=12, P737+V737, 0) + H737 - L737, 0),
      MAX(MAX(0, Y736-(AD737-Z736)) + IF(MONTH(A737)=12, P737+V737, 0) + H737 - L737, 0)
    ),
  B737&gt;55,
    IF(AB736&gt;=$AH$7,
      MAX(Y736 + IF(MONTH(A737)=12, P737+V737, 0) + H737 - L737 + K737 + Z736, 0),
      MAX(Y736 + IF(MONTH(A737)=12, P737+V737, 0) + H737 - L737, 0)
    )
)</f>
        <v>1741125.177</v>
      </c>
      <c r="Z737" s="65">
        <f>IFS(
  B737&lt;55,
    MIN(
      IF(AA736 &gt;= VLOOKUP(YEAR(A737), Lookup!$Q:$R, 2),
        Z736 + IF(MONTH(A737)=12, Q737+W737, 0) + I737
          + AA736 + IF(MONTH(A737)=12, R737+X737, 0) - VLOOKUP(YEAR(A737), Lookup!$Q:$R, 2) + J737,
        Z736 + IF(MONTH(A737)=12, Q737+W737, 0) + I737
      ),
      VLOOKUP(YEAR(A737), Lookup!$K:$M, 3)
    ),
  B737=55,
    IF(Z736 &gt;= AD737, Z736 - AD737, 0),
  B737&gt;55, 0
)</f>
        <v>0</v>
      </c>
      <c r="AA737" s="65">
        <f>IFS(
  B737&lt;65,
    IF(AA736+J737 &lt; VLOOKUP(YEAR(A737), Lookup!$Q:$R, 2),
      AA736 + IF(MONTH(A737)=12, R736+X736, 0) + J737,
      MIN(
        AA736 + IF(MONTH(A737)=12, R736+X736, 0) + J737 ,
        VLOOKUP(YEAR(A737), Lookup!$Q:$R, 2)
      )
    ),
  B737&gt;=65,
    IF(AA736+J737 &lt; VLOOKUP(questions!$C$5, Lookup!$Q:$R, 2),
      AA736 + IF(MONTH(A737)=12, R736+X736, 0) + J737 ,
      MIN(
        AA736 + IF(MONTH(A737)=12, R736+X736, 0) + J737,
        VLOOKUP(questions!$C$5, Lookup!$Q:$R, 2)
      )
    )
)</f>
        <v>282111.0086</v>
      </c>
      <c r="AB737" s="65">
        <f t="shared" si="13"/>
        <v>2336695.135</v>
      </c>
      <c r="AC737" s="66">
        <f t="array" ref="AC737">IFS(B737&lt;66, XLOOKUP(year(A737),Lookup!$K$13:$K1000,Lookup!$L$13:$L1000,"missing",,1),B737&gt;65,XLOOKUP(questions!$C$5,Lookup!$K$13:$K1000,Lookup!$L$13:$L1000,"missing",,1))</f>
        <v>393675.3633</v>
      </c>
      <c r="AD737" s="66">
        <f t="array" ref="AD737">IFS(B737&lt;66, XLOOKUP(year(A737),Lookup!$K$13:$K1000,Lookup!$M$13:$M1000,"missing",,1),B737&gt;65, XLOOKUP(questions!$C$5,Lookup!$K$13:$K1000,Lookup!$M$13:$M1000,"missing",,1))</f>
        <v>787350.7266</v>
      </c>
      <c r="AE737" s="66">
        <f t="array" ref="AE737">IFS(B737&lt;66, XLOOKUP(year(A737),Lookup!$K$13:$K1000,Lookup!$N$13:$N1000,"missing",,1),B737&gt;65,XLOOKUP(questions!$C$5,Lookup!$K$13:$K1000,Lookup!$N$13:$N1000,"missing",,1))</f>
        <v>1574701.453</v>
      </c>
      <c r="AF737" s="37"/>
      <c r="AG737" s="37"/>
      <c r="AH737" s="37"/>
      <c r="AI737" s="37"/>
      <c r="AJ737" s="37"/>
      <c r="AK737" s="37"/>
      <c r="AL737" s="37"/>
      <c r="AM737" s="37"/>
      <c r="AN737" s="37"/>
      <c r="AO737" s="37"/>
      <c r="AP737" s="37"/>
      <c r="AQ737" s="37"/>
    </row>
    <row r="738">
      <c r="A738" s="55">
        <f t="shared" si="7"/>
        <v>68483</v>
      </c>
      <c r="B738" s="56">
        <f>round(YEARFRAC(EOMONTH(questions!$C$3, 0),A738,1),2)</f>
        <v>88.58</v>
      </c>
      <c r="C738" s="58">
        <f>IF(B738&lt;questions!$C$6,if(MONTH(A738)=1,C737*(1+questions!$C$12),C737),0)</f>
        <v>0</v>
      </c>
      <c r="D738" s="58">
        <f>IF(MONTH(A738)=12,C738*questions!$C$11,0)</f>
        <v>0</v>
      </c>
      <c r="E738" s="71">
        <f t="shared" si="2"/>
        <v>0</v>
      </c>
      <c r="F738" s="71">
        <f t="shared" si="3"/>
        <v>0</v>
      </c>
      <c r="G738" s="61">
        <f t="array" ref="G738">if(YEAR(A738)=2025,XLOOKUP(B738,Lookup!$A$3:$A$7,Lookup!$D$3:$D$7,,1)*SUM(E738:F738), XLOOKUP(B738,Lookup!$A$14:$A$18,Lookup!$D$14:$D$18,,1)*SUM(E738:F738))</f>
        <v>0</v>
      </c>
      <c r="H738" s="61">
        <f t="array" ref="H738">if(YEAR(A738)=2025,XLOOKUP(B738,Lookup!$F$3:$F$10,Lookup!$G$3:$G$10,,1)*G738, XLOOKUP(B738,Lookup!$F$14:$F$21,Lookup!$G$14:$G$21,,1)*G738)</f>
        <v>0</v>
      </c>
      <c r="I738" s="61">
        <f t="array" ref="I738">if(B738&lt;55, if(YEAR(A738)=2025,XLOOKUP(B738,Lookup!$F$3:$F$10,Lookup!$H$3:$H$10,,1)*G738, XLOOKUP(B738,Lookup!$F$14:$F$21,Lookup!$H$14:$H$21,,1)*G738),0)</f>
        <v>0</v>
      </c>
      <c r="J738" s="61">
        <f t="array" ref="J738">if(YEAR(A738)=2025,XLOOKUP(B738,Lookup!$F$3:$F$10,Lookup!$I$3:$I$10,,1)*G738, XLOOKUP(B738,Lookup!$F$14:$F$21,Lookup!$I$14:$I$21,,1)*G738)</f>
        <v>0</v>
      </c>
      <c r="K738" s="61">
        <f t="array" ref="K738">if(B738&gt;54, if(YEAR(A738)=2025,XLOOKUP(B738,Lookup!$F$3:$F$10,Lookup!$H$3:$H$10,,1)*G738, XLOOKUP(B738,Lookup!$F$14:$F$21,Lookup!$H$14:$H$21,,1)*G738),0)</f>
        <v>0</v>
      </c>
      <c r="L738" s="62">
        <f>IF(and(A738&lt;questions!$C$19,questions!$C$18="yes"),questions!$C$20,0)</f>
        <v>0</v>
      </c>
      <c r="M738" s="63">
        <f>(Y737+H738)*Lookup!A$26/12</f>
        <v>3627.34412</v>
      </c>
      <c r="N738" s="63">
        <f>if(B738&lt;55, (Z737+I738)*Lookup!B$26/12, (AB737+K738)*Lookup!B$26/12)</f>
        <v>7788.983782</v>
      </c>
      <c r="O738" s="63">
        <f>(AA737+J738)*Lookup!C$26/12</f>
        <v>940.3700287</v>
      </c>
      <c r="P738" s="63">
        <f t="shared" si="8"/>
        <v>21764.06472</v>
      </c>
      <c r="Q738" s="63">
        <f t="shared" si="4"/>
        <v>46733.90269</v>
      </c>
      <c r="R738" s="63">
        <f t="shared" si="5"/>
        <v>5642.220172</v>
      </c>
      <c r="S738" s="64">
        <f t="shared" si="9"/>
        <v>33.33333333</v>
      </c>
      <c r="T738" s="64">
        <f t="shared" si="10"/>
        <v>41.66666667</v>
      </c>
      <c r="U738" s="64">
        <f t="shared" si="11"/>
        <v>0</v>
      </c>
      <c r="V738" s="64">
        <f t="shared" ref="V738:X738" si="746">IF(year($A738)=year($A737), V737+S738, S738)</f>
        <v>200</v>
      </c>
      <c r="W738" s="64">
        <f t="shared" si="746"/>
        <v>250</v>
      </c>
      <c r="X738" s="64">
        <f t="shared" si="746"/>
        <v>0</v>
      </c>
      <c r="Y738" s="65">
        <f>IFS(
  B738&lt;55,
    MAX(
      Y737 + IF(MONTH(A738)=12, P738+V738, 0) + H738 - L738
      + MAX(0,
          IF(AA737 &gt;= VLOOKUP(YEAR(A738), Lookup!$Q:$R, 2),
            Z737 + IF(MONTH(A738)=12, Q738+W738, 0) + I738
              + AA737 + IF(MONTH(A738)=12, R738+X738, 0)
              - VLOOKUP(YEAR(A738), Lookup!$Q:$R, 2) + J738,
            Z737 + IF(MONTH(A738)=12, Q738+W738, 0) + I738
          ) - VLOOKUP(YEAR(A738), Lookup!$K:$M, 3)
        ),
    0),
  B738=55,
    IF(Z737&gt;=AD738,
      MAX(Y737 + IF(MONTH(A738)=12, P738+V738, 0) + H738 - L738, 0),
      MAX(MAX(0, Y737-(AD738-Z737)) + IF(MONTH(A738)=12, P738+V738, 0) + H738 - L738, 0)
    ),
  B738&gt;55,
    IF(AB737&gt;=$AH$7,
      MAX(Y737 + IF(MONTH(A738)=12, P738+V738, 0) + H738 - L738 + K738 + Z737, 0),
      MAX(Y737 + IF(MONTH(A738)=12, P738+V738, 0) + H738 - L738, 0)
    )
)</f>
        <v>1741125.177</v>
      </c>
      <c r="Z738" s="65">
        <f>IFS(
  B738&lt;55,
    MIN(
      IF(AA737 &gt;= VLOOKUP(YEAR(A738), Lookup!$Q:$R, 2),
        Z737 + IF(MONTH(A738)=12, Q738+W738, 0) + I738
          + AA737 + IF(MONTH(A738)=12, R738+X738, 0) - VLOOKUP(YEAR(A738), Lookup!$Q:$R, 2) + J738,
        Z737 + IF(MONTH(A738)=12, Q738+W738, 0) + I738
      ),
      VLOOKUP(YEAR(A738), Lookup!$K:$M, 3)
    ),
  B738=55,
    IF(Z737 &gt;= AD738, Z737 - AD738, 0),
  B738&gt;55, 0
)</f>
        <v>0</v>
      </c>
      <c r="AA738" s="65">
        <f>IFS(
  B738&lt;65,
    IF(AA737+J738 &lt; VLOOKUP(YEAR(A738), Lookup!$Q:$R, 2),
      AA737 + IF(MONTH(A738)=12, R737+X737, 0) + J738,
      MIN(
        AA737 + IF(MONTH(A738)=12, R737+X737, 0) + J738 ,
        VLOOKUP(YEAR(A738), Lookup!$Q:$R, 2)
      )
    ),
  B738&gt;=65,
    IF(AA737+J738 &lt; VLOOKUP(questions!$C$5, Lookup!$Q:$R, 2),
      AA737 + IF(MONTH(A738)=12, R737+X737, 0) + J738 ,
      MIN(
        AA737 + IF(MONTH(A738)=12, R737+X737, 0) + J738,
        VLOOKUP(questions!$C$5, Lookup!$Q:$R, 2)
      )
    )
)</f>
        <v>282111.0086</v>
      </c>
      <c r="AB738" s="65">
        <f t="shared" si="13"/>
        <v>2336695.135</v>
      </c>
      <c r="AC738" s="66">
        <f t="array" ref="AC738">IFS(B738&lt;66, XLOOKUP(year(A738),Lookup!$K$13:$K1000,Lookup!$L$13:$L1000,"missing",,1),B738&gt;65,XLOOKUP(questions!$C$5,Lookup!$K$13:$K1000,Lookup!$L$13:$L1000,"missing",,1))</f>
        <v>393675.3633</v>
      </c>
      <c r="AD738" s="66">
        <f t="array" ref="AD738">IFS(B738&lt;66, XLOOKUP(year(A738),Lookup!$K$13:$K1000,Lookup!$M$13:$M1000,"missing",,1),B738&gt;65, XLOOKUP(questions!$C$5,Lookup!$K$13:$K1000,Lookup!$M$13:$M1000,"missing",,1))</f>
        <v>787350.7266</v>
      </c>
      <c r="AE738" s="66">
        <f t="array" ref="AE738">IFS(B738&lt;66, XLOOKUP(year(A738),Lookup!$K$13:$K1000,Lookup!$N$13:$N1000,"missing",,1),B738&gt;65,XLOOKUP(questions!$C$5,Lookup!$K$13:$K1000,Lookup!$N$13:$N1000,"missing",,1))</f>
        <v>1574701.453</v>
      </c>
      <c r="AF738" s="37"/>
      <c r="AG738" s="37"/>
      <c r="AH738" s="37"/>
      <c r="AI738" s="37"/>
      <c r="AJ738" s="37"/>
      <c r="AK738" s="37"/>
      <c r="AL738" s="37"/>
      <c r="AM738" s="37"/>
      <c r="AN738" s="37"/>
      <c r="AO738" s="37"/>
      <c r="AP738" s="37"/>
      <c r="AQ738" s="37"/>
    </row>
    <row r="739">
      <c r="A739" s="55">
        <f t="shared" si="7"/>
        <v>68514</v>
      </c>
      <c r="B739" s="56">
        <f>round(YEARFRAC(EOMONTH(questions!$C$3, 0),A739,1),2)</f>
        <v>88.67</v>
      </c>
      <c r="C739" s="58">
        <f>IF(B739&lt;questions!$C$6,if(MONTH(A739)=1,C738*(1+questions!$C$12),C738),0)</f>
        <v>0</v>
      </c>
      <c r="D739" s="58">
        <f>IF(MONTH(A739)=12,C739*questions!$C$11,0)</f>
        <v>0</v>
      </c>
      <c r="E739" s="71">
        <f t="shared" si="2"/>
        <v>0</v>
      </c>
      <c r="F739" s="71">
        <f t="shared" si="3"/>
        <v>0</v>
      </c>
      <c r="G739" s="61">
        <f t="array" ref="G739">if(YEAR(A739)=2025,XLOOKUP(B739,Lookup!$A$3:$A$7,Lookup!$D$3:$D$7,,1)*SUM(E739:F739), XLOOKUP(B739,Lookup!$A$14:$A$18,Lookup!$D$14:$D$18,,1)*SUM(E739:F739))</f>
        <v>0</v>
      </c>
      <c r="H739" s="61">
        <f t="array" ref="H739">if(YEAR(A739)=2025,XLOOKUP(B739,Lookup!$F$3:$F$10,Lookup!$G$3:$G$10,,1)*G739, XLOOKUP(B739,Lookup!$F$14:$F$21,Lookup!$G$14:$G$21,,1)*G739)</f>
        <v>0</v>
      </c>
      <c r="I739" s="61">
        <f t="array" ref="I739">if(B739&lt;55, if(YEAR(A739)=2025,XLOOKUP(B739,Lookup!$F$3:$F$10,Lookup!$H$3:$H$10,,1)*G739, XLOOKUP(B739,Lookup!$F$14:$F$21,Lookup!$H$14:$H$21,,1)*G739),0)</f>
        <v>0</v>
      </c>
      <c r="J739" s="61">
        <f t="array" ref="J739">if(YEAR(A739)=2025,XLOOKUP(B739,Lookup!$F$3:$F$10,Lookup!$I$3:$I$10,,1)*G739, XLOOKUP(B739,Lookup!$F$14:$F$21,Lookup!$I$14:$I$21,,1)*G739)</f>
        <v>0</v>
      </c>
      <c r="K739" s="61">
        <f t="array" ref="K739">if(B739&gt;54, if(YEAR(A739)=2025,XLOOKUP(B739,Lookup!$F$3:$F$10,Lookup!$H$3:$H$10,,1)*G739, XLOOKUP(B739,Lookup!$F$14:$F$21,Lookup!$H$14:$H$21,,1)*G739),0)</f>
        <v>0</v>
      </c>
      <c r="L739" s="62">
        <f>IF(and(A739&lt;questions!$C$19,questions!$C$18="yes"),questions!$C$20,0)</f>
        <v>0</v>
      </c>
      <c r="M739" s="63">
        <f>(Y738+H739)*Lookup!A$26/12</f>
        <v>3627.34412</v>
      </c>
      <c r="N739" s="63">
        <f>if(B739&lt;55, (Z738+I739)*Lookup!B$26/12, (AB738+K739)*Lookup!B$26/12)</f>
        <v>7788.983782</v>
      </c>
      <c r="O739" s="63">
        <f>(AA738+J739)*Lookup!C$26/12</f>
        <v>940.3700287</v>
      </c>
      <c r="P739" s="63">
        <f t="shared" si="8"/>
        <v>25391.40884</v>
      </c>
      <c r="Q739" s="63">
        <f t="shared" si="4"/>
        <v>54522.88647</v>
      </c>
      <c r="R739" s="63">
        <f t="shared" si="5"/>
        <v>6582.590201</v>
      </c>
      <c r="S739" s="64">
        <f t="shared" si="9"/>
        <v>33.33333333</v>
      </c>
      <c r="T739" s="64">
        <f t="shared" si="10"/>
        <v>41.66666667</v>
      </c>
      <c r="U739" s="64">
        <f t="shared" si="11"/>
        <v>0</v>
      </c>
      <c r="V739" s="64">
        <f t="shared" ref="V739:X739" si="747">IF(year($A739)=year($A738), V738+S739, S739)</f>
        <v>233.3333333</v>
      </c>
      <c r="W739" s="64">
        <f t="shared" si="747"/>
        <v>291.6666667</v>
      </c>
      <c r="X739" s="64">
        <f t="shared" si="747"/>
        <v>0</v>
      </c>
      <c r="Y739" s="65">
        <f>IFS(
  B739&lt;55,
    MAX(
      Y738 + IF(MONTH(A739)=12, P739+V739, 0) + H739 - L739
      + MAX(0,
          IF(AA738 &gt;= VLOOKUP(YEAR(A739), Lookup!$Q:$R, 2),
            Z738 + IF(MONTH(A739)=12, Q739+W739, 0) + I739
              + AA738 + IF(MONTH(A739)=12, R739+X739, 0)
              - VLOOKUP(YEAR(A739), Lookup!$Q:$R, 2) + J739,
            Z738 + IF(MONTH(A739)=12, Q739+W739, 0) + I739
          ) - VLOOKUP(YEAR(A739), Lookup!$K:$M, 3)
        ),
    0),
  B739=55,
    IF(Z738&gt;=AD739,
      MAX(Y738 + IF(MONTH(A739)=12, P739+V739, 0) + H739 - L739, 0),
      MAX(MAX(0, Y738-(AD739-Z738)) + IF(MONTH(A739)=12, P739+V739, 0) + H739 - L739, 0)
    ),
  B739&gt;55,
    IF(AB738&gt;=$AH$7,
      MAX(Y738 + IF(MONTH(A739)=12, P739+V739, 0) + H739 - L739 + K739 + Z738, 0),
      MAX(Y738 + IF(MONTH(A739)=12, P739+V739, 0) + H739 - L739, 0)
    )
)</f>
        <v>1741125.177</v>
      </c>
      <c r="Z739" s="65">
        <f>IFS(
  B739&lt;55,
    MIN(
      IF(AA738 &gt;= VLOOKUP(YEAR(A739), Lookup!$Q:$R, 2),
        Z738 + IF(MONTH(A739)=12, Q739+W739, 0) + I739
          + AA738 + IF(MONTH(A739)=12, R739+X739, 0) - VLOOKUP(YEAR(A739), Lookup!$Q:$R, 2) + J739,
        Z738 + IF(MONTH(A739)=12, Q739+W739, 0) + I739
      ),
      VLOOKUP(YEAR(A739), Lookup!$K:$M, 3)
    ),
  B739=55,
    IF(Z738 &gt;= AD739, Z738 - AD739, 0),
  B739&gt;55, 0
)</f>
        <v>0</v>
      </c>
      <c r="AA739" s="65">
        <f>IFS(
  B739&lt;65,
    IF(AA738+J739 &lt; VLOOKUP(YEAR(A739), Lookup!$Q:$R, 2),
      AA738 + IF(MONTH(A739)=12, R738+X738, 0) + J739,
      MIN(
        AA738 + IF(MONTH(A739)=12, R738+X738, 0) + J739 ,
        VLOOKUP(YEAR(A739), Lookup!$Q:$R, 2)
      )
    ),
  B739&gt;=65,
    IF(AA738+J739 &lt; VLOOKUP(questions!$C$5, Lookup!$Q:$R, 2),
      AA738 + IF(MONTH(A739)=12, R738+X738, 0) + J739 ,
      MIN(
        AA738 + IF(MONTH(A739)=12, R738+X738, 0) + J739,
        VLOOKUP(questions!$C$5, Lookup!$Q:$R, 2)
      )
    )
)</f>
        <v>282111.0086</v>
      </c>
      <c r="AB739" s="65">
        <f t="shared" si="13"/>
        <v>2336695.135</v>
      </c>
      <c r="AC739" s="66">
        <f t="array" ref="AC739">IFS(B739&lt;66, XLOOKUP(year(A739),Lookup!$K$13:$K1000,Lookup!$L$13:$L1000,"missing",,1),B739&gt;65,XLOOKUP(questions!$C$5,Lookup!$K$13:$K1000,Lookup!$L$13:$L1000,"missing",,1))</f>
        <v>393675.3633</v>
      </c>
      <c r="AD739" s="66">
        <f t="array" ref="AD739">IFS(B739&lt;66, XLOOKUP(year(A739),Lookup!$K$13:$K1000,Lookup!$M$13:$M1000,"missing",,1),B739&gt;65, XLOOKUP(questions!$C$5,Lookup!$K$13:$K1000,Lookup!$M$13:$M1000,"missing",,1))</f>
        <v>787350.7266</v>
      </c>
      <c r="AE739" s="66">
        <f t="array" ref="AE739">IFS(B739&lt;66, XLOOKUP(year(A739),Lookup!$K$13:$K1000,Lookup!$N$13:$N1000,"missing",,1),B739&gt;65,XLOOKUP(questions!$C$5,Lookup!$K$13:$K1000,Lookup!$N$13:$N1000,"missing",,1))</f>
        <v>1574701.453</v>
      </c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7"/>
      <c r="AQ739" s="37"/>
    </row>
    <row r="740">
      <c r="A740" s="55">
        <f t="shared" si="7"/>
        <v>68545</v>
      </c>
      <c r="B740" s="56">
        <f>round(YEARFRAC(EOMONTH(questions!$C$3, 0),A740,1),2)</f>
        <v>88.75</v>
      </c>
      <c r="C740" s="58">
        <f>IF(B740&lt;questions!$C$6,if(MONTH(A740)=1,C739*(1+questions!$C$12),C739),0)</f>
        <v>0</v>
      </c>
      <c r="D740" s="58">
        <f>IF(MONTH(A740)=12,C740*questions!$C$11,0)</f>
        <v>0</v>
      </c>
      <c r="E740" s="71">
        <f t="shared" si="2"/>
        <v>0</v>
      </c>
      <c r="F740" s="71">
        <f t="shared" si="3"/>
        <v>0</v>
      </c>
      <c r="G740" s="61">
        <f t="array" ref="G740">if(YEAR(A740)=2025,XLOOKUP(B740,Lookup!$A$3:$A$7,Lookup!$D$3:$D$7,,1)*SUM(E740:F740), XLOOKUP(B740,Lookup!$A$14:$A$18,Lookup!$D$14:$D$18,,1)*SUM(E740:F740))</f>
        <v>0</v>
      </c>
      <c r="H740" s="61">
        <f t="array" ref="H740">if(YEAR(A740)=2025,XLOOKUP(B740,Lookup!$F$3:$F$10,Lookup!$G$3:$G$10,,1)*G740, XLOOKUP(B740,Lookup!$F$14:$F$21,Lookup!$G$14:$G$21,,1)*G740)</f>
        <v>0</v>
      </c>
      <c r="I740" s="61">
        <f t="array" ref="I740">if(B740&lt;55, if(YEAR(A740)=2025,XLOOKUP(B740,Lookup!$F$3:$F$10,Lookup!$H$3:$H$10,,1)*G740, XLOOKUP(B740,Lookup!$F$14:$F$21,Lookup!$H$14:$H$21,,1)*G740),0)</f>
        <v>0</v>
      </c>
      <c r="J740" s="61">
        <f t="array" ref="J740">if(YEAR(A740)=2025,XLOOKUP(B740,Lookup!$F$3:$F$10,Lookup!$I$3:$I$10,,1)*G740, XLOOKUP(B740,Lookup!$F$14:$F$21,Lookup!$I$14:$I$21,,1)*G740)</f>
        <v>0</v>
      </c>
      <c r="K740" s="61">
        <f t="array" ref="K740">if(B740&gt;54, if(YEAR(A740)=2025,XLOOKUP(B740,Lookup!$F$3:$F$10,Lookup!$H$3:$H$10,,1)*G740, XLOOKUP(B740,Lookup!$F$14:$F$21,Lookup!$H$14:$H$21,,1)*G740),0)</f>
        <v>0</v>
      </c>
      <c r="L740" s="62">
        <f>IF(and(A740&lt;questions!$C$19,questions!$C$18="yes"),questions!$C$20,0)</f>
        <v>0</v>
      </c>
      <c r="M740" s="63">
        <f>(Y739+H740)*Lookup!A$26/12</f>
        <v>3627.34412</v>
      </c>
      <c r="N740" s="63">
        <f>if(B740&lt;55, (Z739+I740)*Lookup!B$26/12, (AB739+K740)*Lookup!B$26/12)</f>
        <v>7788.983782</v>
      </c>
      <c r="O740" s="63">
        <f>(AA739+J740)*Lookup!C$26/12</f>
        <v>940.3700287</v>
      </c>
      <c r="P740" s="63">
        <f t="shared" si="8"/>
        <v>29018.75296</v>
      </c>
      <c r="Q740" s="63">
        <f t="shared" si="4"/>
        <v>62311.87025</v>
      </c>
      <c r="R740" s="63">
        <f t="shared" si="5"/>
        <v>7522.960229</v>
      </c>
      <c r="S740" s="64">
        <f t="shared" si="9"/>
        <v>33.33333333</v>
      </c>
      <c r="T740" s="64">
        <f t="shared" si="10"/>
        <v>41.66666667</v>
      </c>
      <c r="U740" s="64">
        <f t="shared" si="11"/>
        <v>0</v>
      </c>
      <c r="V740" s="64">
        <f t="shared" ref="V740:X740" si="748">IF(year($A740)=year($A739), V739+S740, S740)</f>
        <v>266.6666667</v>
      </c>
      <c r="W740" s="64">
        <f t="shared" si="748"/>
        <v>333.3333333</v>
      </c>
      <c r="X740" s="64">
        <f t="shared" si="748"/>
        <v>0</v>
      </c>
      <c r="Y740" s="65">
        <f>IFS(
  B740&lt;55,
    MAX(
      Y739 + IF(MONTH(A740)=12, P740+V740, 0) + H740 - L740
      + MAX(0,
          IF(AA739 &gt;= VLOOKUP(YEAR(A740), Lookup!$Q:$R, 2),
            Z739 + IF(MONTH(A740)=12, Q740+W740, 0) + I740
              + AA739 + IF(MONTH(A740)=12, R740+X740, 0)
              - VLOOKUP(YEAR(A740), Lookup!$Q:$R, 2) + J740,
            Z739 + IF(MONTH(A740)=12, Q740+W740, 0) + I740
          ) - VLOOKUP(YEAR(A740), Lookup!$K:$M, 3)
        ),
    0),
  B740=55,
    IF(Z739&gt;=AD740,
      MAX(Y739 + IF(MONTH(A740)=12, P740+V740, 0) + H740 - L740, 0),
      MAX(MAX(0, Y739-(AD740-Z739)) + IF(MONTH(A740)=12, P740+V740, 0) + H740 - L740, 0)
    ),
  B740&gt;55,
    IF(AB739&gt;=$AH$7,
      MAX(Y739 + IF(MONTH(A740)=12, P740+V740, 0) + H740 - L740 + K740 + Z739, 0),
      MAX(Y739 + IF(MONTH(A740)=12, P740+V740, 0) + H740 - L740, 0)
    )
)</f>
        <v>1741125.177</v>
      </c>
      <c r="Z740" s="65">
        <f>IFS(
  B740&lt;55,
    MIN(
      IF(AA739 &gt;= VLOOKUP(YEAR(A740), Lookup!$Q:$R, 2),
        Z739 + IF(MONTH(A740)=12, Q740+W740, 0) + I740
          + AA739 + IF(MONTH(A740)=12, R740+X740, 0) - VLOOKUP(YEAR(A740), Lookup!$Q:$R, 2) + J740,
        Z739 + IF(MONTH(A740)=12, Q740+W740, 0) + I740
      ),
      VLOOKUP(YEAR(A740), Lookup!$K:$M, 3)
    ),
  B740=55,
    IF(Z739 &gt;= AD740, Z739 - AD740, 0),
  B740&gt;55, 0
)</f>
        <v>0</v>
      </c>
      <c r="AA740" s="65">
        <f>IFS(
  B740&lt;65,
    IF(AA739+J740 &lt; VLOOKUP(YEAR(A740), Lookup!$Q:$R, 2),
      AA739 + IF(MONTH(A740)=12, R739+X739, 0) + J740,
      MIN(
        AA739 + IF(MONTH(A740)=12, R739+X739, 0) + J740 ,
        VLOOKUP(YEAR(A740), Lookup!$Q:$R, 2)
      )
    ),
  B740&gt;=65,
    IF(AA739+J740 &lt; VLOOKUP(questions!$C$5, Lookup!$Q:$R, 2),
      AA739 + IF(MONTH(A740)=12, R739+X739, 0) + J740 ,
      MIN(
        AA739 + IF(MONTH(A740)=12, R739+X739, 0) + J740,
        VLOOKUP(questions!$C$5, Lookup!$Q:$R, 2)
      )
    )
)</f>
        <v>282111.0086</v>
      </c>
      <c r="AB740" s="65">
        <f t="shared" si="13"/>
        <v>2336695.135</v>
      </c>
      <c r="AC740" s="66">
        <f t="array" ref="AC740">IFS(B740&lt;66, XLOOKUP(year(A740),Lookup!$K$13:$K1000,Lookup!$L$13:$L1000,"missing",,1),B740&gt;65,XLOOKUP(questions!$C$5,Lookup!$K$13:$K1000,Lookup!$L$13:$L1000,"missing",,1))</f>
        <v>393675.3633</v>
      </c>
      <c r="AD740" s="66">
        <f t="array" ref="AD740">IFS(B740&lt;66, XLOOKUP(year(A740),Lookup!$K$13:$K1000,Lookup!$M$13:$M1000,"missing",,1),B740&gt;65, XLOOKUP(questions!$C$5,Lookup!$K$13:$K1000,Lookup!$M$13:$M1000,"missing",,1))</f>
        <v>787350.7266</v>
      </c>
      <c r="AE740" s="66">
        <f t="array" ref="AE740">IFS(B740&lt;66, XLOOKUP(year(A740),Lookup!$K$13:$K1000,Lookup!$N$13:$N1000,"missing",,1),B740&gt;65,XLOOKUP(questions!$C$5,Lookup!$K$13:$K1000,Lookup!$N$13:$N1000,"missing",,1))</f>
        <v>1574701.453</v>
      </c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7"/>
      <c r="AQ740" s="37"/>
    </row>
    <row r="741">
      <c r="A741" s="55">
        <f t="shared" si="7"/>
        <v>68575</v>
      </c>
      <c r="B741" s="56">
        <f>round(YEARFRAC(EOMONTH(questions!$C$3, 0),A741,1),2)</f>
        <v>88.83</v>
      </c>
      <c r="C741" s="58">
        <f>IF(B741&lt;questions!$C$6,if(MONTH(A741)=1,C740*(1+questions!$C$12),C740),0)</f>
        <v>0</v>
      </c>
      <c r="D741" s="58">
        <f>IF(MONTH(A741)=12,C741*questions!$C$11,0)</f>
        <v>0</v>
      </c>
      <c r="E741" s="71">
        <f t="shared" si="2"/>
        <v>0</v>
      </c>
      <c r="F741" s="71">
        <f t="shared" si="3"/>
        <v>0</v>
      </c>
      <c r="G741" s="61">
        <f t="array" ref="G741">if(YEAR(A741)=2025,XLOOKUP(B741,Lookup!$A$3:$A$7,Lookup!$D$3:$D$7,,1)*SUM(E741:F741), XLOOKUP(B741,Lookup!$A$14:$A$18,Lookup!$D$14:$D$18,,1)*SUM(E741:F741))</f>
        <v>0</v>
      </c>
      <c r="H741" s="61">
        <f t="array" ref="H741">if(YEAR(A741)=2025,XLOOKUP(B741,Lookup!$F$3:$F$10,Lookup!$G$3:$G$10,,1)*G741, XLOOKUP(B741,Lookup!$F$14:$F$21,Lookup!$G$14:$G$21,,1)*G741)</f>
        <v>0</v>
      </c>
      <c r="I741" s="61">
        <f t="array" ref="I741">if(B741&lt;55, if(YEAR(A741)=2025,XLOOKUP(B741,Lookup!$F$3:$F$10,Lookup!$H$3:$H$10,,1)*G741, XLOOKUP(B741,Lookup!$F$14:$F$21,Lookup!$H$14:$H$21,,1)*G741),0)</f>
        <v>0</v>
      </c>
      <c r="J741" s="61">
        <f t="array" ref="J741">if(YEAR(A741)=2025,XLOOKUP(B741,Lookup!$F$3:$F$10,Lookup!$I$3:$I$10,,1)*G741, XLOOKUP(B741,Lookup!$F$14:$F$21,Lookup!$I$14:$I$21,,1)*G741)</f>
        <v>0</v>
      </c>
      <c r="K741" s="61">
        <f t="array" ref="K741">if(B741&gt;54, if(YEAR(A741)=2025,XLOOKUP(B741,Lookup!$F$3:$F$10,Lookup!$H$3:$H$10,,1)*G741, XLOOKUP(B741,Lookup!$F$14:$F$21,Lookup!$H$14:$H$21,,1)*G741),0)</f>
        <v>0</v>
      </c>
      <c r="L741" s="62">
        <f>IF(and(A741&lt;questions!$C$19,questions!$C$18="yes"),questions!$C$20,0)</f>
        <v>0</v>
      </c>
      <c r="M741" s="63">
        <f>(Y740+H741)*Lookup!A$26/12</f>
        <v>3627.34412</v>
      </c>
      <c r="N741" s="63">
        <f>if(B741&lt;55, (Z740+I741)*Lookup!B$26/12, (AB740+K741)*Lookup!B$26/12)</f>
        <v>7788.983782</v>
      </c>
      <c r="O741" s="63">
        <f>(AA740+J741)*Lookup!C$26/12</f>
        <v>940.3700287</v>
      </c>
      <c r="P741" s="63">
        <f t="shared" si="8"/>
        <v>32646.09708</v>
      </c>
      <c r="Q741" s="63">
        <f t="shared" si="4"/>
        <v>70100.85404</v>
      </c>
      <c r="R741" s="63">
        <f t="shared" si="5"/>
        <v>8463.330258</v>
      </c>
      <c r="S741" s="64">
        <f t="shared" si="9"/>
        <v>33.33333333</v>
      </c>
      <c r="T741" s="64">
        <f t="shared" si="10"/>
        <v>41.66666667</v>
      </c>
      <c r="U741" s="64">
        <f t="shared" si="11"/>
        <v>0</v>
      </c>
      <c r="V741" s="64">
        <f t="shared" ref="V741:X741" si="749">IF(year($A741)=year($A740), V740+S741, S741)</f>
        <v>300</v>
      </c>
      <c r="W741" s="64">
        <f t="shared" si="749"/>
        <v>375</v>
      </c>
      <c r="X741" s="64">
        <f t="shared" si="749"/>
        <v>0</v>
      </c>
      <c r="Y741" s="65">
        <f>IFS(
  B741&lt;55,
    MAX(
      Y740 + IF(MONTH(A741)=12, P741+V741, 0) + H741 - L741
      + MAX(0,
          IF(AA740 &gt;= VLOOKUP(YEAR(A741), Lookup!$Q:$R, 2),
            Z740 + IF(MONTH(A741)=12, Q741+W741, 0) + I741
              + AA740 + IF(MONTH(A741)=12, R741+X741, 0)
              - VLOOKUP(YEAR(A741), Lookup!$Q:$R, 2) + J741,
            Z740 + IF(MONTH(A741)=12, Q741+W741, 0) + I741
          ) - VLOOKUP(YEAR(A741), Lookup!$K:$M, 3)
        ),
    0),
  B741=55,
    IF(Z740&gt;=AD741,
      MAX(Y740 + IF(MONTH(A741)=12, P741+V741, 0) + H741 - L741, 0),
      MAX(MAX(0, Y740-(AD741-Z740)) + IF(MONTH(A741)=12, P741+V741, 0) + H741 - L741, 0)
    ),
  B741&gt;55,
    IF(AB740&gt;=$AH$7,
      MAX(Y740 + IF(MONTH(A741)=12, P741+V741, 0) + H741 - L741 + K741 + Z740, 0),
      MAX(Y740 + IF(MONTH(A741)=12, P741+V741, 0) + H741 - L741, 0)
    )
)</f>
        <v>1741125.177</v>
      </c>
      <c r="Z741" s="65">
        <f>IFS(
  B741&lt;55,
    MIN(
      IF(AA740 &gt;= VLOOKUP(YEAR(A741), Lookup!$Q:$R, 2),
        Z740 + IF(MONTH(A741)=12, Q741+W741, 0) + I741
          + AA740 + IF(MONTH(A741)=12, R741+X741, 0) - VLOOKUP(YEAR(A741), Lookup!$Q:$R, 2) + J741,
        Z740 + IF(MONTH(A741)=12, Q741+W741, 0) + I741
      ),
      VLOOKUP(YEAR(A741), Lookup!$K:$M, 3)
    ),
  B741=55,
    IF(Z740 &gt;= AD741, Z740 - AD741, 0),
  B741&gt;55, 0
)</f>
        <v>0</v>
      </c>
      <c r="AA741" s="65">
        <f>IFS(
  B741&lt;65,
    IF(AA740+J741 &lt; VLOOKUP(YEAR(A741), Lookup!$Q:$R, 2),
      AA740 + IF(MONTH(A741)=12, R740+X740, 0) + J741,
      MIN(
        AA740 + IF(MONTH(A741)=12, R740+X740, 0) + J741 ,
        VLOOKUP(YEAR(A741), Lookup!$Q:$R, 2)
      )
    ),
  B741&gt;=65,
    IF(AA740+J741 &lt; VLOOKUP(questions!$C$5, Lookup!$Q:$R, 2),
      AA740 + IF(MONTH(A741)=12, R740+X740, 0) + J741 ,
      MIN(
        AA740 + IF(MONTH(A741)=12, R740+X740, 0) + J741,
        VLOOKUP(questions!$C$5, Lookup!$Q:$R, 2)
      )
    )
)</f>
        <v>282111.0086</v>
      </c>
      <c r="AB741" s="65">
        <f t="shared" si="13"/>
        <v>2336695.135</v>
      </c>
      <c r="AC741" s="66">
        <f t="array" ref="AC741">IFS(B741&lt;66, XLOOKUP(year(A741),Lookup!$K$13:$K1000,Lookup!$L$13:$L1000,"missing",,1),B741&gt;65,XLOOKUP(questions!$C$5,Lookup!$K$13:$K1000,Lookup!$L$13:$L1000,"missing",,1))</f>
        <v>393675.3633</v>
      </c>
      <c r="AD741" s="66">
        <f t="array" ref="AD741">IFS(B741&lt;66, XLOOKUP(year(A741),Lookup!$K$13:$K1000,Lookup!$M$13:$M1000,"missing",,1),B741&gt;65, XLOOKUP(questions!$C$5,Lookup!$K$13:$K1000,Lookup!$M$13:$M1000,"missing",,1))</f>
        <v>787350.7266</v>
      </c>
      <c r="AE741" s="66">
        <f t="array" ref="AE741">IFS(B741&lt;66, XLOOKUP(year(A741),Lookup!$K$13:$K1000,Lookup!$N$13:$N1000,"missing",,1),B741&gt;65,XLOOKUP(questions!$C$5,Lookup!$K$13:$K1000,Lookup!$N$13:$N1000,"missing",,1))</f>
        <v>1574701.453</v>
      </c>
      <c r="AF741" s="37"/>
      <c r="AG741" s="37"/>
      <c r="AH741" s="37"/>
      <c r="AI741" s="37"/>
      <c r="AJ741" s="37"/>
      <c r="AK741" s="37"/>
      <c r="AL741" s="37"/>
      <c r="AM741" s="37"/>
      <c r="AN741" s="37"/>
      <c r="AO741" s="37"/>
      <c r="AP741" s="37"/>
      <c r="AQ741" s="37"/>
    </row>
    <row r="742">
      <c r="A742" s="55">
        <f t="shared" si="7"/>
        <v>68606</v>
      </c>
      <c r="B742" s="56">
        <f>round(YEARFRAC(EOMONTH(questions!$C$3, 0),A742,1),2)</f>
        <v>88.92</v>
      </c>
      <c r="C742" s="58">
        <f>IF(B742&lt;questions!$C$6,if(MONTH(A742)=1,C741*(1+questions!$C$12),C741),0)</f>
        <v>0</v>
      </c>
      <c r="D742" s="58">
        <f>IF(MONTH(A742)=12,C742*questions!$C$11,0)</f>
        <v>0</v>
      </c>
      <c r="E742" s="71">
        <f t="shared" si="2"/>
        <v>0</v>
      </c>
      <c r="F742" s="71">
        <f t="shared" si="3"/>
        <v>0</v>
      </c>
      <c r="G742" s="61">
        <f t="array" ref="G742">if(YEAR(A742)=2025,XLOOKUP(B742,Lookup!$A$3:$A$7,Lookup!$D$3:$D$7,,1)*SUM(E742:F742), XLOOKUP(B742,Lookup!$A$14:$A$18,Lookup!$D$14:$D$18,,1)*SUM(E742:F742))</f>
        <v>0</v>
      </c>
      <c r="H742" s="61">
        <f t="array" ref="H742">if(YEAR(A742)=2025,XLOOKUP(B742,Lookup!$F$3:$F$10,Lookup!$G$3:$G$10,,1)*G742, XLOOKUP(B742,Lookup!$F$14:$F$21,Lookup!$G$14:$G$21,,1)*G742)</f>
        <v>0</v>
      </c>
      <c r="I742" s="61">
        <f t="array" ref="I742">if(B742&lt;55, if(YEAR(A742)=2025,XLOOKUP(B742,Lookup!$F$3:$F$10,Lookup!$H$3:$H$10,,1)*G742, XLOOKUP(B742,Lookup!$F$14:$F$21,Lookup!$H$14:$H$21,,1)*G742),0)</f>
        <v>0</v>
      </c>
      <c r="J742" s="61">
        <f t="array" ref="J742">if(YEAR(A742)=2025,XLOOKUP(B742,Lookup!$F$3:$F$10,Lookup!$I$3:$I$10,,1)*G742, XLOOKUP(B742,Lookup!$F$14:$F$21,Lookup!$I$14:$I$21,,1)*G742)</f>
        <v>0</v>
      </c>
      <c r="K742" s="61">
        <f t="array" ref="K742">if(B742&gt;54, if(YEAR(A742)=2025,XLOOKUP(B742,Lookup!$F$3:$F$10,Lookup!$H$3:$H$10,,1)*G742, XLOOKUP(B742,Lookup!$F$14:$F$21,Lookup!$H$14:$H$21,,1)*G742),0)</f>
        <v>0</v>
      </c>
      <c r="L742" s="62">
        <f>IF(and(A742&lt;questions!$C$19,questions!$C$18="yes"),questions!$C$20,0)</f>
        <v>0</v>
      </c>
      <c r="M742" s="63">
        <f>(Y741+H742)*Lookup!A$26/12</f>
        <v>3627.34412</v>
      </c>
      <c r="N742" s="63">
        <f>if(B742&lt;55, (Z741+I742)*Lookup!B$26/12, (AB741+K742)*Lookup!B$26/12)</f>
        <v>7788.983782</v>
      </c>
      <c r="O742" s="63">
        <f>(AA741+J742)*Lookup!C$26/12</f>
        <v>940.3700287</v>
      </c>
      <c r="P742" s="63">
        <f t="shared" si="8"/>
        <v>36273.4412</v>
      </c>
      <c r="Q742" s="63">
        <f t="shared" si="4"/>
        <v>77889.83782</v>
      </c>
      <c r="R742" s="63">
        <f t="shared" si="5"/>
        <v>9403.700287</v>
      </c>
      <c r="S742" s="64">
        <f t="shared" si="9"/>
        <v>33.33333333</v>
      </c>
      <c r="T742" s="64">
        <f t="shared" si="10"/>
        <v>41.66666667</v>
      </c>
      <c r="U742" s="64">
        <f t="shared" si="11"/>
        <v>0</v>
      </c>
      <c r="V742" s="64">
        <f t="shared" ref="V742:X742" si="750">IF(year($A742)=year($A741), V741+S742, S742)</f>
        <v>333.3333333</v>
      </c>
      <c r="W742" s="64">
        <f t="shared" si="750"/>
        <v>416.6666667</v>
      </c>
      <c r="X742" s="64">
        <f t="shared" si="750"/>
        <v>0</v>
      </c>
      <c r="Y742" s="65">
        <f>IFS(
  B742&lt;55,
    MAX(
      Y741 + IF(MONTH(A742)=12, P742+V742, 0) + H742 - L742
      + MAX(0,
          IF(AA741 &gt;= VLOOKUP(YEAR(A742), Lookup!$Q:$R, 2),
            Z741 + IF(MONTH(A742)=12, Q742+W742, 0) + I742
              + AA741 + IF(MONTH(A742)=12, R742+X742, 0)
              - VLOOKUP(YEAR(A742), Lookup!$Q:$R, 2) + J742,
            Z741 + IF(MONTH(A742)=12, Q742+W742, 0) + I742
          ) - VLOOKUP(YEAR(A742), Lookup!$K:$M, 3)
        ),
    0),
  B742=55,
    IF(Z741&gt;=AD742,
      MAX(Y741 + IF(MONTH(A742)=12, P742+V742, 0) + H742 - L742, 0),
      MAX(MAX(0, Y741-(AD742-Z741)) + IF(MONTH(A742)=12, P742+V742, 0) + H742 - L742, 0)
    ),
  B742&gt;55,
    IF(AB741&gt;=$AH$7,
      MAX(Y741 + IF(MONTH(A742)=12, P742+V742, 0) + H742 - L742 + K742 + Z741, 0),
      MAX(Y741 + IF(MONTH(A742)=12, P742+V742, 0) + H742 - L742, 0)
    )
)</f>
        <v>1741125.177</v>
      </c>
      <c r="Z742" s="65">
        <f>IFS(
  B742&lt;55,
    MIN(
      IF(AA741 &gt;= VLOOKUP(YEAR(A742), Lookup!$Q:$R, 2),
        Z741 + IF(MONTH(A742)=12, Q742+W742, 0) + I742
          + AA741 + IF(MONTH(A742)=12, R742+X742, 0) - VLOOKUP(YEAR(A742), Lookup!$Q:$R, 2) + J742,
        Z741 + IF(MONTH(A742)=12, Q742+W742, 0) + I742
      ),
      VLOOKUP(YEAR(A742), Lookup!$K:$M, 3)
    ),
  B742=55,
    IF(Z741 &gt;= AD742, Z741 - AD742, 0),
  B742&gt;55, 0
)</f>
        <v>0</v>
      </c>
      <c r="AA742" s="65">
        <f>IFS(
  B742&lt;65,
    IF(AA741+J742 &lt; VLOOKUP(YEAR(A742), Lookup!$Q:$R, 2),
      AA741 + IF(MONTH(A742)=12, R741+X741, 0) + J742,
      MIN(
        AA741 + IF(MONTH(A742)=12, R741+X741, 0) + J742 ,
        VLOOKUP(YEAR(A742), Lookup!$Q:$R, 2)
      )
    ),
  B742&gt;=65,
    IF(AA741+J742 &lt; VLOOKUP(questions!$C$5, Lookup!$Q:$R, 2),
      AA741 + IF(MONTH(A742)=12, R741+X741, 0) + J742 ,
      MIN(
        AA741 + IF(MONTH(A742)=12, R741+X741, 0) + J742,
        VLOOKUP(questions!$C$5, Lookup!$Q:$R, 2)
      )
    )
)</f>
        <v>282111.0086</v>
      </c>
      <c r="AB742" s="65">
        <f t="shared" si="13"/>
        <v>2336695.135</v>
      </c>
      <c r="AC742" s="66">
        <f t="array" ref="AC742">IFS(B742&lt;66, XLOOKUP(year(A742),Lookup!$K$13:$K1000,Lookup!$L$13:$L1000,"missing",,1),B742&gt;65,XLOOKUP(questions!$C$5,Lookup!$K$13:$K1000,Lookup!$L$13:$L1000,"missing",,1))</f>
        <v>393675.3633</v>
      </c>
      <c r="AD742" s="66">
        <f t="array" ref="AD742">IFS(B742&lt;66, XLOOKUP(year(A742),Lookup!$K$13:$K1000,Lookup!$M$13:$M1000,"missing",,1),B742&gt;65, XLOOKUP(questions!$C$5,Lookup!$K$13:$K1000,Lookup!$M$13:$M1000,"missing",,1))</f>
        <v>787350.7266</v>
      </c>
      <c r="AE742" s="66">
        <f t="array" ref="AE742">IFS(B742&lt;66, XLOOKUP(year(A742),Lookup!$K$13:$K1000,Lookup!$N$13:$N1000,"missing",,1),B742&gt;65,XLOOKUP(questions!$C$5,Lookup!$K$13:$K1000,Lookup!$N$13:$N1000,"missing",,1))</f>
        <v>1574701.453</v>
      </c>
      <c r="AF742" s="37"/>
      <c r="AG742" s="37"/>
      <c r="AH742" s="37"/>
      <c r="AI742" s="37"/>
      <c r="AJ742" s="37"/>
      <c r="AK742" s="37"/>
      <c r="AL742" s="37"/>
      <c r="AM742" s="37"/>
      <c r="AN742" s="37"/>
      <c r="AO742" s="37"/>
      <c r="AP742" s="37"/>
      <c r="AQ742" s="37"/>
    </row>
    <row r="743">
      <c r="A743" s="55">
        <f t="shared" si="7"/>
        <v>68636</v>
      </c>
      <c r="B743" s="56">
        <f>round(YEARFRAC(EOMONTH(questions!$C$3, 0),A743,1),2)</f>
        <v>89</v>
      </c>
      <c r="C743" s="58">
        <f>IF(B743&lt;questions!$C$6,if(MONTH(A743)=1,C742*(1+questions!$C$12),C742),0)</f>
        <v>0</v>
      </c>
      <c r="D743" s="58">
        <f>IF(MONTH(A743)=12,C743*questions!$C$11,0)</f>
        <v>0</v>
      </c>
      <c r="E743" s="71">
        <f t="shared" si="2"/>
        <v>0</v>
      </c>
      <c r="F743" s="71">
        <f t="shared" si="3"/>
        <v>0</v>
      </c>
      <c r="G743" s="61">
        <f t="array" ref="G743">if(YEAR(A743)=2025,XLOOKUP(B743,Lookup!$A$3:$A$7,Lookup!$D$3:$D$7,,1)*SUM(E743:F743), XLOOKUP(B743,Lookup!$A$14:$A$18,Lookup!$D$14:$D$18,,1)*SUM(E743:F743))</f>
        <v>0</v>
      </c>
      <c r="H743" s="61">
        <f t="array" ref="H743">if(YEAR(A743)=2025,XLOOKUP(B743,Lookup!$F$3:$F$10,Lookup!$G$3:$G$10,,1)*G743, XLOOKUP(B743,Lookup!$F$14:$F$21,Lookup!$G$14:$G$21,,1)*G743)</f>
        <v>0</v>
      </c>
      <c r="I743" s="61">
        <f t="array" ref="I743">if(B743&lt;55, if(YEAR(A743)=2025,XLOOKUP(B743,Lookup!$F$3:$F$10,Lookup!$H$3:$H$10,,1)*G743, XLOOKUP(B743,Lookup!$F$14:$F$21,Lookup!$H$14:$H$21,,1)*G743),0)</f>
        <v>0</v>
      </c>
      <c r="J743" s="61">
        <f t="array" ref="J743">if(YEAR(A743)=2025,XLOOKUP(B743,Lookup!$F$3:$F$10,Lookup!$I$3:$I$10,,1)*G743, XLOOKUP(B743,Lookup!$F$14:$F$21,Lookup!$I$14:$I$21,,1)*G743)</f>
        <v>0</v>
      </c>
      <c r="K743" s="61">
        <f t="array" ref="K743">if(B743&gt;54, if(YEAR(A743)=2025,XLOOKUP(B743,Lookup!$F$3:$F$10,Lookup!$H$3:$H$10,,1)*G743, XLOOKUP(B743,Lookup!$F$14:$F$21,Lookup!$H$14:$H$21,,1)*G743),0)</f>
        <v>0</v>
      </c>
      <c r="L743" s="62">
        <f>IF(and(A743&lt;questions!$C$19,questions!$C$18="yes"),questions!$C$20,0)</f>
        <v>0</v>
      </c>
      <c r="M743" s="63">
        <f>(Y742+H743)*Lookup!A$26/12</f>
        <v>3627.34412</v>
      </c>
      <c r="N743" s="63">
        <f>if(B743&lt;55, (Z742+I743)*Lookup!B$26/12, (AB742+K743)*Lookup!B$26/12)</f>
        <v>7788.983782</v>
      </c>
      <c r="O743" s="63">
        <f>(AA742+J743)*Lookup!C$26/12</f>
        <v>940.3700287</v>
      </c>
      <c r="P743" s="63">
        <f t="shared" si="8"/>
        <v>39900.78532</v>
      </c>
      <c r="Q743" s="63">
        <f t="shared" si="4"/>
        <v>85678.8216</v>
      </c>
      <c r="R743" s="63">
        <f t="shared" si="5"/>
        <v>10344.07032</v>
      </c>
      <c r="S743" s="64">
        <f t="shared" si="9"/>
        <v>33.33333333</v>
      </c>
      <c r="T743" s="64">
        <f t="shared" si="10"/>
        <v>41.66666667</v>
      </c>
      <c r="U743" s="64">
        <f t="shared" si="11"/>
        <v>0</v>
      </c>
      <c r="V743" s="64">
        <f t="shared" ref="V743:X743" si="751">IF(year($A743)=year($A742), V742+S743, S743)</f>
        <v>366.6666667</v>
      </c>
      <c r="W743" s="64">
        <f t="shared" si="751"/>
        <v>458.3333333</v>
      </c>
      <c r="X743" s="64">
        <f t="shared" si="751"/>
        <v>0</v>
      </c>
      <c r="Y743" s="65">
        <f>IFS(
  B743&lt;55,
    MAX(
      Y742 + IF(MONTH(A743)=12, P743+V743, 0) + H743 - L743
      + MAX(0,
          IF(AA742 &gt;= VLOOKUP(YEAR(A743), Lookup!$Q:$R, 2),
            Z742 + IF(MONTH(A743)=12, Q743+W743, 0) + I743
              + AA742 + IF(MONTH(A743)=12, R743+X743, 0)
              - VLOOKUP(YEAR(A743), Lookup!$Q:$R, 2) + J743,
            Z742 + IF(MONTH(A743)=12, Q743+W743, 0) + I743
          ) - VLOOKUP(YEAR(A743), Lookup!$K:$M, 3)
        ),
    0),
  B743=55,
    IF(Z742&gt;=AD743,
      MAX(Y742 + IF(MONTH(A743)=12, P743+V743, 0) + H743 - L743, 0),
      MAX(MAX(0, Y742-(AD743-Z742)) + IF(MONTH(A743)=12, P743+V743, 0) + H743 - L743, 0)
    ),
  B743&gt;55,
    IF(AB742&gt;=$AH$7,
      MAX(Y742 + IF(MONTH(A743)=12, P743+V743, 0) + H743 - L743 + K743 + Z742, 0),
      MAX(Y742 + IF(MONTH(A743)=12, P743+V743, 0) + H743 - L743, 0)
    )
)</f>
        <v>1741125.177</v>
      </c>
      <c r="Z743" s="65">
        <f>IFS(
  B743&lt;55,
    MIN(
      IF(AA742 &gt;= VLOOKUP(YEAR(A743), Lookup!$Q:$R, 2),
        Z742 + IF(MONTH(A743)=12, Q743+W743, 0) + I743
          + AA742 + IF(MONTH(A743)=12, R743+X743, 0) - VLOOKUP(YEAR(A743), Lookup!$Q:$R, 2) + J743,
        Z742 + IF(MONTH(A743)=12, Q743+W743, 0) + I743
      ),
      VLOOKUP(YEAR(A743), Lookup!$K:$M, 3)
    ),
  B743=55,
    IF(Z742 &gt;= AD743, Z742 - AD743, 0),
  B743&gt;55, 0
)</f>
        <v>0</v>
      </c>
      <c r="AA743" s="65">
        <f>IFS(
  B743&lt;65,
    IF(AA742+J743 &lt; VLOOKUP(YEAR(A743), Lookup!$Q:$R, 2),
      AA742 + IF(MONTH(A743)=12, R742+X742, 0) + J743,
      MIN(
        AA742 + IF(MONTH(A743)=12, R742+X742, 0) + J743 ,
        VLOOKUP(YEAR(A743), Lookup!$Q:$R, 2)
      )
    ),
  B743&gt;=65,
    IF(AA742+J743 &lt; VLOOKUP(questions!$C$5, Lookup!$Q:$R, 2),
      AA742 + IF(MONTH(A743)=12, R742+X742, 0) + J743 ,
      MIN(
        AA742 + IF(MONTH(A743)=12, R742+X742, 0) + J743,
        VLOOKUP(questions!$C$5, Lookup!$Q:$R, 2)
      )
    )
)</f>
        <v>282111.0086</v>
      </c>
      <c r="AB743" s="65">
        <f t="shared" si="13"/>
        <v>2336695.135</v>
      </c>
      <c r="AC743" s="66">
        <f t="array" ref="AC743">IFS(B743&lt;66, XLOOKUP(year(A743),Lookup!$K$13:$K1000,Lookup!$L$13:$L1000,"missing",,1),B743&gt;65,XLOOKUP(questions!$C$5,Lookup!$K$13:$K1000,Lookup!$L$13:$L1000,"missing",,1))</f>
        <v>393675.3633</v>
      </c>
      <c r="AD743" s="66">
        <f t="array" ref="AD743">IFS(B743&lt;66, XLOOKUP(year(A743),Lookup!$K$13:$K1000,Lookup!$M$13:$M1000,"missing",,1),B743&gt;65, XLOOKUP(questions!$C$5,Lookup!$K$13:$K1000,Lookup!$M$13:$M1000,"missing",,1))</f>
        <v>787350.7266</v>
      </c>
      <c r="AE743" s="66">
        <f t="array" ref="AE743">IFS(B743&lt;66, XLOOKUP(year(A743),Lookup!$K$13:$K1000,Lookup!$N$13:$N1000,"missing",,1),B743&gt;65,XLOOKUP(questions!$C$5,Lookup!$K$13:$K1000,Lookup!$N$13:$N1000,"missing",,1))</f>
        <v>1574701.453</v>
      </c>
      <c r="AF743" s="37"/>
      <c r="AG743" s="37"/>
      <c r="AH743" s="37"/>
      <c r="AI743" s="37"/>
      <c r="AJ743" s="37"/>
      <c r="AK743" s="37"/>
      <c r="AL743" s="37"/>
      <c r="AM743" s="37"/>
      <c r="AN743" s="37"/>
      <c r="AO743" s="37"/>
      <c r="AP743" s="37"/>
      <c r="AQ743" s="37"/>
    </row>
    <row r="744">
      <c r="A744" s="55">
        <f t="shared" si="7"/>
        <v>68667</v>
      </c>
      <c r="B744" s="56">
        <f>round(YEARFRAC(EOMONTH(questions!$C$3, 0),A744,1),2)</f>
        <v>89.08</v>
      </c>
      <c r="C744" s="58">
        <f>IF(B744&lt;questions!$C$6,if(MONTH(A744)=1,C743*(1+questions!$C$12),C743),0)</f>
        <v>0</v>
      </c>
      <c r="D744" s="58">
        <f>IF(MONTH(A744)=12,C744*questions!$C$11,0)</f>
        <v>0</v>
      </c>
      <c r="E744" s="71">
        <f t="shared" si="2"/>
        <v>0</v>
      </c>
      <c r="F744" s="71">
        <f t="shared" si="3"/>
        <v>0</v>
      </c>
      <c r="G744" s="61">
        <f t="array" ref="G744">if(YEAR(A744)=2025,XLOOKUP(B744,Lookup!$A$3:$A$7,Lookup!$D$3:$D$7,,1)*SUM(E744:F744), XLOOKUP(B744,Lookup!$A$14:$A$18,Lookup!$D$14:$D$18,,1)*SUM(E744:F744))</f>
        <v>0</v>
      </c>
      <c r="H744" s="61">
        <f t="array" ref="H744">if(YEAR(A744)=2025,XLOOKUP(B744,Lookup!$F$3:$F$10,Lookup!$G$3:$G$10,,1)*G744, XLOOKUP(B744,Lookup!$F$14:$F$21,Lookup!$G$14:$G$21,,1)*G744)</f>
        <v>0</v>
      </c>
      <c r="I744" s="61">
        <f t="array" ref="I744">if(B744&lt;55, if(YEAR(A744)=2025,XLOOKUP(B744,Lookup!$F$3:$F$10,Lookup!$H$3:$H$10,,1)*G744, XLOOKUP(B744,Lookup!$F$14:$F$21,Lookup!$H$14:$H$21,,1)*G744),0)</f>
        <v>0</v>
      </c>
      <c r="J744" s="61">
        <f t="array" ref="J744">if(YEAR(A744)=2025,XLOOKUP(B744,Lookup!$F$3:$F$10,Lookup!$I$3:$I$10,,1)*G744, XLOOKUP(B744,Lookup!$F$14:$F$21,Lookup!$I$14:$I$21,,1)*G744)</f>
        <v>0</v>
      </c>
      <c r="K744" s="61">
        <f t="array" ref="K744">if(B744&gt;54, if(YEAR(A744)=2025,XLOOKUP(B744,Lookup!$F$3:$F$10,Lookup!$H$3:$H$10,,1)*G744, XLOOKUP(B744,Lookup!$F$14:$F$21,Lookup!$H$14:$H$21,,1)*G744),0)</f>
        <v>0</v>
      </c>
      <c r="L744" s="62">
        <f>IF(and(A744&lt;questions!$C$19,questions!$C$18="yes"),questions!$C$20,0)</f>
        <v>0</v>
      </c>
      <c r="M744" s="63">
        <f>(Y743+H744)*Lookup!A$26/12</f>
        <v>3627.34412</v>
      </c>
      <c r="N744" s="63">
        <f>if(B744&lt;55, (Z743+I744)*Lookup!B$26/12, (AB743+K744)*Lookup!B$26/12)</f>
        <v>7788.983782</v>
      </c>
      <c r="O744" s="63">
        <f>(AA743+J744)*Lookup!C$26/12</f>
        <v>940.3700287</v>
      </c>
      <c r="P744" s="63">
        <f t="shared" si="8"/>
        <v>43528.12944</v>
      </c>
      <c r="Q744" s="63">
        <f t="shared" si="4"/>
        <v>93467.80538</v>
      </c>
      <c r="R744" s="63">
        <f t="shared" si="5"/>
        <v>11284.44034</v>
      </c>
      <c r="S744" s="64">
        <f t="shared" si="9"/>
        <v>33.33333333</v>
      </c>
      <c r="T744" s="64">
        <f t="shared" si="10"/>
        <v>41.66666667</v>
      </c>
      <c r="U744" s="64">
        <f t="shared" si="11"/>
        <v>0</v>
      </c>
      <c r="V744" s="64">
        <f t="shared" ref="V744:X744" si="752">IF(year($A744)=year($A743), V743+S744, S744)</f>
        <v>400</v>
      </c>
      <c r="W744" s="64">
        <f t="shared" si="752"/>
        <v>500</v>
      </c>
      <c r="X744" s="64">
        <f t="shared" si="752"/>
        <v>0</v>
      </c>
      <c r="Y744" s="65">
        <f>IFS(
  B744&lt;55,
    MAX(
      Y743 + IF(MONTH(A744)=12, P744+V744, 0) + H744 - L744
      + MAX(0,
          IF(AA743 &gt;= VLOOKUP(YEAR(A744), Lookup!$Q:$R, 2),
            Z743 + IF(MONTH(A744)=12, Q744+W744, 0) + I744
              + AA743 + IF(MONTH(A744)=12, R744+X744, 0)
              - VLOOKUP(YEAR(A744), Lookup!$Q:$R, 2) + J744,
            Z743 + IF(MONTH(A744)=12, Q744+W744, 0) + I744
          ) - VLOOKUP(YEAR(A744), Lookup!$K:$M, 3)
        ),
    0),
  B744=55,
    IF(Z743&gt;=AD744,
      MAX(Y743 + IF(MONTH(A744)=12, P744+V744, 0) + H744 - L744, 0),
      MAX(MAX(0, Y743-(AD744-Z743)) + IF(MONTH(A744)=12, P744+V744, 0) + H744 - L744, 0)
    ),
  B744&gt;55,
    IF(AB743&gt;=$AH$7,
      MAX(Y743 + IF(MONTH(A744)=12, P744+V744, 0) + H744 - L744 + K744 + Z743, 0),
      MAX(Y743 + IF(MONTH(A744)=12, P744+V744, 0) + H744 - L744, 0)
    )
)</f>
        <v>1785053.307</v>
      </c>
      <c r="Z744" s="65">
        <f>IFS(
  B744&lt;55,
    MIN(
      IF(AA743 &gt;= VLOOKUP(YEAR(A744), Lookup!$Q:$R, 2),
        Z743 + IF(MONTH(A744)=12, Q744+W744, 0) + I744
          + AA743 + IF(MONTH(A744)=12, R744+X744, 0) - VLOOKUP(YEAR(A744), Lookup!$Q:$R, 2) + J744,
        Z743 + IF(MONTH(A744)=12, Q744+W744, 0) + I744
      ),
      VLOOKUP(YEAR(A744), Lookup!$K:$M, 3)
    ),
  B744=55,
    IF(Z743 &gt;= AD744, Z743 - AD744, 0),
  B744&gt;55, 0
)</f>
        <v>0</v>
      </c>
      <c r="AA744" s="65">
        <f>IFS(
  B744&lt;65,
    IF(AA743+J744 &lt; VLOOKUP(YEAR(A744), Lookup!$Q:$R, 2),
      AA743 + IF(MONTH(A744)=12, R743+X743, 0) + J744,
      MIN(
        AA743 + IF(MONTH(A744)=12, R743+X743, 0) + J744 ,
        VLOOKUP(YEAR(A744), Lookup!$Q:$R, 2)
      )
    ),
  B744&gt;=65,
    IF(AA743+J744 &lt; VLOOKUP(questions!$C$5, Lookup!$Q:$R, 2),
      AA743 + IF(MONTH(A744)=12, R743+X743, 0) + J744 ,
      MIN(
        AA743 + IF(MONTH(A744)=12, R743+X743, 0) + J744,
        VLOOKUP(questions!$C$5, Lookup!$Q:$R, 2)
      )
    )
)</f>
        <v>282111.0086</v>
      </c>
      <c r="AB744" s="65">
        <f t="shared" si="13"/>
        <v>2430662.94</v>
      </c>
      <c r="AC744" s="66">
        <f t="array" ref="AC744">IFS(B744&lt;66, XLOOKUP(year(A744),Lookup!$K$13:$K1000,Lookup!$L$13:$L1000,"missing",,1),B744&gt;65,XLOOKUP(questions!$C$5,Lookup!$K$13:$K1000,Lookup!$L$13:$L1000,"missing",,1))</f>
        <v>393675.3633</v>
      </c>
      <c r="AD744" s="66">
        <f t="array" ref="AD744">IFS(B744&lt;66, XLOOKUP(year(A744),Lookup!$K$13:$K1000,Lookup!$M$13:$M1000,"missing",,1),B744&gt;65, XLOOKUP(questions!$C$5,Lookup!$K$13:$K1000,Lookup!$M$13:$M1000,"missing",,1))</f>
        <v>787350.7266</v>
      </c>
      <c r="AE744" s="66">
        <f t="array" ref="AE744">IFS(B744&lt;66, XLOOKUP(year(A744),Lookup!$K$13:$K1000,Lookup!$N$13:$N1000,"missing",,1),B744&gt;65,XLOOKUP(questions!$C$5,Lookup!$K$13:$K1000,Lookup!$N$13:$N1000,"missing",,1))</f>
        <v>1574701.453</v>
      </c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  <c r="AQ744" s="37"/>
    </row>
    <row r="745">
      <c r="A745" s="55">
        <f t="shared" si="7"/>
        <v>68698</v>
      </c>
      <c r="B745" s="56">
        <f>round(YEARFRAC(EOMONTH(questions!$C$3, 0),A745,1),2)</f>
        <v>89.17</v>
      </c>
      <c r="C745" s="58">
        <f>IF(B745&lt;questions!$C$6,if(MONTH(A745)=1,C744*(1+questions!$C$12),C744),0)</f>
        <v>0</v>
      </c>
      <c r="D745" s="58">
        <f>IF(MONTH(A745)=12,C745*questions!$C$11,0)</f>
        <v>0</v>
      </c>
      <c r="E745" s="71">
        <f t="shared" si="2"/>
        <v>0</v>
      </c>
      <c r="F745" s="71">
        <f t="shared" si="3"/>
        <v>0</v>
      </c>
      <c r="G745" s="61">
        <f t="array" ref="G745">if(YEAR(A745)=2025,XLOOKUP(B745,Lookup!$A$3:$A$7,Lookup!$D$3:$D$7,,1)*SUM(E745:F745), XLOOKUP(B745,Lookup!$A$14:$A$18,Lookup!$D$14:$D$18,,1)*SUM(E745:F745))</f>
        <v>0</v>
      </c>
      <c r="H745" s="61">
        <f t="array" ref="H745">if(YEAR(A745)=2025,XLOOKUP(B745,Lookup!$F$3:$F$10,Lookup!$G$3:$G$10,,1)*G745, XLOOKUP(B745,Lookup!$F$14:$F$21,Lookup!$G$14:$G$21,,1)*G745)</f>
        <v>0</v>
      </c>
      <c r="I745" s="61">
        <f t="array" ref="I745">if(B745&lt;55, if(YEAR(A745)=2025,XLOOKUP(B745,Lookup!$F$3:$F$10,Lookup!$H$3:$H$10,,1)*G745, XLOOKUP(B745,Lookup!$F$14:$F$21,Lookup!$H$14:$H$21,,1)*G745),0)</f>
        <v>0</v>
      </c>
      <c r="J745" s="61">
        <f t="array" ref="J745">if(YEAR(A745)=2025,XLOOKUP(B745,Lookup!$F$3:$F$10,Lookup!$I$3:$I$10,,1)*G745, XLOOKUP(B745,Lookup!$F$14:$F$21,Lookup!$I$14:$I$21,,1)*G745)</f>
        <v>0</v>
      </c>
      <c r="K745" s="61">
        <f t="array" ref="K745">if(B745&gt;54, if(YEAR(A745)=2025,XLOOKUP(B745,Lookup!$F$3:$F$10,Lookup!$H$3:$H$10,,1)*G745, XLOOKUP(B745,Lookup!$F$14:$F$21,Lookup!$H$14:$H$21,,1)*G745),0)</f>
        <v>0</v>
      </c>
      <c r="L745" s="62">
        <f>IF(and(A745&lt;questions!$C$19,questions!$C$18="yes"),questions!$C$20,0)</f>
        <v>0</v>
      </c>
      <c r="M745" s="63">
        <f>(Y744+H745)*Lookup!A$26/12</f>
        <v>3718.861056</v>
      </c>
      <c r="N745" s="63">
        <f>if(B745&lt;55, (Z744+I745)*Lookup!B$26/12, (AB744+K745)*Lookup!B$26/12)</f>
        <v>8102.2098</v>
      </c>
      <c r="O745" s="63">
        <f>(AA744+J745)*Lookup!C$26/12</f>
        <v>940.3700287</v>
      </c>
      <c r="P745" s="63">
        <f t="shared" si="8"/>
        <v>3718.861056</v>
      </c>
      <c r="Q745" s="63">
        <f t="shared" si="4"/>
        <v>8102.2098</v>
      </c>
      <c r="R745" s="63">
        <f t="shared" si="5"/>
        <v>940.3700287</v>
      </c>
      <c r="S745" s="64">
        <f t="shared" si="9"/>
        <v>33.33333333</v>
      </c>
      <c r="T745" s="64">
        <f t="shared" si="10"/>
        <v>41.66666667</v>
      </c>
      <c r="U745" s="64">
        <f t="shared" si="11"/>
        <v>0</v>
      </c>
      <c r="V745" s="64">
        <f t="shared" ref="V745:X745" si="753">IF(year($A745)=year($A744), V744+S745, S745)</f>
        <v>33.33333333</v>
      </c>
      <c r="W745" s="64">
        <f t="shared" si="753"/>
        <v>41.66666667</v>
      </c>
      <c r="X745" s="64">
        <f t="shared" si="753"/>
        <v>0</v>
      </c>
      <c r="Y745" s="65">
        <f>IFS(
  B745&lt;55,
    MAX(
      Y744 + IF(MONTH(A745)=12, P745+V745, 0) + H745 - L745
      + MAX(0,
          IF(AA744 &gt;= VLOOKUP(YEAR(A745), Lookup!$Q:$R, 2),
            Z744 + IF(MONTH(A745)=12, Q745+W745, 0) + I745
              + AA744 + IF(MONTH(A745)=12, R745+X745, 0)
              - VLOOKUP(YEAR(A745), Lookup!$Q:$R, 2) + J745,
            Z744 + IF(MONTH(A745)=12, Q745+W745, 0) + I745
          ) - VLOOKUP(YEAR(A745), Lookup!$K:$M, 3)
        ),
    0),
  B745=55,
    IF(Z744&gt;=AD745,
      MAX(Y744 + IF(MONTH(A745)=12, P745+V745, 0) + H745 - L745, 0),
      MAX(MAX(0, Y744-(AD745-Z744)) + IF(MONTH(A745)=12, P745+V745, 0) + H745 - L745, 0)
    ),
  B745&gt;55,
    IF(AB744&gt;=$AH$7,
      MAX(Y744 + IF(MONTH(A745)=12, P745+V745, 0) + H745 - L745 + K745 + Z744, 0),
      MAX(Y744 + IF(MONTH(A745)=12, P745+V745, 0) + H745 - L745, 0)
    )
)</f>
        <v>1785053.307</v>
      </c>
      <c r="Z745" s="65">
        <f>IFS(
  B745&lt;55,
    MIN(
      IF(AA744 &gt;= VLOOKUP(YEAR(A745), Lookup!$Q:$R, 2),
        Z744 + IF(MONTH(A745)=12, Q745+W745, 0) + I745
          + AA744 + IF(MONTH(A745)=12, R745+X745, 0) - VLOOKUP(YEAR(A745), Lookup!$Q:$R, 2) + J745,
        Z744 + IF(MONTH(A745)=12, Q745+W745, 0) + I745
      ),
      VLOOKUP(YEAR(A745), Lookup!$K:$M, 3)
    ),
  B745=55,
    IF(Z744 &gt;= AD745, Z744 - AD745, 0),
  B745&gt;55, 0
)</f>
        <v>0</v>
      </c>
      <c r="AA745" s="65">
        <f>IFS(
  B745&lt;65,
    IF(AA744+J745 &lt; VLOOKUP(YEAR(A745), Lookup!$Q:$R, 2),
      AA744 + IF(MONTH(A745)=12, R744+X744, 0) + J745,
      MIN(
        AA744 + IF(MONTH(A745)=12, R744+X744, 0) + J745 ,
        VLOOKUP(YEAR(A745), Lookup!$Q:$R, 2)
      )
    ),
  B745&gt;=65,
    IF(AA744+J745 &lt; VLOOKUP(questions!$C$5, Lookup!$Q:$R, 2),
      AA744 + IF(MONTH(A745)=12, R744+X744, 0) + J745 ,
      MIN(
        AA744 + IF(MONTH(A745)=12, R744+X744, 0) + J745,
        VLOOKUP(questions!$C$5, Lookup!$Q:$R, 2)
      )
    )
)</f>
        <v>282111.0086</v>
      </c>
      <c r="AB745" s="65">
        <f t="shared" si="13"/>
        <v>2430662.94</v>
      </c>
      <c r="AC745" s="66">
        <f t="array" ref="AC745">IFS(B745&lt;66, XLOOKUP(year(A745),Lookup!$K$13:$K1000,Lookup!$L$13:$L1000,"missing",,1),B745&gt;65,XLOOKUP(questions!$C$5,Lookup!$K$13:$K1000,Lookup!$L$13:$L1000,"missing",,1))</f>
        <v>393675.3633</v>
      </c>
      <c r="AD745" s="66">
        <f t="array" ref="AD745">IFS(B745&lt;66, XLOOKUP(year(A745),Lookup!$K$13:$K1000,Lookup!$M$13:$M1000,"missing",,1),B745&gt;65, XLOOKUP(questions!$C$5,Lookup!$K$13:$K1000,Lookup!$M$13:$M1000,"missing",,1))</f>
        <v>787350.7266</v>
      </c>
      <c r="AE745" s="66">
        <f t="array" ref="AE745">IFS(B745&lt;66, XLOOKUP(year(A745),Lookup!$K$13:$K1000,Lookup!$N$13:$N1000,"missing",,1),B745&gt;65,XLOOKUP(questions!$C$5,Lookup!$K$13:$K1000,Lookup!$N$13:$N1000,"missing",,1))</f>
        <v>1574701.453</v>
      </c>
      <c r="AF745" s="37"/>
      <c r="AG745" s="37"/>
      <c r="AH745" s="37"/>
      <c r="AI745" s="37"/>
      <c r="AJ745" s="37"/>
      <c r="AK745" s="37"/>
      <c r="AL745" s="37"/>
      <c r="AM745" s="37"/>
      <c r="AN745" s="37"/>
      <c r="AO745" s="37"/>
      <c r="AP745" s="37"/>
      <c r="AQ745" s="37"/>
    </row>
    <row r="746">
      <c r="A746" s="55">
        <f t="shared" si="7"/>
        <v>68727</v>
      </c>
      <c r="B746" s="56">
        <f>round(YEARFRAC(EOMONTH(questions!$C$3, 0),A746,1),2)</f>
        <v>89.25</v>
      </c>
      <c r="C746" s="58">
        <f>IF(B746&lt;questions!$C$6,if(MONTH(A746)=1,C745*(1+questions!$C$12),C745),0)</f>
        <v>0</v>
      </c>
      <c r="D746" s="58">
        <f>IF(MONTH(A746)=12,C746*questions!$C$11,0)</f>
        <v>0</v>
      </c>
      <c r="E746" s="71">
        <f t="shared" si="2"/>
        <v>0</v>
      </c>
      <c r="F746" s="71">
        <f t="shared" si="3"/>
        <v>0</v>
      </c>
      <c r="G746" s="61">
        <f t="array" ref="G746">if(YEAR(A746)=2025,XLOOKUP(B746,Lookup!$A$3:$A$7,Lookup!$D$3:$D$7,,1)*SUM(E746:F746), XLOOKUP(B746,Lookup!$A$14:$A$18,Lookup!$D$14:$D$18,,1)*SUM(E746:F746))</f>
        <v>0</v>
      </c>
      <c r="H746" s="61">
        <f t="array" ref="H746">if(YEAR(A746)=2025,XLOOKUP(B746,Lookup!$F$3:$F$10,Lookup!$G$3:$G$10,,1)*G746, XLOOKUP(B746,Lookup!$F$14:$F$21,Lookup!$G$14:$G$21,,1)*G746)</f>
        <v>0</v>
      </c>
      <c r="I746" s="61">
        <f t="array" ref="I746">if(B746&lt;55, if(YEAR(A746)=2025,XLOOKUP(B746,Lookup!$F$3:$F$10,Lookup!$H$3:$H$10,,1)*G746, XLOOKUP(B746,Lookup!$F$14:$F$21,Lookup!$H$14:$H$21,,1)*G746),0)</f>
        <v>0</v>
      </c>
      <c r="J746" s="61">
        <f t="array" ref="J746">if(YEAR(A746)=2025,XLOOKUP(B746,Lookup!$F$3:$F$10,Lookup!$I$3:$I$10,,1)*G746, XLOOKUP(B746,Lookup!$F$14:$F$21,Lookup!$I$14:$I$21,,1)*G746)</f>
        <v>0</v>
      </c>
      <c r="K746" s="61">
        <f t="array" ref="K746">if(B746&gt;54, if(YEAR(A746)=2025,XLOOKUP(B746,Lookup!$F$3:$F$10,Lookup!$H$3:$H$10,,1)*G746, XLOOKUP(B746,Lookup!$F$14:$F$21,Lookup!$H$14:$H$21,,1)*G746),0)</f>
        <v>0</v>
      </c>
      <c r="L746" s="62">
        <f>IF(and(A746&lt;questions!$C$19,questions!$C$18="yes"),questions!$C$20,0)</f>
        <v>0</v>
      </c>
      <c r="M746" s="63">
        <f>(Y745+H746)*Lookup!A$26/12</f>
        <v>3718.861056</v>
      </c>
      <c r="N746" s="63">
        <f>if(B746&lt;55, (Z745+I746)*Lookup!B$26/12, (AB745+K746)*Lookup!B$26/12)</f>
        <v>8102.2098</v>
      </c>
      <c r="O746" s="63">
        <f>(AA745+J746)*Lookup!C$26/12</f>
        <v>940.3700287</v>
      </c>
      <c r="P746" s="63">
        <f t="shared" si="8"/>
        <v>7437.722112</v>
      </c>
      <c r="Q746" s="63">
        <f t="shared" si="4"/>
        <v>16204.4196</v>
      </c>
      <c r="R746" s="63">
        <f t="shared" si="5"/>
        <v>1880.740057</v>
      </c>
      <c r="S746" s="64">
        <f t="shared" si="9"/>
        <v>33.33333333</v>
      </c>
      <c r="T746" s="64">
        <f t="shared" si="10"/>
        <v>41.66666667</v>
      </c>
      <c r="U746" s="64">
        <f t="shared" si="11"/>
        <v>0</v>
      </c>
      <c r="V746" s="64">
        <f t="shared" ref="V746:X746" si="754">IF(year($A746)=year($A745), V745+S746, S746)</f>
        <v>66.66666667</v>
      </c>
      <c r="W746" s="64">
        <f t="shared" si="754"/>
        <v>83.33333333</v>
      </c>
      <c r="X746" s="64">
        <f t="shared" si="754"/>
        <v>0</v>
      </c>
      <c r="Y746" s="65">
        <f>IFS(
  B746&lt;55,
    MAX(
      Y745 + IF(MONTH(A746)=12, P746+V746, 0) + H746 - L746
      + MAX(0,
          IF(AA745 &gt;= VLOOKUP(YEAR(A746), Lookup!$Q:$R, 2),
            Z745 + IF(MONTH(A746)=12, Q746+W746, 0) + I746
              + AA745 + IF(MONTH(A746)=12, R746+X746, 0)
              - VLOOKUP(YEAR(A746), Lookup!$Q:$R, 2) + J746,
            Z745 + IF(MONTH(A746)=12, Q746+W746, 0) + I746
          ) - VLOOKUP(YEAR(A746), Lookup!$K:$M, 3)
        ),
    0),
  B746=55,
    IF(Z745&gt;=AD746,
      MAX(Y745 + IF(MONTH(A746)=12, P746+V746, 0) + H746 - L746, 0),
      MAX(MAX(0, Y745-(AD746-Z745)) + IF(MONTH(A746)=12, P746+V746, 0) + H746 - L746, 0)
    ),
  B746&gt;55,
    IF(AB745&gt;=$AH$7,
      MAX(Y745 + IF(MONTH(A746)=12, P746+V746, 0) + H746 - L746 + K746 + Z745, 0),
      MAX(Y745 + IF(MONTH(A746)=12, P746+V746, 0) + H746 - L746, 0)
    )
)</f>
        <v>1785053.307</v>
      </c>
      <c r="Z746" s="65">
        <f>IFS(
  B746&lt;55,
    MIN(
      IF(AA745 &gt;= VLOOKUP(YEAR(A746), Lookup!$Q:$R, 2),
        Z745 + IF(MONTH(A746)=12, Q746+W746, 0) + I746
          + AA745 + IF(MONTH(A746)=12, R746+X746, 0) - VLOOKUP(YEAR(A746), Lookup!$Q:$R, 2) + J746,
        Z745 + IF(MONTH(A746)=12, Q746+W746, 0) + I746
      ),
      VLOOKUP(YEAR(A746), Lookup!$K:$M, 3)
    ),
  B746=55,
    IF(Z745 &gt;= AD746, Z745 - AD746, 0),
  B746&gt;55, 0
)</f>
        <v>0</v>
      </c>
      <c r="AA746" s="65">
        <f>IFS(
  B746&lt;65,
    IF(AA745+J746 &lt; VLOOKUP(YEAR(A746), Lookup!$Q:$R, 2),
      AA745 + IF(MONTH(A746)=12, R745+X745, 0) + J746,
      MIN(
        AA745 + IF(MONTH(A746)=12, R745+X745, 0) + J746 ,
        VLOOKUP(YEAR(A746), Lookup!$Q:$R, 2)
      )
    ),
  B746&gt;=65,
    IF(AA745+J746 &lt; VLOOKUP(questions!$C$5, Lookup!$Q:$R, 2),
      AA745 + IF(MONTH(A746)=12, R745+X745, 0) + J746 ,
      MIN(
        AA745 + IF(MONTH(A746)=12, R745+X745, 0) + J746,
        VLOOKUP(questions!$C$5, Lookup!$Q:$R, 2)
      )
    )
)</f>
        <v>282111.0086</v>
      </c>
      <c r="AB746" s="65">
        <f t="shared" si="13"/>
        <v>2430662.94</v>
      </c>
      <c r="AC746" s="66">
        <f t="array" ref="AC746">IFS(B746&lt;66, XLOOKUP(year(A746),Lookup!$K$13:$K1000,Lookup!$L$13:$L1000,"missing",,1),B746&gt;65,XLOOKUP(questions!$C$5,Lookup!$K$13:$K1000,Lookup!$L$13:$L1000,"missing",,1))</f>
        <v>393675.3633</v>
      </c>
      <c r="AD746" s="66">
        <f t="array" ref="AD746">IFS(B746&lt;66, XLOOKUP(year(A746),Lookup!$K$13:$K1000,Lookup!$M$13:$M1000,"missing",,1),B746&gt;65, XLOOKUP(questions!$C$5,Lookup!$K$13:$K1000,Lookup!$M$13:$M1000,"missing",,1))</f>
        <v>787350.7266</v>
      </c>
      <c r="AE746" s="66">
        <f t="array" ref="AE746">IFS(B746&lt;66, XLOOKUP(year(A746),Lookup!$K$13:$K1000,Lookup!$N$13:$N1000,"missing",,1),B746&gt;65,XLOOKUP(questions!$C$5,Lookup!$K$13:$K1000,Lookup!$N$13:$N1000,"missing",,1))</f>
        <v>1574701.453</v>
      </c>
      <c r="AF746" s="37"/>
      <c r="AG746" s="37"/>
      <c r="AH746" s="37"/>
      <c r="AI746" s="37"/>
      <c r="AJ746" s="37"/>
      <c r="AK746" s="37"/>
      <c r="AL746" s="37"/>
      <c r="AM746" s="37"/>
      <c r="AN746" s="37"/>
      <c r="AO746" s="37"/>
      <c r="AP746" s="37"/>
      <c r="AQ746" s="37"/>
    </row>
    <row r="747">
      <c r="A747" s="55">
        <f t="shared" si="7"/>
        <v>68758</v>
      </c>
      <c r="B747" s="56">
        <f>round(YEARFRAC(EOMONTH(questions!$C$3, 0),A747,1),2)</f>
        <v>89.33</v>
      </c>
      <c r="C747" s="58">
        <f>IF(B747&lt;questions!$C$6,if(MONTH(A747)=1,C746*(1+questions!$C$12),C746),0)</f>
        <v>0</v>
      </c>
      <c r="D747" s="58">
        <f>IF(MONTH(A747)=12,C747*questions!$C$11,0)</f>
        <v>0</v>
      </c>
      <c r="E747" s="71">
        <f t="shared" si="2"/>
        <v>0</v>
      </c>
      <c r="F747" s="71">
        <f t="shared" si="3"/>
        <v>0</v>
      </c>
      <c r="G747" s="61">
        <f t="array" ref="G747">if(YEAR(A747)=2025,XLOOKUP(B747,Lookup!$A$3:$A$7,Lookup!$D$3:$D$7,,1)*SUM(E747:F747), XLOOKUP(B747,Lookup!$A$14:$A$18,Lookup!$D$14:$D$18,,1)*SUM(E747:F747))</f>
        <v>0</v>
      </c>
      <c r="H747" s="61">
        <f t="array" ref="H747">if(YEAR(A747)=2025,XLOOKUP(B747,Lookup!$F$3:$F$10,Lookup!$G$3:$G$10,,1)*G747, XLOOKUP(B747,Lookup!$F$14:$F$21,Lookup!$G$14:$G$21,,1)*G747)</f>
        <v>0</v>
      </c>
      <c r="I747" s="61">
        <f t="array" ref="I747">if(B747&lt;55, if(YEAR(A747)=2025,XLOOKUP(B747,Lookup!$F$3:$F$10,Lookup!$H$3:$H$10,,1)*G747, XLOOKUP(B747,Lookup!$F$14:$F$21,Lookup!$H$14:$H$21,,1)*G747),0)</f>
        <v>0</v>
      </c>
      <c r="J747" s="61">
        <f t="array" ref="J747">if(YEAR(A747)=2025,XLOOKUP(B747,Lookup!$F$3:$F$10,Lookup!$I$3:$I$10,,1)*G747, XLOOKUP(B747,Lookup!$F$14:$F$21,Lookup!$I$14:$I$21,,1)*G747)</f>
        <v>0</v>
      </c>
      <c r="K747" s="61">
        <f t="array" ref="K747">if(B747&gt;54, if(YEAR(A747)=2025,XLOOKUP(B747,Lookup!$F$3:$F$10,Lookup!$H$3:$H$10,,1)*G747, XLOOKUP(B747,Lookup!$F$14:$F$21,Lookup!$H$14:$H$21,,1)*G747),0)</f>
        <v>0</v>
      </c>
      <c r="L747" s="62">
        <f>IF(and(A747&lt;questions!$C$19,questions!$C$18="yes"),questions!$C$20,0)</f>
        <v>0</v>
      </c>
      <c r="M747" s="63">
        <f>(Y746+H747)*Lookup!A$26/12</f>
        <v>3718.861056</v>
      </c>
      <c r="N747" s="63">
        <f>if(B747&lt;55, (Z746+I747)*Lookup!B$26/12, (AB746+K747)*Lookup!B$26/12)</f>
        <v>8102.2098</v>
      </c>
      <c r="O747" s="63">
        <f>(AA746+J747)*Lookup!C$26/12</f>
        <v>940.3700287</v>
      </c>
      <c r="P747" s="63">
        <f t="shared" si="8"/>
        <v>11156.58317</v>
      </c>
      <c r="Q747" s="63">
        <f t="shared" si="4"/>
        <v>24306.6294</v>
      </c>
      <c r="R747" s="63">
        <f t="shared" si="5"/>
        <v>2821.110086</v>
      </c>
      <c r="S747" s="64">
        <f t="shared" si="9"/>
        <v>33.33333333</v>
      </c>
      <c r="T747" s="64">
        <f t="shared" si="10"/>
        <v>41.66666667</v>
      </c>
      <c r="U747" s="64">
        <f t="shared" si="11"/>
        <v>0</v>
      </c>
      <c r="V747" s="64">
        <f t="shared" ref="V747:X747" si="755">IF(year($A747)=year($A746), V746+S747, S747)</f>
        <v>100</v>
      </c>
      <c r="W747" s="64">
        <f t="shared" si="755"/>
        <v>125</v>
      </c>
      <c r="X747" s="64">
        <f t="shared" si="755"/>
        <v>0</v>
      </c>
      <c r="Y747" s="65">
        <f>IFS(
  B747&lt;55,
    MAX(
      Y746 + IF(MONTH(A747)=12, P747+V747, 0) + H747 - L747
      + MAX(0,
          IF(AA746 &gt;= VLOOKUP(YEAR(A747), Lookup!$Q:$R, 2),
            Z746 + IF(MONTH(A747)=12, Q747+W747, 0) + I747
              + AA746 + IF(MONTH(A747)=12, R747+X747, 0)
              - VLOOKUP(YEAR(A747), Lookup!$Q:$R, 2) + J747,
            Z746 + IF(MONTH(A747)=12, Q747+W747, 0) + I747
          ) - VLOOKUP(YEAR(A747), Lookup!$K:$M, 3)
        ),
    0),
  B747=55,
    IF(Z746&gt;=AD747,
      MAX(Y746 + IF(MONTH(A747)=12, P747+V747, 0) + H747 - L747, 0),
      MAX(MAX(0, Y746-(AD747-Z746)) + IF(MONTH(A747)=12, P747+V747, 0) + H747 - L747, 0)
    ),
  B747&gt;55,
    IF(AB746&gt;=$AH$7,
      MAX(Y746 + IF(MONTH(A747)=12, P747+V747, 0) + H747 - L747 + K747 + Z746, 0),
      MAX(Y746 + IF(MONTH(A747)=12, P747+V747, 0) + H747 - L747, 0)
    )
)</f>
        <v>1785053.307</v>
      </c>
      <c r="Z747" s="65">
        <f>IFS(
  B747&lt;55,
    MIN(
      IF(AA746 &gt;= VLOOKUP(YEAR(A747), Lookup!$Q:$R, 2),
        Z746 + IF(MONTH(A747)=12, Q747+W747, 0) + I747
          + AA746 + IF(MONTH(A747)=12, R747+X747, 0) - VLOOKUP(YEAR(A747), Lookup!$Q:$R, 2) + J747,
        Z746 + IF(MONTH(A747)=12, Q747+W747, 0) + I747
      ),
      VLOOKUP(YEAR(A747), Lookup!$K:$M, 3)
    ),
  B747=55,
    IF(Z746 &gt;= AD747, Z746 - AD747, 0),
  B747&gt;55, 0
)</f>
        <v>0</v>
      </c>
      <c r="AA747" s="65">
        <f>IFS(
  B747&lt;65,
    IF(AA746+J747 &lt; VLOOKUP(YEAR(A747), Lookup!$Q:$R, 2),
      AA746 + IF(MONTH(A747)=12, R746+X746, 0) + J747,
      MIN(
        AA746 + IF(MONTH(A747)=12, R746+X746, 0) + J747 ,
        VLOOKUP(YEAR(A747), Lookup!$Q:$R, 2)
      )
    ),
  B747&gt;=65,
    IF(AA746+J747 &lt; VLOOKUP(questions!$C$5, Lookup!$Q:$R, 2),
      AA746 + IF(MONTH(A747)=12, R746+X746, 0) + J747 ,
      MIN(
        AA746 + IF(MONTH(A747)=12, R746+X746, 0) + J747,
        VLOOKUP(questions!$C$5, Lookup!$Q:$R, 2)
      )
    )
)</f>
        <v>282111.0086</v>
      </c>
      <c r="AB747" s="65">
        <f t="shared" si="13"/>
        <v>2430662.94</v>
      </c>
      <c r="AC747" s="66">
        <f t="array" ref="AC747">IFS(B747&lt;66, XLOOKUP(year(A747),Lookup!$K$13:$K1000,Lookup!$L$13:$L1000,"missing",,1),B747&gt;65,XLOOKUP(questions!$C$5,Lookup!$K$13:$K1000,Lookup!$L$13:$L1000,"missing",,1))</f>
        <v>393675.3633</v>
      </c>
      <c r="AD747" s="66">
        <f t="array" ref="AD747">IFS(B747&lt;66, XLOOKUP(year(A747),Lookup!$K$13:$K1000,Lookup!$M$13:$M1000,"missing",,1),B747&gt;65, XLOOKUP(questions!$C$5,Lookup!$K$13:$K1000,Lookup!$M$13:$M1000,"missing",,1))</f>
        <v>787350.7266</v>
      </c>
      <c r="AE747" s="66">
        <f t="array" ref="AE747">IFS(B747&lt;66, XLOOKUP(year(A747),Lookup!$K$13:$K1000,Lookup!$N$13:$N1000,"missing",,1),B747&gt;65,XLOOKUP(questions!$C$5,Lookup!$K$13:$K1000,Lookup!$N$13:$N1000,"missing",,1))</f>
        <v>1574701.453</v>
      </c>
      <c r="AF747" s="37"/>
      <c r="AG747" s="37"/>
      <c r="AH747" s="37"/>
      <c r="AI747" s="37"/>
      <c r="AJ747" s="37"/>
      <c r="AK747" s="37"/>
      <c r="AL747" s="37"/>
      <c r="AM747" s="37"/>
      <c r="AN747" s="37"/>
      <c r="AO747" s="37"/>
      <c r="AP747" s="37"/>
      <c r="AQ747" s="37"/>
    </row>
    <row r="748">
      <c r="A748" s="55">
        <f t="shared" si="7"/>
        <v>68788</v>
      </c>
      <c r="B748" s="56">
        <f>round(YEARFRAC(EOMONTH(questions!$C$3, 0),A748,1),2)</f>
        <v>89.42</v>
      </c>
      <c r="C748" s="58">
        <f>IF(B748&lt;questions!$C$6,if(MONTH(A748)=1,C747*(1+questions!$C$12),C747),0)</f>
        <v>0</v>
      </c>
      <c r="D748" s="58">
        <f>IF(MONTH(A748)=12,C748*questions!$C$11,0)</f>
        <v>0</v>
      </c>
      <c r="E748" s="71">
        <f t="shared" si="2"/>
        <v>0</v>
      </c>
      <c r="F748" s="71">
        <f t="shared" si="3"/>
        <v>0</v>
      </c>
      <c r="G748" s="61">
        <f t="array" ref="G748">if(YEAR(A748)=2025,XLOOKUP(B748,Lookup!$A$3:$A$7,Lookup!$D$3:$D$7,,1)*SUM(E748:F748), XLOOKUP(B748,Lookup!$A$14:$A$18,Lookup!$D$14:$D$18,,1)*SUM(E748:F748))</f>
        <v>0</v>
      </c>
      <c r="H748" s="61">
        <f t="array" ref="H748">if(YEAR(A748)=2025,XLOOKUP(B748,Lookup!$F$3:$F$10,Lookup!$G$3:$G$10,,1)*G748, XLOOKUP(B748,Lookup!$F$14:$F$21,Lookup!$G$14:$G$21,,1)*G748)</f>
        <v>0</v>
      </c>
      <c r="I748" s="61">
        <f t="array" ref="I748">if(B748&lt;55, if(YEAR(A748)=2025,XLOOKUP(B748,Lookup!$F$3:$F$10,Lookup!$H$3:$H$10,,1)*G748, XLOOKUP(B748,Lookup!$F$14:$F$21,Lookup!$H$14:$H$21,,1)*G748),0)</f>
        <v>0</v>
      </c>
      <c r="J748" s="61">
        <f t="array" ref="J748">if(YEAR(A748)=2025,XLOOKUP(B748,Lookup!$F$3:$F$10,Lookup!$I$3:$I$10,,1)*G748, XLOOKUP(B748,Lookup!$F$14:$F$21,Lookup!$I$14:$I$21,,1)*G748)</f>
        <v>0</v>
      </c>
      <c r="K748" s="61">
        <f t="array" ref="K748">if(B748&gt;54, if(YEAR(A748)=2025,XLOOKUP(B748,Lookup!$F$3:$F$10,Lookup!$H$3:$H$10,,1)*G748, XLOOKUP(B748,Lookup!$F$14:$F$21,Lookup!$H$14:$H$21,,1)*G748),0)</f>
        <v>0</v>
      </c>
      <c r="L748" s="62">
        <f>IF(and(A748&lt;questions!$C$19,questions!$C$18="yes"),questions!$C$20,0)</f>
        <v>0</v>
      </c>
      <c r="M748" s="63">
        <f>(Y747+H748)*Lookup!A$26/12</f>
        <v>3718.861056</v>
      </c>
      <c r="N748" s="63">
        <f>if(B748&lt;55, (Z747+I748)*Lookup!B$26/12, (AB747+K748)*Lookup!B$26/12)</f>
        <v>8102.2098</v>
      </c>
      <c r="O748" s="63">
        <f>(AA747+J748)*Lookup!C$26/12</f>
        <v>940.3700287</v>
      </c>
      <c r="P748" s="63">
        <f t="shared" si="8"/>
        <v>14875.44422</v>
      </c>
      <c r="Q748" s="63">
        <f t="shared" si="4"/>
        <v>32408.8392</v>
      </c>
      <c r="R748" s="63">
        <f t="shared" si="5"/>
        <v>3761.480115</v>
      </c>
      <c r="S748" s="64">
        <f t="shared" si="9"/>
        <v>33.33333333</v>
      </c>
      <c r="T748" s="64">
        <f t="shared" si="10"/>
        <v>41.66666667</v>
      </c>
      <c r="U748" s="64">
        <f t="shared" si="11"/>
        <v>0</v>
      </c>
      <c r="V748" s="64">
        <f t="shared" ref="V748:X748" si="756">IF(year($A748)=year($A747), V747+S748, S748)</f>
        <v>133.3333333</v>
      </c>
      <c r="W748" s="64">
        <f t="shared" si="756"/>
        <v>166.6666667</v>
      </c>
      <c r="X748" s="64">
        <f t="shared" si="756"/>
        <v>0</v>
      </c>
      <c r="Y748" s="65">
        <f>IFS(
  B748&lt;55,
    MAX(
      Y747 + IF(MONTH(A748)=12, P748+V748, 0) + H748 - L748
      + MAX(0,
          IF(AA747 &gt;= VLOOKUP(YEAR(A748), Lookup!$Q:$R, 2),
            Z747 + IF(MONTH(A748)=12, Q748+W748, 0) + I748
              + AA747 + IF(MONTH(A748)=12, R748+X748, 0)
              - VLOOKUP(YEAR(A748), Lookup!$Q:$R, 2) + J748,
            Z747 + IF(MONTH(A748)=12, Q748+W748, 0) + I748
          ) - VLOOKUP(YEAR(A748), Lookup!$K:$M, 3)
        ),
    0),
  B748=55,
    IF(Z747&gt;=AD748,
      MAX(Y747 + IF(MONTH(A748)=12, P748+V748, 0) + H748 - L748, 0),
      MAX(MAX(0, Y747-(AD748-Z747)) + IF(MONTH(A748)=12, P748+V748, 0) + H748 - L748, 0)
    ),
  B748&gt;55,
    IF(AB747&gt;=$AH$7,
      MAX(Y747 + IF(MONTH(A748)=12, P748+V748, 0) + H748 - L748 + K748 + Z747, 0),
      MAX(Y747 + IF(MONTH(A748)=12, P748+V748, 0) + H748 - L748, 0)
    )
)</f>
        <v>1785053.307</v>
      </c>
      <c r="Z748" s="65">
        <f>IFS(
  B748&lt;55,
    MIN(
      IF(AA747 &gt;= VLOOKUP(YEAR(A748), Lookup!$Q:$R, 2),
        Z747 + IF(MONTH(A748)=12, Q748+W748, 0) + I748
          + AA747 + IF(MONTH(A748)=12, R748+X748, 0) - VLOOKUP(YEAR(A748), Lookup!$Q:$R, 2) + J748,
        Z747 + IF(MONTH(A748)=12, Q748+W748, 0) + I748
      ),
      VLOOKUP(YEAR(A748), Lookup!$K:$M, 3)
    ),
  B748=55,
    IF(Z747 &gt;= AD748, Z747 - AD748, 0),
  B748&gt;55, 0
)</f>
        <v>0</v>
      </c>
      <c r="AA748" s="65">
        <f>IFS(
  B748&lt;65,
    IF(AA747+J748 &lt; VLOOKUP(YEAR(A748), Lookup!$Q:$R, 2),
      AA747 + IF(MONTH(A748)=12, R747+X747, 0) + J748,
      MIN(
        AA747 + IF(MONTH(A748)=12, R747+X747, 0) + J748 ,
        VLOOKUP(YEAR(A748), Lookup!$Q:$R, 2)
      )
    ),
  B748&gt;=65,
    IF(AA747+J748 &lt; VLOOKUP(questions!$C$5, Lookup!$Q:$R, 2),
      AA747 + IF(MONTH(A748)=12, R747+X747, 0) + J748 ,
      MIN(
        AA747 + IF(MONTH(A748)=12, R747+X747, 0) + J748,
        VLOOKUP(questions!$C$5, Lookup!$Q:$R, 2)
      )
    )
)</f>
        <v>282111.0086</v>
      </c>
      <c r="AB748" s="65">
        <f t="shared" si="13"/>
        <v>2430662.94</v>
      </c>
      <c r="AC748" s="66">
        <f t="array" ref="AC748">IFS(B748&lt;66, XLOOKUP(year(A748),Lookup!$K$13:$K1000,Lookup!$L$13:$L1000,"missing",,1),B748&gt;65,XLOOKUP(questions!$C$5,Lookup!$K$13:$K1000,Lookup!$L$13:$L1000,"missing",,1))</f>
        <v>393675.3633</v>
      </c>
      <c r="AD748" s="66">
        <f t="array" ref="AD748">IFS(B748&lt;66, XLOOKUP(year(A748),Lookup!$K$13:$K1000,Lookup!$M$13:$M1000,"missing",,1),B748&gt;65, XLOOKUP(questions!$C$5,Lookup!$K$13:$K1000,Lookup!$M$13:$M1000,"missing",,1))</f>
        <v>787350.7266</v>
      </c>
      <c r="AE748" s="66">
        <f t="array" ref="AE748">IFS(B748&lt;66, XLOOKUP(year(A748),Lookup!$K$13:$K1000,Lookup!$N$13:$N1000,"missing",,1),B748&gt;65,XLOOKUP(questions!$C$5,Lookup!$K$13:$K1000,Lookup!$N$13:$N1000,"missing",,1))</f>
        <v>1574701.453</v>
      </c>
      <c r="AF748" s="37"/>
      <c r="AG748" s="37"/>
      <c r="AH748" s="37"/>
      <c r="AI748" s="37"/>
      <c r="AJ748" s="37"/>
      <c r="AK748" s="37"/>
      <c r="AL748" s="37"/>
      <c r="AM748" s="37"/>
      <c r="AN748" s="37"/>
      <c r="AO748" s="37"/>
      <c r="AP748" s="37"/>
      <c r="AQ748" s="37"/>
    </row>
    <row r="749">
      <c r="A749" s="55">
        <f t="shared" si="7"/>
        <v>68819</v>
      </c>
      <c r="B749" s="56">
        <f>round(YEARFRAC(EOMONTH(questions!$C$3, 0),A749,1),2)</f>
        <v>89.5</v>
      </c>
      <c r="C749" s="58">
        <f>IF(B749&lt;questions!$C$6,if(MONTH(A749)=1,C748*(1+questions!$C$12),C748),0)</f>
        <v>0</v>
      </c>
      <c r="D749" s="58">
        <f>IF(MONTH(A749)=12,C749*questions!$C$11,0)</f>
        <v>0</v>
      </c>
      <c r="E749" s="71">
        <f t="shared" si="2"/>
        <v>0</v>
      </c>
      <c r="F749" s="71">
        <f t="shared" si="3"/>
        <v>0</v>
      </c>
      <c r="G749" s="61">
        <f t="array" ref="G749">if(YEAR(A749)=2025,XLOOKUP(B749,Lookup!$A$3:$A$7,Lookup!$D$3:$D$7,,1)*SUM(E749:F749), XLOOKUP(B749,Lookup!$A$14:$A$18,Lookup!$D$14:$D$18,,1)*SUM(E749:F749))</f>
        <v>0</v>
      </c>
      <c r="H749" s="61">
        <f t="array" ref="H749">if(YEAR(A749)=2025,XLOOKUP(B749,Lookup!$F$3:$F$10,Lookup!$G$3:$G$10,,1)*G749, XLOOKUP(B749,Lookup!$F$14:$F$21,Lookup!$G$14:$G$21,,1)*G749)</f>
        <v>0</v>
      </c>
      <c r="I749" s="61">
        <f t="array" ref="I749">if(B749&lt;55, if(YEAR(A749)=2025,XLOOKUP(B749,Lookup!$F$3:$F$10,Lookup!$H$3:$H$10,,1)*G749, XLOOKUP(B749,Lookup!$F$14:$F$21,Lookup!$H$14:$H$21,,1)*G749),0)</f>
        <v>0</v>
      </c>
      <c r="J749" s="61">
        <f t="array" ref="J749">if(YEAR(A749)=2025,XLOOKUP(B749,Lookup!$F$3:$F$10,Lookup!$I$3:$I$10,,1)*G749, XLOOKUP(B749,Lookup!$F$14:$F$21,Lookup!$I$14:$I$21,,1)*G749)</f>
        <v>0</v>
      </c>
      <c r="K749" s="61">
        <f t="array" ref="K749">if(B749&gt;54, if(YEAR(A749)=2025,XLOOKUP(B749,Lookup!$F$3:$F$10,Lookup!$H$3:$H$10,,1)*G749, XLOOKUP(B749,Lookup!$F$14:$F$21,Lookup!$H$14:$H$21,,1)*G749),0)</f>
        <v>0</v>
      </c>
      <c r="L749" s="62">
        <f>IF(and(A749&lt;questions!$C$19,questions!$C$18="yes"),questions!$C$20,0)</f>
        <v>0</v>
      </c>
      <c r="M749" s="63">
        <f>(Y748+H749)*Lookup!A$26/12</f>
        <v>3718.861056</v>
      </c>
      <c r="N749" s="63">
        <f>if(B749&lt;55, (Z748+I749)*Lookup!B$26/12, (AB748+K749)*Lookup!B$26/12)</f>
        <v>8102.2098</v>
      </c>
      <c r="O749" s="63">
        <f>(AA748+J749)*Lookup!C$26/12</f>
        <v>940.3700287</v>
      </c>
      <c r="P749" s="63">
        <f t="shared" si="8"/>
        <v>18594.30528</v>
      </c>
      <c r="Q749" s="63">
        <f t="shared" si="4"/>
        <v>40511.049</v>
      </c>
      <c r="R749" s="63">
        <f t="shared" si="5"/>
        <v>4701.850143</v>
      </c>
      <c r="S749" s="64">
        <f t="shared" si="9"/>
        <v>33.33333333</v>
      </c>
      <c r="T749" s="64">
        <f t="shared" si="10"/>
        <v>41.66666667</v>
      </c>
      <c r="U749" s="64">
        <f t="shared" si="11"/>
        <v>0</v>
      </c>
      <c r="V749" s="64">
        <f t="shared" ref="V749:X749" si="757">IF(year($A749)=year($A748), V748+S749, S749)</f>
        <v>166.6666667</v>
      </c>
      <c r="W749" s="64">
        <f t="shared" si="757"/>
        <v>208.3333333</v>
      </c>
      <c r="X749" s="64">
        <f t="shared" si="757"/>
        <v>0</v>
      </c>
      <c r="Y749" s="65">
        <f>IFS(
  B749&lt;55,
    MAX(
      Y748 + IF(MONTH(A749)=12, P749+V749, 0) + H749 - L749
      + MAX(0,
          IF(AA748 &gt;= VLOOKUP(YEAR(A749), Lookup!$Q:$R, 2),
            Z748 + IF(MONTH(A749)=12, Q749+W749, 0) + I749
              + AA748 + IF(MONTH(A749)=12, R749+X749, 0)
              - VLOOKUP(YEAR(A749), Lookup!$Q:$R, 2) + J749,
            Z748 + IF(MONTH(A749)=12, Q749+W749, 0) + I749
          ) - VLOOKUP(YEAR(A749), Lookup!$K:$M, 3)
        ),
    0),
  B749=55,
    IF(Z748&gt;=AD749,
      MAX(Y748 + IF(MONTH(A749)=12, P749+V749, 0) + H749 - L749, 0),
      MAX(MAX(0, Y748-(AD749-Z748)) + IF(MONTH(A749)=12, P749+V749, 0) + H749 - L749, 0)
    ),
  B749&gt;55,
    IF(AB748&gt;=$AH$7,
      MAX(Y748 + IF(MONTH(A749)=12, P749+V749, 0) + H749 - L749 + K749 + Z748, 0),
      MAX(Y748 + IF(MONTH(A749)=12, P749+V749, 0) + H749 - L749, 0)
    )
)</f>
        <v>1785053.307</v>
      </c>
      <c r="Z749" s="65">
        <f>IFS(
  B749&lt;55,
    MIN(
      IF(AA748 &gt;= VLOOKUP(YEAR(A749), Lookup!$Q:$R, 2),
        Z748 + IF(MONTH(A749)=12, Q749+W749, 0) + I749
          + AA748 + IF(MONTH(A749)=12, R749+X749, 0) - VLOOKUP(YEAR(A749), Lookup!$Q:$R, 2) + J749,
        Z748 + IF(MONTH(A749)=12, Q749+W749, 0) + I749
      ),
      VLOOKUP(YEAR(A749), Lookup!$K:$M, 3)
    ),
  B749=55,
    IF(Z748 &gt;= AD749, Z748 - AD749, 0),
  B749&gt;55, 0
)</f>
        <v>0</v>
      </c>
      <c r="AA749" s="65">
        <f>IFS(
  B749&lt;65,
    IF(AA748+J749 &lt; VLOOKUP(YEAR(A749), Lookup!$Q:$R, 2),
      AA748 + IF(MONTH(A749)=12, R748+X748, 0) + J749,
      MIN(
        AA748 + IF(MONTH(A749)=12, R748+X748, 0) + J749 ,
        VLOOKUP(YEAR(A749), Lookup!$Q:$R, 2)
      )
    ),
  B749&gt;=65,
    IF(AA748+J749 &lt; VLOOKUP(questions!$C$5, Lookup!$Q:$R, 2),
      AA748 + IF(MONTH(A749)=12, R748+X748, 0) + J749 ,
      MIN(
        AA748 + IF(MONTH(A749)=12, R748+X748, 0) + J749,
        VLOOKUP(questions!$C$5, Lookup!$Q:$R, 2)
      )
    )
)</f>
        <v>282111.0086</v>
      </c>
      <c r="AB749" s="65">
        <f t="shared" si="13"/>
        <v>2430662.94</v>
      </c>
      <c r="AC749" s="66">
        <f t="array" ref="AC749">IFS(B749&lt;66, XLOOKUP(year(A749),Lookup!$K$13:$K1000,Lookup!$L$13:$L1000,"missing",,1),B749&gt;65,XLOOKUP(questions!$C$5,Lookup!$K$13:$K1000,Lookup!$L$13:$L1000,"missing",,1))</f>
        <v>393675.3633</v>
      </c>
      <c r="AD749" s="66">
        <f t="array" ref="AD749">IFS(B749&lt;66, XLOOKUP(year(A749),Lookup!$K$13:$K1000,Lookup!$M$13:$M1000,"missing",,1),B749&gt;65, XLOOKUP(questions!$C$5,Lookup!$K$13:$K1000,Lookup!$M$13:$M1000,"missing",,1))</f>
        <v>787350.7266</v>
      </c>
      <c r="AE749" s="66">
        <f t="array" ref="AE749">IFS(B749&lt;66, XLOOKUP(year(A749),Lookup!$K$13:$K1000,Lookup!$N$13:$N1000,"missing",,1),B749&gt;65,XLOOKUP(questions!$C$5,Lookup!$K$13:$K1000,Lookup!$N$13:$N1000,"missing",,1))</f>
        <v>1574701.453</v>
      </c>
      <c r="AF749" s="37"/>
      <c r="AG749" s="37"/>
      <c r="AH749" s="37"/>
      <c r="AI749" s="37"/>
      <c r="AJ749" s="37"/>
      <c r="AK749" s="37"/>
      <c r="AL749" s="37"/>
      <c r="AM749" s="37"/>
      <c r="AN749" s="37"/>
      <c r="AO749" s="37"/>
      <c r="AP749" s="37"/>
      <c r="AQ749" s="37"/>
    </row>
    <row r="750">
      <c r="A750" s="55">
        <f t="shared" si="7"/>
        <v>68849</v>
      </c>
      <c r="B750" s="56">
        <f>round(YEARFRAC(EOMONTH(questions!$C$3, 0),A750,1),2)</f>
        <v>89.58</v>
      </c>
      <c r="C750" s="58">
        <f>IF(B750&lt;questions!$C$6,if(MONTH(A750)=1,C749*(1+questions!$C$12),C749),0)</f>
        <v>0</v>
      </c>
      <c r="D750" s="58">
        <f>IF(MONTH(A750)=12,C750*questions!$C$11,0)</f>
        <v>0</v>
      </c>
      <c r="E750" s="71">
        <f t="shared" si="2"/>
        <v>0</v>
      </c>
      <c r="F750" s="71">
        <f t="shared" si="3"/>
        <v>0</v>
      </c>
      <c r="G750" s="61">
        <f t="array" ref="G750">if(YEAR(A750)=2025,XLOOKUP(B750,Lookup!$A$3:$A$7,Lookup!$D$3:$D$7,,1)*SUM(E750:F750), XLOOKUP(B750,Lookup!$A$14:$A$18,Lookup!$D$14:$D$18,,1)*SUM(E750:F750))</f>
        <v>0</v>
      </c>
      <c r="H750" s="61">
        <f t="array" ref="H750">if(YEAR(A750)=2025,XLOOKUP(B750,Lookup!$F$3:$F$10,Lookup!$G$3:$G$10,,1)*G750, XLOOKUP(B750,Lookup!$F$14:$F$21,Lookup!$G$14:$G$21,,1)*G750)</f>
        <v>0</v>
      </c>
      <c r="I750" s="61">
        <f t="array" ref="I750">if(B750&lt;55, if(YEAR(A750)=2025,XLOOKUP(B750,Lookup!$F$3:$F$10,Lookup!$H$3:$H$10,,1)*G750, XLOOKUP(B750,Lookup!$F$14:$F$21,Lookup!$H$14:$H$21,,1)*G750),0)</f>
        <v>0</v>
      </c>
      <c r="J750" s="61">
        <f t="array" ref="J750">if(YEAR(A750)=2025,XLOOKUP(B750,Lookup!$F$3:$F$10,Lookup!$I$3:$I$10,,1)*G750, XLOOKUP(B750,Lookup!$F$14:$F$21,Lookup!$I$14:$I$21,,1)*G750)</f>
        <v>0</v>
      </c>
      <c r="K750" s="61">
        <f t="array" ref="K750">if(B750&gt;54, if(YEAR(A750)=2025,XLOOKUP(B750,Lookup!$F$3:$F$10,Lookup!$H$3:$H$10,,1)*G750, XLOOKUP(B750,Lookup!$F$14:$F$21,Lookup!$H$14:$H$21,,1)*G750),0)</f>
        <v>0</v>
      </c>
      <c r="L750" s="62">
        <f>IF(and(A750&lt;questions!$C$19,questions!$C$18="yes"),questions!$C$20,0)</f>
        <v>0</v>
      </c>
      <c r="M750" s="63">
        <f>(Y749+H750)*Lookup!A$26/12</f>
        <v>3718.861056</v>
      </c>
      <c r="N750" s="63">
        <f>if(B750&lt;55, (Z749+I750)*Lookup!B$26/12, (AB749+K750)*Lookup!B$26/12)</f>
        <v>8102.2098</v>
      </c>
      <c r="O750" s="63">
        <f>(AA749+J750)*Lookup!C$26/12</f>
        <v>940.3700287</v>
      </c>
      <c r="P750" s="63">
        <f t="shared" si="8"/>
        <v>22313.16634</v>
      </c>
      <c r="Q750" s="63">
        <f t="shared" si="4"/>
        <v>48613.2588</v>
      </c>
      <c r="R750" s="63">
        <f t="shared" si="5"/>
        <v>5642.220172</v>
      </c>
      <c r="S750" s="64">
        <f t="shared" si="9"/>
        <v>33.33333333</v>
      </c>
      <c r="T750" s="64">
        <f t="shared" si="10"/>
        <v>41.66666667</v>
      </c>
      <c r="U750" s="64">
        <f t="shared" si="11"/>
        <v>0</v>
      </c>
      <c r="V750" s="64">
        <f t="shared" ref="V750:X750" si="758">IF(year($A750)=year($A749), V749+S750, S750)</f>
        <v>200</v>
      </c>
      <c r="W750" s="64">
        <f t="shared" si="758"/>
        <v>250</v>
      </c>
      <c r="X750" s="64">
        <f t="shared" si="758"/>
        <v>0</v>
      </c>
      <c r="Y750" s="65">
        <f>IFS(
  B750&lt;55,
    MAX(
      Y749 + IF(MONTH(A750)=12, P750+V750, 0) + H750 - L750
      + MAX(0,
          IF(AA749 &gt;= VLOOKUP(YEAR(A750), Lookup!$Q:$R, 2),
            Z749 + IF(MONTH(A750)=12, Q750+W750, 0) + I750
              + AA749 + IF(MONTH(A750)=12, R750+X750, 0)
              - VLOOKUP(YEAR(A750), Lookup!$Q:$R, 2) + J750,
            Z749 + IF(MONTH(A750)=12, Q750+W750, 0) + I750
          ) - VLOOKUP(YEAR(A750), Lookup!$K:$M, 3)
        ),
    0),
  B750=55,
    IF(Z749&gt;=AD750,
      MAX(Y749 + IF(MONTH(A750)=12, P750+V750, 0) + H750 - L750, 0),
      MAX(MAX(0, Y749-(AD750-Z749)) + IF(MONTH(A750)=12, P750+V750, 0) + H750 - L750, 0)
    ),
  B750&gt;55,
    IF(AB749&gt;=$AH$7,
      MAX(Y749 + IF(MONTH(A750)=12, P750+V750, 0) + H750 - L750 + K750 + Z749, 0),
      MAX(Y749 + IF(MONTH(A750)=12, P750+V750, 0) + H750 - L750, 0)
    )
)</f>
        <v>1785053.307</v>
      </c>
      <c r="Z750" s="65">
        <f>IFS(
  B750&lt;55,
    MIN(
      IF(AA749 &gt;= VLOOKUP(YEAR(A750), Lookup!$Q:$R, 2),
        Z749 + IF(MONTH(A750)=12, Q750+W750, 0) + I750
          + AA749 + IF(MONTH(A750)=12, R750+X750, 0) - VLOOKUP(YEAR(A750), Lookup!$Q:$R, 2) + J750,
        Z749 + IF(MONTH(A750)=12, Q750+W750, 0) + I750
      ),
      VLOOKUP(YEAR(A750), Lookup!$K:$M, 3)
    ),
  B750=55,
    IF(Z749 &gt;= AD750, Z749 - AD750, 0),
  B750&gt;55, 0
)</f>
        <v>0</v>
      </c>
      <c r="AA750" s="65">
        <f>IFS(
  B750&lt;65,
    IF(AA749+J750 &lt; VLOOKUP(YEAR(A750), Lookup!$Q:$R, 2),
      AA749 + IF(MONTH(A750)=12, R749+X749, 0) + J750,
      MIN(
        AA749 + IF(MONTH(A750)=12, R749+X749, 0) + J750 ,
        VLOOKUP(YEAR(A750), Lookup!$Q:$R, 2)
      )
    ),
  B750&gt;=65,
    IF(AA749+J750 &lt; VLOOKUP(questions!$C$5, Lookup!$Q:$R, 2),
      AA749 + IF(MONTH(A750)=12, R749+X749, 0) + J750 ,
      MIN(
        AA749 + IF(MONTH(A750)=12, R749+X749, 0) + J750,
        VLOOKUP(questions!$C$5, Lookup!$Q:$R, 2)
      )
    )
)</f>
        <v>282111.0086</v>
      </c>
      <c r="AB750" s="65">
        <f t="shared" si="13"/>
        <v>2430662.94</v>
      </c>
      <c r="AC750" s="66">
        <f t="array" ref="AC750">IFS(B750&lt;66, XLOOKUP(year(A750),Lookup!$K$13:$K1000,Lookup!$L$13:$L1000,"missing",,1),B750&gt;65,XLOOKUP(questions!$C$5,Lookup!$K$13:$K1000,Lookup!$L$13:$L1000,"missing",,1))</f>
        <v>393675.3633</v>
      </c>
      <c r="AD750" s="66">
        <f t="array" ref="AD750">IFS(B750&lt;66, XLOOKUP(year(A750),Lookup!$K$13:$K1000,Lookup!$M$13:$M1000,"missing",,1),B750&gt;65, XLOOKUP(questions!$C$5,Lookup!$K$13:$K1000,Lookup!$M$13:$M1000,"missing",,1))</f>
        <v>787350.7266</v>
      </c>
      <c r="AE750" s="66">
        <f t="array" ref="AE750">IFS(B750&lt;66, XLOOKUP(year(A750),Lookup!$K$13:$K1000,Lookup!$N$13:$N1000,"missing",,1),B750&gt;65,XLOOKUP(questions!$C$5,Lookup!$K$13:$K1000,Lookup!$N$13:$N1000,"missing",,1))</f>
        <v>1574701.453</v>
      </c>
      <c r="AF750" s="37"/>
      <c r="AG750" s="37"/>
      <c r="AH750" s="37"/>
      <c r="AI750" s="37"/>
      <c r="AJ750" s="37"/>
      <c r="AK750" s="37"/>
      <c r="AL750" s="37"/>
      <c r="AM750" s="37"/>
      <c r="AN750" s="37"/>
      <c r="AO750" s="37"/>
      <c r="AP750" s="37"/>
      <c r="AQ750" s="37"/>
    </row>
    <row r="751">
      <c r="A751" s="55">
        <f t="shared" si="7"/>
        <v>68880</v>
      </c>
      <c r="B751" s="56">
        <f>round(YEARFRAC(EOMONTH(questions!$C$3, 0),A751,1),2)</f>
        <v>89.67</v>
      </c>
      <c r="C751" s="58">
        <f>IF(B751&lt;questions!$C$6,if(MONTH(A751)=1,C750*(1+questions!$C$12),C750),0)</f>
        <v>0</v>
      </c>
      <c r="D751" s="58">
        <f>IF(MONTH(A751)=12,C751*questions!$C$11,0)</f>
        <v>0</v>
      </c>
      <c r="E751" s="71">
        <f t="shared" si="2"/>
        <v>0</v>
      </c>
      <c r="F751" s="71">
        <f t="shared" si="3"/>
        <v>0</v>
      </c>
      <c r="G751" s="61">
        <f t="array" ref="G751">if(YEAR(A751)=2025,XLOOKUP(B751,Lookup!$A$3:$A$7,Lookup!$D$3:$D$7,,1)*SUM(E751:F751), XLOOKUP(B751,Lookup!$A$14:$A$18,Lookup!$D$14:$D$18,,1)*SUM(E751:F751))</f>
        <v>0</v>
      </c>
      <c r="H751" s="61">
        <f t="array" ref="H751">if(YEAR(A751)=2025,XLOOKUP(B751,Lookup!$F$3:$F$10,Lookup!$G$3:$G$10,,1)*G751, XLOOKUP(B751,Lookup!$F$14:$F$21,Lookup!$G$14:$G$21,,1)*G751)</f>
        <v>0</v>
      </c>
      <c r="I751" s="61">
        <f t="array" ref="I751">if(B751&lt;55, if(YEAR(A751)=2025,XLOOKUP(B751,Lookup!$F$3:$F$10,Lookup!$H$3:$H$10,,1)*G751, XLOOKUP(B751,Lookup!$F$14:$F$21,Lookup!$H$14:$H$21,,1)*G751),0)</f>
        <v>0</v>
      </c>
      <c r="J751" s="61">
        <f t="array" ref="J751">if(YEAR(A751)=2025,XLOOKUP(B751,Lookup!$F$3:$F$10,Lookup!$I$3:$I$10,,1)*G751, XLOOKUP(B751,Lookup!$F$14:$F$21,Lookup!$I$14:$I$21,,1)*G751)</f>
        <v>0</v>
      </c>
      <c r="K751" s="61">
        <f t="array" ref="K751">if(B751&gt;54, if(YEAR(A751)=2025,XLOOKUP(B751,Lookup!$F$3:$F$10,Lookup!$H$3:$H$10,,1)*G751, XLOOKUP(B751,Lookup!$F$14:$F$21,Lookup!$H$14:$H$21,,1)*G751),0)</f>
        <v>0</v>
      </c>
      <c r="L751" s="62">
        <f>IF(and(A751&lt;questions!$C$19,questions!$C$18="yes"),questions!$C$20,0)</f>
        <v>0</v>
      </c>
      <c r="M751" s="63">
        <f>(Y750+H751)*Lookup!A$26/12</f>
        <v>3718.861056</v>
      </c>
      <c r="N751" s="63">
        <f>if(B751&lt;55, (Z750+I751)*Lookup!B$26/12, (AB750+K751)*Lookup!B$26/12)</f>
        <v>8102.2098</v>
      </c>
      <c r="O751" s="63">
        <f>(AA750+J751)*Lookup!C$26/12</f>
        <v>940.3700287</v>
      </c>
      <c r="P751" s="63">
        <f t="shared" si="8"/>
        <v>26032.02739</v>
      </c>
      <c r="Q751" s="63">
        <f t="shared" si="4"/>
        <v>56715.4686</v>
      </c>
      <c r="R751" s="63">
        <f t="shared" si="5"/>
        <v>6582.590201</v>
      </c>
      <c r="S751" s="64">
        <f t="shared" si="9"/>
        <v>33.33333333</v>
      </c>
      <c r="T751" s="64">
        <f t="shared" si="10"/>
        <v>41.66666667</v>
      </c>
      <c r="U751" s="64">
        <f t="shared" si="11"/>
        <v>0</v>
      </c>
      <c r="V751" s="64">
        <f t="shared" ref="V751:X751" si="759">IF(year($A751)=year($A750), V750+S751, S751)</f>
        <v>233.3333333</v>
      </c>
      <c r="W751" s="64">
        <f t="shared" si="759"/>
        <v>291.6666667</v>
      </c>
      <c r="X751" s="64">
        <f t="shared" si="759"/>
        <v>0</v>
      </c>
      <c r="Y751" s="65">
        <f>IFS(
  B751&lt;55,
    MAX(
      Y750 + IF(MONTH(A751)=12, P751+V751, 0) + H751 - L751
      + MAX(0,
          IF(AA750 &gt;= VLOOKUP(YEAR(A751), Lookup!$Q:$R, 2),
            Z750 + IF(MONTH(A751)=12, Q751+W751, 0) + I751
              + AA750 + IF(MONTH(A751)=12, R751+X751, 0)
              - VLOOKUP(YEAR(A751), Lookup!$Q:$R, 2) + J751,
            Z750 + IF(MONTH(A751)=12, Q751+W751, 0) + I751
          ) - VLOOKUP(YEAR(A751), Lookup!$K:$M, 3)
        ),
    0),
  B751=55,
    IF(Z750&gt;=AD751,
      MAX(Y750 + IF(MONTH(A751)=12, P751+V751, 0) + H751 - L751, 0),
      MAX(MAX(0, Y750-(AD751-Z750)) + IF(MONTH(A751)=12, P751+V751, 0) + H751 - L751, 0)
    ),
  B751&gt;55,
    IF(AB750&gt;=$AH$7,
      MAX(Y750 + IF(MONTH(A751)=12, P751+V751, 0) + H751 - L751 + K751 + Z750, 0),
      MAX(Y750 + IF(MONTH(A751)=12, P751+V751, 0) + H751 - L751, 0)
    )
)</f>
        <v>1785053.307</v>
      </c>
      <c r="Z751" s="65">
        <f>IFS(
  B751&lt;55,
    MIN(
      IF(AA750 &gt;= VLOOKUP(YEAR(A751), Lookup!$Q:$R, 2),
        Z750 + IF(MONTH(A751)=12, Q751+W751, 0) + I751
          + AA750 + IF(MONTH(A751)=12, R751+X751, 0) - VLOOKUP(YEAR(A751), Lookup!$Q:$R, 2) + J751,
        Z750 + IF(MONTH(A751)=12, Q751+W751, 0) + I751
      ),
      VLOOKUP(YEAR(A751), Lookup!$K:$M, 3)
    ),
  B751=55,
    IF(Z750 &gt;= AD751, Z750 - AD751, 0),
  B751&gt;55, 0
)</f>
        <v>0</v>
      </c>
      <c r="AA751" s="65">
        <f>IFS(
  B751&lt;65,
    IF(AA750+J751 &lt; VLOOKUP(YEAR(A751), Lookup!$Q:$R, 2),
      AA750 + IF(MONTH(A751)=12, R750+X750, 0) + J751,
      MIN(
        AA750 + IF(MONTH(A751)=12, R750+X750, 0) + J751 ,
        VLOOKUP(YEAR(A751), Lookup!$Q:$R, 2)
      )
    ),
  B751&gt;=65,
    IF(AA750+J751 &lt; VLOOKUP(questions!$C$5, Lookup!$Q:$R, 2),
      AA750 + IF(MONTH(A751)=12, R750+X750, 0) + J751 ,
      MIN(
        AA750 + IF(MONTH(A751)=12, R750+X750, 0) + J751,
        VLOOKUP(questions!$C$5, Lookup!$Q:$R, 2)
      )
    )
)</f>
        <v>282111.0086</v>
      </c>
      <c r="AB751" s="65">
        <f t="shared" si="13"/>
        <v>2430662.94</v>
      </c>
      <c r="AC751" s="66">
        <f t="array" ref="AC751">IFS(B751&lt;66, XLOOKUP(year(A751),Lookup!$K$13:$K1000,Lookup!$L$13:$L1000,"missing",,1),B751&gt;65,XLOOKUP(questions!$C$5,Lookup!$K$13:$K1000,Lookup!$L$13:$L1000,"missing",,1))</f>
        <v>393675.3633</v>
      </c>
      <c r="AD751" s="66">
        <f t="array" ref="AD751">IFS(B751&lt;66, XLOOKUP(year(A751),Lookup!$K$13:$K1000,Lookup!$M$13:$M1000,"missing",,1),B751&gt;65, XLOOKUP(questions!$C$5,Lookup!$K$13:$K1000,Lookup!$M$13:$M1000,"missing",,1))</f>
        <v>787350.7266</v>
      </c>
      <c r="AE751" s="66">
        <f t="array" ref="AE751">IFS(B751&lt;66, XLOOKUP(year(A751),Lookup!$K$13:$K1000,Lookup!$N$13:$N1000,"missing",,1),B751&gt;65,XLOOKUP(questions!$C$5,Lookup!$K$13:$K1000,Lookup!$N$13:$N1000,"missing",,1))</f>
        <v>1574701.453</v>
      </c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7"/>
      <c r="AQ751" s="37"/>
    </row>
    <row r="752">
      <c r="A752" s="55">
        <f t="shared" si="7"/>
        <v>68911</v>
      </c>
      <c r="B752" s="56">
        <f>round(YEARFRAC(EOMONTH(questions!$C$3, 0),A752,1),2)</f>
        <v>89.75</v>
      </c>
      <c r="C752" s="58">
        <f>IF(B752&lt;questions!$C$6,if(MONTH(A752)=1,C751*(1+questions!$C$12),C751),0)</f>
        <v>0</v>
      </c>
      <c r="D752" s="58">
        <f>IF(MONTH(A752)=12,C752*questions!$C$11,0)</f>
        <v>0</v>
      </c>
      <c r="E752" s="71">
        <f t="shared" si="2"/>
        <v>0</v>
      </c>
      <c r="F752" s="71">
        <f t="shared" si="3"/>
        <v>0</v>
      </c>
      <c r="G752" s="61">
        <f t="array" ref="G752">if(YEAR(A752)=2025,XLOOKUP(B752,Lookup!$A$3:$A$7,Lookup!$D$3:$D$7,,1)*SUM(E752:F752), XLOOKUP(B752,Lookup!$A$14:$A$18,Lookup!$D$14:$D$18,,1)*SUM(E752:F752))</f>
        <v>0</v>
      </c>
      <c r="H752" s="61">
        <f t="array" ref="H752">if(YEAR(A752)=2025,XLOOKUP(B752,Lookup!$F$3:$F$10,Lookup!$G$3:$G$10,,1)*G752, XLOOKUP(B752,Lookup!$F$14:$F$21,Lookup!$G$14:$G$21,,1)*G752)</f>
        <v>0</v>
      </c>
      <c r="I752" s="61">
        <f t="array" ref="I752">if(B752&lt;55, if(YEAR(A752)=2025,XLOOKUP(B752,Lookup!$F$3:$F$10,Lookup!$H$3:$H$10,,1)*G752, XLOOKUP(B752,Lookup!$F$14:$F$21,Lookup!$H$14:$H$21,,1)*G752),0)</f>
        <v>0</v>
      </c>
      <c r="J752" s="61">
        <f t="array" ref="J752">if(YEAR(A752)=2025,XLOOKUP(B752,Lookup!$F$3:$F$10,Lookup!$I$3:$I$10,,1)*G752, XLOOKUP(B752,Lookup!$F$14:$F$21,Lookup!$I$14:$I$21,,1)*G752)</f>
        <v>0</v>
      </c>
      <c r="K752" s="61">
        <f t="array" ref="K752">if(B752&gt;54, if(YEAR(A752)=2025,XLOOKUP(B752,Lookup!$F$3:$F$10,Lookup!$H$3:$H$10,,1)*G752, XLOOKUP(B752,Lookup!$F$14:$F$21,Lookup!$H$14:$H$21,,1)*G752),0)</f>
        <v>0</v>
      </c>
      <c r="L752" s="62">
        <f>IF(and(A752&lt;questions!$C$19,questions!$C$18="yes"),questions!$C$20,0)</f>
        <v>0</v>
      </c>
      <c r="M752" s="63">
        <f>(Y751+H752)*Lookup!A$26/12</f>
        <v>3718.861056</v>
      </c>
      <c r="N752" s="63">
        <f>if(B752&lt;55, (Z751+I752)*Lookup!B$26/12, (AB751+K752)*Lookup!B$26/12)</f>
        <v>8102.2098</v>
      </c>
      <c r="O752" s="63">
        <f>(AA751+J752)*Lookup!C$26/12</f>
        <v>940.3700287</v>
      </c>
      <c r="P752" s="63">
        <f t="shared" si="8"/>
        <v>29750.88845</v>
      </c>
      <c r="Q752" s="63">
        <f t="shared" si="4"/>
        <v>64817.6784</v>
      </c>
      <c r="R752" s="63">
        <f t="shared" si="5"/>
        <v>7522.960229</v>
      </c>
      <c r="S752" s="64">
        <f t="shared" si="9"/>
        <v>33.33333333</v>
      </c>
      <c r="T752" s="64">
        <f t="shared" si="10"/>
        <v>41.66666667</v>
      </c>
      <c r="U752" s="64">
        <f t="shared" si="11"/>
        <v>0</v>
      </c>
      <c r="V752" s="64">
        <f t="shared" ref="V752:X752" si="760">IF(year($A752)=year($A751), V751+S752, S752)</f>
        <v>266.6666667</v>
      </c>
      <c r="W752" s="64">
        <f t="shared" si="760"/>
        <v>333.3333333</v>
      </c>
      <c r="X752" s="64">
        <f t="shared" si="760"/>
        <v>0</v>
      </c>
      <c r="Y752" s="65">
        <f>IFS(
  B752&lt;55,
    MAX(
      Y751 + IF(MONTH(A752)=12, P752+V752, 0) + H752 - L752
      + MAX(0,
          IF(AA751 &gt;= VLOOKUP(YEAR(A752), Lookup!$Q:$R, 2),
            Z751 + IF(MONTH(A752)=12, Q752+W752, 0) + I752
              + AA751 + IF(MONTH(A752)=12, R752+X752, 0)
              - VLOOKUP(YEAR(A752), Lookup!$Q:$R, 2) + J752,
            Z751 + IF(MONTH(A752)=12, Q752+W752, 0) + I752
          ) - VLOOKUP(YEAR(A752), Lookup!$K:$M, 3)
        ),
    0),
  B752=55,
    IF(Z751&gt;=AD752,
      MAX(Y751 + IF(MONTH(A752)=12, P752+V752, 0) + H752 - L752, 0),
      MAX(MAX(0, Y751-(AD752-Z751)) + IF(MONTH(A752)=12, P752+V752, 0) + H752 - L752, 0)
    ),
  B752&gt;55,
    IF(AB751&gt;=$AH$7,
      MAX(Y751 + IF(MONTH(A752)=12, P752+V752, 0) + H752 - L752 + K752 + Z751, 0),
      MAX(Y751 + IF(MONTH(A752)=12, P752+V752, 0) + H752 - L752, 0)
    )
)</f>
        <v>1785053.307</v>
      </c>
      <c r="Z752" s="65">
        <f>IFS(
  B752&lt;55,
    MIN(
      IF(AA751 &gt;= VLOOKUP(YEAR(A752), Lookup!$Q:$R, 2),
        Z751 + IF(MONTH(A752)=12, Q752+W752, 0) + I752
          + AA751 + IF(MONTH(A752)=12, R752+X752, 0) - VLOOKUP(YEAR(A752), Lookup!$Q:$R, 2) + J752,
        Z751 + IF(MONTH(A752)=12, Q752+W752, 0) + I752
      ),
      VLOOKUP(YEAR(A752), Lookup!$K:$M, 3)
    ),
  B752=55,
    IF(Z751 &gt;= AD752, Z751 - AD752, 0),
  B752&gt;55, 0
)</f>
        <v>0</v>
      </c>
      <c r="AA752" s="65">
        <f>IFS(
  B752&lt;65,
    IF(AA751+J752 &lt; VLOOKUP(YEAR(A752), Lookup!$Q:$R, 2),
      AA751 + IF(MONTH(A752)=12, R751+X751, 0) + J752,
      MIN(
        AA751 + IF(MONTH(A752)=12, R751+X751, 0) + J752 ,
        VLOOKUP(YEAR(A752), Lookup!$Q:$R, 2)
      )
    ),
  B752&gt;=65,
    IF(AA751+J752 &lt; VLOOKUP(questions!$C$5, Lookup!$Q:$R, 2),
      AA751 + IF(MONTH(A752)=12, R751+X751, 0) + J752 ,
      MIN(
        AA751 + IF(MONTH(A752)=12, R751+X751, 0) + J752,
        VLOOKUP(questions!$C$5, Lookup!$Q:$R, 2)
      )
    )
)</f>
        <v>282111.0086</v>
      </c>
      <c r="AB752" s="65">
        <f t="shared" si="13"/>
        <v>2430662.94</v>
      </c>
      <c r="AC752" s="66">
        <f t="array" ref="AC752">IFS(B752&lt;66, XLOOKUP(year(A752),Lookup!$K$13:$K1000,Lookup!$L$13:$L1000,"missing",,1),B752&gt;65,XLOOKUP(questions!$C$5,Lookup!$K$13:$K1000,Lookup!$L$13:$L1000,"missing",,1))</f>
        <v>393675.3633</v>
      </c>
      <c r="AD752" s="66">
        <f t="array" ref="AD752">IFS(B752&lt;66, XLOOKUP(year(A752),Lookup!$K$13:$K1000,Lookup!$M$13:$M1000,"missing",,1),B752&gt;65, XLOOKUP(questions!$C$5,Lookup!$K$13:$K1000,Lookup!$M$13:$M1000,"missing",,1))</f>
        <v>787350.7266</v>
      </c>
      <c r="AE752" s="66">
        <f t="array" ref="AE752">IFS(B752&lt;66, XLOOKUP(year(A752),Lookup!$K$13:$K1000,Lookup!$N$13:$N1000,"missing",,1),B752&gt;65,XLOOKUP(questions!$C$5,Lookup!$K$13:$K1000,Lookup!$N$13:$N1000,"missing",,1))</f>
        <v>1574701.453</v>
      </c>
      <c r="AF752" s="37"/>
      <c r="AG752" s="37"/>
      <c r="AH752" s="37"/>
      <c r="AI752" s="37"/>
      <c r="AJ752" s="37"/>
      <c r="AK752" s="37"/>
      <c r="AL752" s="37"/>
      <c r="AM752" s="37"/>
      <c r="AN752" s="37"/>
      <c r="AO752" s="37"/>
      <c r="AP752" s="37"/>
      <c r="AQ752" s="37"/>
    </row>
    <row r="753">
      <c r="A753" s="55">
        <f t="shared" si="7"/>
        <v>68941</v>
      </c>
      <c r="B753" s="56">
        <f>round(YEARFRAC(EOMONTH(questions!$C$3, 0),A753,1),2)</f>
        <v>89.83</v>
      </c>
      <c r="C753" s="58">
        <f>IF(B753&lt;questions!$C$6,if(MONTH(A753)=1,C752*(1+questions!$C$12),C752),0)</f>
        <v>0</v>
      </c>
      <c r="D753" s="58">
        <f>IF(MONTH(A753)=12,C753*questions!$C$11,0)</f>
        <v>0</v>
      </c>
      <c r="E753" s="71">
        <f t="shared" si="2"/>
        <v>0</v>
      </c>
      <c r="F753" s="71">
        <f t="shared" si="3"/>
        <v>0</v>
      </c>
      <c r="G753" s="61">
        <f t="array" ref="G753">if(YEAR(A753)=2025,XLOOKUP(B753,Lookup!$A$3:$A$7,Lookup!$D$3:$D$7,,1)*SUM(E753:F753), XLOOKUP(B753,Lookup!$A$14:$A$18,Lookup!$D$14:$D$18,,1)*SUM(E753:F753))</f>
        <v>0</v>
      </c>
      <c r="H753" s="61">
        <f t="array" ref="H753">if(YEAR(A753)=2025,XLOOKUP(B753,Lookup!$F$3:$F$10,Lookup!$G$3:$G$10,,1)*G753, XLOOKUP(B753,Lookup!$F$14:$F$21,Lookup!$G$14:$G$21,,1)*G753)</f>
        <v>0</v>
      </c>
      <c r="I753" s="61">
        <f t="array" ref="I753">if(B753&lt;55, if(YEAR(A753)=2025,XLOOKUP(B753,Lookup!$F$3:$F$10,Lookup!$H$3:$H$10,,1)*G753, XLOOKUP(B753,Lookup!$F$14:$F$21,Lookup!$H$14:$H$21,,1)*G753),0)</f>
        <v>0</v>
      </c>
      <c r="J753" s="61">
        <f t="array" ref="J753">if(YEAR(A753)=2025,XLOOKUP(B753,Lookup!$F$3:$F$10,Lookup!$I$3:$I$10,,1)*G753, XLOOKUP(B753,Lookup!$F$14:$F$21,Lookup!$I$14:$I$21,,1)*G753)</f>
        <v>0</v>
      </c>
      <c r="K753" s="61">
        <f t="array" ref="K753">if(B753&gt;54, if(YEAR(A753)=2025,XLOOKUP(B753,Lookup!$F$3:$F$10,Lookup!$H$3:$H$10,,1)*G753, XLOOKUP(B753,Lookup!$F$14:$F$21,Lookup!$H$14:$H$21,,1)*G753),0)</f>
        <v>0</v>
      </c>
      <c r="L753" s="62">
        <f>IF(and(A753&lt;questions!$C$19,questions!$C$18="yes"),questions!$C$20,0)</f>
        <v>0</v>
      </c>
      <c r="M753" s="63">
        <f>(Y752+H753)*Lookup!A$26/12</f>
        <v>3718.861056</v>
      </c>
      <c r="N753" s="63">
        <f>if(B753&lt;55, (Z752+I753)*Lookup!B$26/12, (AB752+K753)*Lookup!B$26/12)</f>
        <v>8102.2098</v>
      </c>
      <c r="O753" s="63">
        <f>(AA752+J753)*Lookup!C$26/12</f>
        <v>940.3700287</v>
      </c>
      <c r="P753" s="63">
        <f t="shared" si="8"/>
        <v>33469.7495</v>
      </c>
      <c r="Q753" s="63">
        <f t="shared" si="4"/>
        <v>72919.8882</v>
      </c>
      <c r="R753" s="63">
        <f t="shared" si="5"/>
        <v>8463.330258</v>
      </c>
      <c r="S753" s="64">
        <f t="shared" si="9"/>
        <v>33.33333333</v>
      </c>
      <c r="T753" s="64">
        <f t="shared" si="10"/>
        <v>41.66666667</v>
      </c>
      <c r="U753" s="64">
        <f t="shared" si="11"/>
        <v>0</v>
      </c>
      <c r="V753" s="64">
        <f t="shared" ref="V753:X753" si="761">IF(year($A753)=year($A752), V752+S753, S753)</f>
        <v>300</v>
      </c>
      <c r="W753" s="64">
        <f t="shared" si="761"/>
        <v>375</v>
      </c>
      <c r="X753" s="64">
        <f t="shared" si="761"/>
        <v>0</v>
      </c>
      <c r="Y753" s="65">
        <f>IFS(
  B753&lt;55,
    MAX(
      Y752 + IF(MONTH(A753)=12, P753+V753, 0) + H753 - L753
      + MAX(0,
          IF(AA752 &gt;= VLOOKUP(YEAR(A753), Lookup!$Q:$R, 2),
            Z752 + IF(MONTH(A753)=12, Q753+W753, 0) + I753
              + AA752 + IF(MONTH(A753)=12, R753+X753, 0)
              - VLOOKUP(YEAR(A753), Lookup!$Q:$R, 2) + J753,
            Z752 + IF(MONTH(A753)=12, Q753+W753, 0) + I753
          ) - VLOOKUP(YEAR(A753), Lookup!$K:$M, 3)
        ),
    0),
  B753=55,
    IF(Z752&gt;=AD753,
      MAX(Y752 + IF(MONTH(A753)=12, P753+V753, 0) + H753 - L753, 0),
      MAX(MAX(0, Y752-(AD753-Z752)) + IF(MONTH(A753)=12, P753+V753, 0) + H753 - L753, 0)
    ),
  B753&gt;55,
    IF(AB752&gt;=$AH$7,
      MAX(Y752 + IF(MONTH(A753)=12, P753+V753, 0) + H753 - L753 + K753 + Z752, 0),
      MAX(Y752 + IF(MONTH(A753)=12, P753+V753, 0) + H753 - L753, 0)
    )
)</f>
        <v>1785053.307</v>
      </c>
      <c r="Z753" s="65">
        <f>IFS(
  B753&lt;55,
    MIN(
      IF(AA752 &gt;= VLOOKUP(YEAR(A753), Lookup!$Q:$R, 2),
        Z752 + IF(MONTH(A753)=12, Q753+W753, 0) + I753
          + AA752 + IF(MONTH(A753)=12, R753+X753, 0) - VLOOKUP(YEAR(A753), Lookup!$Q:$R, 2) + J753,
        Z752 + IF(MONTH(A753)=12, Q753+W753, 0) + I753
      ),
      VLOOKUP(YEAR(A753), Lookup!$K:$M, 3)
    ),
  B753=55,
    IF(Z752 &gt;= AD753, Z752 - AD753, 0),
  B753&gt;55, 0
)</f>
        <v>0</v>
      </c>
      <c r="AA753" s="65">
        <f>IFS(
  B753&lt;65,
    IF(AA752+J753 &lt; VLOOKUP(YEAR(A753), Lookup!$Q:$R, 2),
      AA752 + IF(MONTH(A753)=12, R752+X752, 0) + J753,
      MIN(
        AA752 + IF(MONTH(A753)=12, R752+X752, 0) + J753 ,
        VLOOKUP(YEAR(A753), Lookup!$Q:$R, 2)
      )
    ),
  B753&gt;=65,
    IF(AA752+J753 &lt; VLOOKUP(questions!$C$5, Lookup!$Q:$R, 2),
      AA752 + IF(MONTH(A753)=12, R752+X752, 0) + J753 ,
      MIN(
        AA752 + IF(MONTH(A753)=12, R752+X752, 0) + J753,
        VLOOKUP(questions!$C$5, Lookup!$Q:$R, 2)
      )
    )
)</f>
        <v>282111.0086</v>
      </c>
      <c r="AB753" s="65">
        <f t="shared" si="13"/>
        <v>2430662.94</v>
      </c>
      <c r="AC753" s="66">
        <f t="array" ref="AC753">IFS(B753&lt;66, XLOOKUP(year(A753),Lookup!$K$13:$K1000,Lookup!$L$13:$L1000,"missing",,1),B753&gt;65,XLOOKUP(questions!$C$5,Lookup!$K$13:$K1000,Lookup!$L$13:$L1000,"missing",,1))</f>
        <v>393675.3633</v>
      </c>
      <c r="AD753" s="66">
        <f t="array" ref="AD753">IFS(B753&lt;66, XLOOKUP(year(A753),Lookup!$K$13:$K1000,Lookup!$M$13:$M1000,"missing",,1),B753&gt;65, XLOOKUP(questions!$C$5,Lookup!$K$13:$K1000,Lookup!$M$13:$M1000,"missing",,1))</f>
        <v>787350.7266</v>
      </c>
      <c r="AE753" s="66">
        <f t="array" ref="AE753">IFS(B753&lt;66, XLOOKUP(year(A753),Lookup!$K$13:$K1000,Lookup!$N$13:$N1000,"missing",,1),B753&gt;65,XLOOKUP(questions!$C$5,Lookup!$K$13:$K1000,Lookup!$N$13:$N1000,"missing",,1))</f>
        <v>1574701.453</v>
      </c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7"/>
      <c r="AQ753" s="37"/>
    </row>
    <row r="754">
      <c r="A754" s="55">
        <f t="shared" si="7"/>
        <v>68972</v>
      </c>
      <c r="B754" s="56">
        <f>round(YEARFRAC(EOMONTH(questions!$C$3, 0),A754,1),2)</f>
        <v>89.92</v>
      </c>
      <c r="C754" s="58">
        <f>IF(B754&lt;questions!$C$6,if(MONTH(A754)=1,C753*(1+questions!$C$12),C753),0)</f>
        <v>0</v>
      </c>
      <c r="D754" s="58">
        <f>IF(MONTH(A754)=12,C754*questions!$C$11,0)</f>
        <v>0</v>
      </c>
      <c r="E754" s="71">
        <f t="shared" si="2"/>
        <v>0</v>
      </c>
      <c r="F754" s="71">
        <f t="shared" si="3"/>
        <v>0</v>
      </c>
      <c r="G754" s="61">
        <f t="array" ref="G754">if(YEAR(A754)=2025,XLOOKUP(B754,Lookup!$A$3:$A$7,Lookup!$D$3:$D$7,,1)*SUM(E754:F754), XLOOKUP(B754,Lookup!$A$14:$A$18,Lookup!$D$14:$D$18,,1)*SUM(E754:F754))</f>
        <v>0</v>
      </c>
      <c r="H754" s="61">
        <f t="array" ref="H754">if(YEAR(A754)=2025,XLOOKUP(B754,Lookup!$F$3:$F$10,Lookup!$G$3:$G$10,,1)*G754, XLOOKUP(B754,Lookup!$F$14:$F$21,Lookup!$G$14:$G$21,,1)*G754)</f>
        <v>0</v>
      </c>
      <c r="I754" s="61">
        <f t="array" ref="I754">if(B754&lt;55, if(YEAR(A754)=2025,XLOOKUP(B754,Lookup!$F$3:$F$10,Lookup!$H$3:$H$10,,1)*G754, XLOOKUP(B754,Lookup!$F$14:$F$21,Lookup!$H$14:$H$21,,1)*G754),0)</f>
        <v>0</v>
      </c>
      <c r="J754" s="61">
        <f t="array" ref="J754">if(YEAR(A754)=2025,XLOOKUP(B754,Lookup!$F$3:$F$10,Lookup!$I$3:$I$10,,1)*G754, XLOOKUP(B754,Lookup!$F$14:$F$21,Lookup!$I$14:$I$21,,1)*G754)</f>
        <v>0</v>
      </c>
      <c r="K754" s="61">
        <f t="array" ref="K754">if(B754&gt;54, if(YEAR(A754)=2025,XLOOKUP(B754,Lookup!$F$3:$F$10,Lookup!$H$3:$H$10,,1)*G754, XLOOKUP(B754,Lookup!$F$14:$F$21,Lookup!$H$14:$H$21,,1)*G754),0)</f>
        <v>0</v>
      </c>
      <c r="L754" s="62">
        <f>IF(and(A754&lt;questions!$C$19,questions!$C$18="yes"),questions!$C$20,0)</f>
        <v>0</v>
      </c>
      <c r="M754" s="63">
        <f>(Y753+H754)*Lookup!A$26/12</f>
        <v>3718.861056</v>
      </c>
      <c r="N754" s="63">
        <f>if(B754&lt;55, (Z753+I754)*Lookup!B$26/12, (AB753+K754)*Lookup!B$26/12)</f>
        <v>8102.2098</v>
      </c>
      <c r="O754" s="63">
        <f>(AA753+J754)*Lookup!C$26/12</f>
        <v>940.3700287</v>
      </c>
      <c r="P754" s="63">
        <f t="shared" si="8"/>
        <v>37188.61056</v>
      </c>
      <c r="Q754" s="63">
        <f t="shared" si="4"/>
        <v>81022.098</v>
      </c>
      <c r="R754" s="63">
        <f t="shared" si="5"/>
        <v>9403.700287</v>
      </c>
      <c r="S754" s="64">
        <f t="shared" si="9"/>
        <v>33.33333333</v>
      </c>
      <c r="T754" s="64">
        <f t="shared" si="10"/>
        <v>41.66666667</v>
      </c>
      <c r="U754" s="64">
        <f t="shared" si="11"/>
        <v>0</v>
      </c>
      <c r="V754" s="64">
        <f t="shared" ref="V754:X754" si="762">IF(year($A754)=year($A753), V753+S754, S754)</f>
        <v>333.3333333</v>
      </c>
      <c r="W754" s="64">
        <f t="shared" si="762"/>
        <v>416.6666667</v>
      </c>
      <c r="X754" s="64">
        <f t="shared" si="762"/>
        <v>0</v>
      </c>
      <c r="Y754" s="65">
        <f>IFS(
  B754&lt;55,
    MAX(
      Y753 + IF(MONTH(A754)=12, P754+V754, 0) + H754 - L754
      + MAX(0,
          IF(AA753 &gt;= VLOOKUP(YEAR(A754), Lookup!$Q:$R, 2),
            Z753 + IF(MONTH(A754)=12, Q754+W754, 0) + I754
              + AA753 + IF(MONTH(A754)=12, R754+X754, 0)
              - VLOOKUP(YEAR(A754), Lookup!$Q:$R, 2) + J754,
            Z753 + IF(MONTH(A754)=12, Q754+W754, 0) + I754
          ) - VLOOKUP(YEAR(A754), Lookup!$K:$M, 3)
        ),
    0),
  B754=55,
    IF(Z753&gt;=AD754,
      MAX(Y753 + IF(MONTH(A754)=12, P754+V754, 0) + H754 - L754, 0),
      MAX(MAX(0, Y753-(AD754-Z753)) + IF(MONTH(A754)=12, P754+V754, 0) + H754 - L754, 0)
    ),
  B754&gt;55,
    IF(AB753&gt;=$AH$7,
      MAX(Y753 + IF(MONTH(A754)=12, P754+V754, 0) + H754 - L754 + K754 + Z753, 0),
      MAX(Y753 + IF(MONTH(A754)=12, P754+V754, 0) + H754 - L754, 0)
    )
)</f>
        <v>1785053.307</v>
      </c>
      <c r="Z754" s="65">
        <f>IFS(
  B754&lt;55,
    MIN(
      IF(AA753 &gt;= VLOOKUP(YEAR(A754), Lookup!$Q:$R, 2),
        Z753 + IF(MONTH(A754)=12, Q754+W754, 0) + I754
          + AA753 + IF(MONTH(A754)=12, R754+X754, 0) - VLOOKUP(YEAR(A754), Lookup!$Q:$R, 2) + J754,
        Z753 + IF(MONTH(A754)=12, Q754+W754, 0) + I754
      ),
      VLOOKUP(YEAR(A754), Lookup!$K:$M, 3)
    ),
  B754=55,
    IF(Z753 &gt;= AD754, Z753 - AD754, 0),
  B754&gt;55, 0
)</f>
        <v>0</v>
      </c>
      <c r="AA754" s="65">
        <f>IFS(
  B754&lt;65,
    IF(AA753+J754 &lt; VLOOKUP(YEAR(A754), Lookup!$Q:$R, 2),
      AA753 + IF(MONTH(A754)=12, R753+X753, 0) + J754,
      MIN(
        AA753 + IF(MONTH(A754)=12, R753+X753, 0) + J754 ,
        VLOOKUP(YEAR(A754), Lookup!$Q:$R, 2)
      )
    ),
  B754&gt;=65,
    IF(AA753+J754 &lt; VLOOKUP(questions!$C$5, Lookup!$Q:$R, 2),
      AA753 + IF(MONTH(A754)=12, R753+X753, 0) + J754 ,
      MIN(
        AA753 + IF(MONTH(A754)=12, R753+X753, 0) + J754,
        VLOOKUP(questions!$C$5, Lookup!$Q:$R, 2)
      )
    )
)</f>
        <v>282111.0086</v>
      </c>
      <c r="AB754" s="65">
        <f t="shared" si="13"/>
        <v>2430662.94</v>
      </c>
      <c r="AC754" s="66">
        <f t="array" ref="AC754">IFS(B754&lt;66, XLOOKUP(year(A754),Lookup!$K$13:$K1000,Lookup!$L$13:$L1000,"missing",,1),B754&gt;65,XLOOKUP(questions!$C$5,Lookup!$K$13:$K1000,Lookup!$L$13:$L1000,"missing",,1))</f>
        <v>393675.3633</v>
      </c>
      <c r="AD754" s="66">
        <f t="array" ref="AD754">IFS(B754&lt;66, XLOOKUP(year(A754),Lookup!$K$13:$K1000,Lookup!$M$13:$M1000,"missing",,1),B754&gt;65, XLOOKUP(questions!$C$5,Lookup!$K$13:$K1000,Lookup!$M$13:$M1000,"missing",,1))</f>
        <v>787350.7266</v>
      </c>
      <c r="AE754" s="66">
        <f t="array" ref="AE754">IFS(B754&lt;66, XLOOKUP(year(A754),Lookup!$K$13:$K1000,Lookup!$N$13:$N1000,"missing",,1),B754&gt;65,XLOOKUP(questions!$C$5,Lookup!$K$13:$K1000,Lookup!$N$13:$N1000,"missing",,1))</f>
        <v>1574701.453</v>
      </c>
      <c r="AF754" s="37"/>
      <c r="AG754" s="37"/>
      <c r="AH754" s="37"/>
      <c r="AI754" s="37"/>
      <c r="AJ754" s="37"/>
      <c r="AK754" s="37"/>
      <c r="AL754" s="37"/>
      <c r="AM754" s="37"/>
      <c r="AN754" s="37"/>
      <c r="AO754" s="37"/>
      <c r="AP754" s="37"/>
      <c r="AQ754" s="37"/>
    </row>
    <row r="755">
      <c r="A755" s="55">
        <f t="shared" si="7"/>
        <v>69002</v>
      </c>
      <c r="B755" s="56">
        <f>round(YEARFRAC(EOMONTH(questions!$C$3, 0),A755,1),2)</f>
        <v>90</v>
      </c>
      <c r="C755" s="58">
        <f>IF(B755&lt;questions!$C$6,if(MONTH(A755)=1,C754*(1+questions!$C$12),C754),0)</f>
        <v>0</v>
      </c>
      <c r="D755" s="58">
        <f>IF(MONTH(A755)=12,C755*questions!$C$11,0)</f>
        <v>0</v>
      </c>
      <c r="E755" s="71">
        <f t="shared" si="2"/>
        <v>0</v>
      </c>
      <c r="F755" s="71">
        <f t="shared" si="3"/>
        <v>0</v>
      </c>
      <c r="G755" s="61">
        <f t="array" ref="G755">if(YEAR(A755)=2025,XLOOKUP(B755,Lookup!$A$3:$A$7,Lookup!$D$3:$D$7,,1)*SUM(E755:F755), XLOOKUP(B755,Lookup!$A$14:$A$18,Lookup!$D$14:$D$18,,1)*SUM(E755:F755))</f>
        <v>0</v>
      </c>
      <c r="H755" s="61">
        <f t="array" ref="H755">if(YEAR(A755)=2025,XLOOKUP(B755,Lookup!$F$3:$F$10,Lookup!$G$3:$G$10,,1)*G755, XLOOKUP(B755,Lookup!$F$14:$F$21,Lookup!$G$14:$G$21,,1)*G755)</f>
        <v>0</v>
      </c>
      <c r="I755" s="61">
        <f t="array" ref="I755">if(B755&lt;55, if(YEAR(A755)=2025,XLOOKUP(B755,Lookup!$F$3:$F$10,Lookup!$H$3:$H$10,,1)*G755, XLOOKUP(B755,Lookup!$F$14:$F$21,Lookup!$H$14:$H$21,,1)*G755),0)</f>
        <v>0</v>
      </c>
      <c r="J755" s="61">
        <f t="array" ref="J755">if(YEAR(A755)=2025,XLOOKUP(B755,Lookup!$F$3:$F$10,Lookup!$I$3:$I$10,,1)*G755, XLOOKUP(B755,Lookup!$F$14:$F$21,Lookup!$I$14:$I$21,,1)*G755)</f>
        <v>0</v>
      </c>
      <c r="K755" s="61">
        <f t="array" ref="K755">if(B755&gt;54, if(YEAR(A755)=2025,XLOOKUP(B755,Lookup!$F$3:$F$10,Lookup!$H$3:$H$10,,1)*G755, XLOOKUP(B755,Lookup!$F$14:$F$21,Lookup!$H$14:$H$21,,1)*G755),0)</f>
        <v>0</v>
      </c>
      <c r="L755" s="62">
        <f>IF(and(A755&lt;questions!$C$19,questions!$C$18="yes"),questions!$C$20,0)</f>
        <v>0</v>
      </c>
      <c r="M755" s="63">
        <f>(Y754+H755)*Lookup!A$26/12</f>
        <v>3718.861056</v>
      </c>
      <c r="N755" s="63">
        <f>if(B755&lt;55, (Z754+I755)*Lookup!B$26/12, (AB754+K755)*Lookup!B$26/12)</f>
        <v>8102.2098</v>
      </c>
      <c r="O755" s="63">
        <f>(AA754+J755)*Lookup!C$26/12</f>
        <v>940.3700287</v>
      </c>
      <c r="P755" s="63">
        <f t="shared" si="8"/>
        <v>40907.47162</v>
      </c>
      <c r="Q755" s="63">
        <f t="shared" si="4"/>
        <v>89124.3078</v>
      </c>
      <c r="R755" s="63">
        <f t="shared" si="5"/>
        <v>10344.07032</v>
      </c>
      <c r="S755" s="64">
        <f t="shared" si="9"/>
        <v>33.33333333</v>
      </c>
      <c r="T755" s="64">
        <f t="shared" si="10"/>
        <v>41.66666667</v>
      </c>
      <c r="U755" s="64">
        <f t="shared" si="11"/>
        <v>0</v>
      </c>
      <c r="V755" s="64">
        <f t="shared" ref="V755:X755" si="763">IF(year($A755)=year($A754), V754+S755, S755)</f>
        <v>366.6666667</v>
      </c>
      <c r="W755" s="64">
        <f t="shared" si="763"/>
        <v>458.3333333</v>
      </c>
      <c r="X755" s="64">
        <f t="shared" si="763"/>
        <v>0</v>
      </c>
      <c r="Y755" s="65">
        <f>IFS(
  B755&lt;55,
    MAX(
      Y754 + IF(MONTH(A755)=12, P755+V755, 0) + H755 - L755
      + MAX(0,
          IF(AA754 &gt;= VLOOKUP(YEAR(A755), Lookup!$Q:$R, 2),
            Z754 + IF(MONTH(A755)=12, Q755+W755, 0) + I755
              + AA754 + IF(MONTH(A755)=12, R755+X755, 0)
              - VLOOKUP(YEAR(A755), Lookup!$Q:$R, 2) + J755,
            Z754 + IF(MONTH(A755)=12, Q755+W755, 0) + I755
          ) - VLOOKUP(YEAR(A755), Lookup!$K:$M, 3)
        ),
    0),
  B755=55,
    IF(Z754&gt;=AD755,
      MAX(Y754 + IF(MONTH(A755)=12, P755+V755, 0) + H755 - L755, 0),
      MAX(MAX(0, Y754-(AD755-Z754)) + IF(MONTH(A755)=12, P755+V755, 0) + H755 - L755, 0)
    ),
  B755&gt;55,
    IF(AB754&gt;=$AH$7,
      MAX(Y754 + IF(MONTH(A755)=12, P755+V755, 0) + H755 - L755 + K755 + Z754, 0),
      MAX(Y754 + IF(MONTH(A755)=12, P755+V755, 0) + H755 - L755, 0)
    )
)</f>
        <v>1785053.307</v>
      </c>
      <c r="Z755" s="65">
        <f>IFS(
  B755&lt;55,
    MIN(
      IF(AA754 &gt;= VLOOKUP(YEAR(A755), Lookup!$Q:$R, 2),
        Z754 + IF(MONTH(A755)=12, Q755+W755, 0) + I755
          + AA754 + IF(MONTH(A755)=12, R755+X755, 0) - VLOOKUP(YEAR(A755), Lookup!$Q:$R, 2) + J755,
        Z754 + IF(MONTH(A755)=12, Q755+W755, 0) + I755
      ),
      VLOOKUP(YEAR(A755), Lookup!$K:$M, 3)
    ),
  B755=55,
    IF(Z754 &gt;= AD755, Z754 - AD755, 0),
  B755&gt;55, 0
)</f>
        <v>0</v>
      </c>
      <c r="AA755" s="65">
        <f>IFS(
  B755&lt;65,
    IF(AA754+J755 &lt; VLOOKUP(YEAR(A755), Lookup!$Q:$R, 2),
      AA754 + IF(MONTH(A755)=12, R754+X754, 0) + J755,
      MIN(
        AA754 + IF(MONTH(A755)=12, R754+X754, 0) + J755 ,
        VLOOKUP(YEAR(A755), Lookup!$Q:$R, 2)
      )
    ),
  B755&gt;=65,
    IF(AA754+J755 &lt; VLOOKUP(questions!$C$5, Lookup!$Q:$R, 2),
      AA754 + IF(MONTH(A755)=12, R754+X754, 0) + J755 ,
      MIN(
        AA754 + IF(MONTH(A755)=12, R754+X754, 0) + J755,
        VLOOKUP(questions!$C$5, Lookup!$Q:$R, 2)
      )
    )
)</f>
        <v>282111.0086</v>
      </c>
      <c r="AB755" s="65">
        <f t="shared" si="13"/>
        <v>2430662.94</v>
      </c>
      <c r="AC755" s="66">
        <f t="array" ref="AC755">IFS(B755&lt;66, XLOOKUP(year(A755),Lookup!$K$13:$K1000,Lookup!$L$13:$L1000,"missing",,1),B755&gt;65,XLOOKUP(questions!$C$5,Lookup!$K$13:$K1000,Lookup!$L$13:$L1000,"missing",,1))</f>
        <v>393675.3633</v>
      </c>
      <c r="AD755" s="66">
        <f t="array" ref="AD755">IFS(B755&lt;66, XLOOKUP(year(A755),Lookup!$K$13:$K1000,Lookup!$M$13:$M1000,"missing",,1),B755&gt;65, XLOOKUP(questions!$C$5,Lookup!$K$13:$K1000,Lookup!$M$13:$M1000,"missing",,1))</f>
        <v>787350.7266</v>
      </c>
      <c r="AE755" s="66">
        <f t="array" ref="AE755">IFS(B755&lt;66, XLOOKUP(year(A755),Lookup!$K$13:$K1000,Lookup!$N$13:$N1000,"missing",,1),B755&gt;65,XLOOKUP(questions!$C$5,Lookup!$K$13:$K1000,Lookup!$N$13:$N1000,"missing",,1))</f>
        <v>1574701.453</v>
      </c>
      <c r="AF755" s="37"/>
      <c r="AG755" s="37"/>
      <c r="AH755" s="37"/>
      <c r="AI755" s="37"/>
      <c r="AJ755" s="37"/>
      <c r="AK755" s="37"/>
      <c r="AL755" s="37"/>
      <c r="AM755" s="37"/>
      <c r="AN755" s="37"/>
      <c r="AO755" s="37"/>
      <c r="AP755" s="37"/>
      <c r="AQ755" s="37"/>
    </row>
    <row r="756">
      <c r="A756" s="55">
        <f t="shared" si="7"/>
        <v>69033</v>
      </c>
      <c r="B756" s="56">
        <f>round(YEARFRAC(EOMONTH(questions!$C$3, 0),A756,1),2)</f>
        <v>90.08</v>
      </c>
      <c r="C756" s="58">
        <f>IF(B756&lt;questions!$C$6,if(MONTH(A756)=1,C755*(1+questions!$C$12),C755),0)</f>
        <v>0</v>
      </c>
      <c r="D756" s="58">
        <f>IF(MONTH(A756)=12,C756*questions!$C$11,0)</f>
        <v>0</v>
      </c>
      <c r="E756" s="71">
        <f t="shared" si="2"/>
        <v>0</v>
      </c>
      <c r="F756" s="71">
        <f t="shared" si="3"/>
        <v>0</v>
      </c>
      <c r="G756" s="61">
        <f t="array" ref="G756">if(YEAR(A756)=2025,XLOOKUP(B756,Lookup!$A$3:$A$7,Lookup!$D$3:$D$7,,1)*SUM(E756:F756), XLOOKUP(B756,Lookup!$A$14:$A$18,Lookup!$D$14:$D$18,,1)*SUM(E756:F756))</f>
        <v>0</v>
      </c>
      <c r="H756" s="61">
        <f t="array" ref="H756">if(YEAR(A756)=2025,XLOOKUP(B756,Lookup!$F$3:$F$10,Lookup!$G$3:$G$10,,1)*G756, XLOOKUP(B756,Lookup!$F$14:$F$21,Lookup!$G$14:$G$21,,1)*G756)</f>
        <v>0</v>
      </c>
      <c r="I756" s="61">
        <f t="array" ref="I756">if(B756&lt;55, if(YEAR(A756)=2025,XLOOKUP(B756,Lookup!$F$3:$F$10,Lookup!$H$3:$H$10,,1)*G756, XLOOKUP(B756,Lookup!$F$14:$F$21,Lookup!$H$14:$H$21,,1)*G756),0)</f>
        <v>0</v>
      </c>
      <c r="J756" s="61">
        <f t="array" ref="J756">if(YEAR(A756)=2025,XLOOKUP(B756,Lookup!$F$3:$F$10,Lookup!$I$3:$I$10,,1)*G756, XLOOKUP(B756,Lookup!$F$14:$F$21,Lookup!$I$14:$I$21,,1)*G756)</f>
        <v>0</v>
      </c>
      <c r="K756" s="61">
        <f t="array" ref="K756">if(B756&gt;54, if(YEAR(A756)=2025,XLOOKUP(B756,Lookup!$F$3:$F$10,Lookup!$H$3:$H$10,,1)*G756, XLOOKUP(B756,Lookup!$F$14:$F$21,Lookup!$H$14:$H$21,,1)*G756),0)</f>
        <v>0</v>
      </c>
      <c r="L756" s="62">
        <f>IF(and(A756&lt;questions!$C$19,questions!$C$18="yes"),questions!$C$20,0)</f>
        <v>0</v>
      </c>
      <c r="M756" s="63">
        <f>(Y755+H756)*Lookup!A$26/12</f>
        <v>3718.861056</v>
      </c>
      <c r="N756" s="63">
        <f>if(B756&lt;55, (Z755+I756)*Lookup!B$26/12, (AB755+K756)*Lookup!B$26/12)</f>
        <v>8102.2098</v>
      </c>
      <c r="O756" s="63">
        <f>(AA755+J756)*Lookup!C$26/12</f>
        <v>940.3700287</v>
      </c>
      <c r="P756" s="63">
        <f t="shared" si="8"/>
        <v>44626.33267</v>
      </c>
      <c r="Q756" s="63">
        <f t="shared" si="4"/>
        <v>97226.5176</v>
      </c>
      <c r="R756" s="63">
        <f t="shared" si="5"/>
        <v>11284.44034</v>
      </c>
      <c r="S756" s="64">
        <f t="shared" si="9"/>
        <v>33.33333333</v>
      </c>
      <c r="T756" s="64">
        <f t="shared" si="10"/>
        <v>41.66666667</v>
      </c>
      <c r="U756" s="64">
        <f t="shared" si="11"/>
        <v>0</v>
      </c>
      <c r="V756" s="64">
        <f t="shared" ref="V756:X756" si="764">IF(year($A756)=year($A755), V755+S756, S756)</f>
        <v>400</v>
      </c>
      <c r="W756" s="64">
        <f t="shared" si="764"/>
        <v>500</v>
      </c>
      <c r="X756" s="64">
        <f t="shared" si="764"/>
        <v>0</v>
      </c>
      <c r="Y756" s="65">
        <f>IFS(
  B756&lt;55,
    MAX(
      Y755 + IF(MONTH(A756)=12, P756+V756, 0) + H756 - L756
      + MAX(0,
          IF(AA755 &gt;= VLOOKUP(YEAR(A756), Lookup!$Q:$R, 2),
            Z755 + IF(MONTH(A756)=12, Q756+W756, 0) + I756
              + AA755 + IF(MONTH(A756)=12, R756+X756, 0)
              - VLOOKUP(YEAR(A756), Lookup!$Q:$R, 2) + J756,
            Z755 + IF(MONTH(A756)=12, Q756+W756, 0) + I756
          ) - VLOOKUP(YEAR(A756), Lookup!$K:$M, 3)
        ),
    0),
  B756=55,
    IF(Z755&gt;=AD756,
      MAX(Y755 + IF(MONTH(A756)=12, P756+V756, 0) + H756 - L756, 0),
      MAX(MAX(0, Y755-(AD756-Z755)) + IF(MONTH(A756)=12, P756+V756, 0) + H756 - L756, 0)
    ),
  B756&gt;55,
    IF(AB755&gt;=$AH$7,
      MAX(Y755 + IF(MONTH(A756)=12, P756+V756, 0) + H756 - L756 + K756 + Z755, 0),
      MAX(Y755 + IF(MONTH(A756)=12, P756+V756, 0) + H756 - L756, 0)
    )
)</f>
        <v>1830079.64</v>
      </c>
      <c r="Z756" s="65">
        <f>IFS(
  B756&lt;55,
    MIN(
      IF(AA755 &gt;= VLOOKUP(YEAR(A756), Lookup!$Q:$R, 2),
        Z755 + IF(MONTH(A756)=12, Q756+W756, 0) + I756
          + AA755 + IF(MONTH(A756)=12, R756+X756, 0) - VLOOKUP(YEAR(A756), Lookup!$Q:$R, 2) + J756,
        Z755 + IF(MONTH(A756)=12, Q756+W756, 0) + I756
      ),
      VLOOKUP(YEAR(A756), Lookup!$K:$M, 3)
    ),
  B756=55,
    IF(Z755 &gt;= AD756, Z755 - AD756, 0),
  B756&gt;55, 0
)</f>
        <v>0</v>
      </c>
      <c r="AA756" s="65">
        <f>IFS(
  B756&lt;65,
    IF(AA755+J756 &lt; VLOOKUP(YEAR(A756), Lookup!$Q:$R, 2),
      AA755 + IF(MONTH(A756)=12, R755+X755, 0) + J756,
      MIN(
        AA755 + IF(MONTH(A756)=12, R755+X755, 0) + J756 ,
        VLOOKUP(YEAR(A756), Lookup!$Q:$R, 2)
      )
    ),
  B756&gt;=65,
    IF(AA755+J756 &lt; VLOOKUP(questions!$C$5, Lookup!$Q:$R, 2),
      AA755 + IF(MONTH(A756)=12, R755+X755, 0) + J756 ,
      MIN(
        AA755 + IF(MONTH(A756)=12, R755+X755, 0) + J756,
        VLOOKUP(questions!$C$5, Lookup!$Q:$R, 2)
      )
    )
)</f>
        <v>282111.0086</v>
      </c>
      <c r="AB756" s="65">
        <f t="shared" si="13"/>
        <v>2528389.458</v>
      </c>
      <c r="AC756" s="66">
        <f t="array" ref="AC756">IFS(B756&lt;66, XLOOKUP(year(A756),Lookup!$K$13:$K1000,Lookup!$L$13:$L1000,"missing",,1),B756&gt;65,XLOOKUP(questions!$C$5,Lookup!$K$13:$K1000,Lookup!$L$13:$L1000,"missing",,1))</f>
        <v>393675.3633</v>
      </c>
      <c r="AD756" s="66">
        <f t="array" ref="AD756">IFS(B756&lt;66, XLOOKUP(year(A756),Lookup!$K$13:$K1000,Lookup!$M$13:$M1000,"missing",,1),B756&gt;65, XLOOKUP(questions!$C$5,Lookup!$K$13:$K1000,Lookup!$M$13:$M1000,"missing",,1))</f>
        <v>787350.7266</v>
      </c>
      <c r="AE756" s="66">
        <f t="array" ref="AE756">IFS(B756&lt;66, XLOOKUP(year(A756),Lookup!$K$13:$K1000,Lookup!$N$13:$N1000,"missing",,1),B756&gt;65,XLOOKUP(questions!$C$5,Lookup!$K$13:$K1000,Lookup!$N$13:$N1000,"missing",,1))</f>
        <v>1574701.453</v>
      </c>
      <c r="AF756" s="37"/>
      <c r="AG756" s="37"/>
      <c r="AH756" s="37"/>
      <c r="AI756" s="37"/>
      <c r="AJ756" s="37"/>
      <c r="AK756" s="37"/>
      <c r="AL756" s="37"/>
      <c r="AM756" s="37"/>
      <c r="AN756" s="37"/>
      <c r="AO756" s="37"/>
      <c r="AP756" s="37"/>
      <c r="AQ756" s="37"/>
    </row>
    <row r="757">
      <c r="A757" s="55">
        <f t="shared" si="7"/>
        <v>69064</v>
      </c>
      <c r="B757" s="56">
        <f>round(YEARFRAC(EOMONTH(questions!$C$3, 0),A757,1),2)</f>
        <v>90.17</v>
      </c>
      <c r="C757" s="58">
        <f>IF(B757&lt;questions!$C$6,if(MONTH(A757)=1,C756*(1+questions!$C$12),C756),0)</f>
        <v>0</v>
      </c>
      <c r="D757" s="58">
        <f>IF(MONTH(A757)=12,C757*questions!$C$11,0)</f>
        <v>0</v>
      </c>
      <c r="E757" s="71">
        <f t="shared" si="2"/>
        <v>0</v>
      </c>
      <c r="F757" s="71">
        <f t="shared" si="3"/>
        <v>0</v>
      </c>
      <c r="G757" s="61">
        <f t="array" ref="G757">if(YEAR(A757)=2025,XLOOKUP(B757,Lookup!$A$3:$A$7,Lookup!$D$3:$D$7,,1)*SUM(E757:F757), XLOOKUP(B757,Lookup!$A$14:$A$18,Lookup!$D$14:$D$18,,1)*SUM(E757:F757))</f>
        <v>0</v>
      </c>
      <c r="H757" s="61">
        <f t="array" ref="H757">if(YEAR(A757)=2025,XLOOKUP(B757,Lookup!$F$3:$F$10,Lookup!$G$3:$G$10,,1)*G757, XLOOKUP(B757,Lookup!$F$14:$F$21,Lookup!$G$14:$G$21,,1)*G757)</f>
        <v>0</v>
      </c>
      <c r="I757" s="61">
        <f t="array" ref="I757">if(B757&lt;55, if(YEAR(A757)=2025,XLOOKUP(B757,Lookup!$F$3:$F$10,Lookup!$H$3:$H$10,,1)*G757, XLOOKUP(B757,Lookup!$F$14:$F$21,Lookup!$H$14:$H$21,,1)*G757),0)</f>
        <v>0</v>
      </c>
      <c r="J757" s="61">
        <f t="array" ref="J757">if(YEAR(A757)=2025,XLOOKUP(B757,Lookup!$F$3:$F$10,Lookup!$I$3:$I$10,,1)*G757, XLOOKUP(B757,Lookup!$F$14:$F$21,Lookup!$I$14:$I$21,,1)*G757)</f>
        <v>0</v>
      </c>
      <c r="K757" s="61">
        <f t="array" ref="K757">if(B757&gt;54, if(YEAR(A757)=2025,XLOOKUP(B757,Lookup!$F$3:$F$10,Lookup!$H$3:$H$10,,1)*G757, XLOOKUP(B757,Lookup!$F$14:$F$21,Lookup!$H$14:$H$21,,1)*G757),0)</f>
        <v>0</v>
      </c>
      <c r="L757" s="62">
        <f>IF(and(A757&lt;questions!$C$19,questions!$C$18="yes"),questions!$C$20,0)</f>
        <v>0</v>
      </c>
      <c r="M757" s="63">
        <f>(Y756+H757)*Lookup!A$26/12</f>
        <v>3812.665916</v>
      </c>
      <c r="N757" s="63">
        <f>if(B757&lt;55, (Z756+I757)*Lookup!B$26/12, (AB756+K757)*Lookup!B$26/12)</f>
        <v>8427.964858</v>
      </c>
      <c r="O757" s="63">
        <f>(AA756+J757)*Lookup!C$26/12</f>
        <v>940.3700287</v>
      </c>
      <c r="P757" s="63">
        <f t="shared" si="8"/>
        <v>3812.665916</v>
      </c>
      <c r="Q757" s="63">
        <f t="shared" si="4"/>
        <v>8427.964858</v>
      </c>
      <c r="R757" s="63">
        <f t="shared" si="5"/>
        <v>940.3700287</v>
      </c>
      <c r="S757" s="64">
        <f t="shared" si="9"/>
        <v>33.33333333</v>
      </c>
      <c r="T757" s="64">
        <f t="shared" si="10"/>
        <v>41.66666667</v>
      </c>
      <c r="U757" s="64">
        <f t="shared" si="11"/>
        <v>0</v>
      </c>
      <c r="V757" s="64">
        <f t="shared" ref="V757:X757" si="765">IF(year($A757)=year($A756), V756+S757, S757)</f>
        <v>33.33333333</v>
      </c>
      <c r="W757" s="64">
        <f t="shared" si="765"/>
        <v>41.66666667</v>
      </c>
      <c r="X757" s="64">
        <f t="shared" si="765"/>
        <v>0</v>
      </c>
      <c r="Y757" s="65">
        <f>IFS(
  B757&lt;55,
    MAX(
      Y756 + IF(MONTH(A757)=12, P757+V757, 0) + H757 - L757
      + MAX(0,
          IF(AA756 &gt;= VLOOKUP(YEAR(A757), Lookup!$Q:$R, 2),
            Z756 + IF(MONTH(A757)=12, Q757+W757, 0) + I757
              + AA756 + IF(MONTH(A757)=12, R757+X757, 0)
              - VLOOKUP(YEAR(A757), Lookup!$Q:$R, 2) + J757,
            Z756 + IF(MONTH(A757)=12, Q757+W757, 0) + I757
          ) - VLOOKUP(YEAR(A757), Lookup!$K:$M, 3)
        ),
    0),
  B757=55,
    IF(Z756&gt;=AD757,
      MAX(Y756 + IF(MONTH(A757)=12, P757+V757, 0) + H757 - L757, 0),
      MAX(MAX(0, Y756-(AD757-Z756)) + IF(MONTH(A757)=12, P757+V757, 0) + H757 - L757, 0)
    ),
  B757&gt;55,
    IF(AB756&gt;=$AH$7,
      MAX(Y756 + IF(MONTH(A757)=12, P757+V757, 0) + H757 - L757 + K757 + Z756, 0),
      MAX(Y756 + IF(MONTH(A757)=12, P757+V757, 0) + H757 - L757, 0)
    )
)</f>
        <v>1830079.64</v>
      </c>
      <c r="Z757" s="65">
        <f>IFS(
  B757&lt;55,
    MIN(
      IF(AA756 &gt;= VLOOKUP(YEAR(A757), Lookup!$Q:$R, 2),
        Z756 + IF(MONTH(A757)=12, Q757+W757, 0) + I757
          + AA756 + IF(MONTH(A757)=12, R757+X757, 0) - VLOOKUP(YEAR(A757), Lookup!$Q:$R, 2) + J757,
        Z756 + IF(MONTH(A757)=12, Q757+W757, 0) + I757
      ),
      VLOOKUP(YEAR(A757), Lookup!$K:$M, 3)
    ),
  B757=55,
    IF(Z756 &gt;= AD757, Z756 - AD757, 0),
  B757&gt;55, 0
)</f>
        <v>0</v>
      </c>
      <c r="AA757" s="65">
        <f>IFS(
  B757&lt;65,
    IF(AA756+J757 &lt; VLOOKUP(YEAR(A757), Lookup!$Q:$R, 2),
      AA756 + IF(MONTH(A757)=12, R756+X756, 0) + J757,
      MIN(
        AA756 + IF(MONTH(A757)=12, R756+X756, 0) + J757 ,
        VLOOKUP(YEAR(A757), Lookup!$Q:$R, 2)
      )
    ),
  B757&gt;=65,
    IF(AA756+J757 &lt; VLOOKUP(questions!$C$5, Lookup!$Q:$R, 2),
      AA756 + IF(MONTH(A757)=12, R756+X756, 0) + J757 ,
      MIN(
        AA756 + IF(MONTH(A757)=12, R756+X756, 0) + J757,
        VLOOKUP(questions!$C$5, Lookup!$Q:$R, 2)
      )
    )
)</f>
        <v>282111.0086</v>
      </c>
      <c r="AB757" s="65">
        <f t="shared" si="13"/>
        <v>2528389.458</v>
      </c>
      <c r="AC757" s="66">
        <f t="array" ref="AC757">IFS(B757&lt;66, XLOOKUP(year(A757),Lookup!$K$13:$K1000,Lookup!$L$13:$L1000,"missing",,1),B757&gt;65,XLOOKUP(questions!$C$5,Lookup!$K$13:$K1000,Lookup!$L$13:$L1000,"missing",,1))</f>
        <v>393675.3633</v>
      </c>
      <c r="AD757" s="66">
        <f t="array" ref="AD757">IFS(B757&lt;66, XLOOKUP(year(A757),Lookup!$K$13:$K1000,Lookup!$M$13:$M1000,"missing",,1),B757&gt;65, XLOOKUP(questions!$C$5,Lookup!$K$13:$K1000,Lookup!$M$13:$M1000,"missing",,1))</f>
        <v>787350.7266</v>
      </c>
      <c r="AE757" s="66">
        <f t="array" ref="AE757">IFS(B757&lt;66, XLOOKUP(year(A757),Lookup!$K$13:$K1000,Lookup!$N$13:$N1000,"missing",,1),B757&gt;65,XLOOKUP(questions!$C$5,Lookup!$K$13:$K1000,Lookup!$N$13:$N1000,"missing",,1))</f>
        <v>1574701.453</v>
      </c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7"/>
      <c r="AQ757" s="37"/>
    </row>
    <row r="758">
      <c r="A758" s="55">
        <f t="shared" si="7"/>
        <v>69092</v>
      </c>
      <c r="B758" s="56">
        <f>round(YEARFRAC(EOMONTH(questions!$C$3, 0),A758,1),2)</f>
        <v>90.25</v>
      </c>
      <c r="C758" s="58">
        <f>IF(B758&lt;questions!$C$6,if(MONTH(A758)=1,C757*(1+questions!$C$12),C757),0)</f>
        <v>0</v>
      </c>
      <c r="D758" s="58">
        <f>IF(MONTH(A758)=12,C758*questions!$C$11,0)</f>
        <v>0</v>
      </c>
      <c r="E758" s="71">
        <f t="shared" si="2"/>
        <v>0</v>
      </c>
      <c r="F758" s="71">
        <f t="shared" si="3"/>
        <v>0</v>
      </c>
      <c r="G758" s="61">
        <f t="array" ref="G758">if(YEAR(A758)=2025,XLOOKUP(B758,Lookup!$A$3:$A$7,Lookup!$D$3:$D$7,,1)*SUM(E758:F758), XLOOKUP(B758,Lookup!$A$14:$A$18,Lookup!$D$14:$D$18,,1)*SUM(E758:F758))</f>
        <v>0</v>
      </c>
      <c r="H758" s="61">
        <f t="array" ref="H758">if(YEAR(A758)=2025,XLOOKUP(B758,Lookup!$F$3:$F$10,Lookup!$G$3:$G$10,,1)*G758, XLOOKUP(B758,Lookup!$F$14:$F$21,Lookup!$G$14:$G$21,,1)*G758)</f>
        <v>0</v>
      </c>
      <c r="I758" s="61">
        <f t="array" ref="I758">if(B758&lt;55, if(YEAR(A758)=2025,XLOOKUP(B758,Lookup!$F$3:$F$10,Lookup!$H$3:$H$10,,1)*G758, XLOOKUP(B758,Lookup!$F$14:$F$21,Lookup!$H$14:$H$21,,1)*G758),0)</f>
        <v>0</v>
      </c>
      <c r="J758" s="61">
        <f t="array" ref="J758">if(YEAR(A758)=2025,XLOOKUP(B758,Lookup!$F$3:$F$10,Lookup!$I$3:$I$10,,1)*G758, XLOOKUP(B758,Lookup!$F$14:$F$21,Lookup!$I$14:$I$21,,1)*G758)</f>
        <v>0</v>
      </c>
      <c r="K758" s="61">
        <f t="array" ref="K758">if(B758&gt;54, if(YEAR(A758)=2025,XLOOKUP(B758,Lookup!$F$3:$F$10,Lookup!$H$3:$H$10,,1)*G758, XLOOKUP(B758,Lookup!$F$14:$F$21,Lookup!$H$14:$H$21,,1)*G758),0)</f>
        <v>0</v>
      </c>
      <c r="L758" s="62">
        <f>IF(and(A758&lt;questions!$C$19,questions!$C$18="yes"),questions!$C$20,0)</f>
        <v>0</v>
      </c>
      <c r="M758" s="63">
        <f>(Y757+H758)*Lookup!A$26/12</f>
        <v>3812.665916</v>
      </c>
      <c r="N758" s="63">
        <f>if(B758&lt;55, (Z757+I758)*Lookup!B$26/12, (AB757+K758)*Lookup!B$26/12)</f>
        <v>8427.964858</v>
      </c>
      <c r="O758" s="63">
        <f>(AA757+J758)*Lookup!C$26/12</f>
        <v>940.3700287</v>
      </c>
      <c r="P758" s="63">
        <f t="shared" si="8"/>
        <v>7625.331832</v>
      </c>
      <c r="Q758" s="63">
        <f t="shared" si="4"/>
        <v>16855.92972</v>
      </c>
      <c r="R758" s="63">
        <f t="shared" si="5"/>
        <v>1880.740057</v>
      </c>
      <c r="S758" s="64">
        <f t="shared" si="9"/>
        <v>33.33333333</v>
      </c>
      <c r="T758" s="64">
        <f t="shared" si="10"/>
        <v>41.66666667</v>
      </c>
      <c r="U758" s="64">
        <f t="shared" si="11"/>
        <v>0</v>
      </c>
      <c r="V758" s="64">
        <f t="shared" ref="V758:X758" si="766">IF(year($A758)=year($A757), V757+S758, S758)</f>
        <v>66.66666667</v>
      </c>
      <c r="W758" s="64">
        <f t="shared" si="766"/>
        <v>83.33333333</v>
      </c>
      <c r="X758" s="64">
        <f t="shared" si="766"/>
        <v>0</v>
      </c>
      <c r="Y758" s="65">
        <f>IFS(
  B758&lt;55,
    MAX(
      Y757 + IF(MONTH(A758)=12, P758+V758, 0) + H758 - L758
      + MAX(0,
          IF(AA757 &gt;= VLOOKUP(YEAR(A758), Lookup!$Q:$R, 2),
            Z757 + IF(MONTH(A758)=12, Q758+W758, 0) + I758
              + AA757 + IF(MONTH(A758)=12, R758+X758, 0)
              - VLOOKUP(YEAR(A758), Lookup!$Q:$R, 2) + J758,
            Z757 + IF(MONTH(A758)=12, Q758+W758, 0) + I758
          ) - VLOOKUP(YEAR(A758), Lookup!$K:$M, 3)
        ),
    0),
  B758=55,
    IF(Z757&gt;=AD758,
      MAX(Y757 + IF(MONTH(A758)=12, P758+V758, 0) + H758 - L758, 0),
      MAX(MAX(0, Y757-(AD758-Z757)) + IF(MONTH(A758)=12, P758+V758, 0) + H758 - L758, 0)
    ),
  B758&gt;55,
    IF(AB757&gt;=$AH$7,
      MAX(Y757 + IF(MONTH(A758)=12, P758+V758, 0) + H758 - L758 + K758 + Z757, 0),
      MAX(Y757 + IF(MONTH(A758)=12, P758+V758, 0) + H758 - L758, 0)
    )
)</f>
        <v>1830079.64</v>
      </c>
      <c r="Z758" s="65">
        <f>IFS(
  B758&lt;55,
    MIN(
      IF(AA757 &gt;= VLOOKUP(YEAR(A758), Lookup!$Q:$R, 2),
        Z757 + IF(MONTH(A758)=12, Q758+W758, 0) + I758
          + AA757 + IF(MONTH(A758)=12, R758+X758, 0) - VLOOKUP(YEAR(A758), Lookup!$Q:$R, 2) + J758,
        Z757 + IF(MONTH(A758)=12, Q758+W758, 0) + I758
      ),
      VLOOKUP(YEAR(A758), Lookup!$K:$M, 3)
    ),
  B758=55,
    IF(Z757 &gt;= AD758, Z757 - AD758, 0),
  B758&gt;55, 0
)</f>
        <v>0</v>
      </c>
      <c r="AA758" s="65">
        <f>IFS(
  B758&lt;65,
    IF(AA757+J758 &lt; VLOOKUP(YEAR(A758), Lookup!$Q:$R, 2),
      AA757 + IF(MONTH(A758)=12, R757+X757, 0) + J758,
      MIN(
        AA757 + IF(MONTH(A758)=12, R757+X757, 0) + J758 ,
        VLOOKUP(YEAR(A758), Lookup!$Q:$R, 2)
      )
    ),
  B758&gt;=65,
    IF(AA757+J758 &lt; VLOOKUP(questions!$C$5, Lookup!$Q:$R, 2),
      AA757 + IF(MONTH(A758)=12, R757+X757, 0) + J758 ,
      MIN(
        AA757 + IF(MONTH(A758)=12, R757+X757, 0) + J758,
        VLOOKUP(questions!$C$5, Lookup!$Q:$R, 2)
      )
    )
)</f>
        <v>282111.0086</v>
      </c>
      <c r="AB758" s="65">
        <f t="shared" si="13"/>
        <v>2528389.458</v>
      </c>
      <c r="AC758" s="66">
        <f t="array" ref="AC758">IFS(B758&lt;66, XLOOKUP(year(A758),Lookup!$K$13:$K1000,Lookup!$L$13:$L1000,"missing",,1),B758&gt;65,XLOOKUP(questions!$C$5,Lookup!$K$13:$K1000,Lookup!$L$13:$L1000,"missing",,1))</f>
        <v>393675.3633</v>
      </c>
      <c r="AD758" s="66">
        <f t="array" ref="AD758">IFS(B758&lt;66, XLOOKUP(year(A758),Lookup!$K$13:$K1000,Lookup!$M$13:$M1000,"missing",,1),B758&gt;65, XLOOKUP(questions!$C$5,Lookup!$K$13:$K1000,Lookup!$M$13:$M1000,"missing",,1))</f>
        <v>787350.7266</v>
      </c>
      <c r="AE758" s="66">
        <f t="array" ref="AE758">IFS(B758&lt;66, XLOOKUP(year(A758),Lookup!$K$13:$K1000,Lookup!$N$13:$N1000,"missing",,1),B758&gt;65,XLOOKUP(questions!$C$5,Lookup!$K$13:$K1000,Lookup!$N$13:$N1000,"missing",,1))</f>
        <v>1574701.453</v>
      </c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7"/>
      <c r="AQ758" s="37"/>
    </row>
    <row r="759">
      <c r="A759" s="55">
        <f t="shared" si="7"/>
        <v>69123</v>
      </c>
      <c r="B759" s="56">
        <f>round(YEARFRAC(EOMONTH(questions!$C$3, 0),A759,1),2)</f>
        <v>90.33</v>
      </c>
      <c r="C759" s="58">
        <f>IF(B759&lt;questions!$C$6,if(MONTH(A759)=1,C758*(1+questions!$C$12),C758),0)</f>
        <v>0</v>
      </c>
      <c r="D759" s="58">
        <f>IF(MONTH(A759)=12,C759*questions!$C$11,0)</f>
        <v>0</v>
      </c>
      <c r="E759" s="71">
        <f t="shared" si="2"/>
        <v>0</v>
      </c>
      <c r="F759" s="71">
        <f t="shared" si="3"/>
        <v>0</v>
      </c>
      <c r="G759" s="61">
        <f t="array" ref="G759">if(YEAR(A759)=2025,XLOOKUP(B759,Lookup!$A$3:$A$7,Lookup!$D$3:$D$7,,1)*SUM(E759:F759), XLOOKUP(B759,Lookup!$A$14:$A$18,Lookup!$D$14:$D$18,,1)*SUM(E759:F759))</f>
        <v>0</v>
      </c>
      <c r="H759" s="61">
        <f t="array" ref="H759">if(YEAR(A759)=2025,XLOOKUP(B759,Lookup!$F$3:$F$10,Lookup!$G$3:$G$10,,1)*G759, XLOOKUP(B759,Lookup!$F$14:$F$21,Lookup!$G$14:$G$21,,1)*G759)</f>
        <v>0</v>
      </c>
      <c r="I759" s="61">
        <f t="array" ref="I759">if(B759&lt;55, if(YEAR(A759)=2025,XLOOKUP(B759,Lookup!$F$3:$F$10,Lookup!$H$3:$H$10,,1)*G759, XLOOKUP(B759,Lookup!$F$14:$F$21,Lookup!$H$14:$H$21,,1)*G759),0)</f>
        <v>0</v>
      </c>
      <c r="J759" s="61">
        <f t="array" ref="J759">if(YEAR(A759)=2025,XLOOKUP(B759,Lookup!$F$3:$F$10,Lookup!$I$3:$I$10,,1)*G759, XLOOKUP(B759,Lookup!$F$14:$F$21,Lookup!$I$14:$I$21,,1)*G759)</f>
        <v>0</v>
      </c>
      <c r="K759" s="61">
        <f t="array" ref="K759">if(B759&gt;54, if(YEAR(A759)=2025,XLOOKUP(B759,Lookup!$F$3:$F$10,Lookup!$H$3:$H$10,,1)*G759, XLOOKUP(B759,Lookup!$F$14:$F$21,Lookup!$H$14:$H$21,,1)*G759),0)</f>
        <v>0</v>
      </c>
      <c r="L759" s="62">
        <f>IF(and(A759&lt;questions!$C$19,questions!$C$18="yes"),questions!$C$20,0)</f>
        <v>0</v>
      </c>
      <c r="M759" s="63">
        <f>(Y758+H759)*Lookup!A$26/12</f>
        <v>3812.665916</v>
      </c>
      <c r="N759" s="63">
        <f>if(B759&lt;55, (Z758+I759)*Lookup!B$26/12, (AB758+K759)*Lookup!B$26/12)</f>
        <v>8427.964858</v>
      </c>
      <c r="O759" s="63">
        <f>(AA758+J759)*Lookup!C$26/12</f>
        <v>940.3700287</v>
      </c>
      <c r="P759" s="63">
        <f t="shared" si="8"/>
        <v>11437.99775</v>
      </c>
      <c r="Q759" s="63">
        <f t="shared" si="4"/>
        <v>25283.89458</v>
      </c>
      <c r="R759" s="63">
        <f t="shared" si="5"/>
        <v>2821.110086</v>
      </c>
      <c r="S759" s="64">
        <f t="shared" si="9"/>
        <v>33.33333333</v>
      </c>
      <c r="T759" s="64">
        <f t="shared" si="10"/>
        <v>41.66666667</v>
      </c>
      <c r="U759" s="64">
        <f t="shared" si="11"/>
        <v>0</v>
      </c>
      <c r="V759" s="64">
        <f t="shared" ref="V759:X759" si="767">IF(year($A759)=year($A758), V758+S759, S759)</f>
        <v>100</v>
      </c>
      <c r="W759" s="64">
        <f t="shared" si="767"/>
        <v>125</v>
      </c>
      <c r="X759" s="64">
        <f t="shared" si="767"/>
        <v>0</v>
      </c>
      <c r="Y759" s="65">
        <f>IFS(
  B759&lt;55,
    MAX(
      Y758 + IF(MONTH(A759)=12, P759+V759, 0) + H759 - L759
      + MAX(0,
          IF(AA758 &gt;= VLOOKUP(YEAR(A759), Lookup!$Q:$R, 2),
            Z758 + IF(MONTH(A759)=12, Q759+W759, 0) + I759
              + AA758 + IF(MONTH(A759)=12, R759+X759, 0)
              - VLOOKUP(YEAR(A759), Lookup!$Q:$R, 2) + J759,
            Z758 + IF(MONTH(A759)=12, Q759+W759, 0) + I759
          ) - VLOOKUP(YEAR(A759), Lookup!$K:$M, 3)
        ),
    0),
  B759=55,
    IF(Z758&gt;=AD759,
      MAX(Y758 + IF(MONTH(A759)=12, P759+V759, 0) + H759 - L759, 0),
      MAX(MAX(0, Y758-(AD759-Z758)) + IF(MONTH(A759)=12, P759+V759, 0) + H759 - L759, 0)
    ),
  B759&gt;55,
    IF(AB758&gt;=$AH$7,
      MAX(Y758 + IF(MONTH(A759)=12, P759+V759, 0) + H759 - L759 + K759 + Z758, 0),
      MAX(Y758 + IF(MONTH(A759)=12, P759+V759, 0) + H759 - L759, 0)
    )
)</f>
        <v>1830079.64</v>
      </c>
      <c r="Z759" s="65">
        <f>IFS(
  B759&lt;55,
    MIN(
      IF(AA758 &gt;= VLOOKUP(YEAR(A759), Lookup!$Q:$R, 2),
        Z758 + IF(MONTH(A759)=12, Q759+W759, 0) + I759
          + AA758 + IF(MONTH(A759)=12, R759+X759, 0) - VLOOKUP(YEAR(A759), Lookup!$Q:$R, 2) + J759,
        Z758 + IF(MONTH(A759)=12, Q759+W759, 0) + I759
      ),
      VLOOKUP(YEAR(A759), Lookup!$K:$M, 3)
    ),
  B759=55,
    IF(Z758 &gt;= AD759, Z758 - AD759, 0),
  B759&gt;55, 0
)</f>
        <v>0</v>
      </c>
      <c r="AA759" s="65">
        <f>IFS(
  B759&lt;65,
    IF(AA758+J759 &lt; VLOOKUP(YEAR(A759), Lookup!$Q:$R, 2),
      AA758 + IF(MONTH(A759)=12, R758+X758, 0) + J759,
      MIN(
        AA758 + IF(MONTH(A759)=12, R758+X758, 0) + J759 ,
        VLOOKUP(YEAR(A759), Lookup!$Q:$R, 2)
      )
    ),
  B759&gt;=65,
    IF(AA758+J759 &lt; VLOOKUP(questions!$C$5, Lookup!$Q:$R, 2),
      AA758 + IF(MONTH(A759)=12, R758+X758, 0) + J759 ,
      MIN(
        AA758 + IF(MONTH(A759)=12, R758+X758, 0) + J759,
        VLOOKUP(questions!$C$5, Lookup!$Q:$R, 2)
      )
    )
)</f>
        <v>282111.0086</v>
      </c>
      <c r="AB759" s="65">
        <f t="shared" si="13"/>
        <v>2528389.458</v>
      </c>
      <c r="AC759" s="66">
        <f t="array" ref="AC759">IFS(B759&lt;66, XLOOKUP(year(A759),Lookup!$K$13:$K1000,Lookup!$L$13:$L1000,"missing",,1),B759&gt;65,XLOOKUP(questions!$C$5,Lookup!$K$13:$K1000,Lookup!$L$13:$L1000,"missing",,1))</f>
        <v>393675.3633</v>
      </c>
      <c r="AD759" s="66">
        <f t="array" ref="AD759">IFS(B759&lt;66, XLOOKUP(year(A759),Lookup!$K$13:$K1000,Lookup!$M$13:$M1000,"missing",,1),B759&gt;65, XLOOKUP(questions!$C$5,Lookup!$K$13:$K1000,Lookup!$M$13:$M1000,"missing",,1))</f>
        <v>787350.7266</v>
      </c>
      <c r="AE759" s="66">
        <f t="array" ref="AE759">IFS(B759&lt;66, XLOOKUP(year(A759),Lookup!$K$13:$K1000,Lookup!$N$13:$N1000,"missing",,1),B759&gt;65,XLOOKUP(questions!$C$5,Lookup!$K$13:$K1000,Lookup!$N$13:$N1000,"missing",,1))</f>
        <v>1574701.453</v>
      </c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  <c r="AQ759" s="37"/>
    </row>
    <row r="760">
      <c r="A760" s="55">
        <f t="shared" si="7"/>
        <v>69153</v>
      </c>
      <c r="B760" s="56">
        <f>round(YEARFRAC(EOMONTH(questions!$C$3, 0),A760,1),2)</f>
        <v>90.41</v>
      </c>
      <c r="C760" s="58">
        <f>IF(B760&lt;questions!$C$6,if(MONTH(A760)=1,C759*(1+questions!$C$12),C759),0)</f>
        <v>0</v>
      </c>
      <c r="D760" s="58">
        <f>IF(MONTH(A760)=12,C760*questions!$C$11,0)</f>
        <v>0</v>
      </c>
      <c r="E760" s="71">
        <f t="shared" si="2"/>
        <v>0</v>
      </c>
      <c r="F760" s="71">
        <f t="shared" si="3"/>
        <v>0</v>
      </c>
      <c r="G760" s="61">
        <f t="array" ref="G760">if(YEAR(A760)=2025,XLOOKUP(B760,Lookup!$A$3:$A$7,Lookup!$D$3:$D$7,,1)*SUM(E760:F760), XLOOKUP(B760,Lookup!$A$14:$A$18,Lookup!$D$14:$D$18,,1)*SUM(E760:F760))</f>
        <v>0</v>
      </c>
      <c r="H760" s="61">
        <f t="array" ref="H760">if(YEAR(A760)=2025,XLOOKUP(B760,Lookup!$F$3:$F$10,Lookup!$G$3:$G$10,,1)*G760, XLOOKUP(B760,Lookup!$F$14:$F$21,Lookup!$G$14:$G$21,,1)*G760)</f>
        <v>0</v>
      </c>
      <c r="I760" s="61">
        <f t="array" ref="I760">if(B760&lt;55, if(YEAR(A760)=2025,XLOOKUP(B760,Lookup!$F$3:$F$10,Lookup!$H$3:$H$10,,1)*G760, XLOOKUP(B760,Lookup!$F$14:$F$21,Lookup!$H$14:$H$21,,1)*G760),0)</f>
        <v>0</v>
      </c>
      <c r="J760" s="61">
        <f t="array" ref="J760">if(YEAR(A760)=2025,XLOOKUP(B760,Lookup!$F$3:$F$10,Lookup!$I$3:$I$10,,1)*G760, XLOOKUP(B760,Lookup!$F$14:$F$21,Lookup!$I$14:$I$21,,1)*G760)</f>
        <v>0</v>
      </c>
      <c r="K760" s="61">
        <f t="array" ref="K760">if(B760&gt;54, if(YEAR(A760)=2025,XLOOKUP(B760,Lookup!$F$3:$F$10,Lookup!$H$3:$H$10,,1)*G760, XLOOKUP(B760,Lookup!$F$14:$F$21,Lookup!$H$14:$H$21,,1)*G760),0)</f>
        <v>0</v>
      </c>
      <c r="L760" s="62">
        <f>IF(and(A760&lt;questions!$C$19,questions!$C$18="yes"),questions!$C$20,0)</f>
        <v>0</v>
      </c>
      <c r="M760" s="63">
        <f>(Y759+H760)*Lookup!A$26/12</f>
        <v>3812.665916</v>
      </c>
      <c r="N760" s="63">
        <f>if(B760&lt;55, (Z759+I760)*Lookup!B$26/12, (AB759+K760)*Lookup!B$26/12)</f>
        <v>8427.964858</v>
      </c>
      <c r="O760" s="63">
        <f>(AA759+J760)*Lookup!C$26/12</f>
        <v>940.3700287</v>
      </c>
      <c r="P760" s="63">
        <f t="shared" si="8"/>
        <v>15250.66366</v>
      </c>
      <c r="Q760" s="63">
        <f t="shared" si="4"/>
        <v>33711.85943</v>
      </c>
      <c r="R760" s="63">
        <f t="shared" si="5"/>
        <v>3761.480115</v>
      </c>
      <c r="S760" s="64">
        <f t="shared" si="9"/>
        <v>33.33333333</v>
      </c>
      <c r="T760" s="64">
        <f t="shared" si="10"/>
        <v>41.66666667</v>
      </c>
      <c r="U760" s="64">
        <f t="shared" si="11"/>
        <v>0</v>
      </c>
      <c r="V760" s="64">
        <f t="shared" ref="V760:X760" si="768">IF(year($A760)=year($A759), V759+S760, S760)</f>
        <v>133.3333333</v>
      </c>
      <c r="W760" s="64">
        <f t="shared" si="768"/>
        <v>166.6666667</v>
      </c>
      <c r="X760" s="64">
        <f t="shared" si="768"/>
        <v>0</v>
      </c>
      <c r="Y760" s="65">
        <f>IFS(
  B760&lt;55,
    MAX(
      Y759 + IF(MONTH(A760)=12, P760+V760, 0) + H760 - L760
      + MAX(0,
          IF(AA759 &gt;= VLOOKUP(YEAR(A760), Lookup!$Q:$R, 2),
            Z759 + IF(MONTH(A760)=12, Q760+W760, 0) + I760
              + AA759 + IF(MONTH(A760)=12, R760+X760, 0)
              - VLOOKUP(YEAR(A760), Lookup!$Q:$R, 2) + J760,
            Z759 + IF(MONTH(A760)=12, Q760+W760, 0) + I760
          ) - VLOOKUP(YEAR(A760), Lookup!$K:$M, 3)
        ),
    0),
  B760=55,
    IF(Z759&gt;=AD760,
      MAX(Y759 + IF(MONTH(A760)=12, P760+V760, 0) + H760 - L760, 0),
      MAX(MAX(0, Y759-(AD760-Z759)) + IF(MONTH(A760)=12, P760+V760, 0) + H760 - L760, 0)
    ),
  B760&gt;55,
    IF(AB759&gt;=$AH$7,
      MAX(Y759 + IF(MONTH(A760)=12, P760+V760, 0) + H760 - L760 + K760 + Z759, 0),
      MAX(Y759 + IF(MONTH(A760)=12, P760+V760, 0) + H760 - L760, 0)
    )
)</f>
        <v>1830079.64</v>
      </c>
      <c r="Z760" s="65">
        <f>IFS(
  B760&lt;55,
    MIN(
      IF(AA759 &gt;= VLOOKUP(YEAR(A760), Lookup!$Q:$R, 2),
        Z759 + IF(MONTH(A760)=12, Q760+W760, 0) + I760
          + AA759 + IF(MONTH(A760)=12, R760+X760, 0) - VLOOKUP(YEAR(A760), Lookup!$Q:$R, 2) + J760,
        Z759 + IF(MONTH(A760)=12, Q760+W760, 0) + I760
      ),
      VLOOKUP(YEAR(A760), Lookup!$K:$M, 3)
    ),
  B760=55,
    IF(Z759 &gt;= AD760, Z759 - AD760, 0),
  B760&gt;55, 0
)</f>
        <v>0</v>
      </c>
      <c r="AA760" s="65">
        <f>IFS(
  B760&lt;65,
    IF(AA759+J760 &lt; VLOOKUP(YEAR(A760), Lookup!$Q:$R, 2),
      AA759 + IF(MONTH(A760)=12, R759+X759, 0) + J760,
      MIN(
        AA759 + IF(MONTH(A760)=12, R759+X759, 0) + J760 ,
        VLOOKUP(YEAR(A760), Lookup!$Q:$R, 2)
      )
    ),
  B760&gt;=65,
    IF(AA759+J760 &lt; VLOOKUP(questions!$C$5, Lookup!$Q:$R, 2),
      AA759 + IF(MONTH(A760)=12, R759+X759, 0) + J760 ,
      MIN(
        AA759 + IF(MONTH(A760)=12, R759+X759, 0) + J760,
        VLOOKUP(questions!$C$5, Lookup!$Q:$R, 2)
      )
    )
)</f>
        <v>282111.0086</v>
      </c>
      <c r="AB760" s="65">
        <f t="shared" si="13"/>
        <v>2528389.458</v>
      </c>
      <c r="AC760" s="66">
        <f t="array" ref="AC760">IFS(B760&lt;66, XLOOKUP(year(A760),Lookup!$K$13:$K1000,Lookup!$L$13:$L1000,"missing",,1),B760&gt;65,XLOOKUP(questions!$C$5,Lookup!$K$13:$K1000,Lookup!$L$13:$L1000,"missing",,1))</f>
        <v>393675.3633</v>
      </c>
      <c r="AD760" s="66">
        <f t="array" ref="AD760">IFS(B760&lt;66, XLOOKUP(year(A760),Lookup!$K$13:$K1000,Lookup!$M$13:$M1000,"missing",,1),B760&gt;65, XLOOKUP(questions!$C$5,Lookup!$K$13:$K1000,Lookup!$M$13:$M1000,"missing",,1))</f>
        <v>787350.7266</v>
      </c>
      <c r="AE760" s="66">
        <f t="array" ref="AE760">IFS(B760&lt;66, XLOOKUP(year(A760),Lookup!$K$13:$K1000,Lookup!$N$13:$N1000,"missing",,1),B760&gt;65,XLOOKUP(questions!$C$5,Lookup!$K$13:$K1000,Lookup!$N$13:$N1000,"missing",,1))</f>
        <v>1574701.453</v>
      </c>
      <c r="AF760" s="37"/>
      <c r="AG760" s="37"/>
      <c r="AH760" s="37"/>
      <c r="AI760" s="37"/>
      <c r="AJ760" s="37"/>
      <c r="AK760" s="37"/>
      <c r="AL760" s="37"/>
      <c r="AM760" s="37"/>
      <c r="AN760" s="37"/>
      <c r="AO760" s="37"/>
      <c r="AP760" s="37"/>
      <c r="AQ760" s="37"/>
    </row>
    <row r="761">
      <c r="A761" s="55">
        <f t="shared" si="7"/>
        <v>69184</v>
      </c>
      <c r="B761" s="56">
        <f>round(YEARFRAC(EOMONTH(questions!$C$3, 0),A761,1),2)</f>
        <v>90.5</v>
      </c>
      <c r="C761" s="58">
        <f>IF(B761&lt;questions!$C$6,if(MONTH(A761)=1,C760*(1+questions!$C$12),C760),0)</f>
        <v>0</v>
      </c>
      <c r="D761" s="58">
        <f>IF(MONTH(A761)=12,C761*questions!$C$11,0)</f>
        <v>0</v>
      </c>
      <c r="E761" s="71">
        <f t="shared" si="2"/>
        <v>0</v>
      </c>
      <c r="F761" s="71">
        <f t="shared" si="3"/>
        <v>0</v>
      </c>
      <c r="G761" s="61">
        <f t="array" ref="G761">if(YEAR(A761)=2025,XLOOKUP(B761,Lookup!$A$3:$A$7,Lookup!$D$3:$D$7,,1)*SUM(E761:F761), XLOOKUP(B761,Lookup!$A$14:$A$18,Lookup!$D$14:$D$18,,1)*SUM(E761:F761))</f>
        <v>0</v>
      </c>
      <c r="H761" s="61">
        <f t="array" ref="H761">if(YEAR(A761)=2025,XLOOKUP(B761,Lookup!$F$3:$F$10,Lookup!$G$3:$G$10,,1)*G761, XLOOKUP(B761,Lookup!$F$14:$F$21,Lookup!$G$14:$G$21,,1)*G761)</f>
        <v>0</v>
      </c>
      <c r="I761" s="61">
        <f t="array" ref="I761">if(B761&lt;55, if(YEAR(A761)=2025,XLOOKUP(B761,Lookup!$F$3:$F$10,Lookup!$H$3:$H$10,,1)*G761, XLOOKUP(B761,Lookup!$F$14:$F$21,Lookup!$H$14:$H$21,,1)*G761),0)</f>
        <v>0</v>
      </c>
      <c r="J761" s="61">
        <f t="array" ref="J761">if(YEAR(A761)=2025,XLOOKUP(B761,Lookup!$F$3:$F$10,Lookup!$I$3:$I$10,,1)*G761, XLOOKUP(B761,Lookup!$F$14:$F$21,Lookup!$I$14:$I$21,,1)*G761)</f>
        <v>0</v>
      </c>
      <c r="K761" s="61">
        <f t="array" ref="K761">if(B761&gt;54, if(YEAR(A761)=2025,XLOOKUP(B761,Lookup!$F$3:$F$10,Lookup!$H$3:$H$10,,1)*G761, XLOOKUP(B761,Lookup!$F$14:$F$21,Lookup!$H$14:$H$21,,1)*G761),0)</f>
        <v>0</v>
      </c>
      <c r="L761" s="62">
        <f>IF(and(A761&lt;questions!$C$19,questions!$C$18="yes"),questions!$C$20,0)</f>
        <v>0</v>
      </c>
      <c r="M761" s="63">
        <f>(Y760+H761)*Lookup!A$26/12</f>
        <v>3812.665916</v>
      </c>
      <c r="N761" s="63">
        <f>if(B761&lt;55, (Z760+I761)*Lookup!B$26/12, (AB760+K761)*Lookup!B$26/12)</f>
        <v>8427.964858</v>
      </c>
      <c r="O761" s="63">
        <f>(AA760+J761)*Lookup!C$26/12</f>
        <v>940.3700287</v>
      </c>
      <c r="P761" s="63">
        <f t="shared" si="8"/>
        <v>19063.32958</v>
      </c>
      <c r="Q761" s="63">
        <f t="shared" si="4"/>
        <v>42139.82429</v>
      </c>
      <c r="R761" s="63">
        <f t="shared" si="5"/>
        <v>4701.850143</v>
      </c>
      <c r="S761" s="64">
        <f t="shared" si="9"/>
        <v>33.33333333</v>
      </c>
      <c r="T761" s="64">
        <f t="shared" si="10"/>
        <v>41.66666667</v>
      </c>
      <c r="U761" s="64">
        <f t="shared" si="11"/>
        <v>0</v>
      </c>
      <c r="V761" s="64">
        <f t="shared" ref="V761:X761" si="769">IF(year($A761)=year($A760), V760+S761, S761)</f>
        <v>166.6666667</v>
      </c>
      <c r="W761" s="64">
        <f t="shared" si="769"/>
        <v>208.3333333</v>
      </c>
      <c r="X761" s="64">
        <f t="shared" si="769"/>
        <v>0</v>
      </c>
      <c r="Y761" s="65">
        <f>IFS(
  B761&lt;55,
    MAX(
      Y760 + IF(MONTH(A761)=12, P761+V761, 0) + H761 - L761
      + MAX(0,
          IF(AA760 &gt;= VLOOKUP(YEAR(A761), Lookup!$Q:$R, 2),
            Z760 + IF(MONTH(A761)=12, Q761+W761, 0) + I761
              + AA760 + IF(MONTH(A761)=12, R761+X761, 0)
              - VLOOKUP(YEAR(A761), Lookup!$Q:$R, 2) + J761,
            Z760 + IF(MONTH(A761)=12, Q761+W761, 0) + I761
          ) - VLOOKUP(YEAR(A761), Lookup!$K:$M, 3)
        ),
    0),
  B761=55,
    IF(Z760&gt;=AD761,
      MAX(Y760 + IF(MONTH(A761)=12, P761+V761, 0) + H761 - L761, 0),
      MAX(MAX(0, Y760-(AD761-Z760)) + IF(MONTH(A761)=12, P761+V761, 0) + H761 - L761, 0)
    ),
  B761&gt;55,
    IF(AB760&gt;=$AH$7,
      MAX(Y760 + IF(MONTH(A761)=12, P761+V761, 0) + H761 - L761 + K761 + Z760, 0),
      MAX(Y760 + IF(MONTH(A761)=12, P761+V761, 0) + H761 - L761, 0)
    )
)</f>
        <v>1830079.64</v>
      </c>
      <c r="Z761" s="65">
        <f>IFS(
  B761&lt;55,
    MIN(
      IF(AA760 &gt;= VLOOKUP(YEAR(A761), Lookup!$Q:$R, 2),
        Z760 + IF(MONTH(A761)=12, Q761+W761, 0) + I761
          + AA760 + IF(MONTH(A761)=12, R761+X761, 0) - VLOOKUP(YEAR(A761), Lookup!$Q:$R, 2) + J761,
        Z760 + IF(MONTH(A761)=12, Q761+W761, 0) + I761
      ),
      VLOOKUP(YEAR(A761), Lookup!$K:$M, 3)
    ),
  B761=55,
    IF(Z760 &gt;= AD761, Z760 - AD761, 0),
  B761&gt;55, 0
)</f>
        <v>0</v>
      </c>
      <c r="AA761" s="65">
        <f>IFS(
  B761&lt;65,
    IF(AA760+J761 &lt; VLOOKUP(YEAR(A761), Lookup!$Q:$R, 2),
      AA760 + IF(MONTH(A761)=12, R760+X760, 0) + J761,
      MIN(
        AA760 + IF(MONTH(A761)=12, R760+X760, 0) + J761 ,
        VLOOKUP(YEAR(A761), Lookup!$Q:$R, 2)
      )
    ),
  B761&gt;=65,
    IF(AA760+J761 &lt; VLOOKUP(questions!$C$5, Lookup!$Q:$R, 2),
      AA760 + IF(MONTH(A761)=12, R760+X760, 0) + J761 ,
      MIN(
        AA760 + IF(MONTH(A761)=12, R760+X760, 0) + J761,
        VLOOKUP(questions!$C$5, Lookup!$Q:$R, 2)
      )
    )
)</f>
        <v>282111.0086</v>
      </c>
      <c r="AB761" s="65">
        <f t="shared" si="13"/>
        <v>2528389.458</v>
      </c>
      <c r="AC761" s="66">
        <f t="array" ref="AC761">IFS(B761&lt;66, XLOOKUP(year(A761),Lookup!$K$13:$K1000,Lookup!$L$13:$L1000,"missing",,1),B761&gt;65,XLOOKUP(questions!$C$5,Lookup!$K$13:$K1000,Lookup!$L$13:$L1000,"missing",,1))</f>
        <v>393675.3633</v>
      </c>
      <c r="AD761" s="66">
        <f t="array" ref="AD761">IFS(B761&lt;66, XLOOKUP(year(A761),Lookup!$K$13:$K1000,Lookup!$M$13:$M1000,"missing",,1),B761&gt;65, XLOOKUP(questions!$C$5,Lookup!$K$13:$K1000,Lookup!$M$13:$M1000,"missing",,1))</f>
        <v>787350.7266</v>
      </c>
      <c r="AE761" s="66">
        <f t="array" ref="AE761">IFS(B761&lt;66, XLOOKUP(year(A761),Lookup!$K$13:$K1000,Lookup!$N$13:$N1000,"missing",,1),B761&gt;65,XLOOKUP(questions!$C$5,Lookup!$K$13:$K1000,Lookup!$N$13:$N1000,"missing",,1))</f>
        <v>1574701.453</v>
      </c>
      <c r="AF761" s="37"/>
      <c r="AG761" s="37"/>
      <c r="AH761" s="37"/>
      <c r="AI761" s="37"/>
      <c r="AJ761" s="37"/>
      <c r="AK761" s="37"/>
      <c r="AL761" s="37"/>
      <c r="AM761" s="37"/>
      <c r="AN761" s="37"/>
      <c r="AO761" s="37"/>
      <c r="AP761" s="37"/>
      <c r="AQ761" s="37"/>
    </row>
    <row r="762">
      <c r="A762" s="55">
        <f t="shared" si="7"/>
        <v>69214</v>
      </c>
      <c r="B762" s="56">
        <f>round(YEARFRAC(EOMONTH(questions!$C$3, 0),A762,1),2)</f>
        <v>90.58</v>
      </c>
      <c r="C762" s="58">
        <f>IF(B762&lt;questions!$C$6,if(MONTH(A762)=1,C761*(1+questions!$C$12),C761),0)</f>
        <v>0</v>
      </c>
      <c r="D762" s="58">
        <f>IF(MONTH(A762)=12,C762*questions!$C$11,0)</f>
        <v>0</v>
      </c>
      <c r="E762" s="71">
        <f t="shared" si="2"/>
        <v>0</v>
      </c>
      <c r="F762" s="71">
        <f t="shared" si="3"/>
        <v>0</v>
      </c>
      <c r="G762" s="61">
        <f t="array" ref="G762">if(YEAR(A762)=2025,XLOOKUP(B762,Lookup!$A$3:$A$7,Lookup!$D$3:$D$7,,1)*SUM(E762:F762), XLOOKUP(B762,Lookup!$A$14:$A$18,Lookup!$D$14:$D$18,,1)*SUM(E762:F762))</f>
        <v>0</v>
      </c>
      <c r="H762" s="61">
        <f t="array" ref="H762">if(YEAR(A762)=2025,XLOOKUP(B762,Lookup!$F$3:$F$10,Lookup!$G$3:$G$10,,1)*G762, XLOOKUP(B762,Lookup!$F$14:$F$21,Lookup!$G$14:$G$21,,1)*G762)</f>
        <v>0</v>
      </c>
      <c r="I762" s="61">
        <f t="array" ref="I762">if(B762&lt;55, if(YEAR(A762)=2025,XLOOKUP(B762,Lookup!$F$3:$F$10,Lookup!$H$3:$H$10,,1)*G762, XLOOKUP(B762,Lookup!$F$14:$F$21,Lookup!$H$14:$H$21,,1)*G762),0)</f>
        <v>0</v>
      </c>
      <c r="J762" s="61">
        <f t="array" ref="J762">if(YEAR(A762)=2025,XLOOKUP(B762,Lookup!$F$3:$F$10,Lookup!$I$3:$I$10,,1)*G762, XLOOKUP(B762,Lookup!$F$14:$F$21,Lookup!$I$14:$I$21,,1)*G762)</f>
        <v>0</v>
      </c>
      <c r="K762" s="61">
        <f t="array" ref="K762">if(B762&gt;54, if(YEAR(A762)=2025,XLOOKUP(B762,Lookup!$F$3:$F$10,Lookup!$H$3:$H$10,,1)*G762, XLOOKUP(B762,Lookup!$F$14:$F$21,Lookup!$H$14:$H$21,,1)*G762),0)</f>
        <v>0</v>
      </c>
      <c r="L762" s="62">
        <f>IF(and(A762&lt;questions!$C$19,questions!$C$18="yes"),questions!$C$20,0)</f>
        <v>0</v>
      </c>
      <c r="M762" s="63">
        <f>(Y761+H762)*Lookup!A$26/12</f>
        <v>3812.665916</v>
      </c>
      <c r="N762" s="63">
        <f>if(B762&lt;55, (Z761+I762)*Lookup!B$26/12, (AB761+K762)*Lookup!B$26/12)</f>
        <v>8427.964858</v>
      </c>
      <c r="O762" s="63">
        <f>(AA761+J762)*Lookup!C$26/12</f>
        <v>940.3700287</v>
      </c>
      <c r="P762" s="63">
        <f t="shared" si="8"/>
        <v>22875.99549</v>
      </c>
      <c r="Q762" s="63">
        <f t="shared" si="4"/>
        <v>50567.78915</v>
      </c>
      <c r="R762" s="63">
        <f t="shared" si="5"/>
        <v>5642.220172</v>
      </c>
      <c r="S762" s="64">
        <f t="shared" si="9"/>
        <v>33.33333333</v>
      </c>
      <c r="T762" s="64">
        <f t="shared" si="10"/>
        <v>41.66666667</v>
      </c>
      <c r="U762" s="64">
        <f t="shared" si="11"/>
        <v>0</v>
      </c>
      <c r="V762" s="64">
        <f t="shared" ref="V762:X762" si="770">IF(year($A762)=year($A761), V761+S762, S762)</f>
        <v>200</v>
      </c>
      <c r="W762" s="64">
        <f t="shared" si="770"/>
        <v>250</v>
      </c>
      <c r="X762" s="64">
        <f t="shared" si="770"/>
        <v>0</v>
      </c>
      <c r="Y762" s="65">
        <f>IFS(
  B762&lt;55,
    MAX(
      Y761 + IF(MONTH(A762)=12, P762+V762, 0) + H762 - L762
      + MAX(0,
          IF(AA761 &gt;= VLOOKUP(YEAR(A762), Lookup!$Q:$R, 2),
            Z761 + IF(MONTH(A762)=12, Q762+W762, 0) + I762
              + AA761 + IF(MONTH(A762)=12, R762+X762, 0)
              - VLOOKUP(YEAR(A762), Lookup!$Q:$R, 2) + J762,
            Z761 + IF(MONTH(A762)=12, Q762+W762, 0) + I762
          ) - VLOOKUP(YEAR(A762), Lookup!$K:$M, 3)
        ),
    0),
  B762=55,
    IF(Z761&gt;=AD762,
      MAX(Y761 + IF(MONTH(A762)=12, P762+V762, 0) + H762 - L762, 0),
      MAX(MAX(0, Y761-(AD762-Z761)) + IF(MONTH(A762)=12, P762+V762, 0) + H762 - L762, 0)
    ),
  B762&gt;55,
    IF(AB761&gt;=$AH$7,
      MAX(Y761 + IF(MONTH(A762)=12, P762+V762, 0) + H762 - L762 + K762 + Z761, 0),
      MAX(Y761 + IF(MONTH(A762)=12, P762+V762, 0) + H762 - L762, 0)
    )
)</f>
        <v>1830079.64</v>
      </c>
      <c r="Z762" s="65">
        <f>IFS(
  B762&lt;55,
    MIN(
      IF(AA761 &gt;= VLOOKUP(YEAR(A762), Lookup!$Q:$R, 2),
        Z761 + IF(MONTH(A762)=12, Q762+W762, 0) + I762
          + AA761 + IF(MONTH(A762)=12, R762+X762, 0) - VLOOKUP(YEAR(A762), Lookup!$Q:$R, 2) + J762,
        Z761 + IF(MONTH(A762)=12, Q762+W762, 0) + I762
      ),
      VLOOKUP(YEAR(A762), Lookup!$K:$M, 3)
    ),
  B762=55,
    IF(Z761 &gt;= AD762, Z761 - AD762, 0),
  B762&gt;55, 0
)</f>
        <v>0</v>
      </c>
      <c r="AA762" s="65">
        <f>IFS(
  B762&lt;65,
    IF(AA761+J762 &lt; VLOOKUP(YEAR(A762), Lookup!$Q:$R, 2),
      AA761 + IF(MONTH(A762)=12, R761+X761, 0) + J762,
      MIN(
        AA761 + IF(MONTH(A762)=12, R761+X761, 0) + J762 ,
        VLOOKUP(YEAR(A762), Lookup!$Q:$R, 2)
      )
    ),
  B762&gt;=65,
    IF(AA761+J762 &lt; VLOOKUP(questions!$C$5, Lookup!$Q:$R, 2),
      AA761 + IF(MONTH(A762)=12, R761+X761, 0) + J762 ,
      MIN(
        AA761 + IF(MONTH(A762)=12, R761+X761, 0) + J762,
        VLOOKUP(questions!$C$5, Lookup!$Q:$R, 2)
      )
    )
)</f>
        <v>282111.0086</v>
      </c>
      <c r="AB762" s="65">
        <f t="shared" si="13"/>
        <v>2528389.458</v>
      </c>
      <c r="AC762" s="66">
        <f t="array" ref="AC762">IFS(B762&lt;66, XLOOKUP(year(A762),Lookup!$K$13:$K1000,Lookup!$L$13:$L1000,"missing",,1),B762&gt;65,XLOOKUP(questions!$C$5,Lookup!$K$13:$K1000,Lookup!$L$13:$L1000,"missing",,1))</f>
        <v>393675.3633</v>
      </c>
      <c r="AD762" s="66">
        <f t="array" ref="AD762">IFS(B762&lt;66, XLOOKUP(year(A762),Lookup!$K$13:$K1000,Lookup!$M$13:$M1000,"missing",,1),B762&gt;65, XLOOKUP(questions!$C$5,Lookup!$K$13:$K1000,Lookup!$M$13:$M1000,"missing",,1))</f>
        <v>787350.7266</v>
      </c>
      <c r="AE762" s="66">
        <f t="array" ref="AE762">IFS(B762&lt;66, XLOOKUP(year(A762),Lookup!$K$13:$K1000,Lookup!$N$13:$N1000,"missing",,1),B762&gt;65,XLOOKUP(questions!$C$5,Lookup!$K$13:$K1000,Lookup!$N$13:$N1000,"missing",,1))</f>
        <v>1574701.453</v>
      </c>
      <c r="AF762" s="37"/>
      <c r="AG762" s="37"/>
      <c r="AH762" s="37"/>
      <c r="AI762" s="37"/>
      <c r="AJ762" s="37"/>
      <c r="AK762" s="37"/>
      <c r="AL762" s="37"/>
      <c r="AM762" s="37"/>
      <c r="AN762" s="37"/>
      <c r="AO762" s="37"/>
      <c r="AP762" s="37"/>
      <c r="AQ762" s="37"/>
    </row>
    <row r="763">
      <c r="A763" s="55">
        <f t="shared" si="7"/>
        <v>69245</v>
      </c>
      <c r="B763" s="56">
        <f>round(YEARFRAC(EOMONTH(questions!$C$3, 0),A763,1),2)</f>
        <v>90.67</v>
      </c>
      <c r="C763" s="58">
        <f>IF(B763&lt;questions!$C$6,if(MONTH(A763)=1,C762*(1+questions!$C$12),C762),0)</f>
        <v>0</v>
      </c>
      <c r="D763" s="58">
        <f>IF(MONTH(A763)=12,C763*questions!$C$11,0)</f>
        <v>0</v>
      </c>
      <c r="E763" s="71">
        <f t="shared" si="2"/>
        <v>0</v>
      </c>
      <c r="F763" s="71">
        <f t="shared" si="3"/>
        <v>0</v>
      </c>
      <c r="G763" s="61">
        <f t="array" ref="G763">if(YEAR(A763)=2025,XLOOKUP(B763,Lookup!$A$3:$A$7,Lookup!$D$3:$D$7,,1)*SUM(E763:F763), XLOOKUP(B763,Lookup!$A$14:$A$18,Lookup!$D$14:$D$18,,1)*SUM(E763:F763))</f>
        <v>0</v>
      </c>
      <c r="H763" s="61">
        <f t="array" ref="H763">if(YEAR(A763)=2025,XLOOKUP(B763,Lookup!$F$3:$F$10,Lookup!$G$3:$G$10,,1)*G763, XLOOKUP(B763,Lookup!$F$14:$F$21,Lookup!$G$14:$G$21,,1)*G763)</f>
        <v>0</v>
      </c>
      <c r="I763" s="61">
        <f t="array" ref="I763">if(B763&lt;55, if(YEAR(A763)=2025,XLOOKUP(B763,Lookup!$F$3:$F$10,Lookup!$H$3:$H$10,,1)*G763, XLOOKUP(B763,Lookup!$F$14:$F$21,Lookup!$H$14:$H$21,,1)*G763),0)</f>
        <v>0</v>
      </c>
      <c r="J763" s="61">
        <f t="array" ref="J763">if(YEAR(A763)=2025,XLOOKUP(B763,Lookup!$F$3:$F$10,Lookup!$I$3:$I$10,,1)*G763, XLOOKUP(B763,Lookup!$F$14:$F$21,Lookup!$I$14:$I$21,,1)*G763)</f>
        <v>0</v>
      </c>
      <c r="K763" s="61">
        <f t="array" ref="K763">if(B763&gt;54, if(YEAR(A763)=2025,XLOOKUP(B763,Lookup!$F$3:$F$10,Lookup!$H$3:$H$10,,1)*G763, XLOOKUP(B763,Lookup!$F$14:$F$21,Lookup!$H$14:$H$21,,1)*G763),0)</f>
        <v>0</v>
      </c>
      <c r="L763" s="62">
        <f>IF(and(A763&lt;questions!$C$19,questions!$C$18="yes"),questions!$C$20,0)</f>
        <v>0</v>
      </c>
      <c r="M763" s="63">
        <f>(Y762+H763)*Lookup!A$26/12</f>
        <v>3812.665916</v>
      </c>
      <c r="N763" s="63">
        <f>if(B763&lt;55, (Z762+I763)*Lookup!B$26/12, (AB762+K763)*Lookup!B$26/12)</f>
        <v>8427.964858</v>
      </c>
      <c r="O763" s="63">
        <f>(AA762+J763)*Lookup!C$26/12</f>
        <v>940.3700287</v>
      </c>
      <c r="P763" s="63">
        <f t="shared" si="8"/>
        <v>26688.66141</v>
      </c>
      <c r="Q763" s="63">
        <f t="shared" si="4"/>
        <v>58995.75401</v>
      </c>
      <c r="R763" s="63">
        <f t="shared" si="5"/>
        <v>6582.590201</v>
      </c>
      <c r="S763" s="64">
        <f t="shared" si="9"/>
        <v>33.33333333</v>
      </c>
      <c r="T763" s="64">
        <f t="shared" si="10"/>
        <v>41.66666667</v>
      </c>
      <c r="U763" s="64">
        <f t="shared" si="11"/>
        <v>0</v>
      </c>
      <c r="V763" s="64">
        <f t="shared" ref="V763:X763" si="771">IF(year($A763)=year($A762), V762+S763, S763)</f>
        <v>233.3333333</v>
      </c>
      <c r="W763" s="64">
        <f t="shared" si="771"/>
        <v>291.6666667</v>
      </c>
      <c r="X763" s="64">
        <f t="shared" si="771"/>
        <v>0</v>
      </c>
      <c r="Y763" s="65">
        <f>IFS(
  B763&lt;55,
    MAX(
      Y762 + IF(MONTH(A763)=12, P763+V763, 0) + H763 - L763
      + MAX(0,
          IF(AA762 &gt;= VLOOKUP(YEAR(A763), Lookup!$Q:$R, 2),
            Z762 + IF(MONTH(A763)=12, Q763+W763, 0) + I763
              + AA762 + IF(MONTH(A763)=12, R763+X763, 0)
              - VLOOKUP(YEAR(A763), Lookup!$Q:$R, 2) + J763,
            Z762 + IF(MONTH(A763)=12, Q763+W763, 0) + I763
          ) - VLOOKUP(YEAR(A763), Lookup!$K:$M, 3)
        ),
    0),
  B763=55,
    IF(Z762&gt;=AD763,
      MAX(Y762 + IF(MONTH(A763)=12, P763+V763, 0) + H763 - L763, 0),
      MAX(MAX(0, Y762-(AD763-Z762)) + IF(MONTH(A763)=12, P763+V763, 0) + H763 - L763, 0)
    ),
  B763&gt;55,
    IF(AB762&gt;=$AH$7,
      MAX(Y762 + IF(MONTH(A763)=12, P763+V763, 0) + H763 - L763 + K763 + Z762, 0),
      MAX(Y762 + IF(MONTH(A763)=12, P763+V763, 0) + H763 - L763, 0)
    )
)</f>
        <v>1830079.64</v>
      </c>
      <c r="Z763" s="65">
        <f>IFS(
  B763&lt;55,
    MIN(
      IF(AA762 &gt;= VLOOKUP(YEAR(A763), Lookup!$Q:$R, 2),
        Z762 + IF(MONTH(A763)=12, Q763+W763, 0) + I763
          + AA762 + IF(MONTH(A763)=12, R763+X763, 0) - VLOOKUP(YEAR(A763), Lookup!$Q:$R, 2) + J763,
        Z762 + IF(MONTH(A763)=12, Q763+W763, 0) + I763
      ),
      VLOOKUP(YEAR(A763), Lookup!$K:$M, 3)
    ),
  B763=55,
    IF(Z762 &gt;= AD763, Z762 - AD763, 0),
  B763&gt;55, 0
)</f>
        <v>0</v>
      </c>
      <c r="AA763" s="65">
        <f>IFS(
  B763&lt;65,
    IF(AA762+J763 &lt; VLOOKUP(YEAR(A763), Lookup!$Q:$R, 2),
      AA762 + IF(MONTH(A763)=12, R762+X762, 0) + J763,
      MIN(
        AA762 + IF(MONTH(A763)=12, R762+X762, 0) + J763 ,
        VLOOKUP(YEAR(A763), Lookup!$Q:$R, 2)
      )
    ),
  B763&gt;=65,
    IF(AA762+J763 &lt; VLOOKUP(questions!$C$5, Lookup!$Q:$R, 2),
      AA762 + IF(MONTH(A763)=12, R762+X762, 0) + J763 ,
      MIN(
        AA762 + IF(MONTH(A763)=12, R762+X762, 0) + J763,
        VLOOKUP(questions!$C$5, Lookup!$Q:$R, 2)
      )
    )
)</f>
        <v>282111.0086</v>
      </c>
      <c r="AB763" s="65">
        <f t="shared" si="13"/>
        <v>2528389.458</v>
      </c>
      <c r="AC763" s="66">
        <f t="array" ref="AC763">IFS(B763&lt;66, XLOOKUP(year(A763),Lookup!$K$13:$K1000,Lookup!$L$13:$L1000,"missing",,1),B763&gt;65,XLOOKUP(questions!$C$5,Lookup!$K$13:$K1000,Lookup!$L$13:$L1000,"missing",,1))</f>
        <v>393675.3633</v>
      </c>
      <c r="AD763" s="66">
        <f t="array" ref="AD763">IFS(B763&lt;66, XLOOKUP(year(A763),Lookup!$K$13:$K1000,Lookup!$M$13:$M1000,"missing",,1),B763&gt;65, XLOOKUP(questions!$C$5,Lookup!$K$13:$K1000,Lookup!$M$13:$M1000,"missing",,1))</f>
        <v>787350.7266</v>
      </c>
      <c r="AE763" s="66">
        <f t="array" ref="AE763">IFS(B763&lt;66, XLOOKUP(year(A763),Lookup!$K$13:$K1000,Lookup!$N$13:$N1000,"missing",,1),B763&gt;65,XLOOKUP(questions!$C$5,Lookup!$K$13:$K1000,Lookup!$N$13:$N1000,"missing",,1))</f>
        <v>1574701.453</v>
      </c>
      <c r="AF763" s="37"/>
      <c r="AG763" s="37"/>
      <c r="AH763" s="37"/>
      <c r="AI763" s="37"/>
      <c r="AJ763" s="37"/>
      <c r="AK763" s="37"/>
      <c r="AL763" s="37"/>
      <c r="AM763" s="37"/>
      <c r="AN763" s="37"/>
      <c r="AO763" s="37"/>
      <c r="AP763" s="37"/>
      <c r="AQ763" s="37"/>
    </row>
    <row r="764">
      <c r="A764" s="55">
        <f t="shared" si="7"/>
        <v>69276</v>
      </c>
      <c r="B764" s="56">
        <f>round(YEARFRAC(EOMONTH(questions!$C$3, 0),A764,1),2)</f>
        <v>90.75</v>
      </c>
      <c r="C764" s="58">
        <f>IF(B764&lt;questions!$C$6,if(MONTH(A764)=1,C763*(1+questions!$C$12),C763),0)</f>
        <v>0</v>
      </c>
      <c r="D764" s="58">
        <f>IF(MONTH(A764)=12,C764*questions!$C$11,0)</f>
        <v>0</v>
      </c>
      <c r="E764" s="71">
        <f t="shared" si="2"/>
        <v>0</v>
      </c>
      <c r="F764" s="71">
        <f t="shared" si="3"/>
        <v>0</v>
      </c>
      <c r="G764" s="61">
        <f t="array" ref="G764">if(YEAR(A764)=2025,XLOOKUP(B764,Lookup!$A$3:$A$7,Lookup!$D$3:$D$7,,1)*SUM(E764:F764), XLOOKUP(B764,Lookup!$A$14:$A$18,Lookup!$D$14:$D$18,,1)*SUM(E764:F764))</f>
        <v>0</v>
      </c>
      <c r="H764" s="61">
        <f t="array" ref="H764">if(YEAR(A764)=2025,XLOOKUP(B764,Lookup!$F$3:$F$10,Lookup!$G$3:$G$10,,1)*G764, XLOOKUP(B764,Lookup!$F$14:$F$21,Lookup!$G$14:$G$21,,1)*G764)</f>
        <v>0</v>
      </c>
      <c r="I764" s="61">
        <f t="array" ref="I764">if(B764&lt;55, if(YEAR(A764)=2025,XLOOKUP(B764,Lookup!$F$3:$F$10,Lookup!$H$3:$H$10,,1)*G764, XLOOKUP(B764,Lookup!$F$14:$F$21,Lookup!$H$14:$H$21,,1)*G764),0)</f>
        <v>0</v>
      </c>
      <c r="J764" s="61">
        <f t="array" ref="J764">if(YEAR(A764)=2025,XLOOKUP(B764,Lookup!$F$3:$F$10,Lookup!$I$3:$I$10,,1)*G764, XLOOKUP(B764,Lookup!$F$14:$F$21,Lookup!$I$14:$I$21,,1)*G764)</f>
        <v>0</v>
      </c>
      <c r="K764" s="61">
        <f t="array" ref="K764">if(B764&gt;54, if(YEAR(A764)=2025,XLOOKUP(B764,Lookup!$F$3:$F$10,Lookup!$H$3:$H$10,,1)*G764, XLOOKUP(B764,Lookup!$F$14:$F$21,Lookup!$H$14:$H$21,,1)*G764),0)</f>
        <v>0</v>
      </c>
      <c r="L764" s="62">
        <f>IF(and(A764&lt;questions!$C$19,questions!$C$18="yes"),questions!$C$20,0)</f>
        <v>0</v>
      </c>
      <c r="M764" s="63">
        <f>(Y763+H764)*Lookup!A$26/12</f>
        <v>3812.665916</v>
      </c>
      <c r="N764" s="63">
        <f>if(B764&lt;55, (Z763+I764)*Lookup!B$26/12, (AB763+K764)*Lookup!B$26/12)</f>
        <v>8427.964858</v>
      </c>
      <c r="O764" s="63">
        <f>(AA763+J764)*Lookup!C$26/12</f>
        <v>940.3700287</v>
      </c>
      <c r="P764" s="63">
        <f t="shared" si="8"/>
        <v>30501.32733</v>
      </c>
      <c r="Q764" s="63">
        <f t="shared" si="4"/>
        <v>67423.71887</v>
      </c>
      <c r="R764" s="63">
        <f t="shared" si="5"/>
        <v>7522.960229</v>
      </c>
      <c r="S764" s="64">
        <f t="shared" si="9"/>
        <v>33.33333333</v>
      </c>
      <c r="T764" s="64">
        <f t="shared" si="10"/>
        <v>41.66666667</v>
      </c>
      <c r="U764" s="64">
        <f t="shared" si="11"/>
        <v>0</v>
      </c>
      <c r="V764" s="64">
        <f t="shared" ref="V764:X764" si="772">IF(year($A764)=year($A763), V763+S764, S764)</f>
        <v>266.6666667</v>
      </c>
      <c r="W764" s="64">
        <f t="shared" si="772"/>
        <v>333.3333333</v>
      </c>
      <c r="X764" s="64">
        <f t="shared" si="772"/>
        <v>0</v>
      </c>
      <c r="Y764" s="65">
        <f>IFS(
  B764&lt;55,
    MAX(
      Y763 + IF(MONTH(A764)=12, P764+V764, 0) + H764 - L764
      + MAX(0,
          IF(AA763 &gt;= VLOOKUP(YEAR(A764), Lookup!$Q:$R, 2),
            Z763 + IF(MONTH(A764)=12, Q764+W764, 0) + I764
              + AA763 + IF(MONTH(A764)=12, R764+X764, 0)
              - VLOOKUP(YEAR(A764), Lookup!$Q:$R, 2) + J764,
            Z763 + IF(MONTH(A764)=12, Q764+W764, 0) + I764
          ) - VLOOKUP(YEAR(A764), Lookup!$K:$M, 3)
        ),
    0),
  B764=55,
    IF(Z763&gt;=AD764,
      MAX(Y763 + IF(MONTH(A764)=12, P764+V764, 0) + H764 - L764, 0),
      MAX(MAX(0, Y763-(AD764-Z763)) + IF(MONTH(A764)=12, P764+V764, 0) + H764 - L764, 0)
    ),
  B764&gt;55,
    IF(AB763&gt;=$AH$7,
      MAX(Y763 + IF(MONTH(A764)=12, P764+V764, 0) + H764 - L764 + K764 + Z763, 0),
      MAX(Y763 + IF(MONTH(A764)=12, P764+V764, 0) + H764 - L764, 0)
    )
)</f>
        <v>1830079.64</v>
      </c>
      <c r="Z764" s="65">
        <f>IFS(
  B764&lt;55,
    MIN(
      IF(AA763 &gt;= VLOOKUP(YEAR(A764), Lookup!$Q:$R, 2),
        Z763 + IF(MONTH(A764)=12, Q764+W764, 0) + I764
          + AA763 + IF(MONTH(A764)=12, R764+X764, 0) - VLOOKUP(YEAR(A764), Lookup!$Q:$R, 2) + J764,
        Z763 + IF(MONTH(A764)=12, Q764+W764, 0) + I764
      ),
      VLOOKUP(YEAR(A764), Lookup!$K:$M, 3)
    ),
  B764=55,
    IF(Z763 &gt;= AD764, Z763 - AD764, 0),
  B764&gt;55, 0
)</f>
        <v>0</v>
      </c>
      <c r="AA764" s="65">
        <f>IFS(
  B764&lt;65,
    IF(AA763+J764 &lt; VLOOKUP(YEAR(A764), Lookup!$Q:$R, 2),
      AA763 + IF(MONTH(A764)=12, R763+X763, 0) + J764,
      MIN(
        AA763 + IF(MONTH(A764)=12, R763+X763, 0) + J764 ,
        VLOOKUP(YEAR(A764), Lookup!$Q:$R, 2)
      )
    ),
  B764&gt;=65,
    IF(AA763+J764 &lt; VLOOKUP(questions!$C$5, Lookup!$Q:$R, 2),
      AA763 + IF(MONTH(A764)=12, R763+X763, 0) + J764 ,
      MIN(
        AA763 + IF(MONTH(A764)=12, R763+X763, 0) + J764,
        VLOOKUP(questions!$C$5, Lookup!$Q:$R, 2)
      )
    )
)</f>
        <v>282111.0086</v>
      </c>
      <c r="AB764" s="65">
        <f t="shared" si="13"/>
        <v>2528389.458</v>
      </c>
      <c r="AC764" s="66">
        <f t="array" ref="AC764">IFS(B764&lt;66, XLOOKUP(year(A764),Lookup!$K$13:$K1000,Lookup!$L$13:$L1000,"missing",,1),B764&gt;65,XLOOKUP(questions!$C$5,Lookup!$K$13:$K1000,Lookup!$L$13:$L1000,"missing",,1))</f>
        <v>393675.3633</v>
      </c>
      <c r="AD764" s="66">
        <f t="array" ref="AD764">IFS(B764&lt;66, XLOOKUP(year(A764),Lookup!$K$13:$K1000,Lookup!$M$13:$M1000,"missing",,1),B764&gt;65, XLOOKUP(questions!$C$5,Lookup!$K$13:$K1000,Lookup!$M$13:$M1000,"missing",,1))</f>
        <v>787350.7266</v>
      </c>
      <c r="AE764" s="66">
        <f t="array" ref="AE764">IFS(B764&lt;66, XLOOKUP(year(A764),Lookup!$K$13:$K1000,Lookup!$N$13:$N1000,"missing",,1),B764&gt;65,XLOOKUP(questions!$C$5,Lookup!$K$13:$K1000,Lookup!$N$13:$N1000,"missing",,1))</f>
        <v>1574701.453</v>
      </c>
      <c r="AF764" s="37"/>
      <c r="AG764" s="37"/>
      <c r="AH764" s="37"/>
      <c r="AI764" s="37"/>
      <c r="AJ764" s="37"/>
      <c r="AK764" s="37"/>
      <c r="AL764" s="37"/>
      <c r="AM764" s="37"/>
      <c r="AN764" s="37"/>
      <c r="AO764" s="37"/>
      <c r="AP764" s="37"/>
      <c r="AQ764" s="37"/>
    </row>
    <row r="765">
      <c r="A765" s="55">
        <f t="shared" si="7"/>
        <v>69306</v>
      </c>
      <c r="B765" s="56">
        <f>round(YEARFRAC(EOMONTH(questions!$C$3, 0),A765,1),2)</f>
        <v>90.83</v>
      </c>
      <c r="C765" s="58">
        <f>IF(B765&lt;questions!$C$6,if(MONTH(A765)=1,C764*(1+questions!$C$12),C764),0)</f>
        <v>0</v>
      </c>
      <c r="D765" s="58">
        <f>IF(MONTH(A765)=12,C765*questions!$C$11,0)</f>
        <v>0</v>
      </c>
      <c r="E765" s="71">
        <f t="shared" si="2"/>
        <v>0</v>
      </c>
      <c r="F765" s="71">
        <f t="shared" si="3"/>
        <v>0</v>
      </c>
      <c r="G765" s="61">
        <f t="array" ref="G765">if(YEAR(A765)=2025,XLOOKUP(B765,Lookup!$A$3:$A$7,Lookup!$D$3:$D$7,,1)*SUM(E765:F765), XLOOKUP(B765,Lookup!$A$14:$A$18,Lookup!$D$14:$D$18,,1)*SUM(E765:F765))</f>
        <v>0</v>
      </c>
      <c r="H765" s="61">
        <f t="array" ref="H765">if(YEAR(A765)=2025,XLOOKUP(B765,Lookup!$F$3:$F$10,Lookup!$G$3:$G$10,,1)*G765, XLOOKUP(B765,Lookup!$F$14:$F$21,Lookup!$G$14:$G$21,,1)*G765)</f>
        <v>0</v>
      </c>
      <c r="I765" s="61">
        <f t="array" ref="I765">if(B765&lt;55, if(YEAR(A765)=2025,XLOOKUP(B765,Lookup!$F$3:$F$10,Lookup!$H$3:$H$10,,1)*G765, XLOOKUP(B765,Lookup!$F$14:$F$21,Lookup!$H$14:$H$21,,1)*G765),0)</f>
        <v>0</v>
      </c>
      <c r="J765" s="61">
        <f t="array" ref="J765">if(YEAR(A765)=2025,XLOOKUP(B765,Lookup!$F$3:$F$10,Lookup!$I$3:$I$10,,1)*G765, XLOOKUP(B765,Lookup!$F$14:$F$21,Lookup!$I$14:$I$21,,1)*G765)</f>
        <v>0</v>
      </c>
      <c r="K765" s="61">
        <f t="array" ref="K765">if(B765&gt;54, if(YEAR(A765)=2025,XLOOKUP(B765,Lookup!$F$3:$F$10,Lookup!$H$3:$H$10,,1)*G765, XLOOKUP(B765,Lookup!$F$14:$F$21,Lookup!$H$14:$H$21,,1)*G765),0)</f>
        <v>0</v>
      </c>
      <c r="L765" s="62">
        <f>IF(and(A765&lt;questions!$C$19,questions!$C$18="yes"),questions!$C$20,0)</f>
        <v>0</v>
      </c>
      <c r="M765" s="63">
        <f>(Y764+H765)*Lookup!A$26/12</f>
        <v>3812.665916</v>
      </c>
      <c r="N765" s="63">
        <f>if(B765&lt;55, (Z764+I765)*Lookup!B$26/12, (AB764+K765)*Lookup!B$26/12)</f>
        <v>8427.964858</v>
      </c>
      <c r="O765" s="63">
        <f>(AA764+J765)*Lookup!C$26/12</f>
        <v>940.3700287</v>
      </c>
      <c r="P765" s="63">
        <f t="shared" si="8"/>
        <v>34313.99324</v>
      </c>
      <c r="Q765" s="63">
        <f t="shared" si="4"/>
        <v>75851.68373</v>
      </c>
      <c r="R765" s="63">
        <f t="shared" si="5"/>
        <v>8463.330258</v>
      </c>
      <c r="S765" s="64">
        <f t="shared" si="9"/>
        <v>33.33333333</v>
      </c>
      <c r="T765" s="64">
        <f t="shared" si="10"/>
        <v>41.66666667</v>
      </c>
      <c r="U765" s="64">
        <f t="shared" si="11"/>
        <v>0</v>
      </c>
      <c r="V765" s="64">
        <f t="shared" ref="V765:X765" si="773">IF(year($A765)=year($A764), V764+S765, S765)</f>
        <v>300</v>
      </c>
      <c r="W765" s="64">
        <f t="shared" si="773"/>
        <v>375</v>
      </c>
      <c r="X765" s="64">
        <f t="shared" si="773"/>
        <v>0</v>
      </c>
      <c r="Y765" s="65">
        <f>IFS(
  B765&lt;55,
    MAX(
      Y764 + IF(MONTH(A765)=12, P765+V765, 0) + H765 - L765
      + MAX(0,
          IF(AA764 &gt;= VLOOKUP(YEAR(A765), Lookup!$Q:$R, 2),
            Z764 + IF(MONTH(A765)=12, Q765+W765, 0) + I765
              + AA764 + IF(MONTH(A765)=12, R765+X765, 0)
              - VLOOKUP(YEAR(A765), Lookup!$Q:$R, 2) + J765,
            Z764 + IF(MONTH(A765)=12, Q765+W765, 0) + I765
          ) - VLOOKUP(YEAR(A765), Lookup!$K:$M, 3)
        ),
    0),
  B765=55,
    IF(Z764&gt;=AD765,
      MAX(Y764 + IF(MONTH(A765)=12, P765+V765, 0) + H765 - L765, 0),
      MAX(MAX(0, Y764-(AD765-Z764)) + IF(MONTH(A765)=12, P765+V765, 0) + H765 - L765, 0)
    ),
  B765&gt;55,
    IF(AB764&gt;=$AH$7,
      MAX(Y764 + IF(MONTH(A765)=12, P765+V765, 0) + H765 - L765 + K765 + Z764, 0),
      MAX(Y764 + IF(MONTH(A765)=12, P765+V765, 0) + H765 - L765, 0)
    )
)</f>
        <v>1830079.64</v>
      </c>
      <c r="Z765" s="65">
        <f>IFS(
  B765&lt;55,
    MIN(
      IF(AA764 &gt;= VLOOKUP(YEAR(A765), Lookup!$Q:$R, 2),
        Z764 + IF(MONTH(A765)=12, Q765+W765, 0) + I765
          + AA764 + IF(MONTH(A765)=12, R765+X765, 0) - VLOOKUP(YEAR(A765), Lookup!$Q:$R, 2) + J765,
        Z764 + IF(MONTH(A765)=12, Q765+W765, 0) + I765
      ),
      VLOOKUP(YEAR(A765), Lookup!$K:$M, 3)
    ),
  B765=55,
    IF(Z764 &gt;= AD765, Z764 - AD765, 0),
  B765&gt;55, 0
)</f>
        <v>0</v>
      </c>
      <c r="AA765" s="65">
        <f>IFS(
  B765&lt;65,
    IF(AA764+J765 &lt; VLOOKUP(YEAR(A765), Lookup!$Q:$R, 2),
      AA764 + IF(MONTH(A765)=12, R764+X764, 0) + J765,
      MIN(
        AA764 + IF(MONTH(A765)=12, R764+X764, 0) + J765 ,
        VLOOKUP(YEAR(A765), Lookup!$Q:$R, 2)
      )
    ),
  B765&gt;=65,
    IF(AA764+J765 &lt; VLOOKUP(questions!$C$5, Lookup!$Q:$R, 2),
      AA764 + IF(MONTH(A765)=12, R764+X764, 0) + J765 ,
      MIN(
        AA764 + IF(MONTH(A765)=12, R764+X764, 0) + J765,
        VLOOKUP(questions!$C$5, Lookup!$Q:$R, 2)
      )
    )
)</f>
        <v>282111.0086</v>
      </c>
      <c r="AB765" s="65">
        <f t="shared" si="13"/>
        <v>2528389.458</v>
      </c>
      <c r="AC765" s="66">
        <f t="array" ref="AC765">IFS(B765&lt;66, XLOOKUP(year(A765),Lookup!$K$13:$K1000,Lookup!$L$13:$L1000,"missing",,1),B765&gt;65,XLOOKUP(questions!$C$5,Lookup!$K$13:$K1000,Lookup!$L$13:$L1000,"missing",,1))</f>
        <v>393675.3633</v>
      </c>
      <c r="AD765" s="66">
        <f t="array" ref="AD765">IFS(B765&lt;66, XLOOKUP(year(A765),Lookup!$K$13:$K1000,Lookup!$M$13:$M1000,"missing",,1),B765&gt;65, XLOOKUP(questions!$C$5,Lookup!$K$13:$K1000,Lookup!$M$13:$M1000,"missing",,1))</f>
        <v>787350.7266</v>
      </c>
      <c r="AE765" s="66">
        <f t="array" ref="AE765">IFS(B765&lt;66, XLOOKUP(year(A765),Lookup!$K$13:$K1000,Lookup!$N$13:$N1000,"missing",,1),B765&gt;65,XLOOKUP(questions!$C$5,Lookup!$K$13:$K1000,Lookup!$N$13:$N1000,"missing",,1))</f>
        <v>1574701.453</v>
      </c>
      <c r="AF765" s="37"/>
      <c r="AG765" s="37"/>
      <c r="AH765" s="37"/>
      <c r="AI765" s="37"/>
      <c r="AJ765" s="37"/>
      <c r="AK765" s="37"/>
      <c r="AL765" s="37"/>
      <c r="AM765" s="37"/>
      <c r="AN765" s="37"/>
      <c r="AO765" s="37"/>
      <c r="AP765" s="37"/>
      <c r="AQ765" s="37"/>
    </row>
    <row r="766">
      <c r="A766" s="55">
        <f t="shared" si="7"/>
        <v>69337</v>
      </c>
      <c r="B766" s="56">
        <f>round(YEARFRAC(EOMONTH(questions!$C$3, 0),A766,1),2)</f>
        <v>90.92</v>
      </c>
      <c r="C766" s="58">
        <f>IF(B766&lt;questions!$C$6,if(MONTH(A766)=1,C765*(1+questions!$C$12),C765),0)</f>
        <v>0</v>
      </c>
      <c r="D766" s="58">
        <f>IF(MONTH(A766)=12,C766*questions!$C$11,0)</f>
        <v>0</v>
      </c>
      <c r="E766" s="71">
        <f t="shared" si="2"/>
        <v>0</v>
      </c>
      <c r="F766" s="71">
        <f t="shared" si="3"/>
        <v>0</v>
      </c>
      <c r="G766" s="61">
        <f t="array" ref="G766">if(YEAR(A766)=2025,XLOOKUP(B766,Lookup!$A$3:$A$7,Lookup!$D$3:$D$7,,1)*SUM(E766:F766), XLOOKUP(B766,Lookup!$A$14:$A$18,Lookup!$D$14:$D$18,,1)*SUM(E766:F766))</f>
        <v>0</v>
      </c>
      <c r="H766" s="61">
        <f t="array" ref="H766">if(YEAR(A766)=2025,XLOOKUP(B766,Lookup!$F$3:$F$10,Lookup!$G$3:$G$10,,1)*G766, XLOOKUP(B766,Lookup!$F$14:$F$21,Lookup!$G$14:$G$21,,1)*G766)</f>
        <v>0</v>
      </c>
      <c r="I766" s="61">
        <f t="array" ref="I766">if(B766&lt;55, if(YEAR(A766)=2025,XLOOKUP(B766,Lookup!$F$3:$F$10,Lookup!$H$3:$H$10,,1)*G766, XLOOKUP(B766,Lookup!$F$14:$F$21,Lookup!$H$14:$H$21,,1)*G766),0)</f>
        <v>0</v>
      </c>
      <c r="J766" s="61">
        <f t="array" ref="J766">if(YEAR(A766)=2025,XLOOKUP(B766,Lookup!$F$3:$F$10,Lookup!$I$3:$I$10,,1)*G766, XLOOKUP(B766,Lookup!$F$14:$F$21,Lookup!$I$14:$I$21,,1)*G766)</f>
        <v>0</v>
      </c>
      <c r="K766" s="61">
        <f t="array" ref="K766">if(B766&gt;54, if(YEAR(A766)=2025,XLOOKUP(B766,Lookup!$F$3:$F$10,Lookup!$H$3:$H$10,,1)*G766, XLOOKUP(B766,Lookup!$F$14:$F$21,Lookup!$H$14:$H$21,,1)*G766),0)</f>
        <v>0</v>
      </c>
      <c r="L766" s="62">
        <f>IF(and(A766&lt;questions!$C$19,questions!$C$18="yes"),questions!$C$20,0)</f>
        <v>0</v>
      </c>
      <c r="M766" s="63">
        <f>(Y765+H766)*Lookup!A$26/12</f>
        <v>3812.665916</v>
      </c>
      <c r="N766" s="63">
        <f>if(B766&lt;55, (Z765+I766)*Lookup!B$26/12, (AB765+K766)*Lookup!B$26/12)</f>
        <v>8427.964858</v>
      </c>
      <c r="O766" s="63">
        <f>(AA765+J766)*Lookup!C$26/12</f>
        <v>940.3700287</v>
      </c>
      <c r="P766" s="63">
        <f t="shared" si="8"/>
        <v>38126.65916</v>
      </c>
      <c r="Q766" s="63">
        <f t="shared" si="4"/>
        <v>84279.64858</v>
      </c>
      <c r="R766" s="63">
        <f t="shared" si="5"/>
        <v>9403.700287</v>
      </c>
      <c r="S766" s="64">
        <f t="shared" si="9"/>
        <v>33.33333333</v>
      </c>
      <c r="T766" s="64">
        <f t="shared" si="10"/>
        <v>41.66666667</v>
      </c>
      <c r="U766" s="64">
        <f t="shared" si="11"/>
        <v>0</v>
      </c>
      <c r="V766" s="64">
        <f t="shared" ref="V766:X766" si="774">IF(year($A766)=year($A765), V765+S766, S766)</f>
        <v>333.3333333</v>
      </c>
      <c r="W766" s="64">
        <f t="shared" si="774"/>
        <v>416.6666667</v>
      </c>
      <c r="X766" s="64">
        <f t="shared" si="774"/>
        <v>0</v>
      </c>
      <c r="Y766" s="65">
        <f>IFS(
  B766&lt;55,
    MAX(
      Y765 + IF(MONTH(A766)=12, P766+V766, 0) + H766 - L766
      + MAX(0,
          IF(AA765 &gt;= VLOOKUP(YEAR(A766), Lookup!$Q:$R, 2),
            Z765 + IF(MONTH(A766)=12, Q766+W766, 0) + I766
              + AA765 + IF(MONTH(A766)=12, R766+X766, 0)
              - VLOOKUP(YEAR(A766), Lookup!$Q:$R, 2) + J766,
            Z765 + IF(MONTH(A766)=12, Q766+W766, 0) + I766
          ) - VLOOKUP(YEAR(A766), Lookup!$K:$M, 3)
        ),
    0),
  B766=55,
    IF(Z765&gt;=AD766,
      MAX(Y765 + IF(MONTH(A766)=12, P766+V766, 0) + H766 - L766, 0),
      MAX(MAX(0, Y765-(AD766-Z765)) + IF(MONTH(A766)=12, P766+V766, 0) + H766 - L766, 0)
    ),
  B766&gt;55,
    IF(AB765&gt;=$AH$7,
      MAX(Y765 + IF(MONTH(A766)=12, P766+V766, 0) + H766 - L766 + K766 + Z765, 0),
      MAX(Y765 + IF(MONTH(A766)=12, P766+V766, 0) + H766 - L766, 0)
    )
)</f>
        <v>1830079.64</v>
      </c>
      <c r="Z766" s="65">
        <f>IFS(
  B766&lt;55,
    MIN(
      IF(AA765 &gt;= VLOOKUP(YEAR(A766), Lookup!$Q:$R, 2),
        Z765 + IF(MONTH(A766)=12, Q766+W766, 0) + I766
          + AA765 + IF(MONTH(A766)=12, R766+X766, 0) - VLOOKUP(YEAR(A766), Lookup!$Q:$R, 2) + J766,
        Z765 + IF(MONTH(A766)=12, Q766+W766, 0) + I766
      ),
      VLOOKUP(YEAR(A766), Lookup!$K:$M, 3)
    ),
  B766=55,
    IF(Z765 &gt;= AD766, Z765 - AD766, 0),
  B766&gt;55, 0
)</f>
        <v>0</v>
      </c>
      <c r="AA766" s="65">
        <f>IFS(
  B766&lt;65,
    IF(AA765+J766 &lt; VLOOKUP(YEAR(A766), Lookup!$Q:$R, 2),
      AA765 + IF(MONTH(A766)=12, R765+X765, 0) + J766,
      MIN(
        AA765 + IF(MONTH(A766)=12, R765+X765, 0) + J766 ,
        VLOOKUP(YEAR(A766), Lookup!$Q:$R, 2)
      )
    ),
  B766&gt;=65,
    IF(AA765+J766 &lt; VLOOKUP(questions!$C$5, Lookup!$Q:$R, 2),
      AA765 + IF(MONTH(A766)=12, R765+X765, 0) + J766 ,
      MIN(
        AA765 + IF(MONTH(A766)=12, R765+X765, 0) + J766,
        VLOOKUP(questions!$C$5, Lookup!$Q:$R, 2)
      )
    )
)</f>
        <v>282111.0086</v>
      </c>
      <c r="AB766" s="65">
        <f t="shared" si="13"/>
        <v>2528389.458</v>
      </c>
      <c r="AC766" s="66">
        <f t="array" ref="AC766">IFS(B766&lt;66, XLOOKUP(year(A766),Lookup!$K$13:$K1000,Lookup!$L$13:$L1000,"missing",,1),B766&gt;65,XLOOKUP(questions!$C$5,Lookup!$K$13:$K1000,Lookup!$L$13:$L1000,"missing",,1))</f>
        <v>393675.3633</v>
      </c>
      <c r="AD766" s="66">
        <f t="array" ref="AD766">IFS(B766&lt;66, XLOOKUP(year(A766),Lookup!$K$13:$K1000,Lookup!$M$13:$M1000,"missing",,1),B766&gt;65, XLOOKUP(questions!$C$5,Lookup!$K$13:$K1000,Lookup!$M$13:$M1000,"missing",,1))</f>
        <v>787350.7266</v>
      </c>
      <c r="AE766" s="66">
        <f t="array" ref="AE766">IFS(B766&lt;66, XLOOKUP(year(A766),Lookup!$K$13:$K1000,Lookup!$N$13:$N1000,"missing",,1),B766&gt;65,XLOOKUP(questions!$C$5,Lookup!$K$13:$K1000,Lookup!$N$13:$N1000,"missing",,1))</f>
        <v>1574701.453</v>
      </c>
      <c r="AF766" s="37"/>
      <c r="AG766" s="37"/>
      <c r="AH766" s="37"/>
      <c r="AI766" s="37"/>
      <c r="AJ766" s="37"/>
      <c r="AK766" s="37"/>
      <c r="AL766" s="37"/>
      <c r="AM766" s="37"/>
      <c r="AN766" s="37"/>
      <c r="AO766" s="37"/>
      <c r="AP766" s="37"/>
      <c r="AQ766" s="37"/>
    </row>
    <row r="767">
      <c r="A767" s="55">
        <f t="shared" si="7"/>
        <v>69367</v>
      </c>
      <c r="B767" s="56">
        <f>round(YEARFRAC(EOMONTH(questions!$C$3, 0),A767,1),2)</f>
        <v>91</v>
      </c>
      <c r="C767" s="58">
        <f>IF(B767&lt;questions!$C$6,if(MONTH(A767)=1,C766*(1+questions!$C$12),C766),0)</f>
        <v>0</v>
      </c>
      <c r="D767" s="58">
        <f>IF(MONTH(A767)=12,C767*questions!$C$11,0)</f>
        <v>0</v>
      </c>
      <c r="E767" s="71">
        <f t="shared" si="2"/>
        <v>0</v>
      </c>
      <c r="F767" s="71">
        <f t="shared" si="3"/>
        <v>0</v>
      </c>
      <c r="G767" s="61">
        <f t="array" ref="G767">if(YEAR(A767)=2025,XLOOKUP(B767,Lookup!$A$3:$A$7,Lookup!$D$3:$D$7,,1)*SUM(E767:F767), XLOOKUP(B767,Lookup!$A$14:$A$18,Lookup!$D$14:$D$18,,1)*SUM(E767:F767))</f>
        <v>0</v>
      </c>
      <c r="H767" s="61">
        <f t="array" ref="H767">if(YEAR(A767)=2025,XLOOKUP(B767,Lookup!$F$3:$F$10,Lookup!$G$3:$G$10,,1)*G767, XLOOKUP(B767,Lookup!$F$14:$F$21,Lookup!$G$14:$G$21,,1)*G767)</f>
        <v>0</v>
      </c>
      <c r="I767" s="61">
        <f t="array" ref="I767">if(B767&lt;55, if(YEAR(A767)=2025,XLOOKUP(B767,Lookup!$F$3:$F$10,Lookup!$H$3:$H$10,,1)*G767, XLOOKUP(B767,Lookup!$F$14:$F$21,Lookup!$H$14:$H$21,,1)*G767),0)</f>
        <v>0</v>
      </c>
      <c r="J767" s="61">
        <f t="array" ref="J767">if(YEAR(A767)=2025,XLOOKUP(B767,Lookup!$F$3:$F$10,Lookup!$I$3:$I$10,,1)*G767, XLOOKUP(B767,Lookup!$F$14:$F$21,Lookup!$I$14:$I$21,,1)*G767)</f>
        <v>0</v>
      </c>
      <c r="K767" s="61">
        <f t="array" ref="K767">if(B767&gt;54, if(YEAR(A767)=2025,XLOOKUP(B767,Lookup!$F$3:$F$10,Lookup!$H$3:$H$10,,1)*G767, XLOOKUP(B767,Lookup!$F$14:$F$21,Lookup!$H$14:$H$21,,1)*G767),0)</f>
        <v>0</v>
      </c>
      <c r="L767" s="62">
        <f>IF(and(A767&lt;questions!$C$19,questions!$C$18="yes"),questions!$C$20,0)</f>
        <v>0</v>
      </c>
      <c r="M767" s="63">
        <f>(Y766+H767)*Lookup!A$26/12</f>
        <v>3812.665916</v>
      </c>
      <c r="N767" s="63">
        <f>if(B767&lt;55, (Z766+I767)*Lookup!B$26/12, (AB766+K767)*Lookup!B$26/12)</f>
        <v>8427.964858</v>
      </c>
      <c r="O767" s="63">
        <f>(AA766+J767)*Lookup!C$26/12</f>
        <v>940.3700287</v>
      </c>
      <c r="P767" s="63">
        <f t="shared" si="8"/>
        <v>41939.32507</v>
      </c>
      <c r="Q767" s="63">
        <f t="shared" si="4"/>
        <v>92707.61344</v>
      </c>
      <c r="R767" s="63">
        <f t="shared" si="5"/>
        <v>10344.07032</v>
      </c>
      <c r="S767" s="64">
        <f t="shared" si="9"/>
        <v>33.33333333</v>
      </c>
      <c r="T767" s="64">
        <f t="shared" si="10"/>
        <v>41.66666667</v>
      </c>
      <c r="U767" s="64">
        <f t="shared" si="11"/>
        <v>0</v>
      </c>
      <c r="V767" s="64">
        <f t="shared" ref="V767:X767" si="775">IF(year($A767)=year($A766), V766+S767, S767)</f>
        <v>366.6666667</v>
      </c>
      <c r="W767" s="64">
        <f t="shared" si="775"/>
        <v>458.3333333</v>
      </c>
      <c r="X767" s="64">
        <f t="shared" si="775"/>
        <v>0</v>
      </c>
      <c r="Y767" s="65">
        <f>IFS(
  B767&lt;55,
    MAX(
      Y766 + IF(MONTH(A767)=12, P767+V767, 0) + H767 - L767
      + MAX(0,
          IF(AA766 &gt;= VLOOKUP(YEAR(A767), Lookup!$Q:$R, 2),
            Z766 + IF(MONTH(A767)=12, Q767+W767, 0) + I767
              + AA766 + IF(MONTH(A767)=12, R767+X767, 0)
              - VLOOKUP(YEAR(A767), Lookup!$Q:$R, 2) + J767,
            Z766 + IF(MONTH(A767)=12, Q767+W767, 0) + I767
          ) - VLOOKUP(YEAR(A767), Lookup!$K:$M, 3)
        ),
    0),
  B767=55,
    IF(Z766&gt;=AD767,
      MAX(Y766 + IF(MONTH(A767)=12, P767+V767, 0) + H767 - L767, 0),
      MAX(MAX(0, Y766-(AD767-Z766)) + IF(MONTH(A767)=12, P767+V767, 0) + H767 - L767, 0)
    ),
  B767&gt;55,
    IF(AB766&gt;=$AH$7,
      MAX(Y766 + IF(MONTH(A767)=12, P767+V767, 0) + H767 - L767 + K767 + Z766, 0),
      MAX(Y766 + IF(MONTH(A767)=12, P767+V767, 0) + H767 - L767, 0)
    )
)</f>
        <v>1830079.64</v>
      </c>
      <c r="Z767" s="65">
        <f>IFS(
  B767&lt;55,
    MIN(
      IF(AA766 &gt;= VLOOKUP(YEAR(A767), Lookup!$Q:$R, 2),
        Z766 + IF(MONTH(A767)=12, Q767+W767, 0) + I767
          + AA766 + IF(MONTH(A767)=12, R767+X767, 0) - VLOOKUP(YEAR(A767), Lookup!$Q:$R, 2) + J767,
        Z766 + IF(MONTH(A767)=12, Q767+W767, 0) + I767
      ),
      VLOOKUP(YEAR(A767), Lookup!$K:$M, 3)
    ),
  B767=55,
    IF(Z766 &gt;= AD767, Z766 - AD767, 0),
  B767&gt;55, 0
)</f>
        <v>0</v>
      </c>
      <c r="AA767" s="65">
        <f>IFS(
  B767&lt;65,
    IF(AA766+J767 &lt; VLOOKUP(YEAR(A767), Lookup!$Q:$R, 2),
      AA766 + IF(MONTH(A767)=12, R766+X766, 0) + J767,
      MIN(
        AA766 + IF(MONTH(A767)=12, R766+X766, 0) + J767 ,
        VLOOKUP(YEAR(A767), Lookup!$Q:$R, 2)
      )
    ),
  B767&gt;=65,
    IF(AA766+J767 &lt; VLOOKUP(questions!$C$5, Lookup!$Q:$R, 2),
      AA766 + IF(MONTH(A767)=12, R766+X766, 0) + J767 ,
      MIN(
        AA766 + IF(MONTH(A767)=12, R766+X766, 0) + J767,
        VLOOKUP(questions!$C$5, Lookup!$Q:$R, 2)
      )
    )
)</f>
        <v>282111.0086</v>
      </c>
      <c r="AB767" s="65">
        <f t="shared" si="13"/>
        <v>2528389.458</v>
      </c>
      <c r="AC767" s="66">
        <f t="array" ref="AC767">IFS(B767&lt;66, XLOOKUP(year(A767),Lookup!$K$13:$K1000,Lookup!$L$13:$L1000,"missing",,1),B767&gt;65,XLOOKUP(questions!$C$5,Lookup!$K$13:$K1000,Lookup!$L$13:$L1000,"missing",,1))</f>
        <v>393675.3633</v>
      </c>
      <c r="AD767" s="66">
        <f t="array" ref="AD767">IFS(B767&lt;66, XLOOKUP(year(A767),Lookup!$K$13:$K1000,Lookup!$M$13:$M1000,"missing",,1),B767&gt;65, XLOOKUP(questions!$C$5,Lookup!$K$13:$K1000,Lookup!$M$13:$M1000,"missing",,1))</f>
        <v>787350.7266</v>
      </c>
      <c r="AE767" s="66">
        <f t="array" ref="AE767">IFS(B767&lt;66, XLOOKUP(year(A767),Lookup!$K$13:$K1000,Lookup!$N$13:$N1000,"missing",,1),B767&gt;65,XLOOKUP(questions!$C$5,Lookup!$K$13:$K1000,Lookup!$N$13:$N1000,"missing",,1))</f>
        <v>1574701.453</v>
      </c>
      <c r="AF767" s="37"/>
      <c r="AG767" s="37"/>
      <c r="AH767" s="37"/>
      <c r="AI767" s="37"/>
      <c r="AJ767" s="37"/>
      <c r="AK767" s="37"/>
      <c r="AL767" s="37"/>
      <c r="AM767" s="37"/>
      <c r="AN767" s="37"/>
      <c r="AO767" s="37"/>
      <c r="AP767" s="37"/>
      <c r="AQ767" s="37"/>
    </row>
    <row r="768">
      <c r="A768" s="55">
        <f t="shared" si="7"/>
        <v>69398</v>
      </c>
      <c r="B768" s="56">
        <f>round(YEARFRAC(EOMONTH(questions!$C$3, 0),A768,1),2)</f>
        <v>91.08</v>
      </c>
      <c r="C768" s="58">
        <f>IF(B768&lt;questions!$C$6,if(MONTH(A768)=1,C767*(1+questions!$C$12),C767),0)</f>
        <v>0</v>
      </c>
      <c r="D768" s="58">
        <f>IF(MONTH(A768)=12,C768*questions!$C$11,0)</f>
        <v>0</v>
      </c>
      <c r="E768" s="71">
        <f t="shared" si="2"/>
        <v>0</v>
      </c>
      <c r="F768" s="71">
        <f t="shared" si="3"/>
        <v>0</v>
      </c>
      <c r="G768" s="61">
        <f t="array" ref="G768">if(YEAR(A768)=2025,XLOOKUP(B768,Lookup!$A$3:$A$7,Lookup!$D$3:$D$7,,1)*SUM(E768:F768), XLOOKUP(B768,Lookup!$A$14:$A$18,Lookup!$D$14:$D$18,,1)*SUM(E768:F768))</f>
        <v>0</v>
      </c>
      <c r="H768" s="61">
        <f t="array" ref="H768">if(YEAR(A768)=2025,XLOOKUP(B768,Lookup!$F$3:$F$10,Lookup!$G$3:$G$10,,1)*G768, XLOOKUP(B768,Lookup!$F$14:$F$21,Lookup!$G$14:$G$21,,1)*G768)</f>
        <v>0</v>
      </c>
      <c r="I768" s="61">
        <f t="array" ref="I768">if(B768&lt;55, if(YEAR(A768)=2025,XLOOKUP(B768,Lookup!$F$3:$F$10,Lookup!$H$3:$H$10,,1)*G768, XLOOKUP(B768,Lookup!$F$14:$F$21,Lookup!$H$14:$H$21,,1)*G768),0)</f>
        <v>0</v>
      </c>
      <c r="J768" s="61">
        <f t="array" ref="J768">if(YEAR(A768)=2025,XLOOKUP(B768,Lookup!$F$3:$F$10,Lookup!$I$3:$I$10,,1)*G768, XLOOKUP(B768,Lookup!$F$14:$F$21,Lookup!$I$14:$I$21,,1)*G768)</f>
        <v>0</v>
      </c>
      <c r="K768" s="61">
        <f t="array" ref="K768">if(B768&gt;54, if(YEAR(A768)=2025,XLOOKUP(B768,Lookup!$F$3:$F$10,Lookup!$H$3:$H$10,,1)*G768, XLOOKUP(B768,Lookup!$F$14:$F$21,Lookup!$H$14:$H$21,,1)*G768),0)</f>
        <v>0</v>
      </c>
      <c r="L768" s="62">
        <f>IF(and(A768&lt;questions!$C$19,questions!$C$18="yes"),questions!$C$20,0)</f>
        <v>0</v>
      </c>
      <c r="M768" s="63">
        <f>(Y767+H768)*Lookup!A$26/12</f>
        <v>3812.665916</v>
      </c>
      <c r="N768" s="63">
        <f>if(B768&lt;55, (Z767+I768)*Lookup!B$26/12, (AB767+K768)*Lookup!B$26/12)</f>
        <v>8427.964858</v>
      </c>
      <c r="O768" s="63">
        <f>(AA767+J768)*Lookup!C$26/12</f>
        <v>940.3700287</v>
      </c>
      <c r="P768" s="63">
        <f t="shared" si="8"/>
        <v>45751.99099</v>
      </c>
      <c r="Q768" s="63">
        <f t="shared" si="4"/>
        <v>101135.5783</v>
      </c>
      <c r="R768" s="63">
        <f t="shared" si="5"/>
        <v>11284.44034</v>
      </c>
      <c r="S768" s="64">
        <f t="shared" si="9"/>
        <v>33.33333333</v>
      </c>
      <c r="T768" s="64">
        <f t="shared" si="10"/>
        <v>41.66666667</v>
      </c>
      <c r="U768" s="64">
        <f t="shared" si="11"/>
        <v>0</v>
      </c>
      <c r="V768" s="64">
        <f t="shared" ref="V768:X768" si="776">IF(year($A768)=year($A767), V767+S768, S768)</f>
        <v>400</v>
      </c>
      <c r="W768" s="64">
        <f t="shared" si="776"/>
        <v>500</v>
      </c>
      <c r="X768" s="64">
        <f t="shared" si="776"/>
        <v>0</v>
      </c>
      <c r="Y768" s="65">
        <f>IFS(
  B768&lt;55,
    MAX(
      Y767 + IF(MONTH(A768)=12, P768+V768, 0) + H768 - L768
      + MAX(0,
          IF(AA767 &gt;= VLOOKUP(YEAR(A768), Lookup!$Q:$R, 2),
            Z767 + IF(MONTH(A768)=12, Q768+W768, 0) + I768
              + AA767 + IF(MONTH(A768)=12, R768+X768, 0)
              - VLOOKUP(YEAR(A768), Lookup!$Q:$R, 2) + J768,
            Z767 + IF(MONTH(A768)=12, Q768+W768, 0) + I768
          ) - VLOOKUP(YEAR(A768), Lookup!$K:$M, 3)
        ),
    0),
  B768=55,
    IF(Z767&gt;=AD768,
      MAX(Y767 + IF(MONTH(A768)=12, P768+V768, 0) + H768 - L768, 0),
      MAX(MAX(0, Y767-(AD768-Z767)) + IF(MONTH(A768)=12, P768+V768, 0) + H768 - L768, 0)
    ),
  B768&gt;55,
    IF(AB767&gt;=$AH$7,
      MAX(Y767 + IF(MONTH(A768)=12, P768+V768, 0) + H768 - L768 + K768 + Z767, 0),
      MAX(Y767 + IF(MONTH(A768)=12, P768+V768, 0) + H768 - L768, 0)
    )
)</f>
        <v>1876231.631</v>
      </c>
      <c r="Z768" s="65">
        <f>IFS(
  B768&lt;55,
    MIN(
      IF(AA767 &gt;= VLOOKUP(YEAR(A768), Lookup!$Q:$R, 2),
        Z767 + IF(MONTH(A768)=12, Q768+W768, 0) + I768
          + AA767 + IF(MONTH(A768)=12, R768+X768, 0) - VLOOKUP(YEAR(A768), Lookup!$Q:$R, 2) + J768,
        Z767 + IF(MONTH(A768)=12, Q768+W768, 0) + I768
      ),
      VLOOKUP(YEAR(A768), Lookup!$K:$M, 3)
    ),
  B768=55,
    IF(Z767 &gt;= AD768, Z767 - AD768, 0),
  B768&gt;55, 0
)</f>
        <v>0</v>
      </c>
      <c r="AA768" s="65">
        <f>IFS(
  B768&lt;65,
    IF(AA767+J768 &lt; VLOOKUP(YEAR(A768), Lookup!$Q:$R, 2),
      AA767 + IF(MONTH(A768)=12, R767+X767, 0) + J768,
      MIN(
        AA767 + IF(MONTH(A768)=12, R767+X767, 0) + J768 ,
        VLOOKUP(YEAR(A768), Lookup!$Q:$R, 2)
      )
    ),
  B768&gt;=65,
    IF(AA767+J768 &lt; VLOOKUP(questions!$C$5, Lookup!$Q:$R, 2),
      AA767 + IF(MONTH(A768)=12, R767+X767, 0) + J768 ,
      MIN(
        AA767 + IF(MONTH(A768)=12, R767+X767, 0) + J768,
        VLOOKUP(questions!$C$5, Lookup!$Q:$R, 2)
      )
    )
)</f>
        <v>282111.0086</v>
      </c>
      <c r="AB768" s="65">
        <f t="shared" si="13"/>
        <v>2630025.036</v>
      </c>
      <c r="AC768" s="66">
        <f t="array" ref="AC768">IFS(B768&lt;66, XLOOKUP(year(A768),Lookup!$K$13:$K1000,Lookup!$L$13:$L1000,"missing",,1),B768&gt;65,XLOOKUP(questions!$C$5,Lookup!$K$13:$K1000,Lookup!$L$13:$L1000,"missing",,1))</f>
        <v>393675.3633</v>
      </c>
      <c r="AD768" s="66">
        <f t="array" ref="AD768">IFS(B768&lt;66, XLOOKUP(year(A768),Lookup!$K$13:$K1000,Lookup!$M$13:$M1000,"missing",,1),B768&gt;65, XLOOKUP(questions!$C$5,Lookup!$K$13:$K1000,Lookup!$M$13:$M1000,"missing",,1))</f>
        <v>787350.7266</v>
      </c>
      <c r="AE768" s="66">
        <f t="array" ref="AE768">IFS(B768&lt;66, XLOOKUP(year(A768),Lookup!$K$13:$K1000,Lookup!$N$13:$N1000,"missing",,1),B768&gt;65,XLOOKUP(questions!$C$5,Lookup!$K$13:$K1000,Lookup!$N$13:$N1000,"missing",,1))</f>
        <v>1574701.453</v>
      </c>
      <c r="AF768" s="37"/>
      <c r="AG768" s="37"/>
      <c r="AH768" s="37"/>
      <c r="AI768" s="37"/>
      <c r="AJ768" s="37"/>
      <c r="AK768" s="37"/>
      <c r="AL768" s="37"/>
      <c r="AM768" s="37"/>
      <c r="AN768" s="37"/>
      <c r="AO768" s="37"/>
      <c r="AP768" s="37"/>
      <c r="AQ768" s="37"/>
    </row>
    <row r="769">
      <c r="A769" s="55">
        <f t="shared" si="7"/>
        <v>69429</v>
      </c>
      <c r="B769" s="56">
        <f>round(YEARFRAC(EOMONTH(questions!$C$3, 0),A769,1),2)</f>
        <v>91.17</v>
      </c>
      <c r="C769" s="58">
        <f>IF(B769&lt;questions!$C$6,if(MONTH(A769)=1,C768*(1+questions!$C$12),C768),0)</f>
        <v>0</v>
      </c>
      <c r="D769" s="58">
        <f>IF(MONTH(A769)=12,C769*questions!$C$11,0)</f>
        <v>0</v>
      </c>
      <c r="E769" s="71">
        <f t="shared" si="2"/>
        <v>0</v>
      </c>
      <c r="F769" s="71">
        <f t="shared" si="3"/>
        <v>0</v>
      </c>
      <c r="G769" s="61">
        <f t="array" ref="G769">if(YEAR(A769)=2025,XLOOKUP(B769,Lookup!$A$3:$A$7,Lookup!$D$3:$D$7,,1)*SUM(E769:F769), XLOOKUP(B769,Lookup!$A$14:$A$18,Lookup!$D$14:$D$18,,1)*SUM(E769:F769))</f>
        <v>0</v>
      </c>
      <c r="H769" s="61">
        <f t="array" ref="H769">if(YEAR(A769)=2025,XLOOKUP(B769,Lookup!$F$3:$F$10,Lookup!$G$3:$G$10,,1)*G769, XLOOKUP(B769,Lookup!$F$14:$F$21,Lookup!$G$14:$G$21,,1)*G769)</f>
        <v>0</v>
      </c>
      <c r="I769" s="61">
        <f t="array" ref="I769">if(B769&lt;55, if(YEAR(A769)=2025,XLOOKUP(B769,Lookup!$F$3:$F$10,Lookup!$H$3:$H$10,,1)*G769, XLOOKUP(B769,Lookup!$F$14:$F$21,Lookup!$H$14:$H$21,,1)*G769),0)</f>
        <v>0</v>
      </c>
      <c r="J769" s="61">
        <f t="array" ref="J769">if(YEAR(A769)=2025,XLOOKUP(B769,Lookup!$F$3:$F$10,Lookup!$I$3:$I$10,,1)*G769, XLOOKUP(B769,Lookup!$F$14:$F$21,Lookup!$I$14:$I$21,,1)*G769)</f>
        <v>0</v>
      </c>
      <c r="K769" s="61">
        <f t="array" ref="K769">if(B769&gt;54, if(YEAR(A769)=2025,XLOOKUP(B769,Lookup!$F$3:$F$10,Lookup!$H$3:$H$10,,1)*G769, XLOOKUP(B769,Lookup!$F$14:$F$21,Lookup!$H$14:$H$21,,1)*G769),0)</f>
        <v>0</v>
      </c>
      <c r="L769" s="62">
        <f>IF(and(A769&lt;questions!$C$19,questions!$C$18="yes"),questions!$C$20,0)</f>
        <v>0</v>
      </c>
      <c r="M769" s="63">
        <f>(Y768+H769)*Lookup!A$26/12</f>
        <v>3908.815897</v>
      </c>
      <c r="N769" s="63">
        <f>if(B769&lt;55, (Z768+I769)*Lookup!B$26/12, (AB768+K769)*Lookup!B$26/12)</f>
        <v>8766.750119</v>
      </c>
      <c r="O769" s="63">
        <f>(AA768+J769)*Lookup!C$26/12</f>
        <v>940.3700287</v>
      </c>
      <c r="P769" s="63">
        <f t="shared" si="8"/>
        <v>3908.815897</v>
      </c>
      <c r="Q769" s="63">
        <f t="shared" si="4"/>
        <v>8766.750119</v>
      </c>
      <c r="R769" s="63">
        <f t="shared" si="5"/>
        <v>940.3700287</v>
      </c>
      <c r="S769" s="64">
        <f t="shared" si="9"/>
        <v>33.33333333</v>
      </c>
      <c r="T769" s="64">
        <f t="shared" si="10"/>
        <v>41.66666667</v>
      </c>
      <c r="U769" s="64">
        <f t="shared" si="11"/>
        <v>0</v>
      </c>
      <c r="V769" s="64">
        <f t="shared" ref="V769:X769" si="777">IF(year($A769)=year($A768), V768+S769, S769)</f>
        <v>33.33333333</v>
      </c>
      <c r="W769" s="64">
        <f t="shared" si="777"/>
        <v>41.66666667</v>
      </c>
      <c r="X769" s="64">
        <f t="shared" si="777"/>
        <v>0</v>
      </c>
      <c r="Y769" s="65">
        <f>IFS(
  B769&lt;55,
    MAX(
      Y768 + IF(MONTH(A769)=12, P769+V769, 0) + H769 - L769
      + MAX(0,
          IF(AA768 &gt;= VLOOKUP(YEAR(A769), Lookup!$Q:$R, 2),
            Z768 + IF(MONTH(A769)=12, Q769+W769, 0) + I769
              + AA768 + IF(MONTH(A769)=12, R769+X769, 0)
              - VLOOKUP(YEAR(A769), Lookup!$Q:$R, 2) + J769,
            Z768 + IF(MONTH(A769)=12, Q769+W769, 0) + I769
          ) - VLOOKUP(YEAR(A769), Lookup!$K:$M, 3)
        ),
    0),
  B769=55,
    IF(Z768&gt;=AD769,
      MAX(Y768 + IF(MONTH(A769)=12, P769+V769, 0) + H769 - L769, 0),
      MAX(MAX(0, Y768-(AD769-Z768)) + IF(MONTH(A769)=12, P769+V769, 0) + H769 - L769, 0)
    ),
  B769&gt;55,
    IF(AB768&gt;=$AH$7,
      MAX(Y768 + IF(MONTH(A769)=12, P769+V769, 0) + H769 - L769 + K769 + Z768, 0),
      MAX(Y768 + IF(MONTH(A769)=12, P769+V769, 0) + H769 - L769, 0)
    )
)</f>
        <v>1876231.631</v>
      </c>
      <c r="Z769" s="65">
        <f>IFS(
  B769&lt;55,
    MIN(
      IF(AA768 &gt;= VLOOKUP(YEAR(A769), Lookup!$Q:$R, 2),
        Z768 + IF(MONTH(A769)=12, Q769+W769, 0) + I769
          + AA768 + IF(MONTH(A769)=12, R769+X769, 0) - VLOOKUP(YEAR(A769), Lookup!$Q:$R, 2) + J769,
        Z768 + IF(MONTH(A769)=12, Q769+W769, 0) + I769
      ),
      VLOOKUP(YEAR(A769), Lookup!$K:$M, 3)
    ),
  B769=55,
    IF(Z768 &gt;= AD769, Z768 - AD769, 0),
  B769&gt;55, 0
)</f>
        <v>0</v>
      </c>
      <c r="AA769" s="65">
        <f>IFS(
  B769&lt;65,
    IF(AA768+J769 &lt; VLOOKUP(YEAR(A769), Lookup!$Q:$R, 2),
      AA768 + IF(MONTH(A769)=12, R768+X768, 0) + J769,
      MIN(
        AA768 + IF(MONTH(A769)=12, R768+X768, 0) + J769 ,
        VLOOKUP(YEAR(A769), Lookup!$Q:$R, 2)
      )
    ),
  B769&gt;=65,
    IF(AA768+J769 &lt; VLOOKUP(questions!$C$5, Lookup!$Q:$R, 2),
      AA768 + IF(MONTH(A769)=12, R768+X768, 0) + J769 ,
      MIN(
        AA768 + IF(MONTH(A769)=12, R768+X768, 0) + J769,
        VLOOKUP(questions!$C$5, Lookup!$Q:$R, 2)
      )
    )
)</f>
        <v>282111.0086</v>
      </c>
      <c r="AB769" s="65">
        <f t="shared" si="13"/>
        <v>2630025.036</v>
      </c>
      <c r="AC769" s="66">
        <f t="array" ref="AC769">IFS(B769&lt;66, XLOOKUP(year(A769),Lookup!$K$13:$K1000,Lookup!$L$13:$L1000,"missing",,1),B769&gt;65,XLOOKUP(questions!$C$5,Lookup!$K$13:$K1000,Lookup!$L$13:$L1000,"missing",,1))</f>
        <v>393675.3633</v>
      </c>
      <c r="AD769" s="66">
        <f t="array" ref="AD769">IFS(B769&lt;66, XLOOKUP(year(A769),Lookup!$K$13:$K1000,Lookup!$M$13:$M1000,"missing",,1),B769&gt;65, XLOOKUP(questions!$C$5,Lookup!$K$13:$K1000,Lookup!$M$13:$M1000,"missing",,1))</f>
        <v>787350.7266</v>
      </c>
      <c r="AE769" s="66">
        <f t="array" ref="AE769">IFS(B769&lt;66, XLOOKUP(year(A769),Lookup!$K$13:$K1000,Lookup!$N$13:$N1000,"missing",,1),B769&gt;65,XLOOKUP(questions!$C$5,Lookup!$K$13:$K1000,Lookup!$N$13:$N1000,"missing",,1))</f>
        <v>1574701.453</v>
      </c>
      <c r="AF769" s="37"/>
      <c r="AG769" s="37"/>
      <c r="AH769" s="37"/>
      <c r="AI769" s="37"/>
      <c r="AJ769" s="37"/>
      <c r="AK769" s="37"/>
      <c r="AL769" s="37"/>
      <c r="AM769" s="37"/>
      <c r="AN769" s="37"/>
      <c r="AO769" s="37"/>
      <c r="AP769" s="37"/>
      <c r="AQ769" s="37"/>
    </row>
    <row r="770">
      <c r="A770" s="55">
        <f t="shared" si="7"/>
        <v>69457</v>
      </c>
      <c r="B770" s="56">
        <f>round(YEARFRAC(EOMONTH(questions!$C$3, 0),A770,1),2)</f>
        <v>91.25</v>
      </c>
      <c r="C770" s="58">
        <f>IF(B770&lt;questions!$C$6,if(MONTH(A770)=1,C769*(1+questions!$C$12),C769),0)</f>
        <v>0</v>
      </c>
      <c r="D770" s="58">
        <f>IF(MONTH(A770)=12,C770*questions!$C$11,0)</f>
        <v>0</v>
      </c>
      <c r="E770" s="71">
        <f t="shared" si="2"/>
        <v>0</v>
      </c>
      <c r="F770" s="71">
        <f t="shared" si="3"/>
        <v>0</v>
      </c>
      <c r="G770" s="61">
        <f t="array" ref="G770">if(YEAR(A770)=2025,XLOOKUP(B770,Lookup!$A$3:$A$7,Lookup!$D$3:$D$7,,1)*SUM(E770:F770), XLOOKUP(B770,Lookup!$A$14:$A$18,Lookup!$D$14:$D$18,,1)*SUM(E770:F770))</f>
        <v>0</v>
      </c>
      <c r="H770" s="61">
        <f t="array" ref="H770">if(YEAR(A770)=2025,XLOOKUP(B770,Lookup!$F$3:$F$10,Lookup!$G$3:$G$10,,1)*G770, XLOOKUP(B770,Lookup!$F$14:$F$21,Lookup!$G$14:$G$21,,1)*G770)</f>
        <v>0</v>
      </c>
      <c r="I770" s="61">
        <f t="array" ref="I770">if(B770&lt;55, if(YEAR(A770)=2025,XLOOKUP(B770,Lookup!$F$3:$F$10,Lookup!$H$3:$H$10,,1)*G770, XLOOKUP(B770,Lookup!$F$14:$F$21,Lookup!$H$14:$H$21,,1)*G770),0)</f>
        <v>0</v>
      </c>
      <c r="J770" s="61">
        <f t="array" ref="J770">if(YEAR(A770)=2025,XLOOKUP(B770,Lookup!$F$3:$F$10,Lookup!$I$3:$I$10,,1)*G770, XLOOKUP(B770,Lookup!$F$14:$F$21,Lookup!$I$14:$I$21,,1)*G770)</f>
        <v>0</v>
      </c>
      <c r="K770" s="61">
        <f t="array" ref="K770">if(B770&gt;54, if(YEAR(A770)=2025,XLOOKUP(B770,Lookup!$F$3:$F$10,Lookup!$H$3:$H$10,,1)*G770, XLOOKUP(B770,Lookup!$F$14:$F$21,Lookup!$H$14:$H$21,,1)*G770),0)</f>
        <v>0</v>
      </c>
      <c r="L770" s="62">
        <f>IF(and(A770&lt;questions!$C$19,questions!$C$18="yes"),questions!$C$20,0)</f>
        <v>0</v>
      </c>
      <c r="M770" s="63">
        <f>(Y769+H770)*Lookup!A$26/12</f>
        <v>3908.815897</v>
      </c>
      <c r="N770" s="63">
        <f>if(B770&lt;55, (Z769+I770)*Lookup!B$26/12, (AB769+K770)*Lookup!B$26/12)</f>
        <v>8766.750119</v>
      </c>
      <c r="O770" s="63">
        <f>(AA769+J770)*Lookup!C$26/12</f>
        <v>940.3700287</v>
      </c>
      <c r="P770" s="63">
        <f t="shared" si="8"/>
        <v>7817.631794</v>
      </c>
      <c r="Q770" s="63">
        <f t="shared" si="4"/>
        <v>17533.50024</v>
      </c>
      <c r="R770" s="63">
        <f t="shared" si="5"/>
        <v>1880.740057</v>
      </c>
      <c r="S770" s="64">
        <f t="shared" si="9"/>
        <v>33.33333333</v>
      </c>
      <c r="T770" s="64">
        <f t="shared" si="10"/>
        <v>41.66666667</v>
      </c>
      <c r="U770" s="64">
        <f t="shared" si="11"/>
        <v>0</v>
      </c>
      <c r="V770" s="64">
        <f t="shared" ref="V770:X770" si="778">IF(year($A770)=year($A769), V769+S770, S770)</f>
        <v>66.66666667</v>
      </c>
      <c r="W770" s="64">
        <f t="shared" si="778"/>
        <v>83.33333333</v>
      </c>
      <c r="X770" s="64">
        <f t="shared" si="778"/>
        <v>0</v>
      </c>
      <c r="Y770" s="65">
        <f>IFS(
  B770&lt;55,
    MAX(
      Y769 + IF(MONTH(A770)=12, P770+V770, 0) + H770 - L770
      + MAX(0,
          IF(AA769 &gt;= VLOOKUP(YEAR(A770), Lookup!$Q:$R, 2),
            Z769 + IF(MONTH(A770)=12, Q770+W770, 0) + I770
              + AA769 + IF(MONTH(A770)=12, R770+X770, 0)
              - VLOOKUP(YEAR(A770), Lookup!$Q:$R, 2) + J770,
            Z769 + IF(MONTH(A770)=12, Q770+W770, 0) + I770
          ) - VLOOKUP(YEAR(A770), Lookup!$K:$M, 3)
        ),
    0),
  B770=55,
    IF(Z769&gt;=AD770,
      MAX(Y769 + IF(MONTH(A770)=12, P770+V770, 0) + H770 - L770, 0),
      MAX(MAX(0, Y769-(AD770-Z769)) + IF(MONTH(A770)=12, P770+V770, 0) + H770 - L770, 0)
    ),
  B770&gt;55,
    IF(AB769&gt;=$AH$7,
      MAX(Y769 + IF(MONTH(A770)=12, P770+V770, 0) + H770 - L770 + K770 + Z769, 0),
      MAX(Y769 + IF(MONTH(A770)=12, P770+V770, 0) + H770 - L770, 0)
    )
)</f>
        <v>1876231.631</v>
      </c>
      <c r="Z770" s="65">
        <f>IFS(
  B770&lt;55,
    MIN(
      IF(AA769 &gt;= VLOOKUP(YEAR(A770), Lookup!$Q:$R, 2),
        Z769 + IF(MONTH(A770)=12, Q770+W770, 0) + I770
          + AA769 + IF(MONTH(A770)=12, R770+X770, 0) - VLOOKUP(YEAR(A770), Lookup!$Q:$R, 2) + J770,
        Z769 + IF(MONTH(A770)=12, Q770+W770, 0) + I770
      ),
      VLOOKUP(YEAR(A770), Lookup!$K:$M, 3)
    ),
  B770=55,
    IF(Z769 &gt;= AD770, Z769 - AD770, 0),
  B770&gt;55, 0
)</f>
        <v>0</v>
      </c>
      <c r="AA770" s="65">
        <f>IFS(
  B770&lt;65,
    IF(AA769+J770 &lt; VLOOKUP(YEAR(A770), Lookup!$Q:$R, 2),
      AA769 + IF(MONTH(A770)=12, R769+X769, 0) + J770,
      MIN(
        AA769 + IF(MONTH(A770)=12, R769+X769, 0) + J770 ,
        VLOOKUP(YEAR(A770), Lookup!$Q:$R, 2)
      )
    ),
  B770&gt;=65,
    IF(AA769+J770 &lt; VLOOKUP(questions!$C$5, Lookup!$Q:$R, 2),
      AA769 + IF(MONTH(A770)=12, R769+X769, 0) + J770 ,
      MIN(
        AA769 + IF(MONTH(A770)=12, R769+X769, 0) + J770,
        VLOOKUP(questions!$C$5, Lookup!$Q:$R, 2)
      )
    )
)</f>
        <v>282111.0086</v>
      </c>
      <c r="AB770" s="65">
        <f t="shared" si="13"/>
        <v>2630025.036</v>
      </c>
      <c r="AC770" s="66">
        <f t="array" ref="AC770">IFS(B770&lt;66, XLOOKUP(year(A770),Lookup!$K$13:$K1000,Lookup!$L$13:$L1000,"missing",,1),B770&gt;65,XLOOKUP(questions!$C$5,Lookup!$K$13:$K1000,Lookup!$L$13:$L1000,"missing",,1))</f>
        <v>393675.3633</v>
      </c>
      <c r="AD770" s="66">
        <f t="array" ref="AD770">IFS(B770&lt;66, XLOOKUP(year(A770),Lookup!$K$13:$K1000,Lookup!$M$13:$M1000,"missing",,1),B770&gt;65, XLOOKUP(questions!$C$5,Lookup!$K$13:$K1000,Lookup!$M$13:$M1000,"missing",,1))</f>
        <v>787350.7266</v>
      </c>
      <c r="AE770" s="66">
        <f t="array" ref="AE770">IFS(B770&lt;66, XLOOKUP(year(A770),Lookup!$K$13:$K1000,Lookup!$N$13:$N1000,"missing",,1),B770&gt;65,XLOOKUP(questions!$C$5,Lookup!$K$13:$K1000,Lookup!$N$13:$N1000,"missing",,1))</f>
        <v>1574701.453</v>
      </c>
      <c r="AF770" s="37"/>
      <c r="AG770" s="37"/>
      <c r="AH770" s="37"/>
      <c r="AI770" s="37"/>
      <c r="AJ770" s="37"/>
      <c r="AK770" s="37"/>
      <c r="AL770" s="37"/>
      <c r="AM770" s="37"/>
      <c r="AN770" s="37"/>
      <c r="AO770" s="37"/>
      <c r="AP770" s="37"/>
      <c r="AQ770" s="37"/>
    </row>
    <row r="771">
      <c r="A771" s="55">
        <f t="shared" si="7"/>
        <v>69488</v>
      </c>
      <c r="B771" s="56">
        <f>round(YEARFRAC(EOMONTH(questions!$C$3, 0),A771,1),2)</f>
        <v>91.33</v>
      </c>
      <c r="C771" s="58">
        <f>IF(B771&lt;questions!$C$6,if(MONTH(A771)=1,C770*(1+questions!$C$12),C770),0)</f>
        <v>0</v>
      </c>
      <c r="D771" s="58">
        <f>IF(MONTH(A771)=12,C771*questions!$C$11,0)</f>
        <v>0</v>
      </c>
      <c r="E771" s="71">
        <f t="shared" si="2"/>
        <v>0</v>
      </c>
      <c r="F771" s="71">
        <f t="shared" si="3"/>
        <v>0</v>
      </c>
      <c r="G771" s="61">
        <f t="array" ref="G771">if(YEAR(A771)=2025,XLOOKUP(B771,Lookup!$A$3:$A$7,Lookup!$D$3:$D$7,,1)*SUM(E771:F771), XLOOKUP(B771,Lookup!$A$14:$A$18,Lookup!$D$14:$D$18,,1)*SUM(E771:F771))</f>
        <v>0</v>
      </c>
      <c r="H771" s="61">
        <f t="array" ref="H771">if(YEAR(A771)=2025,XLOOKUP(B771,Lookup!$F$3:$F$10,Lookup!$G$3:$G$10,,1)*G771, XLOOKUP(B771,Lookup!$F$14:$F$21,Lookup!$G$14:$G$21,,1)*G771)</f>
        <v>0</v>
      </c>
      <c r="I771" s="61">
        <f t="array" ref="I771">if(B771&lt;55, if(YEAR(A771)=2025,XLOOKUP(B771,Lookup!$F$3:$F$10,Lookup!$H$3:$H$10,,1)*G771, XLOOKUP(B771,Lookup!$F$14:$F$21,Lookup!$H$14:$H$21,,1)*G771),0)</f>
        <v>0</v>
      </c>
      <c r="J771" s="61">
        <f t="array" ref="J771">if(YEAR(A771)=2025,XLOOKUP(B771,Lookup!$F$3:$F$10,Lookup!$I$3:$I$10,,1)*G771, XLOOKUP(B771,Lookup!$F$14:$F$21,Lookup!$I$14:$I$21,,1)*G771)</f>
        <v>0</v>
      </c>
      <c r="K771" s="61">
        <f t="array" ref="K771">if(B771&gt;54, if(YEAR(A771)=2025,XLOOKUP(B771,Lookup!$F$3:$F$10,Lookup!$H$3:$H$10,,1)*G771, XLOOKUP(B771,Lookup!$F$14:$F$21,Lookup!$H$14:$H$21,,1)*G771),0)</f>
        <v>0</v>
      </c>
      <c r="L771" s="62">
        <f>IF(and(A771&lt;questions!$C$19,questions!$C$18="yes"),questions!$C$20,0)</f>
        <v>0</v>
      </c>
      <c r="M771" s="63">
        <f>(Y770+H771)*Lookup!A$26/12</f>
        <v>3908.815897</v>
      </c>
      <c r="N771" s="63">
        <f>if(B771&lt;55, (Z770+I771)*Lookup!B$26/12, (AB770+K771)*Lookup!B$26/12)</f>
        <v>8766.750119</v>
      </c>
      <c r="O771" s="63">
        <f>(AA770+J771)*Lookup!C$26/12</f>
        <v>940.3700287</v>
      </c>
      <c r="P771" s="63">
        <f t="shared" si="8"/>
        <v>11726.44769</v>
      </c>
      <c r="Q771" s="63">
        <f t="shared" si="4"/>
        <v>26300.25036</v>
      </c>
      <c r="R771" s="63">
        <f t="shared" si="5"/>
        <v>2821.110086</v>
      </c>
      <c r="S771" s="64">
        <f t="shared" si="9"/>
        <v>33.33333333</v>
      </c>
      <c r="T771" s="64">
        <f t="shared" si="10"/>
        <v>41.66666667</v>
      </c>
      <c r="U771" s="64">
        <f t="shared" si="11"/>
        <v>0</v>
      </c>
      <c r="V771" s="64">
        <f t="shared" ref="V771:X771" si="779">IF(year($A771)=year($A770), V770+S771, S771)</f>
        <v>100</v>
      </c>
      <c r="W771" s="64">
        <f t="shared" si="779"/>
        <v>125</v>
      </c>
      <c r="X771" s="64">
        <f t="shared" si="779"/>
        <v>0</v>
      </c>
      <c r="Y771" s="65">
        <f>IFS(
  B771&lt;55,
    MAX(
      Y770 + IF(MONTH(A771)=12, P771+V771, 0) + H771 - L771
      + MAX(0,
          IF(AA770 &gt;= VLOOKUP(YEAR(A771), Lookup!$Q:$R, 2),
            Z770 + IF(MONTH(A771)=12, Q771+W771, 0) + I771
              + AA770 + IF(MONTH(A771)=12, R771+X771, 0)
              - VLOOKUP(YEAR(A771), Lookup!$Q:$R, 2) + J771,
            Z770 + IF(MONTH(A771)=12, Q771+W771, 0) + I771
          ) - VLOOKUP(YEAR(A771), Lookup!$K:$M, 3)
        ),
    0),
  B771=55,
    IF(Z770&gt;=AD771,
      MAX(Y770 + IF(MONTH(A771)=12, P771+V771, 0) + H771 - L771, 0),
      MAX(MAX(0, Y770-(AD771-Z770)) + IF(MONTH(A771)=12, P771+V771, 0) + H771 - L771, 0)
    ),
  B771&gt;55,
    IF(AB770&gt;=$AH$7,
      MAX(Y770 + IF(MONTH(A771)=12, P771+V771, 0) + H771 - L771 + K771 + Z770, 0),
      MAX(Y770 + IF(MONTH(A771)=12, P771+V771, 0) + H771 - L771, 0)
    )
)</f>
        <v>1876231.631</v>
      </c>
      <c r="Z771" s="65">
        <f>IFS(
  B771&lt;55,
    MIN(
      IF(AA770 &gt;= VLOOKUP(YEAR(A771), Lookup!$Q:$R, 2),
        Z770 + IF(MONTH(A771)=12, Q771+W771, 0) + I771
          + AA770 + IF(MONTH(A771)=12, R771+X771, 0) - VLOOKUP(YEAR(A771), Lookup!$Q:$R, 2) + J771,
        Z770 + IF(MONTH(A771)=12, Q771+W771, 0) + I771
      ),
      VLOOKUP(YEAR(A771), Lookup!$K:$M, 3)
    ),
  B771=55,
    IF(Z770 &gt;= AD771, Z770 - AD771, 0),
  B771&gt;55, 0
)</f>
        <v>0</v>
      </c>
      <c r="AA771" s="65">
        <f>IFS(
  B771&lt;65,
    IF(AA770+J771 &lt; VLOOKUP(YEAR(A771), Lookup!$Q:$R, 2),
      AA770 + IF(MONTH(A771)=12, R770+X770, 0) + J771,
      MIN(
        AA770 + IF(MONTH(A771)=12, R770+X770, 0) + J771 ,
        VLOOKUP(YEAR(A771), Lookup!$Q:$R, 2)
      )
    ),
  B771&gt;=65,
    IF(AA770+J771 &lt; VLOOKUP(questions!$C$5, Lookup!$Q:$R, 2),
      AA770 + IF(MONTH(A771)=12, R770+X770, 0) + J771 ,
      MIN(
        AA770 + IF(MONTH(A771)=12, R770+X770, 0) + J771,
        VLOOKUP(questions!$C$5, Lookup!$Q:$R, 2)
      )
    )
)</f>
        <v>282111.0086</v>
      </c>
      <c r="AB771" s="65">
        <f t="shared" si="13"/>
        <v>2630025.036</v>
      </c>
      <c r="AC771" s="66">
        <f t="array" ref="AC771">IFS(B771&lt;66, XLOOKUP(year(A771),Lookup!$K$13:$K1000,Lookup!$L$13:$L1000,"missing",,1),B771&gt;65,XLOOKUP(questions!$C$5,Lookup!$K$13:$K1000,Lookup!$L$13:$L1000,"missing",,1))</f>
        <v>393675.3633</v>
      </c>
      <c r="AD771" s="66">
        <f t="array" ref="AD771">IFS(B771&lt;66, XLOOKUP(year(A771),Lookup!$K$13:$K1000,Lookup!$M$13:$M1000,"missing",,1),B771&gt;65, XLOOKUP(questions!$C$5,Lookup!$K$13:$K1000,Lookup!$M$13:$M1000,"missing",,1))</f>
        <v>787350.7266</v>
      </c>
      <c r="AE771" s="66">
        <f t="array" ref="AE771">IFS(B771&lt;66, XLOOKUP(year(A771),Lookup!$K$13:$K1000,Lookup!$N$13:$N1000,"missing",,1),B771&gt;65,XLOOKUP(questions!$C$5,Lookup!$K$13:$K1000,Lookup!$N$13:$N1000,"missing",,1))</f>
        <v>1574701.453</v>
      </c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7"/>
      <c r="AQ771" s="37"/>
    </row>
    <row r="772">
      <c r="A772" s="55">
        <f t="shared" si="7"/>
        <v>69518</v>
      </c>
      <c r="B772" s="56">
        <f>round(YEARFRAC(EOMONTH(questions!$C$3, 0),A772,1),2)</f>
        <v>91.41</v>
      </c>
      <c r="C772" s="58">
        <f>IF(B772&lt;questions!$C$6,if(MONTH(A772)=1,C771*(1+questions!$C$12),C771),0)</f>
        <v>0</v>
      </c>
      <c r="D772" s="58">
        <f>IF(MONTH(A772)=12,C772*questions!$C$11,0)</f>
        <v>0</v>
      </c>
      <c r="E772" s="71">
        <f t="shared" si="2"/>
        <v>0</v>
      </c>
      <c r="F772" s="71">
        <f t="shared" si="3"/>
        <v>0</v>
      </c>
      <c r="G772" s="61">
        <f t="array" ref="G772">if(YEAR(A772)=2025,XLOOKUP(B772,Lookup!$A$3:$A$7,Lookup!$D$3:$D$7,,1)*SUM(E772:F772), XLOOKUP(B772,Lookup!$A$14:$A$18,Lookup!$D$14:$D$18,,1)*SUM(E772:F772))</f>
        <v>0</v>
      </c>
      <c r="H772" s="61">
        <f t="array" ref="H772">if(YEAR(A772)=2025,XLOOKUP(B772,Lookup!$F$3:$F$10,Lookup!$G$3:$G$10,,1)*G772, XLOOKUP(B772,Lookup!$F$14:$F$21,Lookup!$G$14:$G$21,,1)*G772)</f>
        <v>0</v>
      </c>
      <c r="I772" s="61">
        <f t="array" ref="I772">if(B772&lt;55, if(YEAR(A772)=2025,XLOOKUP(B772,Lookup!$F$3:$F$10,Lookup!$H$3:$H$10,,1)*G772, XLOOKUP(B772,Lookup!$F$14:$F$21,Lookup!$H$14:$H$21,,1)*G772),0)</f>
        <v>0</v>
      </c>
      <c r="J772" s="61">
        <f t="array" ref="J772">if(YEAR(A772)=2025,XLOOKUP(B772,Lookup!$F$3:$F$10,Lookup!$I$3:$I$10,,1)*G772, XLOOKUP(B772,Lookup!$F$14:$F$21,Lookup!$I$14:$I$21,,1)*G772)</f>
        <v>0</v>
      </c>
      <c r="K772" s="61">
        <f t="array" ref="K772">if(B772&gt;54, if(YEAR(A772)=2025,XLOOKUP(B772,Lookup!$F$3:$F$10,Lookup!$H$3:$H$10,,1)*G772, XLOOKUP(B772,Lookup!$F$14:$F$21,Lookup!$H$14:$H$21,,1)*G772),0)</f>
        <v>0</v>
      </c>
      <c r="L772" s="62">
        <f>IF(and(A772&lt;questions!$C$19,questions!$C$18="yes"),questions!$C$20,0)</f>
        <v>0</v>
      </c>
      <c r="M772" s="63">
        <f>(Y771+H772)*Lookup!A$26/12</f>
        <v>3908.815897</v>
      </c>
      <c r="N772" s="63">
        <f>if(B772&lt;55, (Z771+I772)*Lookup!B$26/12, (AB771+K772)*Lookup!B$26/12)</f>
        <v>8766.750119</v>
      </c>
      <c r="O772" s="63">
        <f>(AA771+J772)*Lookup!C$26/12</f>
        <v>940.3700287</v>
      </c>
      <c r="P772" s="63">
        <f t="shared" si="8"/>
        <v>15635.26359</v>
      </c>
      <c r="Q772" s="63">
        <f t="shared" si="4"/>
        <v>35067.00048</v>
      </c>
      <c r="R772" s="63">
        <f t="shared" si="5"/>
        <v>3761.480115</v>
      </c>
      <c r="S772" s="64">
        <f t="shared" si="9"/>
        <v>33.33333333</v>
      </c>
      <c r="T772" s="64">
        <f t="shared" si="10"/>
        <v>41.66666667</v>
      </c>
      <c r="U772" s="64">
        <f t="shared" si="11"/>
        <v>0</v>
      </c>
      <c r="V772" s="64">
        <f t="shared" ref="V772:X772" si="780">IF(year($A772)=year($A771), V771+S772, S772)</f>
        <v>133.3333333</v>
      </c>
      <c r="W772" s="64">
        <f t="shared" si="780"/>
        <v>166.6666667</v>
      </c>
      <c r="X772" s="64">
        <f t="shared" si="780"/>
        <v>0</v>
      </c>
      <c r="Y772" s="65">
        <f>IFS(
  B772&lt;55,
    MAX(
      Y771 + IF(MONTH(A772)=12, P772+V772, 0) + H772 - L772
      + MAX(0,
          IF(AA771 &gt;= VLOOKUP(YEAR(A772), Lookup!$Q:$R, 2),
            Z771 + IF(MONTH(A772)=12, Q772+W772, 0) + I772
              + AA771 + IF(MONTH(A772)=12, R772+X772, 0)
              - VLOOKUP(YEAR(A772), Lookup!$Q:$R, 2) + J772,
            Z771 + IF(MONTH(A772)=12, Q772+W772, 0) + I772
          ) - VLOOKUP(YEAR(A772), Lookup!$K:$M, 3)
        ),
    0),
  B772=55,
    IF(Z771&gt;=AD772,
      MAX(Y771 + IF(MONTH(A772)=12, P772+V772, 0) + H772 - L772, 0),
      MAX(MAX(0, Y771-(AD772-Z771)) + IF(MONTH(A772)=12, P772+V772, 0) + H772 - L772, 0)
    ),
  B772&gt;55,
    IF(AB771&gt;=$AH$7,
      MAX(Y771 + IF(MONTH(A772)=12, P772+V772, 0) + H772 - L772 + K772 + Z771, 0),
      MAX(Y771 + IF(MONTH(A772)=12, P772+V772, 0) + H772 - L772, 0)
    )
)</f>
        <v>1876231.631</v>
      </c>
      <c r="Z772" s="65">
        <f>IFS(
  B772&lt;55,
    MIN(
      IF(AA771 &gt;= VLOOKUP(YEAR(A772), Lookup!$Q:$R, 2),
        Z771 + IF(MONTH(A772)=12, Q772+W772, 0) + I772
          + AA771 + IF(MONTH(A772)=12, R772+X772, 0) - VLOOKUP(YEAR(A772), Lookup!$Q:$R, 2) + J772,
        Z771 + IF(MONTH(A772)=12, Q772+W772, 0) + I772
      ),
      VLOOKUP(YEAR(A772), Lookup!$K:$M, 3)
    ),
  B772=55,
    IF(Z771 &gt;= AD772, Z771 - AD772, 0),
  B772&gt;55, 0
)</f>
        <v>0</v>
      </c>
      <c r="AA772" s="65">
        <f>IFS(
  B772&lt;65,
    IF(AA771+J772 &lt; VLOOKUP(YEAR(A772), Lookup!$Q:$R, 2),
      AA771 + IF(MONTH(A772)=12, R771+X771, 0) + J772,
      MIN(
        AA771 + IF(MONTH(A772)=12, R771+X771, 0) + J772 ,
        VLOOKUP(YEAR(A772), Lookup!$Q:$R, 2)
      )
    ),
  B772&gt;=65,
    IF(AA771+J772 &lt; VLOOKUP(questions!$C$5, Lookup!$Q:$R, 2),
      AA771 + IF(MONTH(A772)=12, R771+X771, 0) + J772 ,
      MIN(
        AA771 + IF(MONTH(A772)=12, R771+X771, 0) + J772,
        VLOOKUP(questions!$C$5, Lookup!$Q:$R, 2)
      )
    )
)</f>
        <v>282111.0086</v>
      </c>
      <c r="AB772" s="65">
        <f t="shared" si="13"/>
        <v>2630025.036</v>
      </c>
      <c r="AC772" s="66">
        <f t="array" ref="AC772">IFS(B772&lt;66, XLOOKUP(year(A772),Lookup!$K$13:$K1000,Lookup!$L$13:$L1000,"missing",,1),B772&gt;65,XLOOKUP(questions!$C$5,Lookup!$K$13:$K1000,Lookup!$L$13:$L1000,"missing",,1))</f>
        <v>393675.3633</v>
      </c>
      <c r="AD772" s="66">
        <f t="array" ref="AD772">IFS(B772&lt;66, XLOOKUP(year(A772),Lookup!$K$13:$K1000,Lookup!$M$13:$M1000,"missing",,1),B772&gt;65, XLOOKUP(questions!$C$5,Lookup!$K$13:$K1000,Lookup!$M$13:$M1000,"missing",,1))</f>
        <v>787350.7266</v>
      </c>
      <c r="AE772" s="66">
        <f t="array" ref="AE772">IFS(B772&lt;66, XLOOKUP(year(A772),Lookup!$K$13:$K1000,Lookup!$N$13:$N1000,"missing",,1),B772&gt;65,XLOOKUP(questions!$C$5,Lookup!$K$13:$K1000,Lookup!$N$13:$N1000,"missing",,1))</f>
        <v>1574701.453</v>
      </c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7"/>
      <c r="AQ772" s="37"/>
    </row>
    <row r="773">
      <c r="A773" s="55">
        <f t="shared" si="7"/>
        <v>69549</v>
      </c>
      <c r="B773" s="56">
        <f>round(YEARFRAC(EOMONTH(questions!$C$3, 0),A773,1),2)</f>
        <v>91.5</v>
      </c>
      <c r="C773" s="58">
        <f>IF(B773&lt;questions!$C$6,if(MONTH(A773)=1,C772*(1+questions!$C$12),C772),0)</f>
        <v>0</v>
      </c>
      <c r="D773" s="58">
        <f>IF(MONTH(A773)=12,C773*questions!$C$11,0)</f>
        <v>0</v>
      </c>
      <c r="E773" s="71">
        <f t="shared" si="2"/>
        <v>0</v>
      </c>
      <c r="F773" s="71">
        <f t="shared" si="3"/>
        <v>0</v>
      </c>
      <c r="G773" s="61">
        <f t="array" ref="G773">if(YEAR(A773)=2025,XLOOKUP(B773,Lookup!$A$3:$A$7,Lookup!$D$3:$D$7,,1)*SUM(E773:F773), XLOOKUP(B773,Lookup!$A$14:$A$18,Lookup!$D$14:$D$18,,1)*SUM(E773:F773))</f>
        <v>0</v>
      </c>
      <c r="H773" s="61">
        <f t="array" ref="H773">if(YEAR(A773)=2025,XLOOKUP(B773,Lookup!$F$3:$F$10,Lookup!$G$3:$G$10,,1)*G773, XLOOKUP(B773,Lookup!$F$14:$F$21,Lookup!$G$14:$G$21,,1)*G773)</f>
        <v>0</v>
      </c>
      <c r="I773" s="61">
        <f t="array" ref="I773">if(B773&lt;55, if(YEAR(A773)=2025,XLOOKUP(B773,Lookup!$F$3:$F$10,Lookup!$H$3:$H$10,,1)*G773, XLOOKUP(B773,Lookup!$F$14:$F$21,Lookup!$H$14:$H$21,,1)*G773),0)</f>
        <v>0</v>
      </c>
      <c r="J773" s="61">
        <f t="array" ref="J773">if(YEAR(A773)=2025,XLOOKUP(B773,Lookup!$F$3:$F$10,Lookup!$I$3:$I$10,,1)*G773, XLOOKUP(B773,Lookup!$F$14:$F$21,Lookup!$I$14:$I$21,,1)*G773)</f>
        <v>0</v>
      </c>
      <c r="K773" s="61">
        <f t="array" ref="K773">if(B773&gt;54, if(YEAR(A773)=2025,XLOOKUP(B773,Lookup!$F$3:$F$10,Lookup!$H$3:$H$10,,1)*G773, XLOOKUP(B773,Lookup!$F$14:$F$21,Lookup!$H$14:$H$21,,1)*G773),0)</f>
        <v>0</v>
      </c>
      <c r="L773" s="62">
        <f>IF(and(A773&lt;questions!$C$19,questions!$C$18="yes"),questions!$C$20,0)</f>
        <v>0</v>
      </c>
      <c r="M773" s="63">
        <f>(Y772+H773)*Lookup!A$26/12</f>
        <v>3908.815897</v>
      </c>
      <c r="N773" s="63">
        <f>if(B773&lt;55, (Z772+I773)*Lookup!B$26/12, (AB772+K773)*Lookup!B$26/12)</f>
        <v>8766.750119</v>
      </c>
      <c r="O773" s="63">
        <f>(AA772+J773)*Lookup!C$26/12</f>
        <v>940.3700287</v>
      </c>
      <c r="P773" s="63">
        <f t="shared" si="8"/>
        <v>19544.07949</v>
      </c>
      <c r="Q773" s="63">
        <f t="shared" si="4"/>
        <v>43833.7506</v>
      </c>
      <c r="R773" s="63">
        <f t="shared" si="5"/>
        <v>4701.850143</v>
      </c>
      <c r="S773" s="64">
        <f t="shared" si="9"/>
        <v>33.33333333</v>
      </c>
      <c r="T773" s="64">
        <f t="shared" si="10"/>
        <v>41.66666667</v>
      </c>
      <c r="U773" s="64">
        <f t="shared" si="11"/>
        <v>0</v>
      </c>
      <c r="V773" s="64">
        <f t="shared" ref="V773:X773" si="781">IF(year($A773)=year($A772), V772+S773, S773)</f>
        <v>166.6666667</v>
      </c>
      <c r="W773" s="64">
        <f t="shared" si="781"/>
        <v>208.3333333</v>
      </c>
      <c r="X773" s="64">
        <f t="shared" si="781"/>
        <v>0</v>
      </c>
      <c r="Y773" s="65">
        <f>IFS(
  B773&lt;55,
    MAX(
      Y772 + IF(MONTH(A773)=12, P773+V773, 0) + H773 - L773
      + MAX(0,
          IF(AA772 &gt;= VLOOKUP(YEAR(A773), Lookup!$Q:$R, 2),
            Z772 + IF(MONTH(A773)=12, Q773+W773, 0) + I773
              + AA772 + IF(MONTH(A773)=12, R773+X773, 0)
              - VLOOKUP(YEAR(A773), Lookup!$Q:$R, 2) + J773,
            Z772 + IF(MONTH(A773)=12, Q773+W773, 0) + I773
          ) - VLOOKUP(YEAR(A773), Lookup!$K:$M, 3)
        ),
    0),
  B773=55,
    IF(Z772&gt;=AD773,
      MAX(Y772 + IF(MONTH(A773)=12, P773+V773, 0) + H773 - L773, 0),
      MAX(MAX(0, Y772-(AD773-Z772)) + IF(MONTH(A773)=12, P773+V773, 0) + H773 - L773, 0)
    ),
  B773&gt;55,
    IF(AB772&gt;=$AH$7,
      MAX(Y772 + IF(MONTH(A773)=12, P773+V773, 0) + H773 - L773 + K773 + Z772, 0),
      MAX(Y772 + IF(MONTH(A773)=12, P773+V773, 0) + H773 - L773, 0)
    )
)</f>
        <v>1876231.631</v>
      </c>
      <c r="Z773" s="65">
        <f>IFS(
  B773&lt;55,
    MIN(
      IF(AA772 &gt;= VLOOKUP(YEAR(A773), Lookup!$Q:$R, 2),
        Z772 + IF(MONTH(A773)=12, Q773+W773, 0) + I773
          + AA772 + IF(MONTH(A773)=12, R773+X773, 0) - VLOOKUP(YEAR(A773), Lookup!$Q:$R, 2) + J773,
        Z772 + IF(MONTH(A773)=12, Q773+W773, 0) + I773
      ),
      VLOOKUP(YEAR(A773), Lookup!$K:$M, 3)
    ),
  B773=55,
    IF(Z772 &gt;= AD773, Z772 - AD773, 0),
  B773&gt;55, 0
)</f>
        <v>0</v>
      </c>
      <c r="AA773" s="65">
        <f>IFS(
  B773&lt;65,
    IF(AA772+J773 &lt; VLOOKUP(YEAR(A773), Lookup!$Q:$R, 2),
      AA772 + IF(MONTH(A773)=12, R772+X772, 0) + J773,
      MIN(
        AA772 + IF(MONTH(A773)=12, R772+X772, 0) + J773 ,
        VLOOKUP(YEAR(A773), Lookup!$Q:$R, 2)
      )
    ),
  B773&gt;=65,
    IF(AA772+J773 &lt; VLOOKUP(questions!$C$5, Lookup!$Q:$R, 2),
      AA772 + IF(MONTH(A773)=12, R772+X772, 0) + J773 ,
      MIN(
        AA772 + IF(MONTH(A773)=12, R772+X772, 0) + J773,
        VLOOKUP(questions!$C$5, Lookup!$Q:$R, 2)
      )
    )
)</f>
        <v>282111.0086</v>
      </c>
      <c r="AB773" s="65">
        <f t="shared" si="13"/>
        <v>2630025.036</v>
      </c>
      <c r="AC773" s="66">
        <f t="array" ref="AC773">IFS(B773&lt;66, XLOOKUP(year(A773),Lookup!$K$13:$K1000,Lookup!$L$13:$L1000,"missing",,1),B773&gt;65,XLOOKUP(questions!$C$5,Lookup!$K$13:$K1000,Lookup!$L$13:$L1000,"missing",,1))</f>
        <v>393675.3633</v>
      </c>
      <c r="AD773" s="66">
        <f t="array" ref="AD773">IFS(B773&lt;66, XLOOKUP(year(A773),Lookup!$K$13:$K1000,Lookup!$M$13:$M1000,"missing",,1),B773&gt;65, XLOOKUP(questions!$C$5,Lookup!$K$13:$K1000,Lookup!$M$13:$M1000,"missing",,1))</f>
        <v>787350.7266</v>
      </c>
      <c r="AE773" s="66">
        <f t="array" ref="AE773">IFS(B773&lt;66, XLOOKUP(year(A773),Lookup!$K$13:$K1000,Lookup!$N$13:$N1000,"missing",,1),B773&gt;65,XLOOKUP(questions!$C$5,Lookup!$K$13:$K1000,Lookup!$N$13:$N1000,"missing",,1))</f>
        <v>1574701.453</v>
      </c>
      <c r="AF773" s="37"/>
      <c r="AG773" s="37"/>
      <c r="AH773" s="37"/>
      <c r="AI773" s="37"/>
      <c r="AJ773" s="37"/>
      <c r="AK773" s="37"/>
      <c r="AL773" s="37"/>
      <c r="AM773" s="37"/>
      <c r="AN773" s="37"/>
      <c r="AO773" s="37"/>
      <c r="AP773" s="37"/>
      <c r="AQ773" s="37"/>
    </row>
    <row r="774">
      <c r="A774" s="55">
        <f t="shared" si="7"/>
        <v>69579</v>
      </c>
      <c r="B774" s="56">
        <f>round(YEARFRAC(EOMONTH(questions!$C$3, 0),A774,1),2)</f>
        <v>91.58</v>
      </c>
      <c r="C774" s="58">
        <f>IF(B774&lt;questions!$C$6,if(MONTH(A774)=1,C773*(1+questions!$C$12),C773),0)</f>
        <v>0</v>
      </c>
      <c r="D774" s="58">
        <f>IF(MONTH(A774)=12,C774*questions!$C$11,0)</f>
        <v>0</v>
      </c>
      <c r="E774" s="71">
        <f t="shared" si="2"/>
        <v>0</v>
      </c>
      <c r="F774" s="71">
        <f t="shared" si="3"/>
        <v>0</v>
      </c>
      <c r="G774" s="61">
        <f t="array" ref="G774">if(YEAR(A774)=2025,XLOOKUP(B774,Lookup!$A$3:$A$7,Lookup!$D$3:$D$7,,1)*SUM(E774:F774), XLOOKUP(B774,Lookup!$A$14:$A$18,Lookup!$D$14:$D$18,,1)*SUM(E774:F774))</f>
        <v>0</v>
      </c>
      <c r="H774" s="61">
        <f t="array" ref="H774">if(YEAR(A774)=2025,XLOOKUP(B774,Lookup!$F$3:$F$10,Lookup!$G$3:$G$10,,1)*G774, XLOOKUP(B774,Lookup!$F$14:$F$21,Lookup!$G$14:$G$21,,1)*G774)</f>
        <v>0</v>
      </c>
      <c r="I774" s="61">
        <f t="array" ref="I774">if(B774&lt;55, if(YEAR(A774)=2025,XLOOKUP(B774,Lookup!$F$3:$F$10,Lookup!$H$3:$H$10,,1)*G774, XLOOKUP(B774,Lookup!$F$14:$F$21,Lookup!$H$14:$H$21,,1)*G774),0)</f>
        <v>0</v>
      </c>
      <c r="J774" s="61">
        <f t="array" ref="J774">if(YEAR(A774)=2025,XLOOKUP(B774,Lookup!$F$3:$F$10,Lookup!$I$3:$I$10,,1)*G774, XLOOKUP(B774,Lookup!$F$14:$F$21,Lookup!$I$14:$I$21,,1)*G774)</f>
        <v>0</v>
      </c>
      <c r="K774" s="61">
        <f t="array" ref="K774">if(B774&gt;54, if(YEAR(A774)=2025,XLOOKUP(B774,Lookup!$F$3:$F$10,Lookup!$H$3:$H$10,,1)*G774, XLOOKUP(B774,Lookup!$F$14:$F$21,Lookup!$H$14:$H$21,,1)*G774),0)</f>
        <v>0</v>
      </c>
      <c r="L774" s="62">
        <f>IF(and(A774&lt;questions!$C$19,questions!$C$18="yes"),questions!$C$20,0)</f>
        <v>0</v>
      </c>
      <c r="M774" s="63">
        <f>(Y773+H774)*Lookup!A$26/12</f>
        <v>3908.815897</v>
      </c>
      <c r="N774" s="63">
        <f>if(B774&lt;55, (Z773+I774)*Lookup!B$26/12, (AB773+K774)*Lookup!B$26/12)</f>
        <v>8766.750119</v>
      </c>
      <c r="O774" s="63">
        <f>(AA773+J774)*Lookup!C$26/12</f>
        <v>940.3700287</v>
      </c>
      <c r="P774" s="63">
        <f t="shared" si="8"/>
        <v>23452.89538</v>
      </c>
      <c r="Q774" s="63">
        <f t="shared" si="4"/>
        <v>52600.50072</v>
      </c>
      <c r="R774" s="63">
        <f t="shared" si="5"/>
        <v>5642.220172</v>
      </c>
      <c r="S774" s="64">
        <f t="shared" si="9"/>
        <v>33.33333333</v>
      </c>
      <c r="T774" s="64">
        <f t="shared" si="10"/>
        <v>41.66666667</v>
      </c>
      <c r="U774" s="64">
        <f t="shared" si="11"/>
        <v>0</v>
      </c>
      <c r="V774" s="64">
        <f t="shared" ref="V774:X774" si="782">IF(year($A774)=year($A773), V773+S774, S774)</f>
        <v>200</v>
      </c>
      <c r="W774" s="64">
        <f t="shared" si="782"/>
        <v>250</v>
      </c>
      <c r="X774" s="64">
        <f t="shared" si="782"/>
        <v>0</v>
      </c>
      <c r="Y774" s="65">
        <f>IFS(
  B774&lt;55,
    MAX(
      Y773 + IF(MONTH(A774)=12, P774+V774, 0) + H774 - L774
      + MAX(0,
          IF(AA773 &gt;= VLOOKUP(YEAR(A774), Lookup!$Q:$R, 2),
            Z773 + IF(MONTH(A774)=12, Q774+W774, 0) + I774
              + AA773 + IF(MONTH(A774)=12, R774+X774, 0)
              - VLOOKUP(YEAR(A774), Lookup!$Q:$R, 2) + J774,
            Z773 + IF(MONTH(A774)=12, Q774+W774, 0) + I774
          ) - VLOOKUP(YEAR(A774), Lookup!$K:$M, 3)
        ),
    0),
  B774=55,
    IF(Z773&gt;=AD774,
      MAX(Y773 + IF(MONTH(A774)=12, P774+V774, 0) + H774 - L774, 0),
      MAX(MAX(0, Y773-(AD774-Z773)) + IF(MONTH(A774)=12, P774+V774, 0) + H774 - L774, 0)
    ),
  B774&gt;55,
    IF(AB773&gt;=$AH$7,
      MAX(Y773 + IF(MONTH(A774)=12, P774+V774, 0) + H774 - L774 + K774 + Z773, 0),
      MAX(Y773 + IF(MONTH(A774)=12, P774+V774, 0) + H774 - L774, 0)
    )
)</f>
        <v>1876231.631</v>
      </c>
      <c r="Z774" s="65">
        <f>IFS(
  B774&lt;55,
    MIN(
      IF(AA773 &gt;= VLOOKUP(YEAR(A774), Lookup!$Q:$R, 2),
        Z773 + IF(MONTH(A774)=12, Q774+W774, 0) + I774
          + AA773 + IF(MONTH(A774)=12, R774+X774, 0) - VLOOKUP(YEAR(A774), Lookup!$Q:$R, 2) + J774,
        Z773 + IF(MONTH(A774)=12, Q774+W774, 0) + I774
      ),
      VLOOKUP(YEAR(A774), Lookup!$K:$M, 3)
    ),
  B774=55,
    IF(Z773 &gt;= AD774, Z773 - AD774, 0),
  B774&gt;55, 0
)</f>
        <v>0</v>
      </c>
      <c r="AA774" s="65">
        <f>IFS(
  B774&lt;65,
    IF(AA773+J774 &lt; VLOOKUP(YEAR(A774), Lookup!$Q:$R, 2),
      AA773 + IF(MONTH(A774)=12, R773+X773, 0) + J774,
      MIN(
        AA773 + IF(MONTH(A774)=12, R773+X773, 0) + J774 ,
        VLOOKUP(YEAR(A774), Lookup!$Q:$R, 2)
      )
    ),
  B774&gt;=65,
    IF(AA773+J774 &lt; VLOOKUP(questions!$C$5, Lookup!$Q:$R, 2),
      AA773 + IF(MONTH(A774)=12, R773+X773, 0) + J774 ,
      MIN(
        AA773 + IF(MONTH(A774)=12, R773+X773, 0) + J774,
        VLOOKUP(questions!$C$5, Lookup!$Q:$R, 2)
      )
    )
)</f>
        <v>282111.0086</v>
      </c>
      <c r="AB774" s="65">
        <f t="shared" si="13"/>
        <v>2630025.036</v>
      </c>
      <c r="AC774" s="66">
        <f t="array" ref="AC774">IFS(B774&lt;66, XLOOKUP(year(A774),Lookup!$K$13:$K1000,Lookup!$L$13:$L1000,"missing",,1),B774&gt;65,XLOOKUP(questions!$C$5,Lookup!$K$13:$K1000,Lookup!$L$13:$L1000,"missing",,1))</f>
        <v>393675.3633</v>
      </c>
      <c r="AD774" s="66">
        <f t="array" ref="AD774">IFS(B774&lt;66, XLOOKUP(year(A774),Lookup!$K$13:$K1000,Lookup!$M$13:$M1000,"missing",,1),B774&gt;65, XLOOKUP(questions!$C$5,Lookup!$K$13:$K1000,Lookup!$M$13:$M1000,"missing",,1))</f>
        <v>787350.7266</v>
      </c>
      <c r="AE774" s="66">
        <f t="array" ref="AE774">IFS(B774&lt;66, XLOOKUP(year(A774),Lookup!$K$13:$K1000,Lookup!$N$13:$N1000,"missing",,1),B774&gt;65,XLOOKUP(questions!$C$5,Lookup!$K$13:$K1000,Lookup!$N$13:$N1000,"missing",,1))</f>
        <v>1574701.453</v>
      </c>
      <c r="AF774" s="37"/>
      <c r="AG774" s="37"/>
      <c r="AH774" s="37"/>
      <c r="AI774" s="37"/>
      <c r="AJ774" s="37"/>
      <c r="AK774" s="37"/>
      <c r="AL774" s="37"/>
      <c r="AM774" s="37"/>
      <c r="AN774" s="37"/>
      <c r="AO774" s="37"/>
      <c r="AP774" s="37"/>
      <c r="AQ774" s="37"/>
    </row>
    <row r="775">
      <c r="A775" s="55">
        <f t="shared" si="7"/>
        <v>69610</v>
      </c>
      <c r="B775" s="56">
        <f>round(YEARFRAC(EOMONTH(questions!$C$3, 0),A775,1),2)</f>
        <v>91.67</v>
      </c>
      <c r="C775" s="58">
        <f>IF(B775&lt;questions!$C$6,if(MONTH(A775)=1,C774*(1+questions!$C$12),C774),0)</f>
        <v>0</v>
      </c>
      <c r="D775" s="58">
        <f>IF(MONTH(A775)=12,C775*questions!$C$11,0)</f>
        <v>0</v>
      </c>
      <c r="E775" s="71">
        <f t="shared" si="2"/>
        <v>0</v>
      </c>
      <c r="F775" s="71">
        <f t="shared" si="3"/>
        <v>0</v>
      </c>
      <c r="G775" s="61">
        <f t="array" ref="G775">if(YEAR(A775)=2025,XLOOKUP(B775,Lookup!$A$3:$A$7,Lookup!$D$3:$D$7,,1)*SUM(E775:F775), XLOOKUP(B775,Lookup!$A$14:$A$18,Lookup!$D$14:$D$18,,1)*SUM(E775:F775))</f>
        <v>0</v>
      </c>
      <c r="H775" s="61">
        <f t="array" ref="H775">if(YEAR(A775)=2025,XLOOKUP(B775,Lookup!$F$3:$F$10,Lookup!$G$3:$G$10,,1)*G775, XLOOKUP(B775,Lookup!$F$14:$F$21,Lookup!$G$14:$G$21,,1)*G775)</f>
        <v>0</v>
      </c>
      <c r="I775" s="61">
        <f t="array" ref="I775">if(B775&lt;55, if(YEAR(A775)=2025,XLOOKUP(B775,Lookup!$F$3:$F$10,Lookup!$H$3:$H$10,,1)*G775, XLOOKUP(B775,Lookup!$F$14:$F$21,Lookup!$H$14:$H$21,,1)*G775),0)</f>
        <v>0</v>
      </c>
      <c r="J775" s="61">
        <f t="array" ref="J775">if(YEAR(A775)=2025,XLOOKUP(B775,Lookup!$F$3:$F$10,Lookup!$I$3:$I$10,,1)*G775, XLOOKUP(B775,Lookup!$F$14:$F$21,Lookup!$I$14:$I$21,,1)*G775)</f>
        <v>0</v>
      </c>
      <c r="K775" s="61">
        <f t="array" ref="K775">if(B775&gt;54, if(YEAR(A775)=2025,XLOOKUP(B775,Lookup!$F$3:$F$10,Lookup!$H$3:$H$10,,1)*G775, XLOOKUP(B775,Lookup!$F$14:$F$21,Lookup!$H$14:$H$21,,1)*G775),0)</f>
        <v>0</v>
      </c>
      <c r="L775" s="62">
        <f>IF(and(A775&lt;questions!$C$19,questions!$C$18="yes"),questions!$C$20,0)</f>
        <v>0</v>
      </c>
      <c r="M775" s="63">
        <f>(Y774+H775)*Lookup!A$26/12</f>
        <v>3908.815897</v>
      </c>
      <c r="N775" s="63">
        <f>if(B775&lt;55, (Z774+I775)*Lookup!B$26/12, (AB774+K775)*Lookup!B$26/12)</f>
        <v>8766.750119</v>
      </c>
      <c r="O775" s="63">
        <f>(AA774+J775)*Lookup!C$26/12</f>
        <v>940.3700287</v>
      </c>
      <c r="P775" s="63">
        <f t="shared" si="8"/>
        <v>27361.71128</v>
      </c>
      <c r="Q775" s="63">
        <f t="shared" si="4"/>
        <v>61367.25084</v>
      </c>
      <c r="R775" s="63">
        <f t="shared" si="5"/>
        <v>6582.590201</v>
      </c>
      <c r="S775" s="64">
        <f t="shared" si="9"/>
        <v>33.33333333</v>
      </c>
      <c r="T775" s="64">
        <f t="shared" si="10"/>
        <v>41.66666667</v>
      </c>
      <c r="U775" s="64">
        <f t="shared" si="11"/>
        <v>0</v>
      </c>
      <c r="V775" s="64">
        <f t="shared" ref="V775:X775" si="783">IF(year($A775)=year($A774), V774+S775, S775)</f>
        <v>233.3333333</v>
      </c>
      <c r="W775" s="64">
        <f t="shared" si="783"/>
        <v>291.6666667</v>
      </c>
      <c r="X775" s="64">
        <f t="shared" si="783"/>
        <v>0</v>
      </c>
      <c r="Y775" s="65">
        <f>IFS(
  B775&lt;55,
    MAX(
      Y774 + IF(MONTH(A775)=12, P775+V775, 0) + H775 - L775
      + MAX(0,
          IF(AA774 &gt;= VLOOKUP(YEAR(A775), Lookup!$Q:$R, 2),
            Z774 + IF(MONTH(A775)=12, Q775+W775, 0) + I775
              + AA774 + IF(MONTH(A775)=12, R775+X775, 0)
              - VLOOKUP(YEAR(A775), Lookup!$Q:$R, 2) + J775,
            Z774 + IF(MONTH(A775)=12, Q775+W775, 0) + I775
          ) - VLOOKUP(YEAR(A775), Lookup!$K:$M, 3)
        ),
    0),
  B775=55,
    IF(Z774&gt;=AD775,
      MAX(Y774 + IF(MONTH(A775)=12, P775+V775, 0) + H775 - L775, 0),
      MAX(MAX(0, Y774-(AD775-Z774)) + IF(MONTH(A775)=12, P775+V775, 0) + H775 - L775, 0)
    ),
  B775&gt;55,
    IF(AB774&gt;=$AH$7,
      MAX(Y774 + IF(MONTH(A775)=12, P775+V775, 0) + H775 - L775 + K775 + Z774, 0),
      MAX(Y774 + IF(MONTH(A775)=12, P775+V775, 0) + H775 - L775, 0)
    )
)</f>
        <v>1876231.631</v>
      </c>
      <c r="Z775" s="65">
        <f>IFS(
  B775&lt;55,
    MIN(
      IF(AA774 &gt;= VLOOKUP(YEAR(A775), Lookup!$Q:$R, 2),
        Z774 + IF(MONTH(A775)=12, Q775+W775, 0) + I775
          + AA774 + IF(MONTH(A775)=12, R775+X775, 0) - VLOOKUP(YEAR(A775), Lookup!$Q:$R, 2) + J775,
        Z774 + IF(MONTH(A775)=12, Q775+W775, 0) + I775
      ),
      VLOOKUP(YEAR(A775), Lookup!$K:$M, 3)
    ),
  B775=55,
    IF(Z774 &gt;= AD775, Z774 - AD775, 0),
  B775&gt;55, 0
)</f>
        <v>0</v>
      </c>
      <c r="AA775" s="65">
        <f>IFS(
  B775&lt;65,
    IF(AA774+J775 &lt; VLOOKUP(YEAR(A775), Lookup!$Q:$R, 2),
      AA774 + IF(MONTH(A775)=12, R774+X774, 0) + J775,
      MIN(
        AA774 + IF(MONTH(A775)=12, R774+X774, 0) + J775 ,
        VLOOKUP(YEAR(A775), Lookup!$Q:$R, 2)
      )
    ),
  B775&gt;=65,
    IF(AA774+J775 &lt; VLOOKUP(questions!$C$5, Lookup!$Q:$R, 2),
      AA774 + IF(MONTH(A775)=12, R774+X774, 0) + J775 ,
      MIN(
        AA774 + IF(MONTH(A775)=12, R774+X774, 0) + J775,
        VLOOKUP(questions!$C$5, Lookup!$Q:$R, 2)
      )
    )
)</f>
        <v>282111.0086</v>
      </c>
      <c r="AB775" s="65">
        <f t="shared" si="13"/>
        <v>2630025.036</v>
      </c>
      <c r="AC775" s="66">
        <f t="array" ref="AC775">IFS(B775&lt;66, XLOOKUP(year(A775),Lookup!$K$13:$K1000,Lookup!$L$13:$L1000,"missing",,1),B775&gt;65,XLOOKUP(questions!$C$5,Lookup!$K$13:$K1000,Lookup!$L$13:$L1000,"missing",,1))</f>
        <v>393675.3633</v>
      </c>
      <c r="AD775" s="66">
        <f t="array" ref="AD775">IFS(B775&lt;66, XLOOKUP(year(A775),Lookup!$K$13:$K1000,Lookup!$M$13:$M1000,"missing",,1),B775&gt;65, XLOOKUP(questions!$C$5,Lookup!$K$13:$K1000,Lookup!$M$13:$M1000,"missing",,1))</f>
        <v>787350.7266</v>
      </c>
      <c r="AE775" s="66">
        <f t="array" ref="AE775">IFS(B775&lt;66, XLOOKUP(year(A775),Lookup!$K$13:$K1000,Lookup!$N$13:$N1000,"missing",,1),B775&gt;65,XLOOKUP(questions!$C$5,Lookup!$K$13:$K1000,Lookup!$N$13:$N1000,"missing",,1))</f>
        <v>1574701.453</v>
      </c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  <c r="AQ775" s="37"/>
    </row>
    <row r="776">
      <c r="A776" s="55">
        <f t="shared" si="7"/>
        <v>69641</v>
      </c>
      <c r="B776" s="56">
        <f>round(YEARFRAC(EOMONTH(questions!$C$3, 0),A776,1),2)</f>
        <v>91.75</v>
      </c>
      <c r="C776" s="58">
        <f>IF(B776&lt;questions!$C$6,if(MONTH(A776)=1,C775*(1+questions!$C$12),C775),0)</f>
        <v>0</v>
      </c>
      <c r="D776" s="58">
        <f>IF(MONTH(A776)=12,C776*questions!$C$11,0)</f>
        <v>0</v>
      </c>
      <c r="E776" s="71">
        <f t="shared" si="2"/>
        <v>0</v>
      </c>
      <c r="F776" s="71">
        <f t="shared" si="3"/>
        <v>0</v>
      </c>
      <c r="G776" s="61">
        <f t="array" ref="G776">if(YEAR(A776)=2025,XLOOKUP(B776,Lookup!$A$3:$A$7,Lookup!$D$3:$D$7,,1)*SUM(E776:F776), XLOOKUP(B776,Lookup!$A$14:$A$18,Lookup!$D$14:$D$18,,1)*SUM(E776:F776))</f>
        <v>0</v>
      </c>
      <c r="H776" s="61">
        <f t="array" ref="H776">if(YEAR(A776)=2025,XLOOKUP(B776,Lookup!$F$3:$F$10,Lookup!$G$3:$G$10,,1)*G776, XLOOKUP(B776,Lookup!$F$14:$F$21,Lookup!$G$14:$G$21,,1)*G776)</f>
        <v>0</v>
      </c>
      <c r="I776" s="61">
        <f t="array" ref="I776">if(B776&lt;55, if(YEAR(A776)=2025,XLOOKUP(B776,Lookup!$F$3:$F$10,Lookup!$H$3:$H$10,,1)*G776, XLOOKUP(B776,Lookup!$F$14:$F$21,Lookup!$H$14:$H$21,,1)*G776),0)</f>
        <v>0</v>
      </c>
      <c r="J776" s="61">
        <f t="array" ref="J776">if(YEAR(A776)=2025,XLOOKUP(B776,Lookup!$F$3:$F$10,Lookup!$I$3:$I$10,,1)*G776, XLOOKUP(B776,Lookup!$F$14:$F$21,Lookup!$I$14:$I$21,,1)*G776)</f>
        <v>0</v>
      </c>
      <c r="K776" s="61">
        <f t="array" ref="K776">if(B776&gt;54, if(YEAR(A776)=2025,XLOOKUP(B776,Lookup!$F$3:$F$10,Lookup!$H$3:$H$10,,1)*G776, XLOOKUP(B776,Lookup!$F$14:$F$21,Lookup!$H$14:$H$21,,1)*G776),0)</f>
        <v>0</v>
      </c>
      <c r="L776" s="62">
        <f>IF(and(A776&lt;questions!$C$19,questions!$C$18="yes"),questions!$C$20,0)</f>
        <v>0</v>
      </c>
      <c r="M776" s="63">
        <f>(Y775+H776)*Lookup!A$26/12</f>
        <v>3908.815897</v>
      </c>
      <c r="N776" s="63">
        <f>if(B776&lt;55, (Z775+I776)*Lookup!B$26/12, (AB775+K776)*Lookup!B$26/12)</f>
        <v>8766.750119</v>
      </c>
      <c r="O776" s="63">
        <f>(AA775+J776)*Lookup!C$26/12</f>
        <v>940.3700287</v>
      </c>
      <c r="P776" s="63">
        <f t="shared" si="8"/>
        <v>31270.52718</v>
      </c>
      <c r="Q776" s="63">
        <f t="shared" si="4"/>
        <v>70134.00096</v>
      </c>
      <c r="R776" s="63">
        <f t="shared" si="5"/>
        <v>7522.960229</v>
      </c>
      <c r="S776" s="64">
        <f t="shared" si="9"/>
        <v>33.33333333</v>
      </c>
      <c r="T776" s="64">
        <f t="shared" si="10"/>
        <v>41.66666667</v>
      </c>
      <c r="U776" s="64">
        <f t="shared" si="11"/>
        <v>0</v>
      </c>
      <c r="V776" s="64">
        <f t="shared" ref="V776:X776" si="784">IF(year($A776)=year($A775), V775+S776, S776)</f>
        <v>266.6666667</v>
      </c>
      <c r="W776" s="64">
        <f t="shared" si="784"/>
        <v>333.3333333</v>
      </c>
      <c r="X776" s="64">
        <f t="shared" si="784"/>
        <v>0</v>
      </c>
      <c r="Y776" s="65">
        <f>IFS(
  B776&lt;55,
    MAX(
      Y775 + IF(MONTH(A776)=12, P776+V776, 0) + H776 - L776
      + MAX(0,
          IF(AA775 &gt;= VLOOKUP(YEAR(A776), Lookup!$Q:$R, 2),
            Z775 + IF(MONTH(A776)=12, Q776+W776, 0) + I776
              + AA775 + IF(MONTH(A776)=12, R776+X776, 0)
              - VLOOKUP(YEAR(A776), Lookup!$Q:$R, 2) + J776,
            Z775 + IF(MONTH(A776)=12, Q776+W776, 0) + I776
          ) - VLOOKUP(YEAR(A776), Lookup!$K:$M, 3)
        ),
    0),
  B776=55,
    IF(Z775&gt;=AD776,
      MAX(Y775 + IF(MONTH(A776)=12, P776+V776, 0) + H776 - L776, 0),
      MAX(MAX(0, Y775-(AD776-Z775)) + IF(MONTH(A776)=12, P776+V776, 0) + H776 - L776, 0)
    ),
  B776&gt;55,
    IF(AB775&gt;=$AH$7,
      MAX(Y775 + IF(MONTH(A776)=12, P776+V776, 0) + H776 - L776 + K776 + Z775, 0),
      MAX(Y775 + IF(MONTH(A776)=12, P776+V776, 0) + H776 - L776, 0)
    )
)</f>
        <v>1876231.631</v>
      </c>
      <c r="Z776" s="65">
        <f>IFS(
  B776&lt;55,
    MIN(
      IF(AA775 &gt;= VLOOKUP(YEAR(A776), Lookup!$Q:$R, 2),
        Z775 + IF(MONTH(A776)=12, Q776+W776, 0) + I776
          + AA775 + IF(MONTH(A776)=12, R776+X776, 0) - VLOOKUP(YEAR(A776), Lookup!$Q:$R, 2) + J776,
        Z775 + IF(MONTH(A776)=12, Q776+W776, 0) + I776
      ),
      VLOOKUP(YEAR(A776), Lookup!$K:$M, 3)
    ),
  B776=55,
    IF(Z775 &gt;= AD776, Z775 - AD776, 0),
  B776&gt;55, 0
)</f>
        <v>0</v>
      </c>
      <c r="AA776" s="65">
        <f>IFS(
  B776&lt;65,
    IF(AA775+J776 &lt; VLOOKUP(YEAR(A776), Lookup!$Q:$R, 2),
      AA775 + IF(MONTH(A776)=12, R775+X775, 0) + J776,
      MIN(
        AA775 + IF(MONTH(A776)=12, R775+X775, 0) + J776 ,
        VLOOKUP(YEAR(A776), Lookup!$Q:$R, 2)
      )
    ),
  B776&gt;=65,
    IF(AA775+J776 &lt; VLOOKUP(questions!$C$5, Lookup!$Q:$R, 2),
      AA775 + IF(MONTH(A776)=12, R775+X775, 0) + J776 ,
      MIN(
        AA775 + IF(MONTH(A776)=12, R775+X775, 0) + J776,
        VLOOKUP(questions!$C$5, Lookup!$Q:$R, 2)
      )
    )
)</f>
        <v>282111.0086</v>
      </c>
      <c r="AB776" s="65">
        <f t="shared" si="13"/>
        <v>2630025.036</v>
      </c>
      <c r="AC776" s="66">
        <f t="array" ref="AC776">IFS(B776&lt;66, XLOOKUP(year(A776),Lookup!$K$13:$K1000,Lookup!$L$13:$L1000,"missing",,1),B776&gt;65,XLOOKUP(questions!$C$5,Lookup!$K$13:$K1000,Lookup!$L$13:$L1000,"missing",,1))</f>
        <v>393675.3633</v>
      </c>
      <c r="AD776" s="66">
        <f t="array" ref="AD776">IFS(B776&lt;66, XLOOKUP(year(A776),Lookup!$K$13:$K1000,Lookup!$M$13:$M1000,"missing",,1),B776&gt;65, XLOOKUP(questions!$C$5,Lookup!$K$13:$K1000,Lookup!$M$13:$M1000,"missing",,1))</f>
        <v>787350.7266</v>
      </c>
      <c r="AE776" s="66">
        <f t="array" ref="AE776">IFS(B776&lt;66, XLOOKUP(year(A776),Lookup!$K$13:$K1000,Lookup!$N$13:$N1000,"missing",,1),B776&gt;65,XLOOKUP(questions!$C$5,Lookup!$K$13:$K1000,Lookup!$N$13:$N1000,"missing",,1))</f>
        <v>1574701.453</v>
      </c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  <c r="AQ776" s="37"/>
    </row>
    <row r="777">
      <c r="A777" s="55">
        <f t="shared" si="7"/>
        <v>69671</v>
      </c>
      <c r="B777" s="56">
        <f>round(YEARFRAC(EOMONTH(questions!$C$3, 0),A777,1),2)</f>
        <v>91.83</v>
      </c>
      <c r="C777" s="58">
        <f>IF(B777&lt;questions!$C$6,if(MONTH(A777)=1,C776*(1+questions!$C$12),C776),0)</f>
        <v>0</v>
      </c>
      <c r="D777" s="58">
        <f>IF(MONTH(A777)=12,C777*questions!$C$11,0)</f>
        <v>0</v>
      </c>
      <c r="E777" s="71">
        <f t="shared" si="2"/>
        <v>0</v>
      </c>
      <c r="F777" s="71">
        <f t="shared" si="3"/>
        <v>0</v>
      </c>
      <c r="G777" s="61">
        <f t="array" ref="G777">if(YEAR(A777)=2025,XLOOKUP(B777,Lookup!$A$3:$A$7,Lookup!$D$3:$D$7,,1)*SUM(E777:F777), XLOOKUP(B777,Lookup!$A$14:$A$18,Lookup!$D$14:$D$18,,1)*SUM(E777:F777))</f>
        <v>0</v>
      </c>
      <c r="H777" s="61">
        <f t="array" ref="H777">if(YEAR(A777)=2025,XLOOKUP(B777,Lookup!$F$3:$F$10,Lookup!$G$3:$G$10,,1)*G777, XLOOKUP(B777,Lookup!$F$14:$F$21,Lookup!$G$14:$G$21,,1)*G777)</f>
        <v>0</v>
      </c>
      <c r="I777" s="61">
        <f t="array" ref="I777">if(B777&lt;55, if(YEAR(A777)=2025,XLOOKUP(B777,Lookup!$F$3:$F$10,Lookup!$H$3:$H$10,,1)*G777, XLOOKUP(B777,Lookup!$F$14:$F$21,Lookup!$H$14:$H$21,,1)*G777),0)</f>
        <v>0</v>
      </c>
      <c r="J777" s="61">
        <f t="array" ref="J777">if(YEAR(A777)=2025,XLOOKUP(B777,Lookup!$F$3:$F$10,Lookup!$I$3:$I$10,,1)*G777, XLOOKUP(B777,Lookup!$F$14:$F$21,Lookup!$I$14:$I$21,,1)*G777)</f>
        <v>0</v>
      </c>
      <c r="K777" s="61">
        <f t="array" ref="K777">if(B777&gt;54, if(YEAR(A777)=2025,XLOOKUP(B777,Lookup!$F$3:$F$10,Lookup!$H$3:$H$10,,1)*G777, XLOOKUP(B777,Lookup!$F$14:$F$21,Lookup!$H$14:$H$21,,1)*G777),0)</f>
        <v>0</v>
      </c>
      <c r="L777" s="62">
        <f>IF(and(A777&lt;questions!$C$19,questions!$C$18="yes"),questions!$C$20,0)</f>
        <v>0</v>
      </c>
      <c r="M777" s="63">
        <f>(Y776+H777)*Lookup!A$26/12</f>
        <v>3908.815897</v>
      </c>
      <c r="N777" s="63">
        <f>if(B777&lt;55, (Z776+I777)*Lookup!B$26/12, (AB776+K777)*Lookup!B$26/12)</f>
        <v>8766.750119</v>
      </c>
      <c r="O777" s="63">
        <f>(AA776+J777)*Lookup!C$26/12</f>
        <v>940.3700287</v>
      </c>
      <c r="P777" s="63">
        <f t="shared" si="8"/>
        <v>35179.34307</v>
      </c>
      <c r="Q777" s="63">
        <f t="shared" si="4"/>
        <v>78900.75107</v>
      </c>
      <c r="R777" s="63">
        <f t="shared" si="5"/>
        <v>8463.330258</v>
      </c>
      <c r="S777" s="64">
        <f t="shared" si="9"/>
        <v>33.33333333</v>
      </c>
      <c r="T777" s="64">
        <f t="shared" si="10"/>
        <v>41.66666667</v>
      </c>
      <c r="U777" s="64">
        <f t="shared" si="11"/>
        <v>0</v>
      </c>
      <c r="V777" s="64">
        <f t="shared" ref="V777:X777" si="785">IF(year($A777)=year($A776), V776+S777, S777)</f>
        <v>300</v>
      </c>
      <c r="W777" s="64">
        <f t="shared" si="785"/>
        <v>375</v>
      </c>
      <c r="X777" s="64">
        <f t="shared" si="785"/>
        <v>0</v>
      </c>
      <c r="Y777" s="65">
        <f>IFS(
  B777&lt;55,
    MAX(
      Y776 + IF(MONTH(A777)=12, P777+V777, 0) + H777 - L777
      + MAX(0,
          IF(AA776 &gt;= VLOOKUP(YEAR(A777), Lookup!$Q:$R, 2),
            Z776 + IF(MONTH(A777)=12, Q777+W777, 0) + I777
              + AA776 + IF(MONTH(A777)=12, R777+X777, 0)
              - VLOOKUP(YEAR(A777), Lookup!$Q:$R, 2) + J777,
            Z776 + IF(MONTH(A777)=12, Q777+W777, 0) + I777
          ) - VLOOKUP(YEAR(A777), Lookup!$K:$M, 3)
        ),
    0),
  B777=55,
    IF(Z776&gt;=AD777,
      MAX(Y776 + IF(MONTH(A777)=12, P777+V777, 0) + H777 - L777, 0),
      MAX(MAX(0, Y776-(AD777-Z776)) + IF(MONTH(A777)=12, P777+V777, 0) + H777 - L777, 0)
    ),
  B777&gt;55,
    IF(AB776&gt;=$AH$7,
      MAX(Y776 + IF(MONTH(A777)=12, P777+V777, 0) + H777 - L777 + K777 + Z776, 0),
      MAX(Y776 + IF(MONTH(A777)=12, P777+V777, 0) + H777 - L777, 0)
    )
)</f>
        <v>1876231.631</v>
      </c>
      <c r="Z777" s="65">
        <f>IFS(
  B777&lt;55,
    MIN(
      IF(AA776 &gt;= VLOOKUP(YEAR(A777), Lookup!$Q:$R, 2),
        Z776 + IF(MONTH(A777)=12, Q777+W777, 0) + I777
          + AA776 + IF(MONTH(A777)=12, R777+X777, 0) - VLOOKUP(YEAR(A777), Lookup!$Q:$R, 2) + J777,
        Z776 + IF(MONTH(A777)=12, Q777+W777, 0) + I777
      ),
      VLOOKUP(YEAR(A777), Lookup!$K:$M, 3)
    ),
  B777=55,
    IF(Z776 &gt;= AD777, Z776 - AD777, 0),
  B777&gt;55, 0
)</f>
        <v>0</v>
      </c>
      <c r="AA777" s="65">
        <f>IFS(
  B777&lt;65,
    IF(AA776+J777 &lt; VLOOKUP(YEAR(A777), Lookup!$Q:$R, 2),
      AA776 + IF(MONTH(A777)=12, R776+X776, 0) + J777,
      MIN(
        AA776 + IF(MONTH(A777)=12, R776+X776, 0) + J777 ,
        VLOOKUP(YEAR(A777), Lookup!$Q:$R, 2)
      )
    ),
  B777&gt;=65,
    IF(AA776+J777 &lt; VLOOKUP(questions!$C$5, Lookup!$Q:$R, 2),
      AA776 + IF(MONTH(A777)=12, R776+X776, 0) + J777 ,
      MIN(
        AA776 + IF(MONTH(A777)=12, R776+X776, 0) + J777,
        VLOOKUP(questions!$C$5, Lookup!$Q:$R, 2)
      )
    )
)</f>
        <v>282111.0086</v>
      </c>
      <c r="AB777" s="65">
        <f t="shared" si="13"/>
        <v>2630025.036</v>
      </c>
      <c r="AC777" s="66">
        <f t="array" ref="AC777">IFS(B777&lt;66, XLOOKUP(year(A777),Lookup!$K$13:$K1000,Lookup!$L$13:$L1000,"missing",,1),B777&gt;65,XLOOKUP(questions!$C$5,Lookup!$K$13:$K1000,Lookup!$L$13:$L1000,"missing",,1))</f>
        <v>393675.3633</v>
      </c>
      <c r="AD777" s="66">
        <f t="array" ref="AD777">IFS(B777&lt;66, XLOOKUP(year(A777),Lookup!$K$13:$K1000,Lookup!$M$13:$M1000,"missing",,1),B777&gt;65, XLOOKUP(questions!$C$5,Lookup!$K$13:$K1000,Lookup!$M$13:$M1000,"missing",,1))</f>
        <v>787350.7266</v>
      </c>
      <c r="AE777" s="66">
        <f t="array" ref="AE777">IFS(B777&lt;66, XLOOKUP(year(A777),Lookup!$K$13:$K1000,Lookup!$N$13:$N1000,"missing",,1),B777&gt;65,XLOOKUP(questions!$C$5,Lookup!$K$13:$K1000,Lookup!$N$13:$N1000,"missing",,1))</f>
        <v>1574701.453</v>
      </c>
      <c r="AF777" s="37"/>
      <c r="AG777" s="37"/>
      <c r="AH777" s="37"/>
      <c r="AI777" s="37"/>
      <c r="AJ777" s="37"/>
      <c r="AK777" s="37"/>
      <c r="AL777" s="37"/>
      <c r="AM777" s="37"/>
      <c r="AN777" s="37"/>
      <c r="AO777" s="37"/>
      <c r="AP777" s="37"/>
      <c r="AQ777" s="37"/>
    </row>
    <row r="778">
      <c r="A778" s="55">
        <f t="shared" si="7"/>
        <v>69702</v>
      </c>
      <c r="B778" s="56">
        <f>round(YEARFRAC(EOMONTH(questions!$C$3, 0),A778,1),2)</f>
        <v>91.92</v>
      </c>
      <c r="C778" s="58">
        <f>IF(B778&lt;questions!$C$6,if(MONTH(A778)=1,C777*(1+questions!$C$12),C777),0)</f>
        <v>0</v>
      </c>
      <c r="D778" s="58">
        <f>IF(MONTH(A778)=12,C778*questions!$C$11,0)</f>
        <v>0</v>
      </c>
      <c r="E778" s="71">
        <f t="shared" si="2"/>
        <v>0</v>
      </c>
      <c r="F778" s="71">
        <f t="shared" si="3"/>
        <v>0</v>
      </c>
      <c r="G778" s="61">
        <f t="array" ref="G778">if(YEAR(A778)=2025,XLOOKUP(B778,Lookup!$A$3:$A$7,Lookup!$D$3:$D$7,,1)*SUM(E778:F778), XLOOKUP(B778,Lookup!$A$14:$A$18,Lookup!$D$14:$D$18,,1)*SUM(E778:F778))</f>
        <v>0</v>
      </c>
      <c r="H778" s="61">
        <f t="array" ref="H778">if(YEAR(A778)=2025,XLOOKUP(B778,Lookup!$F$3:$F$10,Lookup!$G$3:$G$10,,1)*G778, XLOOKUP(B778,Lookup!$F$14:$F$21,Lookup!$G$14:$G$21,,1)*G778)</f>
        <v>0</v>
      </c>
      <c r="I778" s="61">
        <f t="array" ref="I778">if(B778&lt;55, if(YEAR(A778)=2025,XLOOKUP(B778,Lookup!$F$3:$F$10,Lookup!$H$3:$H$10,,1)*G778, XLOOKUP(B778,Lookup!$F$14:$F$21,Lookup!$H$14:$H$21,,1)*G778),0)</f>
        <v>0</v>
      </c>
      <c r="J778" s="61">
        <f t="array" ref="J778">if(YEAR(A778)=2025,XLOOKUP(B778,Lookup!$F$3:$F$10,Lookup!$I$3:$I$10,,1)*G778, XLOOKUP(B778,Lookup!$F$14:$F$21,Lookup!$I$14:$I$21,,1)*G778)</f>
        <v>0</v>
      </c>
      <c r="K778" s="61">
        <f t="array" ref="K778">if(B778&gt;54, if(YEAR(A778)=2025,XLOOKUP(B778,Lookup!$F$3:$F$10,Lookup!$H$3:$H$10,,1)*G778, XLOOKUP(B778,Lookup!$F$14:$F$21,Lookup!$H$14:$H$21,,1)*G778),0)</f>
        <v>0</v>
      </c>
      <c r="L778" s="62">
        <f>IF(and(A778&lt;questions!$C$19,questions!$C$18="yes"),questions!$C$20,0)</f>
        <v>0</v>
      </c>
      <c r="M778" s="63">
        <f>(Y777+H778)*Lookup!A$26/12</f>
        <v>3908.815897</v>
      </c>
      <c r="N778" s="63">
        <f>if(B778&lt;55, (Z777+I778)*Lookup!B$26/12, (AB777+K778)*Lookup!B$26/12)</f>
        <v>8766.750119</v>
      </c>
      <c r="O778" s="63">
        <f>(AA777+J778)*Lookup!C$26/12</f>
        <v>940.3700287</v>
      </c>
      <c r="P778" s="63">
        <f t="shared" si="8"/>
        <v>39088.15897</v>
      </c>
      <c r="Q778" s="63">
        <f t="shared" si="4"/>
        <v>87667.50119</v>
      </c>
      <c r="R778" s="63">
        <f t="shared" si="5"/>
        <v>9403.700287</v>
      </c>
      <c r="S778" s="64">
        <f t="shared" si="9"/>
        <v>33.33333333</v>
      </c>
      <c r="T778" s="64">
        <f t="shared" si="10"/>
        <v>41.66666667</v>
      </c>
      <c r="U778" s="64">
        <f t="shared" si="11"/>
        <v>0</v>
      </c>
      <c r="V778" s="64">
        <f t="shared" ref="V778:X778" si="786">IF(year($A778)=year($A777), V777+S778, S778)</f>
        <v>333.3333333</v>
      </c>
      <c r="W778" s="64">
        <f t="shared" si="786"/>
        <v>416.6666667</v>
      </c>
      <c r="X778" s="64">
        <f t="shared" si="786"/>
        <v>0</v>
      </c>
      <c r="Y778" s="65">
        <f>IFS(
  B778&lt;55,
    MAX(
      Y777 + IF(MONTH(A778)=12, P778+V778, 0) + H778 - L778
      + MAX(0,
          IF(AA777 &gt;= VLOOKUP(YEAR(A778), Lookup!$Q:$R, 2),
            Z777 + IF(MONTH(A778)=12, Q778+W778, 0) + I778
              + AA777 + IF(MONTH(A778)=12, R778+X778, 0)
              - VLOOKUP(YEAR(A778), Lookup!$Q:$R, 2) + J778,
            Z777 + IF(MONTH(A778)=12, Q778+W778, 0) + I778
          ) - VLOOKUP(YEAR(A778), Lookup!$K:$M, 3)
        ),
    0),
  B778=55,
    IF(Z777&gt;=AD778,
      MAX(Y777 + IF(MONTH(A778)=12, P778+V778, 0) + H778 - L778, 0),
      MAX(MAX(0, Y777-(AD778-Z777)) + IF(MONTH(A778)=12, P778+V778, 0) + H778 - L778, 0)
    ),
  B778&gt;55,
    IF(AB777&gt;=$AH$7,
      MAX(Y777 + IF(MONTH(A778)=12, P778+V778, 0) + H778 - L778 + K778 + Z777, 0),
      MAX(Y777 + IF(MONTH(A778)=12, P778+V778, 0) + H778 - L778, 0)
    )
)</f>
        <v>1876231.631</v>
      </c>
      <c r="Z778" s="65">
        <f>IFS(
  B778&lt;55,
    MIN(
      IF(AA777 &gt;= VLOOKUP(YEAR(A778), Lookup!$Q:$R, 2),
        Z777 + IF(MONTH(A778)=12, Q778+W778, 0) + I778
          + AA777 + IF(MONTH(A778)=12, R778+X778, 0) - VLOOKUP(YEAR(A778), Lookup!$Q:$R, 2) + J778,
        Z777 + IF(MONTH(A778)=12, Q778+W778, 0) + I778
      ),
      VLOOKUP(YEAR(A778), Lookup!$K:$M, 3)
    ),
  B778=55,
    IF(Z777 &gt;= AD778, Z777 - AD778, 0),
  B778&gt;55, 0
)</f>
        <v>0</v>
      </c>
      <c r="AA778" s="65">
        <f>IFS(
  B778&lt;65,
    IF(AA777+J778 &lt; VLOOKUP(YEAR(A778), Lookup!$Q:$R, 2),
      AA777 + IF(MONTH(A778)=12, R777+X777, 0) + J778,
      MIN(
        AA777 + IF(MONTH(A778)=12, R777+X777, 0) + J778 ,
        VLOOKUP(YEAR(A778), Lookup!$Q:$R, 2)
      )
    ),
  B778&gt;=65,
    IF(AA777+J778 &lt; VLOOKUP(questions!$C$5, Lookup!$Q:$R, 2),
      AA777 + IF(MONTH(A778)=12, R777+X777, 0) + J778 ,
      MIN(
        AA777 + IF(MONTH(A778)=12, R777+X777, 0) + J778,
        VLOOKUP(questions!$C$5, Lookup!$Q:$R, 2)
      )
    )
)</f>
        <v>282111.0086</v>
      </c>
      <c r="AB778" s="65">
        <f t="shared" si="13"/>
        <v>2630025.036</v>
      </c>
      <c r="AC778" s="66">
        <f t="array" ref="AC778">IFS(B778&lt;66, XLOOKUP(year(A778),Lookup!$K$13:$K1000,Lookup!$L$13:$L1000,"missing",,1),B778&gt;65,XLOOKUP(questions!$C$5,Lookup!$K$13:$K1000,Lookup!$L$13:$L1000,"missing",,1))</f>
        <v>393675.3633</v>
      </c>
      <c r="AD778" s="66">
        <f t="array" ref="AD778">IFS(B778&lt;66, XLOOKUP(year(A778),Lookup!$K$13:$K1000,Lookup!$M$13:$M1000,"missing",,1),B778&gt;65, XLOOKUP(questions!$C$5,Lookup!$K$13:$K1000,Lookup!$M$13:$M1000,"missing",,1))</f>
        <v>787350.7266</v>
      </c>
      <c r="AE778" s="66">
        <f t="array" ref="AE778">IFS(B778&lt;66, XLOOKUP(year(A778),Lookup!$K$13:$K1000,Lookup!$N$13:$N1000,"missing",,1),B778&gt;65,XLOOKUP(questions!$C$5,Lookup!$K$13:$K1000,Lookup!$N$13:$N1000,"missing",,1))</f>
        <v>1574701.453</v>
      </c>
      <c r="AF778" s="37"/>
      <c r="AG778" s="37"/>
      <c r="AH778" s="37"/>
      <c r="AI778" s="37"/>
      <c r="AJ778" s="37"/>
      <c r="AK778" s="37"/>
      <c r="AL778" s="37"/>
      <c r="AM778" s="37"/>
      <c r="AN778" s="37"/>
      <c r="AO778" s="37"/>
      <c r="AP778" s="37"/>
      <c r="AQ778" s="37"/>
    </row>
    <row r="779">
      <c r="A779" s="55">
        <f t="shared" si="7"/>
        <v>69732</v>
      </c>
      <c r="B779" s="56">
        <f>round(YEARFRAC(EOMONTH(questions!$C$3, 0),A779,1),2)</f>
        <v>92</v>
      </c>
      <c r="C779" s="58">
        <f>IF(B779&lt;questions!$C$6,if(MONTH(A779)=1,C778*(1+questions!$C$12),C778),0)</f>
        <v>0</v>
      </c>
      <c r="D779" s="58">
        <f>IF(MONTH(A779)=12,C779*questions!$C$11,0)</f>
        <v>0</v>
      </c>
      <c r="E779" s="71">
        <f t="shared" si="2"/>
        <v>0</v>
      </c>
      <c r="F779" s="71">
        <f t="shared" si="3"/>
        <v>0</v>
      </c>
      <c r="G779" s="61">
        <f t="array" ref="G779">if(YEAR(A779)=2025,XLOOKUP(B779,Lookup!$A$3:$A$7,Lookup!$D$3:$D$7,,1)*SUM(E779:F779), XLOOKUP(B779,Lookup!$A$14:$A$18,Lookup!$D$14:$D$18,,1)*SUM(E779:F779))</f>
        <v>0</v>
      </c>
      <c r="H779" s="61">
        <f t="array" ref="H779">if(YEAR(A779)=2025,XLOOKUP(B779,Lookup!$F$3:$F$10,Lookup!$G$3:$G$10,,1)*G779, XLOOKUP(B779,Lookup!$F$14:$F$21,Lookup!$G$14:$G$21,,1)*G779)</f>
        <v>0</v>
      </c>
      <c r="I779" s="61">
        <f t="array" ref="I779">if(B779&lt;55, if(YEAR(A779)=2025,XLOOKUP(B779,Lookup!$F$3:$F$10,Lookup!$H$3:$H$10,,1)*G779, XLOOKUP(B779,Lookup!$F$14:$F$21,Lookup!$H$14:$H$21,,1)*G779),0)</f>
        <v>0</v>
      </c>
      <c r="J779" s="61">
        <f t="array" ref="J779">if(YEAR(A779)=2025,XLOOKUP(B779,Lookup!$F$3:$F$10,Lookup!$I$3:$I$10,,1)*G779, XLOOKUP(B779,Lookup!$F$14:$F$21,Lookup!$I$14:$I$21,,1)*G779)</f>
        <v>0</v>
      </c>
      <c r="K779" s="61">
        <f t="array" ref="K779">if(B779&gt;54, if(YEAR(A779)=2025,XLOOKUP(B779,Lookup!$F$3:$F$10,Lookup!$H$3:$H$10,,1)*G779, XLOOKUP(B779,Lookup!$F$14:$F$21,Lookup!$H$14:$H$21,,1)*G779),0)</f>
        <v>0</v>
      </c>
      <c r="L779" s="62">
        <f>IF(and(A779&lt;questions!$C$19,questions!$C$18="yes"),questions!$C$20,0)</f>
        <v>0</v>
      </c>
      <c r="M779" s="63">
        <f>(Y778+H779)*Lookup!A$26/12</f>
        <v>3908.815897</v>
      </c>
      <c r="N779" s="63">
        <f>if(B779&lt;55, (Z778+I779)*Lookup!B$26/12, (AB778+K779)*Lookup!B$26/12)</f>
        <v>8766.750119</v>
      </c>
      <c r="O779" s="63">
        <f>(AA778+J779)*Lookup!C$26/12</f>
        <v>940.3700287</v>
      </c>
      <c r="P779" s="63">
        <f t="shared" si="8"/>
        <v>42996.97487</v>
      </c>
      <c r="Q779" s="63">
        <f t="shared" si="4"/>
        <v>96434.25131</v>
      </c>
      <c r="R779" s="63">
        <f t="shared" si="5"/>
        <v>10344.07032</v>
      </c>
      <c r="S779" s="64">
        <f t="shared" si="9"/>
        <v>33.33333333</v>
      </c>
      <c r="T779" s="64">
        <f t="shared" si="10"/>
        <v>41.66666667</v>
      </c>
      <c r="U779" s="64">
        <f t="shared" si="11"/>
        <v>0</v>
      </c>
      <c r="V779" s="64">
        <f t="shared" ref="V779:X779" si="787">IF(year($A779)=year($A778), V778+S779, S779)</f>
        <v>366.6666667</v>
      </c>
      <c r="W779" s="64">
        <f t="shared" si="787"/>
        <v>458.3333333</v>
      </c>
      <c r="X779" s="64">
        <f t="shared" si="787"/>
        <v>0</v>
      </c>
      <c r="Y779" s="65">
        <f>IFS(
  B779&lt;55,
    MAX(
      Y778 + IF(MONTH(A779)=12, P779+V779, 0) + H779 - L779
      + MAX(0,
          IF(AA778 &gt;= VLOOKUP(YEAR(A779), Lookup!$Q:$R, 2),
            Z778 + IF(MONTH(A779)=12, Q779+W779, 0) + I779
              + AA778 + IF(MONTH(A779)=12, R779+X779, 0)
              - VLOOKUP(YEAR(A779), Lookup!$Q:$R, 2) + J779,
            Z778 + IF(MONTH(A779)=12, Q779+W779, 0) + I779
          ) - VLOOKUP(YEAR(A779), Lookup!$K:$M, 3)
        ),
    0),
  B779=55,
    IF(Z778&gt;=AD779,
      MAX(Y778 + IF(MONTH(A779)=12, P779+V779, 0) + H779 - L779, 0),
      MAX(MAX(0, Y778-(AD779-Z778)) + IF(MONTH(A779)=12, P779+V779, 0) + H779 - L779, 0)
    ),
  B779&gt;55,
    IF(AB778&gt;=$AH$7,
      MAX(Y778 + IF(MONTH(A779)=12, P779+V779, 0) + H779 - L779 + K779 + Z778, 0),
      MAX(Y778 + IF(MONTH(A779)=12, P779+V779, 0) + H779 - L779, 0)
    )
)</f>
        <v>1876231.631</v>
      </c>
      <c r="Z779" s="65">
        <f>IFS(
  B779&lt;55,
    MIN(
      IF(AA778 &gt;= VLOOKUP(YEAR(A779), Lookup!$Q:$R, 2),
        Z778 + IF(MONTH(A779)=12, Q779+W779, 0) + I779
          + AA778 + IF(MONTH(A779)=12, R779+X779, 0) - VLOOKUP(YEAR(A779), Lookup!$Q:$R, 2) + J779,
        Z778 + IF(MONTH(A779)=12, Q779+W779, 0) + I779
      ),
      VLOOKUP(YEAR(A779), Lookup!$K:$M, 3)
    ),
  B779=55,
    IF(Z778 &gt;= AD779, Z778 - AD779, 0),
  B779&gt;55, 0
)</f>
        <v>0</v>
      </c>
      <c r="AA779" s="65">
        <f>IFS(
  B779&lt;65,
    IF(AA778+J779 &lt; VLOOKUP(YEAR(A779), Lookup!$Q:$R, 2),
      AA778 + IF(MONTH(A779)=12, R778+X778, 0) + J779,
      MIN(
        AA778 + IF(MONTH(A779)=12, R778+X778, 0) + J779 ,
        VLOOKUP(YEAR(A779), Lookup!$Q:$R, 2)
      )
    ),
  B779&gt;=65,
    IF(AA778+J779 &lt; VLOOKUP(questions!$C$5, Lookup!$Q:$R, 2),
      AA778 + IF(MONTH(A779)=12, R778+X778, 0) + J779 ,
      MIN(
        AA778 + IF(MONTH(A779)=12, R778+X778, 0) + J779,
        VLOOKUP(questions!$C$5, Lookup!$Q:$R, 2)
      )
    )
)</f>
        <v>282111.0086</v>
      </c>
      <c r="AB779" s="65">
        <f t="shared" si="13"/>
        <v>2630025.036</v>
      </c>
      <c r="AC779" s="66">
        <f t="array" ref="AC779">IFS(B779&lt;66, XLOOKUP(year(A779),Lookup!$K$13:$K1000,Lookup!$L$13:$L1000,"missing",,1),B779&gt;65,XLOOKUP(questions!$C$5,Lookup!$K$13:$K1000,Lookup!$L$13:$L1000,"missing",,1))</f>
        <v>393675.3633</v>
      </c>
      <c r="AD779" s="66">
        <f t="array" ref="AD779">IFS(B779&lt;66, XLOOKUP(year(A779),Lookup!$K$13:$K1000,Lookup!$M$13:$M1000,"missing",,1),B779&gt;65, XLOOKUP(questions!$C$5,Lookup!$K$13:$K1000,Lookup!$M$13:$M1000,"missing",,1))</f>
        <v>787350.7266</v>
      </c>
      <c r="AE779" s="66">
        <f t="array" ref="AE779">IFS(B779&lt;66, XLOOKUP(year(A779),Lookup!$K$13:$K1000,Lookup!$N$13:$N1000,"missing",,1),B779&gt;65,XLOOKUP(questions!$C$5,Lookup!$K$13:$K1000,Lookup!$N$13:$N1000,"missing",,1))</f>
        <v>1574701.453</v>
      </c>
      <c r="AF779" s="37"/>
      <c r="AG779" s="37"/>
      <c r="AH779" s="37"/>
      <c r="AI779" s="37"/>
      <c r="AJ779" s="37"/>
      <c r="AK779" s="37"/>
      <c r="AL779" s="37"/>
      <c r="AM779" s="37"/>
      <c r="AN779" s="37"/>
      <c r="AO779" s="37"/>
      <c r="AP779" s="37"/>
      <c r="AQ779" s="37"/>
    </row>
    <row r="780">
      <c r="A780" s="55">
        <f t="shared" si="7"/>
        <v>69763</v>
      </c>
      <c r="B780" s="56">
        <f>round(YEARFRAC(EOMONTH(questions!$C$3, 0),A780,1),2)</f>
        <v>92.08</v>
      </c>
      <c r="C780" s="58">
        <f>IF(B780&lt;questions!$C$6,if(MONTH(A780)=1,C779*(1+questions!$C$12),C779),0)</f>
        <v>0</v>
      </c>
      <c r="D780" s="58">
        <f>IF(MONTH(A780)=12,C780*questions!$C$11,0)</f>
        <v>0</v>
      </c>
      <c r="E780" s="71">
        <f t="shared" si="2"/>
        <v>0</v>
      </c>
      <c r="F780" s="71">
        <f t="shared" si="3"/>
        <v>0</v>
      </c>
      <c r="G780" s="61">
        <f t="array" ref="G780">if(YEAR(A780)=2025,XLOOKUP(B780,Lookup!$A$3:$A$7,Lookup!$D$3:$D$7,,1)*SUM(E780:F780), XLOOKUP(B780,Lookup!$A$14:$A$18,Lookup!$D$14:$D$18,,1)*SUM(E780:F780))</f>
        <v>0</v>
      </c>
      <c r="H780" s="61">
        <f t="array" ref="H780">if(YEAR(A780)=2025,XLOOKUP(B780,Lookup!$F$3:$F$10,Lookup!$G$3:$G$10,,1)*G780, XLOOKUP(B780,Lookup!$F$14:$F$21,Lookup!$G$14:$G$21,,1)*G780)</f>
        <v>0</v>
      </c>
      <c r="I780" s="61">
        <f t="array" ref="I780">if(B780&lt;55, if(YEAR(A780)=2025,XLOOKUP(B780,Lookup!$F$3:$F$10,Lookup!$H$3:$H$10,,1)*G780, XLOOKUP(B780,Lookup!$F$14:$F$21,Lookup!$H$14:$H$21,,1)*G780),0)</f>
        <v>0</v>
      </c>
      <c r="J780" s="61">
        <f t="array" ref="J780">if(YEAR(A780)=2025,XLOOKUP(B780,Lookup!$F$3:$F$10,Lookup!$I$3:$I$10,,1)*G780, XLOOKUP(B780,Lookup!$F$14:$F$21,Lookup!$I$14:$I$21,,1)*G780)</f>
        <v>0</v>
      </c>
      <c r="K780" s="61">
        <f t="array" ref="K780">if(B780&gt;54, if(YEAR(A780)=2025,XLOOKUP(B780,Lookup!$F$3:$F$10,Lookup!$H$3:$H$10,,1)*G780, XLOOKUP(B780,Lookup!$F$14:$F$21,Lookup!$H$14:$H$21,,1)*G780),0)</f>
        <v>0</v>
      </c>
      <c r="L780" s="62">
        <f>IF(and(A780&lt;questions!$C$19,questions!$C$18="yes"),questions!$C$20,0)</f>
        <v>0</v>
      </c>
      <c r="M780" s="63">
        <f>(Y779+H780)*Lookup!A$26/12</f>
        <v>3908.815897</v>
      </c>
      <c r="N780" s="63">
        <f>if(B780&lt;55, (Z779+I780)*Lookup!B$26/12, (AB779+K780)*Lookup!B$26/12)</f>
        <v>8766.750119</v>
      </c>
      <c r="O780" s="63">
        <f>(AA779+J780)*Lookup!C$26/12</f>
        <v>940.3700287</v>
      </c>
      <c r="P780" s="63">
        <f t="shared" si="8"/>
        <v>46905.79076</v>
      </c>
      <c r="Q780" s="63">
        <f t="shared" si="4"/>
        <v>105201.0014</v>
      </c>
      <c r="R780" s="63">
        <f t="shared" si="5"/>
        <v>11284.44034</v>
      </c>
      <c r="S780" s="64">
        <f t="shared" si="9"/>
        <v>33.33333333</v>
      </c>
      <c r="T780" s="64">
        <f t="shared" si="10"/>
        <v>41.66666667</v>
      </c>
      <c r="U780" s="64">
        <f t="shared" si="11"/>
        <v>0</v>
      </c>
      <c r="V780" s="64">
        <f t="shared" ref="V780:X780" si="788">IF(year($A780)=year($A779), V779+S780, S780)</f>
        <v>400</v>
      </c>
      <c r="W780" s="64">
        <f t="shared" si="788"/>
        <v>500</v>
      </c>
      <c r="X780" s="64">
        <f t="shared" si="788"/>
        <v>0</v>
      </c>
      <c r="Y780" s="65">
        <f>IFS(
  B780&lt;55,
    MAX(
      Y779 + IF(MONTH(A780)=12, P780+V780, 0) + H780 - L780
      + MAX(0,
          IF(AA779 &gt;= VLOOKUP(YEAR(A780), Lookup!$Q:$R, 2),
            Z779 + IF(MONTH(A780)=12, Q780+W780, 0) + I780
              + AA779 + IF(MONTH(A780)=12, R780+X780, 0)
              - VLOOKUP(YEAR(A780), Lookup!$Q:$R, 2) + J780,
            Z779 + IF(MONTH(A780)=12, Q780+W780, 0) + I780
          ) - VLOOKUP(YEAR(A780), Lookup!$K:$M, 3)
        ),
    0),
  B780=55,
    IF(Z779&gt;=AD780,
      MAX(Y779 + IF(MONTH(A780)=12, P780+V780, 0) + H780 - L780, 0),
      MAX(MAX(0, Y779-(AD780-Z779)) + IF(MONTH(A780)=12, P780+V780, 0) + H780 - L780, 0)
    ),
  B780&gt;55,
    IF(AB779&gt;=$AH$7,
      MAX(Y779 + IF(MONTH(A780)=12, P780+V780, 0) + H780 - L780 + K780 + Z779, 0),
      MAX(Y779 + IF(MONTH(A780)=12, P780+V780, 0) + H780 - L780, 0)
    )
)</f>
        <v>1923537.421</v>
      </c>
      <c r="Z780" s="65">
        <f>IFS(
  B780&lt;55,
    MIN(
      IF(AA779 &gt;= VLOOKUP(YEAR(A780), Lookup!$Q:$R, 2),
        Z779 + IF(MONTH(A780)=12, Q780+W780, 0) + I780
          + AA779 + IF(MONTH(A780)=12, R780+X780, 0) - VLOOKUP(YEAR(A780), Lookup!$Q:$R, 2) + J780,
        Z779 + IF(MONTH(A780)=12, Q780+W780, 0) + I780
      ),
      VLOOKUP(YEAR(A780), Lookup!$K:$M, 3)
    ),
  B780=55,
    IF(Z779 &gt;= AD780, Z779 - AD780, 0),
  B780&gt;55, 0
)</f>
        <v>0</v>
      </c>
      <c r="AA780" s="65">
        <f>IFS(
  B780&lt;65,
    IF(AA779+J780 &lt; VLOOKUP(YEAR(A780), Lookup!$Q:$R, 2),
      AA779 + IF(MONTH(A780)=12, R779+X779, 0) + J780,
      MIN(
        AA779 + IF(MONTH(A780)=12, R779+X779, 0) + J780 ,
        VLOOKUP(YEAR(A780), Lookup!$Q:$R, 2)
      )
    ),
  B780&gt;=65,
    IF(AA779+J780 &lt; VLOOKUP(questions!$C$5, Lookup!$Q:$R, 2),
      AA779 + IF(MONTH(A780)=12, R779+X779, 0) + J780 ,
      MIN(
        AA779 + IF(MONTH(A780)=12, R779+X779, 0) + J780,
        VLOOKUP(questions!$C$5, Lookup!$Q:$R, 2)
      )
    )
)</f>
        <v>282111.0086</v>
      </c>
      <c r="AB780" s="65">
        <f t="shared" si="13"/>
        <v>2735726.037</v>
      </c>
      <c r="AC780" s="66">
        <f t="array" ref="AC780">IFS(B780&lt;66, XLOOKUP(year(A780),Lookup!$K$13:$K1000,Lookup!$L$13:$L1000,"missing",,1),B780&gt;65,XLOOKUP(questions!$C$5,Lookup!$K$13:$K1000,Lookup!$L$13:$L1000,"missing",,1))</f>
        <v>393675.3633</v>
      </c>
      <c r="AD780" s="66">
        <f t="array" ref="AD780">IFS(B780&lt;66, XLOOKUP(year(A780),Lookup!$K$13:$K1000,Lookup!$M$13:$M1000,"missing",,1),B780&gt;65, XLOOKUP(questions!$C$5,Lookup!$K$13:$K1000,Lookup!$M$13:$M1000,"missing",,1))</f>
        <v>787350.7266</v>
      </c>
      <c r="AE780" s="66">
        <f t="array" ref="AE780">IFS(B780&lt;66, XLOOKUP(year(A780),Lookup!$K$13:$K1000,Lookup!$N$13:$N1000,"missing",,1),B780&gt;65,XLOOKUP(questions!$C$5,Lookup!$K$13:$K1000,Lookup!$N$13:$N1000,"missing",,1))</f>
        <v>1574701.453</v>
      </c>
      <c r="AF780" s="37"/>
      <c r="AG780" s="37"/>
      <c r="AH780" s="37"/>
      <c r="AI780" s="37"/>
      <c r="AJ780" s="37"/>
      <c r="AK780" s="37"/>
      <c r="AL780" s="37"/>
      <c r="AM780" s="37"/>
      <c r="AN780" s="37"/>
      <c r="AO780" s="37"/>
      <c r="AP780" s="37"/>
      <c r="AQ780" s="37"/>
    </row>
    <row r="781">
      <c r="A781" s="55">
        <f t="shared" si="7"/>
        <v>69794</v>
      </c>
      <c r="B781" s="56">
        <f>round(YEARFRAC(EOMONTH(questions!$C$3, 0),A781,1),2)</f>
        <v>92.17</v>
      </c>
      <c r="C781" s="58">
        <f>IF(B781&lt;questions!$C$6,if(MONTH(A781)=1,C780*(1+questions!$C$12),C780),0)</f>
        <v>0</v>
      </c>
      <c r="D781" s="58">
        <f>IF(MONTH(A781)=12,C781*questions!$C$11,0)</f>
        <v>0</v>
      </c>
      <c r="E781" s="71">
        <f t="shared" si="2"/>
        <v>0</v>
      </c>
      <c r="F781" s="71">
        <f t="shared" si="3"/>
        <v>0</v>
      </c>
      <c r="G781" s="61">
        <f t="array" ref="G781">if(YEAR(A781)=2025,XLOOKUP(B781,Lookup!$A$3:$A$7,Lookup!$D$3:$D$7,,1)*SUM(E781:F781), XLOOKUP(B781,Lookup!$A$14:$A$18,Lookup!$D$14:$D$18,,1)*SUM(E781:F781))</f>
        <v>0</v>
      </c>
      <c r="H781" s="61">
        <f t="array" ref="H781">if(YEAR(A781)=2025,XLOOKUP(B781,Lookup!$F$3:$F$10,Lookup!$G$3:$G$10,,1)*G781, XLOOKUP(B781,Lookup!$F$14:$F$21,Lookup!$G$14:$G$21,,1)*G781)</f>
        <v>0</v>
      </c>
      <c r="I781" s="61">
        <f t="array" ref="I781">if(B781&lt;55, if(YEAR(A781)=2025,XLOOKUP(B781,Lookup!$F$3:$F$10,Lookup!$H$3:$H$10,,1)*G781, XLOOKUP(B781,Lookup!$F$14:$F$21,Lookup!$H$14:$H$21,,1)*G781),0)</f>
        <v>0</v>
      </c>
      <c r="J781" s="61">
        <f t="array" ref="J781">if(YEAR(A781)=2025,XLOOKUP(B781,Lookup!$F$3:$F$10,Lookup!$I$3:$I$10,,1)*G781, XLOOKUP(B781,Lookup!$F$14:$F$21,Lookup!$I$14:$I$21,,1)*G781)</f>
        <v>0</v>
      </c>
      <c r="K781" s="61">
        <f t="array" ref="K781">if(B781&gt;54, if(YEAR(A781)=2025,XLOOKUP(B781,Lookup!$F$3:$F$10,Lookup!$H$3:$H$10,,1)*G781, XLOOKUP(B781,Lookup!$F$14:$F$21,Lookup!$H$14:$H$21,,1)*G781),0)</f>
        <v>0</v>
      </c>
      <c r="L781" s="62">
        <f>IF(and(A781&lt;questions!$C$19,questions!$C$18="yes"),questions!$C$20,0)</f>
        <v>0</v>
      </c>
      <c r="M781" s="63">
        <f>(Y780+H781)*Lookup!A$26/12</f>
        <v>4007.369628</v>
      </c>
      <c r="N781" s="63">
        <f>if(B781&lt;55, (Z780+I781)*Lookup!B$26/12, (AB780+K781)*Lookup!B$26/12)</f>
        <v>9119.086791</v>
      </c>
      <c r="O781" s="63">
        <f>(AA780+J781)*Lookup!C$26/12</f>
        <v>940.3700287</v>
      </c>
      <c r="P781" s="63">
        <f t="shared" si="8"/>
        <v>4007.369628</v>
      </c>
      <c r="Q781" s="63">
        <f t="shared" si="4"/>
        <v>9119.086791</v>
      </c>
      <c r="R781" s="63">
        <f t="shared" si="5"/>
        <v>940.3700287</v>
      </c>
      <c r="S781" s="64">
        <f t="shared" si="9"/>
        <v>33.33333333</v>
      </c>
      <c r="T781" s="64">
        <f t="shared" si="10"/>
        <v>41.66666667</v>
      </c>
      <c r="U781" s="64">
        <f t="shared" si="11"/>
        <v>0</v>
      </c>
      <c r="V781" s="64">
        <f t="shared" ref="V781:X781" si="789">IF(year($A781)=year($A780), V780+S781, S781)</f>
        <v>33.33333333</v>
      </c>
      <c r="W781" s="64">
        <f t="shared" si="789"/>
        <v>41.66666667</v>
      </c>
      <c r="X781" s="64">
        <f t="shared" si="789"/>
        <v>0</v>
      </c>
      <c r="Y781" s="65">
        <f>IFS(
  B781&lt;55,
    MAX(
      Y780 + IF(MONTH(A781)=12, P781+V781, 0) + H781 - L781
      + MAX(0,
          IF(AA780 &gt;= VLOOKUP(YEAR(A781), Lookup!$Q:$R, 2),
            Z780 + IF(MONTH(A781)=12, Q781+W781, 0) + I781
              + AA780 + IF(MONTH(A781)=12, R781+X781, 0)
              - VLOOKUP(YEAR(A781), Lookup!$Q:$R, 2) + J781,
            Z780 + IF(MONTH(A781)=12, Q781+W781, 0) + I781
          ) - VLOOKUP(YEAR(A781), Lookup!$K:$M, 3)
        ),
    0),
  B781=55,
    IF(Z780&gt;=AD781,
      MAX(Y780 + IF(MONTH(A781)=12, P781+V781, 0) + H781 - L781, 0),
      MAX(MAX(0, Y780-(AD781-Z780)) + IF(MONTH(A781)=12, P781+V781, 0) + H781 - L781, 0)
    ),
  B781&gt;55,
    IF(AB780&gt;=$AH$7,
      MAX(Y780 + IF(MONTH(A781)=12, P781+V781, 0) + H781 - L781 + K781 + Z780, 0),
      MAX(Y780 + IF(MONTH(A781)=12, P781+V781, 0) + H781 - L781, 0)
    )
)</f>
        <v>1923537.421</v>
      </c>
      <c r="Z781" s="65">
        <f>IFS(
  B781&lt;55,
    MIN(
      IF(AA780 &gt;= VLOOKUP(YEAR(A781), Lookup!$Q:$R, 2),
        Z780 + IF(MONTH(A781)=12, Q781+W781, 0) + I781
          + AA780 + IF(MONTH(A781)=12, R781+X781, 0) - VLOOKUP(YEAR(A781), Lookup!$Q:$R, 2) + J781,
        Z780 + IF(MONTH(A781)=12, Q781+W781, 0) + I781
      ),
      VLOOKUP(YEAR(A781), Lookup!$K:$M, 3)
    ),
  B781=55,
    IF(Z780 &gt;= AD781, Z780 - AD781, 0),
  B781&gt;55, 0
)</f>
        <v>0</v>
      </c>
      <c r="AA781" s="65">
        <f>IFS(
  B781&lt;65,
    IF(AA780+J781 &lt; VLOOKUP(YEAR(A781), Lookup!$Q:$R, 2),
      AA780 + IF(MONTH(A781)=12, R780+X780, 0) + J781,
      MIN(
        AA780 + IF(MONTH(A781)=12, R780+X780, 0) + J781 ,
        VLOOKUP(YEAR(A781), Lookup!$Q:$R, 2)
      )
    ),
  B781&gt;=65,
    IF(AA780+J781 &lt; VLOOKUP(questions!$C$5, Lookup!$Q:$R, 2),
      AA780 + IF(MONTH(A781)=12, R780+X780, 0) + J781 ,
      MIN(
        AA780 + IF(MONTH(A781)=12, R780+X780, 0) + J781,
        VLOOKUP(questions!$C$5, Lookup!$Q:$R, 2)
      )
    )
)</f>
        <v>282111.0086</v>
      </c>
      <c r="AB781" s="65">
        <f t="shared" si="13"/>
        <v>2735726.037</v>
      </c>
      <c r="AC781" s="66">
        <f t="array" ref="AC781">IFS(B781&lt;66, XLOOKUP(year(A781),Lookup!$K$13:$K1000,Lookup!$L$13:$L1000,"missing",,1),B781&gt;65,XLOOKUP(questions!$C$5,Lookup!$K$13:$K1000,Lookup!$L$13:$L1000,"missing",,1))</f>
        <v>393675.3633</v>
      </c>
      <c r="AD781" s="66">
        <f t="array" ref="AD781">IFS(B781&lt;66, XLOOKUP(year(A781),Lookup!$K$13:$K1000,Lookup!$M$13:$M1000,"missing",,1),B781&gt;65, XLOOKUP(questions!$C$5,Lookup!$K$13:$K1000,Lookup!$M$13:$M1000,"missing",,1))</f>
        <v>787350.7266</v>
      </c>
      <c r="AE781" s="66">
        <f t="array" ref="AE781">IFS(B781&lt;66, XLOOKUP(year(A781),Lookup!$K$13:$K1000,Lookup!$N$13:$N1000,"missing",,1),B781&gt;65,XLOOKUP(questions!$C$5,Lookup!$K$13:$K1000,Lookup!$N$13:$N1000,"missing",,1))</f>
        <v>1574701.453</v>
      </c>
      <c r="AF781" s="37"/>
      <c r="AG781" s="37"/>
      <c r="AH781" s="37"/>
      <c r="AI781" s="37"/>
      <c r="AJ781" s="37"/>
      <c r="AK781" s="37"/>
      <c r="AL781" s="37"/>
      <c r="AM781" s="37"/>
      <c r="AN781" s="37"/>
      <c r="AO781" s="37"/>
      <c r="AP781" s="37"/>
      <c r="AQ781" s="37"/>
    </row>
    <row r="782">
      <c r="A782" s="55">
        <f t="shared" si="7"/>
        <v>69822</v>
      </c>
      <c r="B782" s="56">
        <f>round(YEARFRAC(EOMONTH(questions!$C$3, 0),A782,1),2)</f>
        <v>92.25</v>
      </c>
      <c r="C782" s="58">
        <f>IF(B782&lt;questions!$C$6,if(MONTH(A782)=1,C781*(1+questions!$C$12),C781),0)</f>
        <v>0</v>
      </c>
      <c r="D782" s="58">
        <f>IF(MONTH(A782)=12,C782*questions!$C$11,0)</f>
        <v>0</v>
      </c>
      <c r="E782" s="71">
        <f t="shared" si="2"/>
        <v>0</v>
      </c>
      <c r="F782" s="71">
        <f t="shared" si="3"/>
        <v>0</v>
      </c>
      <c r="G782" s="61">
        <f t="array" ref="G782">if(YEAR(A782)=2025,XLOOKUP(B782,Lookup!$A$3:$A$7,Lookup!$D$3:$D$7,,1)*SUM(E782:F782), XLOOKUP(B782,Lookup!$A$14:$A$18,Lookup!$D$14:$D$18,,1)*SUM(E782:F782))</f>
        <v>0</v>
      </c>
      <c r="H782" s="61">
        <f t="array" ref="H782">if(YEAR(A782)=2025,XLOOKUP(B782,Lookup!$F$3:$F$10,Lookup!$G$3:$G$10,,1)*G782, XLOOKUP(B782,Lookup!$F$14:$F$21,Lookup!$G$14:$G$21,,1)*G782)</f>
        <v>0</v>
      </c>
      <c r="I782" s="61">
        <f t="array" ref="I782">if(B782&lt;55, if(YEAR(A782)=2025,XLOOKUP(B782,Lookup!$F$3:$F$10,Lookup!$H$3:$H$10,,1)*G782, XLOOKUP(B782,Lookup!$F$14:$F$21,Lookup!$H$14:$H$21,,1)*G782),0)</f>
        <v>0</v>
      </c>
      <c r="J782" s="61">
        <f t="array" ref="J782">if(YEAR(A782)=2025,XLOOKUP(B782,Lookup!$F$3:$F$10,Lookup!$I$3:$I$10,,1)*G782, XLOOKUP(B782,Lookup!$F$14:$F$21,Lookup!$I$14:$I$21,,1)*G782)</f>
        <v>0</v>
      </c>
      <c r="K782" s="61">
        <f t="array" ref="K782">if(B782&gt;54, if(YEAR(A782)=2025,XLOOKUP(B782,Lookup!$F$3:$F$10,Lookup!$H$3:$H$10,,1)*G782, XLOOKUP(B782,Lookup!$F$14:$F$21,Lookup!$H$14:$H$21,,1)*G782),0)</f>
        <v>0</v>
      </c>
      <c r="L782" s="62">
        <f>IF(and(A782&lt;questions!$C$19,questions!$C$18="yes"),questions!$C$20,0)</f>
        <v>0</v>
      </c>
      <c r="M782" s="63">
        <f>(Y781+H782)*Lookup!A$26/12</f>
        <v>4007.369628</v>
      </c>
      <c r="N782" s="63">
        <f>if(B782&lt;55, (Z781+I782)*Lookup!B$26/12, (AB781+K782)*Lookup!B$26/12)</f>
        <v>9119.086791</v>
      </c>
      <c r="O782" s="63">
        <f>(AA781+J782)*Lookup!C$26/12</f>
        <v>940.3700287</v>
      </c>
      <c r="P782" s="63">
        <f t="shared" si="8"/>
        <v>8014.739256</v>
      </c>
      <c r="Q782" s="63">
        <f t="shared" si="4"/>
        <v>18238.17358</v>
      </c>
      <c r="R782" s="63">
        <f t="shared" si="5"/>
        <v>1880.740057</v>
      </c>
      <c r="S782" s="64">
        <f t="shared" si="9"/>
        <v>33.33333333</v>
      </c>
      <c r="T782" s="64">
        <f t="shared" si="10"/>
        <v>41.66666667</v>
      </c>
      <c r="U782" s="64">
        <f t="shared" si="11"/>
        <v>0</v>
      </c>
      <c r="V782" s="64">
        <f t="shared" ref="V782:X782" si="790">IF(year($A782)=year($A781), V781+S782, S782)</f>
        <v>66.66666667</v>
      </c>
      <c r="W782" s="64">
        <f t="shared" si="790"/>
        <v>83.33333333</v>
      </c>
      <c r="X782" s="64">
        <f t="shared" si="790"/>
        <v>0</v>
      </c>
      <c r="Y782" s="65">
        <f>IFS(
  B782&lt;55,
    MAX(
      Y781 + IF(MONTH(A782)=12, P782+V782, 0) + H782 - L782
      + MAX(0,
          IF(AA781 &gt;= VLOOKUP(YEAR(A782), Lookup!$Q:$R, 2),
            Z781 + IF(MONTH(A782)=12, Q782+W782, 0) + I782
              + AA781 + IF(MONTH(A782)=12, R782+X782, 0)
              - VLOOKUP(YEAR(A782), Lookup!$Q:$R, 2) + J782,
            Z781 + IF(MONTH(A782)=12, Q782+W782, 0) + I782
          ) - VLOOKUP(YEAR(A782), Lookup!$K:$M, 3)
        ),
    0),
  B782=55,
    IF(Z781&gt;=AD782,
      MAX(Y781 + IF(MONTH(A782)=12, P782+V782, 0) + H782 - L782, 0),
      MAX(MAX(0, Y781-(AD782-Z781)) + IF(MONTH(A782)=12, P782+V782, 0) + H782 - L782, 0)
    ),
  B782&gt;55,
    IF(AB781&gt;=$AH$7,
      MAX(Y781 + IF(MONTH(A782)=12, P782+V782, 0) + H782 - L782 + K782 + Z781, 0),
      MAX(Y781 + IF(MONTH(A782)=12, P782+V782, 0) + H782 - L782, 0)
    )
)</f>
        <v>1923537.421</v>
      </c>
      <c r="Z782" s="65">
        <f>IFS(
  B782&lt;55,
    MIN(
      IF(AA781 &gt;= VLOOKUP(YEAR(A782), Lookup!$Q:$R, 2),
        Z781 + IF(MONTH(A782)=12, Q782+W782, 0) + I782
          + AA781 + IF(MONTH(A782)=12, R782+X782, 0) - VLOOKUP(YEAR(A782), Lookup!$Q:$R, 2) + J782,
        Z781 + IF(MONTH(A782)=12, Q782+W782, 0) + I782
      ),
      VLOOKUP(YEAR(A782), Lookup!$K:$M, 3)
    ),
  B782=55,
    IF(Z781 &gt;= AD782, Z781 - AD782, 0),
  B782&gt;55, 0
)</f>
        <v>0</v>
      </c>
      <c r="AA782" s="65">
        <f>IFS(
  B782&lt;65,
    IF(AA781+J782 &lt; VLOOKUP(YEAR(A782), Lookup!$Q:$R, 2),
      AA781 + IF(MONTH(A782)=12, R781+X781, 0) + J782,
      MIN(
        AA781 + IF(MONTH(A782)=12, R781+X781, 0) + J782 ,
        VLOOKUP(YEAR(A782), Lookup!$Q:$R, 2)
      )
    ),
  B782&gt;=65,
    IF(AA781+J782 &lt; VLOOKUP(questions!$C$5, Lookup!$Q:$R, 2),
      AA781 + IF(MONTH(A782)=12, R781+X781, 0) + J782 ,
      MIN(
        AA781 + IF(MONTH(A782)=12, R781+X781, 0) + J782,
        VLOOKUP(questions!$C$5, Lookup!$Q:$R, 2)
      )
    )
)</f>
        <v>282111.0086</v>
      </c>
      <c r="AB782" s="65">
        <f t="shared" si="13"/>
        <v>2735726.037</v>
      </c>
      <c r="AC782" s="66">
        <f t="array" ref="AC782">IFS(B782&lt;66, XLOOKUP(year(A782),Lookup!$K$13:$K1000,Lookup!$L$13:$L1000,"missing",,1),B782&gt;65,XLOOKUP(questions!$C$5,Lookup!$K$13:$K1000,Lookup!$L$13:$L1000,"missing",,1))</f>
        <v>393675.3633</v>
      </c>
      <c r="AD782" s="66">
        <f t="array" ref="AD782">IFS(B782&lt;66, XLOOKUP(year(A782),Lookup!$K$13:$K1000,Lookup!$M$13:$M1000,"missing",,1),B782&gt;65, XLOOKUP(questions!$C$5,Lookup!$K$13:$K1000,Lookup!$M$13:$M1000,"missing",,1))</f>
        <v>787350.7266</v>
      </c>
      <c r="AE782" s="66">
        <f t="array" ref="AE782">IFS(B782&lt;66, XLOOKUP(year(A782),Lookup!$K$13:$K1000,Lookup!$N$13:$N1000,"missing",,1),B782&gt;65,XLOOKUP(questions!$C$5,Lookup!$K$13:$K1000,Lookup!$N$13:$N1000,"missing",,1))</f>
        <v>1574701.453</v>
      </c>
      <c r="AF782" s="37"/>
      <c r="AG782" s="37"/>
      <c r="AH782" s="37"/>
      <c r="AI782" s="37"/>
      <c r="AJ782" s="37"/>
      <c r="AK782" s="37"/>
      <c r="AL782" s="37"/>
      <c r="AM782" s="37"/>
      <c r="AN782" s="37"/>
      <c r="AO782" s="37"/>
      <c r="AP782" s="37"/>
      <c r="AQ782" s="37"/>
    </row>
    <row r="783">
      <c r="A783" s="55">
        <f t="shared" si="7"/>
        <v>69853</v>
      </c>
      <c r="B783" s="56">
        <f>round(YEARFRAC(EOMONTH(questions!$C$3, 0),A783,1),2)</f>
        <v>92.33</v>
      </c>
      <c r="C783" s="58">
        <f>IF(B783&lt;questions!$C$6,if(MONTH(A783)=1,C782*(1+questions!$C$12),C782),0)</f>
        <v>0</v>
      </c>
      <c r="D783" s="58">
        <f>IF(MONTH(A783)=12,C783*questions!$C$11,0)</f>
        <v>0</v>
      </c>
      <c r="E783" s="71">
        <f t="shared" si="2"/>
        <v>0</v>
      </c>
      <c r="F783" s="71">
        <f t="shared" si="3"/>
        <v>0</v>
      </c>
      <c r="G783" s="61">
        <f t="array" ref="G783">if(YEAR(A783)=2025,XLOOKUP(B783,Lookup!$A$3:$A$7,Lookup!$D$3:$D$7,,1)*SUM(E783:F783), XLOOKUP(B783,Lookup!$A$14:$A$18,Lookup!$D$14:$D$18,,1)*SUM(E783:F783))</f>
        <v>0</v>
      </c>
      <c r="H783" s="61">
        <f t="array" ref="H783">if(YEAR(A783)=2025,XLOOKUP(B783,Lookup!$F$3:$F$10,Lookup!$G$3:$G$10,,1)*G783, XLOOKUP(B783,Lookup!$F$14:$F$21,Lookup!$G$14:$G$21,,1)*G783)</f>
        <v>0</v>
      </c>
      <c r="I783" s="61">
        <f t="array" ref="I783">if(B783&lt;55, if(YEAR(A783)=2025,XLOOKUP(B783,Lookup!$F$3:$F$10,Lookup!$H$3:$H$10,,1)*G783, XLOOKUP(B783,Lookup!$F$14:$F$21,Lookup!$H$14:$H$21,,1)*G783),0)</f>
        <v>0</v>
      </c>
      <c r="J783" s="61">
        <f t="array" ref="J783">if(YEAR(A783)=2025,XLOOKUP(B783,Lookup!$F$3:$F$10,Lookup!$I$3:$I$10,,1)*G783, XLOOKUP(B783,Lookup!$F$14:$F$21,Lookup!$I$14:$I$21,,1)*G783)</f>
        <v>0</v>
      </c>
      <c r="K783" s="61">
        <f t="array" ref="K783">if(B783&gt;54, if(YEAR(A783)=2025,XLOOKUP(B783,Lookup!$F$3:$F$10,Lookup!$H$3:$H$10,,1)*G783, XLOOKUP(B783,Lookup!$F$14:$F$21,Lookup!$H$14:$H$21,,1)*G783),0)</f>
        <v>0</v>
      </c>
      <c r="L783" s="62">
        <f>IF(and(A783&lt;questions!$C$19,questions!$C$18="yes"),questions!$C$20,0)</f>
        <v>0</v>
      </c>
      <c r="M783" s="63">
        <f>(Y782+H783)*Lookup!A$26/12</f>
        <v>4007.369628</v>
      </c>
      <c r="N783" s="63">
        <f>if(B783&lt;55, (Z782+I783)*Lookup!B$26/12, (AB782+K783)*Lookup!B$26/12)</f>
        <v>9119.086791</v>
      </c>
      <c r="O783" s="63">
        <f>(AA782+J783)*Lookup!C$26/12</f>
        <v>940.3700287</v>
      </c>
      <c r="P783" s="63">
        <f t="shared" si="8"/>
        <v>12022.10888</v>
      </c>
      <c r="Q783" s="63">
        <f t="shared" si="4"/>
        <v>27357.26037</v>
      </c>
      <c r="R783" s="63">
        <f t="shared" si="5"/>
        <v>2821.110086</v>
      </c>
      <c r="S783" s="64">
        <f t="shared" si="9"/>
        <v>33.33333333</v>
      </c>
      <c r="T783" s="64">
        <f t="shared" si="10"/>
        <v>41.66666667</v>
      </c>
      <c r="U783" s="64">
        <f t="shared" si="11"/>
        <v>0</v>
      </c>
      <c r="V783" s="64">
        <f t="shared" ref="V783:X783" si="791">IF(year($A783)=year($A782), V782+S783, S783)</f>
        <v>100</v>
      </c>
      <c r="W783" s="64">
        <f t="shared" si="791"/>
        <v>125</v>
      </c>
      <c r="X783" s="64">
        <f t="shared" si="791"/>
        <v>0</v>
      </c>
      <c r="Y783" s="65">
        <f>IFS(
  B783&lt;55,
    MAX(
      Y782 + IF(MONTH(A783)=12, P783+V783, 0) + H783 - L783
      + MAX(0,
          IF(AA782 &gt;= VLOOKUP(YEAR(A783), Lookup!$Q:$R, 2),
            Z782 + IF(MONTH(A783)=12, Q783+W783, 0) + I783
              + AA782 + IF(MONTH(A783)=12, R783+X783, 0)
              - VLOOKUP(YEAR(A783), Lookup!$Q:$R, 2) + J783,
            Z782 + IF(MONTH(A783)=12, Q783+W783, 0) + I783
          ) - VLOOKUP(YEAR(A783), Lookup!$K:$M, 3)
        ),
    0),
  B783=55,
    IF(Z782&gt;=AD783,
      MAX(Y782 + IF(MONTH(A783)=12, P783+V783, 0) + H783 - L783, 0),
      MAX(MAX(0, Y782-(AD783-Z782)) + IF(MONTH(A783)=12, P783+V783, 0) + H783 - L783, 0)
    ),
  B783&gt;55,
    IF(AB782&gt;=$AH$7,
      MAX(Y782 + IF(MONTH(A783)=12, P783+V783, 0) + H783 - L783 + K783 + Z782, 0),
      MAX(Y782 + IF(MONTH(A783)=12, P783+V783, 0) + H783 - L783, 0)
    )
)</f>
        <v>1923537.421</v>
      </c>
      <c r="Z783" s="65">
        <f>IFS(
  B783&lt;55,
    MIN(
      IF(AA782 &gt;= VLOOKUP(YEAR(A783), Lookup!$Q:$R, 2),
        Z782 + IF(MONTH(A783)=12, Q783+W783, 0) + I783
          + AA782 + IF(MONTH(A783)=12, R783+X783, 0) - VLOOKUP(YEAR(A783), Lookup!$Q:$R, 2) + J783,
        Z782 + IF(MONTH(A783)=12, Q783+W783, 0) + I783
      ),
      VLOOKUP(YEAR(A783), Lookup!$K:$M, 3)
    ),
  B783=55,
    IF(Z782 &gt;= AD783, Z782 - AD783, 0),
  B783&gt;55, 0
)</f>
        <v>0</v>
      </c>
      <c r="AA783" s="65">
        <f>IFS(
  B783&lt;65,
    IF(AA782+J783 &lt; VLOOKUP(YEAR(A783), Lookup!$Q:$R, 2),
      AA782 + IF(MONTH(A783)=12, R782+X782, 0) + J783,
      MIN(
        AA782 + IF(MONTH(A783)=12, R782+X782, 0) + J783 ,
        VLOOKUP(YEAR(A783), Lookup!$Q:$R, 2)
      )
    ),
  B783&gt;=65,
    IF(AA782+J783 &lt; VLOOKUP(questions!$C$5, Lookup!$Q:$R, 2),
      AA782 + IF(MONTH(A783)=12, R782+X782, 0) + J783 ,
      MIN(
        AA782 + IF(MONTH(A783)=12, R782+X782, 0) + J783,
        VLOOKUP(questions!$C$5, Lookup!$Q:$R, 2)
      )
    )
)</f>
        <v>282111.0086</v>
      </c>
      <c r="AB783" s="65">
        <f t="shared" si="13"/>
        <v>2735726.037</v>
      </c>
      <c r="AC783" s="66">
        <f t="array" ref="AC783">IFS(B783&lt;66, XLOOKUP(year(A783),Lookup!$K$13:$K1000,Lookup!$L$13:$L1000,"missing",,1),B783&gt;65,XLOOKUP(questions!$C$5,Lookup!$K$13:$K1000,Lookup!$L$13:$L1000,"missing",,1))</f>
        <v>393675.3633</v>
      </c>
      <c r="AD783" s="66">
        <f t="array" ref="AD783">IFS(B783&lt;66, XLOOKUP(year(A783),Lookup!$K$13:$K1000,Lookup!$M$13:$M1000,"missing",,1),B783&gt;65, XLOOKUP(questions!$C$5,Lookup!$K$13:$K1000,Lookup!$M$13:$M1000,"missing",,1))</f>
        <v>787350.7266</v>
      </c>
      <c r="AE783" s="66">
        <f t="array" ref="AE783">IFS(B783&lt;66, XLOOKUP(year(A783),Lookup!$K$13:$K1000,Lookup!$N$13:$N1000,"missing",,1),B783&gt;65,XLOOKUP(questions!$C$5,Lookup!$K$13:$K1000,Lookup!$N$13:$N1000,"missing",,1))</f>
        <v>1574701.453</v>
      </c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7"/>
      <c r="AQ783" s="37"/>
    </row>
    <row r="784">
      <c r="A784" s="55">
        <f t="shared" si="7"/>
        <v>69883</v>
      </c>
      <c r="B784" s="56">
        <f>round(YEARFRAC(EOMONTH(questions!$C$3, 0),A784,1),2)</f>
        <v>92.41</v>
      </c>
      <c r="C784" s="58">
        <f>IF(B784&lt;questions!$C$6,if(MONTH(A784)=1,C783*(1+questions!$C$12),C783),0)</f>
        <v>0</v>
      </c>
      <c r="D784" s="58">
        <f>IF(MONTH(A784)=12,C784*questions!$C$11,0)</f>
        <v>0</v>
      </c>
      <c r="E784" s="71">
        <f t="shared" si="2"/>
        <v>0</v>
      </c>
      <c r="F784" s="71">
        <f t="shared" si="3"/>
        <v>0</v>
      </c>
      <c r="G784" s="61">
        <f t="array" ref="G784">if(YEAR(A784)=2025,XLOOKUP(B784,Lookup!$A$3:$A$7,Lookup!$D$3:$D$7,,1)*SUM(E784:F784), XLOOKUP(B784,Lookup!$A$14:$A$18,Lookup!$D$14:$D$18,,1)*SUM(E784:F784))</f>
        <v>0</v>
      </c>
      <c r="H784" s="61">
        <f t="array" ref="H784">if(YEAR(A784)=2025,XLOOKUP(B784,Lookup!$F$3:$F$10,Lookup!$G$3:$G$10,,1)*G784, XLOOKUP(B784,Lookup!$F$14:$F$21,Lookup!$G$14:$G$21,,1)*G784)</f>
        <v>0</v>
      </c>
      <c r="I784" s="61">
        <f t="array" ref="I784">if(B784&lt;55, if(YEAR(A784)=2025,XLOOKUP(B784,Lookup!$F$3:$F$10,Lookup!$H$3:$H$10,,1)*G784, XLOOKUP(B784,Lookup!$F$14:$F$21,Lookup!$H$14:$H$21,,1)*G784),0)</f>
        <v>0</v>
      </c>
      <c r="J784" s="61">
        <f t="array" ref="J784">if(YEAR(A784)=2025,XLOOKUP(B784,Lookup!$F$3:$F$10,Lookup!$I$3:$I$10,,1)*G784, XLOOKUP(B784,Lookup!$F$14:$F$21,Lookup!$I$14:$I$21,,1)*G784)</f>
        <v>0</v>
      </c>
      <c r="K784" s="61">
        <f t="array" ref="K784">if(B784&gt;54, if(YEAR(A784)=2025,XLOOKUP(B784,Lookup!$F$3:$F$10,Lookup!$H$3:$H$10,,1)*G784, XLOOKUP(B784,Lookup!$F$14:$F$21,Lookup!$H$14:$H$21,,1)*G784),0)</f>
        <v>0</v>
      </c>
      <c r="L784" s="62">
        <f>IF(and(A784&lt;questions!$C$19,questions!$C$18="yes"),questions!$C$20,0)</f>
        <v>0</v>
      </c>
      <c r="M784" s="63">
        <f>(Y783+H784)*Lookup!A$26/12</f>
        <v>4007.369628</v>
      </c>
      <c r="N784" s="63">
        <f>if(B784&lt;55, (Z783+I784)*Lookup!B$26/12, (AB783+K784)*Lookup!B$26/12)</f>
        <v>9119.086791</v>
      </c>
      <c r="O784" s="63">
        <f>(AA783+J784)*Lookup!C$26/12</f>
        <v>940.3700287</v>
      </c>
      <c r="P784" s="63">
        <f t="shared" si="8"/>
        <v>16029.47851</v>
      </c>
      <c r="Q784" s="63">
        <f t="shared" si="4"/>
        <v>36476.34716</v>
      </c>
      <c r="R784" s="63">
        <f t="shared" si="5"/>
        <v>3761.480115</v>
      </c>
      <c r="S784" s="64">
        <f t="shared" si="9"/>
        <v>33.33333333</v>
      </c>
      <c r="T784" s="64">
        <f t="shared" si="10"/>
        <v>41.66666667</v>
      </c>
      <c r="U784" s="64">
        <f t="shared" si="11"/>
        <v>0</v>
      </c>
      <c r="V784" s="64">
        <f t="shared" ref="V784:X784" si="792">IF(year($A784)=year($A783), V783+S784, S784)</f>
        <v>133.3333333</v>
      </c>
      <c r="W784" s="64">
        <f t="shared" si="792"/>
        <v>166.6666667</v>
      </c>
      <c r="X784" s="64">
        <f t="shared" si="792"/>
        <v>0</v>
      </c>
      <c r="Y784" s="65">
        <f>IFS(
  B784&lt;55,
    MAX(
      Y783 + IF(MONTH(A784)=12, P784+V784, 0) + H784 - L784
      + MAX(0,
          IF(AA783 &gt;= VLOOKUP(YEAR(A784), Lookup!$Q:$R, 2),
            Z783 + IF(MONTH(A784)=12, Q784+W784, 0) + I784
              + AA783 + IF(MONTH(A784)=12, R784+X784, 0)
              - VLOOKUP(YEAR(A784), Lookup!$Q:$R, 2) + J784,
            Z783 + IF(MONTH(A784)=12, Q784+W784, 0) + I784
          ) - VLOOKUP(YEAR(A784), Lookup!$K:$M, 3)
        ),
    0),
  B784=55,
    IF(Z783&gt;=AD784,
      MAX(Y783 + IF(MONTH(A784)=12, P784+V784, 0) + H784 - L784, 0),
      MAX(MAX(0, Y783-(AD784-Z783)) + IF(MONTH(A784)=12, P784+V784, 0) + H784 - L784, 0)
    ),
  B784&gt;55,
    IF(AB783&gt;=$AH$7,
      MAX(Y783 + IF(MONTH(A784)=12, P784+V784, 0) + H784 - L784 + K784 + Z783, 0),
      MAX(Y783 + IF(MONTH(A784)=12, P784+V784, 0) + H784 - L784, 0)
    )
)</f>
        <v>1923537.421</v>
      </c>
      <c r="Z784" s="65">
        <f>IFS(
  B784&lt;55,
    MIN(
      IF(AA783 &gt;= VLOOKUP(YEAR(A784), Lookup!$Q:$R, 2),
        Z783 + IF(MONTH(A784)=12, Q784+W784, 0) + I784
          + AA783 + IF(MONTH(A784)=12, R784+X784, 0) - VLOOKUP(YEAR(A784), Lookup!$Q:$R, 2) + J784,
        Z783 + IF(MONTH(A784)=12, Q784+W784, 0) + I784
      ),
      VLOOKUP(YEAR(A784), Lookup!$K:$M, 3)
    ),
  B784=55,
    IF(Z783 &gt;= AD784, Z783 - AD784, 0),
  B784&gt;55, 0
)</f>
        <v>0</v>
      </c>
      <c r="AA784" s="65">
        <f>IFS(
  B784&lt;65,
    IF(AA783+J784 &lt; VLOOKUP(YEAR(A784), Lookup!$Q:$R, 2),
      AA783 + IF(MONTH(A784)=12, R783+X783, 0) + J784,
      MIN(
        AA783 + IF(MONTH(A784)=12, R783+X783, 0) + J784 ,
        VLOOKUP(YEAR(A784), Lookup!$Q:$R, 2)
      )
    ),
  B784&gt;=65,
    IF(AA783+J784 &lt; VLOOKUP(questions!$C$5, Lookup!$Q:$R, 2),
      AA783 + IF(MONTH(A784)=12, R783+X783, 0) + J784 ,
      MIN(
        AA783 + IF(MONTH(A784)=12, R783+X783, 0) + J784,
        VLOOKUP(questions!$C$5, Lookup!$Q:$R, 2)
      )
    )
)</f>
        <v>282111.0086</v>
      </c>
      <c r="AB784" s="65">
        <f t="shared" si="13"/>
        <v>2735726.037</v>
      </c>
      <c r="AC784" s="66">
        <f t="array" ref="AC784">IFS(B784&lt;66, XLOOKUP(year(A784),Lookup!$K$13:$K1000,Lookup!$L$13:$L1000,"missing",,1),B784&gt;65,XLOOKUP(questions!$C$5,Lookup!$K$13:$K1000,Lookup!$L$13:$L1000,"missing",,1))</f>
        <v>393675.3633</v>
      </c>
      <c r="AD784" s="66">
        <f t="array" ref="AD784">IFS(B784&lt;66, XLOOKUP(year(A784),Lookup!$K$13:$K1000,Lookup!$M$13:$M1000,"missing",,1),B784&gt;65, XLOOKUP(questions!$C$5,Lookup!$K$13:$K1000,Lookup!$M$13:$M1000,"missing",,1))</f>
        <v>787350.7266</v>
      </c>
      <c r="AE784" s="66">
        <f t="array" ref="AE784">IFS(B784&lt;66, XLOOKUP(year(A784),Lookup!$K$13:$K1000,Lookup!$N$13:$N1000,"missing",,1),B784&gt;65,XLOOKUP(questions!$C$5,Lookup!$K$13:$K1000,Lookup!$N$13:$N1000,"missing",,1))</f>
        <v>1574701.453</v>
      </c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7"/>
      <c r="AQ784" s="37"/>
    </row>
    <row r="785">
      <c r="A785" s="55">
        <f t="shared" si="7"/>
        <v>69914</v>
      </c>
      <c r="B785" s="56">
        <f>round(YEARFRAC(EOMONTH(questions!$C$3, 0),A785,1),2)</f>
        <v>92.5</v>
      </c>
      <c r="C785" s="58">
        <f>IF(B785&lt;questions!$C$6,if(MONTH(A785)=1,C784*(1+questions!$C$12),C784),0)</f>
        <v>0</v>
      </c>
      <c r="D785" s="58">
        <f>IF(MONTH(A785)=12,C785*questions!$C$11,0)</f>
        <v>0</v>
      </c>
      <c r="E785" s="71">
        <f t="shared" si="2"/>
        <v>0</v>
      </c>
      <c r="F785" s="71">
        <f t="shared" si="3"/>
        <v>0</v>
      </c>
      <c r="G785" s="61">
        <f t="array" ref="G785">if(YEAR(A785)=2025,XLOOKUP(B785,Lookup!$A$3:$A$7,Lookup!$D$3:$D$7,,1)*SUM(E785:F785), XLOOKUP(B785,Lookup!$A$14:$A$18,Lookup!$D$14:$D$18,,1)*SUM(E785:F785))</f>
        <v>0</v>
      </c>
      <c r="H785" s="61">
        <f t="array" ref="H785">if(YEAR(A785)=2025,XLOOKUP(B785,Lookup!$F$3:$F$10,Lookup!$G$3:$G$10,,1)*G785, XLOOKUP(B785,Lookup!$F$14:$F$21,Lookup!$G$14:$G$21,,1)*G785)</f>
        <v>0</v>
      </c>
      <c r="I785" s="61">
        <f t="array" ref="I785">if(B785&lt;55, if(YEAR(A785)=2025,XLOOKUP(B785,Lookup!$F$3:$F$10,Lookup!$H$3:$H$10,,1)*G785, XLOOKUP(B785,Lookup!$F$14:$F$21,Lookup!$H$14:$H$21,,1)*G785),0)</f>
        <v>0</v>
      </c>
      <c r="J785" s="61">
        <f t="array" ref="J785">if(YEAR(A785)=2025,XLOOKUP(B785,Lookup!$F$3:$F$10,Lookup!$I$3:$I$10,,1)*G785, XLOOKUP(B785,Lookup!$F$14:$F$21,Lookup!$I$14:$I$21,,1)*G785)</f>
        <v>0</v>
      </c>
      <c r="K785" s="61">
        <f t="array" ref="K785">if(B785&gt;54, if(YEAR(A785)=2025,XLOOKUP(B785,Lookup!$F$3:$F$10,Lookup!$H$3:$H$10,,1)*G785, XLOOKUP(B785,Lookup!$F$14:$F$21,Lookup!$H$14:$H$21,,1)*G785),0)</f>
        <v>0</v>
      </c>
      <c r="L785" s="62">
        <f>IF(and(A785&lt;questions!$C$19,questions!$C$18="yes"),questions!$C$20,0)</f>
        <v>0</v>
      </c>
      <c r="M785" s="63">
        <f>(Y784+H785)*Lookup!A$26/12</f>
        <v>4007.369628</v>
      </c>
      <c r="N785" s="63">
        <f>if(B785&lt;55, (Z784+I785)*Lookup!B$26/12, (AB784+K785)*Lookup!B$26/12)</f>
        <v>9119.086791</v>
      </c>
      <c r="O785" s="63">
        <f>(AA784+J785)*Lookup!C$26/12</f>
        <v>940.3700287</v>
      </c>
      <c r="P785" s="63">
        <f t="shared" si="8"/>
        <v>20036.84814</v>
      </c>
      <c r="Q785" s="63">
        <f t="shared" si="4"/>
        <v>45595.43395</v>
      </c>
      <c r="R785" s="63">
        <f t="shared" si="5"/>
        <v>4701.850143</v>
      </c>
      <c r="S785" s="64">
        <f t="shared" si="9"/>
        <v>33.33333333</v>
      </c>
      <c r="T785" s="64">
        <f t="shared" si="10"/>
        <v>41.66666667</v>
      </c>
      <c r="U785" s="64">
        <f t="shared" si="11"/>
        <v>0</v>
      </c>
      <c r="V785" s="64">
        <f t="shared" ref="V785:X785" si="793">IF(year($A785)=year($A784), V784+S785, S785)</f>
        <v>166.6666667</v>
      </c>
      <c r="W785" s="64">
        <f t="shared" si="793"/>
        <v>208.3333333</v>
      </c>
      <c r="X785" s="64">
        <f t="shared" si="793"/>
        <v>0</v>
      </c>
      <c r="Y785" s="65">
        <f>IFS(
  B785&lt;55,
    MAX(
      Y784 + IF(MONTH(A785)=12, P785+V785, 0) + H785 - L785
      + MAX(0,
          IF(AA784 &gt;= VLOOKUP(YEAR(A785), Lookup!$Q:$R, 2),
            Z784 + IF(MONTH(A785)=12, Q785+W785, 0) + I785
              + AA784 + IF(MONTH(A785)=12, R785+X785, 0)
              - VLOOKUP(YEAR(A785), Lookup!$Q:$R, 2) + J785,
            Z784 + IF(MONTH(A785)=12, Q785+W785, 0) + I785
          ) - VLOOKUP(YEAR(A785), Lookup!$K:$M, 3)
        ),
    0),
  B785=55,
    IF(Z784&gt;=AD785,
      MAX(Y784 + IF(MONTH(A785)=12, P785+V785, 0) + H785 - L785, 0),
      MAX(MAX(0, Y784-(AD785-Z784)) + IF(MONTH(A785)=12, P785+V785, 0) + H785 - L785, 0)
    ),
  B785&gt;55,
    IF(AB784&gt;=$AH$7,
      MAX(Y784 + IF(MONTH(A785)=12, P785+V785, 0) + H785 - L785 + K785 + Z784, 0),
      MAX(Y784 + IF(MONTH(A785)=12, P785+V785, 0) + H785 - L785, 0)
    )
)</f>
        <v>1923537.421</v>
      </c>
      <c r="Z785" s="65">
        <f>IFS(
  B785&lt;55,
    MIN(
      IF(AA784 &gt;= VLOOKUP(YEAR(A785), Lookup!$Q:$R, 2),
        Z784 + IF(MONTH(A785)=12, Q785+W785, 0) + I785
          + AA784 + IF(MONTH(A785)=12, R785+X785, 0) - VLOOKUP(YEAR(A785), Lookup!$Q:$R, 2) + J785,
        Z784 + IF(MONTH(A785)=12, Q785+W785, 0) + I785
      ),
      VLOOKUP(YEAR(A785), Lookup!$K:$M, 3)
    ),
  B785=55,
    IF(Z784 &gt;= AD785, Z784 - AD785, 0),
  B785&gt;55, 0
)</f>
        <v>0</v>
      </c>
      <c r="AA785" s="65">
        <f>IFS(
  B785&lt;65,
    IF(AA784+J785 &lt; VLOOKUP(YEAR(A785), Lookup!$Q:$R, 2),
      AA784 + IF(MONTH(A785)=12, R784+X784, 0) + J785,
      MIN(
        AA784 + IF(MONTH(A785)=12, R784+X784, 0) + J785 ,
        VLOOKUP(YEAR(A785), Lookup!$Q:$R, 2)
      )
    ),
  B785&gt;=65,
    IF(AA784+J785 &lt; VLOOKUP(questions!$C$5, Lookup!$Q:$R, 2),
      AA784 + IF(MONTH(A785)=12, R784+X784, 0) + J785 ,
      MIN(
        AA784 + IF(MONTH(A785)=12, R784+X784, 0) + J785,
        VLOOKUP(questions!$C$5, Lookup!$Q:$R, 2)
      )
    )
)</f>
        <v>282111.0086</v>
      </c>
      <c r="AB785" s="65">
        <f t="shared" si="13"/>
        <v>2735726.037</v>
      </c>
      <c r="AC785" s="66">
        <f t="array" ref="AC785">IFS(B785&lt;66, XLOOKUP(year(A785),Lookup!$K$13:$K1000,Lookup!$L$13:$L1000,"missing",,1),B785&gt;65,XLOOKUP(questions!$C$5,Lookup!$K$13:$K1000,Lookup!$L$13:$L1000,"missing",,1))</f>
        <v>393675.3633</v>
      </c>
      <c r="AD785" s="66">
        <f t="array" ref="AD785">IFS(B785&lt;66, XLOOKUP(year(A785),Lookup!$K$13:$K1000,Lookup!$M$13:$M1000,"missing",,1),B785&gt;65, XLOOKUP(questions!$C$5,Lookup!$K$13:$K1000,Lookup!$M$13:$M1000,"missing",,1))</f>
        <v>787350.7266</v>
      </c>
      <c r="AE785" s="66">
        <f t="array" ref="AE785">IFS(B785&lt;66, XLOOKUP(year(A785),Lookup!$K$13:$K1000,Lookup!$N$13:$N1000,"missing",,1),B785&gt;65,XLOOKUP(questions!$C$5,Lookup!$K$13:$K1000,Lookup!$N$13:$N1000,"missing",,1))</f>
        <v>1574701.453</v>
      </c>
      <c r="AF785" s="37"/>
      <c r="AG785" s="37"/>
      <c r="AH785" s="37"/>
      <c r="AI785" s="37"/>
      <c r="AJ785" s="37"/>
      <c r="AK785" s="37"/>
      <c r="AL785" s="37"/>
      <c r="AM785" s="37"/>
      <c r="AN785" s="37"/>
      <c r="AO785" s="37"/>
      <c r="AP785" s="37"/>
      <c r="AQ785" s="37"/>
    </row>
    <row r="786">
      <c r="A786" s="55">
        <f t="shared" si="7"/>
        <v>69944</v>
      </c>
      <c r="B786" s="56">
        <f>round(YEARFRAC(EOMONTH(questions!$C$3, 0),A786,1),2)</f>
        <v>92.58</v>
      </c>
      <c r="C786" s="58">
        <f>IF(B786&lt;questions!$C$6,if(MONTH(A786)=1,C785*(1+questions!$C$12),C785),0)</f>
        <v>0</v>
      </c>
      <c r="D786" s="58">
        <f>IF(MONTH(A786)=12,C786*questions!$C$11,0)</f>
        <v>0</v>
      </c>
      <c r="E786" s="71">
        <f t="shared" si="2"/>
        <v>0</v>
      </c>
      <c r="F786" s="71">
        <f t="shared" si="3"/>
        <v>0</v>
      </c>
      <c r="G786" s="61">
        <f t="array" ref="G786">if(YEAR(A786)=2025,XLOOKUP(B786,Lookup!$A$3:$A$7,Lookup!$D$3:$D$7,,1)*SUM(E786:F786), XLOOKUP(B786,Lookup!$A$14:$A$18,Lookup!$D$14:$D$18,,1)*SUM(E786:F786))</f>
        <v>0</v>
      </c>
      <c r="H786" s="61">
        <f t="array" ref="H786">if(YEAR(A786)=2025,XLOOKUP(B786,Lookup!$F$3:$F$10,Lookup!$G$3:$G$10,,1)*G786, XLOOKUP(B786,Lookup!$F$14:$F$21,Lookup!$G$14:$G$21,,1)*G786)</f>
        <v>0</v>
      </c>
      <c r="I786" s="61">
        <f t="array" ref="I786">if(B786&lt;55, if(YEAR(A786)=2025,XLOOKUP(B786,Lookup!$F$3:$F$10,Lookup!$H$3:$H$10,,1)*G786, XLOOKUP(B786,Lookup!$F$14:$F$21,Lookup!$H$14:$H$21,,1)*G786),0)</f>
        <v>0</v>
      </c>
      <c r="J786" s="61">
        <f t="array" ref="J786">if(YEAR(A786)=2025,XLOOKUP(B786,Lookup!$F$3:$F$10,Lookup!$I$3:$I$10,,1)*G786, XLOOKUP(B786,Lookup!$F$14:$F$21,Lookup!$I$14:$I$21,,1)*G786)</f>
        <v>0</v>
      </c>
      <c r="K786" s="61">
        <f t="array" ref="K786">if(B786&gt;54, if(YEAR(A786)=2025,XLOOKUP(B786,Lookup!$F$3:$F$10,Lookup!$H$3:$H$10,,1)*G786, XLOOKUP(B786,Lookup!$F$14:$F$21,Lookup!$H$14:$H$21,,1)*G786),0)</f>
        <v>0</v>
      </c>
      <c r="L786" s="62">
        <f>IF(and(A786&lt;questions!$C$19,questions!$C$18="yes"),questions!$C$20,0)</f>
        <v>0</v>
      </c>
      <c r="M786" s="63">
        <f>(Y785+H786)*Lookup!A$26/12</f>
        <v>4007.369628</v>
      </c>
      <c r="N786" s="63">
        <f>if(B786&lt;55, (Z785+I786)*Lookup!B$26/12, (AB785+K786)*Lookup!B$26/12)</f>
        <v>9119.086791</v>
      </c>
      <c r="O786" s="63">
        <f>(AA785+J786)*Lookup!C$26/12</f>
        <v>940.3700287</v>
      </c>
      <c r="P786" s="63">
        <f t="shared" si="8"/>
        <v>24044.21777</v>
      </c>
      <c r="Q786" s="63">
        <f t="shared" si="4"/>
        <v>54714.52074</v>
      </c>
      <c r="R786" s="63">
        <f t="shared" si="5"/>
        <v>5642.220172</v>
      </c>
      <c r="S786" s="64">
        <f t="shared" si="9"/>
        <v>33.33333333</v>
      </c>
      <c r="T786" s="64">
        <f t="shared" si="10"/>
        <v>41.66666667</v>
      </c>
      <c r="U786" s="64">
        <f t="shared" si="11"/>
        <v>0</v>
      </c>
      <c r="V786" s="64">
        <f t="shared" ref="V786:X786" si="794">IF(year($A786)=year($A785), V785+S786, S786)</f>
        <v>200</v>
      </c>
      <c r="W786" s="64">
        <f t="shared" si="794"/>
        <v>250</v>
      </c>
      <c r="X786" s="64">
        <f t="shared" si="794"/>
        <v>0</v>
      </c>
      <c r="Y786" s="65">
        <f>IFS(
  B786&lt;55,
    MAX(
      Y785 + IF(MONTH(A786)=12, P786+V786, 0) + H786 - L786
      + MAX(0,
          IF(AA785 &gt;= VLOOKUP(YEAR(A786), Lookup!$Q:$R, 2),
            Z785 + IF(MONTH(A786)=12, Q786+W786, 0) + I786
              + AA785 + IF(MONTH(A786)=12, R786+X786, 0)
              - VLOOKUP(YEAR(A786), Lookup!$Q:$R, 2) + J786,
            Z785 + IF(MONTH(A786)=12, Q786+W786, 0) + I786
          ) - VLOOKUP(YEAR(A786), Lookup!$K:$M, 3)
        ),
    0),
  B786=55,
    IF(Z785&gt;=AD786,
      MAX(Y785 + IF(MONTH(A786)=12, P786+V786, 0) + H786 - L786, 0),
      MAX(MAX(0, Y785-(AD786-Z785)) + IF(MONTH(A786)=12, P786+V786, 0) + H786 - L786, 0)
    ),
  B786&gt;55,
    IF(AB785&gt;=$AH$7,
      MAX(Y785 + IF(MONTH(A786)=12, P786+V786, 0) + H786 - L786 + K786 + Z785, 0),
      MAX(Y785 + IF(MONTH(A786)=12, P786+V786, 0) + H786 - L786, 0)
    )
)</f>
        <v>1923537.421</v>
      </c>
      <c r="Z786" s="65">
        <f>IFS(
  B786&lt;55,
    MIN(
      IF(AA785 &gt;= VLOOKUP(YEAR(A786), Lookup!$Q:$R, 2),
        Z785 + IF(MONTH(A786)=12, Q786+W786, 0) + I786
          + AA785 + IF(MONTH(A786)=12, R786+X786, 0) - VLOOKUP(YEAR(A786), Lookup!$Q:$R, 2) + J786,
        Z785 + IF(MONTH(A786)=12, Q786+W786, 0) + I786
      ),
      VLOOKUP(YEAR(A786), Lookup!$K:$M, 3)
    ),
  B786=55,
    IF(Z785 &gt;= AD786, Z785 - AD786, 0),
  B786&gt;55, 0
)</f>
        <v>0</v>
      </c>
      <c r="AA786" s="65">
        <f>IFS(
  B786&lt;65,
    IF(AA785+J786 &lt; VLOOKUP(YEAR(A786), Lookup!$Q:$R, 2),
      AA785 + IF(MONTH(A786)=12, R785+X785, 0) + J786,
      MIN(
        AA785 + IF(MONTH(A786)=12, R785+X785, 0) + J786 ,
        VLOOKUP(YEAR(A786), Lookup!$Q:$R, 2)
      )
    ),
  B786&gt;=65,
    IF(AA785+J786 &lt; VLOOKUP(questions!$C$5, Lookup!$Q:$R, 2),
      AA785 + IF(MONTH(A786)=12, R785+X785, 0) + J786 ,
      MIN(
        AA785 + IF(MONTH(A786)=12, R785+X785, 0) + J786,
        VLOOKUP(questions!$C$5, Lookup!$Q:$R, 2)
      )
    )
)</f>
        <v>282111.0086</v>
      </c>
      <c r="AB786" s="65">
        <f t="shared" si="13"/>
        <v>2735726.037</v>
      </c>
      <c r="AC786" s="66">
        <f t="array" ref="AC786">IFS(B786&lt;66, XLOOKUP(year(A786),Lookup!$K$13:$K1000,Lookup!$L$13:$L1000,"missing",,1),B786&gt;65,XLOOKUP(questions!$C$5,Lookup!$K$13:$K1000,Lookup!$L$13:$L1000,"missing",,1))</f>
        <v>393675.3633</v>
      </c>
      <c r="AD786" s="66">
        <f t="array" ref="AD786">IFS(B786&lt;66, XLOOKUP(year(A786),Lookup!$K$13:$K1000,Lookup!$M$13:$M1000,"missing",,1),B786&gt;65, XLOOKUP(questions!$C$5,Lookup!$K$13:$K1000,Lookup!$M$13:$M1000,"missing",,1))</f>
        <v>787350.7266</v>
      </c>
      <c r="AE786" s="66">
        <f t="array" ref="AE786">IFS(B786&lt;66, XLOOKUP(year(A786),Lookup!$K$13:$K1000,Lookup!$N$13:$N1000,"missing",,1),B786&gt;65,XLOOKUP(questions!$C$5,Lookup!$K$13:$K1000,Lookup!$N$13:$N1000,"missing",,1))</f>
        <v>1574701.453</v>
      </c>
      <c r="AF786" s="37"/>
      <c r="AG786" s="37"/>
      <c r="AH786" s="37"/>
      <c r="AI786" s="37"/>
      <c r="AJ786" s="37"/>
      <c r="AK786" s="37"/>
      <c r="AL786" s="37"/>
      <c r="AM786" s="37"/>
      <c r="AN786" s="37"/>
      <c r="AO786" s="37"/>
      <c r="AP786" s="37"/>
      <c r="AQ786" s="37"/>
    </row>
    <row r="787">
      <c r="A787" s="55">
        <f t="shared" si="7"/>
        <v>69975</v>
      </c>
      <c r="B787" s="56">
        <f>round(YEARFRAC(EOMONTH(questions!$C$3, 0),A787,1),2)</f>
        <v>92.67</v>
      </c>
      <c r="C787" s="58">
        <f>IF(B787&lt;questions!$C$6,if(MONTH(A787)=1,C786*(1+questions!$C$12),C786),0)</f>
        <v>0</v>
      </c>
      <c r="D787" s="58">
        <f>IF(MONTH(A787)=12,C787*questions!$C$11,0)</f>
        <v>0</v>
      </c>
      <c r="E787" s="71">
        <f t="shared" si="2"/>
        <v>0</v>
      </c>
      <c r="F787" s="71">
        <f t="shared" si="3"/>
        <v>0</v>
      </c>
      <c r="G787" s="61">
        <f t="array" ref="G787">if(YEAR(A787)=2025,XLOOKUP(B787,Lookup!$A$3:$A$7,Lookup!$D$3:$D$7,,1)*SUM(E787:F787), XLOOKUP(B787,Lookup!$A$14:$A$18,Lookup!$D$14:$D$18,,1)*SUM(E787:F787))</f>
        <v>0</v>
      </c>
      <c r="H787" s="61">
        <f t="array" ref="H787">if(YEAR(A787)=2025,XLOOKUP(B787,Lookup!$F$3:$F$10,Lookup!$G$3:$G$10,,1)*G787, XLOOKUP(B787,Lookup!$F$14:$F$21,Lookup!$G$14:$G$21,,1)*G787)</f>
        <v>0</v>
      </c>
      <c r="I787" s="61">
        <f t="array" ref="I787">if(B787&lt;55, if(YEAR(A787)=2025,XLOOKUP(B787,Lookup!$F$3:$F$10,Lookup!$H$3:$H$10,,1)*G787, XLOOKUP(B787,Lookup!$F$14:$F$21,Lookup!$H$14:$H$21,,1)*G787),0)</f>
        <v>0</v>
      </c>
      <c r="J787" s="61">
        <f t="array" ref="J787">if(YEAR(A787)=2025,XLOOKUP(B787,Lookup!$F$3:$F$10,Lookup!$I$3:$I$10,,1)*G787, XLOOKUP(B787,Lookup!$F$14:$F$21,Lookup!$I$14:$I$21,,1)*G787)</f>
        <v>0</v>
      </c>
      <c r="K787" s="61">
        <f t="array" ref="K787">if(B787&gt;54, if(YEAR(A787)=2025,XLOOKUP(B787,Lookup!$F$3:$F$10,Lookup!$H$3:$H$10,,1)*G787, XLOOKUP(B787,Lookup!$F$14:$F$21,Lookup!$H$14:$H$21,,1)*G787),0)</f>
        <v>0</v>
      </c>
      <c r="L787" s="62">
        <f>IF(and(A787&lt;questions!$C$19,questions!$C$18="yes"),questions!$C$20,0)</f>
        <v>0</v>
      </c>
      <c r="M787" s="63">
        <f>(Y786+H787)*Lookup!A$26/12</f>
        <v>4007.369628</v>
      </c>
      <c r="N787" s="63">
        <f>if(B787&lt;55, (Z786+I787)*Lookup!B$26/12, (AB786+K787)*Lookup!B$26/12)</f>
        <v>9119.086791</v>
      </c>
      <c r="O787" s="63">
        <f>(AA786+J787)*Lookup!C$26/12</f>
        <v>940.3700287</v>
      </c>
      <c r="P787" s="63">
        <f t="shared" si="8"/>
        <v>28051.58739</v>
      </c>
      <c r="Q787" s="63">
        <f t="shared" si="4"/>
        <v>63833.60754</v>
      </c>
      <c r="R787" s="63">
        <f t="shared" si="5"/>
        <v>6582.590201</v>
      </c>
      <c r="S787" s="64">
        <f t="shared" si="9"/>
        <v>33.33333333</v>
      </c>
      <c r="T787" s="64">
        <f t="shared" si="10"/>
        <v>41.66666667</v>
      </c>
      <c r="U787" s="64">
        <f t="shared" si="11"/>
        <v>0</v>
      </c>
      <c r="V787" s="64">
        <f t="shared" ref="V787:X787" si="795">IF(year($A787)=year($A786), V786+S787, S787)</f>
        <v>233.3333333</v>
      </c>
      <c r="W787" s="64">
        <f t="shared" si="795"/>
        <v>291.6666667</v>
      </c>
      <c r="X787" s="64">
        <f t="shared" si="795"/>
        <v>0</v>
      </c>
      <c r="Y787" s="65">
        <f>IFS(
  B787&lt;55,
    MAX(
      Y786 + IF(MONTH(A787)=12, P787+V787, 0) + H787 - L787
      + MAX(0,
          IF(AA786 &gt;= VLOOKUP(YEAR(A787), Lookup!$Q:$R, 2),
            Z786 + IF(MONTH(A787)=12, Q787+W787, 0) + I787
              + AA786 + IF(MONTH(A787)=12, R787+X787, 0)
              - VLOOKUP(YEAR(A787), Lookup!$Q:$R, 2) + J787,
            Z786 + IF(MONTH(A787)=12, Q787+W787, 0) + I787
          ) - VLOOKUP(YEAR(A787), Lookup!$K:$M, 3)
        ),
    0),
  B787=55,
    IF(Z786&gt;=AD787,
      MAX(Y786 + IF(MONTH(A787)=12, P787+V787, 0) + H787 - L787, 0),
      MAX(MAX(0, Y786-(AD787-Z786)) + IF(MONTH(A787)=12, P787+V787, 0) + H787 - L787, 0)
    ),
  B787&gt;55,
    IF(AB786&gt;=$AH$7,
      MAX(Y786 + IF(MONTH(A787)=12, P787+V787, 0) + H787 - L787 + K787 + Z786, 0),
      MAX(Y786 + IF(MONTH(A787)=12, P787+V787, 0) + H787 - L787, 0)
    )
)</f>
        <v>1923537.421</v>
      </c>
      <c r="Z787" s="65">
        <f>IFS(
  B787&lt;55,
    MIN(
      IF(AA786 &gt;= VLOOKUP(YEAR(A787), Lookup!$Q:$R, 2),
        Z786 + IF(MONTH(A787)=12, Q787+W787, 0) + I787
          + AA786 + IF(MONTH(A787)=12, R787+X787, 0) - VLOOKUP(YEAR(A787), Lookup!$Q:$R, 2) + J787,
        Z786 + IF(MONTH(A787)=12, Q787+W787, 0) + I787
      ),
      VLOOKUP(YEAR(A787), Lookup!$K:$M, 3)
    ),
  B787=55,
    IF(Z786 &gt;= AD787, Z786 - AD787, 0),
  B787&gt;55, 0
)</f>
        <v>0</v>
      </c>
      <c r="AA787" s="65">
        <f>IFS(
  B787&lt;65,
    IF(AA786+J787 &lt; VLOOKUP(YEAR(A787), Lookup!$Q:$R, 2),
      AA786 + IF(MONTH(A787)=12, R786+X786, 0) + J787,
      MIN(
        AA786 + IF(MONTH(A787)=12, R786+X786, 0) + J787 ,
        VLOOKUP(YEAR(A787), Lookup!$Q:$R, 2)
      )
    ),
  B787&gt;=65,
    IF(AA786+J787 &lt; VLOOKUP(questions!$C$5, Lookup!$Q:$R, 2),
      AA786 + IF(MONTH(A787)=12, R786+X786, 0) + J787 ,
      MIN(
        AA786 + IF(MONTH(A787)=12, R786+X786, 0) + J787,
        VLOOKUP(questions!$C$5, Lookup!$Q:$R, 2)
      )
    )
)</f>
        <v>282111.0086</v>
      </c>
      <c r="AB787" s="65">
        <f t="shared" si="13"/>
        <v>2735726.037</v>
      </c>
      <c r="AC787" s="66">
        <f t="array" ref="AC787">IFS(B787&lt;66, XLOOKUP(year(A787),Lookup!$K$13:$K1000,Lookup!$L$13:$L1000,"missing",,1),B787&gt;65,XLOOKUP(questions!$C$5,Lookup!$K$13:$K1000,Lookup!$L$13:$L1000,"missing",,1))</f>
        <v>393675.3633</v>
      </c>
      <c r="AD787" s="66">
        <f t="array" ref="AD787">IFS(B787&lt;66, XLOOKUP(year(A787),Lookup!$K$13:$K1000,Lookup!$M$13:$M1000,"missing",,1),B787&gt;65, XLOOKUP(questions!$C$5,Lookup!$K$13:$K1000,Lookup!$M$13:$M1000,"missing",,1))</f>
        <v>787350.7266</v>
      </c>
      <c r="AE787" s="66">
        <f t="array" ref="AE787">IFS(B787&lt;66, XLOOKUP(year(A787),Lookup!$K$13:$K1000,Lookup!$N$13:$N1000,"missing",,1),B787&gt;65,XLOOKUP(questions!$C$5,Lookup!$K$13:$K1000,Lookup!$N$13:$N1000,"missing",,1))</f>
        <v>1574701.453</v>
      </c>
      <c r="AF787" s="37"/>
      <c r="AG787" s="37"/>
      <c r="AH787" s="37"/>
      <c r="AI787" s="37"/>
      <c r="AJ787" s="37"/>
      <c r="AK787" s="37"/>
      <c r="AL787" s="37"/>
      <c r="AM787" s="37"/>
      <c r="AN787" s="37"/>
      <c r="AO787" s="37"/>
      <c r="AP787" s="37"/>
      <c r="AQ787" s="37"/>
    </row>
    <row r="788">
      <c r="A788" s="55">
        <f t="shared" si="7"/>
        <v>70006</v>
      </c>
      <c r="B788" s="56">
        <f>round(YEARFRAC(EOMONTH(questions!$C$3, 0),A788,1),2)</f>
        <v>92.75</v>
      </c>
      <c r="C788" s="58">
        <f>IF(B788&lt;questions!$C$6,if(MONTH(A788)=1,C787*(1+questions!$C$12),C787),0)</f>
        <v>0</v>
      </c>
      <c r="D788" s="58">
        <f>IF(MONTH(A788)=12,C788*questions!$C$11,0)</f>
        <v>0</v>
      </c>
      <c r="E788" s="71">
        <f t="shared" si="2"/>
        <v>0</v>
      </c>
      <c r="F788" s="71">
        <f t="shared" si="3"/>
        <v>0</v>
      </c>
      <c r="G788" s="61">
        <f t="array" ref="G788">if(YEAR(A788)=2025,XLOOKUP(B788,Lookup!$A$3:$A$7,Lookup!$D$3:$D$7,,1)*SUM(E788:F788), XLOOKUP(B788,Lookup!$A$14:$A$18,Lookup!$D$14:$D$18,,1)*SUM(E788:F788))</f>
        <v>0</v>
      </c>
      <c r="H788" s="61">
        <f t="array" ref="H788">if(YEAR(A788)=2025,XLOOKUP(B788,Lookup!$F$3:$F$10,Lookup!$G$3:$G$10,,1)*G788, XLOOKUP(B788,Lookup!$F$14:$F$21,Lookup!$G$14:$G$21,,1)*G788)</f>
        <v>0</v>
      </c>
      <c r="I788" s="61">
        <f t="array" ref="I788">if(B788&lt;55, if(YEAR(A788)=2025,XLOOKUP(B788,Lookup!$F$3:$F$10,Lookup!$H$3:$H$10,,1)*G788, XLOOKUP(B788,Lookup!$F$14:$F$21,Lookup!$H$14:$H$21,,1)*G788),0)</f>
        <v>0</v>
      </c>
      <c r="J788" s="61">
        <f t="array" ref="J788">if(YEAR(A788)=2025,XLOOKUP(B788,Lookup!$F$3:$F$10,Lookup!$I$3:$I$10,,1)*G788, XLOOKUP(B788,Lookup!$F$14:$F$21,Lookup!$I$14:$I$21,,1)*G788)</f>
        <v>0</v>
      </c>
      <c r="K788" s="61">
        <f t="array" ref="K788">if(B788&gt;54, if(YEAR(A788)=2025,XLOOKUP(B788,Lookup!$F$3:$F$10,Lookup!$H$3:$H$10,,1)*G788, XLOOKUP(B788,Lookup!$F$14:$F$21,Lookup!$H$14:$H$21,,1)*G788),0)</f>
        <v>0</v>
      </c>
      <c r="L788" s="62">
        <f>IF(and(A788&lt;questions!$C$19,questions!$C$18="yes"),questions!$C$20,0)</f>
        <v>0</v>
      </c>
      <c r="M788" s="63">
        <f>(Y787+H788)*Lookup!A$26/12</f>
        <v>4007.369628</v>
      </c>
      <c r="N788" s="63">
        <f>if(B788&lt;55, (Z787+I788)*Lookup!B$26/12, (AB787+K788)*Lookup!B$26/12)</f>
        <v>9119.086791</v>
      </c>
      <c r="O788" s="63">
        <f>(AA787+J788)*Lookup!C$26/12</f>
        <v>940.3700287</v>
      </c>
      <c r="P788" s="63">
        <f t="shared" si="8"/>
        <v>32058.95702</v>
      </c>
      <c r="Q788" s="63">
        <f t="shared" si="4"/>
        <v>72952.69433</v>
      </c>
      <c r="R788" s="63">
        <f t="shared" si="5"/>
        <v>7522.960229</v>
      </c>
      <c r="S788" s="64">
        <f t="shared" si="9"/>
        <v>33.33333333</v>
      </c>
      <c r="T788" s="64">
        <f t="shared" si="10"/>
        <v>41.66666667</v>
      </c>
      <c r="U788" s="64">
        <f t="shared" si="11"/>
        <v>0</v>
      </c>
      <c r="V788" s="64">
        <f t="shared" ref="V788:X788" si="796">IF(year($A788)=year($A787), V787+S788, S788)</f>
        <v>266.6666667</v>
      </c>
      <c r="W788" s="64">
        <f t="shared" si="796"/>
        <v>333.3333333</v>
      </c>
      <c r="X788" s="64">
        <f t="shared" si="796"/>
        <v>0</v>
      </c>
      <c r="Y788" s="65">
        <f>IFS(
  B788&lt;55,
    MAX(
      Y787 + IF(MONTH(A788)=12, P788+V788, 0) + H788 - L788
      + MAX(0,
          IF(AA787 &gt;= VLOOKUP(YEAR(A788), Lookup!$Q:$R, 2),
            Z787 + IF(MONTH(A788)=12, Q788+W788, 0) + I788
              + AA787 + IF(MONTH(A788)=12, R788+X788, 0)
              - VLOOKUP(YEAR(A788), Lookup!$Q:$R, 2) + J788,
            Z787 + IF(MONTH(A788)=12, Q788+W788, 0) + I788
          ) - VLOOKUP(YEAR(A788), Lookup!$K:$M, 3)
        ),
    0),
  B788=55,
    IF(Z787&gt;=AD788,
      MAX(Y787 + IF(MONTH(A788)=12, P788+V788, 0) + H788 - L788, 0),
      MAX(MAX(0, Y787-(AD788-Z787)) + IF(MONTH(A788)=12, P788+V788, 0) + H788 - L788, 0)
    ),
  B788&gt;55,
    IF(AB787&gt;=$AH$7,
      MAX(Y787 + IF(MONTH(A788)=12, P788+V788, 0) + H788 - L788 + K788 + Z787, 0),
      MAX(Y787 + IF(MONTH(A788)=12, P788+V788, 0) + H788 - L788, 0)
    )
)</f>
        <v>1923537.421</v>
      </c>
      <c r="Z788" s="65">
        <f>IFS(
  B788&lt;55,
    MIN(
      IF(AA787 &gt;= VLOOKUP(YEAR(A788), Lookup!$Q:$R, 2),
        Z787 + IF(MONTH(A788)=12, Q788+W788, 0) + I788
          + AA787 + IF(MONTH(A788)=12, R788+X788, 0) - VLOOKUP(YEAR(A788), Lookup!$Q:$R, 2) + J788,
        Z787 + IF(MONTH(A788)=12, Q788+W788, 0) + I788
      ),
      VLOOKUP(YEAR(A788), Lookup!$K:$M, 3)
    ),
  B788=55,
    IF(Z787 &gt;= AD788, Z787 - AD788, 0),
  B788&gt;55, 0
)</f>
        <v>0</v>
      </c>
      <c r="AA788" s="65">
        <f>IFS(
  B788&lt;65,
    IF(AA787+J788 &lt; VLOOKUP(YEAR(A788), Lookup!$Q:$R, 2),
      AA787 + IF(MONTH(A788)=12, R787+X787, 0) + J788,
      MIN(
        AA787 + IF(MONTH(A788)=12, R787+X787, 0) + J788 ,
        VLOOKUP(YEAR(A788), Lookup!$Q:$R, 2)
      )
    ),
  B788&gt;=65,
    IF(AA787+J788 &lt; VLOOKUP(questions!$C$5, Lookup!$Q:$R, 2),
      AA787 + IF(MONTH(A788)=12, R787+X787, 0) + J788 ,
      MIN(
        AA787 + IF(MONTH(A788)=12, R787+X787, 0) + J788,
        VLOOKUP(questions!$C$5, Lookup!$Q:$R, 2)
      )
    )
)</f>
        <v>282111.0086</v>
      </c>
      <c r="AB788" s="65">
        <f t="shared" si="13"/>
        <v>2735726.037</v>
      </c>
      <c r="AC788" s="66">
        <f t="array" ref="AC788">IFS(B788&lt;66, XLOOKUP(year(A788),Lookup!$K$13:$K1000,Lookup!$L$13:$L1000,"missing",,1),B788&gt;65,XLOOKUP(questions!$C$5,Lookup!$K$13:$K1000,Lookup!$L$13:$L1000,"missing",,1))</f>
        <v>393675.3633</v>
      </c>
      <c r="AD788" s="66">
        <f t="array" ref="AD788">IFS(B788&lt;66, XLOOKUP(year(A788),Lookup!$K$13:$K1000,Lookup!$M$13:$M1000,"missing",,1),B788&gt;65, XLOOKUP(questions!$C$5,Lookup!$K$13:$K1000,Lookup!$M$13:$M1000,"missing",,1))</f>
        <v>787350.7266</v>
      </c>
      <c r="AE788" s="66">
        <f t="array" ref="AE788">IFS(B788&lt;66, XLOOKUP(year(A788),Lookup!$K$13:$K1000,Lookup!$N$13:$N1000,"missing",,1),B788&gt;65,XLOOKUP(questions!$C$5,Lookup!$K$13:$K1000,Lookup!$N$13:$N1000,"missing",,1))</f>
        <v>1574701.453</v>
      </c>
      <c r="AF788" s="37"/>
      <c r="AG788" s="37"/>
      <c r="AH788" s="37"/>
      <c r="AI788" s="37"/>
      <c r="AJ788" s="37"/>
      <c r="AK788" s="37"/>
      <c r="AL788" s="37"/>
      <c r="AM788" s="37"/>
      <c r="AN788" s="37"/>
      <c r="AO788" s="37"/>
      <c r="AP788" s="37"/>
      <c r="AQ788" s="37"/>
    </row>
    <row r="789">
      <c r="A789" s="55">
        <f t="shared" si="7"/>
        <v>70036</v>
      </c>
      <c r="B789" s="56">
        <f>round(YEARFRAC(EOMONTH(questions!$C$3, 0),A789,1),2)</f>
        <v>92.83</v>
      </c>
      <c r="C789" s="58">
        <f>IF(B789&lt;questions!$C$6,if(MONTH(A789)=1,C788*(1+questions!$C$12),C788),0)</f>
        <v>0</v>
      </c>
      <c r="D789" s="58">
        <f>IF(MONTH(A789)=12,C789*questions!$C$11,0)</f>
        <v>0</v>
      </c>
      <c r="E789" s="71">
        <f t="shared" si="2"/>
        <v>0</v>
      </c>
      <c r="F789" s="71">
        <f t="shared" si="3"/>
        <v>0</v>
      </c>
      <c r="G789" s="61">
        <f t="array" ref="G789">if(YEAR(A789)=2025,XLOOKUP(B789,Lookup!$A$3:$A$7,Lookup!$D$3:$D$7,,1)*SUM(E789:F789), XLOOKUP(B789,Lookup!$A$14:$A$18,Lookup!$D$14:$D$18,,1)*SUM(E789:F789))</f>
        <v>0</v>
      </c>
      <c r="H789" s="61">
        <f t="array" ref="H789">if(YEAR(A789)=2025,XLOOKUP(B789,Lookup!$F$3:$F$10,Lookup!$G$3:$G$10,,1)*G789, XLOOKUP(B789,Lookup!$F$14:$F$21,Lookup!$G$14:$G$21,,1)*G789)</f>
        <v>0</v>
      </c>
      <c r="I789" s="61">
        <f t="array" ref="I789">if(B789&lt;55, if(YEAR(A789)=2025,XLOOKUP(B789,Lookup!$F$3:$F$10,Lookup!$H$3:$H$10,,1)*G789, XLOOKUP(B789,Lookup!$F$14:$F$21,Lookup!$H$14:$H$21,,1)*G789),0)</f>
        <v>0</v>
      </c>
      <c r="J789" s="61">
        <f t="array" ref="J789">if(YEAR(A789)=2025,XLOOKUP(B789,Lookup!$F$3:$F$10,Lookup!$I$3:$I$10,,1)*G789, XLOOKUP(B789,Lookup!$F$14:$F$21,Lookup!$I$14:$I$21,,1)*G789)</f>
        <v>0</v>
      </c>
      <c r="K789" s="61">
        <f t="array" ref="K789">if(B789&gt;54, if(YEAR(A789)=2025,XLOOKUP(B789,Lookup!$F$3:$F$10,Lookup!$H$3:$H$10,,1)*G789, XLOOKUP(B789,Lookup!$F$14:$F$21,Lookup!$H$14:$H$21,,1)*G789),0)</f>
        <v>0</v>
      </c>
      <c r="L789" s="62">
        <f>IF(and(A789&lt;questions!$C$19,questions!$C$18="yes"),questions!$C$20,0)</f>
        <v>0</v>
      </c>
      <c r="M789" s="63">
        <f>(Y788+H789)*Lookup!A$26/12</f>
        <v>4007.369628</v>
      </c>
      <c r="N789" s="63">
        <f>if(B789&lt;55, (Z788+I789)*Lookup!B$26/12, (AB788+K789)*Lookup!B$26/12)</f>
        <v>9119.086791</v>
      </c>
      <c r="O789" s="63">
        <f>(AA788+J789)*Lookup!C$26/12</f>
        <v>940.3700287</v>
      </c>
      <c r="P789" s="63">
        <f t="shared" si="8"/>
        <v>36066.32665</v>
      </c>
      <c r="Q789" s="63">
        <f t="shared" si="4"/>
        <v>82071.78112</v>
      </c>
      <c r="R789" s="63">
        <f t="shared" si="5"/>
        <v>8463.330258</v>
      </c>
      <c r="S789" s="64">
        <f t="shared" si="9"/>
        <v>33.33333333</v>
      </c>
      <c r="T789" s="64">
        <f t="shared" si="10"/>
        <v>41.66666667</v>
      </c>
      <c r="U789" s="64">
        <f t="shared" si="11"/>
        <v>0</v>
      </c>
      <c r="V789" s="64">
        <f t="shared" ref="V789:X789" si="797">IF(year($A789)=year($A788), V788+S789, S789)</f>
        <v>300</v>
      </c>
      <c r="W789" s="64">
        <f t="shared" si="797"/>
        <v>375</v>
      </c>
      <c r="X789" s="64">
        <f t="shared" si="797"/>
        <v>0</v>
      </c>
      <c r="Y789" s="65">
        <f>IFS(
  B789&lt;55,
    MAX(
      Y788 + IF(MONTH(A789)=12, P789+V789, 0) + H789 - L789
      + MAX(0,
          IF(AA788 &gt;= VLOOKUP(YEAR(A789), Lookup!$Q:$R, 2),
            Z788 + IF(MONTH(A789)=12, Q789+W789, 0) + I789
              + AA788 + IF(MONTH(A789)=12, R789+X789, 0)
              - VLOOKUP(YEAR(A789), Lookup!$Q:$R, 2) + J789,
            Z788 + IF(MONTH(A789)=12, Q789+W789, 0) + I789
          ) - VLOOKUP(YEAR(A789), Lookup!$K:$M, 3)
        ),
    0),
  B789=55,
    IF(Z788&gt;=AD789,
      MAX(Y788 + IF(MONTH(A789)=12, P789+V789, 0) + H789 - L789, 0),
      MAX(MAX(0, Y788-(AD789-Z788)) + IF(MONTH(A789)=12, P789+V789, 0) + H789 - L789, 0)
    ),
  B789&gt;55,
    IF(AB788&gt;=$AH$7,
      MAX(Y788 + IF(MONTH(A789)=12, P789+V789, 0) + H789 - L789 + K789 + Z788, 0),
      MAX(Y788 + IF(MONTH(A789)=12, P789+V789, 0) + H789 - L789, 0)
    )
)</f>
        <v>1923537.421</v>
      </c>
      <c r="Z789" s="65">
        <f>IFS(
  B789&lt;55,
    MIN(
      IF(AA788 &gt;= VLOOKUP(YEAR(A789), Lookup!$Q:$R, 2),
        Z788 + IF(MONTH(A789)=12, Q789+W789, 0) + I789
          + AA788 + IF(MONTH(A789)=12, R789+X789, 0) - VLOOKUP(YEAR(A789), Lookup!$Q:$R, 2) + J789,
        Z788 + IF(MONTH(A789)=12, Q789+W789, 0) + I789
      ),
      VLOOKUP(YEAR(A789), Lookup!$K:$M, 3)
    ),
  B789=55,
    IF(Z788 &gt;= AD789, Z788 - AD789, 0),
  B789&gt;55, 0
)</f>
        <v>0</v>
      </c>
      <c r="AA789" s="65">
        <f>IFS(
  B789&lt;65,
    IF(AA788+J789 &lt; VLOOKUP(YEAR(A789), Lookup!$Q:$R, 2),
      AA788 + IF(MONTH(A789)=12, R788+X788, 0) + J789,
      MIN(
        AA788 + IF(MONTH(A789)=12, R788+X788, 0) + J789 ,
        VLOOKUP(YEAR(A789), Lookup!$Q:$R, 2)
      )
    ),
  B789&gt;=65,
    IF(AA788+J789 &lt; VLOOKUP(questions!$C$5, Lookup!$Q:$R, 2),
      AA788 + IF(MONTH(A789)=12, R788+X788, 0) + J789 ,
      MIN(
        AA788 + IF(MONTH(A789)=12, R788+X788, 0) + J789,
        VLOOKUP(questions!$C$5, Lookup!$Q:$R, 2)
      )
    )
)</f>
        <v>282111.0086</v>
      </c>
      <c r="AB789" s="65">
        <f t="shared" si="13"/>
        <v>2735726.037</v>
      </c>
      <c r="AC789" s="66">
        <f t="array" ref="AC789">IFS(B789&lt;66, XLOOKUP(year(A789),Lookup!$K$13:$K1000,Lookup!$L$13:$L1000,"missing",,1),B789&gt;65,XLOOKUP(questions!$C$5,Lookup!$K$13:$K1000,Lookup!$L$13:$L1000,"missing",,1))</f>
        <v>393675.3633</v>
      </c>
      <c r="AD789" s="66">
        <f t="array" ref="AD789">IFS(B789&lt;66, XLOOKUP(year(A789),Lookup!$K$13:$K1000,Lookup!$M$13:$M1000,"missing",,1),B789&gt;65, XLOOKUP(questions!$C$5,Lookup!$K$13:$K1000,Lookup!$M$13:$M1000,"missing",,1))</f>
        <v>787350.7266</v>
      </c>
      <c r="AE789" s="66">
        <f t="array" ref="AE789">IFS(B789&lt;66, XLOOKUP(year(A789),Lookup!$K$13:$K1000,Lookup!$N$13:$N1000,"missing",,1),B789&gt;65,XLOOKUP(questions!$C$5,Lookup!$K$13:$K1000,Lookup!$N$13:$N1000,"missing",,1))</f>
        <v>1574701.453</v>
      </c>
      <c r="AF789" s="37"/>
      <c r="AG789" s="37"/>
      <c r="AH789" s="37"/>
      <c r="AI789" s="37"/>
      <c r="AJ789" s="37"/>
      <c r="AK789" s="37"/>
      <c r="AL789" s="37"/>
      <c r="AM789" s="37"/>
      <c r="AN789" s="37"/>
      <c r="AO789" s="37"/>
      <c r="AP789" s="37"/>
      <c r="AQ789" s="37"/>
    </row>
    <row r="790">
      <c r="A790" s="55">
        <f t="shared" si="7"/>
        <v>70067</v>
      </c>
      <c r="B790" s="56">
        <f>round(YEARFRAC(EOMONTH(questions!$C$3, 0),A790,1),2)</f>
        <v>92.92</v>
      </c>
      <c r="C790" s="58">
        <f>IF(B790&lt;questions!$C$6,if(MONTH(A790)=1,C789*(1+questions!$C$12),C789),0)</f>
        <v>0</v>
      </c>
      <c r="D790" s="58">
        <f>IF(MONTH(A790)=12,C790*questions!$C$11,0)</f>
        <v>0</v>
      </c>
      <c r="E790" s="71">
        <f t="shared" si="2"/>
        <v>0</v>
      </c>
      <c r="F790" s="71">
        <f t="shared" si="3"/>
        <v>0</v>
      </c>
      <c r="G790" s="61">
        <f t="array" ref="G790">if(YEAR(A790)=2025,XLOOKUP(B790,Lookup!$A$3:$A$7,Lookup!$D$3:$D$7,,1)*SUM(E790:F790), XLOOKUP(B790,Lookup!$A$14:$A$18,Lookup!$D$14:$D$18,,1)*SUM(E790:F790))</f>
        <v>0</v>
      </c>
      <c r="H790" s="61">
        <f t="array" ref="H790">if(YEAR(A790)=2025,XLOOKUP(B790,Lookup!$F$3:$F$10,Lookup!$G$3:$G$10,,1)*G790, XLOOKUP(B790,Lookup!$F$14:$F$21,Lookup!$G$14:$G$21,,1)*G790)</f>
        <v>0</v>
      </c>
      <c r="I790" s="61">
        <f t="array" ref="I790">if(B790&lt;55, if(YEAR(A790)=2025,XLOOKUP(B790,Lookup!$F$3:$F$10,Lookup!$H$3:$H$10,,1)*G790, XLOOKUP(B790,Lookup!$F$14:$F$21,Lookup!$H$14:$H$21,,1)*G790),0)</f>
        <v>0</v>
      </c>
      <c r="J790" s="61">
        <f t="array" ref="J790">if(YEAR(A790)=2025,XLOOKUP(B790,Lookup!$F$3:$F$10,Lookup!$I$3:$I$10,,1)*G790, XLOOKUP(B790,Lookup!$F$14:$F$21,Lookup!$I$14:$I$21,,1)*G790)</f>
        <v>0</v>
      </c>
      <c r="K790" s="61">
        <f t="array" ref="K790">if(B790&gt;54, if(YEAR(A790)=2025,XLOOKUP(B790,Lookup!$F$3:$F$10,Lookup!$H$3:$H$10,,1)*G790, XLOOKUP(B790,Lookup!$F$14:$F$21,Lookup!$H$14:$H$21,,1)*G790),0)</f>
        <v>0</v>
      </c>
      <c r="L790" s="62">
        <f>IF(and(A790&lt;questions!$C$19,questions!$C$18="yes"),questions!$C$20,0)</f>
        <v>0</v>
      </c>
      <c r="M790" s="63">
        <f>(Y789+H790)*Lookup!A$26/12</f>
        <v>4007.369628</v>
      </c>
      <c r="N790" s="63">
        <f>if(B790&lt;55, (Z789+I790)*Lookup!B$26/12, (AB789+K790)*Lookup!B$26/12)</f>
        <v>9119.086791</v>
      </c>
      <c r="O790" s="63">
        <f>(AA789+J790)*Lookup!C$26/12</f>
        <v>940.3700287</v>
      </c>
      <c r="P790" s="63">
        <f t="shared" si="8"/>
        <v>40073.69628</v>
      </c>
      <c r="Q790" s="63">
        <f t="shared" si="4"/>
        <v>91190.86791</v>
      </c>
      <c r="R790" s="63">
        <f t="shared" si="5"/>
        <v>9403.700287</v>
      </c>
      <c r="S790" s="64">
        <f t="shared" si="9"/>
        <v>33.33333333</v>
      </c>
      <c r="T790" s="64">
        <f t="shared" si="10"/>
        <v>41.66666667</v>
      </c>
      <c r="U790" s="64">
        <f t="shared" si="11"/>
        <v>0</v>
      </c>
      <c r="V790" s="64">
        <f t="shared" ref="V790:X790" si="798">IF(year($A790)=year($A789), V789+S790, S790)</f>
        <v>333.3333333</v>
      </c>
      <c r="W790" s="64">
        <f t="shared" si="798"/>
        <v>416.6666667</v>
      </c>
      <c r="X790" s="64">
        <f t="shared" si="798"/>
        <v>0</v>
      </c>
      <c r="Y790" s="65">
        <f>IFS(
  B790&lt;55,
    MAX(
      Y789 + IF(MONTH(A790)=12, P790+V790, 0) + H790 - L790
      + MAX(0,
          IF(AA789 &gt;= VLOOKUP(YEAR(A790), Lookup!$Q:$R, 2),
            Z789 + IF(MONTH(A790)=12, Q790+W790, 0) + I790
              + AA789 + IF(MONTH(A790)=12, R790+X790, 0)
              - VLOOKUP(YEAR(A790), Lookup!$Q:$R, 2) + J790,
            Z789 + IF(MONTH(A790)=12, Q790+W790, 0) + I790
          ) - VLOOKUP(YEAR(A790), Lookup!$K:$M, 3)
        ),
    0),
  B790=55,
    IF(Z789&gt;=AD790,
      MAX(Y789 + IF(MONTH(A790)=12, P790+V790, 0) + H790 - L790, 0),
      MAX(MAX(0, Y789-(AD790-Z789)) + IF(MONTH(A790)=12, P790+V790, 0) + H790 - L790, 0)
    ),
  B790&gt;55,
    IF(AB789&gt;=$AH$7,
      MAX(Y789 + IF(MONTH(A790)=12, P790+V790, 0) + H790 - L790 + K790 + Z789, 0),
      MAX(Y789 + IF(MONTH(A790)=12, P790+V790, 0) + H790 - L790, 0)
    )
)</f>
        <v>1923537.421</v>
      </c>
      <c r="Z790" s="65">
        <f>IFS(
  B790&lt;55,
    MIN(
      IF(AA789 &gt;= VLOOKUP(YEAR(A790), Lookup!$Q:$R, 2),
        Z789 + IF(MONTH(A790)=12, Q790+W790, 0) + I790
          + AA789 + IF(MONTH(A790)=12, R790+X790, 0) - VLOOKUP(YEAR(A790), Lookup!$Q:$R, 2) + J790,
        Z789 + IF(MONTH(A790)=12, Q790+W790, 0) + I790
      ),
      VLOOKUP(YEAR(A790), Lookup!$K:$M, 3)
    ),
  B790=55,
    IF(Z789 &gt;= AD790, Z789 - AD790, 0),
  B790&gt;55, 0
)</f>
        <v>0</v>
      </c>
      <c r="AA790" s="65">
        <f>IFS(
  B790&lt;65,
    IF(AA789+J790 &lt; VLOOKUP(YEAR(A790), Lookup!$Q:$R, 2),
      AA789 + IF(MONTH(A790)=12, R789+X789, 0) + J790,
      MIN(
        AA789 + IF(MONTH(A790)=12, R789+X789, 0) + J790 ,
        VLOOKUP(YEAR(A790), Lookup!$Q:$R, 2)
      )
    ),
  B790&gt;=65,
    IF(AA789+J790 &lt; VLOOKUP(questions!$C$5, Lookup!$Q:$R, 2),
      AA789 + IF(MONTH(A790)=12, R789+X789, 0) + J790 ,
      MIN(
        AA789 + IF(MONTH(A790)=12, R789+X789, 0) + J790,
        VLOOKUP(questions!$C$5, Lookup!$Q:$R, 2)
      )
    )
)</f>
        <v>282111.0086</v>
      </c>
      <c r="AB790" s="65">
        <f t="shared" si="13"/>
        <v>2735726.037</v>
      </c>
      <c r="AC790" s="66">
        <f t="array" ref="AC790">IFS(B790&lt;66, XLOOKUP(year(A790),Lookup!$K$13:$K1000,Lookup!$L$13:$L1000,"missing",,1),B790&gt;65,XLOOKUP(questions!$C$5,Lookup!$K$13:$K1000,Lookup!$L$13:$L1000,"missing",,1))</f>
        <v>393675.3633</v>
      </c>
      <c r="AD790" s="66">
        <f t="array" ref="AD790">IFS(B790&lt;66, XLOOKUP(year(A790),Lookup!$K$13:$K1000,Lookup!$M$13:$M1000,"missing",,1),B790&gt;65, XLOOKUP(questions!$C$5,Lookup!$K$13:$K1000,Lookup!$M$13:$M1000,"missing",,1))</f>
        <v>787350.7266</v>
      </c>
      <c r="AE790" s="66">
        <f t="array" ref="AE790">IFS(B790&lt;66, XLOOKUP(year(A790),Lookup!$K$13:$K1000,Lookup!$N$13:$N1000,"missing",,1),B790&gt;65,XLOOKUP(questions!$C$5,Lookup!$K$13:$K1000,Lookup!$N$13:$N1000,"missing",,1))</f>
        <v>1574701.453</v>
      </c>
      <c r="AF790" s="37"/>
      <c r="AG790" s="37"/>
      <c r="AH790" s="37"/>
      <c r="AI790" s="37"/>
      <c r="AJ790" s="37"/>
      <c r="AK790" s="37"/>
      <c r="AL790" s="37"/>
      <c r="AM790" s="37"/>
      <c r="AN790" s="37"/>
      <c r="AO790" s="37"/>
      <c r="AP790" s="37"/>
      <c r="AQ790" s="37"/>
    </row>
    <row r="791">
      <c r="A791" s="55">
        <f t="shared" si="7"/>
        <v>70097</v>
      </c>
      <c r="B791" s="56">
        <f>round(YEARFRAC(EOMONTH(questions!$C$3, 0),A791,1),2)</f>
        <v>93</v>
      </c>
      <c r="C791" s="58">
        <f>IF(B791&lt;questions!$C$6,if(MONTH(A791)=1,C790*(1+questions!$C$12),C790),0)</f>
        <v>0</v>
      </c>
      <c r="D791" s="58">
        <f>IF(MONTH(A791)=12,C791*questions!$C$11,0)</f>
        <v>0</v>
      </c>
      <c r="E791" s="71">
        <f t="shared" si="2"/>
        <v>0</v>
      </c>
      <c r="F791" s="71">
        <f t="shared" si="3"/>
        <v>0</v>
      </c>
      <c r="G791" s="61">
        <f t="array" ref="G791">if(YEAR(A791)=2025,XLOOKUP(B791,Lookup!$A$3:$A$7,Lookup!$D$3:$D$7,,1)*SUM(E791:F791), XLOOKUP(B791,Lookup!$A$14:$A$18,Lookup!$D$14:$D$18,,1)*SUM(E791:F791))</f>
        <v>0</v>
      </c>
      <c r="H791" s="61">
        <f t="array" ref="H791">if(YEAR(A791)=2025,XLOOKUP(B791,Lookup!$F$3:$F$10,Lookup!$G$3:$G$10,,1)*G791, XLOOKUP(B791,Lookup!$F$14:$F$21,Lookup!$G$14:$G$21,,1)*G791)</f>
        <v>0</v>
      </c>
      <c r="I791" s="61">
        <f t="array" ref="I791">if(B791&lt;55, if(YEAR(A791)=2025,XLOOKUP(B791,Lookup!$F$3:$F$10,Lookup!$H$3:$H$10,,1)*G791, XLOOKUP(B791,Lookup!$F$14:$F$21,Lookup!$H$14:$H$21,,1)*G791),0)</f>
        <v>0</v>
      </c>
      <c r="J791" s="61">
        <f t="array" ref="J791">if(YEAR(A791)=2025,XLOOKUP(B791,Lookup!$F$3:$F$10,Lookup!$I$3:$I$10,,1)*G791, XLOOKUP(B791,Lookup!$F$14:$F$21,Lookup!$I$14:$I$21,,1)*G791)</f>
        <v>0</v>
      </c>
      <c r="K791" s="61">
        <f t="array" ref="K791">if(B791&gt;54, if(YEAR(A791)=2025,XLOOKUP(B791,Lookup!$F$3:$F$10,Lookup!$H$3:$H$10,,1)*G791, XLOOKUP(B791,Lookup!$F$14:$F$21,Lookup!$H$14:$H$21,,1)*G791),0)</f>
        <v>0</v>
      </c>
      <c r="L791" s="62">
        <f>IF(and(A791&lt;questions!$C$19,questions!$C$18="yes"),questions!$C$20,0)</f>
        <v>0</v>
      </c>
      <c r="M791" s="63">
        <f>(Y790+H791)*Lookup!A$26/12</f>
        <v>4007.369628</v>
      </c>
      <c r="N791" s="63">
        <f>if(B791&lt;55, (Z790+I791)*Lookup!B$26/12, (AB790+K791)*Lookup!B$26/12)</f>
        <v>9119.086791</v>
      </c>
      <c r="O791" s="63">
        <f>(AA790+J791)*Lookup!C$26/12</f>
        <v>940.3700287</v>
      </c>
      <c r="P791" s="63">
        <f t="shared" si="8"/>
        <v>44081.06591</v>
      </c>
      <c r="Q791" s="63">
        <f t="shared" si="4"/>
        <v>100309.9547</v>
      </c>
      <c r="R791" s="63">
        <f t="shared" si="5"/>
        <v>10344.07032</v>
      </c>
      <c r="S791" s="64">
        <f t="shared" si="9"/>
        <v>33.33333333</v>
      </c>
      <c r="T791" s="64">
        <f t="shared" si="10"/>
        <v>41.66666667</v>
      </c>
      <c r="U791" s="64">
        <f t="shared" si="11"/>
        <v>0</v>
      </c>
      <c r="V791" s="64">
        <f t="shared" ref="V791:X791" si="799">IF(year($A791)=year($A790), V790+S791, S791)</f>
        <v>366.6666667</v>
      </c>
      <c r="W791" s="64">
        <f t="shared" si="799"/>
        <v>458.3333333</v>
      </c>
      <c r="X791" s="64">
        <f t="shared" si="799"/>
        <v>0</v>
      </c>
      <c r="Y791" s="65">
        <f>IFS(
  B791&lt;55,
    MAX(
      Y790 + IF(MONTH(A791)=12, P791+V791, 0) + H791 - L791
      + MAX(0,
          IF(AA790 &gt;= VLOOKUP(YEAR(A791), Lookup!$Q:$R, 2),
            Z790 + IF(MONTH(A791)=12, Q791+W791, 0) + I791
              + AA790 + IF(MONTH(A791)=12, R791+X791, 0)
              - VLOOKUP(YEAR(A791), Lookup!$Q:$R, 2) + J791,
            Z790 + IF(MONTH(A791)=12, Q791+W791, 0) + I791
          ) - VLOOKUP(YEAR(A791), Lookup!$K:$M, 3)
        ),
    0),
  B791=55,
    IF(Z790&gt;=AD791,
      MAX(Y790 + IF(MONTH(A791)=12, P791+V791, 0) + H791 - L791, 0),
      MAX(MAX(0, Y790-(AD791-Z790)) + IF(MONTH(A791)=12, P791+V791, 0) + H791 - L791, 0)
    ),
  B791&gt;55,
    IF(AB790&gt;=$AH$7,
      MAX(Y790 + IF(MONTH(A791)=12, P791+V791, 0) + H791 - L791 + K791 + Z790, 0),
      MAX(Y790 + IF(MONTH(A791)=12, P791+V791, 0) + H791 - L791, 0)
    )
)</f>
        <v>1923537.421</v>
      </c>
      <c r="Z791" s="65">
        <f>IFS(
  B791&lt;55,
    MIN(
      IF(AA790 &gt;= VLOOKUP(YEAR(A791), Lookup!$Q:$R, 2),
        Z790 + IF(MONTH(A791)=12, Q791+W791, 0) + I791
          + AA790 + IF(MONTH(A791)=12, R791+X791, 0) - VLOOKUP(YEAR(A791), Lookup!$Q:$R, 2) + J791,
        Z790 + IF(MONTH(A791)=12, Q791+W791, 0) + I791
      ),
      VLOOKUP(YEAR(A791), Lookup!$K:$M, 3)
    ),
  B791=55,
    IF(Z790 &gt;= AD791, Z790 - AD791, 0),
  B791&gt;55, 0
)</f>
        <v>0</v>
      </c>
      <c r="AA791" s="65">
        <f>IFS(
  B791&lt;65,
    IF(AA790+J791 &lt; VLOOKUP(YEAR(A791), Lookup!$Q:$R, 2),
      AA790 + IF(MONTH(A791)=12, R790+X790, 0) + J791,
      MIN(
        AA790 + IF(MONTH(A791)=12, R790+X790, 0) + J791 ,
        VLOOKUP(YEAR(A791), Lookup!$Q:$R, 2)
      )
    ),
  B791&gt;=65,
    IF(AA790+J791 &lt; VLOOKUP(questions!$C$5, Lookup!$Q:$R, 2),
      AA790 + IF(MONTH(A791)=12, R790+X790, 0) + J791 ,
      MIN(
        AA790 + IF(MONTH(A791)=12, R790+X790, 0) + J791,
        VLOOKUP(questions!$C$5, Lookup!$Q:$R, 2)
      )
    )
)</f>
        <v>282111.0086</v>
      </c>
      <c r="AB791" s="65">
        <f t="shared" si="13"/>
        <v>2735726.037</v>
      </c>
      <c r="AC791" s="66">
        <f t="array" ref="AC791">IFS(B791&lt;66, XLOOKUP(year(A791),Lookup!$K$13:$K1000,Lookup!$L$13:$L1000,"missing",,1),B791&gt;65,XLOOKUP(questions!$C$5,Lookup!$K$13:$K1000,Lookup!$L$13:$L1000,"missing",,1))</f>
        <v>393675.3633</v>
      </c>
      <c r="AD791" s="66">
        <f t="array" ref="AD791">IFS(B791&lt;66, XLOOKUP(year(A791),Lookup!$K$13:$K1000,Lookup!$M$13:$M1000,"missing",,1),B791&gt;65, XLOOKUP(questions!$C$5,Lookup!$K$13:$K1000,Lookup!$M$13:$M1000,"missing",,1))</f>
        <v>787350.7266</v>
      </c>
      <c r="AE791" s="66">
        <f t="array" ref="AE791">IFS(B791&lt;66, XLOOKUP(year(A791),Lookup!$K$13:$K1000,Lookup!$N$13:$N1000,"missing",,1),B791&gt;65,XLOOKUP(questions!$C$5,Lookup!$K$13:$K1000,Lookup!$N$13:$N1000,"missing",,1))</f>
        <v>1574701.453</v>
      </c>
      <c r="AF791" s="37"/>
      <c r="AG791" s="37"/>
      <c r="AH791" s="37"/>
      <c r="AI791" s="37"/>
      <c r="AJ791" s="37"/>
      <c r="AK791" s="37"/>
      <c r="AL791" s="37"/>
      <c r="AM791" s="37"/>
      <c r="AN791" s="37"/>
      <c r="AO791" s="37"/>
      <c r="AP791" s="37"/>
      <c r="AQ791" s="37"/>
    </row>
    <row r="792">
      <c r="A792" s="55">
        <f t="shared" si="7"/>
        <v>70128</v>
      </c>
      <c r="B792" s="56">
        <f>round(YEARFRAC(EOMONTH(questions!$C$3, 0),A792,1),2)</f>
        <v>93.08</v>
      </c>
      <c r="C792" s="58">
        <f>IF(B792&lt;questions!$C$6,if(MONTH(A792)=1,C791*(1+questions!$C$12),C791),0)</f>
        <v>0</v>
      </c>
      <c r="D792" s="58">
        <f>IF(MONTH(A792)=12,C792*questions!$C$11,0)</f>
        <v>0</v>
      </c>
      <c r="E792" s="71">
        <f t="shared" si="2"/>
        <v>0</v>
      </c>
      <c r="F792" s="71">
        <f t="shared" si="3"/>
        <v>0</v>
      </c>
      <c r="G792" s="61">
        <f t="array" ref="G792">if(YEAR(A792)=2025,XLOOKUP(B792,Lookup!$A$3:$A$7,Lookup!$D$3:$D$7,,1)*SUM(E792:F792), XLOOKUP(B792,Lookup!$A$14:$A$18,Lookup!$D$14:$D$18,,1)*SUM(E792:F792))</f>
        <v>0</v>
      </c>
      <c r="H792" s="61">
        <f t="array" ref="H792">if(YEAR(A792)=2025,XLOOKUP(B792,Lookup!$F$3:$F$10,Lookup!$G$3:$G$10,,1)*G792, XLOOKUP(B792,Lookup!$F$14:$F$21,Lookup!$G$14:$G$21,,1)*G792)</f>
        <v>0</v>
      </c>
      <c r="I792" s="61">
        <f t="array" ref="I792">if(B792&lt;55, if(YEAR(A792)=2025,XLOOKUP(B792,Lookup!$F$3:$F$10,Lookup!$H$3:$H$10,,1)*G792, XLOOKUP(B792,Lookup!$F$14:$F$21,Lookup!$H$14:$H$21,,1)*G792),0)</f>
        <v>0</v>
      </c>
      <c r="J792" s="61">
        <f t="array" ref="J792">if(YEAR(A792)=2025,XLOOKUP(B792,Lookup!$F$3:$F$10,Lookup!$I$3:$I$10,,1)*G792, XLOOKUP(B792,Lookup!$F$14:$F$21,Lookup!$I$14:$I$21,,1)*G792)</f>
        <v>0</v>
      </c>
      <c r="K792" s="61">
        <f t="array" ref="K792">if(B792&gt;54, if(YEAR(A792)=2025,XLOOKUP(B792,Lookup!$F$3:$F$10,Lookup!$H$3:$H$10,,1)*G792, XLOOKUP(B792,Lookup!$F$14:$F$21,Lookup!$H$14:$H$21,,1)*G792),0)</f>
        <v>0</v>
      </c>
      <c r="L792" s="62">
        <f>IF(and(A792&lt;questions!$C$19,questions!$C$18="yes"),questions!$C$20,0)</f>
        <v>0</v>
      </c>
      <c r="M792" s="63">
        <f>(Y791+H792)*Lookup!A$26/12</f>
        <v>4007.369628</v>
      </c>
      <c r="N792" s="63">
        <f>if(B792&lt;55, (Z791+I792)*Lookup!B$26/12, (AB791+K792)*Lookup!B$26/12)</f>
        <v>9119.086791</v>
      </c>
      <c r="O792" s="63">
        <f>(AA791+J792)*Lookup!C$26/12</f>
        <v>940.3700287</v>
      </c>
      <c r="P792" s="63">
        <f t="shared" si="8"/>
        <v>48088.43553</v>
      </c>
      <c r="Q792" s="63">
        <f t="shared" si="4"/>
        <v>109429.0415</v>
      </c>
      <c r="R792" s="63">
        <f t="shared" si="5"/>
        <v>11284.44034</v>
      </c>
      <c r="S792" s="64">
        <f t="shared" si="9"/>
        <v>33.33333333</v>
      </c>
      <c r="T792" s="64">
        <f t="shared" si="10"/>
        <v>41.66666667</v>
      </c>
      <c r="U792" s="64">
        <f t="shared" si="11"/>
        <v>0</v>
      </c>
      <c r="V792" s="64">
        <f t="shared" ref="V792:X792" si="800">IF(year($A792)=year($A791), V791+S792, S792)</f>
        <v>400</v>
      </c>
      <c r="W792" s="64">
        <f t="shared" si="800"/>
        <v>500</v>
      </c>
      <c r="X792" s="64">
        <f t="shared" si="800"/>
        <v>0</v>
      </c>
      <c r="Y792" s="65">
        <f>IFS(
  B792&lt;55,
    MAX(
      Y791 + IF(MONTH(A792)=12, P792+V792, 0) + H792 - L792
      + MAX(0,
          IF(AA791 &gt;= VLOOKUP(YEAR(A792), Lookup!$Q:$R, 2),
            Z791 + IF(MONTH(A792)=12, Q792+W792, 0) + I792
              + AA791 + IF(MONTH(A792)=12, R792+X792, 0)
              - VLOOKUP(YEAR(A792), Lookup!$Q:$R, 2) + J792,
            Z791 + IF(MONTH(A792)=12, Q792+W792, 0) + I792
          ) - VLOOKUP(YEAR(A792), Lookup!$K:$M, 3)
        ),
    0),
  B792=55,
    IF(Z791&gt;=AD792,
      MAX(Y791 + IF(MONTH(A792)=12, P792+V792, 0) + H792 - L792, 0),
      MAX(MAX(0, Y791-(AD792-Z791)) + IF(MONTH(A792)=12, P792+V792, 0) + H792 - L792, 0)
    ),
  B792&gt;55,
    IF(AB791&gt;=$AH$7,
      MAX(Y791 + IF(MONTH(A792)=12, P792+V792, 0) + H792 - L792 + K792 + Z791, 0),
      MAX(Y791 + IF(MONTH(A792)=12, P792+V792, 0) + H792 - L792, 0)
    )
)</f>
        <v>1972025.857</v>
      </c>
      <c r="Z792" s="65">
        <f>IFS(
  B792&lt;55,
    MIN(
      IF(AA791 &gt;= VLOOKUP(YEAR(A792), Lookup!$Q:$R, 2),
        Z791 + IF(MONTH(A792)=12, Q792+W792, 0) + I792
          + AA791 + IF(MONTH(A792)=12, R792+X792, 0) - VLOOKUP(YEAR(A792), Lookup!$Q:$R, 2) + J792,
        Z791 + IF(MONTH(A792)=12, Q792+W792, 0) + I792
      ),
      VLOOKUP(YEAR(A792), Lookup!$K:$M, 3)
    ),
  B792=55,
    IF(Z791 &gt;= AD792, Z791 - AD792, 0),
  B792&gt;55, 0
)</f>
        <v>0</v>
      </c>
      <c r="AA792" s="65">
        <f>IFS(
  B792&lt;65,
    IF(AA791+J792 &lt; VLOOKUP(YEAR(A792), Lookup!$Q:$R, 2),
      AA791 + IF(MONTH(A792)=12, R791+X791, 0) + J792,
      MIN(
        AA791 + IF(MONTH(A792)=12, R791+X791, 0) + J792 ,
        VLOOKUP(YEAR(A792), Lookup!$Q:$R, 2)
      )
    ),
  B792&gt;=65,
    IF(AA791+J792 &lt; VLOOKUP(questions!$C$5, Lookup!$Q:$R, 2),
      AA791 + IF(MONTH(A792)=12, R791+X791, 0) + J792 ,
      MIN(
        AA791 + IF(MONTH(A792)=12, R791+X791, 0) + J792,
        VLOOKUP(questions!$C$5, Lookup!$Q:$R, 2)
      )
    )
)</f>
        <v>282111.0086</v>
      </c>
      <c r="AB792" s="65">
        <f t="shared" si="13"/>
        <v>2845655.079</v>
      </c>
      <c r="AC792" s="66">
        <f t="array" ref="AC792">IFS(B792&lt;66, XLOOKUP(year(A792),Lookup!$K$13:$K1000,Lookup!$L$13:$L1000,"missing",,1),B792&gt;65,XLOOKUP(questions!$C$5,Lookup!$K$13:$K1000,Lookup!$L$13:$L1000,"missing",,1))</f>
        <v>393675.3633</v>
      </c>
      <c r="AD792" s="66">
        <f t="array" ref="AD792">IFS(B792&lt;66, XLOOKUP(year(A792),Lookup!$K$13:$K1000,Lookup!$M$13:$M1000,"missing",,1),B792&gt;65, XLOOKUP(questions!$C$5,Lookup!$K$13:$K1000,Lookup!$M$13:$M1000,"missing",,1))</f>
        <v>787350.7266</v>
      </c>
      <c r="AE792" s="66">
        <f t="array" ref="AE792">IFS(B792&lt;66, XLOOKUP(year(A792),Lookup!$K$13:$K1000,Lookup!$N$13:$N1000,"missing",,1),B792&gt;65,XLOOKUP(questions!$C$5,Lookup!$K$13:$K1000,Lookup!$N$13:$N1000,"missing",,1))</f>
        <v>1574701.453</v>
      </c>
      <c r="AF792" s="37"/>
      <c r="AG792" s="37"/>
      <c r="AH792" s="37"/>
      <c r="AI792" s="37"/>
      <c r="AJ792" s="37"/>
      <c r="AK792" s="37"/>
      <c r="AL792" s="37"/>
      <c r="AM792" s="37"/>
      <c r="AN792" s="37"/>
      <c r="AO792" s="37"/>
      <c r="AP792" s="37"/>
      <c r="AQ792" s="37"/>
    </row>
    <row r="793">
      <c r="A793" s="55">
        <f t="shared" si="7"/>
        <v>70159</v>
      </c>
      <c r="B793" s="56">
        <f>round(YEARFRAC(EOMONTH(questions!$C$3, 0),A793,1),2)</f>
        <v>93.17</v>
      </c>
      <c r="C793" s="58">
        <f>IF(B793&lt;questions!$C$6,if(MONTH(A793)=1,C792*(1+questions!$C$12),C792),0)</f>
        <v>0</v>
      </c>
      <c r="D793" s="58">
        <f>IF(MONTH(A793)=12,C793*questions!$C$11,0)</f>
        <v>0</v>
      </c>
      <c r="E793" s="71">
        <f t="shared" si="2"/>
        <v>0</v>
      </c>
      <c r="F793" s="71">
        <f t="shared" si="3"/>
        <v>0</v>
      </c>
      <c r="G793" s="61">
        <f t="array" ref="G793">if(YEAR(A793)=2025,XLOOKUP(B793,Lookup!$A$3:$A$7,Lookup!$D$3:$D$7,,1)*SUM(E793:F793), XLOOKUP(B793,Lookup!$A$14:$A$18,Lookup!$D$14:$D$18,,1)*SUM(E793:F793))</f>
        <v>0</v>
      </c>
      <c r="H793" s="61">
        <f t="array" ref="H793">if(YEAR(A793)=2025,XLOOKUP(B793,Lookup!$F$3:$F$10,Lookup!$G$3:$G$10,,1)*G793, XLOOKUP(B793,Lookup!$F$14:$F$21,Lookup!$G$14:$G$21,,1)*G793)</f>
        <v>0</v>
      </c>
      <c r="I793" s="61">
        <f t="array" ref="I793">if(B793&lt;55, if(YEAR(A793)=2025,XLOOKUP(B793,Lookup!$F$3:$F$10,Lookup!$H$3:$H$10,,1)*G793, XLOOKUP(B793,Lookup!$F$14:$F$21,Lookup!$H$14:$H$21,,1)*G793),0)</f>
        <v>0</v>
      </c>
      <c r="J793" s="61">
        <f t="array" ref="J793">if(YEAR(A793)=2025,XLOOKUP(B793,Lookup!$F$3:$F$10,Lookup!$I$3:$I$10,,1)*G793, XLOOKUP(B793,Lookup!$F$14:$F$21,Lookup!$I$14:$I$21,,1)*G793)</f>
        <v>0</v>
      </c>
      <c r="K793" s="61">
        <f t="array" ref="K793">if(B793&gt;54, if(YEAR(A793)=2025,XLOOKUP(B793,Lookup!$F$3:$F$10,Lookup!$H$3:$H$10,,1)*G793, XLOOKUP(B793,Lookup!$F$14:$F$21,Lookup!$H$14:$H$21,,1)*G793),0)</f>
        <v>0</v>
      </c>
      <c r="L793" s="62">
        <f>IF(and(A793&lt;questions!$C$19,questions!$C$18="yes"),questions!$C$20,0)</f>
        <v>0</v>
      </c>
      <c r="M793" s="63">
        <f>(Y792+H793)*Lookup!A$26/12</f>
        <v>4108.387202</v>
      </c>
      <c r="N793" s="63">
        <f>if(B793&lt;55, (Z792+I793)*Lookup!B$26/12, (AB792+K793)*Lookup!B$26/12)</f>
        <v>9485.516929</v>
      </c>
      <c r="O793" s="63">
        <f>(AA792+J793)*Lookup!C$26/12</f>
        <v>940.3700287</v>
      </c>
      <c r="P793" s="63">
        <f t="shared" si="8"/>
        <v>4108.387202</v>
      </c>
      <c r="Q793" s="63">
        <f t="shared" si="4"/>
        <v>9485.516929</v>
      </c>
      <c r="R793" s="63">
        <f t="shared" si="5"/>
        <v>940.3700287</v>
      </c>
      <c r="S793" s="64">
        <f t="shared" si="9"/>
        <v>33.33333333</v>
      </c>
      <c r="T793" s="64">
        <f t="shared" si="10"/>
        <v>41.66666667</v>
      </c>
      <c r="U793" s="64">
        <f t="shared" si="11"/>
        <v>0</v>
      </c>
      <c r="V793" s="64">
        <f t="shared" ref="V793:X793" si="801">IF(year($A793)=year($A792), V792+S793, S793)</f>
        <v>33.33333333</v>
      </c>
      <c r="W793" s="64">
        <f t="shared" si="801"/>
        <v>41.66666667</v>
      </c>
      <c r="X793" s="64">
        <f t="shared" si="801"/>
        <v>0</v>
      </c>
      <c r="Y793" s="65">
        <f>IFS(
  B793&lt;55,
    MAX(
      Y792 + IF(MONTH(A793)=12, P793+V793, 0) + H793 - L793
      + MAX(0,
          IF(AA792 &gt;= VLOOKUP(YEAR(A793), Lookup!$Q:$R, 2),
            Z792 + IF(MONTH(A793)=12, Q793+W793, 0) + I793
              + AA792 + IF(MONTH(A793)=12, R793+X793, 0)
              - VLOOKUP(YEAR(A793), Lookup!$Q:$R, 2) + J793,
            Z792 + IF(MONTH(A793)=12, Q793+W793, 0) + I793
          ) - VLOOKUP(YEAR(A793), Lookup!$K:$M, 3)
        ),
    0),
  B793=55,
    IF(Z792&gt;=AD793,
      MAX(Y792 + IF(MONTH(A793)=12, P793+V793, 0) + H793 - L793, 0),
      MAX(MAX(0, Y792-(AD793-Z792)) + IF(MONTH(A793)=12, P793+V793, 0) + H793 - L793, 0)
    ),
  B793&gt;55,
    IF(AB792&gt;=$AH$7,
      MAX(Y792 + IF(MONTH(A793)=12, P793+V793, 0) + H793 - L793 + K793 + Z792, 0),
      MAX(Y792 + IF(MONTH(A793)=12, P793+V793, 0) + H793 - L793, 0)
    )
)</f>
        <v>1972025.857</v>
      </c>
      <c r="Z793" s="65">
        <f>IFS(
  B793&lt;55,
    MIN(
      IF(AA792 &gt;= VLOOKUP(YEAR(A793), Lookup!$Q:$R, 2),
        Z792 + IF(MONTH(A793)=12, Q793+W793, 0) + I793
          + AA792 + IF(MONTH(A793)=12, R793+X793, 0) - VLOOKUP(YEAR(A793), Lookup!$Q:$R, 2) + J793,
        Z792 + IF(MONTH(A793)=12, Q793+W793, 0) + I793
      ),
      VLOOKUP(YEAR(A793), Lookup!$K:$M, 3)
    ),
  B793=55,
    IF(Z792 &gt;= AD793, Z792 - AD793, 0),
  B793&gt;55, 0
)</f>
        <v>0</v>
      </c>
      <c r="AA793" s="65">
        <f>IFS(
  B793&lt;65,
    IF(AA792+J793 &lt; VLOOKUP(YEAR(A793), Lookup!$Q:$R, 2),
      AA792 + IF(MONTH(A793)=12, R792+X792, 0) + J793,
      MIN(
        AA792 + IF(MONTH(A793)=12, R792+X792, 0) + J793 ,
        VLOOKUP(YEAR(A793), Lookup!$Q:$R, 2)
      )
    ),
  B793&gt;=65,
    IF(AA792+J793 &lt; VLOOKUP(questions!$C$5, Lookup!$Q:$R, 2),
      AA792 + IF(MONTH(A793)=12, R792+X792, 0) + J793 ,
      MIN(
        AA792 + IF(MONTH(A793)=12, R792+X792, 0) + J793,
        VLOOKUP(questions!$C$5, Lookup!$Q:$R, 2)
      )
    )
)</f>
        <v>282111.0086</v>
      </c>
      <c r="AB793" s="65">
        <f t="shared" si="13"/>
        <v>2845655.079</v>
      </c>
      <c r="AC793" s="66">
        <f t="array" ref="AC793">IFS(B793&lt;66, XLOOKUP(year(A793),Lookup!$K$13:$K1000,Lookup!$L$13:$L1000,"missing",,1),B793&gt;65,XLOOKUP(questions!$C$5,Lookup!$K$13:$K1000,Lookup!$L$13:$L1000,"missing",,1))</f>
        <v>393675.3633</v>
      </c>
      <c r="AD793" s="66">
        <f t="array" ref="AD793">IFS(B793&lt;66, XLOOKUP(year(A793),Lookup!$K$13:$K1000,Lookup!$M$13:$M1000,"missing",,1),B793&gt;65, XLOOKUP(questions!$C$5,Lookup!$K$13:$K1000,Lookup!$M$13:$M1000,"missing",,1))</f>
        <v>787350.7266</v>
      </c>
      <c r="AE793" s="66">
        <f t="array" ref="AE793">IFS(B793&lt;66, XLOOKUP(year(A793),Lookup!$K$13:$K1000,Lookup!$N$13:$N1000,"missing",,1),B793&gt;65,XLOOKUP(questions!$C$5,Lookup!$K$13:$K1000,Lookup!$N$13:$N1000,"missing",,1))</f>
        <v>1574701.453</v>
      </c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7"/>
      <c r="AQ793" s="37"/>
    </row>
    <row r="794">
      <c r="A794" s="55">
        <f t="shared" si="7"/>
        <v>70188</v>
      </c>
      <c r="B794" s="56">
        <f>round(YEARFRAC(EOMONTH(questions!$C$3, 0),A794,1),2)</f>
        <v>93.25</v>
      </c>
      <c r="C794" s="58">
        <f>IF(B794&lt;questions!$C$6,if(MONTH(A794)=1,C793*(1+questions!$C$12),C793),0)</f>
        <v>0</v>
      </c>
      <c r="D794" s="58">
        <f>IF(MONTH(A794)=12,C794*questions!$C$11,0)</f>
        <v>0</v>
      </c>
      <c r="E794" s="71">
        <f t="shared" si="2"/>
        <v>0</v>
      </c>
      <c r="F794" s="71">
        <f t="shared" si="3"/>
        <v>0</v>
      </c>
      <c r="G794" s="61">
        <f t="array" ref="G794">if(YEAR(A794)=2025,XLOOKUP(B794,Lookup!$A$3:$A$7,Lookup!$D$3:$D$7,,1)*SUM(E794:F794), XLOOKUP(B794,Lookup!$A$14:$A$18,Lookup!$D$14:$D$18,,1)*SUM(E794:F794))</f>
        <v>0</v>
      </c>
      <c r="H794" s="61">
        <f t="array" ref="H794">if(YEAR(A794)=2025,XLOOKUP(B794,Lookup!$F$3:$F$10,Lookup!$G$3:$G$10,,1)*G794, XLOOKUP(B794,Lookup!$F$14:$F$21,Lookup!$G$14:$G$21,,1)*G794)</f>
        <v>0</v>
      </c>
      <c r="I794" s="61">
        <f t="array" ref="I794">if(B794&lt;55, if(YEAR(A794)=2025,XLOOKUP(B794,Lookup!$F$3:$F$10,Lookup!$H$3:$H$10,,1)*G794, XLOOKUP(B794,Lookup!$F$14:$F$21,Lookup!$H$14:$H$21,,1)*G794),0)</f>
        <v>0</v>
      </c>
      <c r="J794" s="61">
        <f t="array" ref="J794">if(YEAR(A794)=2025,XLOOKUP(B794,Lookup!$F$3:$F$10,Lookup!$I$3:$I$10,,1)*G794, XLOOKUP(B794,Lookup!$F$14:$F$21,Lookup!$I$14:$I$21,,1)*G794)</f>
        <v>0</v>
      </c>
      <c r="K794" s="61">
        <f t="array" ref="K794">if(B794&gt;54, if(YEAR(A794)=2025,XLOOKUP(B794,Lookup!$F$3:$F$10,Lookup!$H$3:$H$10,,1)*G794, XLOOKUP(B794,Lookup!$F$14:$F$21,Lookup!$H$14:$H$21,,1)*G794),0)</f>
        <v>0</v>
      </c>
      <c r="L794" s="62">
        <f>IF(and(A794&lt;questions!$C$19,questions!$C$18="yes"),questions!$C$20,0)</f>
        <v>0</v>
      </c>
      <c r="M794" s="63">
        <f>(Y793+H794)*Lookup!A$26/12</f>
        <v>4108.387202</v>
      </c>
      <c r="N794" s="63">
        <f>if(B794&lt;55, (Z793+I794)*Lookup!B$26/12, (AB793+K794)*Lookup!B$26/12)</f>
        <v>9485.516929</v>
      </c>
      <c r="O794" s="63">
        <f>(AA793+J794)*Lookup!C$26/12</f>
        <v>940.3700287</v>
      </c>
      <c r="P794" s="63">
        <f t="shared" si="8"/>
        <v>8216.774404</v>
      </c>
      <c r="Q794" s="63">
        <f t="shared" si="4"/>
        <v>18971.03386</v>
      </c>
      <c r="R794" s="63">
        <f t="shared" si="5"/>
        <v>1880.740057</v>
      </c>
      <c r="S794" s="64">
        <f t="shared" si="9"/>
        <v>33.33333333</v>
      </c>
      <c r="T794" s="64">
        <f t="shared" si="10"/>
        <v>41.66666667</v>
      </c>
      <c r="U794" s="64">
        <f t="shared" si="11"/>
        <v>0</v>
      </c>
      <c r="V794" s="64">
        <f t="shared" ref="V794:X794" si="802">IF(year($A794)=year($A793), V793+S794, S794)</f>
        <v>66.66666667</v>
      </c>
      <c r="W794" s="64">
        <f t="shared" si="802"/>
        <v>83.33333333</v>
      </c>
      <c r="X794" s="64">
        <f t="shared" si="802"/>
        <v>0</v>
      </c>
      <c r="Y794" s="65">
        <f>IFS(
  B794&lt;55,
    MAX(
      Y793 + IF(MONTH(A794)=12, P794+V794, 0) + H794 - L794
      + MAX(0,
          IF(AA793 &gt;= VLOOKUP(YEAR(A794), Lookup!$Q:$R, 2),
            Z793 + IF(MONTH(A794)=12, Q794+W794, 0) + I794
              + AA793 + IF(MONTH(A794)=12, R794+X794, 0)
              - VLOOKUP(YEAR(A794), Lookup!$Q:$R, 2) + J794,
            Z793 + IF(MONTH(A794)=12, Q794+W794, 0) + I794
          ) - VLOOKUP(YEAR(A794), Lookup!$K:$M, 3)
        ),
    0),
  B794=55,
    IF(Z793&gt;=AD794,
      MAX(Y793 + IF(MONTH(A794)=12, P794+V794, 0) + H794 - L794, 0),
      MAX(MAX(0, Y793-(AD794-Z793)) + IF(MONTH(A794)=12, P794+V794, 0) + H794 - L794, 0)
    ),
  B794&gt;55,
    IF(AB793&gt;=$AH$7,
      MAX(Y793 + IF(MONTH(A794)=12, P794+V794, 0) + H794 - L794 + K794 + Z793, 0),
      MAX(Y793 + IF(MONTH(A794)=12, P794+V794, 0) + H794 - L794, 0)
    )
)</f>
        <v>1972025.857</v>
      </c>
      <c r="Z794" s="65">
        <f>IFS(
  B794&lt;55,
    MIN(
      IF(AA793 &gt;= VLOOKUP(YEAR(A794), Lookup!$Q:$R, 2),
        Z793 + IF(MONTH(A794)=12, Q794+W794, 0) + I794
          + AA793 + IF(MONTH(A794)=12, R794+X794, 0) - VLOOKUP(YEAR(A794), Lookup!$Q:$R, 2) + J794,
        Z793 + IF(MONTH(A794)=12, Q794+W794, 0) + I794
      ),
      VLOOKUP(YEAR(A794), Lookup!$K:$M, 3)
    ),
  B794=55,
    IF(Z793 &gt;= AD794, Z793 - AD794, 0),
  B794&gt;55, 0
)</f>
        <v>0</v>
      </c>
      <c r="AA794" s="65">
        <f>IFS(
  B794&lt;65,
    IF(AA793+J794 &lt; VLOOKUP(YEAR(A794), Lookup!$Q:$R, 2),
      AA793 + IF(MONTH(A794)=12, R793+X793, 0) + J794,
      MIN(
        AA793 + IF(MONTH(A794)=12, R793+X793, 0) + J794 ,
        VLOOKUP(YEAR(A794), Lookup!$Q:$R, 2)
      )
    ),
  B794&gt;=65,
    IF(AA793+J794 &lt; VLOOKUP(questions!$C$5, Lookup!$Q:$R, 2),
      AA793 + IF(MONTH(A794)=12, R793+X793, 0) + J794 ,
      MIN(
        AA793 + IF(MONTH(A794)=12, R793+X793, 0) + J794,
        VLOOKUP(questions!$C$5, Lookup!$Q:$R, 2)
      )
    )
)</f>
        <v>282111.0086</v>
      </c>
      <c r="AB794" s="65">
        <f t="shared" si="13"/>
        <v>2845655.079</v>
      </c>
      <c r="AC794" s="66">
        <f t="array" ref="AC794">IFS(B794&lt;66, XLOOKUP(year(A794),Lookup!$K$13:$K1000,Lookup!$L$13:$L1000,"missing",,1),B794&gt;65,XLOOKUP(questions!$C$5,Lookup!$K$13:$K1000,Lookup!$L$13:$L1000,"missing",,1))</f>
        <v>393675.3633</v>
      </c>
      <c r="AD794" s="66">
        <f t="array" ref="AD794">IFS(B794&lt;66, XLOOKUP(year(A794),Lookup!$K$13:$K1000,Lookup!$M$13:$M1000,"missing",,1),B794&gt;65, XLOOKUP(questions!$C$5,Lookup!$K$13:$K1000,Lookup!$M$13:$M1000,"missing",,1))</f>
        <v>787350.7266</v>
      </c>
      <c r="AE794" s="66">
        <f t="array" ref="AE794">IFS(B794&lt;66, XLOOKUP(year(A794),Lookup!$K$13:$K1000,Lookup!$N$13:$N1000,"missing",,1),B794&gt;65,XLOOKUP(questions!$C$5,Lookup!$K$13:$K1000,Lookup!$N$13:$N1000,"missing",,1))</f>
        <v>1574701.453</v>
      </c>
      <c r="AF794" s="37"/>
      <c r="AG794" s="37"/>
      <c r="AH794" s="37"/>
      <c r="AI794" s="37"/>
      <c r="AJ794" s="37"/>
      <c r="AK794" s="37"/>
      <c r="AL794" s="37"/>
      <c r="AM794" s="37"/>
      <c r="AN794" s="37"/>
      <c r="AO794" s="37"/>
      <c r="AP794" s="37"/>
      <c r="AQ794" s="37"/>
    </row>
    <row r="795">
      <c r="A795" s="55">
        <f t="shared" si="7"/>
        <v>70219</v>
      </c>
      <c r="B795" s="56">
        <f>round(YEARFRAC(EOMONTH(questions!$C$3, 0),A795,1),2)</f>
        <v>93.33</v>
      </c>
      <c r="C795" s="58">
        <f>IF(B795&lt;questions!$C$6,if(MONTH(A795)=1,C794*(1+questions!$C$12),C794),0)</f>
        <v>0</v>
      </c>
      <c r="D795" s="58">
        <f>IF(MONTH(A795)=12,C795*questions!$C$11,0)</f>
        <v>0</v>
      </c>
      <c r="E795" s="71">
        <f t="shared" si="2"/>
        <v>0</v>
      </c>
      <c r="F795" s="71">
        <f t="shared" si="3"/>
        <v>0</v>
      </c>
      <c r="G795" s="61">
        <f t="array" ref="G795">if(YEAR(A795)=2025,XLOOKUP(B795,Lookup!$A$3:$A$7,Lookup!$D$3:$D$7,,1)*SUM(E795:F795), XLOOKUP(B795,Lookup!$A$14:$A$18,Lookup!$D$14:$D$18,,1)*SUM(E795:F795))</f>
        <v>0</v>
      </c>
      <c r="H795" s="61">
        <f t="array" ref="H795">if(YEAR(A795)=2025,XLOOKUP(B795,Lookup!$F$3:$F$10,Lookup!$G$3:$G$10,,1)*G795, XLOOKUP(B795,Lookup!$F$14:$F$21,Lookup!$G$14:$G$21,,1)*G795)</f>
        <v>0</v>
      </c>
      <c r="I795" s="61">
        <f t="array" ref="I795">if(B795&lt;55, if(YEAR(A795)=2025,XLOOKUP(B795,Lookup!$F$3:$F$10,Lookup!$H$3:$H$10,,1)*G795, XLOOKUP(B795,Lookup!$F$14:$F$21,Lookup!$H$14:$H$21,,1)*G795),0)</f>
        <v>0</v>
      </c>
      <c r="J795" s="61">
        <f t="array" ref="J795">if(YEAR(A795)=2025,XLOOKUP(B795,Lookup!$F$3:$F$10,Lookup!$I$3:$I$10,,1)*G795, XLOOKUP(B795,Lookup!$F$14:$F$21,Lookup!$I$14:$I$21,,1)*G795)</f>
        <v>0</v>
      </c>
      <c r="K795" s="61">
        <f t="array" ref="K795">if(B795&gt;54, if(YEAR(A795)=2025,XLOOKUP(B795,Lookup!$F$3:$F$10,Lookup!$H$3:$H$10,,1)*G795, XLOOKUP(B795,Lookup!$F$14:$F$21,Lookup!$H$14:$H$21,,1)*G795),0)</f>
        <v>0</v>
      </c>
      <c r="L795" s="62">
        <f>IF(and(A795&lt;questions!$C$19,questions!$C$18="yes"),questions!$C$20,0)</f>
        <v>0</v>
      </c>
      <c r="M795" s="63">
        <f>(Y794+H795)*Lookup!A$26/12</f>
        <v>4108.387202</v>
      </c>
      <c r="N795" s="63">
        <f>if(B795&lt;55, (Z794+I795)*Lookup!B$26/12, (AB794+K795)*Lookup!B$26/12)</f>
        <v>9485.516929</v>
      </c>
      <c r="O795" s="63">
        <f>(AA794+J795)*Lookup!C$26/12</f>
        <v>940.3700287</v>
      </c>
      <c r="P795" s="63">
        <f t="shared" si="8"/>
        <v>12325.16161</v>
      </c>
      <c r="Q795" s="63">
        <f t="shared" si="4"/>
        <v>28456.55079</v>
      </c>
      <c r="R795" s="63">
        <f t="shared" si="5"/>
        <v>2821.110086</v>
      </c>
      <c r="S795" s="64">
        <f t="shared" si="9"/>
        <v>33.33333333</v>
      </c>
      <c r="T795" s="64">
        <f t="shared" si="10"/>
        <v>41.66666667</v>
      </c>
      <c r="U795" s="64">
        <f t="shared" si="11"/>
        <v>0</v>
      </c>
      <c r="V795" s="64">
        <f t="shared" ref="V795:X795" si="803">IF(year($A795)=year($A794), V794+S795, S795)</f>
        <v>100</v>
      </c>
      <c r="W795" s="64">
        <f t="shared" si="803"/>
        <v>125</v>
      </c>
      <c r="X795" s="64">
        <f t="shared" si="803"/>
        <v>0</v>
      </c>
      <c r="Y795" s="65">
        <f>IFS(
  B795&lt;55,
    MAX(
      Y794 + IF(MONTH(A795)=12, P795+V795, 0) + H795 - L795
      + MAX(0,
          IF(AA794 &gt;= VLOOKUP(YEAR(A795), Lookup!$Q:$R, 2),
            Z794 + IF(MONTH(A795)=12, Q795+W795, 0) + I795
              + AA794 + IF(MONTH(A795)=12, R795+X795, 0)
              - VLOOKUP(YEAR(A795), Lookup!$Q:$R, 2) + J795,
            Z794 + IF(MONTH(A795)=12, Q795+W795, 0) + I795
          ) - VLOOKUP(YEAR(A795), Lookup!$K:$M, 3)
        ),
    0),
  B795=55,
    IF(Z794&gt;=AD795,
      MAX(Y794 + IF(MONTH(A795)=12, P795+V795, 0) + H795 - L795, 0),
      MAX(MAX(0, Y794-(AD795-Z794)) + IF(MONTH(A795)=12, P795+V795, 0) + H795 - L795, 0)
    ),
  B795&gt;55,
    IF(AB794&gt;=$AH$7,
      MAX(Y794 + IF(MONTH(A795)=12, P795+V795, 0) + H795 - L795 + K795 + Z794, 0),
      MAX(Y794 + IF(MONTH(A795)=12, P795+V795, 0) + H795 - L795, 0)
    )
)</f>
        <v>1972025.857</v>
      </c>
      <c r="Z795" s="65">
        <f>IFS(
  B795&lt;55,
    MIN(
      IF(AA794 &gt;= VLOOKUP(YEAR(A795), Lookup!$Q:$R, 2),
        Z794 + IF(MONTH(A795)=12, Q795+W795, 0) + I795
          + AA794 + IF(MONTH(A795)=12, R795+X795, 0) - VLOOKUP(YEAR(A795), Lookup!$Q:$R, 2) + J795,
        Z794 + IF(MONTH(A795)=12, Q795+W795, 0) + I795
      ),
      VLOOKUP(YEAR(A795), Lookup!$K:$M, 3)
    ),
  B795=55,
    IF(Z794 &gt;= AD795, Z794 - AD795, 0),
  B795&gt;55, 0
)</f>
        <v>0</v>
      </c>
      <c r="AA795" s="65">
        <f>IFS(
  B795&lt;65,
    IF(AA794+J795 &lt; VLOOKUP(YEAR(A795), Lookup!$Q:$R, 2),
      AA794 + IF(MONTH(A795)=12, R794+X794, 0) + J795,
      MIN(
        AA794 + IF(MONTH(A795)=12, R794+X794, 0) + J795 ,
        VLOOKUP(YEAR(A795), Lookup!$Q:$R, 2)
      )
    ),
  B795&gt;=65,
    IF(AA794+J795 &lt; VLOOKUP(questions!$C$5, Lookup!$Q:$R, 2),
      AA794 + IF(MONTH(A795)=12, R794+X794, 0) + J795 ,
      MIN(
        AA794 + IF(MONTH(A795)=12, R794+X794, 0) + J795,
        VLOOKUP(questions!$C$5, Lookup!$Q:$R, 2)
      )
    )
)</f>
        <v>282111.0086</v>
      </c>
      <c r="AB795" s="65">
        <f t="shared" si="13"/>
        <v>2845655.079</v>
      </c>
      <c r="AC795" s="66">
        <f t="array" ref="AC795">IFS(B795&lt;66, XLOOKUP(year(A795),Lookup!$K$13:$K1000,Lookup!$L$13:$L1000,"missing",,1),B795&gt;65,XLOOKUP(questions!$C$5,Lookup!$K$13:$K1000,Lookup!$L$13:$L1000,"missing",,1))</f>
        <v>393675.3633</v>
      </c>
      <c r="AD795" s="66">
        <f t="array" ref="AD795">IFS(B795&lt;66, XLOOKUP(year(A795),Lookup!$K$13:$K1000,Lookup!$M$13:$M1000,"missing",,1),B795&gt;65, XLOOKUP(questions!$C$5,Lookup!$K$13:$K1000,Lookup!$M$13:$M1000,"missing",,1))</f>
        <v>787350.7266</v>
      </c>
      <c r="AE795" s="66">
        <f t="array" ref="AE795">IFS(B795&lt;66, XLOOKUP(year(A795),Lookup!$K$13:$K1000,Lookup!$N$13:$N1000,"missing",,1),B795&gt;65,XLOOKUP(questions!$C$5,Lookup!$K$13:$K1000,Lookup!$N$13:$N1000,"missing",,1))</f>
        <v>1574701.453</v>
      </c>
      <c r="AF795" s="37"/>
      <c r="AG795" s="37"/>
      <c r="AH795" s="37"/>
      <c r="AI795" s="37"/>
      <c r="AJ795" s="37"/>
      <c r="AK795" s="37"/>
      <c r="AL795" s="37"/>
      <c r="AM795" s="37"/>
      <c r="AN795" s="37"/>
      <c r="AO795" s="37"/>
      <c r="AP795" s="37"/>
      <c r="AQ795" s="37"/>
    </row>
    <row r="796">
      <c r="A796" s="55">
        <f t="shared" si="7"/>
        <v>70249</v>
      </c>
      <c r="B796" s="56">
        <f>round(YEARFRAC(EOMONTH(questions!$C$3, 0),A796,1),2)</f>
        <v>93.42</v>
      </c>
      <c r="C796" s="58">
        <f>IF(B796&lt;questions!$C$6,if(MONTH(A796)=1,C795*(1+questions!$C$12),C795),0)</f>
        <v>0</v>
      </c>
      <c r="D796" s="58">
        <f>IF(MONTH(A796)=12,C796*questions!$C$11,0)</f>
        <v>0</v>
      </c>
      <c r="E796" s="71">
        <f t="shared" si="2"/>
        <v>0</v>
      </c>
      <c r="F796" s="71">
        <f t="shared" si="3"/>
        <v>0</v>
      </c>
      <c r="G796" s="61">
        <f t="array" ref="G796">if(YEAR(A796)=2025,XLOOKUP(B796,Lookup!$A$3:$A$7,Lookup!$D$3:$D$7,,1)*SUM(E796:F796), XLOOKUP(B796,Lookup!$A$14:$A$18,Lookup!$D$14:$D$18,,1)*SUM(E796:F796))</f>
        <v>0</v>
      </c>
      <c r="H796" s="61">
        <f t="array" ref="H796">if(YEAR(A796)=2025,XLOOKUP(B796,Lookup!$F$3:$F$10,Lookup!$G$3:$G$10,,1)*G796, XLOOKUP(B796,Lookup!$F$14:$F$21,Lookup!$G$14:$G$21,,1)*G796)</f>
        <v>0</v>
      </c>
      <c r="I796" s="61">
        <f t="array" ref="I796">if(B796&lt;55, if(YEAR(A796)=2025,XLOOKUP(B796,Lookup!$F$3:$F$10,Lookup!$H$3:$H$10,,1)*G796, XLOOKUP(B796,Lookup!$F$14:$F$21,Lookup!$H$14:$H$21,,1)*G796),0)</f>
        <v>0</v>
      </c>
      <c r="J796" s="61">
        <f t="array" ref="J796">if(YEAR(A796)=2025,XLOOKUP(B796,Lookup!$F$3:$F$10,Lookup!$I$3:$I$10,,1)*G796, XLOOKUP(B796,Lookup!$F$14:$F$21,Lookup!$I$14:$I$21,,1)*G796)</f>
        <v>0</v>
      </c>
      <c r="K796" s="61">
        <f t="array" ref="K796">if(B796&gt;54, if(YEAR(A796)=2025,XLOOKUP(B796,Lookup!$F$3:$F$10,Lookup!$H$3:$H$10,,1)*G796, XLOOKUP(B796,Lookup!$F$14:$F$21,Lookup!$H$14:$H$21,,1)*G796),0)</f>
        <v>0</v>
      </c>
      <c r="L796" s="62">
        <f>IF(and(A796&lt;questions!$C$19,questions!$C$18="yes"),questions!$C$20,0)</f>
        <v>0</v>
      </c>
      <c r="M796" s="63">
        <f>(Y795+H796)*Lookup!A$26/12</f>
        <v>4108.387202</v>
      </c>
      <c r="N796" s="63">
        <f>if(B796&lt;55, (Z795+I796)*Lookup!B$26/12, (AB795+K796)*Lookup!B$26/12)</f>
        <v>9485.516929</v>
      </c>
      <c r="O796" s="63">
        <f>(AA795+J796)*Lookup!C$26/12</f>
        <v>940.3700287</v>
      </c>
      <c r="P796" s="63">
        <f t="shared" si="8"/>
        <v>16433.54881</v>
      </c>
      <c r="Q796" s="63">
        <f t="shared" si="4"/>
        <v>37942.06772</v>
      </c>
      <c r="R796" s="63">
        <f t="shared" si="5"/>
        <v>3761.480115</v>
      </c>
      <c r="S796" s="64">
        <f t="shared" si="9"/>
        <v>33.33333333</v>
      </c>
      <c r="T796" s="64">
        <f t="shared" si="10"/>
        <v>41.66666667</v>
      </c>
      <c r="U796" s="64">
        <f t="shared" si="11"/>
        <v>0</v>
      </c>
      <c r="V796" s="64">
        <f t="shared" ref="V796:X796" si="804">IF(year($A796)=year($A795), V795+S796, S796)</f>
        <v>133.3333333</v>
      </c>
      <c r="W796" s="64">
        <f t="shared" si="804"/>
        <v>166.6666667</v>
      </c>
      <c r="X796" s="64">
        <f t="shared" si="804"/>
        <v>0</v>
      </c>
      <c r="Y796" s="65">
        <f>IFS(
  B796&lt;55,
    MAX(
      Y795 + IF(MONTH(A796)=12, P796+V796, 0) + H796 - L796
      + MAX(0,
          IF(AA795 &gt;= VLOOKUP(YEAR(A796), Lookup!$Q:$R, 2),
            Z795 + IF(MONTH(A796)=12, Q796+W796, 0) + I796
              + AA795 + IF(MONTH(A796)=12, R796+X796, 0)
              - VLOOKUP(YEAR(A796), Lookup!$Q:$R, 2) + J796,
            Z795 + IF(MONTH(A796)=12, Q796+W796, 0) + I796
          ) - VLOOKUP(YEAR(A796), Lookup!$K:$M, 3)
        ),
    0),
  B796=55,
    IF(Z795&gt;=AD796,
      MAX(Y795 + IF(MONTH(A796)=12, P796+V796, 0) + H796 - L796, 0),
      MAX(MAX(0, Y795-(AD796-Z795)) + IF(MONTH(A796)=12, P796+V796, 0) + H796 - L796, 0)
    ),
  B796&gt;55,
    IF(AB795&gt;=$AH$7,
      MAX(Y795 + IF(MONTH(A796)=12, P796+V796, 0) + H796 - L796 + K796 + Z795, 0),
      MAX(Y795 + IF(MONTH(A796)=12, P796+V796, 0) + H796 - L796, 0)
    )
)</f>
        <v>1972025.857</v>
      </c>
      <c r="Z796" s="65">
        <f>IFS(
  B796&lt;55,
    MIN(
      IF(AA795 &gt;= VLOOKUP(YEAR(A796), Lookup!$Q:$R, 2),
        Z795 + IF(MONTH(A796)=12, Q796+W796, 0) + I796
          + AA795 + IF(MONTH(A796)=12, R796+X796, 0) - VLOOKUP(YEAR(A796), Lookup!$Q:$R, 2) + J796,
        Z795 + IF(MONTH(A796)=12, Q796+W796, 0) + I796
      ),
      VLOOKUP(YEAR(A796), Lookup!$K:$M, 3)
    ),
  B796=55,
    IF(Z795 &gt;= AD796, Z795 - AD796, 0),
  B796&gt;55, 0
)</f>
        <v>0</v>
      </c>
      <c r="AA796" s="65">
        <f>IFS(
  B796&lt;65,
    IF(AA795+J796 &lt; VLOOKUP(YEAR(A796), Lookup!$Q:$R, 2),
      AA795 + IF(MONTH(A796)=12, R795+X795, 0) + J796,
      MIN(
        AA795 + IF(MONTH(A796)=12, R795+X795, 0) + J796 ,
        VLOOKUP(YEAR(A796), Lookup!$Q:$R, 2)
      )
    ),
  B796&gt;=65,
    IF(AA795+J796 &lt; VLOOKUP(questions!$C$5, Lookup!$Q:$R, 2),
      AA795 + IF(MONTH(A796)=12, R795+X795, 0) + J796 ,
      MIN(
        AA795 + IF(MONTH(A796)=12, R795+X795, 0) + J796,
        VLOOKUP(questions!$C$5, Lookup!$Q:$R, 2)
      )
    )
)</f>
        <v>282111.0086</v>
      </c>
      <c r="AB796" s="65">
        <f t="shared" si="13"/>
        <v>2845655.079</v>
      </c>
      <c r="AC796" s="66">
        <f t="array" ref="AC796">IFS(B796&lt;66, XLOOKUP(year(A796),Lookup!$K$13:$K1000,Lookup!$L$13:$L1000,"missing",,1),B796&gt;65,XLOOKUP(questions!$C$5,Lookup!$K$13:$K1000,Lookup!$L$13:$L1000,"missing",,1))</f>
        <v>393675.3633</v>
      </c>
      <c r="AD796" s="66">
        <f t="array" ref="AD796">IFS(B796&lt;66, XLOOKUP(year(A796),Lookup!$K$13:$K1000,Lookup!$M$13:$M1000,"missing",,1),B796&gt;65, XLOOKUP(questions!$C$5,Lookup!$K$13:$K1000,Lookup!$M$13:$M1000,"missing",,1))</f>
        <v>787350.7266</v>
      </c>
      <c r="AE796" s="66">
        <f t="array" ref="AE796">IFS(B796&lt;66, XLOOKUP(year(A796),Lookup!$K$13:$K1000,Lookup!$N$13:$N1000,"missing",,1),B796&gt;65,XLOOKUP(questions!$C$5,Lookup!$K$13:$K1000,Lookup!$N$13:$N1000,"missing",,1))</f>
        <v>1574701.453</v>
      </c>
      <c r="AF796" s="37"/>
      <c r="AG796" s="37"/>
      <c r="AH796" s="37"/>
      <c r="AI796" s="37"/>
      <c r="AJ796" s="37"/>
      <c r="AK796" s="37"/>
      <c r="AL796" s="37"/>
      <c r="AM796" s="37"/>
      <c r="AN796" s="37"/>
      <c r="AO796" s="37"/>
      <c r="AP796" s="37"/>
      <c r="AQ796" s="37"/>
    </row>
    <row r="797">
      <c r="A797" s="55">
        <f t="shared" si="7"/>
        <v>70280</v>
      </c>
      <c r="B797" s="56">
        <f>round(YEARFRAC(EOMONTH(questions!$C$3, 0),A797,1),2)</f>
        <v>93.5</v>
      </c>
      <c r="C797" s="58">
        <f>IF(B797&lt;questions!$C$6,if(MONTH(A797)=1,C796*(1+questions!$C$12),C796),0)</f>
        <v>0</v>
      </c>
      <c r="D797" s="58">
        <f>IF(MONTH(A797)=12,C797*questions!$C$11,0)</f>
        <v>0</v>
      </c>
      <c r="E797" s="71">
        <f t="shared" si="2"/>
        <v>0</v>
      </c>
      <c r="F797" s="71">
        <f t="shared" si="3"/>
        <v>0</v>
      </c>
      <c r="G797" s="61">
        <f t="array" ref="G797">if(YEAR(A797)=2025,XLOOKUP(B797,Lookup!$A$3:$A$7,Lookup!$D$3:$D$7,,1)*SUM(E797:F797), XLOOKUP(B797,Lookup!$A$14:$A$18,Lookup!$D$14:$D$18,,1)*SUM(E797:F797))</f>
        <v>0</v>
      </c>
      <c r="H797" s="61">
        <f t="array" ref="H797">if(YEAR(A797)=2025,XLOOKUP(B797,Lookup!$F$3:$F$10,Lookup!$G$3:$G$10,,1)*G797, XLOOKUP(B797,Lookup!$F$14:$F$21,Lookup!$G$14:$G$21,,1)*G797)</f>
        <v>0</v>
      </c>
      <c r="I797" s="61">
        <f t="array" ref="I797">if(B797&lt;55, if(YEAR(A797)=2025,XLOOKUP(B797,Lookup!$F$3:$F$10,Lookup!$H$3:$H$10,,1)*G797, XLOOKUP(B797,Lookup!$F$14:$F$21,Lookup!$H$14:$H$21,,1)*G797),0)</f>
        <v>0</v>
      </c>
      <c r="J797" s="61">
        <f t="array" ref="J797">if(YEAR(A797)=2025,XLOOKUP(B797,Lookup!$F$3:$F$10,Lookup!$I$3:$I$10,,1)*G797, XLOOKUP(B797,Lookup!$F$14:$F$21,Lookup!$I$14:$I$21,,1)*G797)</f>
        <v>0</v>
      </c>
      <c r="K797" s="61">
        <f t="array" ref="K797">if(B797&gt;54, if(YEAR(A797)=2025,XLOOKUP(B797,Lookup!$F$3:$F$10,Lookup!$H$3:$H$10,,1)*G797, XLOOKUP(B797,Lookup!$F$14:$F$21,Lookup!$H$14:$H$21,,1)*G797),0)</f>
        <v>0</v>
      </c>
      <c r="L797" s="62">
        <f>IF(and(A797&lt;questions!$C$19,questions!$C$18="yes"),questions!$C$20,0)</f>
        <v>0</v>
      </c>
      <c r="M797" s="63">
        <f>(Y796+H797)*Lookup!A$26/12</f>
        <v>4108.387202</v>
      </c>
      <c r="N797" s="63">
        <f>if(B797&lt;55, (Z796+I797)*Lookup!B$26/12, (AB796+K797)*Lookup!B$26/12)</f>
        <v>9485.516929</v>
      </c>
      <c r="O797" s="63">
        <f>(AA796+J797)*Lookup!C$26/12</f>
        <v>940.3700287</v>
      </c>
      <c r="P797" s="63">
        <f t="shared" si="8"/>
        <v>20541.93601</v>
      </c>
      <c r="Q797" s="63">
        <f t="shared" si="4"/>
        <v>47427.58465</v>
      </c>
      <c r="R797" s="63">
        <f t="shared" si="5"/>
        <v>4701.850143</v>
      </c>
      <c r="S797" s="64">
        <f t="shared" si="9"/>
        <v>33.33333333</v>
      </c>
      <c r="T797" s="64">
        <f t="shared" si="10"/>
        <v>41.66666667</v>
      </c>
      <c r="U797" s="64">
        <f t="shared" si="11"/>
        <v>0</v>
      </c>
      <c r="V797" s="64">
        <f t="shared" ref="V797:X797" si="805">IF(year($A797)=year($A796), V796+S797, S797)</f>
        <v>166.6666667</v>
      </c>
      <c r="W797" s="64">
        <f t="shared" si="805"/>
        <v>208.3333333</v>
      </c>
      <c r="X797" s="64">
        <f t="shared" si="805"/>
        <v>0</v>
      </c>
      <c r="Y797" s="65">
        <f>IFS(
  B797&lt;55,
    MAX(
      Y796 + IF(MONTH(A797)=12, P797+V797, 0) + H797 - L797
      + MAX(0,
          IF(AA796 &gt;= VLOOKUP(YEAR(A797), Lookup!$Q:$R, 2),
            Z796 + IF(MONTH(A797)=12, Q797+W797, 0) + I797
              + AA796 + IF(MONTH(A797)=12, R797+X797, 0)
              - VLOOKUP(YEAR(A797), Lookup!$Q:$R, 2) + J797,
            Z796 + IF(MONTH(A797)=12, Q797+W797, 0) + I797
          ) - VLOOKUP(YEAR(A797), Lookup!$K:$M, 3)
        ),
    0),
  B797=55,
    IF(Z796&gt;=AD797,
      MAX(Y796 + IF(MONTH(A797)=12, P797+V797, 0) + H797 - L797, 0),
      MAX(MAX(0, Y796-(AD797-Z796)) + IF(MONTH(A797)=12, P797+V797, 0) + H797 - L797, 0)
    ),
  B797&gt;55,
    IF(AB796&gt;=$AH$7,
      MAX(Y796 + IF(MONTH(A797)=12, P797+V797, 0) + H797 - L797 + K797 + Z796, 0),
      MAX(Y796 + IF(MONTH(A797)=12, P797+V797, 0) + H797 - L797, 0)
    )
)</f>
        <v>1972025.857</v>
      </c>
      <c r="Z797" s="65">
        <f>IFS(
  B797&lt;55,
    MIN(
      IF(AA796 &gt;= VLOOKUP(YEAR(A797), Lookup!$Q:$R, 2),
        Z796 + IF(MONTH(A797)=12, Q797+W797, 0) + I797
          + AA796 + IF(MONTH(A797)=12, R797+X797, 0) - VLOOKUP(YEAR(A797), Lookup!$Q:$R, 2) + J797,
        Z796 + IF(MONTH(A797)=12, Q797+W797, 0) + I797
      ),
      VLOOKUP(YEAR(A797), Lookup!$K:$M, 3)
    ),
  B797=55,
    IF(Z796 &gt;= AD797, Z796 - AD797, 0),
  B797&gt;55, 0
)</f>
        <v>0</v>
      </c>
      <c r="AA797" s="65">
        <f>IFS(
  B797&lt;65,
    IF(AA796+J797 &lt; VLOOKUP(YEAR(A797), Lookup!$Q:$R, 2),
      AA796 + IF(MONTH(A797)=12, R796+X796, 0) + J797,
      MIN(
        AA796 + IF(MONTH(A797)=12, R796+X796, 0) + J797 ,
        VLOOKUP(YEAR(A797), Lookup!$Q:$R, 2)
      )
    ),
  B797&gt;=65,
    IF(AA796+J797 &lt; VLOOKUP(questions!$C$5, Lookup!$Q:$R, 2),
      AA796 + IF(MONTH(A797)=12, R796+X796, 0) + J797 ,
      MIN(
        AA796 + IF(MONTH(A797)=12, R796+X796, 0) + J797,
        VLOOKUP(questions!$C$5, Lookup!$Q:$R, 2)
      )
    )
)</f>
        <v>282111.0086</v>
      </c>
      <c r="AB797" s="65">
        <f t="shared" si="13"/>
        <v>2845655.079</v>
      </c>
      <c r="AC797" s="66">
        <f t="array" ref="AC797">IFS(B797&lt;66, XLOOKUP(year(A797),Lookup!$K$13:$K1000,Lookup!$L$13:$L1000,"missing",,1),B797&gt;65,XLOOKUP(questions!$C$5,Lookup!$K$13:$K1000,Lookup!$L$13:$L1000,"missing",,1))</f>
        <v>393675.3633</v>
      </c>
      <c r="AD797" s="66">
        <f t="array" ref="AD797">IFS(B797&lt;66, XLOOKUP(year(A797),Lookup!$K$13:$K1000,Lookup!$M$13:$M1000,"missing",,1),B797&gt;65, XLOOKUP(questions!$C$5,Lookup!$K$13:$K1000,Lookup!$M$13:$M1000,"missing",,1))</f>
        <v>787350.7266</v>
      </c>
      <c r="AE797" s="66">
        <f t="array" ref="AE797">IFS(B797&lt;66, XLOOKUP(year(A797),Lookup!$K$13:$K1000,Lookup!$N$13:$N1000,"missing",,1),B797&gt;65,XLOOKUP(questions!$C$5,Lookup!$K$13:$K1000,Lookup!$N$13:$N1000,"missing",,1))</f>
        <v>1574701.453</v>
      </c>
      <c r="AF797" s="37"/>
      <c r="AG797" s="37"/>
      <c r="AH797" s="37"/>
      <c r="AI797" s="37"/>
      <c r="AJ797" s="37"/>
      <c r="AK797" s="37"/>
      <c r="AL797" s="37"/>
      <c r="AM797" s="37"/>
      <c r="AN797" s="37"/>
      <c r="AO797" s="37"/>
      <c r="AP797" s="37"/>
      <c r="AQ797" s="37"/>
    </row>
    <row r="798">
      <c r="A798" s="55">
        <f t="shared" si="7"/>
        <v>70310</v>
      </c>
      <c r="B798" s="56">
        <f>round(YEARFRAC(EOMONTH(questions!$C$3, 0),A798,1),2)</f>
        <v>93.58</v>
      </c>
      <c r="C798" s="58">
        <f>IF(B798&lt;questions!$C$6,if(MONTH(A798)=1,C797*(1+questions!$C$12),C797),0)</f>
        <v>0</v>
      </c>
      <c r="D798" s="58">
        <f>IF(MONTH(A798)=12,C798*questions!$C$11,0)</f>
        <v>0</v>
      </c>
      <c r="E798" s="71">
        <f t="shared" si="2"/>
        <v>0</v>
      </c>
      <c r="F798" s="71">
        <f t="shared" si="3"/>
        <v>0</v>
      </c>
      <c r="G798" s="61">
        <f t="array" ref="G798">if(YEAR(A798)=2025,XLOOKUP(B798,Lookup!$A$3:$A$7,Lookup!$D$3:$D$7,,1)*SUM(E798:F798), XLOOKUP(B798,Lookup!$A$14:$A$18,Lookup!$D$14:$D$18,,1)*SUM(E798:F798))</f>
        <v>0</v>
      </c>
      <c r="H798" s="61">
        <f t="array" ref="H798">if(YEAR(A798)=2025,XLOOKUP(B798,Lookup!$F$3:$F$10,Lookup!$G$3:$G$10,,1)*G798, XLOOKUP(B798,Lookup!$F$14:$F$21,Lookup!$G$14:$G$21,,1)*G798)</f>
        <v>0</v>
      </c>
      <c r="I798" s="61">
        <f t="array" ref="I798">if(B798&lt;55, if(YEAR(A798)=2025,XLOOKUP(B798,Lookup!$F$3:$F$10,Lookup!$H$3:$H$10,,1)*G798, XLOOKUP(B798,Lookup!$F$14:$F$21,Lookup!$H$14:$H$21,,1)*G798),0)</f>
        <v>0</v>
      </c>
      <c r="J798" s="61">
        <f t="array" ref="J798">if(YEAR(A798)=2025,XLOOKUP(B798,Lookup!$F$3:$F$10,Lookup!$I$3:$I$10,,1)*G798, XLOOKUP(B798,Lookup!$F$14:$F$21,Lookup!$I$14:$I$21,,1)*G798)</f>
        <v>0</v>
      </c>
      <c r="K798" s="61">
        <f t="array" ref="K798">if(B798&gt;54, if(YEAR(A798)=2025,XLOOKUP(B798,Lookup!$F$3:$F$10,Lookup!$H$3:$H$10,,1)*G798, XLOOKUP(B798,Lookup!$F$14:$F$21,Lookup!$H$14:$H$21,,1)*G798),0)</f>
        <v>0</v>
      </c>
      <c r="L798" s="62">
        <f>IF(and(A798&lt;questions!$C$19,questions!$C$18="yes"),questions!$C$20,0)</f>
        <v>0</v>
      </c>
      <c r="M798" s="63">
        <f>(Y797+H798)*Lookup!A$26/12</f>
        <v>4108.387202</v>
      </c>
      <c r="N798" s="63">
        <f>if(B798&lt;55, (Z797+I798)*Lookup!B$26/12, (AB797+K798)*Lookup!B$26/12)</f>
        <v>9485.516929</v>
      </c>
      <c r="O798" s="63">
        <f>(AA797+J798)*Lookup!C$26/12</f>
        <v>940.3700287</v>
      </c>
      <c r="P798" s="63">
        <f t="shared" si="8"/>
        <v>24650.32321</v>
      </c>
      <c r="Q798" s="63">
        <f t="shared" si="4"/>
        <v>56913.10157</v>
      </c>
      <c r="R798" s="63">
        <f t="shared" si="5"/>
        <v>5642.220172</v>
      </c>
      <c r="S798" s="64">
        <f t="shared" si="9"/>
        <v>33.33333333</v>
      </c>
      <c r="T798" s="64">
        <f t="shared" si="10"/>
        <v>41.66666667</v>
      </c>
      <c r="U798" s="64">
        <f t="shared" si="11"/>
        <v>0</v>
      </c>
      <c r="V798" s="64">
        <f t="shared" ref="V798:X798" si="806">IF(year($A798)=year($A797), V797+S798, S798)</f>
        <v>200</v>
      </c>
      <c r="W798" s="64">
        <f t="shared" si="806"/>
        <v>250</v>
      </c>
      <c r="X798" s="64">
        <f t="shared" si="806"/>
        <v>0</v>
      </c>
      <c r="Y798" s="65">
        <f>IFS(
  B798&lt;55,
    MAX(
      Y797 + IF(MONTH(A798)=12, P798+V798, 0) + H798 - L798
      + MAX(0,
          IF(AA797 &gt;= VLOOKUP(YEAR(A798), Lookup!$Q:$R, 2),
            Z797 + IF(MONTH(A798)=12, Q798+W798, 0) + I798
              + AA797 + IF(MONTH(A798)=12, R798+X798, 0)
              - VLOOKUP(YEAR(A798), Lookup!$Q:$R, 2) + J798,
            Z797 + IF(MONTH(A798)=12, Q798+W798, 0) + I798
          ) - VLOOKUP(YEAR(A798), Lookup!$K:$M, 3)
        ),
    0),
  B798=55,
    IF(Z797&gt;=AD798,
      MAX(Y797 + IF(MONTH(A798)=12, P798+V798, 0) + H798 - L798, 0),
      MAX(MAX(0, Y797-(AD798-Z797)) + IF(MONTH(A798)=12, P798+V798, 0) + H798 - L798, 0)
    ),
  B798&gt;55,
    IF(AB797&gt;=$AH$7,
      MAX(Y797 + IF(MONTH(A798)=12, P798+V798, 0) + H798 - L798 + K798 + Z797, 0),
      MAX(Y797 + IF(MONTH(A798)=12, P798+V798, 0) + H798 - L798, 0)
    )
)</f>
        <v>1972025.857</v>
      </c>
      <c r="Z798" s="65">
        <f>IFS(
  B798&lt;55,
    MIN(
      IF(AA797 &gt;= VLOOKUP(YEAR(A798), Lookup!$Q:$R, 2),
        Z797 + IF(MONTH(A798)=12, Q798+W798, 0) + I798
          + AA797 + IF(MONTH(A798)=12, R798+X798, 0) - VLOOKUP(YEAR(A798), Lookup!$Q:$R, 2) + J798,
        Z797 + IF(MONTH(A798)=12, Q798+W798, 0) + I798
      ),
      VLOOKUP(YEAR(A798), Lookup!$K:$M, 3)
    ),
  B798=55,
    IF(Z797 &gt;= AD798, Z797 - AD798, 0),
  B798&gt;55, 0
)</f>
        <v>0</v>
      </c>
      <c r="AA798" s="65">
        <f>IFS(
  B798&lt;65,
    IF(AA797+J798 &lt; VLOOKUP(YEAR(A798), Lookup!$Q:$R, 2),
      AA797 + IF(MONTH(A798)=12, R797+X797, 0) + J798,
      MIN(
        AA797 + IF(MONTH(A798)=12, R797+X797, 0) + J798 ,
        VLOOKUP(YEAR(A798), Lookup!$Q:$R, 2)
      )
    ),
  B798&gt;=65,
    IF(AA797+J798 &lt; VLOOKUP(questions!$C$5, Lookup!$Q:$R, 2),
      AA797 + IF(MONTH(A798)=12, R797+X797, 0) + J798 ,
      MIN(
        AA797 + IF(MONTH(A798)=12, R797+X797, 0) + J798,
        VLOOKUP(questions!$C$5, Lookup!$Q:$R, 2)
      )
    )
)</f>
        <v>282111.0086</v>
      </c>
      <c r="AB798" s="65">
        <f t="shared" si="13"/>
        <v>2845655.079</v>
      </c>
      <c r="AC798" s="66">
        <f t="array" ref="AC798">IFS(B798&lt;66, XLOOKUP(year(A798),Lookup!$K$13:$K1000,Lookup!$L$13:$L1000,"missing",,1),B798&gt;65,XLOOKUP(questions!$C$5,Lookup!$K$13:$K1000,Lookup!$L$13:$L1000,"missing",,1))</f>
        <v>393675.3633</v>
      </c>
      <c r="AD798" s="66">
        <f t="array" ref="AD798">IFS(B798&lt;66, XLOOKUP(year(A798),Lookup!$K$13:$K1000,Lookup!$M$13:$M1000,"missing",,1),B798&gt;65, XLOOKUP(questions!$C$5,Lookup!$K$13:$K1000,Lookup!$M$13:$M1000,"missing",,1))</f>
        <v>787350.7266</v>
      </c>
      <c r="AE798" s="66">
        <f t="array" ref="AE798">IFS(B798&lt;66, XLOOKUP(year(A798),Lookup!$K$13:$K1000,Lookup!$N$13:$N1000,"missing",,1),B798&gt;65,XLOOKUP(questions!$C$5,Lookup!$K$13:$K1000,Lookup!$N$13:$N1000,"missing",,1))</f>
        <v>1574701.453</v>
      </c>
      <c r="AF798" s="37"/>
      <c r="AG798" s="37"/>
      <c r="AH798" s="37"/>
      <c r="AI798" s="37"/>
      <c r="AJ798" s="37"/>
      <c r="AK798" s="37"/>
      <c r="AL798" s="37"/>
      <c r="AM798" s="37"/>
      <c r="AN798" s="37"/>
      <c r="AO798" s="37"/>
      <c r="AP798" s="37"/>
      <c r="AQ798" s="37"/>
    </row>
    <row r="799">
      <c r="A799" s="55">
        <f t="shared" si="7"/>
        <v>70341</v>
      </c>
      <c r="B799" s="56">
        <f>round(YEARFRAC(EOMONTH(questions!$C$3, 0),A799,1),2)</f>
        <v>93.67</v>
      </c>
      <c r="C799" s="58">
        <f>IF(B799&lt;questions!$C$6,if(MONTH(A799)=1,C798*(1+questions!$C$12),C798),0)</f>
        <v>0</v>
      </c>
      <c r="D799" s="58">
        <f>IF(MONTH(A799)=12,C799*questions!$C$11,0)</f>
        <v>0</v>
      </c>
      <c r="E799" s="71">
        <f t="shared" si="2"/>
        <v>0</v>
      </c>
      <c r="F799" s="71">
        <f t="shared" si="3"/>
        <v>0</v>
      </c>
      <c r="G799" s="61">
        <f t="array" ref="G799">if(YEAR(A799)=2025,XLOOKUP(B799,Lookup!$A$3:$A$7,Lookup!$D$3:$D$7,,1)*SUM(E799:F799), XLOOKUP(B799,Lookup!$A$14:$A$18,Lookup!$D$14:$D$18,,1)*SUM(E799:F799))</f>
        <v>0</v>
      </c>
      <c r="H799" s="61">
        <f t="array" ref="H799">if(YEAR(A799)=2025,XLOOKUP(B799,Lookup!$F$3:$F$10,Lookup!$G$3:$G$10,,1)*G799, XLOOKUP(B799,Lookup!$F$14:$F$21,Lookup!$G$14:$G$21,,1)*G799)</f>
        <v>0</v>
      </c>
      <c r="I799" s="61">
        <f t="array" ref="I799">if(B799&lt;55, if(YEAR(A799)=2025,XLOOKUP(B799,Lookup!$F$3:$F$10,Lookup!$H$3:$H$10,,1)*G799, XLOOKUP(B799,Lookup!$F$14:$F$21,Lookup!$H$14:$H$21,,1)*G799),0)</f>
        <v>0</v>
      </c>
      <c r="J799" s="61">
        <f t="array" ref="J799">if(YEAR(A799)=2025,XLOOKUP(B799,Lookup!$F$3:$F$10,Lookup!$I$3:$I$10,,1)*G799, XLOOKUP(B799,Lookup!$F$14:$F$21,Lookup!$I$14:$I$21,,1)*G799)</f>
        <v>0</v>
      </c>
      <c r="K799" s="61">
        <f t="array" ref="K799">if(B799&gt;54, if(YEAR(A799)=2025,XLOOKUP(B799,Lookup!$F$3:$F$10,Lookup!$H$3:$H$10,,1)*G799, XLOOKUP(B799,Lookup!$F$14:$F$21,Lookup!$H$14:$H$21,,1)*G799),0)</f>
        <v>0</v>
      </c>
      <c r="L799" s="62">
        <f>IF(and(A799&lt;questions!$C$19,questions!$C$18="yes"),questions!$C$20,0)</f>
        <v>0</v>
      </c>
      <c r="M799" s="63">
        <f>(Y798+H799)*Lookup!A$26/12</f>
        <v>4108.387202</v>
      </c>
      <c r="N799" s="63">
        <f>if(B799&lt;55, (Z798+I799)*Lookup!B$26/12, (AB798+K799)*Lookup!B$26/12)</f>
        <v>9485.516929</v>
      </c>
      <c r="O799" s="63">
        <f>(AA798+J799)*Lookup!C$26/12</f>
        <v>940.3700287</v>
      </c>
      <c r="P799" s="63">
        <f t="shared" si="8"/>
        <v>28758.71041</v>
      </c>
      <c r="Q799" s="63">
        <f t="shared" si="4"/>
        <v>66398.6185</v>
      </c>
      <c r="R799" s="63">
        <f t="shared" si="5"/>
        <v>6582.590201</v>
      </c>
      <c r="S799" s="64">
        <f t="shared" si="9"/>
        <v>33.33333333</v>
      </c>
      <c r="T799" s="64">
        <f t="shared" si="10"/>
        <v>41.66666667</v>
      </c>
      <c r="U799" s="64">
        <f t="shared" si="11"/>
        <v>0</v>
      </c>
      <c r="V799" s="64">
        <f t="shared" ref="V799:X799" si="807">IF(year($A799)=year($A798), V798+S799, S799)</f>
        <v>233.3333333</v>
      </c>
      <c r="W799" s="64">
        <f t="shared" si="807"/>
        <v>291.6666667</v>
      </c>
      <c r="X799" s="64">
        <f t="shared" si="807"/>
        <v>0</v>
      </c>
      <c r="Y799" s="65">
        <f>IFS(
  B799&lt;55,
    MAX(
      Y798 + IF(MONTH(A799)=12, P799+V799, 0) + H799 - L799
      + MAX(0,
          IF(AA798 &gt;= VLOOKUP(YEAR(A799), Lookup!$Q:$R, 2),
            Z798 + IF(MONTH(A799)=12, Q799+W799, 0) + I799
              + AA798 + IF(MONTH(A799)=12, R799+X799, 0)
              - VLOOKUP(YEAR(A799), Lookup!$Q:$R, 2) + J799,
            Z798 + IF(MONTH(A799)=12, Q799+W799, 0) + I799
          ) - VLOOKUP(YEAR(A799), Lookup!$K:$M, 3)
        ),
    0),
  B799=55,
    IF(Z798&gt;=AD799,
      MAX(Y798 + IF(MONTH(A799)=12, P799+V799, 0) + H799 - L799, 0),
      MAX(MAX(0, Y798-(AD799-Z798)) + IF(MONTH(A799)=12, P799+V799, 0) + H799 - L799, 0)
    ),
  B799&gt;55,
    IF(AB798&gt;=$AH$7,
      MAX(Y798 + IF(MONTH(A799)=12, P799+V799, 0) + H799 - L799 + K799 + Z798, 0),
      MAX(Y798 + IF(MONTH(A799)=12, P799+V799, 0) + H799 - L799, 0)
    )
)</f>
        <v>1972025.857</v>
      </c>
      <c r="Z799" s="65">
        <f>IFS(
  B799&lt;55,
    MIN(
      IF(AA798 &gt;= VLOOKUP(YEAR(A799), Lookup!$Q:$R, 2),
        Z798 + IF(MONTH(A799)=12, Q799+W799, 0) + I799
          + AA798 + IF(MONTH(A799)=12, R799+X799, 0) - VLOOKUP(YEAR(A799), Lookup!$Q:$R, 2) + J799,
        Z798 + IF(MONTH(A799)=12, Q799+W799, 0) + I799
      ),
      VLOOKUP(YEAR(A799), Lookup!$K:$M, 3)
    ),
  B799=55,
    IF(Z798 &gt;= AD799, Z798 - AD799, 0),
  B799&gt;55, 0
)</f>
        <v>0</v>
      </c>
      <c r="AA799" s="65">
        <f>IFS(
  B799&lt;65,
    IF(AA798+J799 &lt; VLOOKUP(YEAR(A799), Lookup!$Q:$R, 2),
      AA798 + IF(MONTH(A799)=12, R798+X798, 0) + J799,
      MIN(
        AA798 + IF(MONTH(A799)=12, R798+X798, 0) + J799 ,
        VLOOKUP(YEAR(A799), Lookup!$Q:$R, 2)
      )
    ),
  B799&gt;=65,
    IF(AA798+J799 &lt; VLOOKUP(questions!$C$5, Lookup!$Q:$R, 2),
      AA798 + IF(MONTH(A799)=12, R798+X798, 0) + J799 ,
      MIN(
        AA798 + IF(MONTH(A799)=12, R798+X798, 0) + J799,
        VLOOKUP(questions!$C$5, Lookup!$Q:$R, 2)
      )
    )
)</f>
        <v>282111.0086</v>
      </c>
      <c r="AB799" s="65">
        <f t="shared" si="13"/>
        <v>2845655.079</v>
      </c>
      <c r="AC799" s="66">
        <f t="array" ref="AC799">IFS(B799&lt;66, XLOOKUP(year(A799),Lookup!$K$13:$K1000,Lookup!$L$13:$L1000,"missing",,1),B799&gt;65,XLOOKUP(questions!$C$5,Lookup!$K$13:$K1000,Lookup!$L$13:$L1000,"missing",,1))</f>
        <v>393675.3633</v>
      </c>
      <c r="AD799" s="66">
        <f t="array" ref="AD799">IFS(B799&lt;66, XLOOKUP(year(A799),Lookup!$K$13:$K1000,Lookup!$M$13:$M1000,"missing",,1),B799&gt;65, XLOOKUP(questions!$C$5,Lookup!$K$13:$K1000,Lookup!$M$13:$M1000,"missing",,1))</f>
        <v>787350.7266</v>
      </c>
      <c r="AE799" s="66">
        <f t="array" ref="AE799">IFS(B799&lt;66, XLOOKUP(year(A799),Lookup!$K$13:$K1000,Lookup!$N$13:$N1000,"missing",,1),B799&gt;65,XLOOKUP(questions!$C$5,Lookup!$K$13:$K1000,Lookup!$N$13:$N1000,"missing",,1))</f>
        <v>1574701.453</v>
      </c>
      <c r="AF799" s="37"/>
      <c r="AG799" s="37"/>
      <c r="AH799" s="37"/>
      <c r="AI799" s="37"/>
      <c r="AJ799" s="37"/>
      <c r="AK799" s="37"/>
      <c r="AL799" s="37"/>
      <c r="AM799" s="37"/>
      <c r="AN799" s="37"/>
      <c r="AO799" s="37"/>
      <c r="AP799" s="37"/>
      <c r="AQ799" s="37"/>
    </row>
    <row r="800">
      <c r="A800" s="55">
        <f t="shared" si="7"/>
        <v>70372</v>
      </c>
      <c r="B800" s="56">
        <f>round(YEARFRAC(EOMONTH(questions!$C$3, 0),A800,1),2)</f>
        <v>93.75</v>
      </c>
      <c r="C800" s="58">
        <f>IF(B800&lt;questions!$C$6,if(MONTH(A800)=1,C799*(1+questions!$C$12),C799),0)</f>
        <v>0</v>
      </c>
      <c r="D800" s="58">
        <f>IF(MONTH(A800)=12,C800*questions!$C$11,0)</f>
        <v>0</v>
      </c>
      <c r="E800" s="71">
        <f t="shared" si="2"/>
        <v>0</v>
      </c>
      <c r="F800" s="71">
        <f t="shared" si="3"/>
        <v>0</v>
      </c>
      <c r="G800" s="61">
        <f t="array" ref="G800">if(YEAR(A800)=2025,XLOOKUP(B800,Lookup!$A$3:$A$7,Lookup!$D$3:$D$7,,1)*SUM(E800:F800), XLOOKUP(B800,Lookup!$A$14:$A$18,Lookup!$D$14:$D$18,,1)*SUM(E800:F800))</f>
        <v>0</v>
      </c>
      <c r="H800" s="61">
        <f t="array" ref="H800">if(YEAR(A800)=2025,XLOOKUP(B800,Lookup!$F$3:$F$10,Lookup!$G$3:$G$10,,1)*G800, XLOOKUP(B800,Lookup!$F$14:$F$21,Lookup!$G$14:$G$21,,1)*G800)</f>
        <v>0</v>
      </c>
      <c r="I800" s="61">
        <f t="array" ref="I800">if(B800&lt;55, if(YEAR(A800)=2025,XLOOKUP(B800,Lookup!$F$3:$F$10,Lookup!$H$3:$H$10,,1)*G800, XLOOKUP(B800,Lookup!$F$14:$F$21,Lookup!$H$14:$H$21,,1)*G800),0)</f>
        <v>0</v>
      </c>
      <c r="J800" s="61">
        <f t="array" ref="J800">if(YEAR(A800)=2025,XLOOKUP(B800,Lookup!$F$3:$F$10,Lookup!$I$3:$I$10,,1)*G800, XLOOKUP(B800,Lookup!$F$14:$F$21,Lookup!$I$14:$I$21,,1)*G800)</f>
        <v>0</v>
      </c>
      <c r="K800" s="61">
        <f t="array" ref="K800">if(B800&gt;54, if(YEAR(A800)=2025,XLOOKUP(B800,Lookup!$F$3:$F$10,Lookup!$H$3:$H$10,,1)*G800, XLOOKUP(B800,Lookup!$F$14:$F$21,Lookup!$H$14:$H$21,,1)*G800),0)</f>
        <v>0</v>
      </c>
      <c r="L800" s="62">
        <f>IF(and(A800&lt;questions!$C$19,questions!$C$18="yes"),questions!$C$20,0)</f>
        <v>0</v>
      </c>
      <c r="M800" s="63">
        <f>(Y799+H800)*Lookup!A$26/12</f>
        <v>4108.387202</v>
      </c>
      <c r="N800" s="63">
        <f>if(B800&lt;55, (Z799+I800)*Lookup!B$26/12, (AB799+K800)*Lookup!B$26/12)</f>
        <v>9485.516929</v>
      </c>
      <c r="O800" s="63">
        <f>(AA799+J800)*Lookup!C$26/12</f>
        <v>940.3700287</v>
      </c>
      <c r="P800" s="63">
        <f t="shared" si="8"/>
        <v>32867.09761</v>
      </c>
      <c r="Q800" s="63">
        <f t="shared" si="4"/>
        <v>75884.13543</v>
      </c>
      <c r="R800" s="63">
        <f t="shared" si="5"/>
        <v>7522.960229</v>
      </c>
      <c r="S800" s="64">
        <f t="shared" si="9"/>
        <v>33.33333333</v>
      </c>
      <c r="T800" s="64">
        <f t="shared" si="10"/>
        <v>41.66666667</v>
      </c>
      <c r="U800" s="64">
        <f t="shared" si="11"/>
        <v>0</v>
      </c>
      <c r="V800" s="64">
        <f t="shared" ref="V800:X800" si="808">IF(year($A800)=year($A799), V799+S800, S800)</f>
        <v>266.6666667</v>
      </c>
      <c r="W800" s="64">
        <f t="shared" si="808"/>
        <v>333.3333333</v>
      </c>
      <c r="X800" s="64">
        <f t="shared" si="808"/>
        <v>0</v>
      </c>
      <c r="Y800" s="65">
        <f>IFS(
  B800&lt;55,
    MAX(
      Y799 + IF(MONTH(A800)=12, P800+V800, 0) + H800 - L800
      + MAX(0,
          IF(AA799 &gt;= VLOOKUP(YEAR(A800), Lookup!$Q:$R, 2),
            Z799 + IF(MONTH(A800)=12, Q800+W800, 0) + I800
              + AA799 + IF(MONTH(A800)=12, R800+X800, 0)
              - VLOOKUP(YEAR(A800), Lookup!$Q:$R, 2) + J800,
            Z799 + IF(MONTH(A800)=12, Q800+W800, 0) + I800
          ) - VLOOKUP(YEAR(A800), Lookup!$K:$M, 3)
        ),
    0),
  B800=55,
    IF(Z799&gt;=AD800,
      MAX(Y799 + IF(MONTH(A800)=12, P800+V800, 0) + H800 - L800, 0),
      MAX(MAX(0, Y799-(AD800-Z799)) + IF(MONTH(A800)=12, P800+V800, 0) + H800 - L800, 0)
    ),
  B800&gt;55,
    IF(AB799&gt;=$AH$7,
      MAX(Y799 + IF(MONTH(A800)=12, P800+V800, 0) + H800 - L800 + K800 + Z799, 0),
      MAX(Y799 + IF(MONTH(A800)=12, P800+V800, 0) + H800 - L800, 0)
    )
)</f>
        <v>1972025.857</v>
      </c>
      <c r="Z800" s="65">
        <f>IFS(
  B800&lt;55,
    MIN(
      IF(AA799 &gt;= VLOOKUP(YEAR(A800), Lookup!$Q:$R, 2),
        Z799 + IF(MONTH(A800)=12, Q800+W800, 0) + I800
          + AA799 + IF(MONTH(A800)=12, R800+X800, 0) - VLOOKUP(YEAR(A800), Lookup!$Q:$R, 2) + J800,
        Z799 + IF(MONTH(A800)=12, Q800+W800, 0) + I800
      ),
      VLOOKUP(YEAR(A800), Lookup!$K:$M, 3)
    ),
  B800=55,
    IF(Z799 &gt;= AD800, Z799 - AD800, 0),
  B800&gt;55, 0
)</f>
        <v>0</v>
      </c>
      <c r="AA800" s="65">
        <f>IFS(
  B800&lt;65,
    IF(AA799+J800 &lt; VLOOKUP(YEAR(A800), Lookup!$Q:$R, 2),
      AA799 + IF(MONTH(A800)=12, R799+X799, 0) + J800,
      MIN(
        AA799 + IF(MONTH(A800)=12, R799+X799, 0) + J800 ,
        VLOOKUP(YEAR(A800), Lookup!$Q:$R, 2)
      )
    ),
  B800&gt;=65,
    IF(AA799+J800 &lt; VLOOKUP(questions!$C$5, Lookup!$Q:$R, 2),
      AA799 + IF(MONTH(A800)=12, R799+X799, 0) + J800 ,
      MIN(
        AA799 + IF(MONTH(A800)=12, R799+X799, 0) + J800,
        VLOOKUP(questions!$C$5, Lookup!$Q:$R, 2)
      )
    )
)</f>
        <v>282111.0086</v>
      </c>
      <c r="AB800" s="65">
        <f t="shared" si="13"/>
        <v>2845655.079</v>
      </c>
      <c r="AC800" s="66">
        <f t="array" ref="AC800">IFS(B800&lt;66, XLOOKUP(year(A800),Lookup!$K$13:$K1000,Lookup!$L$13:$L1000,"missing",,1),B800&gt;65,XLOOKUP(questions!$C$5,Lookup!$K$13:$K1000,Lookup!$L$13:$L1000,"missing",,1))</f>
        <v>393675.3633</v>
      </c>
      <c r="AD800" s="66">
        <f t="array" ref="AD800">IFS(B800&lt;66, XLOOKUP(year(A800),Lookup!$K$13:$K1000,Lookup!$M$13:$M1000,"missing",,1),B800&gt;65, XLOOKUP(questions!$C$5,Lookup!$K$13:$K1000,Lookup!$M$13:$M1000,"missing",,1))</f>
        <v>787350.7266</v>
      </c>
      <c r="AE800" s="66">
        <f t="array" ref="AE800">IFS(B800&lt;66, XLOOKUP(year(A800),Lookup!$K$13:$K1000,Lookup!$N$13:$N1000,"missing",,1),B800&gt;65,XLOOKUP(questions!$C$5,Lookup!$K$13:$K1000,Lookup!$N$13:$N1000,"missing",,1))</f>
        <v>1574701.453</v>
      </c>
      <c r="AF800" s="37"/>
      <c r="AG800" s="37"/>
      <c r="AH800" s="37"/>
      <c r="AI800" s="37"/>
      <c r="AJ800" s="37"/>
      <c r="AK800" s="37"/>
      <c r="AL800" s="37"/>
      <c r="AM800" s="37"/>
      <c r="AN800" s="37"/>
      <c r="AO800" s="37"/>
      <c r="AP800" s="37"/>
      <c r="AQ800" s="37"/>
    </row>
    <row r="801">
      <c r="A801" s="55">
        <f t="shared" si="7"/>
        <v>70402</v>
      </c>
      <c r="B801" s="56">
        <f>round(YEARFRAC(EOMONTH(questions!$C$3, 0),A801,1),2)</f>
        <v>93.83</v>
      </c>
      <c r="C801" s="58">
        <f>IF(B801&lt;questions!$C$6,if(MONTH(A801)=1,C800*(1+questions!$C$12),C800),0)</f>
        <v>0</v>
      </c>
      <c r="D801" s="58">
        <f>IF(MONTH(A801)=12,C801*questions!$C$11,0)</f>
        <v>0</v>
      </c>
      <c r="E801" s="71">
        <f t="shared" si="2"/>
        <v>0</v>
      </c>
      <c r="F801" s="71">
        <f t="shared" si="3"/>
        <v>0</v>
      </c>
      <c r="G801" s="61">
        <f t="array" ref="G801">if(YEAR(A801)=2025,XLOOKUP(B801,Lookup!$A$3:$A$7,Lookup!$D$3:$D$7,,1)*SUM(E801:F801), XLOOKUP(B801,Lookup!$A$14:$A$18,Lookup!$D$14:$D$18,,1)*SUM(E801:F801))</f>
        <v>0</v>
      </c>
      <c r="H801" s="61">
        <f t="array" ref="H801">if(YEAR(A801)=2025,XLOOKUP(B801,Lookup!$F$3:$F$10,Lookup!$G$3:$G$10,,1)*G801, XLOOKUP(B801,Lookup!$F$14:$F$21,Lookup!$G$14:$G$21,,1)*G801)</f>
        <v>0</v>
      </c>
      <c r="I801" s="61">
        <f t="array" ref="I801">if(B801&lt;55, if(YEAR(A801)=2025,XLOOKUP(B801,Lookup!$F$3:$F$10,Lookup!$H$3:$H$10,,1)*G801, XLOOKUP(B801,Lookup!$F$14:$F$21,Lookup!$H$14:$H$21,,1)*G801),0)</f>
        <v>0</v>
      </c>
      <c r="J801" s="61">
        <f t="array" ref="J801">if(YEAR(A801)=2025,XLOOKUP(B801,Lookup!$F$3:$F$10,Lookup!$I$3:$I$10,,1)*G801, XLOOKUP(B801,Lookup!$F$14:$F$21,Lookup!$I$14:$I$21,,1)*G801)</f>
        <v>0</v>
      </c>
      <c r="K801" s="61">
        <f t="array" ref="K801">if(B801&gt;54, if(YEAR(A801)=2025,XLOOKUP(B801,Lookup!$F$3:$F$10,Lookup!$H$3:$H$10,,1)*G801, XLOOKUP(B801,Lookup!$F$14:$F$21,Lookup!$H$14:$H$21,,1)*G801),0)</f>
        <v>0</v>
      </c>
      <c r="L801" s="62">
        <f>IF(and(A801&lt;questions!$C$19,questions!$C$18="yes"),questions!$C$20,0)</f>
        <v>0</v>
      </c>
      <c r="M801" s="63">
        <f>(Y800+H801)*Lookup!A$26/12</f>
        <v>4108.387202</v>
      </c>
      <c r="N801" s="63">
        <f>if(B801&lt;55, (Z800+I801)*Lookup!B$26/12, (AB800+K801)*Lookup!B$26/12)</f>
        <v>9485.516929</v>
      </c>
      <c r="O801" s="63">
        <f>(AA800+J801)*Lookup!C$26/12</f>
        <v>940.3700287</v>
      </c>
      <c r="P801" s="63">
        <f t="shared" si="8"/>
        <v>36975.48482</v>
      </c>
      <c r="Q801" s="63">
        <f t="shared" si="4"/>
        <v>85369.65236</v>
      </c>
      <c r="R801" s="63">
        <f t="shared" si="5"/>
        <v>8463.330258</v>
      </c>
      <c r="S801" s="64">
        <f t="shared" si="9"/>
        <v>33.33333333</v>
      </c>
      <c r="T801" s="64">
        <f t="shared" si="10"/>
        <v>41.66666667</v>
      </c>
      <c r="U801" s="64">
        <f t="shared" si="11"/>
        <v>0</v>
      </c>
      <c r="V801" s="64">
        <f t="shared" ref="V801:X801" si="809">IF(year($A801)=year($A800), V800+S801, S801)</f>
        <v>300</v>
      </c>
      <c r="W801" s="64">
        <f t="shared" si="809"/>
        <v>375</v>
      </c>
      <c r="X801" s="64">
        <f t="shared" si="809"/>
        <v>0</v>
      </c>
      <c r="Y801" s="65">
        <f>IFS(
  B801&lt;55,
    MAX(
      Y800 + IF(MONTH(A801)=12, P801+V801, 0) + H801 - L801
      + MAX(0,
          IF(AA800 &gt;= VLOOKUP(YEAR(A801), Lookup!$Q:$R, 2),
            Z800 + IF(MONTH(A801)=12, Q801+W801, 0) + I801
              + AA800 + IF(MONTH(A801)=12, R801+X801, 0)
              - VLOOKUP(YEAR(A801), Lookup!$Q:$R, 2) + J801,
            Z800 + IF(MONTH(A801)=12, Q801+W801, 0) + I801
          ) - VLOOKUP(YEAR(A801), Lookup!$K:$M, 3)
        ),
    0),
  B801=55,
    IF(Z800&gt;=AD801,
      MAX(Y800 + IF(MONTH(A801)=12, P801+V801, 0) + H801 - L801, 0),
      MAX(MAX(0, Y800-(AD801-Z800)) + IF(MONTH(A801)=12, P801+V801, 0) + H801 - L801, 0)
    ),
  B801&gt;55,
    IF(AB800&gt;=$AH$7,
      MAX(Y800 + IF(MONTH(A801)=12, P801+V801, 0) + H801 - L801 + K801 + Z800, 0),
      MAX(Y800 + IF(MONTH(A801)=12, P801+V801, 0) + H801 - L801, 0)
    )
)</f>
        <v>1972025.857</v>
      </c>
      <c r="Z801" s="65">
        <f>IFS(
  B801&lt;55,
    MIN(
      IF(AA800 &gt;= VLOOKUP(YEAR(A801), Lookup!$Q:$R, 2),
        Z800 + IF(MONTH(A801)=12, Q801+W801, 0) + I801
          + AA800 + IF(MONTH(A801)=12, R801+X801, 0) - VLOOKUP(YEAR(A801), Lookup!$Q:$R, 2) + J801,
        Z800 + IF(MONTH(A801)=12, Q801+W801, 0) + I801
      ),
      VLOOKUP(YEAR(A801), Lookup!$K:$M, 3)
    ),
  B801=55,
    IF(Z800 &gt;= AD801, Z800 - AD801, 0),
  B801&gt;55, 0
)</f>
        <v>0</v>
      </c>
      <c r="AA801" s="65">
        <f>IFS(
  B801&lt;65,
    IF(AA800+J801 &lt; VLOOKUP(YEAR(A801), Lookup!$Q:$R, 2),
      AA800 + IF(MONTH(A801)=12, R800+X800, 0) + J801,
      MIN(
        AA800 + IF(MONTH(A801)=12, R800+X800, 0) + J801 ,
        VLOOKUP(YEAR(A801), Lookup!$Q:$R, 2)
      )
    ),
  B801&gt;=65,
    IF(AA800+J801 &lt; VLOOKUP(questions!$C$5, Lookup!$Q:$R, 2),
      AA800 + IF(MONTH(A801)=12, R800+X800, 0) + J801 ,
      MIN(
        AA800 + IF(MONTH(A801)=12, R800+X800, 0) + J801,
        VLOOKUP(questions!$C$5, Lookup!$Q:$R, 2)
      )
    )
)</f>
        <v>282111.0086</v>
      </c>
      <c r="AB801" s="65">
        <f t="shared" si="13"/>
        <v>2845655.079</v>
      </c>
      <c r="AC801" s="66">
        <f t="array" ref="AC801">IFS(B801&lt;66, XLOOKUP(year(A801),Lookup!$K$13:$K1000,Lookup!$L$13:$L1000,"missing",,1),B801&gt;65,XLOOKUP(questions!$C$5,Lookup!$K$13:$K1000,Lookup!$L$13:$L1000,"missing",,1))</f>
        <v>393675.3633</v>
      </c>
      <c r="AD801" s="66">
        <f t="array" ref="AD801">IFS(B801&lt;66, XLOOKUP(year(A801),Lookup!$K$13:$K1000,Lookup!$M$13:$M1000,"missing",,1),B801&gt;65, XLOOKUP(questions!$C$5,Lookup!$K$13:$K1000,Lookup!$M$13:$M1000,"missing",,1))</f>
        <v>787350.7266</v>
      </c>
      <c r="AE801" s="66">
        <f t="array" ref="AE801">IFS(B801&lt;66, XLOOKUP(year(A801),Lookup!$K$13:$K1000,Lookup!$N$13:$N1000,"missing",,1),B801&gt;65,XLOOKUP(questions!$C$5,Lookup!$K$13:$K1000,Lookup!$N$13:$N1000,"missing",,1))</f>
        <v>1574701.453</v>
      </c>
      <c r="AF801" s="37"/>
      <c r="AG801" s="37"/>
      <c r="AH801" s="37"/>
      <c r="AI801" s="37"/>
      <c r="AJ801" s="37"/>
      <c r="AK801" s="37"/>
      <c r="AL801" s="37"/>
      <c r="AM801" s="37"/>
      <c r="AN801" s="37"/>
      <c r="AO801" s="37"/>
      <c r="AP801" s="37"/>
      <c r="AQ801" s="37"/>
    </row>
    <row r="802">
      <c r="A802" s="55">
        <f t="shared" si="7"/>
        <v>70433</v>
      </c>
      <c r="B802" s="56">
        <f>round(YEARFRAC(EOMONTH(questions!$C$3, 0),A802,1),2)</f>
        <v>93.92</v>
      </c>
      <c r="C802" s="58">
        <f>IF(B802&lt;questions!$C$6,if(MONTH(A802)=1,C801*(1+questions!$C$12),C801),0)</f>
        <v>0</v>
      </c>
      <c r="D802" s="58">
        <f>IF(MONTH(A802)=12,C802*questions!$C$11,0)</f>
        <v>0</v>
      </c>
      <c r="E802" s="71">
        <f t="shared" si="2"/>
        <v>0</v>
      </c>
      <c r="F802" s="71">
        <f t="shared" si="3"/>
        <v>0</v>
      </c>
      <c r="G802" s="61">
        <f t="array" ref="G802">if(YEAR(A802)=2025,XLOOKUP(B802,Lookup!$A$3:$A$7,Lookup!$D$3:$D$7,,1)*SUM(E802:F802), XLOOKUP(B802,Lookup!$A$14:$A$18,Lookup!$D$14:$D$18,,1)*SUM(E802:F802))</f>
        <v>0</v>
      </c>
      <c r="H802" s="61">
        <f t="array" ref="H802">if(YEAR(A802)=2025,XLOOKUP(B802,Lookup!$F$3:$F$10,Lookup!$G$3:$G$10,,1)*G802, XLOOKUP(B802,Lookup!$F$14:$F$21,Lookup!$G$14:$G$21,,1)*G802)</f>
        <v>0</v>
      </c>
      <c r="I802" s="61">
        <f t="array" ref="I802">if(B802&lt;55, if(YEAR(A802)=2025,XLOOKUP(B802,Lookup!$F$3:$F$10,Lookup!$H$3:$H$10,,1)*G802, XLOOKUP(B802,Lookup!$F$14:$F$21,Lookup!$H$14:$H$21,,1)*G802),0)</f>
        <v>0</v>
      </c>
      <c r="J802" s="61">
        <f t="array" ref="J802">if(YEAR(A802)=2025,XLOOKUP(B802,Lookup!$F$3:$F$10,Lookup!$I$3:$I$10,,1)*G802, XLOOKUP(B802,Lookup!$F$14:$F$21,Lookup!$I$14:$I$21,,1)*G802)</f>
        <v>0</v>
      </c>
      <c r="K802" s="61">
        <f t="array" ref="K802">if(B802&gt;54, if(YEAR(A802)=2025,XLOOKUP(B802,Lookup!$F$3:$F$10,Lookup!$H$3:$H$10,,1)*G802, XLOOKUP(B802,Lookup!$F$14:$F$21,Lookup!$H$14:$H$21,,1)*G802),0)</f>
        <v>0</v>
      </c>
      <c r="L802" s="62">
        <f>IF(and(A802&lt;questions!$C$19,questions!$C$18="yes"),questions!$C$20,0)</f>
        <v>0</v>
      </c>
      <c r="M802" s="63">
        <f>(Y801+H802)*Lookup!A$26/12</f>
        <v>4108.387202</v>
      </c>
      <c r="N802" s="63">
        <f>if(B802&lt;55, (Z801+I802)*Lookup!B$26/12, (AB801+K802)*Lookup!B$26/12)</f>
        <v>9485.516929</v>
      </c>
      <c r="O802" s="63">
        <f>(AA801+J802)*Lookup!C$26/12</f>
        <v>940.3700287</v>
      </c>
      <c r="P802" s="63">
        <f t="shared" si="8"/>
        <v>41083.87202</v>
      </c>
      <c r="Q802" s="63">
        <f t="shared" si="4"/>
        <v>94855.16929</v>
      </c>
      <c r="R802" s="63">
        <f t="shared" si="5"/>
        <v>9403.700287</v>
      </c>
      <c r="S802" s="64">
        <f t="shared" si="9"/>
        <v>33.33333333</v>
      </c>
      <c r="T802" s="64">
        <f t="shared" si="10"/>
        <v>41.66666667</v>
      </c>
      <c r="U802" s="64">
        <f t="shared" si="11"/>
        <v>0</v>
      </c>
      <c r="V802" s="64">
        <f t="shared" ref="V802:X802" si="810">IF(year($A802)=year($A801), V801+S802, S802)</f>
        <v>333.3333333</v>
      </c>
      <c r="W802" s="64">
        <f t="shared" si="810"/>
        <v>416.6666667</v>
      </c>
      <c r="X802" s="64">
        <f t="shared" si="810"/>
        <v>0</v>
      </c>
      <c r="Y802" s="65">
        <f>IFS(
  B802&lt;55,
    MAX(
      Y801 + IF(MONTH(A802)=12, P802+V802, 0) + H802 - L802
      + MAX(0,
          IF(AA801 &gt;= VLOOKUP(YEAR(A802), Lookup!$Q:$R, 2),
            Z801 + IF(MONTH(A802)=12, Q802+W802, 0) + I802
              + AA801 + IF(MONTH(A802)=12, R802+X802, 0)
              - VLOOKUP(YEAR(A802), Lookup!$Q:$R, 2) + J802,
            Z801 + IF(MONTH(A802)=12, Q802+W802, 0) + I802
          ) - VLOOKUP(YEAR(A802), Lookup!$K:$M, 3)
        ),
    0),
  B802=55,
    IF(Z801&gt;=AD802,
      MAX(Y801 + IF(MONTH(A802)=12, P802+V802, 0) + H802 - L802, 0),
      MAX(MAX(0, Y801-(AD802-Z801)) + IF(MONTH(A802)=12, P802+V802, 0) + H802 - L802, 0)
    ),
  B802&gt;55,
    IF(AB801&gt;=$AH$7,
      MAX(Y801 + IF(MONTH(A802)=12, P802+V802, 0) + H802 - L802 + K802 + Z801, 0),
      MAX(Y801 + IF(MONTH(A802)=12, P802+V802, 0) + H802 - L802, 0)
    )
)</f>
        <v>1972025.857</v>
      </c>
      <c r="Z802" s="65">
        <f>IFS(
  B802&lt;55,
    MIN(
      IF(AA801 &gt;= VLOOKUP(YEAR(A802), Lookup!$Q:$R, 2),
        Z801 + IF(MONTH(A802)=12, Q802+W802, 0) + I802
          + AA801 + IF(MONTH(A802)=12, R802+X802, 0) - VLOOKUP(YEAR(A802), Lookup!$Q:$R, 2) + J802,
        Z801 + IF(MONTH(A802)=12, Q802+W802, 0) + I802
      ),
      VLOOKUP(YEAR(A802), Lookup!$K:$M, 3)
    ),
  B802=55,
    IF(Z801 &gt;= AD802, Z801 - AD802, 0),
  B802&gt;55, 0
)</f>
        <v>0</v>
      </c>
      <c r="AA802" s="65">
        <f>IFS(
  B802&lt;65,
    IF(AA801+J802 &lt; VLOOKUP(YEAR(A802), Lookup!$Q:$R, 2),
      AA801 + IF(MONTH(A802)=12, R801+X801, 0) + J802,
      MIN(
        AA801 + IF(MONTH(A802)=12, R801+X801, 0) + J802 ,
        VLOOKUP(YEAR(A802), Lookup!$Q:$R, 2)
      )
    ),
  B802&gt;=65,
    IF(AA801+J802 &lt; VLOOKUP(questions!$C$5, Lookup!$Q:$R, 2),
      AA801 + IF(MONTH(A802)=12, R801+X801, 0) + J802 ,
      MIN(
        AA801 + IF(MONTH(A802)=12, R801+X801, 0) + J802,
        VLOOKUP(questions!$C$5, Lookup!$Q:$R, 2)
      )
    )
)</f>
        <v>282111.0086</v>
      </c>
      <c r="AB802" s="65">
        <f t="shared" si="13"/>
        <v>2845655.079</v>
      </c>
      <c r="AC802" s="66">
        <f t="array" ref="AC802">IFS(B802&lt;66, XLOOKUP(year(A802),Lookup!$K$13:$K1000,Lookup!$L$13:$L1000,"missing",,1),B802&gt;65,XLOOKUP(questions!$C$5,Lookup!$K$13:$K1000,Lookup!$L$13:$L1000,"missing",,1))</f>
        <v>393675.3633</v>
      </c>
      <c r="AD802" s="66">
        <f t="array" ref="AD802">IFS(B802&lt;66, XLOOKUP(year(A802),Lookup!$K$13:$K1000,Lookup!$M$13:$M1000,"missing",,1),B802&gt;65, XLOOKUP(questions!$C$5,Lookup!$K$13:$K1000,Lookup!$M$13:$M1000,"missing",,1))</f>
        <v>787350.7266</v>
      </c>
      <c r="AE802" s="66">
        <f t="array" ref="AE802">IFS(B802&lt;66, XLOOKUP(year(A802),Lookup!$K$13:$K1000,Lookup!$N$13:$N1000,"missing",,1),B802&gt;65,XLOOKUP(questions!$C$5,Lookup!$K$13:$K1000,Lookup!$N$13:$N1000,"missing",,1))</f>
        <v>1574701.453</v>
      </c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  <c r="AQ802" s="37"/>
    </row>
    <row r="803">
      <c r="A803" s="55">
        <f t="shared" si="7"/>
        <v>70463</v>
      </c>
      <c r="B803" s="56">
        <f>round(YEARFRAC(EOMONTH(questions!$C$3, 0),A803,1),2)</f>
        <v>94</v>
      </c>
      <c r="C803" s="58">
        <f>IF(B803&lt;questions!$C$6,if(MONTH(A803)=1,C802*(1+questions!$C$12),C802),0)</f>
        <v>0</v>
      </c>
      <c r="D803" s="58">
        <f>IF(MONTH(A803)=12,C803*questions!$C$11,0)</f>
        <v>0</v>
      </c>
      <c r="E803" s="71">
        <f t="shared" si="2"/>
        <v>0</v>
      </c>
      <c r="F803" s="71">
        <f t="shared" si="3"/>
        <v>0</v>
      </c>
      <c r="G803" s="61">
        <f t="array" ref="G803">if(YEAR(A803)=2025,XLOOKUP(B803,Lookup!$A$3:$A$7,Lookup!$D$3:$D$7,,1)*SUM(E803:F803), XLOOKUP(B803,Lookup!$A$14:$A$18,Lookup!$D$14:$D$18,,1)*SUM(E803:F803))</f>
        <v>0</v>
      </c>
      <c r="H803" s="61">
        <f t="array" ref="H803">if(YEAR(A803)=2025,XLOOKUP(B803,Lookup!$F$3:$F$10,Lookup!$G$3:$G$10,,1)*G803, XLOOKUP(B803,Lookup!$F$14:$F$21,Lookup!$G$14:$G$21,,1)*G803)</f>
        <v>0</v>
      </c>
      <c r="I803" s="61">
        <f t="array" ref="I803">if(B803&lt;55, if(YEAR(A803)=2025,XLOOKUP(B803,Lookup!$F$3:$F$10,Lookup!$H$3:$H$10,,1)*G803, XLOOKUP(B803,Lookup!$F$14:$F$21,Lookup!$H$14:$H$21,,1)*G803),0)</f>
        <v>0</v>
      </c>
      <c r="J803" s="61">
        <f t="array" ref="J803">if(YEAR(A803)=2025,XLOOKUP(B803,Lookup!$F$3:$F$10,Lookup!$I$3:$I$10,,1)*G803, XLOOKUP(B803,Lookup!$F$14:$F$21,Lookup!$I$14:$I$21,,1)*G803)</f>
        <v>0</v>
      </c>
      <c r="K803" s="61">
        <f t="array" ref="K803">if(B803&gt;54, if(YEAR(A803)=2025,XLOOKUP(B803,Lookup!$F$3:$F$10,Lookup!$H$3:$H$10,,1)*G803, XLOOKUP(B803,Lookup!$F$14:$F$21,Lookup!$H$14:$H$21,,1)*G803),0)</f>
        <v>0</v>
      </c>
      <c r="L803" s="62">
        <f>IF(and(A803&lt;questions!$C$19,questions!$C$18="yes"),questions!$C$20,0)</f>
        <v>0</v>
      </c>
      <c r="M803" s="63">
        <f>(Y802+H803)*Lookup!A$26/12</f>
        <v>4108.387202</v>
      </c>
      <c r="N803" s="63">
        <f>if(B803&lt;55, (Z802+I803)*Lookup!B$26/12, (AB802+K803)*Lookup!B$26/12)</f>
        <v>9485.516929</v>
      </c>
      <c r="O803" s="63">
        <f>(AA802+J803)*Lookup!C$26/12</f>
        <v>940.3700287</v>
      </c>
      <c r="P803" s="63">
        <f t="shared" si="8"/>
        <v>45192.25922</v>
      </c>
      <c r="Q803" s="63">
        <f t="shared" si="4"/>
        <v>104340.6862</v>
      </c>
      <c r="R803" s="63">
        <f t="shared" si="5"/>
        <v>10344.07032</v>
      </c>
      <c r="S803" s="64">
        <f t="shared" si="9"/>
        <v>33.33333333</v>
      </c>
      <c r="T803" s="64">
        <f t="shared" si="10"/>
        <v>41.66666667</v>
      </c>
      <c r="U803" s="64">
        <f t="shared" si="11"/>
        <v>0</v>
      </c>
      <c r="V803" s="64">
        <f t="shared" ref="V803:X803" si="811">IF(year($A803)=year($A802), V802+S803, S803)</f>
        <v>366.6666667</v>
      </c>
      <c r="W803" s="64">
        <f t="shared" si="811"/>
        <v>458.3333333</v>
      </c>
      <c r="X803" s="64">
        <f t="shared" si="811"/>
        <v>0</v>
      </c>
      <c r="Y803" s="65">
        <f>IFS(
  B803&lt;55,
    MAX(
      Y802 + IF(MONTH(A803)=12, P803+V803, 0) + H803 - L803
      + MAX(0,
          IF(AA802 &gt;= VLOOKUP(YEAR(A803), Lookup!$Q:$R, 2),
            Z802 + IF(MONTH(A803)=12, Q803+W803, 0) + I803
              + AA802 + IF(MONTH(A803)=12, R803+X803, 0)
              - VLOOKUP(YEAR(A803), Lookup!$Q:$R, 2) + J803,
            Z802 + IF(MONTH(A803)=12, Q803+W803, 0) + I803
          ) - VLOOKUP(YEAR(A803), Lookup!$K:$M, 3)
        ),
    0),
  B803=55,
    IF(Z802&gt;=AD803,
      MAX(Y802 + IF(MONTH(A803)=12, P803+V803, 0) + H803 - L803, 0),
      MAX(MAX(0, Y802-(AD803-Z802)) + IF(MONTH(A803)=12, P803+V803, 0) + H803 - L803, 0)
    ),
  B803&gt;55,
    IF(AB802&gt;=$AH$7,
      MAX(Y802 + IF(MONTH(A803)=12, P803+V803, 0) + H803 - L803 + K803 + Z802, 0),
      MAX(Y802 + IF(MONTH(A803)=12, P803+V803, 0) + H803 - L803, 0)
    )
)</f>
        <v>1972025.857</v>
      </c>
      <c r="Z803" s="65">
        <f>IFS(
  B803&lt;55,
    MIN(
      IF(AA802 &gt;= VLOOKUP(YEAR(A803), Lookup!$Q:$R, 2),
        Z802 + IF(MONTH(A803)=12, Q803+W803, 0) + I803
          + AA802 + IF(MONTH(A803)=12, R803+X803, 0) - VLOOKUP(YEAR(A803), Lookup!$Q:$R, 2) + J803,
        Z802 + IF(MONTH(A803)=12, Q803+W803, 0) + I803
      ),
      VLOOKUP(YEAR(A803), Lookup!$K:$M, 3)
    ),
  B803=55,
    IF(Z802 &gt;= AD803, Z802 - AD803, 0),
  B803&gt;55, 0
)</f>
        <v>0</v>
      </c>
      <c r="AA803" s="65">
        <f>IFS(
  B803&lt;65,
    IF(AA802+J803 &lt; VLOOKUP(YEAR(A803), Lookup!$Q:$R, 2),
      AA802 + IF(MONTH(A803)=12, R802+X802, 0) + J803,
      MIN(
        AA802 + IF(MONTH(A803)=12, R802+X802, 0) + J803 ,
        VLOOKUP(YEAR(A803), Lookup!$Q:$R, 2)
      )
    ),
  B803&gt;=65,
    IF(AA802+J803 &lt; VLOOKUP(questions!$C$5, Lookup!$Q:$R, 2),
      AA802 + IF(MONTH(A803)=12, R802+X802, 0) + J803 ,
      MIN(
        AA802 + IF(MONTH(A803)=12, R802+X802, 0) + J803,
        VLOOKUP(questions!$C$5, Lookup!$Q:$R, 2)
      )
    )
)</f>
        <v>282111.0086</v>
      </c>
      <c r="AB803" s="65">
        <f t="shared" si="13"/>
        <v>2845655.079</v>
      </c>
      <c r="AC803" s="66">
        <f t="array" ref="AC803">IFS(B803&lt;66, XLOOKUP(year(A803),Lookup!$K$13:$K1000,Lookup!$L$13:$L1000,"missing",,1),B803&gt;65,XLOOKUP(questions!$C$5,Lookup!$K$13:$K1000,Lookup!$L$13:$L1000,"missing",,1))</f>
        <v>393675.3633</v>
      </c>
      <c r="AD803" s="66">
        <f t="array" ref="AD803">IFS(B803&lt;66, XLOOKUP(year(A803),Lookup!$K$13:$K1000,Lookup!$M$13:$M1000,"missing",,1),B803&gt;65, XLOOKUP(questions!$C$5,Lookup!$K$13:$K1000,Lookup!$M$13:$M1000,"missing",,1))</f>
        <v>787350.7266</v>
      </c>
      <c r="AE803" s="66">
        <f t="array" ref="AE803">IFS(B803&lt;66, XLOOKUP(year(A803),Lookup!$K$13:$K1000,Lookup!$N$13:$N1000,"missing",,1),B803&gt;65,XLOOKUP(questions!$C$5,Lookup!$K$13:$K1000,Lookup!$N$13:$N1000,"missing",,1))</f>
        <v>1574701.453</v>
      </c>
      <c r="AF803" s="37"/>
      <c r="AG803" s="37"/>
      <c r="AH803" s="37"/>
      <c r="AI803" s="37"/>
      <c r="AJ803" s="37"/>
      <c r="AK803" s="37"/>
      <c r="AL803" s="37"/>
      <c r="AM803" s="37"/>
      <c r="AN803" s="37"/>
      <c r="AO803" s="37"/>
      <c r="AP803" s="37"/>
      <c r="AQ803" s="37"/>
    </row>
    <row r="804">
      <c r="A804" s="55">
        <f t="shared" si="7"/>
        <v>70494</v>
      </c>
      <c r="B804" s="56">
        <f>round(YEARFRAC(EOMONTH(questions!$C$3, 0),A804,1),2)</f>
        <v>94.08</v>
      </c>
      <c r="C804" s="58">
        <f>IF(B804&lt;questions!$C$6,if(MONTH(A804)=1,C803*(1+questions!$C$12),C803),0)</f>
        <v>0</v>
      </c>
      <c r="D804" s="58">
        <f>IF(MONTH(A804)=12,C804*questions!$C$11,0)</f>
        <v>0</v>
      </c>
      <c r="E804" s="71">
        <f t="shared" si="2"/>
        <v>0</v>
      </c>
      <c r="F804" s="71">
        <f t="shared" si="3"/>
        <v>0</v>
      </c>
      <c r="G804" s="61">
        <f t="array" ref="G804">if(YEAR(A804)=2025,XLOOKUP(B804,Lookup!$A$3:$A$7,Lookup!$D$3:$D$7,,1)*SUM(E804:F804), XLOOKUP(B804,Lookup!$A$14:$A$18,Lookup!$D$14:$D$18,,1)*SUM(E804:F804))</f>
        <v>0</v>
      </c>
      <c r="H804" s="61">
        <f t="array" ref="H804">if(YEAR(A804)=2025,XLOOKUP(B804,Lookup!$F$3:$F$10,Lookup!$G$3:$G$10,,1)*G804, XLOOKUP(B804,Lookup!$F$14:$F$21,Lookup!$G$14:$G$21,,1)*G804)</f>
        <v>0</v>
      </c>
      <c r="I804" s="61">
        <f t="array" ref="I804">if(B804&lt;55, if(YEAR(A804)=2025,XLOOKUP(B804,Lookup!$F$3:$F$10,Lookup!$H$3:$H$10,,1)*G804, XLOOKUP(B804,Lookup!$F$14:$F$21,Lookup!$H$14:$H$21,,1)*G804),0)</f>
        <v>0</v>
      </c>
      <c r="J804" s="61">
        <f t="array" ref="J804">if(YEAR(A804)=2025,XLOOKUP(B804,Lookup!$F$3:$F$10,Lookup!$I$3:$I$10,,1)*G804, XLOOKUP(B804,Lookup!$F$14:$F$21,Lookup!$I$14:$I$21,,1)*G804)</f>
        <v>0</v>
      </c>
      <c r="K804" s="61">
        <f t="array" ref="K804">if(B804&gt;54, if(YEAR(A804)=2025,XLOOKUP(B804,Lookup!$F$3:$F$10,Lookup!$H$3:$H$10,,1)*G804, XLOOKUP(B804,Lookup!$F$14:$F$21,Lookup!$H$14:$H$21,,1)*G804),0)</f>
        <v>0</v>
      </c>
      <c r="L804" s="62">
        <f>IF(and(A804&lt;questions!$C$19,questions!$C$18="yes"),questions!$C$20,0)</f>
        <v>0</v>
      </c>
      <c r="M804" s="63">
        <f>(Y803+H804)*Lookup!A$26/12</f>
        <v>4108.387202</v>
      </c>
      <c r="N804" s="63">
        <f>if(B804&lt;55, (Z803+I804)*Lookup!B$26/12, (AB803+K804)*Lookup!B$26/12)</f>
        <v>9485.516929</v>
      </c>
      <c r="O804" s="63">
        <f>(AA803+J804)*Lookup!C$26/12</f>
        <v>940.3700287</v>
      </c>
      <c r="P804" s="63">
        <f t="shared" si="8"/>
        <v>49300.64642</v>
      </c>
      <c r="Q804" s="63">
        <f t="shared" si="4"/>
        <v>113826.2031</v>
      </c>
      <c r="R804" s="63">
        <f t="shared" si="5"/>
        <v>11284.44034</v>
      </c>
      <c r="S804" s="64">
        <f t="shared" si="9"/>
        <v>33.33333333</v>
      </c>
      <c r="T804" s="64">
        <f t="shared" si="10"/>
        <v>41.66666667</v>
      </c>
      <c r="U804" s="64">
        <f t="shared" si="11"/>
        <v>0</v>
      </c>
      <c r="V804" s="64">
        <f t="shared" ref="V804:X804" si="812">IF(year($A804)=year($A803), V803+S804, S804)</f>
        <v>400</v>
      </c>
      <c r="W804" s="64">
        <f t="shared" si="812"/>
        <v>500</v>
      </c>
      <c r="X804" s="64">
        <f t="shared" si="812"/>
        <v>0</v>
      </c>
      <c r="Y804" s="65">
        <f>IFS(
  B804&lt;55,
    MAX(
      Y803 + IF(MONTH(A804)=12, P804+V804, 0) + H804 - L804
      + MAX(0,
          IF(AA803 &gt;= VLOOKUP(YEAR(A804), Lookup!$Q:$R, 2),
            Z803 + IF(MONTH(A804)=12, Q804+W804, 0) + I804
              + AA803 + IF(MONTH(A804)=12, R804+X804, 0)
              - VLOOKUP(YEAR(A804), Lookup!$Q:$R, 2) + J804,
            Z803 + IF(MONTH(A804)=12, Q804+W804, 0) + I804
          ) - VLOOKUP(YEAR(A804), Lookup!$K:$M, 3)
        ),
    0),
  B804=55,
    IF(Z803&gt;=AD804,
      MAX(Y803 + IF(MONTH(A804)=12, P804+V804, 0) + H804 - L804, 0),
      MAX(MAX(0, Y803-(AD804-Z803)) + IF(MONTH(A804)=12, P804+V804, 0) + H804 - L804, 0)
    ),
  B804&gt;55,
    IF(AB803&gt;=$AH$7,
      MAX(Y803 + IF(MONTH(A804)=12, P804+V804, 0) + H804 - L804 + K804 + Z803, 0),
      MAX(Y803 + IF(MONTH(A804)=12, P804+V804, 0) + H804 - L804, 0)
    )
)</f>
        <v>2021726.503</v>
      </c>
      <c r="Z804" s="65">
        <f>IFS(
  B804&lt;55,
    MIN(
      IF(AA803 &gt;= VLOOKUP(YEAR(A804), Lookup!$Q:$R, 2),
        Z803 + IF(MONTH(A804)=12, Q804+W804, 0) + I804
          + AA803 + IF(MONTH(A804)=12, R804+X804, 0) - VLOOKUP(YEAR(A804), Lookup!$Q:$R, 2) + J804,
        Z803 + IF(MONTH(A804)=12, Q804+W804, 0) + I804
      ),
      VLOOKUP(YEAR(A804), Lookup!$K:$M, 3)
    ),
  B804=55,
    IF(Z803 &gt;= AD804, Z803 - AD804, 0),
  B804&gt;55, 0
)</f>
        <v>0</v>
      </c>
      <c r="AA804" s="65">
        <f>IFS(
  B804&lt;65,
    IF(AA803+J804 &lt; VLOOKUP(YEAR(A804), Lookup!$Q:$R, 2),
      AA803 + IF(MONTH(A804)=12, R803+X803, 0) + J804,
      MIN(
        AA803 + IF(MONTH(A804)=12, R803+X803, 0) + J804 ,
        VLOOKUP(YEAR(A804), Lookup!$Q:$R, 2)
      )
    ),
  B804&gt;=65,
    IF(AA803+J804 &lt; VLOOKUP(questions!$C$5, Lookup!$Q:$R, 2),
      AA803 + IF(MONTH(A804)=12, R803+X803, 0) + J804 ,
      MIN(
        AA803 + IF(MONTH(A804)=12, R803+X803, 0) + J804,
        VLOOKUP(questions!$C$5, Lookup!$Q:$R, 2)
      )
    )
)</f>
        <v>282111.0086</v>
      </c>
      <c r="AB804" s="65">
        <f t="shared" si="13"/>
        <v>2959981.282</v>
      </c>
      <c r="AC804" s="66">
        <f t="array" ref="AC804">IFS(B804&lt;66, XLOOKUP(year(A804),Lookup!$K$13:$K1000,Lookup!$L$13:$L1000,"missing",,1),B804&gt;65,XLOOKUP(questions!$C$5,Lookup!$K$13:$K1000,Lookup!$L$13:$L1000,"missing",,1))</f>
        <v>393675.3633</v>
      </c>
      <c r="AD804" s="66">
        <f t="array" ref="AD804">IFS(B804&lt;66, XLOOKUP(year(A804),Lookup!$K$13:$K1000,Lookup!$M$13:$M1000,"missing",,1),B804&gt;65, XLOOKUP(questions!$C$5,Lookup!$K$13:$K1000,Lookup!$M$13:$M1000,"missing",,1))</f>
        <v>787350.7266</v>
      </c>
      <c r="AE804" s="66">
        <f t="array" ref="AE804">IFS(B804&lt;66, XLOOKUP(year(A804),Lookup!$K$13:$K1000,Lookup!$N$13:$N1000,"missing",,1),B804&gt;65,XLOOKUP(questions!$C$5,Lookup!$K$13:$K1000,Lookup!$N$13:$N1000,"missing",,1))</f>
        <v>1574701.453</v>
      </c>
      <c r="AF804" s="37"/>
      <c r="AG804" s="37"/>
      <c r="AH804" s="37"/>
      <c r="AI804" s="37"/>
      <c r="AJ804" s="37"/>
      <c r="AK804" s="37"/>
      <c r="AL804" s="37"/>
      <c r="AM804" s="37"/>
      <c r="AN804" s="37"/>
      <c r="AO804" s="37"/>
      <c r="AP804" s="37"/>
      <c r="AQ804" s="37"/>
    </row>
    <row r="805">
      <c r="A805" s="55">
        <f t="shared" si="7"/>
        <v>70525</v>
      </c>
      <c r="B805" s="56">
        <f>round(YEARFRAC(EOMONTH(questions!$C$3, 0),A805,1),2)</f>
        <v>94.17</v>
      </c>
      <c r="C805" s="58">
        <f>IF(B805&lt;questions!$C$6,if(MONTH(A805)=1,C804*(1+questions!$C$12),C804),0)</f>
        <v>0</v>
      </c>
      <c r="D805" s="58">
        <f>IF(MONTH(A805)=12,C805*questions!$C$11,0)</f>
        <v>0</v>
      </c>
      <c r="E805" s="71">
        <f t="shared" si="2"/>
        <v>0</v>
      </c>
      <c r="F805" s="71">
        <f t="shared" si="3"/>
        <v>0</v>
      </c>
      <c r="G805" s="61">
        <f t="array" ref="G805">if(YEAR(A805)=2025,XLOOKUP(B805,Lookup!$A$3:$A$7,Lookup!$D$3:$D$7,,1)*SUM(E805:F805), XLOOKUP(B805,Lookup!$A$14:$A$18,Lookup!$D$14:$D$18,,1)*SUM(E805:F805))</f>
        <v>0</v>
      </c>
      <c r="H805" s="61">
        <f t="array" ref="H805">if(YEAR(A805)=2025,XLOOKUP(B805,Lookup!$F$3:$F$10,Lookup!$G$3:$G$10,,1)*G805, XLOOKUP(B805,Lookup!$F$14:$F$21,Lookup!$G$14:$G$21,,1)*G805)</f>
        <v>0</v>
      </c>
      <c r="I805" s="61">
        <f t="array" ref="I805">if(B805&lt;55, if(YEAR(A805)=2025,XLOOKUP(B805,Lookup!$F$3:$F$10,Lookup!$H$3:$H$10,,1)*G805, XLOOKUP(B805,Lookup!$F$14:$F$21,Lookup!$H$14:$H$21,,1)*G805),0)</f>
        <v>0</v>
      </c>
      <c r="J805" s="61">
        <f t="array" ref="J805">if(YEAR(A805)=2025,XLOOKUP(B805,Lookup!$F$3:$F$10,Lookup!$I$3:$I$10,,1)*G805, XLOOKUP(B805,Lookup!$F$14:$F$21,Lookup!$I$14:$I$21,,1)*G805)</f>
        <v>0</v>
      </c>
      <c r="K805" s="61">
        <f t="array" ref="K805">if(B805&gt;54, if(YEAR(A805)=2025,XLOOKUP(B805,Lookup!$F$3:$F$10,Lookup!$H$3:$H$10,,1)*G805, XLOOKUP(B805,Lookup!$F$14:$F$21,Lookup!$H$14:$H$21,,1)*G805),0)</f>
        <v>0</v>
      </c>
      <c r="L805" s="62">
        <f>IF(and(A805&lt;questions!$C$19,questions!$C$18="yes"),questions!$C$20,0)</f>
        <v>0</v>
      </c>
      <c r="M805" s="63">
        <f>(Y804+H805)*Lookup!A$26/12</f>
        <v>4211.930215</v>
      </c>
      <c r="N805" s="63">
        <f>if(B805&lt;55, (Z804+I805)*Lookup!B$26/12, (AB804+K805)*Lookup!B$26/12)</f>
        <v>9866.604273</v>
      </c>
      <c r="O805" s="63">
        <f>(AA804+J805)*Lookup!C$26/12</f>
        <v>940.3700287</v>
      </c>
      <c r="P805" s="63">
        <f t="shared" si="8"/>
        <v>4211.930215</v>
      </c>
      <c r="Q805" s="63">
        <f t="shared" si="4"/>
        <v>9866.604273</v>
      </c>
      <c r="R805" s="63">
        <f t="shared" si="5"/>
        <v>940.3700287</v>
      </c>
      <c r="S805" s="64">
        <f t="shared" si="9"/>
        <v>33.33333333</v>
      </c>
      <c r="T805" s="64">
        <f t="shared" si="10"/>
        <v>41.66666667</v>
      </c>
      <c r="U805" s="64">
        <f t="shared" si="11"/>
        <v>0</v>
      </c>
      <c r="V805" s="64">
        <f t="shared" ref="V805:X805" si="813">IF(year($A805)=year($A804), V804+S805, S805)</f>
        <v>33.33333333</v>
      </c>
      <c r="W805" s="64">
        <f t="shared" si="813"/>
        <v>41.66666667</v>
      </c>
      <c r="X805" s="64">
        <f t="shared" si="813"/>
        <v>0</v>
      </c>
      <c r="Y805" s="65">
        <f>IFS(
  B805&lt;55,
    MAX(
      Y804 + IF(MONTH(A805)=12, P805+V805, 0) + H805 - L805
      + MAX(0,
          IF(AA804 &gt;= VLOOKUP(YEAR(A805), Lookup!$Q:$R, 2),
            Z804 + IF(MONTH(A805)=12, Q805+W805, 0) + I805
              + AA804 + IF(MONTH(A805)=12, R805+X805, 0)
              - VLOOKUP(YEAR(A805), Lookup!$Q:$R, 2) + J805,
            Z804 + IF(MONTH(A805)=12, Q805+W805, 0) + I805
          ) - VLOOKUP(YEAR(A805), Lookup!$K:$M, 3)
        ),
    0),
  B805=55,
    IF(Z804&gt;=AD805,
      MAX(Y804 + IF(MONTH(A805)=12, P805+V805, 0) + H805 - L805, 0),
      MAX(MAX(0, Y804-(AD805-Z804)) + IF(MONTH(A805)=12, P805+V805, 0) + H805 - L805, 0)
    ),
  B805&gt;55,
    IF(AB804&gt;=$AH$7,
      MAX(Y804 + IF(MONTH(A805)=12, P805+V805, 0) + H805 - L805 + K805 + Z804, 0),
      MAX(Y804 + IF(MONTH(A805)=12, P805+V805, 0) + H805 - L805, 0)
    )
)</f>
        <v>2021726.503</v>
      </c>
      <c r="Z805" s="65">
        <f>IFS(
  B805&lt;55,
    MIN(
      IF(AA804 &gt;= VLOOKUP(YEAR(A805), Lookup!$Q:$R, 2),
        Z804 + IF(MONTH(A805)=12, Q805+W805, 0) + I805
          + AA804 + IF(MONTH(A805)=12, R805+X805, 0) - VLOOKUP(YEAR(A805), Lookup!$Q:$R, 2) + J805,
        Z804 + IF(MONTH(A805)=12, Q805+W805, 0) + I805
      ),
      VLOOKUP(YEAR(A805), Lookup!$K:$M, 3)
    ),
  B805=55,
    IF(Z804 &gt;= AD805, Z804 - AD805, 0),
  B805&gt;55, 0
)</f>
        <v>0</v>
      </c>
      <c r="AA805" s="65">
        <f>IFS(
  B805&lt;65,
    IF(AA804+J805 &lt; VLOOKUP(YEAR(A805), Lookup!$Q:$R, 2),
      AA804 + IF(MONTH(A805)=12, R804+X804, 0) + J805,
      MIN(
        AA804 + IF(MONTH(A805)=12, R804+X804, 0) + J805 ,
        VLOOKUP(YEAR(A805), Lookup!$Q:$R, 2)
      )
    ),
  B805&gt;=65,
    IF(AA804+J805 &lt; VLOOKUP(questions!$C$5, Lookup!$Q:$R, 2),
      AA804 + IF(MONTH(A805)=12, R804+X804, 0) + J805 ,
      MIN(
        AA804 + IF(MONTH(A805)=12, R804+X804, 0) + J805,
        VLOOKUP(questions!$C$5, Lookup!$Q:$R, 2)
      )
    )
)</f>
        <v>282111.0086</v>
      </c>
      <c r="AB805" s="65">
        <f t="shared" si="13"/>
        <v>2959981.282</v>
      </c>
      <c r="AC805" s="66">
        <f t="array" ref="AC805">IFS(B805&lt;66, XLOOKUP(year(A805),Lookup!$K$13:$K1000,Lookup!$L$13:$L1000,"missing",,1),B805&gt;65,XLOOKUP(questions!$C$5,Lookup!$K$13:$K1000,Lookup!$L$13:$L1000,"missing",,1))</f>
        <v>393675.3633</v>
      </c>
      <c r="AD805" s="66">
        <f t="array" ref="AD805">IFS(B805&lt;66, XLOOKUP(year(A805),Lookup!$K$13:$K1000,Lookup!$M$13:$M1000,"missing",,1),B805&gt;65, XLOOKUP(questions!$C$5,Lookup!$K$13:$K1000,Lookup!$M$13:$M1000,"missing",,1))</f>
        <v>787350.7266</v>
      </c>
      <c r="AE805" s="66">
        <f t="array" ref="AE805">IFS(B805&lt;66, XLOOKUP(year(A805),Lookup!$K$13:$K1000,Lookup!$N$13:$N1000,"missing",,1),B805&gt;65,XLOOKUP(questions!$C$5,Lookup!$K$13:$K1000,Lookup!$N$13:$N1000,"missing",,1))</f>
        <v>1574701.453</v>
      </c>
      <c r="AF805" s="37"/>
      <c r="AG805" s="37"/>
      <c r="AH805" s="37"/>
      <c r="AI805" s="37"/>
      <c r="AJ805" s="37"/>
      <c r="AK805" s="37"/>
      <c r="AL805" s="37"/>
      <c r="AM805" s="37"/>
      <c r="AN805" s="37"/>
      <c r="AO805" s="37"/>
      <c r="AP805" s="37"/>
      <c r="AQ805" s="37"/>
    </row>
    <row r="806">
      <c r="A806" s="55">
        <f t="shared" si="7"/>
        <v>70553</v>
      </c>
      <c r="B806" s="56">
        <f>round(YEARFRAC(EOMONTH(questions!$C$3, 0),A806,1),2)</f>
        <v>94.25</v>
      </c>
      <c r="C806" s="58">
        <f>IF(B806&lt;questions!$C$6,if(MONTH(A806)=1,C805*(1+questions!$C$12),C805),0)</f>
        <v>0</v>
      </c>
      <c r="D806" s="58">
        <f>IF(MONTH(A806)=12,C806*questions!$C$11,0)</f>
        <v>0</v>
      </c>
      <c r="E806" s="71">
        <f t="shared" si="2"/>
        <v>0</v>
      </c>
      <c r="F806" s="71">
        <f t="shared" si="3"/>
        <v>0</v>
      </c>
      <c r="G806" s="61">
        <f t="array" ref="G806">if(YEAR(A806)=2025,XLOOKUP(B806,Lookup!$A$3:$A$7,Lookup!$D$3:$D$7,,1)*SUM(E806:F806), XLOOKUP(B806,Lookup!$A$14:$A$18,Lookup!$D$14:$D$18,,1)*SUM(E806:F806))</f>
        <v>0</v>
      </c>
      <c r="H806" s="61">
        <f t="array" ref="H806">if(YEAR(A806)=2025,XLOOKUP(B806,Lookup!$F$3:$F$10,Lookup!$G$3:$G$10,,1)*G806, XLOOKUP(B806,Lookup!$F$14:$F$21,Lookup!$G$14:$G$21,,1)*G806)</f>
        <v>0</v>
      </c>
      <c r="I806" s="61">
        <f t="array" ref="I806">if(B806&lt;55, if(YEAR(A806)=2025,XLOOKUP(B806,Lookup!$F$3:$F$10,Lookup!$H$3:$H$10,,1)*G806, XLOOKUP(B806,Lookup!$F$14:$F$21,Lookup!$H$14:$H$21,,1)*G806),0)</f>
        <v>0</v>
      </c>
      <c r="J806" s="61">
        <f t="array" ref="J806">if(YEAR(A806)=2025,XLOOKUP(B806,Lookup!$F$3:$F$10,Lookup!$I$3:$I$10,,1)*G806, XLOOKUP(B806,Lookup!$F$14:$F$21,Lookup!$I$14:$I$21,,1)*G806)</f>
        <v>0</v>
      </c>
      <c r="K806" s="61">
        <f t="array" ref="K806">if(B806&gt;54, if(YEAR(A806)=2025,XLOOKUP(B806,Lookup!$F$3:$F$10,Lookup!$H$3:$H$10,,1)*G806, XLOOKUP(B806,Lookup!$F$14:$F$21,Lookup!$H$14:$H$21,,1)*G806),0)</f>
        <v>0</v>
      </c>
      <c r="L806" s="62">
        <f>IF(and(A806&lt;questions!$C$19,questions!$C$18="yes"),questions!$C$20,0)</f>
        <v>0</v>
      </c>
      <c r="M806" s="63">
        <f>(Y805+H806)*Lookup!A$26/12</f>
        <v>4211.930215</v>
      </c>
      <c r="N806" s="63">
        <f>if(B806&lt;55, (Z805+I806)*Lookup!B$26/12, (AB805+K806)*Lookup!B$26/12)</f>
        <v>9866.604273</v>
      </c>
      <c r="O806" s="63">
        <f>(AA805+J806)*Lookup!C$26/12</f>
        <v>940.3700287</v>
      </c>
      <c r="P806" s="63">
        <f t="shared" si="8"/>
        <v>8423.86043</v>
      </c>
      <c r="Q806" s="63">
        <f t="shared" si="4"/>
        <v>19733.20855</v>
      </c>
      <c r="R806" s="63">
        <f t="shared" si="5"/>
        <v>1880.740057</v>
      </c>
      <c r="S806" s="64">
        <f t="shared" si="9"/>
        <v>33.33333333</v>
      </c>
      <c r="T806" s="64">
        <f t="shared" si="10"/>
        <v>41.66666667</v>
      </c>
      <c r="U806" s="64">
        <f t="shared" si="11"/>
        <v>0</v>
      </c>
      <c r="V806" s="64">
        <f t="shared" ref="V806:X806" si="814">IF(year($A806)=year($A805), V805+S806, S806)</f>
        <v>66.66666667</v>
      </c>
      <c r="W806" s="64">
        <f t="shared" si="814"/>
        <v>83.33333333</v>
      </c>
      <c r="X806" s="64">
        <f t="shared" si="814"/>
        <v>0</v>
      </c>
      <c r="Y806" s="65">
        <f>IFS(
  B806&lt;55,
    MAX(
      Y805 + IF(MONTH(A806)=12, P806+V806, 0) + H806 - L806
      + MAX(0,
          IF(AA805 &gt;= VLOOKUP(YEAR(A806), Lookup!$Q:$R, 2),
            Z805 + IF(MONTH(A806)=12, Q806+W806, 0) + I806
              + AA805 + IF(MONTH(A806)=12, R806+X806, 0)
              - VLOOKUP(YEAR(A806), Lookup!$Q:$R, 2) + J806,
            Z805 + IF(MONTH(A806)=12, Q806+W806, 0) + I806
          ) - VLOOKUP(YEAR(A806), Lookup!$K:$M, 3)
        ),
    0),
  B806=55,
    IF(Z805&gt;=AD806,
      MAX(Y805 + IF(MONTH(A806)=12, P806+V806, 0) + H806 - L806, 0),
      MAX(MAX(0, Y805-(AD806-Z805)) + IF(MONTH(A806)=12, P806+V806, 0) + H806 - L806, 0)
    ),
  B806&gt;55,
    IF(AB805&gt;=$AH$7,
      MAX(Y805 + IF(MONTH(A806)=12, P806+V806, 0) + H806 - L806 + K806 + Z805, 0),
      MAX(Y805 + IF(MONTH(A806)=12, P806+V806, 0) + H806 - L806, 0)
    )
)</f>
        <v>2021726.503</v>
      </c>
      <c r="Z806" s="65">
        <f>IFS(
  B806&lt;55,
    MIN(
      IF(AA805 &gt;= VLOOKUP(YEAR(A806), Lookup!$Q:$R, 2),
        Z805 + IF(MONTH(A806)=12, Q806+W806, 0) + I806
          + AA805 + IF(MONTH(A806)=12, R806+X806, 0) - VLOOKUP(YEAR(A806), Lookup!$Q:$R, 2) + J806,
        Z805 + IF(MONTH(A806)=12, Q806+W806, 0) + I806
      ),
      VLOOKUP(YEAR(A806), Lookup!$K:$M, 3)
    ),
  B806=55,
    IF(Z805 &gt;= AD806, Z805 - AD806, 0),
  B806&gt;55, 0
)</f>
        <v>0</v>
      </c>
      <c r="AA806" s="65">
        <f>IFS(
  B806&lt;65,
    IF(AA805+J806 &lt; VLOOKUP(YEAR(A806), Lookup!$Q:$R, 2),
      AA805 + IF(MONTH(A806)=12, R805+X805, 0) + J806,
      MIN(
        AA805 + IF(MONTH(A806)=12, R805+X805, 0) + J806 ,
        VLOOKUP(YEAR(A806), Lookup!$Q:$R, 2)
      )
    ),
  B806&gt;=65,
    IF(AA805+J806 &lt; VLOOKUP(questions!$C$5, Lookup!$Q:$R, 2),
      AA805 + IF(MONTH(A806)=12, R805+X805, 0) + J806 ,
      MIN(
        AA805 + IF(MONTH(A806)=12, R805+X805, 0) + J806,
        VLOOKUP(questions!$C$5, Lookup!$Q:$R, 2)
      )
    )
)</f>
        <v>282111.0086</v>
      </c>
      <c r="AB806" s="65">
        <f t="shared" si="13"/>
        <v>2959981.282</v>
      </c>
      <c r="AC806" s="66">
        <f t="array" ref="AC806">IFS(B806&lt;66, XLOOKUP(year(A806),Lookup!$K$13:$K1000,Lookup!$L$13:$L1000,"missing",,1),B806&gt;65,XLOOKUP(questions!$C$5,Lookup!$K$13:$K1000,Lookup!$L$13:$L1000,"missing",,1))</f>
        <v>393675.3633</v>
      </c>
      <c r="AD806" s="66">
        <f t="array" ref="AD806">IFS(B806&lt;66, XLOOKUP(year(A806),Lookup!$K$13:$K1000,Lookup!$M$13:$M1000,"missing",,1),B806&gt;65, XLOOKUP(questions!$C$5,Lookup!$K$13:$K1000,Lookup!$M$13:$M1000,"missing",,1))</f>
        <v>787350.7266</v>
      </c>
      <c r="AE806" s="66">
        <f t="array" ref="AE806">IFS(B806&lt;66, XLOOKUP(year(A806),Lookup!$K$13:$K1000,Lookup!$N$13:$N1000,"missing",,1),B806&gt;65,XLOOKUP(questions!$C$5,Lookup!$K$13:$K1000,Lookup!$N$13:$N1000,"missing",,1))</f>
        <v>1574701.453</v>
      </c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  <c r="AQ806" s="37"/>
    </row>
    <row r="807">
      <c r="A807" s="55">
        <f t="shared" si="7"/>
        <v>70584</v>
      </c>
      <c r="B807" s="56">
        <f>round(YEARFRAC(EOMONTH(questions!$C$3, 0),A807,1),2)</f>
        <v>94.33</v>
      </c>
      <c r="C807" s="58">
        <f>IF(B807&lt;questions!$C$6,if(MONTH(A807)=1,C806*(1+questions!$C$12),C806),0)</f>
        <v>0</v>
      </c>
      <c r="D807" s="58">
        <f>IF(MONTH(A807)=12,C807*questions!$C$11,0)</f>
        <v>0</v>
      </c>
      <c r="E807" s="71">
        <f t="shared" si="2"/>
        <v>0</v>
      </c>
      <c r="F807" s="71">
        <f t="shared" si="3"/>
        <v>0</v>
      </c>
      <c r="G807" s="61">
        <f t="array" ref="G807">if(YEAR(A807)=2025,XLOOKUP(B807,Lookup!$A$3:$A$7,Lookup!$D$3:$D$7,,1)*SUM(E807:F807), XLOOKUP(B807,Lookup!$A$14:$A$18,Lookup!$D$14:$D$18,,1)*SUM(E807:F807))</f>
        <v>0</v>
      </c>
      <c r="H807" s="61">
        <f t="array" ref="H807">if(YEAR(A807)=2025,XLOOKUP(B807,Lookup!$F$3:$F$10,Lookup!$G$3:$G$10,,1)*G807, XLOOKUP(B807,Lookup!$F$14:$F$21,Lookup!$G$14:$G$21,,1)*G807)</f>
        <v>0</v>
      </c>
      <c r="I807" s="61">
        <f t="array" ref="I807">if(B807&lt;55, if(YEAR(A807)=2025,XLOOKUP(B807,Lookup!$F$3:$F$10,Lookup!$H$3:$H$10,,1)*G807, XLOOKUP(B807,Lookup!$F$14:$F$21,Lookup!$H$14:$H$21,,1)*G807),0)</f>
        <v>0</v>
      </c>
      <c r="J807" s="61">
        <f t="array" ref="J807">if(YEAR(A807)=2025,XLOOKUP(B807,Lookup!$F$3:$F$10,Lookup!$I$3:$I$10,,1)*G807, XLOOKUP(B807,Lookup!$F$14:$F$21,Lookup!$I$14:$I$21,,1)*G807)</f>
        <v>0</v>
      </c>
      <c r="K807" s="61">
        <f t="array" ref="K807">if(B807&gt;54, if(YEAR(A807)=2025,XLOOKUP(B807,Lookup!$F$3:$F$10,Lookup!$H$3:$H$10,,1)*G807, XLOOKUP(B807,Lookup!$F$14:$F$21,Lookup!$H$14:$H$21,,1)*G807),0)</f>
        <v>0</v>
      </c>
      <c r="L807" s="62">
        <f>IF(and(A807&lt;questions!$C$19,questions!$C$18="yes"),questions!$C$20,0)</f>
        <v>0</v>
      </c>
      <c r="M807" s="63">
        <f>(Y806+H807)*Lookup!A$26/12</f>
        <v>4211.930215</v>
      </c>
      <c r="N807" s="63">
        <f>if(B807&lt;55, (Z806+I807)*Lookup!B$26/12, (AB806+K807)*Lookup!B$26/12)</f>
        <v>9866.604273</v>
      </c>
      <c r="O807" s="63">
        <f>(AA806+J807)*Lookup!C$26/12</f>
        <v>940.3700287</v>
      </c>
      <c r="P807" s="63">
        <f t="shared" si="8"/>
        <v>12635.79065</v>
      </c>
      <c r="Q807" s="63">
        <f t="shared" si="4"/>
        <v>29599.81282</v>
      </c>
      <c r="R807" s="63">
        <f t="shared" si="5"/>
        <v>2821.110086</v>
      </c>
      <c r="S807" s="64">
        <f t="shared" si="9"/>
        <v>33.33333333</v>
      </c>
      <c r="T807" s="64">
        <f t="shared" si="10"/>
        <v>41.66666667</v>
      </c>
      <c r="U807" s="64">
        <f t="shared" si="11"/>
        <v>0</v>
      </c>
      <c r="V807" s="64">
        <f t="shared" ref="V807:X807" si="815">IF(year($A807)=year($A806), V806+S807, S807)</f>
        <v>100</v>
      </c>
      <c r="W807" s="64">
        <f t="shared" si="815"/>
        <v>125</v>
      </c>
      <c r="X807" s="64">
        <f t="shared" si="815"/>
        <v>0</v>
      </c>
      <c r="Y807" s="65">
        <f>IFS(
  B807&lt;55,
    MAX(
      Y806 + IF(MONTH(A807)=12, P807+V807, 0) + H807 - L807
      + MAX(0,
          IF(AA806 &gt;= VLOOKUP(YEAR(A807), Lookup!$Q:$R, 2),
            Z806 + IF(MONTH(A807)=12, Q807+W807, 0) + I807
              + AA806 + IF(MONTH(A807)=12, R807+X807, 0)
              - VLOOKUP(YEAR(A807), Lookup!$Q:$R, 2) + J807,
            Z806 + IF(MONTH(A807)=12, Q807+W807, 0) + I807
          ) - VLOOKUP(YEAR(A807), Lookup!$K:$M, 3)
        ),
    0),
  B807=55,
    IF(Z806&gt;=AD807,
      MAX(Y806 + IF(MONTH(A807)=12, P807+V807, 0) + H807 - L807, 0),
      MAX(MAX(0, Y806-(AD807-Z806)) + IF(MONTH(A807)=12, P807+V807, 0) + H807 - L807, 0)
    ),
  B807&gt;55,
    IF(AB806&gt;=$AH$7,
      MAX(Y806 + IF(MONTH(A807)=12, P807+V807, 0) + H807 - L807 + K807 + Z806, 0),
      MAX(Y806 + IF(MONTH(A807)=12, P807+V807, 0) + H807 - L807, 0)
    )
)</f>
        <v>2021726.503</v>
      </c>
      <c r="Z807" s="65">
        <f>IFS(
  B807&lt;55,
    MIN(
      IF(AA806 &gt;= VLOOKUP(YEAR(A807), Lookup!$Q:$R, 2),
        Z806 + IF(MONTH(A807)=12, Q807+W807, 0) + I807
          + AA806 + IF(MONTH(A807)=12, R807+X807, 0) - VLOOKUP(YEAR(A807), Lookup!$Q:$R, 2) + J807,
        Z806 + IF(MONTH(A807)=12, Q807+W807, 0) + I807
      ),
      VLOOKUP(YEAR(A807), Lookup!$K:$M, 3)
    ),
  B807=55,
    IF(Z806 &gt;= AD807, Z806 - AD807, 0),
  B807&gt;55, 0
)</f>
        <v>0</v>
      </c>
      <c r="AA807" s="65">
        <f>IFS(
  B807&lt;65,
    IF(AA806+J807 &lt; VLOOKUP(YEAR(A807), Lookup!$Q:$R, 2),
      AA806 + IF(MONTH(A807)=12, R806+X806, 0) + J807,
      MIN(
        AA806 + IF(MONTH(A807)=12, R806+X806, 0) + J807 ,
        VLOOKUP(YEAR(A807), Lookup!$Q:$R, 2)
      )
    ),
  B807&gt;=65,
    IF(AA806+J807 &lt; VLOOKUP(questions!$C$5, Lookup!$Q:$R, 2),
      AA806 + IF(MONTH(A807)=12, R806+X806, 0) + J807 ,
      MIN(
        AA806 + IF(MONTH(A807)=12, R806+X806, 0) + J807,
        VLOOKUP(questions!$C$5, Lookup!$Q:$R, 2)
      )
    )
)</f>
        <v>282111.0086</v>
      </c>
      <c r="AB807" s="65">
        <f t="shared" si="13"/>
        <v>2959981.282</v>
      </c>
      <c r="AC807" s="66">
        <f t="array" ref="AC807">IFS(B807&lt;66, XLOOKUP(year(A807),Lookup!$K$13:$K1000,Lookup!$L$13:$L1000,"missing",,1),B807&gt;65,XLOOKUP(questions!$C$5,Lookup!$K$13:$K1000,Lookup!$L$13:$L1000,"missing",,1))</f>
        <v>393675.3633</v>
      </c>
      <c r="AD807" s="66">
        <f t="array" ref="AD807">IFS(B807&lt;66, XLOOKUP(year(A807),Lookup!$K$13:$K1000,Lookup!$M$13:$M1000,"missing",,1),B807&gt;65, XLOOKUP(questions!$C$5,Lookup!$K$13:$K1000,Lookup!$M$13:$M1000,"missing",,1))</f>
        <v>787350.7266</v>
      </c>
      <c r="AE807" s="66">
        <f t="array" ref="AE807">IFS(B807&lt;66, XLOOKUP(year(A807),Lookup!$K$13:$K1000,Lookup!$N$13:$N1000,"missing",,1),B807&gt;65,XLOOKUP(questions!$C$5,Lookup!$K$13:$K1000,Lookup!$N$13:$N1000,"missing",,1))</f>
        <v>1574701.453</v>
      </c>
      <c r="AF807" s="37"/>
      <c r="AG807" s="37"/>
      <c r="AH807" s="37"/>
      <c r="AI807" s="37"/>
      <c r="AJ807" s="37"/>
      <c r="AK807" s="37"/>
      <c r="AL807" s="37"/>
      <c r="AM807" s="37"/>
      <c r="AN807" s="37"/>
      <c r="AO807" s="37"/>
      <c r="AP807" s="37"/>
      <c r="AQ807" s="37"/>
    </row>
    <row r="808">
      <c r="A808" s="55">
        <f t="shared" si="7"/>
        <v>70614</v>
      </c>
      <c r="B808" s="56">
        <f>round(YEARFRAC(EOMONTH(questions!$C$3, 0),A808,1),2)</f>
        <v>94.41</v>
      </c>
      <c r="C808" s="58">
        <f>IF(B808&lt;questions!$C$6,if(MONTH(A808)=1,C807*(1+questions!$C$12),C807),0)</f>
        <v>0</v>
      </c>
      <c r="D808" s="58">
        <f>IF(MONTH(A808)=12,C808*questions!$C$11,0)</f>
        <v>0</v>
      </c>
      <c r="E808" s="71">
        <f t="shared" si="2"/>
        <v>0</v>
      </c>
      <c r="F808" s="71">
        <f t="shared" si="3"/>
        <v>0</v>
      </c>
      <c r="G808" s="61">
        <f t="array" ref="G808">if(YEAR(A808)=2025,XLOOKUP(B808,Lookup!$A$3:$A$7,Lookup!$D$3:$D$7,,1)*SUM(E808:F808), XLOOKUP(B808,Lookup!$A$14:$A$18,Lookup!$D$14:$D$18,,1)*SUM(E808:F808))</f>
        <v>0</v>
      </c>
      <c r="H808" s="61">
        <f t="array" ref="H808">if(YEAR(A808)=2025,XLOOKUP(B808,Lookup!$F$3:$F$10,Lookup!$G$3:$G$10,,1)*G808, XLOOKUP(B808,Lookup!$F$14:$F$21,Lookup!$G$14:$G$21,,1)*G808)</f>
        <v>0</v>
      </c>
      <c r="I808" s="61">
        <f t="array" ref="I808">if(B808&lt;55, if(YEAR(A808)=2025,XLOOKUP(B808,Lookup!$F$3:$F$10,Lookup!$H$3:$H$10,,1)*G808, XLOOKUP(B808,Lookup!$F$14:$F$21,Lookup!$H$14:$H$21,,1)*G808),0)</f>
        <v>0</v>
      </c>
      <c r="J808" s="61">
        <f t="array" ref="J808">if(YEAR(A808)=2025,XLOOKUP(B808,Lookup!$F$3:$F$10,Lookup!$I$3:$I$10,,1)*G808, XLOOKUP(B808,Lookup!$F$14:$F$21,Lookup!$I$14:$I$21,,1)*G808)</f>
        <v>0</v>
      </c>
      <c r="K808" s="61">
        <f t="array" ref="K808">if(B808&gt;54, if(YEAR(A808)=2025,XLOOKUP(B808,Lookup!$F$3:$F$10,Lookup!$H$3:$H$10,,1)*G808, XLOOKUP(B808,Lookup!$F$14:$F$21,Lookup!$H$14:$H$21,,1)*G808),0)</f>
        <v>0</v>
      </c>
      <c r="L808" s="62">
        <f>IF(and(A808&lt;questions!$C$19,questions!$C$18="yes"),questions!$C$20,0)</f>
        <v>0</v>
      </c>
      <c r="M808" s="63">
        <f>(Y807+H808)*Lookup!A$26/12</f>
        <v>4211.930215</v>
      </c>
      <c r="N808" s="63">
        <f>if(B808&lt;55, (Z807+I808)*Lookup!B$26/12, (AB807+K808)*Lookup!B$26/12)</f>
        <v>9866.604273</v>
      </c>
      <c r="O808" s="63">
        <f>(AA807+J808)*Lookup!C$26/12</f>
        <v>940.3700287</v>
      </c>
      <c r="P808" s="63">
        <f t="shared" si="8"/>
        <v>16847.72086</v>
      </c>
      <c r="Q808" s="63">
        <f t="shared" si="4"/>
        <v>39466.41709</v>
      </c>
      <c r="R808" s="63">
        <f t="shared" si="5"/>
        <v>3761.480115</v>
      </c>
      <c r="S808" s="64">
        <f t="shared" si="9"/>
        <v>33.33333333</v>
      </c>
      <c r="T808" s="64">
        <f t="shared" si="10"/>
        <v>41.66666667</v>
      </c>
      <c r="U808" s="64">
        <f t="shared" si="11"/>
        <v>0</v>
      </c>
      <c r="V808" s="64">
        <f t="shared" ref="V808:X808" si="816">IF(year($A808)=year($A807), V807+S808, S808)</f>
        <v>133.3333333</v>
      </c>
      <c r="W808" s="64">
        <f t="shared" si="816"/>
        <v>166.6666667</v>
      </c>
      <c r="X808" s="64">
        <f t="shared" si="816"/>
        <v>0</v>
      </c>
      <c r="Y808" s="65">
        <f>IFS(
  B808&lt;55,
    MAX(
      Y807 + IF(MONTH(A808)=12, P808+V808, 0) + H808 - L808
      + MAX(0,
          IF(AA807 &gt;= VLOOKUP(YEAR(A808), Lookup!$Q:$R, 2),
            Z807 + IF(MONTH(A808)=12, Q808+W808, 0) + I808
              + AA807 + IF(MONTH(A808)=12, R808+X808, 0)
              - VLOOKUP(YEAR(A808), Lookup!$Q:$R, 2) + J808,
            Z807 + IF(MONTH(A808)=12, Q808+W808, 0) + I808
          ) - VLOOKUP(YEAR(A808), Lookup!$K:$M, 3)
        ),
    0),
  B808=55,
    IF(Z807&gt;=AD808,
      MAX(Y807 + IF(MONTH(A808)=12, P808+V808, 0) + H808 - L808, 0),
      MAX(MAX(0, Y807-(AD808-Z807)) + IF(MONTH(A808)=12, P808+V808, 0) + H808 - L808, 0)
    ),
  B808&gt;55,
    IF(AB807&gt;=$AH$7,
      MAX(Y807 + IF(MONTH(A808)=12, P808+V808, 0) + H808 - L808 + K808 + Z807, 0),
      MAX(Y807 + IF(MONTH(A808)=12, P808+V808, 0) + H808 - L808, 0)
    )
)</f>
        <v>2021726.503</v>
      </c>
      <c r="Z808" s="65">
        <f>IFS(
  B808&lt;55,
    MIN(
      IF(AA807 &gt;= VLOOKUP(YEAR(A808), Lookup!$Q:$R, 2),
        Z807 + IF(MONTH(A808)=12, Q808+W808, 0) + I808
          + AA807 + IF(MONTH(A808)=12, R808+X808, 0) - VLOOKUP(YEAR(A808), Lookup!$Q:$R, 2) + J808,
        Z807 + IF(MONTH(A808)=12, Q808+W808, 0) + I808
      ),
      VLOOKUP(YEAR(A808), Lookup!$K:$M, 3)
    ),
  B808=55,
    IF(Z807 &gt;= AD808, Z807 - AD808, 0),
  B808&gt;55, 0
)</f>
        <v>0</v>
      </c>
      <c r="AA808" s="65">
        <f>IFS(
  B808&lt;65,
    IF(AA807+J808 &lt; VLOOKUP(YEAR(A808), Lookup!$Q:$R, 2),
      AA807 + IF(MONTH(A808)=12, R807+X807, 0) + J808,
      MIN(
        AA807 + IF(MONTH(A808)=12, R807+X807, 0) + J808 ,
        VLOOKUP(YEAR(A808), Lookup!$Q:$R, 2)
      )
    ),
  B808&gt;=65,
    IF(AA807+J808 &lt; VLOOKUP(questions!$C$5, Lookup!$Q:$R, 2),
      AA807 + IF(MONTH(A808)=12, R807+X807, 0) + J808 ,
      MIN(
        AA807 + IF(MONTH(A808)=12, R807+X807, 0) + J808,
        VLOOKUP(questions!$C$5, Lookup!$Q:$R, 2)
      )
    )
)</f>
        <v>282111.0086</v>
      </c>
      <c r="AB808" s="65">
        <f t="shared" si="13"/>
        <v>2959981.282</v>
      </c>
      <c r="AC808" s="66">
        <f t="array" ref="AC808">IFS(B808&lt;66, XLOOKUP(year(A808),Lookup!$K$13:$K1000,Lookup!$L$13:$L1000,"missing",,1),B808&gt;65,XLOOKUP(questions!$C$5,Lookup!$K$13:$K1000,Lookup!$L$13:$L1000,"missing",,1))</f>
        <v>393675.3633</v>
      </c>
      <c r="AD808" s="66">
        <f t="array" ref="AD808">IFS(B808&lt;66, XLOOKUP(year(A808),Lookup!$K$13:$K1000,Lookup!$M$13:$M1000,"missing",,1),B808&gt;65, XLOOKUP(questions!$C$5,Lookup!$K$13:$K1000,Lookup!$M$13:$M1000,"missing",,1))</f>
        <v>787350.7266</v>
      </c>
      <c r="AE808" s="66">
        <f t="array" ref="AE808">IFS(B808&lt;66, XLOOKUP(year(A808),Lookup!$K$13:$K1000,Lookup!$N$13:$N1000,"missing",,1),B808&gt;65,XLOOKUP(questions!$C$5,Lookup!$K$13:$K1000,Lookup!$N$13:$N1000,"missing",,1))</f>
        <v>1574701.453</v>
      </c>
      <c r="AF808" s="37"/>
      <c r="AG808" s="37"/>
      <c r="AH808" s="37"/>
      <c r="AI808" s="37"/>
      <c r="AJ808" s="37"/>
      <c r="AK808" s="37"/>
      <c r="AL808" s="37"/>
      <c r="AM808" s="37"/>
      <c r="AN808" s="37"/>
      <c r="AO808" s="37"/>
      <c r="AP808" s="37"/>
      <c r="AQ808" s="37"/>
    </row>
    <row r="809">
      <c r="A809" s="55">
        <f t="shared" si="7"/>
        <v>70645</v>
      </c>
      <c r="B809" s="56">
        <f>round(YEARFRAC(EOMONTH(questions!$C$3, 0),A809,1),2)</f>
        <v>94.5</v>
      </c>
      <c r="C809" s="58">
        <f>IF(B809&lt;questions!$C$6,if(MONTH(A809)=1,C808*(1+questions!$C$12),C808),0)</f>
        <v>0</v>
      </c>
      <c r="D809" s="58">
        <f>IF(MONTH(A809)=12,C809*questions!$C$11,0)</f>
        <v>0</v>
      </c>
      <c r="E809" s="71">
        <f t="shared" si="2"/>
        <v>0</v>
      </c>
      <c r="F809" s="71">
        <f t="shared" si="3"/>
        <v>0</v>
      </c>
      <c r="G809" s="61">
        <f t="array" ref="G809">if(YEAR(A809)=2025,XLOOKUP(B809,Lookup!$A$3:$A$7,Lookup!$D$3:$D$7,,1)*SUM(E809:F809), XLOOKUP(B809,Lookup!$A$14:$A$18,Lookup!$D$14:$D$18,,1)*SUM(E809:F809))</f>
        <v>0</v>
      </c>
      <c r="H809" s="61">
        <f t="array" ref="H809">if(YEAR(A809)=2025,XLOOKUP(B809,Lookup!$F$3:$F$10,Lookup!$G$3:$G$10,,1)*G809, XLOOKUP(B809,Lookup!$F$14:$F$21,Lookup!$G$14:$G$21,,1)*G809)</f>
        <v>0</v>
      </c>
      <c r="I809" s="61">
        <f t="array" ref="I809">if(B809&lt;55, if(YEAR(A809)=2025,XLOOKUP(B809,Lookup!$F$3:$F$10,Lookup!$H$3:$H$10,,1)*G809, XLOOKUP(B809,Lookup!$F$14:$F$21,Lookup!$H$14:$H$21,,1)*G809),0)</f>
        <v>0</v>
      </c>
      <c r="J809" s="61">
        <f t="array" ref="J809">if(YEAR(A809)=2025,XLOOKUP(B809,Lookup!$F$3:$F$10,Lookup!$I$3:$I$10,,1)*G809, XLOOKUP(B809,Lookup!$F$14:$F$21,Lookup!$I$14:$I$21,,1)*G809)</f>
        <v>0</v>
      </c>
      <c r="K809" s="61">
        <f t="array" ref="K809">if(B809&gt;54, if(YEAR(A809)=2025,XLOOKUP(B809,Lookup!$F$3:$F$10,Lookup!$H$3:$H$10,,1)*G809, XLOOKUP(B809,Lookup!$F$14:$F$21,Lookup!$H$14:$H$21,,1)*G809),0)</f>
        <v>0</v>
      </c>
      <c r="L809" s="62">
        <f>IF(and(A809&lt;questions!$C$19,questions!$C$18="yes"),questions!$C$20,0)</f>
        <v>0</v>
      </c>
      <c r="M809" s="63">
        <f>(Y808+H809)*Lookup!A$26/12</f>
        <v>4211.930215</v>
      </c>
      <c r="N809" s="63">
        <f>if(B809&lt;55, (Z808+I809)*Lookup!B$26/12, (AB808+K809)*Lookup!B$26/12)</f>
        <v>9866.604273</v>
      </c>
      <c r="O809" s="63">
        <f>(AA808+J809)*Lookup!C$26/12</f>
        <v>940.3700287</v>
      </c>
      <c r="P809" s="63">
        <f t="shared" si="8"/>
        <v>21059.65108</v>
      </c>
      <c r="Q809" s="63">
        <f t="shared" si="4"/>
        <v>49333.02136</v>
      </c>
      <c r="R809" s="63">
        <f t="shared" si="5"/>
        <v>4701.850143</v>
      </c>
      <c r="S809" s="64">
        <f t="shared" si="9"/>
        <v>33.33333333</v>
      </c>
      <c r="T809" s="64">
        <f t="shared" si="10"/>
        <v>41.66666667</v>
      </c>
      <c r="U809" s="64">
        <f t="shared" si="11"/>
        <v>0</v>
      </c>
      <c r="V809" s="64">
        <f t="shared" ref="V809:X809" si="817">IF(year($A809)=year($A808), V808+S809, S809)</f>
        <v>166.6666667</v>
      </c>
      <c r="W809" s="64">
        <f t="shared" si="817"/>
        <v>208.3333333</v>
      </c>
      <c r="X809" s="64">
        <f t="shared" si="817"/>
        <v>0</v>
      </c>
      <c r="Y809" s="65">
        <f>IFS(
  B809&lt;55,
    MAX(
      Y808 + IF(MONTH(A809)=12, P809+V809, 0) + H809 - L809
      + MAX(0,
          IF(AA808 &gt;= VLOOKUP(YEAR(A809), Lookup!$Q:$R, 2),
            Z808 + IF(MONTH(A809)=12, Q809+W809, 0) + I809
              + AA808 + IF(MONTH(A809)=12, R809+X809, 0)
              - VLOOKUP(YEAR(A809), Lookup!$Q:$R, 2) + J809,
            Z808 + IF(MONTH(A809)=12, Q809+W809, 0) + I809
          ) - VLOOKUP(YEAR(A809), Lookup!$K:$M, 3)
        ),
    0),
  B809=55,
    IF(Z808&gt;=AD809,
      MAX(Y808 + IF(MONTH(A809)=12, P809+V809, 0) + H809 - L809, 0),
      MAX(MAX(0, Y808-(AD809-Z808)) + IF(MONTH(A809)=12, P809+V809, 0) + H809 - L809, 0)
    ),
  B809&gt;55,
    IF(AB808&gt;=$AH$7,
      MAX(Y808 + IF(MONTH(A809)=12, P809+V809, 0) + H809 - L809 + K809 + Z808, 0),
      MAX(Y808 + IF(MONTH(A809)=12, P809+V809, 0) + H809 - L809, 0)
    )
)</f>
        <v>2021726.503</v>
      </c>
      <c r="Z809" s="65">
        <f>IFS(
  B809&lt;55,
    MIN(
      IF(AA808 &gt;= VLOOKUP(YEAR(A809), Lookup!$Q:$R, 2),
        Z808 + IF(MONTH(A809)=12, Q809+W809, 0) + I809
          + AA808 + IF(MONTH(A809)=12, R809+X809, 0) - VLOOKUP(YEAR(A809), Lookup!$Q:$R, 2) + J809,
        Z808 + IF(MONTH(A809)=12, Q809+W809, 0) + I809
      ),
      VLOOKUP(YEAR(A809), Lookup!$K:$M, 3)
    ),
  B809=55,
    IF(Z808 &gt;= AD809, Z808 - AD809, 0),
  B809&gt;55, 0
)</f>
        <v>0</v>
      </c>
      <c r="AA809" s="65">
        <f>IFS(
  B809&lt;65,
    IF(AA808+J809 &lt; VLOOKUP(YEAR(A809), Lookup!$Q:$R, 2),
      AA808 + IF(MONTH(A809)=12, R808+X808, 0) + J809,
      MIN(
        AA808 + IF(MONTH(A809)=12, R808+X808, 0) + J809 ,
        VLOOKUP(YEAR(A809), Lookup!$Q:$R, 2)
      )
    ),
  B809&gt;=65,
    IF(AA808+J809 &lt; VLOOKUP(questions!$C$5, Lookup!$Q:$R, 2),
      AA808 + IF(MONTH(A809)=12, R808+X808, 0) + J809 ,
      MIN(
        AA808 + IF(MONTH(A809)=12, R808+X808, 0) + J809,
        VLOOKUP(questions!$C$5, Lookup!$Q:$R, 2)
      )
    )
)</f>
        <v>282111.0086</v>
      </c>
      <c r="AB809" s="65">
        <f t="shared" si="13"/>
        <v>2959981.282</v>
      </c>
      <c r="AC809" s="66">
        <f t="array" ref="AC809">IFS(B809&lt;66, XLOOKUP(year(A809),Lookup!$K$13:$K1000,Lookup!$L$13:$L1000,"missing",,1),B809&gt;65,XLOOKUP(questions!$C$5,Lookup!$K$13:$K1000,Lookup!$L$13:$L1000,"missing",,1))</f>
        <v>393675.3633</v>
      </c>
      <c r="AD809" s="66">
        <f t="array" ref="AD809">IFS(B809&lt;66, XLOOKUP(year(A809),Lookup!$K$13:$K1000,Lookup!$M$13:$M1000,"missing",,1),B809&gt;65, XLOOKUP(questions!$C$5,Lookup!$K$13:$K1000,Lookup!$M$13:$M1000,"missing",,1))</f>
        <v>787350.7266</v>
      </c>
      <c r="AE809" s="66">
        <f t="array" ref="AE809">IFS(B809&lt;66, XLOOKUP(year(A809),Lookup!$K$13:$K1000,Lookup!$N$13:$N1000,"missing",,1),B809&gt;65,XLOOKUP(questions!$C$5,Lookup!$K$13:$K1000,Lookup!$N$13:$N1000,"missing",,1))</f>
        <v>1574701.453</v>
      </c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7"/>
      <c r="AQ809" s="37"/>
    </row>
    <row r="810">
      <c r="A810" s="55">
        <f t="shared" si="7"/>
        <v>70675</v>
      </c>
      <c r="B810" s="56">
        <f>round(YEARFRAC(EOMONTH(questions!$C$3, 0),A810,1),2)</f>
        <v>94.58</v>
      </c>
      <c r="C810" s="58">
        <f>IF(B810&lt;questions!$C$6,if(MONTH(A810)=1,C809*(1+questions!$C$12),C809),0)</f>
        <v>0</v>
      </c>
      <c r="D810" s="58">
        <f>IF(MONTH(A810)=12,C810*questions!$C$11,0)</f>
        <v>0</v>
      </c>
      <c r="E810" s="71">
        <f t="shared" si="2"/>
        <v>0</v>
      </c>
      <c r="F810" s="71">
        <f t="shared" si="3"/>
        <v>0</v>
      </c>
      <c r="G810" s="61">
        <f t="array" ref="G810">if(YEAR(A810)=2025,XLOOKUP(B810,Lookup!$A$3:$A$7,Lookup!$D$3:$D$7,,1)*SUM(E810:F810), XLOOKUP(B810,Lookup!$A$14:$A$18,Lookup!$D$14:$D$18,,1)*SUM(E810:F810))</f>
        <v>0</v>
      </c>
      <c r="H810" s="61">
        <f t="array" ref="H810">if(YEAR(A810)=2025,XLOOKUP(B810,Lookup!$F$3:$F$10,Lookup!$G$3:$G$10,,1)*G810, XLOOKUP(B810,Lookup!$F$14:$F$21,Lookup!$G$14:$G$21,,1)*G810)</f>
        <v>0</v>
      </c>
      <c r="I810" s="61">
        <f t="array" ref="I810">if(B810&lt;55, if(YEAR(A810)=2025,XLOOKUP(B810,Lookup!$F$3:$F$10,Lookup!$H$3:$H$10,,1)*G810, XLOOKUP(B810,Lookup!$F$14:$F$21,Lookup!$H$14:$H$21,,1)*G810),0)</f>
        <v>0</v>
      </c>
      <c r="J810" s="61">
        <f t="array" ref="J810">if(YEAR(A810)=2025,XLOOKUP(B810,Lookup!$F$3:$F$10,Lookup!$I$3:$I$10,,1)*G810, XLOOKUP(B810,Lookup!$F$14:$F$21,Lookup!$I$14:$I$21,,1)*G810)</f>
        <v>0</v>
      </c>
      <c r="K810" s="61">
        <f t="array" ref="K810">if(B810&gt;54, if(YEAR(A810)=2025,XLOOKUP(B810,Lookup!$F$3:$F$10,Lookup!$H$3:$H$10,,1)*G810, XLOOKUP(B810,Lookup!$F$14:$F$21,Lookup!$H$14:$H$21,,1)*G810),0)</f>
        <v>0</v>
      </c>
      <c r="L810" s="62">
        <f>IF(and(A810&lt;questions!$C$19,questions!$C$18="yes"),questions!$C$20,0)</f>
        <v>0</v>
      </c>
      <c r="M810" s="63">
        <f>(Y809+H810)*Lookup!A$26/12</f>
        <v>4211.930215</v>
      </c>
      <c r="N810" s="63">
        <f>if(B810&lt;55, (Z809+I810)*Lookup!B$26/12, (AB809+K810)*Lookup!B$26/12)</f>
        <v>9866.604273</v>
      </c>
      <c r="O810" s="63">
        <f>(AA809+J810)*Lookup!C$26/12</f>
        <v>940.3700287</v>
      </c>
      <c r="P810" s="63">
        <f t="shared" si="8"/>
        <v>25271.58129</v>
      </c>
      <c r="Q810" s="63">
        <f t="shared" si="4"/>
        <v>59199.62564</v>
      </c>
      <c r="R810" s="63">
        <f t="shared" si="5"/>
        <v>5642.220172</v>
      </c>
      <c r="S810" s="64">
        <f t="shared" si="9"/>
        <v>33.33333333</v>
      </c>
      <c r="T810" s="64">
        <f t="shared" si="10"/>
        <v>41.66666667</v>
      </c>
      <c r="U810" s="64">
        <f t="shared" si="11"/>
        <v>0</v>
      </c>
      <c r="V810" s="64">
        <f t="shared" ref="V810:X810" si="818">IF(year($A810)=year($A809), V809+S810, S810)</f>
        <v>200</v>
      </c>
      <c r="W810" s="64">
        <f t="shared" si="818"/>
        <v>250</v>
      </c>
      <c r="X810" s="64">
        <f t="shared" si="818"/>
        <v>0</v>
      </c>
      <c r="Y810" s="65">
        <f>IFS(
  B810&lt;55,
    MAX(
      Y809 + IF(MONTH(A810)=12, P810+V810, 0) + H810 - L810
      + MAX(0,
          IF(AA809 &gt;= VLOOKUP(YEAR(A810), Lookup!$Q:$R, 2),
            Z809 + IF(MONTH(A810)=12, Q810+W810, 0) + I810
              + AA809 + IF(MONTH(A810)=12, R810+X810, 0)
              - VLOOKUP(YEAR(A810), Lookup!$Q:$R, 2) + J810,
            Z809 + IF(MONTH(A810)=12, Q810+W810, 0) + I810
          ) - VLOOKUP(YEAR(A810), Lookup!$K:$M, 3)
        ),
    0),
  B810=55,
    IF(Z809&gt;=AD810,
      MAX(Y809 + IF(MONTH(A810)=12, P810+V810, 0) + H810 - L810, 0),
      MAX(MAX(0, Y809-(AD810-Z809)) + IF(MONTH(A810)=12, P810+V810, 0) + H810 - L810, 0)
    ),
  B810&gt;55,
    IF(AB809&gt;=$AH$7,
      MAX(Y809 + IF(MONTH(A810)=12, P810+V810, 0) + H810 - L810 + K810 + Z809, 0),
      MAX(Y809 + IF(MONTH(A810)=12, P810+V810, 0) + H810 - L810, 0)
    )
)</f>
        <v>2021726.503</v>
      </c>
      <c r="Z810" s="65">
        <f>IFS(
  B810&lt;55,
    MIN(
      IF(AA809 &gt;= VLOOKUP(YEAR(A810), Lookup!$Q:$R, 2),
        Z809 + IF(MONTH(A810)=12, Q810+W810, 0) + I810
          + AA809 + IF(MONTH(A810)=12, R810+X810, 0) - VLOOKUP(YEAR(A810), Lookup!$Q:$R, 2) + J810,
        Z809 + IF(MONTH(A810)=12, Q810+W810, 0) + I810
      ),
      VLOOKUP(YEAR(A810), Lookup!$K:$M, 3)
    ),
  B810=55,
    IF(Z809 &gt;= AD810, Z809 - AD810, 0),
  B810&gt;55, 0
)</f>
        <v>0</v>
      </c>
      <c r="AA810" s="65">
        <f>IFS(
  B810&lt;65,
    IF(AA809+J810 &lt; VLOOKUP(YEAR(A810), Lookup!$Q:$R, 2),
      AA809 + IF(MONTH(A810)=12, R809+X809, 0) + J810,
      MIN(
        AA809 + IF(MONTH(A810)=12, R809+X809, 0) + J810 ,
        VLOOKUP(YEAR(A810), Lookup!$Q:$R, 2)
      )
    ),
  B810&gt;=65,
    IF(AA809+J810 &lt; VLOOKUP(questions!$C$5, Lookup!$Q:$R, 2),
      AA809 + IF(MONTH(A810)=12, R809+X809, 0) + J810 ,
      MIN(
        AA809 + IF(MONTH(A810)=12, R809+X809, 0) + J810,
        VLOOKUP(questions!$C$5, Lookup!$Q:$R, 2)
      )
    )
)</f>
        <v>282111.0086</v>
      </c>
      <c r="AB810" s="65">
        <f t="shared" si="13"/>
        <v>2959981.282</v>
      </c>
      <c r="AC810" s="66">
        <f t="array" ref="AC810">IFS(B810&lt;66, XLOOKUP(year(A810),Lookup!$K$13:$K1000,Lookup!$L$13:$L1000,"missing",,1),B810&gt;65,XLOOKUP(questions!$C$5,Lookup!$K$13:$K1000,Lookup!$L$13:$L1000,"missing",,1))</f>
        <v>393675.3633</v>
      </c>
      <c r="AD810" s="66">
        <f t="array" ref="AD810">IFS(B810&lt;66, XLOOKUP(year(A810),Lookup!$K$13:$K1000,Lookup!$M$13:$M1000,"missing",,1),B810&gt;65, XLOOKUP(questions!$C$5,Lookup!$K$13:$K1000,Lookup!$M$13:$M1000,"missing",,1))</f>
        <v>787350.7266</v>
      </c>
      <c r="AE810" s="66">
        <f t="array" ref="AE810">IFS(B810&lt;66, XLOOKUP(year(A810),Lookup!$K$13:$K1000,Lookup!$N$13:$N1000,"missing",,1),B810&gt;65,XLOOKUP(questions!$C$5,Lookup!$K$13:$K1000,Lookup!$N$13:$N1000,"missing",,1))</f>
        <v>1574701.453</v>
      </c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7"/>
      <c r="AQ810" s="37"/>
    </row>
    <row r="811">
      <c r="A811" s="55">
        <f t="shared" si="7"/>
        <v>70706</v>
      </c>
      <c r="B811" s="56">
        <f>round(YEARFRAC(EOMONTH(questions!$C$3, 0),A811,1),2)</f>
        <v>94.67</v>
      </c>
      <c r="C811" s="58">
        <f>IF(B811&lt;questions!$C$6,if(MONTH(A811)=1,C810*(1+questions!$C$12),C810),0)</f>
        <v>0</v>
      </c>
      <c r="D811" s="58">
        <f>IF(MONTH(A811)=12,C811*questions!$C$11,0)</f>
        <v>0</v>
      </c>
      <c r="E811" s="71">
        <f t="shared" si="2"/>
        <v>0</v>
      </c>
      <c r="F811" s="71">
        <f t="shared" si="3"/>
        <v>0</v>
      </c>
      <c r="G811" s="61">
        <f t="array" ref="G811">if(YEAR(A811)=2025,XLOOKUP(B811,Lookup!$A$3:$A$7,Lookup!$D$3:$D$7,,1)*SUM(E811:F811), XLOOKUP(B811,Lookup!$A$14:$A$18,Lookup!$D$14:$D$18,,1)*SUM(E811:F811))</f>
        <v>0</v>
      </c>
      <c r="H811" s="61">
        <f t="array" ref="H811">if(YEAR(A811)=2025,XLOOKUP(B811,Lookup!$F$3:$F$10,Lookup!$G$3:$G$10,,1)*G811, XLOOKUP(B811,Lookup!$F$14:$F$21,Lookup!$G$14:$G$21,,1)*G811)</f>
        <v>0</v>
      </c>
      <c r="I811" s="61">
        <f t="array" ref="I811">if(B811&lt;55, if(YEAR(A811)=2025,XLOOKUP(B811,Lookup!$F$3:$F$10,Lookup!$H$3:$H$10,,1)*G811, XLOOKUP(B811,Lookup!$F$14:$F$21,Lookup!$H$14:$H$21,,1)*G811),0)</f>
        <v>0</v>
      </c>
      <c r="J811" s="61">
        <f t="array" ref="J811">if(YEAR(A811)=2025,XLOOKUP(B811,Lookup!$F$3:$F$10,Lookup!$I$3:$I$10,,1)*G811, XLOOKUP(B811,Lookup!$F$14:$F$21,Lookup!$I$14:$I$21,,1)*G811)</f>
        <v>0</v>
      </c>
      <c r="K811" s="61">
        <f t="array" ref="K811">if(B811&gt;54, if(YEAR(A811)=2025,XLOOKUP(B811,Lookup!$F$3:$F$10,Lookup!$H$3:$H$10,,1)*G811, XLOOKUP(B811,Lookup!$F$14:$F$21,Lookup!$H$14:$H$21,,1)*G811),0)</f>
        <v>0</v>
      </c>
      <c r="L811" s="62">
        <f>IF(and(A811&lt;questions!$C$19,questions!$C$18="yes"),questions!$C$20,0)</f>
        <v>0</v>
      </c>
      <c r="M811" s="63">
        <f>(Y810+H811)*Lookup!A$26/12</f>
        <v>4211.930215</v>
      </c>
      <c r="N811" s="63">
        <f>if(B811&lt;55, (Z810+I811)*Lookup!B$26/12, (AB810+K811)*Lookup!B$26/12)</f>
        <v>9866.604273</v>
      </c>
      <c r="O811" s="63">
        <f>(AA810+J811)*Lookup!C$26/12</f>
        <v>940.3700287</v>
      </c>
      <c r="P811" s="63">
        <f t="shared" si="8"/>
        <v>29483.51151</v>
      </c>
      <c r="Q811" s="63">
        <f t="shared" si="4"/>
        <v>69066.22991</v>
      </c>
      <c r="R811" s="63">
        <f t="shared" si="5"/>
        <v>6582.590201</v>
      </c>
      <c r="S811" s="64">
        <f t="shared" si="9"/>
        <v>33.33333333</v>
      </c>
      <c r="T811" s="64">
        <f t="shared" si="10"/>
        <v>41.66666667</v>
      </c>
      <c r="U811" s="64">
        <f t="shared" si="11"/>
        <v>0</v>
      </c>
      <c r="V811" s="64">
        <f t="shared" ref="V811:X811" si="819">IF(year($A811)=year($A810), V810+S811, S811)</f>
        <v>233.3333333</v>
      </c>
      <c r="W811" s="64">
        <f t="shared" si="819"/>
        <v>291.6666667</v>
      </c>
      <c r="X811" s="64">
        <f t="shared" si="819"/>
        <v>0</v>
      </c>
      <c r="Y811" s="65">
        <f>IFS(
  B811&lt;55,
    MAX(
      Y810 + IF(MONTH(A811)=12, P811+V811, 0) + H811 - L811
      + MAX(0,
          IF(AA810 &gt;= VLOOKUP(YEAR(A811), Lookup!$Q:$R, 2),
            Z810 + IF(MONTH(A811)=12, Q811+W811, 0) + I811
              + AA810 + IF(MONTH(A811)=12, R811+X811, 0)
              - VLOOKUP(YEAR(A811), Lookup!$Q:$R, 2) + J811,
            Z810 + IF(MONTH(A811)=12, Q811+W811, 0) + I811
          ) - VLOOKUP(YEAR(A811), Lookup!$K:$M, 3)
        ),
    0),
  B811=55,
    IF(Z810&gt;=AD811,
      MAX(Y810 + IF(MONTH(A811)=12, P811+V811, 0) + H811 - L811, 0),
      MAX(MAX(0, Y810-(AD811-Z810)) + IF(MONTH(A811)=12, P811+V811, 0) + H811 - L811, 0)
    ),
  B811&gt;55,
    IF(AB810&gt;=$AH$7,
      MAX(Y810 + IF(MONTH(A811)=12, P811+V811, 0) + H811 - L811 + K811 + Z810, 0),
      MAX(Y810 + IF(MONTH(A811)=12, P811+V811, 0) + H811 - L811, 0)
    )
)</f>
        <v>2021726.503</v>
      </c>
      <c r="Z811" s="65">
        <f>IFS(
  B811&lt;55,
    MIN(
      IF(AA810 &gt;= VLOOKUP(YEAR(A811), Lookup!$Q:$R, 2),
        Z810 + IF(MONTH(A811)=12, Q811+W811, 0) + I811
          + AA810 + IF(MONTH(A811)=12, R811+X811, 0) - VLOOKUP(YEAR(A811), Lookup!$Q:$R, 2) + J811,
        Z810 + IF(MONTH(A811)=12, Q811+W811, 0) + I811
      ),
      VLOOKUP(YEAR(A811), Lookup!$K:$M, 3)
    ),
  B811=55,
    IF(Z810 &gt;= AD811, Z810 - AD811, 0),
  B811&gt;55, 0
)</f>
        <v>0</v>
      </c>
      <c r="AA811" s="65">
        <f>IFS(
  B811&lt;65,
    IF(AA810+J811 &lt; VLOOKUP(YEAR(A811), Lookup!$Q:$R, 2),
      AA810 + IF(MONTH(A811)=12, R810+X810, 0) + J811,
      MIN(
        AA810 + IF(MONTH(A811)=12, R810+X810, 0) + J811 ,
        VLOOKUP(YEAR(A811), Lookup!$Q:$R, 2)
      )
    ),
  B811&gt;=65,
    IF(AA810+J811 &lt; VLOOKUP(questions!$C$5, Lookup!$Q:$R, 2),
      AA810 + IF(MONTH(A811)=12, R810+X810, 0) + J811 ,
      MIN(
        AA810 + IF(MONTH(A811)=12, R810+X810, 0) + J811,
        VLOOKUP(questions!$C$5, Lookup!$Q:$R, 2)
      )
    )
)</f>
        <v>282111.0086</v>
      </c>
      <c r="AB811" s="65">
        <f t="shared" si="13"/>
        <v>2959981.282</v>
      </c>
      <c r="AC811" s="66">
        <f t="array" ref="AC811">IFS(B811&lt;66, XLOOKUP(year(A811),Lookup!$K$13:$K1000,Lookup!$L$13:$L1000,"missing",,1),B811&gt;65,XLOOKUP(questions!$C$5,Lookup!$K$13:$K1000,Lookup!$L$13:$L1000,"missing",,1))</f>
        <v>393675.3633</v>
      </c>
      <c r="AD811" s="66">
        <f t="array" ref="AD811">IFS(B811&lt;66, XLOOKUP(year(A811),Lookup!$K$13:$K1000,Lookup!$M$13:$M1000,"missing",,1),B811&gt;65, XLOOKUP(questions!$C$5,Lookup!$K$13:$K1000,Lookup!$M$13:$M1000,"missing",,1))</f>
        <v>787350.7266</v>
      </c>
      <c r="AE811" s="66">
        <f t="array" ref="AE811">IFS(B811&lt;66, XLOOKUP(year(A811),Lookup!$K$13:$K1000,Lookup!$N$13:$N1000,"missing",,1),B811&gt;65,XLOOKUP(questions!$C$5,Lookup!$K$13:$K1000,Lookup!$N$13:$N1000,"missing",,1))</f>
        <v>1574701.453</v>
      </c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  <c r="AQ811" s="37"/>
    </row>
    <row r="812">
      <c r="A812" s="55">
        <f t="shared" si="7"/>
        <v>70737</v>
      </c>
      <c r="B812" s="56">
        <f>round(YEARFRAC(EOMONTH(questions!$C$3, 0),A812,1),2)</f>
        <v>94.75</v>
      </c>
      <c r="C812" s="58">
        <f>IF(B812&lt;questions!$C$6,if(MONTH(A812)=1,C811*(1+questions!$C$12),C811),0)</f>
        <v>0</v>
      </c>
      <c r="D812" s="58">
        <f>IF(MONTH(A812)=12,C812*questions!$C$11,0)</f>
        <v>0</v>
      </c>
      <c r="E812" s="71">
        <f t="shared" si="2"/>
        <v>0</v>
      </c>
      <c r="F812" s="71">
        <f t="shared" si="3"/>
        <v>0</v>
      </c>
      <c r="G812" s="61">
        <f t="array" ref="G812">if(YEAR(A812)=2025,XLOOKUP(B812,Lookup!$A$3:$A$7,Lookup!$D$3:$D$7,,1)*SUM(E812:F812), XLOOKUP(B812,Lookup!$A$14:$A$18,Lookup!$D$14:$D$18,,1)*SUM(E812:F812))</f>
        <v>0</v>
      </c>
      <c r="H812" s="61">
        <f t="array" ref="H812">if(YEAR(A812)=2025,XLOOKUP(B812,Lookup!$F$3:$F$10,Lookup!$G$3:$G$10,,1)*G812, XLOOKUP(B812,Lookup!$F$14:$F$21,Lookup!$G$14:$G$21,,1)*G812)</f>
        <v>0</v>
      </c>
      <c r="I812" s="61">
        <f t="array" ref="I812">if(B812&lt;55, if(YEAR(A812)=2025,XLOOKUP(B812,Lookup!$F$3:$F$10,Lookup!$H$3:$H$10,,1)*G812, XLOOKUP(B812,Lookup!$F$14:$F$21,Lookup!$H$14:$H$21,,1)*G812),0)</f>
        <v>0</v>
      </c>
      <c r="J812" s="61">
        <f t="array" ref="J812">if(YEAR(A812)=2025,XLOOKUP(B812,Lookup!$F$3:$F$10,Lookup!$I$3:$I$10,,1)*G812, XLOOKUP(B812,Lookup!$F$14:$F$21,Lookup!$I$14:$I$21,,1)*G812)</f>
        <v>0</v>
      </c>
      <c r="K812" s="61">
        <f t="array" ref="K812">if(B812&gt;54, if(YEAR(A812)=2025,XLOOKUP(B812,Lookup!$F$3:$F$10,Lookup!$H$3:$H$10,,1)*G812, XLOOKUP(B812,Lookup!$F$14:$F$21,Lookup!$H$14:$H$21,,1)*G812),0)</f>
        <v>0</v>
      </c>
      <c r="L812" s="62">
        <f>IF(and(A812&lt;questions!$C$19,questions!$C$18="yes"),questions!$C$20,0)</f>
        <v>0</v>
      </c>
      <c r="M812" s="63">
        <f>(Y811+H812)*Lookup!A$26/12</f>
        <v>4211.930215</v>
      </c>
      <c r="N812" s="63">
        <f>if(B812&lt;55, (Z811+I812)*Lookup!B$26/12, (AB811+K812)*Lookup!B$26/12)</f>
        <v>9866.604273</v>
      </c>
      <c r="O812" s="63">
        <f>(AA811+J812)*Lookup!C$26/12</f>
        <v>940.3700287</v>
      </c>
      <c r="P812" s="63">
        <f t="shared" si="8"/>
        <v>33695.44172</v>
      </c>
      <c r="Q812" s="63">
        <f t="shared" si="4"/>
        <v>78932.83418</v>
      </c>
      <c r="R812" s="63">
        <f t="shared" si="5"/>
        <v>7522.960229</v>
      </c>
      <c r="S812" s="64">
        <f t="shared" si="9"/>
        <v>33.33333333</v>
      </c>
      <c r="T812" s="64">
        <f t="shared" si="10"/>
        <v>41.66666667</v>
      </c>
      <c r="U812" s="64">
        <f t="shared" si="11"/>
        <v>0</v>
      </c>
      <c r="V812" s="64">
        <f t="shared" ref="V812:X812" si="820">IF(year($A812)=year($A811), V811+S812, S812)</f>
        <v>266.6666667</v>
      </c>
      <c r="W812" s="64">
        <f t="shared" si="820"/>
        <v>333.3333333</v>
      </c>
      <c r="X812" s="64">
        <f t="shared" si="820"/>
        <v>0</v>
      </c>
      <c r="Y812" s="65">
        <f>IFS(
  B812&lt;55,
    MAX(
      Y811 + IF(MONTH(A812)=12, P812+V812, 0) + H812 - L812
      + MAX(0,
          IF(AA811 &gt;= VLOOKUP(YEAR(A812), Lookup!$Q:$R, 2),
            Z811 + IF(MONTH(A812)=12, Q812+W812, 0) + I812
              + AA811 + IF(MONTH(A812)=12, R812+X812, 0)
              - VLOOKUP(YEAR(A812), Lookup!$Q:$R, 2) + J812,
            Z811 + IF(MONTH(A812)=12, Q812+W812, 0) + I812
          ) - VLOOKUP(YEAR(A812), Lookup!$K:$M, 3)
        ),
    0),
  B812=55,
    IF(Z811&gt;=AD812,
      MAX(Y811 + IF(MONTH(A812)=12, P812+V812, 0) + H812 - L812, 0),
      MAX(MAX(0, Y811-(AD812-Z811)) + IF(MONTH(A812)=12, P812+V812, 0) + H812 - L812, 0)
    ),
  B812&gt;55,
    IF(AB811&gt;=$AH$7,
      MAX(Y811 + IF(MONTH(A812)=12, P812+V812, 0) + H812 - L812 + K812 + Z811, 0),
      MAX(Y811 + IF(MONTH(A812)=12, P812+V812, 0) + H812 - L812, 0)
    )
)</f>
        <v>2021726.503</v>
      </c>
      <c r="Z812" s="65">
        <f>IFS(
  B812&lt;55,
    MIN(
      IF(AA811 &gt;= VLOOKUP(YEAR(A812), Lookup!$Q:$R, 2),
        Z811 + IF(MONTH(A812)=12, Q812+W812, 0) + I812
          + AA811 + IF(MONTH(A812)=12, R812+X812, 0) - VLOOKUP(YEAR(A812), Lookup!$Q:$R, 2) + J812,
        Z811 + IF(MONTH(A812)=12, Q812+W812, 0) + I812
      ),
      VLOOKUP(YEAR(A812), Lookup!$K:$M, 3)
    ),
  B812=55,
    IF(Z811 &gt;= AD812, Z811 - AD812, 0),
  B812&gt;55, 0
)</f>
        <v>0</v>
      </c>
      <c r="AA812" s="65">
        <f>IFS(
  B812&lt;65,
    IF(AA811+J812 &lt; VLOOKUP(YEAR(A812), Lookup!$Q:$R, 2),
      AA811 + IF(MONTH(A812)=12, R811+X811, 0) + J812,
      MIN(
        AA811 + IF(MONTH(A812)=12, R811+X811, 0) + J812 ,
        VLOOKUP(YEAR(A812), Lookup!$Q:$R, 2)
      )
    ),
  B812&gt;=65,
    IF(AA811+J812 &lt; VLOOKUP(questions!$C$5, Lookup!$Q:$R, 2),
      AA811 + IF(MONTH(A812)=12, R811+X811, 0) + J812 ,
      MIN(
        AA811 + IF(MONTH(A812)=12, R811+X811, 0) + J812,
        VLOOKUP(questions!$C$5, Lookup!$Q:$R, 2)
      )
    )
)</f>
        <v>282111.0086</v>
      </c>
      <c r="AB812" s="65">
        <f t="shared" si="13"/>
        <v>2959981.282</v>
      </c>
      <c r="AC812" s="66">
        <f t="array" ref="AC812">IFS(B812&lt;66, XLOOKUP(year(A812),Lookup!$K$13:$K1000,Lookup!$L$13:$L1000,"missing",,1),B812&gt;65,XLOOKUP(questions!$C$5,Lookup!$K$13:$K1000,Lookup!$L$13:$L1000,"missing",,1))</f>
        <v>393675.3633</v>
      </c>
      <c r="AD812" s="66">
        <f t="array" ref="AD812">IFS(B812&lt;66, XLOOKUP(year(A812),Lookup!$K$13:$K1000,Lookup!$M$13:$M1000,"missing",,1),B812&gt;65, XLOOKUP(questions!$C$5,Lookup!$K$13:$K1000,Lookup!$M$13:$M1000,"missing",,1))</f>
        <v>787350.7266</v>
      </c>
      <c r="AE812" s="66">
        <f t="array" ref="AE812">IFS(B812&lt;66, XLOOKUP(year(A812),Lookup!$K$13:$K1000,Lookup!$N$13:$N1000,"missing",,1),B812&gt;65,XLOOKUP(questions!$C$5,Lookup!$K$13:$K1000,Lookup!$N$13:$N1000,"missing",,1))</f>
        <v>1574701.453</v>
      </c>
      <c r="AF812" s="37"/>
      <c r="AG812" s="37"/>
      <c r="AH812" s="37"/>
      <c r="AI812" s="37"/>
      <c r="AJ812" s="37"/>
      <c r="AK812" s="37"/>
      <c r="AL812" s="37"/>
      <c r="AM812" s="37"/>
      <c r="AN812" s="37"/>
      <c r="AO812" s="37"/>
      <c r="AP812" s="37"/>
      <c r="AQ812" s="37"/>
    </row>
    <row r="813">
      <c r="A813" s="55">
        <f t="shared" si="7"/>
        <v>70767</v>
      </c>
      <c r="B813" s="56">
        <f>round(YEARFRAC(EOMONTH(questions!$C$3, 0),A813,1),2)</f>
        <v>94.83</v>
      </c>
      <c r="C813" s="58">
        <f>IF(B813&lt;questions!$C$6,if(MONTH(A813)=1,C812*(1+questions!$C$12),C812),0)</f>
        <v>0</v>
      </c>
      <c r="D813" s="58">
        <f>IF(MONTH(A813)=12,C813*questions!$C$11,0)</f>
        <v>0</v>
      </c>
      <c r="E813" s="71">
        <f t="shared" si="2"/>
        <v>0</v>
      </c>
      <c r="F813" s="71">
        <f t="shared" si="3"/>
        <v>0</v>
      </c>
      <c r="G813" s="61">
        <f t="array" ref="G813">if(YEAR(A813)=2025,XLOOKUP(B813,Lookup!$A$3:$A$7,Lookup!$D$3:$D$7,,1)*SUM(E813:F813), XLOOKUP(B813,Lookup!$A$14:$A$18,Lookup!$D$14:$D$18,,1)*SUM(E813:F813))</f>
        <v>0</v>
      </c>
      <c r="H813" s="61">
        <f t="array" ref="H813">if(YEAR(A813)=2025,XLOOKUP(B813,Lookup!$F$3:$F$10,Lookup!$G$3:$G$10,,1)*G813, XLOOKUP(B813,Lookup!$F$14:$F$21,Lookup!$G$14:$G$21,,1)*G813)</f>
        <v>0</v>
      </c>
      <c r="I813" s="61">
        <f t="array" ref="I813">if(B813&lt;55, if(YEAR(A813)=2025,XLOOKUP(B813,Lookup!$F$3:$F$10,Lookup!$H$3:$H$10,,1)*G813, XLOOKUP(B813,Lookup!$F$14:$F$21,Lookup!$H$14:$H$21,,1)*G813),0)</f>
        <v>0</v>
      </c>
      <c r="J813" s="61">
        <f t="array" ref="J813">if(YEAR(A813)=2025,XLOOKUP(B813,Lookup!$F$3:$F$10,Lookup!$I$3:$I$10,,1)*G813, XLOOKUP(B813,Lookup!$F$14:$F$21,Lookup!$I$14:$I$21,,1)*G813)</f>
        <v>0</v>
      </c>
      <c r="K813" s="61">
        <f t="array" ref="K813">if(B813&gt;54, if(YEAR(A813)=2025,XLOOKUP(B813,Lookup!$F$3:$F$10,Lookup!$H$3:$H$10,,1)*G813, XLOOKUP(B813,Lookup!$F$14:$F$21,Lookup!$H$14:$H$21,,1)*G813),0)</f>
        <v>0</v>
      </c>
      <c r="L813" s="62">
        <f>IF(and(A813&lt;questions!$C$19,questions!$C$18="yes"),questions!$C$20,0)</f>
        <v>0</v>
      </c>
      <c r="M813" s="63">
        <f>(Y812+H813)*Lookup!A$26/12</f>
        <v>4211.930215</v>
      </c>
      <c r="N813" s="63">
        <f>if(B813&lt;55, (Z812+I813)*Lookup!B$26/12, (AB812+K813)*Lookup!B$26/12)</f>
        <v>9866.604273</v>
      </c>
      <c r="O813" s="63">
        <f>(AA812+J813)*Lookup!C$26/12</f>
        <v>940.3700287</v>
      </c>
      <c r="P813" s="63">
        <f t="shared" si="8"/>
        <v>37907.37194</v>
      </c>
      <c r="Q813" s="63">
        <f t="shared" si="4"/>
        <v>88799.43846</v>
      </c>
      <c r="R813" s="63">
        <f t="shared" si="5"/>
        <v>8463.330258</v>
      </c>
      <c r="S813" s="64">
        <f t="shared" si="9"/>
        <v>33.33333333</v>
      </c>
      <c r="T813" s="64">
        <f t="shared" si="10"/>
        <v>41.66666667</v>
      </c>
      <c r="U813" s="64">
        <f t="shared" si="11"/>
        <v>0</v>
      </c>
      <c r="V813" s="64">
        <f t="shared" ref="V813:X813" si="821">IF(year($A813)=year($A812), V812+S813, S813)</f>
        <v>300</v>
      </c>
      <c r="W813" s="64">
        <f t="shared" si="821"/>
        <v>375</v>
      </c>
      <c r="X813" s="64">
        <f t="shared" si="821"/>
        <v>0</v>
      </c>
      <c r="Y813" s="65">
        <f>IFS(
  B813&lt;55,
    MAX(
      Y812 + IF(MONTH(A813)=12, P813+V813, 0) + H813 - L813
      + MAX(0,
          IF(AA812 &gt;= VLOOKUP(YEAR(A813), Lookup!$Q:$R, 2),
            Z812 + IF(MONTH(A813)=12, Q813+W813, 0) + I813
              + AA812 + IF(MONTH(A813)=12, R813+X813, 0)
              - VLOOKUP(YEAR(A813), Lookup!$Q:$R, 2) + J813,
            Z812 + IF(MONTH(A813)=12, Q813+W813, 0) + I813
          ) - VLOOKUP(YEAR(A813), Lookup!$K:$M, 3)
        ),
    0),
  B813=55,
    IF(Z812&gt;=AD813,
      MAX(Y812 + IF(MONTH(A813)=12, P813+V813, 0) + H813 - L813, 0),
      MAX(MAX(0, Y812-(AD813-Z812)) + IF(MONTH(A813)=12, P813+V813, 0) + H813 - L813, 0)
    ),
  B813&gt;55,
    IF(AB812&gt;=$AH$7,
      MAX(Y812 + IF(MONTH(A813)=12, P813+V813, 0) + H813 - L813 + K813 + Z812, 0),
      MAX(Y812 + IF(MONTH(A813)=12, P813+V813, 0) + H813 - L813, 0)
    )
)</f>
        <v>2021726.503</v>
      </c>
      <c r="Z813" s="65">
        <f>IFS(
  B813&lt;55,
    MIN(
      IF(AA812 &gt;= VLOOKUP(YEAR(A813), Lookup!$Q:$R, 2),
        Z812 + IF(MONTH(A813)=12, Q813+W813, 0) + I813
          + AA812 + IF(MONTH(A813)=12, R813+X813, 0) - VLOOKUP(YEAR(A813), Lookup!$Q:$R, 2) + J813,
        Z812 + IF(MONTH(A813)=12, Q813+W813, 0) + I813
      ),
      VLOOKUP(YEAR(A813), Lookup!$K:$M, 3)
    ),
  B813=55,
    IF(Z812 &gt;= AD813, Z812 - AD813, 0),
  B813&gt;55, 0
)</f>
        <v>0</v>
      </c>
      <c r="AA813" s="65">
        <f>IFS(
  B813&lt;65,
    IF(AA812+J813 &lt; VLOOKUP(YEAR(A813), Lookup!$Q:$R, 2),
      AA812 + IF(MONTH(A813)=12, R812+X812, 0) + J813,
      MIN(
        AA812 + IF(MONTH(A813)=12, R812+X812, 0) + J813 ,
        VLOOKUP(YEAR(A813), Lookup!$Q:$R, 2)
      )
    ),
  B813&gt;=65,
    IF(AA812+J813 &lt; VLOOKUP(questions!$C$5, Lookup!$Q:$R, 2),
      AA812 + IF(MONTH(A813)=12, R812+X812, 0) + J813 ,
      MIN(
        AA812 + IF(MONTH(A813)=12, R812+X812, 0) + J813,
        VLOOKUP(questions!$C$5, Lookup!$Q:$R, 2)
      )
    )
)</f>
        <v>282111.0086</v>
      </c>
      <c r="AB813" s="65">
        <f t="shared" si="13"/>
        <v>2959981.282</v>
      </c>
      <c r="AC813" s="66">
        <f t="array" ref="AC813">IFS(B813&lt;66, XLOOKUP(year(A813),Lookup!$K$13:$K1000,Lookup!$L$13:$L1000,"missing",,1),B813&gt;65,XLOOKUP(questions!$C$5,Lookup!$K$13:$K1000,Lookup!$L$13:$L1000,"missing",,1))</f>
        <v>393675.3633</v>
      </c>
      <c r="AD813" s="66">
        <f t="array" ref="AD813">IFS(B813&lt;66, XLOOKUP(year(A813),Lookup!$K$13:$K1000,Lookup!$M$13:$M1000,"missing",,1),B813&gt;65, XLOOKUP(questions!$C$5,Lookup!$K$13:$K1000,Lookup!$M$13:$M1000,"missing",,1))</f>
        <v>787350.7266</v>
      </c>
      <c r="AE813" s="66">
        <f t="array" ref="AE813">IFS(B813&lt;66, XLOOKUP(year(A813),Lookup!$K$13:$K1000,Lookup!$N$13:$N1000,"missing",,1),B813&gt;65,XLOOKUP(questions!$C$5,Lookup!$K$13:$K1000,Lookup!$N$13:$N1000,"missing",,1))</f>
        <v>1574701.453</v>
      </c>
      <c r="AF813" s="37"/>
      <c r="AG813" s="37"/>
      <c r="AH813" s="37"/>
      <c r="AI813" s="37"/>
      <c r="AJ813" s="37"/>
      <c r="AK813" s="37"/>
      <c r="AL813" s="37"/>
      <c r="AM813" s="37"/>
      <c r="AN813" s="37"/>
      <c r="AO813" s="37"/>
      <c r="AP813" s="37"/>
      <c r="AQ813" s="37"/>
    </row>
    <row r="814">
      <c r="A814" s="55">
        <f t="shared" si="7"/>
        <v>70798</v>
      </c>
      <c r="B814" s="56">
        <f>round(YEARFRAC(EOMONTH(questions!$C$3, 0),A814,1),2)</f>
        <v>94.92</v>
      </c>
      <c r="C814" s="58">
        <f>IF(B814&lt;questions!$C$6,if(MONTH(A814)=1,C813*(1+questions!$C$12),C813),0)</f>
        <v>0</v>
      </c>
      <c r="D814" s="58">
        <f>IF(MONTH(A814)=12,C814*questions!$C$11,0)</f>
        <v>0</v>
      </c>
      <c r="E814" s="71">
        <f t="shared" si="2"/>
        <v>0</v>
      </c>
      <c r="F814" s="71">
        <f t="shared" si="3"/>
        <v>0</v>
      </c>
      <c r="G814" s="61">
        <f t="array" ref="G814">if(YEAR(A814)=2025,XLOOKUP(B814,Lookup!$A$3:$A$7,Lookup!$D$3:$D$7,,1)*SUM(E814:F814), XLOOKUP(B814,Lookup!$A$14:$A$18,Lookup!$D$14:$D$18,,1)*SUM(E814:F814))</f>
        <v>0</v>
      </c>
      <c r="H814" s="61">
        <f t="array" ref="H814">if(YEAR(A814)=2025,XLOOKUP(B814,Lookup!$F$3:$F$10,Lookup!$G$3:$G$10,,1)*G814, XLOOKUP(B814,Lookup!$F$14:$F$21,Lookup!$G$14:$G$21,,1)*G814)</f>
        <v>0</v>
      </c>
      <c r="I814" s="61">
        <f t="array" ref="I814">if(B814&lt;55, if(YEAR(A814)=2025,XLOOKUP(B814,Lookup!$F$3:$F$10,Lookup!$H$3:$H$10,,1)*G814, XLOOKUP(B814,Lookup!$F$14:$F$21,Lookup!$H$14:$H$21,,1)*G814),0)</f>
        <v>0</v>
      </c>
      <c r="J814" s="61">
        <f t="array" ref="J814">if(YEAR(A814)=2025,XLOOKUP(B814,Lookup!$F$3:$F$10,Lookup!$I$3:$I$10,,1)*G814, XLOOKUP(B814,Lookup!$F$14:$F$21,Lookup!$I$14:$I$21,,1)*G814)</f>
        <v>0</v>
      </c>
      <c r="K814" s="61">
        <f t="array" ref="K814">if(B814&gt;54, if(YEAR(A814)=2025,XLOOKUP(B814,Lookup!$F$3:$F$10,Lookup!$H$3:$H$10,,1)*G814, XLOOKUP(B814,Lookup!$F$14:$F$21,Lookup!$H$14:$H$21,,1)*G814),0)</f>
        <v>0</v>
      </c>
      <c r="L814" s="62">
        <f>IF(and(A814&lt;questions!$C$19,questions!$C$18="yes"),questions!$C$20,0)</f>
        <v>0</v>
      </c>
      <c r="M814" s="63">
        <f>(Y813+H814)*Lookup!A$26/12</f>
        <v>4211.930215</v>
      </c>
      <c r="N814" s="63">
        <f>if(B814&lt;55, (Z813+I814)*Lookup!B$26/12, (AB813+K814)*Lookup!B$26/12)</f>
        <v>9866.604273</v>
      </c>
      <c r="O814" s="63">
        <f>(AA813+J814)*Lookup!C$26/12</f>
        <v>940.3700287</v>
      </c>
      <c r="P814" s="63">
        <f t="shared" si="8"/>
        <v>42119.30215</v>
      </c>
      <c r="Q814" s="63">
        <f t="shared" si="4"/>
        <v>98666.04273</v>
      </c>
      <c r="R814" s="63">
        <f t="shared" si="5"/>
        <v>9403.700287</v>
      </c>
      <c r="S814" s="64">
        <f t="shared" si="9"/>
        <v>33.33333333</v>
      </c>
      <c r="T814" s="64">
        <f t="shared" si="10"/>
        <v>41.66666667</v>
      </c>
      <c r="U814" s="64">
        <f t="shared" si="11"/>
        <v>0</v>
      </c>
      <c r="V814" s="64">
        <f t="shared" ref="V814:X814" si="822">IF(year($A814)=year($A813), V813+S814, S814)</f>
        <v>333.3333333</v>
      </c>
      <c r="W814" s="64">
        <f t="shared" si="822"/>
        <v>416.6666667</v>
      </c>
      <c r="X814" s="64">
        <f t="shared" si="822"/>
        <v>0</v>
      </c>
      <c r="Y814" s="65">
        <f>IFS(
  B814&lt;55,
    MAX(
      Y813 + IF(MONTH(A814)=12, P814+V814, 0) + H814 - L814
      + MAX(0,
          IF(AA813 &gt;= VLOOKUP(YEAR(A814), Lookup!$Q:$R, 2),
            Z813 + IF(MONTH(A814)=12, Q814+W814, 0) + I814
              + AA813 + IF(MONTH(A814)=12, R814+X814, 0)
              - VLOOKUP(YEAR(A814), Lookup!$Q:$R, 2) + J814,
            Z813 + IF(MONTH(A814)=12, Q814+W814, 0) + I814
          ) - VLOOKUP(YEAR(A814), Lookup!$K:$M, 3)
        ),
    0),
  B814=55,
    IF(Z813&gt;=AD814,
      MAX(Y813 + IF(MONTH(A814)=12, P814+V814, 0) + H814 - L814, 0),
      MAX(MAX(0, Y813-(AD814-Z813)) + IF(MONTH(A814)=12, P814+V814, 0) + H814 - L814, 0)
    ),
  B814&gt;55,
    IF(AB813&gt;=$AH$7,
      MAX(Y813 + IF(MONTH(A814)=12, P814+V814, 0) + H814 - L814 + K814 + Z813, 0),
      MAX(Y813 + IF(MONTH(A814)=12, P814+V814, 0) + H814 - L814, 0)
    )
)</f>
        <v>2021726.503</v>
      </c>
      <c r="Z814" s="65">
        <f>IFS(
  B814&lt;55,
    MIN(
      IF(AA813 &gt;= VLOOKUP(YEAR(A814), Lookup!$Q:$R, 2),
        Z813 + IF(MONTH(A814)=12, Q814+W814, 0) + I814
          + AA813 + IF(MONTH(A814)=12, R814+X814, 0) - VLOOKUP(YEAR(A814), Lookup!$Q:$R, 2) + J814,
        Z813 + IF(MONTH(A814)=12, Q814+W814, 0) + I814
      ),
      VLOOKUP(YEAR(A814), Lookup!$K:$M, 3)
    ),
  B814=55,
    IF(Z813 &gt;= AD814, Z813 - AD814, 0),
  B814&gt;55, 0
)</f>
        <v>0</v>
      </c>
      <c r="AA814" s="65">
        <f>IFS(
  B814&lt;65,
    IF(AA813+J814 &lt; VLOOKUP(YEAR(A814), Lookup!$Q:$R, 2),
      AA813 + IF(MONTH(A814)=12, R813+X813, 0) + J814,
      MIN(
        AA813 + IF(MONTH(A814)=12, R813+X813, 0) + J814 ,
        VLOOKUP(YEAR(A814), Lookup!$Q:$R, 2)
      )
    ),
  B814&gt;=65,
    IF(AA813+J814 &lt; VLOOKUP(questions!$C$5, Lookup!$Q:$R, 2),
      AA813 + IF(MONTH(A814)=12, R813+X813, 0) + J814 ,
      MIN(
        AA813 + IF(MONTH(A814)=12, R813+X813, 0) + J814,
        VLOOKUP(questions!$C$5, Lookup!$Q:$R, 2)
      )
    )
)</f>
        <v>282111.0086</v>
      </c>
      <c r="AB814" s="65">
        <f t="shared" si="13"/>
        <v>2959981.282</v>
      </c>
      <c r="AC814" s="66">
        <f t="array" ref="AC814">IFS(B814&lt;66, XLOOKUP(year(A814),Lookup!$K$13:$K1000,Lookup!$L$13:$L1000,"missing",,1),B814&gt;65,XLOOKUP(questions!$C$5,Lookup!$K$13:$K1000,Lookup!$L$13:$L1000,"missing",,1))</f>
        <v>393675.3633</v>
      </c>
      <c r="AD814" s="66">
        <f t="array" ref="AD814">IFS(B814&lt;66, XLOOKUP(year(A814),Lookup!$K$13:$K1000,Lookup!$M$13:$M1000,"missing",,1),B814&gt;65, XLOOKUP(questions!$C$5,Lookup!$K$13:$K1000,Lookup!$M$13:$M1000,"missing",,1))</f>
        <v>787350.7266</v>
      </c>
      <c r="AE814" s="66">
        <f t="array" ref="AE814">IFS(B814&lt;66, XLOOKUP(year(A814),Lookup!$K$13:$K1000,Lookup!$N$13:$N1000,"missing",,1),B814&gt;65,XLOOKUP(questions!$C$5,Lookup!$K$13:$K1000,Lookup!$N$13:$N1000,"missing",,1))</f>
        <v>1574701.453</v>
      </c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7"/>
      <c r="AQ814" s="37"/>
    </row>
    <row r="815">
      <c r="A815" s="55">
        <f t="shared" si="7"/>
        <v>70828</v>
      </c>
      <c r="B815" s="56">
        <f>round(YEARFRAC(EOMONTH(questions!$C$3, 0),A815,1),2)</f>
        <v>95</v>
      </c>
      <c r="C815" s="58">
        <f>IF(B815&lt;questions!$C$6,if(MONTH(A815)=1,C814*(1+questions!$C$12),C814),0)</f>
        <v>0</v>
      </c>
      <c r="D815" s="58">
        <f>IF(MONTH(A815)=12,C815*questions!$C$11,0)</f>
        <v>0</v>
      </c>
      <c r="E815" s="71">
        <f t="shared" si="2"/>
        <v>0</v>
      </c>
      <c r="F815" s="71">
        <f t="shared" si="3"/>
        <v>0</v>
      </c>
      <c r="G815" s="61">
        <f t="array" ref="G815">if(YEAR(A815)=2025,XLOOKUP(B815,Lookup!$A$3:$A$7,Lookup!$D$3:$D$7,,1)*SUM(E815:F815), XLOOKUP(B815,Lookup!$A$14:$A$18,Lookup!$D$14:$D$18,,1)*SUM(E815:F815))</f>
        <v>0</v>
      </c>
      <c r="H815" s="61">
        <f t="array" ref="H815">if(YEAR(A815)=2025,XLOOKUP(B815,Lookup!$F$3:$F$10,Lookup!$G$3:$G$10,,1)*G815, XLOOKUP(B815,Lookup!$F$14:$F$21,Lookup!$G$14:$G$21,,1)*G815)</f>
        <v>0</v>
      </c>
      <c r="I815" s="61">
        <f t="array" ref="I815">if(B815&lt;55, if(YEAR(A815)=2025,XLOOKUP(B815,Lookup!$F$3:$F$10,Lookup!$H$3:$H$10,,1)*G815, XLOOKUP(B815,Lookup!$F$14:$F$21,Lookup!$H$14:$H$21,,1)*G815),0)</f>
        <v>0</v>
      </c>
      <c r="J815" s="61">
        <f t="array" ref="J815">if(YEAR(A815)=2025,XLOOKUP(B815,Lookup!$F$3:$F$10,Lookup!$I$3:$I$10,,1)*G815, XLOOKUP(B815,Lookup!$F$14:$F$21,Lookup!$I$14:$I$21,,1)*G815)</f>
        <v>0</v>
      </c>
      <c r="K815" s="61">
        <f t="array" ref="K815">if(B815&gt;54, if(YEAR(A815)=2025,XLOOKUP(B815,Lookup!$F$3:$F$10,Lookup!$H$3:$H$10,,1)*G815, XLOOKUP(B815,Lookup!$F$14:$F$21,Lookup!$H$14:$H$21,,1)*G815),0)</f>
        <v>0</v>
      </c>
      <c r="L815" s="62">
        <f>IF(and(A815&lt;questions!$C$19,questions!$C$18="yes"),questions!$C$20,0)</f>
        <v>0</v>
      </c>
      <c r="M815" s="63">
        <f>(Y814+H815)*Lookup!A$26/12</f>
        <v>4211.930215</v>
      </c>
      <c r="N815" s="63">
        <f>if(B815&lt;55, (Z814+I815)*Lookup!B$26/12, (AB814+K815)*Lookup!B$26/12)</f>
        <v>9866.604273</v>
      </c>
      <c r="O815" s="63">
        <f>(AA814+J815)*Lookup!C$26/12</f>
        <v>940.3700287</v>
      </c>
      <c r="P815" s="63">
        <f t="shared" si="8"/>
        <v>46331.23237</v>
      </c>
      <c r="Q815" s="63">
        <f t="shared" si="4"/>
        <v>108532.647</v>
      </c>
      <c r="R815" s="63">
        <f t="shared" si="5"/>
        <v>10344.07032</v>
      </c>
      <c r="S815" s="64">
        <f t="shared" si="9"/>
        <v>33.33333333</v>
      </c>
      <c r="T815" s="64">
        <f t="shared" si="10"/>
        <v>41.66666667</v>
      </c>
      <c r="U815" s="64">
        <f t="shared" si="11"/>
        <v>0</v>
      </c>
      <c r="V815" s="64">
        <f t="shared" ref="V815:X815" si="823">IF(year($A815)=year($A814), V814+S815, S815)</f>
        <v>366.6666667</v>
      </c>
      <c r="W815" s="64">
        <f t="shared" si="823"/>
        <v>458.3333333</v>
      </c>
      <c r="X815" s="64">
        <f t="shared" si="823"/>
        <v>0</v>
      </c>
      <c r="Y815" s="65">
        <f>IFS(
  B815&lt;55,
    MAX(
      Y814 + IF(MONTH(A815)=12, P815+V815, 0) + H815 - L815
      + MAX(0,
          IF(AA814 &gt;= VLOOKUP(YEAR(A815), Lookup!$Q:$R, 2),
            Z814 + IF(MONTH(A815)=12, Q815+W815, 0) + I815
              + AA814 + IF(MONTH(A815)=12, R815+X815, 0)
              - VLOOKUP(YEAR(A815), Lookup!$Q:$R, 2) + J815,
            Z814 + IF(MONTH(A815)=12, Q815+W815, 0) + I815
          ) - VLOOKUP(YEAR(A815), Lookup!$K:$M, 3)
        ),
    0),
  B815=55,
    IF(Z814&gt;=AD815,
      MAX(Y814 + IF(MONTH(A815)=12, P815+V815, 0) + H815 - L815, 0),
      MAX(MAX(0, Y814-(AD815-Z814)) + IF(MONTH(A815)=12, P815+V815, 0) + H815 - L815, 0)
    ),
  B815&gt;55,
    IF(AB814&gt;=$AH$7,
      MAX(Y814 + IF(MONTH(A815)=12, P815+V815, 0) + H815 - L815 + K815 + Z814, 0),
      MAX(Y814 + IF(MONTH(A815)=12, P815+V815, 0) + H815 - L815, 0)
    )
)</f>
        <v>2021726.503</v>
      </c>
      <c r="Z815" s="65">
        <f>IFS(
  B815&lt;55,
    MIN(
      IF(AA814 &gt;= VLOOKUP(YEAR(A815), Lookup!$Q:$R, 2),
        Z814 + IF(MONTH(A815)=12, Q815+W815, 0) + I815
          + AA814 + IF(MONTH(A815)=12, R815+X815, 0) - VLOOKUP(YEAR(A815), Lookup!$Q:$R, 2) + J815,
        Z814 + IF(MONTH(A815)=12, Q815+W815, 0) + I815
      ),
      VLOOKUP(YEAR(A815), Lookup!$K:$M, 3)
    ),
  B815=55,
    IF(Z814 &gt;= AD815, Z814 - AD815, 0),
  B815&gt;55, 0
)</f>
        <v>0</v>
      </c>
      <c r="AA815" s="65">
        <f>IFS(
  B815&lt;65,
    IF(AA814+J815 &lt; VLOOKUP(YEAR(A815), Lookup!$Q:$R, 2),
      AA814 + IF(MONTH(A815)=12, R814+X814, 0) + J815,
      MIN(
        AA814 + IF(MONTH(A815)=12, R814+X814, 0) + J815 ,
        VLOOKUP(YEAR(A815), Lookup!$Q:$R, 2)
      )
    ),
  B815&gt;=65,
    IF(AA814+J815 &lt; VLOOKUP(questions!$C$5, Lookup!$Q:$R, 2),
      AA814 + IF(MONTH(A815)=12, R814+X814, 0) + J815 ,
      MIN(
        AA814 + IF(MONTH(A815)=12, R814+X814, 0) + J815,
        VLOOKUP(questions!$C$5, Lookup!$Q:$R, 2)
      )
    )
)</f>
        <v>282111.0086</v>
      </c>
      <c r="AB815" s="65">
        <f t="shared" si="13"/>
        <v>2959981.282</v>
      </c>
      <c r="AC815" s="66">
        <f t="array" ref="AC815">IFS(B815&lt;66, XLOOKUP(year(A815),Lookup!$K$13:$K1000,Lookup!$L$13:$L1000,"missing",,1),B815&gt;65,XLOOKUP(questions!$C$5,Lookup!$K$13:$K1000,Lookup!$L$13:$L1000,"missing",,1))</f>
        <v>393675.3633</v>
      </c>
      <c r="AD815" s="66">
        <f t="array" ref="AD815">IFS(B815&lt;66, XLOOKUP(year(A815),Lookup!$K$13:$K1000,Lookup!$M$13:$M1000,"missing",,1),B815&gt;65, XLOOKUP(questions!$C$5,Lookup!$K$13:$K1000,Lookup!$M$13:$M1000,"missing",,1))</f>
        <v>787350.7266</v>
      </c>
      <c r="AE815" s="66">
        <f t="array" ref="AE815">IFS(B815&lt;66, XLOOKUP(year(A815),Lookup!$K$13:$K1000,Lookup!$N$13:$N1000,"missing",,1),B815&gt;65,XLOOKUP(questions!$C$5,Lookup!$K$13:$K1000,Lookup!$N$13:$N1000,"missing",,1))</f>
        <v>1574701.453</v>
      </c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  <c r="AQ815" s="37"/>
    </row>
    <row r="816">
      <c r="A816" s="55">
        <f t="shared" si="7"/>
        <v>70859</v>
      </c>
      <c r="B816" s="56">
        <f>round(YEARFRAC(EOMONTH(questions!$C$3, 0),A816,1),2)</f>
        <v>95.08</v>
      </c>
      <c r="C816" s="58">
        <f>IF(B816&lt;questions!$C$6,if(MONTH(A816)=1,C815*(1+questions!$C$12),C815),0)</f>
        <v>0</v>
      </c>
      <c r="D816" s="58">
        <f>IF(MONTH(A816)=12,C816*questions!$C$11,0)</f>
        <v>0</v>
      </c>
      <c r="E816" s="71">
        <f t="shared" si="2"/>
        <v>0</v>
      </c>
      <c r="F816" s="71">
        <f t="shared" si="3"/>
        <v>0</v>
      </c>
      <c r="G816" s="61">
        <f t="array" ref="G816">if(YEAR(A816)=2025,XLOOKUP(B816,Lookup!$A$3:$A$7,Lookup!$D$3:$D$7,,1)*SUM(E816:F816), XLOOKUP(B816,Lookup!$A$14:$A$18,Lookup!$D$14:$D$18,,1)*SUM(E816:F816))</f>
        <v>0</v>
      </c>
      <c r="H816" s="61">
        <f t="array" ref="H816">if(YEAR(A816)=2025,XLOOKUP(B816,Lookup!$F$3:$F$10,Lookup!$G$3:$G$10,,1)*G816, XLOOKUP(B816,Lookup!$F$14:$F$21,Lookup!$G$14:$G$21,,1)*G816)</f>
        <v>0</v>
      </c>
      <c r="I816" s="61">
        <f t="array" ref="I816">if(B816&lt;55, if(YEAR(A816)=2025,XLOOKUP(B816,Lookup!$F$3:$F$10,Lookup!$H$3:$H$10,,1)*G816, XLOOKUP(B816,Lookup!$F$14:$F$21,Lookup!$H$14:$H$21,,1)*G816),0)</f>
        <v>0</v>
      </c>
      <c r="J816" s="61">
        <f t="array" ref="J816">if(YEAR(A816)=2025,XLOOKUP(B816,Lookup!$F$3:$F$10,Lookup!$I$3:$I$10,,1)*G816, XLOOKUP(B816,Lookup!$F$14:$F$21,Lookup!$I$14:$I$21,,1)*G816)</f>
        <v>0</v>
      </c>
      <c r="K816" s="61">
        <f t="array" ref="K816">if(B816&gt;54, if(YEAR(A816)=2025,XLOOKUP(B816,Lookup!$F$3:$F$10,Lookup!$H$3:$H$10,,1)*G816, XLOOKUP(B816,Lookup!$F$14:$F$21,Lookup!$H$14:$H$21,,1)*G816),0)</f>
        <v>0</v>
      </c>
      <c r="L816" s="62">
        <f>IF(and(A816&lt;questions!$C$19,questions!$C$18="yes"),questions!$C$20,0)</f>
        <v>0</v>
      </c>
      <c r="M816" s="63">
        <f>(Y815+H816)*Lookup!A$26/12</f>
        <v>4211.930215</v>
      </c>
      <c r="N816" s="63">
        <f>if(B816&lt;55, (Z815+I816)*Lookup!B$26/12, (AB815+K816)*Lookup!B$26/12)</f>
        <v>9866.604273</v>
      </c>
      <c r="O816" s="63">
        <f>(AA815+J816)*Lookup!C$26/12</f>
        <v>940.3700287</v>
      </c>
      <c r="P816" s="63">
        <f t="shared" si="8"/>
        <v>50543.16258</v>
      </c>
      <c r="Q816" s="63">
        <f t="shared" si="4"/>
        <v>118399.2513</v>
      </c>
      <c r="R816" s="63">
        <f t="shared" si="5"/>
        <v>11284.44034</v>
      </c>
      <c r="S816" s="64">
        <f t="shared" si="9"/>
        <v>33.33333333</v>
      </c>
      <c r="T816" s="64">
        <f t="shared" si="10"/>
        <v>41.66666667</v>
      </c>
      <c r="U816" s="64">
        <f t="shared" si="11"/>
        <v>0</v>
      </c>
      <c r="V816" s="64">
        <f t="shared" ref="V816:X816" si="824">IF(year($A816)=year($A815), V815+S816, S816)</f>
        <v>400</v>
      </c>
      <c r="W816" s="64">
        <f t="shared" si="824"/>
        <v>500</v>
      </c>
      <c r="X816" s="64">
        <f t="shared" si="824"/>
        <v>0</v>
      </c>
      <c r="Y816" s="65">
        <f>IFS(
  B816&lt;55,
    MAX(
      Y815 + IF(MONTH(A816)=12, P816+V816, 0) + H816 - L816
      + MAX(0,
          IF(AA815 &gt;= VLOOKUP(YEAR(A816), Lookup!$Q:$R, 2),
            Z815 + IF(MONTH(A816)=12, Q816+W816, 0) + I816
              + AA815 + IF(MONTH(A816)=12, R816+X816, 0)
              - VLOOKUP(YEAR(A816), Lookup!$Q:$R, 2) + J816,
            Z815 + IF(MONTH(A816)=12, Q816+W816, 0) + I816
          ) - VLOOKUP(YEAR(A816), Lookup!$K:$M, 3)
        ),
    0),
  B816=55,
    IF(Z815&gt;=AD816,
      MAX(Y815 + IF(MONTH(A816)=12, P816+V816, 0) + H816 - L816, 0),
      MAX(MAX(0, Y815-(AD816-Z815)) + IF(MONTH(A816)=12, P816+V816, 0) + H816 - L816, 0)
    ),
  B816&gt;55,
    IF(AB815&gt;=$AH$7,
      MAX(Y815 + IF(MONTH(A816)=12, P816+V816, 0) + H816 - L816 + K816 + Z815, 0),
      MAX(Y815 + IF(MONTH(A816)=12, P816+V816, 0) + H816 - L816, 0)
    )
)</f>
        <v>2072669.666</v>
      </c>
      <c r="Z816" s="65">
        <f>IFS(
  B816&lt;55,
    MIN(
      IF(AA815 &gt;= VLOOKUP(YEAR(A816), Lookup!$Q:$R, 2),
        Z815 + IF(MONTH(A816)=12, Q816+W816, 0) + I816
          + AA815 + IF(MONTH(A816)=12, R816+X816, 0) - VLOOKUP(YEAR(A816), Lookup!$Q:$R, 2) + J816,
        Z815 + IF(MONTH(A816)=12, Q816+W816, 0) + I816
      ),
      VLOOKUP(YEAR(A816), Lookup!$K:$M, 3)
    ),
  B816=55,
    IF(Z815 &gt;= AD816, Z815 - AD816, 0),
  B816&gt;55, 0
)</f>
        <v>0</v>
      </c>
      <c r="AA816" s="65">
        <f>IFS(
  B816&lt;65,
    IF(AA815+J816 &lt; VLOOKUP(YEAR(A816), Lookup!$Q:$R, 2),
      AA815 + IF(MONTH(A816)=12, R815+X815, 0) + J816,
      MIN(
        AA815 + IF(MONTH(A816)=12, R815+X815, 0) + J816 ,
        VLOOKUP(YEAR(A816), Lookup!$Q:$R, 2)
      )
    ),
  B816&gt;=65,
    IF(AA815+J816 &lt; VLOOKUP(questions!$C$5, Lookup!$Q:$R, 2),
      AA815 + IF(MONTH(A816)=12, R815+X815, 0) + J816 ,
      MIN(
        AA815 + IF(MONTH(A816)=12, R815+X815, 0) + J816,
        VLOOKUP(questions!$C$5, Lookup!$Q:$R, 2)
      )
    )
)</f>
        <v>282111.0086</v>
      </c>
      <c r="AB816" s="65">
        <f t="shared" si="13"/>
        <v>3078880.533</v>
      </c>
      <c r="AC816" s="66">
        <f t="array" ref="AC816">IFS(B816&lt;66, XLOOKUP(year(A816),Lookup!$K$13:$K1000,Lookup!$L$13:$L1000,"missing",,1),B816&gt;65,XLOOKUP(questions!$C$5,Lookup!$K$13:$K1000,Lookup!$L$13:$L1000,"missing",,1))</f>
        <v>393675.3633</v>
      </c>
      <c r="AD816" s="66">
        <f t="array" ref="AD816">IFS(B816&lt;66, XLOOKUP(year(A816),Lookup!$K$13:$K1000,Lookup!$M$13:$M1000,"missing",,1),B816&gt;65, XLOOKUP(questions!$C$5,Lookup!$K$13:$K1000,Lookup!$M$13:$M1000,"missing",,1))</f>
        <v>787350.7266</v>
      </c>
      <c r="AE816" s="66">
        <f t="array" ref="AE816">IFS(B816&lt;66, XLOOKUP(year(A816),Lookup!$K$13:$K1000,Lookup!$N$13:$N1000,"missing",,1),B816&gt;65,XLOOKUP(questions!$C$5,Lookup!$K$13:$K1000,Lookup!$N$13:$N1000,"missing",,1))</f>
        <v>1574701.453</v>
      </c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7"/>
      <c r="AQ816" s="37"/>
    </row>
    <row r="817">
      <c r="A817" s="55">
        <f t="shared" si="7"/>
        <v>70890</v>
      </c>
      <c r="B817" s="56">
        <f>round(YEARFRAC(EOMONTH(questions!$C$3, 0),A817,1),2)</f>
        <v>95.17</v>
      </c>
      <c r="C817" s="58">
        <f>IF(B817&lt;questions!$C$6,if(MONTH(A817)=1,C816*(1+questions!$C$12),C816),0)</f>
        <v>0</v>
      </c>
      <c r="D817" s="58">
        <f>IF(MONTH(A817)=12,C817*questions!$C$11,0)</f>
        <v>0</v>
      </c>
      <c r="E817" s="71">
        <f t="shared" si="2"/>
        <v>0</v>
      </c>
      <c r="F817" s="71">
        <f t="shared" si="3"/>
        <v>0</v>
      </c>
      <c r="G817" s="61">
        <f t="array" ref="G817">if(YEAR(A817)=2025,XLOOKUP(B817,Lookup!$A$3:$A$7,Lookup!$D$3:$D$7,,1)*SUM(E817:F817), XLOOKUP(B817,Lookup!$A$14:$A$18,Lookup!$D$14:$D$18,,1)*SUM(E817:F817))</f>
        <v>0</v>
      </c>
      <c r="H817" s="61">
        <f t="array" ref="H817">if(YEAR(A817)=2025,XLOOKUP(B817,Lookup!$F$3:$F$10,Lookup!$G$3:$G$10,,1)*G817, XLOOKUP(B817,Lookup!$F$14:$F$21,Lookup!$G$14:$G$21,,1)*G817)</f>
        <v>0</v>
      </c>
      <c r="I817" s="61">
        <f t="array" ref="I817">if(B817&lt;55, if(YEAR(A817)=2025,XLOOKUP(B817,Lookup!$F$3:$F$10,Lookup!$H$3:$H$10,,1)*G817, XLOOKUP(B817,Lookup!$F$14:$F$21,Lookup!$H$14:$H$21,,1)*G817),0)</f>
        <v>0</v>
      </c>
      <c r="J817" s="61">
        <f t="array" ref="J817">if(YEAR(A817)=2025,XLOOKUP(B817,Lookup!$F$3:$F$10,Lookup!$I$3:$I$10,,1)*G817, XLOOKUP(B817,Lookup!$F$14:$F$21,Lookup!$I$14:$I$21,,1)*G817)</f>
        <v>0</v>
      </c>
      <c r="K817" s="61">
        <f t="array" ref="K817">if(B817&gt;54, if(YEAR(A817)=2025,XLOOKUP(B817,Lookup!$F$3:$F$10,Lookup!$H$3:$H$10,,1)*G817, XLOOKUP(B817,Lookup!$F$14:$F$21,Lookup!$H$14:$H$21,,1)*G817),0)</f>
        <v>0</v>
      </c>
      <c r="L817" s="62">
        <f>IF(and(A817&lt;questions!$C$19,questions!$C$18="yes"),questions!$C$20,0)</f>
        <v>0</v>
      </c>
      <c r="M817" s="63">
        <f>(Y816+H817)*Lookup!A$26/12</f>
        <v>4318.061804</v>
      </c>
      <c r="N817" s="63">
        <f>if(B817&lt;55, (Z816+I817)*Lookup!B$26/12, (AB816+K817)*Lookup!B$26/12)</f>
        <v>10262.93511</v>
      </c>
      <c r="O817" s="63">
        <f>(AA816+J817)*Lookup!C$26/12</f>
        <v>940.3700287</v>
      </c>
      <c r="P817" s="63">
        <f t="shared" si="8"/>
        <v>4318.061804</v>
      </c>
      <c r="Q817" s="63">
        <f t="shared" si="4"/>
        <v>10262.93511</v>
      </c>
      <c r="R817" s="63">
        <f t="shared" si="5"/>
        <v>940.3700287</v>
      </c>
      <c r="S817" s="64">
        <f t="shared" si="9"/>
        <v>33.33333333</v>
      </c>
      <c r="T817" s="64">
        <f t="shared" si="10"/>
        <v>41.66666667</v>
      </c>
      <c r="U817" s="64">
        <f t="shared" si="11"/>
        <v>0</v>
      </c>
      <c r="V817" s="64">
        <f t="shared" ref="V817:X817" si="825">IF(year($A817)=year($A816), V816+S817, S817)</f>
        <v>33.33333333</v>
      </c>
      <c r="W817" s="64">
        <f t="shared" si="825"/>
        <v>41.66666667</v>
      </c>
      <c r="X817" s="64">
        <f t="shared" si="825"/>
        <v>0</v>
      </c>
      <c r="Y817" s="65">
        <f>IFS(
  B817&lt;55,
    MAX(
      Y816 + IF(MONTH(A817)=12, P817+V817, 0) + H817 - L817
      + MAX(0,
          IF(AA816 &gt;= VLOOKUP(YEAR(A817), Lookup!$Q:$R, 2),
            Z816 + IF(MONTH(A817)=12, Q817+W817, 0) + I817
              + AA816 + IF(MONTH(A817)=12, R817+X817, 0)
              - VLOOKUP(YEAR(A817), Lookup!$Q:$R, 2) + J817,
            Z816 + IF(MONTH(A817)=12, Q817+W817, 0) + I817
          ) - VLOOKUP(YEAR(A817), Lookup!$K:$M, 3)
        ),
    0),
  B817=55,
    IF(Z816&gt;=AD817,
      MAX(Y816 + IF(MONTH(A817)=12, P817+V817, 0) + H817 - L817, 0),
      MAX(MAX(0, Y816-(AD817-Z816)) + IF(MONTH(A817)=12, P817+V817, 0) + H817 - L817, 0)
    ),
  B817&gt;55,
    IF(AB816&gt;=$AH$7,
      MAX(Y816 + IF(MONTH(A817)=12, P817+V817, 0) + H817 - L817 + K817 + Z816, 0),
      MAX(Y816 + IF(MONTH(A817)=12, P817+V817, 0) + H817 - L817, 0)
    )
)</f>
        <v>2072669.666</v>
      </c>
      <c r="Z817" s="65">
        <f>IFS(
  B817&lt;55,
    MIN(
      IF(AA816 &gt;= VLOOKUP(YEAR(A817), Lookup!$Q:$R, 2),
        Z816 + IF(MONTH(A817)=12, Q817+W817, 0) + I817
          + AA816 + IF(MONTH(A817)=12, R817+X817, 0) - VLOOKUP(YEAR(A817), Lookup!$Q:$R, 2) + J817,
        Z816 + IF(MONTH(A817)=12, Q817+W817, 0) + I817
      ),
      VLOOKUP(YEAR(A817), Lookup!$K:$M, 3)
    ),
  B817=55,
    IF(Z816 &gt;= AD817, Z816 - AD817, 0),
  B817&gt;55, 0
)</f>
        <v>0</v>
      </c>
      <c r="AA817" s="65">
        <f>IFS(
  B817&lt;65,
    IF(AA816+J817 &lt; VLOOKUP(YEAR(A817), Lookup!$Q:$R, 2),
      AA816 + IF(MONTH(A817)=12, R816+X816, 0) + J817,
      MIN(
        AA816 + IF(MONTH(A817)=12, R816+X816, 0) + J817 ,
        VLOOKUP(YEAR(A817), Lookup!$Q:$R, 2)
      )
    ),
  B817&gt;=65,
    IF(AA816+J817 &lt; VLOOKUP(questions!$C$5, Lookup!$Q:$R, 2),
      AA816 + IF(MONTH(A817)=12, R816+X816, 0) + J817 ,
      MIN(
        AA816 + IF(MONTH(A817)=12, R816+X816, 0) + J817,
        VLOOKUP(questions!$C$5, Lookup!$Q:$R, 2)
      )
    )
)</f>
        <v>282111.0086</v>
      </c>
      <c r="AB817" s="65">
        <f t="shared" si="13"/>
        <v>3078880.533</v>
      </c>
      <c r="AC817" s="66">
        <f t="array" ref="AC817">IFS(B817&lt;66, XLOOKUP(year(A817),Lookup!$K$13:$K1000,Lookup!$L$13:$L1000,"missing",,1),B817&gt;65,XLOOKUP(questions!$C$5,Lookup!$K$13:$K1000,Lookup!$L$13:$L1000,"missing",,1))</f>
        <v>393675.3633</v>
      </c>
      <c r="AD817" s="66">
        <f t="array" ref="AD817">IFS(B817&lt;66, XLOOKUP(year(A817),Lookup!$K$13:$K1000,Lookup!$M$13:$M1000,"missing",,1),B817&gt;65, XLOOKUP(questions!$C$5,Lookup!$K$13:$K1000,Lookup!$M$13:$M1000,"missing",,1))</f>
        <v>787350.7266</v>
      </c>
      <c r="AE817" s="66">
        <f t="array" ref="AE817">IFS(B817&lt;66, XLOOKUP(year(A817),Lookup!$K$13:$K1000,Lookup!$N$13:$N1000,"missing",,1),B817&gt;65,XLOOKUP(questions!$C$5,Lookup!$K$13:$K1000,Lookup!$N$13:$N1000,"missing",,1))</f>
        <v>1574701.453</v>
      </c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7"/>
      <c r="AQ817" s="37"/>
    </row>
    <row r="818">
      <c r="A818" s="55">
        <f t="shared" si="7"/>
        <v>70918</v>
      </c>
      <c r="B818" s="56">
        <f>round(YEARFRAC(EOMONTH(questions!$C$3, 0),A818,1),2)</f>
        <v>95.25</v>
      </c>
      <c r="C818" s="58">
        <f>IF(B818&lt;questions!$C$6,if(MONTH(A818)=1,C817*(1+questions!$C$12),C817),0)</f>
        <v>0</v>
      </c>
      <c r="D818" s="58">
        <f>IF(MONTH(A818)=12,C818*questions!$C$11,0)</f>
        <v>0</v>
      </c>
      <c r="E818" s="71">
        <f t="shared" si="2"/>
        <v>0</v>
      </c>
      <c r="F818" s="71">
        <f t="shared" si="3"/>
        <v>0</v>
      </c>
      <c r="G818" s="61">
        <f t="array" ref="G818">if(YEAR(A818)=2025,XLOOKUP(B818,Lookup!$A$3:$A$7,Lookup!$D$3:$D$7,,1)*SUM(E818:F818), XLOOKUP(B818,Lookup!$A$14:$A$18,Lookup!$D$14:$D$18,,1)*SUM(E818:F818))</f>
        <v>0</v>
      </c>
      <c r="H818" s="61">
        <f t="array" ref="H818">if(YEAR(A818)=2025,XLOOKUP(B818,Lookup!$F$3:$F$10,Lookup!$G$3:$G$10,,1)*G818, XLOOKUP(B818,Lookup!$F$14:$F$21,Lookup!$G$14:$G$21,,1)*G818)</f>
        <v>0</v>
      </c>
      <c r="I818" s="61">
        <f t="array" ref="I818">if(B818&lt;55, if(YEAR(A818)=2025,XLOOKUP(B818,Lookup!$F$3:$F$10,Lookup!$H$3:$H$10,,1)*G818, XLOOKUP(B818,Lookup!$F$14:$F$21,Lookup!$H$14:$H$21,,1)*G818),0)</f>
        <v>0</v>
      </c>
      <c r="J818" s="61">
        <f t="array" ref="J818">if(YEAR(A818)=2025,XLOOKUP(B818,Lookup!$F$3:$F$10,Lookup!$I$3:$I$10,,1)*G818, XLOOKUP(B818,Lookup!$F$14:$F$21,Lookup!$I$14:$I$21,,1)*G818)</f>
        <v>0</v>
      </c>
      <c r="K818" s="61">
        <f t="array" ref="K818">if(B818&gt;54, if(YEAR(A818)=2025,XLOOKUP(B818,Lookup!$F$3:$F$10,Lookup!$H$3:$H$10,,1)*G818, XLOOKUP(B818,Lookup!$F$14:$F$21,Lookup!$H$14:$H$21,,1)*G818),0)</f>
        <v>0</v>
      </c>
      <c r="L818" s="62">
        <f>IF(and(A818&lt;questions!$C$19,questions!$C$18="yes"),questions!$C$20,0)</f>
        <v>0</v>
      </c>
      <c r="M818" s="63">
        <f>(Y817+H818)*Lookup!A$26/12</f>
        <v>4318.061804</v>
      </c>
      <c r="N818" s="63">
        <f>if(B818&lt;55, (Z817+I818)*Lookup!B$26/12, (AB817+K818)*Lookup!B$26/12)</f>
        <v>10262.93511</v>
      </c>
      <c r="O818" s="63">
        <f>(AA817+J818)*Lookup!C$26/12</f>
        <v>940.3700287</v>
      </c>
      <c r="P818" s="63">
        <f t="shared" si="8"/>
        <v>8636.123608</v>
      </c>
      <c r="Q818" s="63">
        <f t="shared" si="4"/>
        <v>20525.87022</v>
      </c>
      <c r="R818" s="63">
        <f t="shared" si="5"/>
        <v>1880.740057</v>
      </c>
      <c r="S818" s="64">
        <f t="shared" si="9"/>
        <v>33.33333333</v>
      </c>
      <c r="T818" s="64">
        <f t="shared" si="10"/>
        <v>41.66666667</v>
      </c>
      <c r="U818" s="64">
        <f t="shared" si="11"/>
        <v>0</v>
      </c>
      <c r="V818" s="64">
        <f t="shared" ref="V818:X818" si="826">IF(year($A818)=year($A817), V817+S818, S818)</f>
        <v>66.66666667</v>
      </c>
      <c r="W818" s="64">
        <f t="shared" si="826"/>
        <v>83.33333333</v>
      </c>
      <c r="X818" s="64">
        <f t="shared" si="826"/>
        <v>0</v>
      </c>
      <c r="Y818" s="65">
        <f>IFS(
  B818&lt;55,
    MAX(
      Y817 + IF(MONTH(A818)=12, P818+V818, 0) + H818 - L818
      + MAX(0,
          IF(AA817 &gt;= VLOOKUP(YEAR(A818), Lookup!$Q:$R, 2),
            Z817 + IF(MONTH(A818)=12, Q818+W818, 0) + I818
              + AA817 + IF(MONTH(A818)=12, R818+X818, 0)
              - VLOOKUP(YEAR(A818), Lookup!$Q:$R, 2) + J818,
            Z817 + IF(MONTH(A818)=12, Q818+W818, 0) + I818
          ) - VLOOKUP(YEAR(A818), Lookup!$K:$M, 3)
        ),
    0),
  B818=55,
    IF(Z817&gt;=AD818,
      MAX(Y817 + IF(MONTH(A818)=12, P818+V818, 0) + H818 - L818, 0),
      MAX(MAX(0, Y817-(AD818-Z817)) + IF(MONTH(A818)=12, P818+V818, 0) + H818 - L818, 0)
    ),
  B818&gt;55,
    IF(AB817&gt;=$AH$7,
      MAX(Y817 + IF(MONTH(A818)=12, P818+V818, 0) + H818 - L818 + K818 + Z817, 0),
      MAX(Y817 + IF(MONTH(A818)=12, P818+V818, 0) + H818 - L818, 0)
    )
)</f>
        <v>2072669.666</v>
      </c>
      <c r="Z818" s="65">
        <f>IFS(
  B818&lt;55,
    MIN(
      IF(AA817 &gt;= VLOOKUP(YEAR(A818), Lookup!$Q:$R, 2),
        Z817 + IF(MONTH(A818)=12, Q818+W818, 0) + I818
          + AA817 + IF(MONTH(A818)=12, R818+X818, 0) - VLOOKUP(YEAR(A818), Lookup!$Q:$R, 2) + J818,
        Z817 + IF(MONTH(A818)=12, Q818+W818, 0) + I818
      ),
      VLOOKUP(YEAR(A818), Lookup!$K:$M, 3)
    ),
  B818=55,
    IF(Z817 &gt;= AD818, Z817 - AD818, 0),
  B818&gt;55, 0
)</f>
        <v>0</v>
      </c>
      <c r="AA818" s="65">
        <f>IFS(
  B818&lt;65,
    IF(AA817+J818 &lt; VLOOKUP(YEAR(A818), Lookup!$Q:$R, 2),
      AA817 + IF(MONTH(A818)=12, R817+X817, 0) + J818,
      MIN(
        AA817 + IF(MONTH(A818)=12, R817+X817, 0) + J818 ,
        VLOOKUP(YEAR(A818), Lookup!$Q:$R, 2)
      )
    ),
  B818&gt;=65,
    IF(AA817+J818 &lt; VLOOKUP(questions!$C$5, Lookup!$Q:$R, 2),
      AA817 + IF(MONTH(A818)=12, R817+X817, 0) + J818 ,
      MIN(
        AA817 + IF(MONTH(A818)=12, R817+X817, 0) + J818,
        VLOOKUP(questions!$C$5, Lookup!$Q:$R, 2)
      )
    )
)</f>
        <v>282111.0086</v>
      </c>
      <c r="AB818" s="65">
        <f t="shared" si="13"/>
        <v>3078880.533</v>
      </c>
      <c r="AC818" s="66">
        <f t="array" ref="AC818">IFS(B818&lt;66, XLOOKUP(year(A818),Lookup!$K$13:$K1000,Lookup!$L$13:$L1000,"missing",,1),B818&gt;65,XLOOKUP(questions!$C$5,Lookup!$K$13:$K1000,Lookup!$L$13:$L1000,"missing",,1))</f>
        <v>393675.3633</v>
      </c>
      <c r="AD818" s="66">
        <f t="array" ref="AD818">IFS(B818&lt;66, XLOOKUP(year(A818),Lookup!$K$13:$K1000,Lookup!$M$13:$M1000,"missing",,1),B818&gt;65, XLOOKUP(questions!$C$5,Lookup!$K$13:$K1000,Lookup!$M$13:$M1000,"missing",,1))</f>
        <v>787350.7266</v>
      </c>
      <c r="AE818" s="66">
        <f t="array" ref="AE818">IFS(B818&lt;66, XLOOKUP(year(A818),Lookup!$K$13:$K1000,Lookup!$N$13:$N1000,"missing",,1),B818&gt;65,XLOOKUP(questions!$C$5,Lookup!$K$13:$K1000,Lookup!$N$13:$N1000,"missing",,1))</f>
        <v>1574701.453</v>
      </c>
      <c r="AF818" s="37"/>
      <c r="AG818" s="37"/>
      <c r="AH818" s="37"/>
      <c r="AI818" s="37"/>
      <c r="AJ818" s="37"/>
      <c r="AK818" s="37"/>
      <c r="AL818" s="37"/>
      <c r="AM818" s="37"/>
      <c r="AN818" s="37"/>
      <c r="AO818" s="37"/>
      <c r="AP818" s="37"/>
      <c r="AQ818" s="37"/>
    </row>
    <row r="819">
      <c r="A819" s="55">
        <f t="shared" si="7"/>
        <v>70949</v>
      </c>
      <c r="B819" s="56">
        <f>round(YEARFRAC(EOMONTH(questions!$C$3, 0),A819,1),2)</f>
        <v>95.33</v>
      </c>
      <c r="C819" s="58">
        <f>IF(B819&lt;questions!$C$6,if(MONTH(A819)=1,C818*(1+questions!$C$12),C818),0)</f>
        <v>0</v>
      </c>
      <c r="D819" s="58">
        <f>IF(MONTH(A819)=12,C819*questions!$C$11,0)</f>
        <v>0</v>
      </c>
      <c r="E819" s="71">
        <f t="shared" si="2"/>
        <v>0</v>
      </c>
      <c r="F819" s="71">
        <f t="shared" si="3"/>
        <v>0</v>
      </c>
      <c r="G819" s="61">
        <f t="array" ref="G819">if(YEAR(A819)=2025,XLOOKUP(B819,Lookup!$A$3:$A$7,Lookup!$D$3:$D$7,,1)*SUM(E819:F819), XLOOKUP(B819,Lookup!$A$14:$A$18,Lookup!$D$14:$D$18,,1)*SUM(E819:F819))</f>
        <v>0</v>
      </c>
      <c r="H819" s="61">
        <f t="array" ref="H819">if(YEAR(A819)=2025,XLOOKUP(B819,Lookup!$F$3:$F$10,Lookup!$G$3:$G$10,,1)*G819, XLOOKUP(B819,Lookup!$F$14:$F$21,Lookup!$G$14:$G$21,,1)*G819)</f>
        <v>0</v>
      </c>
      <c r="I819" s="61">
        <f t="array" ref="I819">if(B819&lt;55, if(YEAR(A819)=2025,XLOOKUP(B819,Lookup!$F$3:$F$10,Lookup!$H$3:$H$10,,1)*G819, XLOOKUP(B819,Lookup!$F$14:$F$21,Lookup!$H$14:$H$21,,1)*G819),0)</f>
        <v>0</v>
      </c>
      <c r="J819" s="61">
        <f t="array" ref="J819">if(YEAR(A819)=2025,XLOOKUP(B819,Lookup!$F$3:$F$10,Lookup!$I$3:$I$10,,1)*G819, XLOOKUP(B819,Lookup!$F$14:$F$21,Lookup!$I$14:$I$21,,1)*G819)</f>
        <v>0</v>
      </c>
      <c r="K819" s="61">
        <f t="array" ref="K819">if(B819&gt;54, if(YEAR(A819)=2025,XLOOKUP(B819,Lookup!$F$3:$F$10,Lookup!$H$3:$H$10,,1)*G819, XLOOKUP(B819,Lookup!$F$14:$F$21,Lookup!$H$14:$H$21,,1)*G819),0)</f>
        <v>0</v>
      </c>
      <c r="L819" s="62">
        <f>IF(and(A819&lt;questions!$C$19,questions!$C$18="yes"),questions!$C$20,0)</f>
        <v>0</v>
      </c>
      <c r="M819" s="63">
        <f>(Y818+H819)*Lookup!A$26/12</f>
        <v>4318.061804</v>
      </c>
      <c r="N819" s="63">
        <f>if(B819&lt;55, (Z818+I819)*Lookup!B$26/12, (AB818+K819)*Lookup!B$26/12)</f>
        <v>10262.93511</v>
      </c>
      <c r="O819" s="63">
        <f>(AA818+J819)*Lookup!C$26/12</f>
        <v>940.3700287</v>
      </c>
      <c r="P819" s="63">
        <f t="shared" si="8"/>
        <v>12954.18541</v>
      </c>
      <c r="Q819" s="63">
        <f t="shared" si="4"/>
        <v>30788.80533</v>
      </c>
      <c r="R819" s="63">
        <f t="shared" si="5"/>
        <v>2821.110086</v>
      </c>
      <c r="S819" s="64">
        <f t="shared" si="9"/>
        <v>33.33333333</v>
      </c>
      <c r="T819" s="64">
        <f t="shared" si="10"/>
        <v>41.66666667</v>
      </c>
      <c r="U819" s="64">
        <f t="shared" si="11"/>
        <v>0</v>
      </c>
      <c r="V819" s="64">
        <f t="shared" ref="V819:X819" si="827">IF(year($A819)=year($A818), V818+S819, S819)</f>
        <v>100</v>
      </c>
      <c r="W819" s="64">
        <f t="shared" si="827"/>
        <v>125</v>
      </c>
      <c r="X819" s="64">
        <f t="shared" si="827"/>
        <v>0</v>
      </c>
      <c r="Y819" s="65">
        <f>IFS(
  B819&lt;55,
    MAX(
      Y818 + IF(MONTH(A819)=12, P819+V819, 0) + H819 - L819
      + MAX(0,
          IF(AA818 &gt;= VLOOKUP(YEAR(A819), Lookup!$Q:$R, 2),
            Z818 + IF(MONTH(A819)=12, Q819+W819, 0) + I819
              + AA818 + IF(MONTH(A819)=12, R819+X819, 0)
              - VLOOKUP(YEAR(A819), Lookup!$Q:$R, 2) + J819,
            Z818 + IF(MONTH(A819)=12, Q819+W819, 0) + I819
          ) - VLOOKUP(YEAR(A819), Lookup!$K:$M, 3)
        ),
    0),
  B819=55,
    IF(Z818&gt;=AD819,
      MAX(Y818 + IF(MONTH(A819)=12, P819+V819, 0) + H819 - L819, 0),
      MAX(MAX(0, Y818-(AD819-Z818)) + IF(MONTH(A819)=12, P819+V819, 0) + H819 - L819, 0)
    ),
  B819&gt;55,
    IF(AB818&gt;=$AH$7,
      MAX(Y818 + IF(MONTH(A819)=12, P819+V819, 0) + H819 - L819 + K819 + Z818, 0),
      MAX(Y818 + IF(MONTH(A819)=12, P819+V819, 0) + H819 - L819, 0)
    )
)</f>
        <v>2072669.666</v>
      </c>
      <c r="Z819" s="65">
        <f>IFS(
  B819&lt;55,
    MIN(
      IF(AA818 &gt;= VLOOKUP(YEAR(A819), Lookup!$Q:$R, 2),
        Z818 + IF(MONTH(A819)=12, Q819+W819, 0) + I819
          + AA818 + IF(MONTH(A819)=12, R819+X819, 0) - VLOOKUP(YEAR(A819), Lookup!$Q:$R, 2) + J819,
        Z818 + IF(MONTH(A819)=12, Q819+W819, 0) + I819
      ),
      VLOOKUP(YEAR(A819), Lookup!$K:$M, 3)
    ),
  B819=55,
    IF(Z818 &gt;= AD819, Z818 - AD819, 0),
  B819&gt;55, 0
)</f>
        <v>0</v>
      </c>
      <c r="AA819" s="65">
        <f>IFS(
  B819&lt;65,
    IF(AA818+J819 &lt; VLOOKUP(YEAR(A819), Lookup!$Q:$R, 2),
      AA818 + IF(MONTH(A819)=12, R818+X818, 0) + J819,
      MIN(
        AA818 + IF(MONTH(A819)=12, R818+X818, 0) + J819 ,
        VLOOKUP(YEAR(A819), Lookup!$Q:$R, 2)
      )
    ),
  B819&gt;=65,
    IF(AA818+J819 &lt; VLOOKUP(questions!$C$5, Lookup!$Q:$R, 2),
      AA818 + IF(MONTH(A819)=12, R818+X818, 0) + J819 ,
      MIN(
        AA818 + IF(MONTH(A819)=12, R818+X818, 0) + J819,
        VLOOKUP(questions!$C$5, Lookup!$Q:$R, 2)
      )
    )
)</f>
        <v>282111.0086</v>
      </c>
      <c r="AB819" s="65">
        <f t="shared" si="13"/>
        <v>3078880.533</v>
      </c>
      <c r="AC819" s="66">
        <f t="array" ref="AC819">IFS(B819&lt;66, XLOOKUP(year(A819),Lookup!$K$13:$K1000,Lookup!$L$13:$L1000,"missing",,1),B819&gt;65,XLOOKUP(questions!$C$5,Lookup!$K$13:$K1000,Lookup!$L$13:$L1000,"missing",,1))</f>
        <v>393675.3633</v>
      </c>
      <c r="AD819" s="66">
        <f t="array" ref="AD819">IFS(B819&lt;66, XLOOKUP(year(A819),Lookup!$K$13:$K1000,Lookup!$M$13:$M1000,"missing",,1),B819&gt;65, XLOOKUP(questions!$C$5,Lookup!$K$13:$K1000,Lookup!$M$13:$M1000,"missing",,1))</f>
        <v>787350.7266</v>
      </c>
      <c r="AE819" s="66">
        <f t="array" ref="AE819">IFS(B819&lt;66, XLOOKUP(year(A819),Lookup!$K$13:$K1000,Lookup!$N$13:$N1000,"missing",,1),B819&gt;65,XLOOKUP(questions!$C$5,Lookup!$K$13:$K1000,Lookup!$N$13:$N1000,"missing",,1))</f>
        <v>1574701.453</v>
      </c>
      <c r="AF819" s="37"/>
      <c r="AG819" s="37"/>
      <c r="AH819" s="37"/>
      <c r="AI819" s="37"/>
      <c r="AJ819" s="37"/>
      <c r="AK819" s="37"/>
      <c r="AL819" s="37"/>
      <c r="AM819" s="37"/>
      <c r="AN819" s="37"/>
      <c r="AO819" s="37"/>
      <c r="AP819" s="37"/>
      <c r="AQ819" s="37"/>
    </row>
    <row r="820">
      <c r="A820" s="55">
        <f t="shared" si="7"/>
        <v>70979</v>
      </c>
      <c r="B820" s="56">
        <f>round(YEARFRAC(EOMONTH(questions!$C$3, 0),A820,1),2)</f>
        <v>95.41</v>
      </c>
      <c r="C820" s="58">
        <f>IF(B820&lt;questions!$C$6,if(MONTH(A820)=1,C819*(1+questions!$C$12),C819),0)</f>
        <v>0</v>
      </c>
      <c r="D820" s="58">
        <f>IF(MONTH(A820)=12,C820*questions!$C$11,0)</f>
        <v>0</v>
      </c>
      <c r="E820" s="71">
        <f t="shared" si="2"/>
        <v>0</v>
      </c>
      <c r="F820" s="71">
        <f t="shared" si="3"/>
        <v>0</v>
      </c>
      <c r="G820" s="61">
        <f t="array" ref="G820">if(YEAR(A820)=2025,XLOOKUP(B820,Lookup!$A$3:$A$7,Lookup!$D$3:$D$7,,1)*SUM(E820:F820), XLOOKUP(B820,Lookup!$A$14:$A$18,Lookup!$D$14:$D$18,,1)*SUM(E820:F820))</f>
        <v>0</v>
      </c>
      <c r="H820" s="61">
        <f t="array" ref="H820">if(YEAR(A820)=2025,XLOOKUP(B820,Lookup!$F$3:$F$10,Lookup!$G$3:$G$10,,1)*G820, XLOOKUP(B820,Lookup!$F$14:$F$21,Lookup!$G$14:$G$21,,1)*G820)</f>
        <v>0</v>
      </c>
      <c r="I820" s="61">
        <f t="array" ref="I820">if(B820&lt;55, if(YEAR(A820)=2025,XLOOKUP(B820,Lookup!$F$3:$F$10,Lookup!$H$3:$H$10,,1)*G820, XLOOKUP(B820,Lookup!$F$14:$F$21,Lookup!$H$14:$H$21,,1)*G820),0)</f>
        <v>0</v>
      </c>
      <c r="J820" s="61">
        <f t="array" ref="J820">if(YEAR(A820)=2025,XLOOKUP(B820,Lookup!$F$3:$F$10,Lookup!$I$3:$I$10,,1)*G820, XLOOKUP(B820,Lookup!$F$14:$F$21,Lookup!$I$14:$I$21,,1)*G820)</f>
        <v>0</v>
      </c>
      <c r="K820" s="61">
        <f t="array" ref="K820">if(B820&gt;54, if(YEAR(A820)=2025,XLOOKUP(B820,Lookup!$F$3:$F$10,Lookup!$H$3:$H$10,,1)*G820, XLOOKUP(B820,Lookup!$F$14:$F$21,Lookup!$H$14:$H$21,,1)*G820),0)</f>
        <v>0</v>
      </c>
      <c r="L820" s="62">
        <f>IF(and(A820&lt;questions!$C$19,questions!$C$18="yes"),questions!$C$20,0)</f>
        <v>0</v>
      </c>
      <c r="M820" s="63">
        <f>(Y819+H820)*Lookup!A$26/12</f>
        <v>4318.061804</v>
      </c>
      <c r="N820" s="63">
        <f>if(B820&lt;55, (Z819+I820)*Lookup!B$26/12, (AB819+K820)*Lookup!B$26/12)</f>
        <v>10262.93511</v>
      </c>
      <c r="O820" s="63">
        <f>(AA819+J820)*Lookup!C$26/12</f>
        <v>940.3700287</v>
      </c>
      <c r="P820" s="63">
        <f t="shared" si="8"/>
        <v>17272.24722</v>
      </c>
      <c r="Q820" s="63">
        <f t="shared" si="4"/>
        <v>41051.74044</v>
      </c>
      <c r="R820" s="63">
        <f t="shared" si="5"/>
        <v>3761.480115</v>
      </c>
      <c r="S820" s="64">
        <f t="shared" si="9"/>
        <v>33.33333333</v>
      </c>
      <c r="T820" s="64">
        <f t="shared" si="10"/>
        <v>41.66666667</v>
      </c>
      <c r="U820" s="64">
        <f t="shared" si="11"/>
        <v>0</v>
      </c>
      <c r="V820" s="64">
        <f t="shared" ref="V820:X820" si="828">IF(year($A820)=year($A819), V819+S820, S820)</f>
        <v>133.3333333</v>
      </c>
      <c r="W820" s="64">
        <f t="shared" si="828"/>
        <v>166.6666667</v>
      </c>
      <c r="X820" s="64">
        <f t="shared" si="828"/>
        <v>0</v>
      </c>
      <c r="Y820" s="65">
        <f>IFS(
  B820&lt;55,
    MAX(
      Y819 + IF(MONTH(A820)=12, P820+V820, 0) + H820 - L820
      + MAX(0,
          IF(AA819 &gt;= VLOOKUP(YEAR(A820), Lookup!$Q:$R, 2),
            Z819 + IF(MONTH(A820)=12, Q820+W820, 0) + I820
              + AA819 + IF(MONTH(A820)=12, R820+X820, 0)
              - VLOOKUP(YEAR(A820), Lookup!$Q:$R, 2) + J820,
            Z819 + IF(MONTH(A820)=12, Q820+W820, 0) + I820
          ) - VLOOKUP(YEAR(A820), Lookup!$K:$M, 3)
        ),
    0),
  B820=55,
    IF(Z819&gt;=AD820,
      MAX(Y819 + IF(MONTH(A820)=12, P820+V820, 0) + H820 - L820, 0),
      MAX(MAX(0, Y819-(AD820-Z819)) + IF(MONTH(A820)=12, P820+V820, 0) + H820 - L820, 0)
    ),
  B820&gt;55,
    IF(AB819&gt;=$AH$7,
      MAX(Y819 + IF(MONTH(A820)=12, P820+V820, 0) + H820 - L820 + K820 + Z819, 0),
      MAX(Y819 + IF(MONTH(A820)=12, P820+V820, 0) + H820 - L820, 0)
    )
)</f>
        <v>2072669.666</v>
      </c>
      <c r="Z820" s="65">
        <f>IFS(
  B820&lt;55,
    MIN(
      IF(AA819 &gt;= VLOOKUP(YEAR(A820), Lookup!$Q:$R, 2),
        Z819 + IF(MONTH(A820)=12, Q820+W820, 0) + I820
          + AA819 + IF(MONTH(A820)=12, R820+X820, 0) - VLOOKUP(YEAR(A820), Lookup!$Q:$R, 2) + J820,
        Z819 + IF(MONTH(A820)=12, Q820+W820, 0) + I820
      ),
      VLOOKUP(YEAR(A820), Lookup!$K:$M, 3)
    ),
  B820=55,
    IF(Z819 &gt;= AD820, Z819 - AD820, 0),
  B820&gt;55, 0
)</f>
        <v>0</v>
      </c>
      <c r="AA820" s="65">
        <f>IFS(
  B820&lt;65,
    IF(AA819+J820 &lt; VLOOKUP(YEAR(A820), Lookup!$Q:$R, 2),
      AA819 + IF(MONTH(A820)=12, R819+X819, 0) + J820,
      MIN(
        AA819 + IF(MONTH(A820)=12, R819+X819, 0) + J820 ,
        VLOOKUP(YEAR(A820), Lookup!$Q:$R, 2)
      )
    ),
  B820&gt;=65,
    IF(AA819+J820 &lt; VLOOKUP(questions!$C$5, Lookup!$Q:$R, 2),
      AA819 + IF(MONTH(A820)=12, R819+X819, 0) + J820 ,
      MIN(
        AA819 + IF(MONTH(A820)=12, R819+X819, 0) + J820,
        VLOOKUP(questions!$C$5, Lookup!$Q:$R, 2)
      )
    )
)</f>
        <v>282111.0086</v>
      </c>
      <c r="AB820" s="65">
        <f t="shared" si="13"/>
        <v>3078880.533</v>
      </c>
      <c r="AC820" s="66">
        <f t="array" ref="AC820">IFS(B820&lt;66, XLOOKUP(year(A820),Lookup!$K$13:$K1000,Lookup!$L$13:$L1000,"missing",,1),B820&gt;65,XLOOKUP(questions!$C$5,Lookup!$K$13:$K1000,Lookup!$L$13:$L1000,"missing",,1))</f>
        <v>393675.3633</v>
      </c>
      <c r="AD820" s="66">
        <f t="array" ref="AD820">IFS(B820&lt;66, XLOOKUP(year(A820),Lookup!$K$13:$K1000,Lookup!$M$13:$M1000,"missing",,1),B820&gt;65, XLOOKUP(questions!$C$5,Lookup!$K$13:$K1000,Lookup!$M$13:$M1000,"missing",,1))</f>
        <v>787350.7266</v>
      </c>
      <c r="AE820" s="66">
        <f t="array" ref="AE820">IFS(B820&lt;66, XLOOKUP(year(A820),Lookup!$K$13:$K1000,Lookup!$N$13:$N1000,"missing",,1),B820&gt;65,XLOOKUP(questions!$C$5,Lookup!$K$13:$K1000,Lookup!$N$13:$N1000,"missing",,1))</f>
        <v>1574701.453</v>
      </c>
      <c r="AF820" s="37"/>
      <c r="AG820" s="37"/>
      <c r="AH820" s="37"/>
      <c r="AI820" s="37"/>
      <c r="AJ820" s="37"/>
      <c r="AK820" s="37"/>
      <c r="AL820" s="37"/>
      <c r="AM820" s="37"/>
      <c r="AN820" s="37"/>
      <c r="AO820" s="37"/>
      <c r="AP820" s="37"/>
      <c r="AQ820" s="37"/>
    </row>
    <row r="821">
      <c r="A821" s="55">
        <f t="shared" si="7"/>
        <v>71010</v>
      </c>
      <c r="B821" s="56">
        <f>round(YEARFRAC(EOMONTH(questions!$C$3, 0),A821,1),2)</f>
        <v>95.5</v>
      </c>
      <c r="C821" s="58">
        <f>IF(B821&lt;questions!$C$6,if(MONTH(A821)=1,C820*(1+questions!$C$12),C820),0)</f>
        <v>0</v>
      </c>
      <c r="D821" s="58">
        <f>IF(MONTH(A821)=12,C821*questions!$C$11,0)</f>
        <v>0</v>
      </c>
      <c r="E821" s="71">
        <f t="shared" si="2"/>
        <v>0</v>
      </c>
      <c r="F821" s="71">
        <f t="shared" si="3"/>
        <v>0</v>
      </c>
      <c r="G821" s="61">
        <f t="array" ref="G821">if(YEAR(A821)=2025,XLOOKUP(B821,Lookup!$A$3:$A$7,Lookup!$D$3:$D$7,,1)*SUM(E821:F821), XLOOKUP(B821,Lookup!$A$14:$A$18,Lookup!$D$14:$D$18,,1)*SUM(E821:F821))</f>
        <v>0</v>
      </c>
      <c r="H821" s="61">
        <f t="array" ref="H821">if(YEAR(A821)=2025,XLOOKUP(B821,Lookup!$F$3:$F$10,Lookup!$G$3:$G$10,,1)*G821, XLOOKUP(B821,Lookup!$F$14:$F$21,Lookup!$G$14:$G$21,,1)*G821)</f>
        <v>0</v>
      </c>
      <c r="I821" s="61">
        <f t="array" ref="I821">if(B821&lt;55, if(YEAR(A821)=2025,XLOOKUP(B821,Lookup!$F$3:$F$10,Lookup!$H$3:$H$10,,1)*G821, XLOOKUP(B821,Lookup!$F$14:$F$21,Lookup!$H$14:$H$21,,1)*G821),0)</f>
        <v>0</v>
      </c>
      <c r="J821" s="61">
        <f t="array" ref="J821">if(YEAR(A821)=2025,XLOOKUP(B821,Lookup!$F$3:$F$10,Lookup!$I$3:$I$10,,1)*G821, XLOOKUP(B821,Lookup!$F$14:$F$21,Lookup!$I$14:$I$21,,1)*G821)</f>
        <v>0</v>
      </c>
      <c r="K821" s="61">
        <f t="array" ref="K821">if(B821&gt;54, if(YEAR(A821)=2025,XLOOKUP(B821,Lookup!$F$3:$F$10,Lookup!$H$3:$H$10,,1)*G821, XLOOKUP(B821,Lookup!$F$14:$F$21,Lookup!$H$14:$H$21,,1)*G821),0)</f>
        <v>0</v>
      </c>
      <c r="L821" s="62">
        <f>IF(and(A821&lt;questions!$C$19,questions!$C$18="yes"),questions!$C$20,0)</f>
        <v>0</v>
      </c>
      <c r="M821" s="63">
        <f>(Y820+H821)*Lookup!A$26/12</f>
        <v>4318.061804</v>
      </c>
      <c r="N821" s="63">
        <f>if(B821&lt;55, (Z820+I821)*Lookup!B$26/12, (AB820+K821)*Lookup!B$26/12)</f>
        <v>10262.93511</v>
      </c>
      <c r="O821" s="63">
        <f>(AA820+J821)*Lookup!C$26/12</f>
        <v>940.3700287</v>
      </c>
      <c r="P821" s="63">
        <f t="shared" si="8"/>
        <v>21590.30902</v>
      </c>
      <c r="Q821" s="63">
        <f t="shared" si="4"/>
        <v>51314.67555</v>
      </c>
      <c r="R821" s="63">
        <f t="shared" si="5"/>
        <v>4701.850143</v>
      </c>
      <c r="S821" s="64">
        <f t="shared" si="9"/>
        <v>33.33333333</v>
      </c>
      <c r="T821" s="64">
        <f t="shared" si="10"/>
        <v>41.66666667</v>
      </c>
      <c r="U821" s="64">
        <f t="shared" si="11"/>
        <v>0</v>
      </c>
      <c r="V821" s="64">
        <f t="shared" ref="V821:X821" si="829">IF(year($A821)=year($A820), V820+S821, S821)</f>
        <v>166.6666667</v>
      </c>
      <c r="W821" s="64">
        <f t="shared" si="829"/>
        <v>208.3333333</v>
      </c>
      <c r="X821" s="64">
        <f t="shared" si="829"/>
        <v>0</v>
      </c>
      <c r="Y821" s="65">
        <f>IFS(
  B821&lt;55,
    MAX(
      Y820 + IF(MONTH(A821)=12, P821+V821, 0) + H821 - L821
      + MAX(0,
          IF(AA820 &gt;= VLOOKUP(YEAR(A821), Lookup!$Q:$R, 2),
            Z820 + IF(MONTH(A821)=12, Q821+W821, 0) + I821
              + AA820 + IF(MONTH(A821)=12, R821+X821, 0)
              - VLOOKUP(YEAR(A821), Lookup!$Q:$R, 2) + J821,
            Z820 + IF(MONTH(A821)=12, Q821+W821, 0) + I821
          ) - VLOOKUP(YEAR(A821), Lookup!$K:$M, 3)
        ),
    0),
  B821=55,
    IF(Z820&gt;=AD821,
      MAX(Y820 + IF(MONTH(A821)=12, P821+V821, 0) + H821 - L821, 0),
      MAX(MAX(0, Y820-(AD821-Z820)) + IF(MONTH(A821)=12, P821+V821, 0) + H821 - L821, 0)
    ),
  B821&gt;55,
    IF(AB820&gt;=$AH$7,
      MAX(Y820 + IF(MONTH(A821)=12, P821+V821, 0) + H821 - L821 + K821 + Z820, 0),
      MAX(Y820 + IF(MONTH(A821)=12, P821+V821, 0) + H821 - L821, 0)
    )
)</f>
        <v>2072669.666</v>
      </c>
      <c r="Z821" s="65">
        <f>IFS(
  B821&lt;55,
    MIN(
      IF(AA820 &gt;= VLOOKUP(YEAR(A821), Lookup!$Q:$R, 2),
        Z820 + IF(MONTH(A821)=12, Q821+W821, 0) + I821
          + AA820 + IF(MONTH(A821)=12, R821+X821, 0) - VLOOKUP(YEAR(A821), Lookup!$Q:$R, 2) + J821,
        Z820 + IF(MONTH(A821)=12, Q821+W821, 0) + I821
      ),
      VLOOKUP(YEAR(A821), Lookup!$K:$M, 3)
    ),
  B821=55,
    IF(Z820 &gt;= AD821, Z820 - AD821, 0),
  B821&gt;55, 0
)</f>
        <v>0</v>
      </c>
      <c r="AA821" s="65">
        <f>IFS(
  B821&lt;65,
    IF(AA820+J821 &lt; VLOOKUP(YEAR(A821), Lookup!$Q:$R, 2),
      AA820 + IF(MONTH(A821)=12, R820+X820, 0) + J821,
      MIN(
        AA820 + IF(MONTH(A821)=12, R820+X820, 0) + J821 ,
        VLOOKUP(YEAR(A821), Lookup!$Q:$R, 2)
      )
    ),
  B821&gt;=65,
    IF(AA820+J821 &lt; VLOOKUP(questions!$C$5, Lookup!$Q:$R, 2),
      AA820 + IF(MONTH(A821)=12, R820+X820, 0) + J821 ,
      MIN(
        AA820 + IF(MONTH(A821)=12, R820+X820, 0) + J821,
        VLOOKUP(questions!$C$5, Lookup!$Q:$R, 2)
      )
    )
)</f>
        <v>282111.0086</v>
      </c>
      <c r="AB821" s="65">
        <f t="shared" si="13"/>
        <v>3078880.533</v>
      </c>
      <c r="AC821" s="66">
        <f t="array" ref="AC821">IFS(B821&lt;66, XLOOKUP(year(A821),Lookup!$K$13:$K1000,Lookup!$L$13:$L1000,"missing",,1),B821&gt;65,XLOOKUP(questions!$C$5,Lookup!$K$13:$K1000,Lookup!$L$13:$L1000,"missing",,1))</f>
        <v>393675.3633</v>
      </c>
      <c r="AD821" s="66">
        <f t="array" ref="AD821">IFS(B821&lt;66, XLOOKUP(year(A821),Lookup!$K$13:$K1000,Lookup!$M$13:$M1000,"missing",,1),B821&gt;65, XLOOKUP(questions!$C$5,Lookup!$K$13:$K1000,Lookup!$M$13:$M1000,"missing",,1))</f>
        <v>787350.7266</v>
      </c>
      <c r="AE821" s="66">
        <f t="array" ref="AE821">IFS(B821&lt;66, XLOOKUP(year(A821),Lookup!$K$13:$K1000,Lookup!$N$13:$N1000,"missing",,1),B821&gt;65,XLOOKUP(questions!$C$5,Lookup!$K$13:$K1000,Lookup!$N$13:$N1000,"missing",,1))</f>
        <v>1574701.453</v>
      </c>
      <c r="AF821" s="37"/>
      <c r="AG821" s="37"/>
      <c r="AH821" s="37"/>
      <c r="AI821" s="37"/>
      <c r="AJ821" s="37"/>
      <c r="AK821" s="37"/>
      <c r="AL821" s="37"/>
      <c r="AM821" s="37"/>
      <c r="AN821" s="37"/>
      <c r="AO821" s="37"/>
      <c r="AP821" s="37"/>
      <c r="AQ821" s="37"/>
    </row>
    <row r="822">
      <c r="A822" s="55">
        <f t="shared" si="7"/>
        <v>71040</v>
      </c>
      <c r="B822" s="56">
        <f>round(YEARFRAC(EOMONTH(questions!$C$3, 0),A822,1),2)</f>
        <v>95.58</v>
      </c>
      <c r="C822" s="58">
        <f>IF(B822&lt;questions!$C$6,if(MONTH(A822)=1,C821*(1+questions!$C$12),C821),0)</f>
        <v>0</v>
      </c>
      <c r="D822" s="58">
        <f>IF(MONTH(A822)=12,C822*questions!$C$11,0)</f>
        <v>0</v>
      </c>
      <c r="E822" s="71">
        <f t="shared" si="2"/>
        <v>0</v>
      </c>
      <c r="F822" s="71">
        <f t="shared" si="3"/>
        <v>0</v>
      </c>
      <c r="G822" s="61">
        <f t="array" ref="G822">if(YEAR(A822)=2025,XLOOKUP(B822,Lookup!$A$3:$A$7,Lookup!$D$3:$D$7,,1)*SUM(E822:F822), XLOOKUP(B822,Lookup!$A$14:$A$18,Lookup!$D$14:$D$18,,1)*SUM(E822:F822))</f>
        <v>0</v>
      </c>
      <c r="H822" s="61">
        <f t="array" ref="H822">if(YEAR(A822)=2025,XLOOKUP(B822,Lookup!$F$3:$F$10,Lookup!$G$3:$G$10,,1)*G822, XLOOKUP(B822,Lookup!$F$14:$F$21,Lookup!$G$14:$G$21,,1)*G822)</f>
        <v>0</v>
      </c>
      <c r="I822" s="61">
        <f t="array" ref="I822">if(B822&lt;55, if(YEAR(A822)=2025,XLOOKUP(B822,Lookup!$F$3:$F$10,Lookup!$H$3:$H$10,,1)*G822, XLOOKUP(B822,Lookup!$F$14:$F$21,Lookup!$H$14:$H$21,,1)*G822),0)</f>
        <v>0</v>
      </c>
      <c r="J822" s="61">
        <f t="array" ref="J822">if(YEAR(A822)=2025,XLOOKUP(B822,Lookup!$F$3:$F$10,Lookup!$I$3:$I$10,,1)*G822, XLOOKUP(B822,Lookup!$F$14:$F$21,Lookup!$I$14:$I$21,,1)*G822)</f>
        <v>0</v>
      </c>
      <c r="K822" s="61">
        <f t="array" ref="K822">if(B822&gt;54, if(YEAR(A822)=2025,XLOOKUP(B822,Lookup!$F$3:$F$10,Lookup!$H$3:$H$10,,1)*G822, XLOOKUP(B822,Lookup!$F$14:$F$21,Lookup!$H$14:$H$21,,1)*G822),0)</f>
        <v>0</v>
      </c>
      <c r="L822" s="62">
        <f>IF(and(A822&lt;questions!$C$19,questions!$C$18="yes"),questions!$C$20,0)</f>
        <v>0</v>
      </c>
      <c r="M822" s="63">
        <f>(Y821+H822)*Lookup!A$26/12</f>
        <v>4318.061804</v>
      </c>
      <c r="N822" s="63">
        <f>if(B822&lt;55, (Z821+I822)*Lookup!B$26/12, (AB821+K822)*Lookup!B$26/12)</f>
        <v>10262.93511</v>
      </c>
      <c r="O822" s="63">
        <f>(AA821+J822)*Lookup!C$26/12</f>
        <v>940.3700287</v>
      </c>
      <c r="P822" s="63">
        <f t="shared" si="8"/>
        <v>25908.37082</v>
      </c>
      <c r="Q822" s="63">
        <f t="shared" si="4"/>
        <v>61577.61066</v>
      </c>
      <c r="R822" s="63">
        <f t="shared" si="5"/>
        <v>5642.220172</v>
      </c>
      <c r="S822" s="64">
        <f t="shared" si="9"/>
        <v>33.33333333</v>
      </c>
      <c r="T822" s="64">
        <f t="shared" si="10"/>
        <v>41.66666667</v>
      </c>
      <c r="U822" s="64">
        <f t="shared" si="11"/>
        <v>0</v>
      </c>
      <c r="V822" s="64">
        <f t="shared" ref="V822:X822" si="830">IF(year($A822)=year($A821), V821+S822, S822)</f>
        <v>200</v>
      </c>
      <c r="W822" s="64">
        <f t="shared" si="830"/>
        <v>250</v>
      </c>
      <c r="X822" s="64">
        <f t="shared" si="830"/>
        <v>0</v>
      </c>
      <c r="Y822" s="65">
        <f>IFS(
  B822&lt;55,
    MAX(
      Y821 + IF(MONTH(A822)=12, P822+V822, 0) + H822 - L822
      + MAX(0,
          IF(AA821 &gt;= VLOOKUP(YEAR(A822), Lookup!$Q:$R, 2),
            Z821 + IF(MONTH(A822)=12, Q822+W822, 0) + I822
              + AA821 + IF(MONTH(A822)=12, R822+X822, 0)
              - VLOOKUP(YEAR(A822), Lookup!$Q:$R, 2) + J822,
            Z821 + IF(MONTH(A822)=12, Q822+W822, 0) + I822
          ) - VLOOKUP(YEAR(A822), Lookup!$K:$M, 3)
        ),
    0),
  B822=55,
    IF(Z821&gt;=AD822,
      MAX(Y821 + IF(MONTH(A822)=12, P822+V822, 0) + H822 - L822, 0),
      MAX(MAX(0, Y821-(AD822-Z821)) + IF(MONTH(A822)=12, P822+V822, 0) + H822 - L822, 0)
    ),
  B822&gt;55,
    IF(AB821&gt;=$AH$7,
      MAX(Y821 + IF(MONTH(A822)=12, P822+V822, 0) + H822 - L822 + K822 + Z821, 0),
      MAX(Y821 + IF(MONTH(A822)=12, P822+V822, 0) + H822 - L822, 0)
    )
)</f>
        <v>2072669.666</v>
      </c>
      <c r="Z822" s="65">
        <f>IFS(
  B822&lt;55,
    MIN(
      IF(AA821 &gt;= VLOOKUP(YEAR(A822), Lookup!$Q:$R, 2),
        Z821 + IF(MONTH(A822)=12, Q822+W822, 0) + I822
          + AA821 + IF(MONTH(A822)=12, R822+X822, 0) - VLOOKUP(YEAR(A822), Lookup!$Q:$R, 2) + J822,
        Z821 + IF(MONTH(A822)=12, Q822+W822, 0) + I822
      ),
      VLOOKUP(YEAR(A822), Lookup!$K:$M, 3)
    ),
  B822=55,
    IF(Z821 &gt;= AD822, Z821 - AD822, 0),
  B822&gt;55, 0
)</f>
        <v>0</v>
      </c>
      <c r="AA822" s="65">
        <f>IFS(
  B822&lt;65,
    IF(AA821+J822 &lt; VLOOKUP(YEAR(A822), Lookup!$Q:$R, 2),
      AA821 + IF(MONTH(A822)=12, R821+X821, 0) + J822,
      MIN(
        AA821 + IF(MONTH(A822)=12, R821+X821, 0) + J822 ,
        VLOOKUP(YEAR(A822), Lookup!$Q:$R, 2)
      )
    ),
  B822&gt;=65,
    IF(AA821+J822 &lt; VLOOKUP(questions!$C$5, Lookup!$Q:$R, 2),
      AA821 + IF(MONTH(A822)=12, R821+X821, 0) + J822 ,
      MIN(
        AA821 + IF(MONTH(A822)=12, R821+X821, 0) + J822,
        VLOOKUP(questions!$C$5, Lookup!$Q:$R, 2)
      )
    )
)</f>
        <v>282111.0086</v>
      </c>
      <c r="AB822" s="65">
        <f t="shared" si="13"/>
        <v>3078880.533</v>
      </c>
      <c r="AC822" s="66">
        <f t="array" ref="AC822">IFS(B822&lt;66, XLOOKUP(year(A822),Lookup!$K$13:$K1000,Lookup!$L$13:$L1000,"missing",,1),B822&gt;65,XLOOKUP(questions!$C$5,Lookup!$K$13:$K1000,Lookup!$L$13:$L1000,"missing",,1))</f>
        <v>393675.3633</v>
      </c>
      <c r="AD822" s="66">
        <f t="array" ref="AD822">IFS(B822&lt;66, XLOOKUP(year(A822),Lookup!$K$13:$K1000,Lookup!$M$13:$M1000,"missing",,1),B822&gt;65, XLOOKUP(questions!$C$5,Lookup!$K$13:$K1000,Lookup!$M$13:$M1000,"missing",,1))</f>
        <v>787350.7266</v>
      </c>
      <c r="AE822" s="66">
        <f t="array" ref="AE822">IFS(B822&lt;66, XLOOKUP(year(A822),Lookup!$K$13:$K1000,Lookup!$N$13:$N1000,"missing",,1),B822&gt;65,XLOOKUP(questions!$C$5,Lookup!$K$13:$K1000,Lookup!$N$13:$N1000,"missing",,1))</f>
        <v>1574701.453</v>
      </c>
      <c r="AF822" s="37"/>
      <c r="AG822" s="37"/>
      <c r="AH822" s="37"/>
      <c r="AI822" s="37"/>
      <c r="AJ822" s="37"/>
      <c r="AK822" s="37"/>
      <c r="AL822" s="37"/>
      <c r="AM822" s="37"/>
      <c r="AN822" s="37"/>
      <c r="AO822" s="37"/>
      <c r="AP822" s="37"/>
      <c r="AQ822" s="37"/>
    </row>
    <row r="823">
      <c r="A823" s="55">
        <f t="shared" si="7"/>
        <v>71071</v>
      </c>
      <c r="B823" s="56">
        <f>round(YEARFRAC(EOMONTH(questions!$C$3, 0),A823,1),2)</f>
        <v>95.67</v>
      </c>
      <c r="C823" s="58">
        <f>IF(B823&lt;questions!$C$6,if(MONTH(A823)=1,C822*(1+questions!$C$12),C822),0)</f>
        <v>0</v>
      </c>
      <c r="D823" s="58">
        <f>IF(MONTH(A823)=12,C823*questions!$C$11,0)</f>
        <v>0</v>
      </c>
      <c r="E823" s="71">
        <f t="shared" si="2"/>
        <v>0</v>
      </c>
      <c r="F823" s="71">
        <f t="shared" si="3"/>
        <v>0</v>
      </c>
      <c r="G823" s="61">
        <f t="array" ref="G823">if(YEAR(A823)=2025,XLOOKUP(B823,Lookup!$A$3:$A$7,Lookup!$D$3:$D$7,,1)*SUM(E823:F823), XLOOKUP(B823,Lookup!$A$14:$A$18,Lookup!$D$14:$D$18,,1)*SUM(E823:F823))</f>
        <v>0</v>
      </c>
      <c r="H823" s="61">
        <f t="array" ref="H823">if(YEAR(A823)=2025,XLOOKUP(B823,Lookup!$F$3:$F$10,Lookup!$G$3:$G$10,,1)*G823, XLOOKUP(B823,Lookup!$F$14:$F$21,Lookup!$G$14:$G$21,,1)*G823)</f>
        <v>0</v>
      </c>
      <c r="I823" s="61">
        <f t="array" ref="I823">if(B823&lt;55, if(YEAR(A823)=2025,XLOOKUP(B823,Lookup!$F$3:$F$10,Lookup!$H$3:$H$10,,1)*G823, XLOOKUP(B823,Lookup!$F$14:$F$21,Lookup!$H$14:$H$21,,1)*G823),0)</f>
        <v>0</v>
      </c>
      <c r="J823" s="61">
        <f t="array" ref="J823">if(YEAR(A823)=2025,XLOOKUP(B823,Lookup!$F$3:$F$10,Lookup!$I$3:$I$10,,1)*G823, XLOOKUP(B823,Lookup!$F$14:$F$21,Lookup!$I$14:$I$21,,1)*G823)</f>
        <v>0</v>
      </c>
      <c r="K823" s="61">
        <f t="array" ref="K823">if(B823&gt;54, if(YEAR(A823)=2025,XLOOKUP(B823,Lookup!$F$3:$F$10,Lookup!$H$3:$H$10,,1)*G823, XLOOKUP(B823,Lookup!$F$14:$F$21,Lookup!$H$14:$H$21,,1)*G823),0)</f>
        <v>0</v>
      </c>
      <c r="L823" s="62">
        <f>IF(and(A823&lt;questions!$C$19,questions!$C$18="yes"),questions!$C$20,0)</f>
        <v>0</v>
      </c>
      <c r="M823" s="63">
        <f>(Y822+H823)*Lookup!A$26/12</f>
        <v>4318.061804</v>
      </c>
      <c r="N823" s="63">
        <f>if(B823&lt;55, (Z822+I823)*Lookup!B$26/12, (AB822+K823)*Lookup!B$26/12)</f>
        <v>10262.93511</v>
      </c>
      <c r="O823" s="63">
        <f>(AA822+J823)*Lookup!C$26/12</f>
        <v>940.3700287</v>
      </c>
      <c r="P823" s="63">
        <f t="shared" si="8"/>
        <v>30226.43263</v>
      </c>
      <c r="Q823" s="63">
        <f t="shared" si="4"/>
        <v>71840.54577</v>
      </c>
      <c r="R823" s="63">
        <f t="shared" si="5"/>
        <v>6582.590201</v>
      </c>
      <c r="S823" s="64">
        <f t="shared" si="9"/>
        <v>33.33333333</v>
      </c>
      <c r="T823" s="64">
        <f t="shared" si="10"/>
        <v>41.66666667</v>
      </c>
      <c r="U823" s="64">
        <f t="shared" si="11"/>
        <v>0</v>
      </c>
      <c r="V823" s="64">
        <f t="shared" ref="V823:X823" si="831">IF(year($A823)=year($A822), V822+S823, S823)</f>
        <v>233.3333333</v>
      </c>
      <c r="W823" s="64">
        <f t="shared" si="831"/>
        <v>291.6666667</v>
      </c>
      <c r="X823" s="64">
        <f t="shared" si="831"/>
        <v>0</v>
      </c>
      <c r="Y823" s="65">
        <f>IFS(
  B823&lt;55,
    MAX(
      Y822 + IF(MONTH(A823)=12, P823+V823, 0) + H823 - L823
      + MAX(0,
          IF(AA822 &gt;= VLOOKUP(YEAR(A823), Lookup!$Q:$R, 2),
            Z822 + IF(MONTH(A823)=12, Q823+W823, 0) + I823
              + AA822 + IF(MONTH(A823)=12, R823+X823, 0)
              - VLOOKUP(YEAR(A823), Lookup!$Q:$R, 2) + J823,
            Z822 + IF(MONTH(A823)=12, Q823+W823, 0) + I823
          ) - VLOOKUP(YEAR(A823), Lookup!$K:$M, 3)
        ),
    0),
  B823=55,
    IF(Z822&gt;=AD823,
      MAX(Y822 + IF(MONTH(A823)=12, P823+V823, 0) + H823 - L823, 0),
      MAX(MAX(0, Y822-(AD823-Z822)) + IF(MONTH(A823)=12, P823+V823, 0) + H823 - L823, 0)
    ),
  B823&gt;55,
    IF(AB822&gt;=$AH$7,
      MAX(Y822 + IF(MONTH(A823)=12, P823+V823, 0) + H823 - L823 + K823 + Z822, 0),
      MAX(Y822 + IF(MONTH(A823)=12, P823+V823, 0) + H823 - L823, 0)
    )
)</f>
        <v>2072669.666</v>
      </c>
      <c r="Z823" s="65">
        <f>IFS(
  B823&lt;55,
    MIN(
      IF(AA822 &gt;= VLOOKUP(YEAR(A823), Lookup!$Q:$R, 2),
        Z822 + IF(MONTH(A823)=12, Q823+W823, 0) + I823
          + AA822 + IF(MONTH(A823)=12, R823+X823, 0) - VLOOKUP(YEAR(A823), Lookup!$Q:$R, 2) + J823,
        Z822 + IF(MONTH(A823)=12, Q823+W823, 0) + I823
      ),
      VLOOKUP(YEAR(A823), Lookup!$K:$M, 3)
    ),
  B823=55,
    IF(Z822 &gt;= AD823, Z822 - AD823, 0),
  B823&gt;55, 0
)</f>
        <v>0</v>
      </c>
      <c r="AA823" s="65">
        <f>IFS(
  B823&lt;65,
    IF(AA822+J823 &lt; VLOOKUP(YEAR(A823), Lookup!$Q:$R, 2),
      AA822 + IF(MONTH(A823)=12, R822+X822, 0) + J823,
      MIN(
        AA822 + IF(MONTH(A823)=12, R822+X822, 0) + J823 ,
        VLOOKUP(YEAR(A823), Lookup!$Q:$R, 2)
      )
    ),
  B823&gt;=65,
    IF(AA822+J823 &lt; VLOOKUP(questions!$C$5, Lookup!$Q:$R, 2),
      AA822 + IF(MONTH(A823)=12, R822+X822, 0) + J823 ,
      MIN(
        AA822 + IF(MONTH(A823)=12, R822+X822, 0) + J823,
        VLOOKUP(questions!$C$5, Lookup!$Q:$R, 2)
      )
    )
)</f>
        <v>282111.0086</v>
      </c>
      <c r="AB823" s="65">
        <f t="shared" si="13"/>
        <v>3078880.533</v>
      </c>
      <c r="AC823" s="66">
        <f t="array" ref="AC823">IFS(B823&lt;66, XLOOKUP(year(A823),Lookup!$K$13:$K1000,Lookup!$L$13:$L1000,"missing",,1),B823&gt;65,XLOOKUP(questions!$C$5,Lookup!$K$13:$K1000,Lookup!$L$13:$L1000,"missing",,1))</f>
        <v>393675.3633</v>
      </c>
      <c r="AD823" s="66">
        <f t="array" ref="AD823">IFS(B823&lt;66, XLOOKUP(year(A823),Lookup!$K$13:$K1000,Lookup!$M$13:$M1000,"missing",,1),B823&gt;65, XLOOKUP(questions!$C$5,Lookup!$K$13:$K1000,Lookup!$M$13:$M1000,"missing",,1))</f>
        <v>787350.7266</v>
      </c>
      <c r="AE823" s="66">
        <f t="array" ref="AE823">IFS(B823&lt;66, XLOOKUP(year(A823),Lookup!$K$13:$K1000,Lookup!$N$13:$N1000,"missing",,1),B823&gt;65,XLOOKUP(questions!$C$5,Lookup!$K$13:$K1000,Lookup!$N$13:$N1000,"missing",,1))</f>
        <v>1574701.453</v>
      </c>
      <c r="AF823" s="37"/>
      <c r="AG823" s="37"/>
      <c r="AH823" s="37"/>
      <c r="AI823" s="37"/>
      <c r="AJ823" s="37"/>
      <c r="AK823" s="37"/>
      <c r="AL823" s="37"/>
      <c r="AM823" s="37"/>
      <c r="AN823" s="37"/>
      <c r="AO823" s="37"/>
      <c r="AP823" s="37"/>
      <c r="AQ823" s="37"/>
    </row>
    <row r="824">
      <c r="A824" s="55">
        <f t="shared" si="7"/>
        <v>71102</v>
      </c>
      <c r="B824" s="56">
        <f>round(YEARFRAC(EOMONTH(questions!$C$3, 0),A824,1),2)</f>
        <v>95.75</v>
      </c>
      <c r="C824" s="58">
        <f>IF(B824&lt;questions!$C$6,if(MONTH(A824)=1,C823*(1+questions!$C$12),C823),0)</f>
        <v>0</v>
      </c>
      <c r="D824" s="58">
        <f>IF(MONTH(A824)=12,C824*questions!$C$11,0)</f>
        <v>0</v>
      </c>
      <c r="E824" s="71">
        <f t="shared" si="2"/>
        <v>0</v>
      </c>
      <c r="F824" s="71">
        <f t="shared" si="3"/>
        <v>0</v>
      </c>
      <c r="G824" s="61">
        <f t="array" ref="G824">if(YEAR(A824)=2025,XLOOKUP(B824,Lookup!$A$3:$A$7,Lookup!$D$3:$D$7,,1)*SUM(E824:F824), XLOOKUP(B824,Lookup!$A$14:$A$18,Lookup!$D$14:$D$18,,1)*SUM(E824:F824))</f>
        <v>0</v>
      </c>
      <c r="H824" s="61">
        <f t="array" ref="H824">if(YEAR(A824)=2025,XLOOKUP(B824,Lookup!$F$3:$F$10,Lookup!$G$3:$G$10,,1)*G824, XLOOKUP(B824,Lookup!$F$14:$F$21,Lookup!$G$14:$G$21,,1)*G824)</f>
        <v>0</v>
      </c>
      <c r="I824" s="61">
        <f t="array" ref="I824">if(B824&lt;55, if(YEAR(A824)=2025,XLOOKUP(B824,Lookup!$F$3:$F$10,Lookup!$H$3:$H$10,,1)*G824, XLOOKUP(B824,Lookup!$F$14:$F$21,Lookup!$H$14:$H$21,,1)*G824),0)</f>
        <v>0</v>
      </c>
      <c r="J824" s="61">
        <f t="array" ref="J824">if(YEAR(A824)=2025,XLOOKUP(B824,Lookup!$F$3:$F$10,Lookup!$I$3:$I$10,,1)*G824, XLOOKUP(B824,Lookup!$F$14:$F$21,Lookup!$I$14:$I$21,,1)*G824)</f>
        <v>0</v>
      </c>
      <c r="K824" s="61">
        <f t="array" ref="K824">if(B824&gt;54, if(YEAR(A824)=2025,XLOOKUP(B824,Lookup!$F$3:$F$10,Lookup!$H$3:$H$10,,1)*G824, XLOOKUP(B824,Lookup!$F$14:$F$21,Lookup!$H$14:$H$21,,1)*G824),0)</f>
        <v>0</v>
      </c>
      <c r="L824" s="62">
        <f>IF(and(A824&lt;questions!$C$19,questions!$C$18="yes"),questions!$C$20,0)</f>
        <v>0</v>
      </c>
      <c r="M824" s="63">
        <f>(Y823+H824)*Lookup!A$26/12</f>
        <v>4318.061804</v>
      </c>
      <c r="N824" s="63">
        <f>if(B824&lt;55, (Z823+I824)*Lookup!B$26/12, (AB823+K824)*Lookup!B$26/12)</f>
        <v>10262.93511</v>
      </c>
      <c r="O824" s="63">
        <f>(AA823+J824)*Lookup!C$26/12</f>
        <v>940.3700287</v>
      </c>
      <c r="P824" s="63">
        <f t="shared" si="8"/>
        <v>34544.49443</v>
      </c>
      <c r="Q824" s="63">
        <f t="shared" si="4"/>
        <v>82103.48088</v>
      </c>
      <c r="R824" s="63">
        <f t="shared" si="5"/>
        <v>7522.960229</v>
      </c>
      <c r="S824" s="64">
        <f t="shared" si="9"/>
        <v>33.33333333</v>
      </c>
      <c r="T824" s="64">
        <f t="shared" si="10"/>
        <v>41.66666667</v>
      </c>
      <c r="U824" s="64">
        <f t="shared" si="11"/>
        <v>0</v>
      </c>
      <c r="V824" s="64">
        <f t="shared" ref="V824:X824" si="832">IF(year($A824)=year($A823), V823+S824, S824)</f>
        <v>266.6666667</v>
      </c>
      <c r="W824" s="64">
        <f t="shared" si="832"/>
        <v>333.3333333</v>
      </c>
      <c r="X824" s="64">
        <f t="shared" si="832"/>
        <v>0</v>
      </c>
      <c r="Y824" s="65">
        <f>IFS(
  B824&lt;55,
    MAX(
      Y823 + IF(MONTH(A824)=12, P824+V824, 0) + H824 - L824
      + MAX(0,
          IF(AA823 &gt;= VLOOKUP(YEAR(A824), Lookup!$Q:$R, 2),
            Z823 + IF(MONTH(A824)=12, Q824+W824, 0) + I824
              + AA823 + IF(MONTH(A824)=12, R824+X824, 0)
              - VLOOKUP(YEAR(A824), Lookup!$Q:$R, 2) + J824,
            Z823 + IF(MONTH(A824)=12, Q824+W824, 0) + I824
          ) - VLOOKUP(YEAR(A824), Lookup!$K:$M, 3)
        ),
    0),
  B824=55,
    IF(Z823&gt;=AD824,
      MAX(Y823 + IF(MONTH(A824)=12, P824+V824, 0) + H824 - L824, 0),
      MAX(MAX(0, Y823-(AD824-Z823)) + IF(MONTH(A824)=12, P824+V824, 0) + H824 - L824, 0)
    ),
  B824&gt;55,
    IF(AB823&gt;=$AH$7,
      MAX(Y823 + IF(MONTH(A824)=12, P824+V824, 0) + H824 - L824 + K824 + Z823, 0),
      MAX(Y823 + IF(MONTH(A824)=12, P824+V824, 0) + H824 - L824, 0)
    )
)</f>
        <v>2072669.666</v>
      </c>
      <c r="Z824" s="65">
        <f>IFS(
  B824&lt;55,
    MIN(
      IF(AA823 &gt;= VLOOKUP(YEAR(A824), Lookup!$Q:$R, 2),
        Z823 + IF(MONTH(A824)=12, Q824+W824, 0) + I824
          + AA823 + IF(MONTH(A824)=12, R824+X824, 0) - VLOOKUP(YEAR(A824), Lookup!$Q:$R, 2) + J824,
        Z823 + IF(MONTH(A824)=12, Q824+W824, 0) + I824
      ),
      VLOOKUP(YEAR(A824), Lookup!$K:$M, 3)
    ),
  B824=55,
    IF(Z823 &gt;= AD824, Z823 - AD824, 0),
  B824&gt;55, 0
)</f>
        <v>0</v>
      </c>
      <c r="AA824" s="65">
        <f>IFS(
  B824&lt;65,
    IF(AA823+J824 &lt; VLOOKUP(YEAR(A824), Lookup!$Q:$R, 2),
      AA823 + IF(MONTH(A824)=12, R823+X823, 0) + J824,
      MIN(
        AA823 + IF(MONTH(A824)=12, R823+X823, 0) + J824 ,
        VLOOKUP(YEAR(A824), Lookup!$Q:$R, 2)
      )
    ),
  B824&gt;=65,
    IF(AA823+J824 &lt; VLOOKUP(questions!$C$5, Lookup!$Q:$R, 2),
      AA823 + IF(MONTH(A824)=12, R823+X823, 0) + J824 ,
      MIN(
        AA823 + IF(MONTH(A824)=12, R823+X823, 0) + J824,
        VLOOKUP(questions!$C$5, Lookup!$Q:$R, 2)
      )
    )
)</f>
        <v>282111.0086</v>
      </c>
      <c r="AB824" s="65">
        <f t="shared" si="13"/>
        <v>3078880.533</v>
      </c>
      <c r="AC824" s="66">
        <f t="array" ref="AC824">IFS(B824&lt;66, XLOOKUP(year(A824),Lookup!$K$13:$K1000,Lookup!$L$13:$L1000,"missing",,1),B824&gt;65,XLOOKUP(questions!$C$5,Lookup!$K$13:$K1000,Lookup!$L$13:$L1000,"missing",,1))</f>
        <v>393675.3633</v>
      </c>
      <c r="AD824" s="66">
        <f t="array" ref="AD824">IFS(B824&lt;66, XLOOKUP(year(A824),Lookup!$K$13:$K1000,Lookup!$M$13:$M1000,"missing",,1),B824&gt;65, XLOOKUP(questions!$C$5,Lookup!$K$13:$K1000,Lookup!$M$13:$M1000,"missing",,1))</f>
        <v>787350.7266</v>
      </c>
      <c r="AE824" s="66">
        <f t="array" ref="AE824">IFS(B824&lt;66, XLOOKUP(year(A824),Lookup!$K$13:$K1000,Lookup!$N$13:$N1000,"missing",,1),B824&gt;65,XLOOKUP(questions!$C$5,Lookup!$K$13:$K1000,Lookup!$N$13:$N1000,"missing",,1))</f>
        <v>1574701.453</v>
      </c>
      <c r="AF824" s="37"/>
      <c r="AG824" s="37"/>
      <c r="AH824" s="37"/>
      <c r="AI824" s="37"/>
      <c r="AJ824" s="37"/>
      <c r="AK824" s="37"/>
      <c r="AL824" s="37"/>
      <c r="AM824" s="37"/>
      <c r="AN824" s="37"/>
      <c r="AO824" s="37"/>
      <c r="AP824" s="37"/>
      <c r="AQ824" s="37"/>
    </row>
    <row r="825">
      <c r="A825" s="55">
        <f t="shared" si="7"/>
        <v>71132</v>
      </c>
      <c r="B825" s="56">
        <f>round(YEARFRAC(EOMONTH(questions!$C$3, 0),A825,1),2)</f>
        <v>95.83</v>
      </c>
      <c r="C825" s="58">
        <f>IF(B825&lt;questions!$C$6,if(MONTH(A825)=1,C824*(1+questions!$C$12),C824),0)</f>
        <v>0</v>
      </c>
      <c r="D825" s="58">
        <f>IF(MONTH(A825)=12,C825*questions!$C$11,0)</f>
        <v>0</v>
      </c>
      <c r="E825" s="71">
        <f t="shared" si="2"/>
        <v>0</v>
      </c>
      <c r="F825" s="71">
        <f t="shared" si="3"/>
        <v>0</v>
      </c>
      <c r="G825" s="61">
        <f t="array" ref="G825">if(YEAR(A825)=2025,XLOOKUP(B825,Lookup!$A$3:$A$7,Lookup!$D$3:$D$7,,1)*SUM(E825:F825), XLOOKUP(B825,Lookup!$A$14:$A$18,Lookup!$D$14:$D$18,,1)*SUM(E825:F825))</f>
        <v>0</v>
      </c>
      <c r="H825" s="61">
        <f t="array" ref="H825">if(YEAR(A825)=2025,XLOOKUP(B825,Lookup!$F$3:$F$10,Lookup!$G$3:$G$10,,1)*G825, XLOOKUP(B825,Lookup!$F$14:$F$21,Lookup!$G$14:$G$21,,1)*G825)</f>
        <v>0</v>
      </c>
      <c r="I825" s="61">
        <f t="array" ref="I825">if(B825&lt;55, if(YEAR(A825)=2025,XLOOKUP(B825,Lookup!$F$3:$F$10,Lookup!$H$3:$H$10,,1)*G825, XLOOKUP(B825,Lookup!$F$14:$F$21,Lookup!$H$14:$H$21,,1)*G825),0)</f>
        <v>0</v>
      </c>
      <c r="J825" s="61">
        <f t="array" ref="J825">if(YEAR(A825)=2025,XLOOKUP(B825,Lookup!$F$3:$F$10,Lookup!$I$3:$I$10,,1)*G825, XLOOKUP(B825,Lookup!$F$14:$F$21,Lookup!$I$14:$I$21,,1)*G825)</f>
        <v>0</v>
      </c>
      <c r="K825" s="61">
        <f t="array" ref="K825">if(B825&gt;54, if(YEAR(A825)=2025,XLOOKUP(B825,Lookup!$F$3:$F$10,Lookup!$H$3:$H$10,,1)*G825, XLOOKUP(B825,Lookup!$F$14:$F$21,Lookup!$H$14:$H$21,,1)*G825),0)</f>
        <v>0</v>
      </c>
      <c r="L825" s="62">
        <f>IF(and(A825&lt;questions!$C$19,questions!$C$18="yes"),questions!$C$20,0)</f>
        <v>0</v>
      </c>
      <c r="M825" s="63">
        <f>(Y824+H825)*Lookup!A$26/12</f>
        <v>4318.061804</v>
      </c>
      <c r="N825" s="63">
        <f>if(B825&lt;55, (Z824+I825)*Lookup!B$26/12, (AB824+K825)*Lookup!B$26/12)</f>
        <v>10262.93511</v>
      </c>
      <c r="O825" s="63">
        <f>(AA824+J825)*Lookup!C$26/12</f>
        <v>940.3700287</v>
      </c>
      <c r="P825" s="63">
        <f t="shared" si="8"/>
        <v>38862.55624</v>
      </c>
      <c r="Q825" s="63">
        <f t="shared" si="4"/>
        <v>92366.41599</v>
      </c>
      <c r="R825" s="63">
        <f t="shared" si="5"/>
        <v>8463.330258</v>
      </c>
      <c r="S825" s="64">
        <f t="shared" si="9"/>
        <v>33.33333333</v>
      </c>
      <c r="T825" s="64">
        <f t="shared" si="10"/>
        <v>41.66666667</v>
      </c>
      <c r="U825" s="64">
        <f t="shared" si="11"/>
        <v>0</v>
      </c>
      <c r="V825" s="64">
        <f t="shared" ref="V825:X825" si="833">IF(year($A825)=year($A824), V824+S825, S825)</f>
        <v>300</v>
      </c>
      <c r="W825" s="64">
        <f t="shared" si="833"/>
        <v>375</v>
      </c>
      <c r="X825" s="64">
        <f t="shared" si="833"/>
        <v>0</v>
      </c>
      <c r="Y825" s="65">
        <f>IFS(
  B825&lt;55,
    MAX(
      Y824 + IF(MONTH(A825)=12, P825+V825, 0) + H825 - L825
      + MAX(0,
          IF(AA824 &gt;= VLOOKUP(YEAR(A825), Lookup!$Q:$R, 2),
            Z824 + IF(MONTH(A825)=12, Q825+W825, 0) + I825
              + AA824 + IF(MONTH(A825)=12, R825+X825, 0)
              - VLOOKUP(YEAR(A825), Lookup!$Q:$R, 2) + J825,
            Z824 + IF(MONTH(A825)=12, Q825+W825, 0) + I825
          ) - VLOOKUP(YEAR(A825), Lookup!$K:$M, 3)
        ),
    0),
  B825=55,
    IF(Z824&gt;=AD825,
      MAX(Y824 + IF(MONTH(A825)=12, P825+V825, 0) + H825 - L825, 0),
      MAX(MAX(0, Y824-(AD825-Z824)) + IF(MONTH(A825)=12, P825+V825, 0) + H825 - L825, 0)
    ),
  B825&gt;55,
    IF(AB824&gt;=$AH$7,
      MAX(Y824 + IF(MONTH(A825)=12, P825+V825, 0) + H825 - L825 + K825 + Z824, 0),
      MAX(Y824 + IF(MONTH(A825)=12, P825+V825, 0) + H825 - L825, 0)
    )
)</f>
        <v>2072669.666</v>
      </c>
      <c r="Z825" s="65">
        <f>IFS(
  B825&lt;55,
    MIN(
      IF(AA824 &gt;= VLOOKUP(YEAR(A825), Lookup!$Q:$R, 2),
        Z824 + IF(MONTH(A825)=12, Q825+W825, 0) + I825
          + AA824 + IF(MONTH(A825)=12, R825+X825, 0) - VLOOKUP(YEAR(A825), Lookup!$Q:$R, 2) + J825,
        Z824 + IF(MONTH(A825)=12, Q825+W825, 0) + I825
      ),
      VLOOKUP(YEAR(A825), Lookup!$K:$M, 3)
    ),
  B825=55,
    IF(Z824 &gt;= AD825, Z824 - AD825, 0),
  B825&gt;55, 0
)</f>
        <v>0</v>
      </c>
      <c r="AA825" s="65">
        <f>IFS(
  B825&lt;65,
    IF(AA824+J825 &lt; VLOOKUP(YEAR(A825), Lookup!$Q:$R, 2),
      AA824 + IF(MONTH(A825)=12, R824+X824, 0) + J825,
      MIN(
        AA824 + IF(MONTH(A825)=12, R824+X824, 0) + J825 ,
        VLOOKUP(YEAR(A825), Lookup!$Q:$R, 2)
      )
    ),
  B825&gt;=65,
    IF(AA824+J825 &lt; VLOOKUP(questions!$C$5, Lookup!$Q:$R, 2),
      AA824 + IF(MONTH(A825)=12, R824+X824, 0) + J825 ,
      MIN(
        AA824 + IF(MONTH(A825)=12, R824+X824, 0) + J825,
        VLOOKUP(questions!$C$5, Lookup!$Q:$R, 2)
      )
    )
)</f>
        <v>282111.0086</v>
      </c>
      <c r="AB825" s="65">
        <f t="shared" si="13"/>
        <v>3078880.533</v>
      </c>
      <c r="AC825" s="66">
        <f t="array" ref="AC825">IFS(B825&lt;66, XLOOKUP(year(A825),Lookup!$K$13:$K1000,Lookup!$L$13:$L1000,"missing",,1),B825&gt;65,XLOOKUP(questions!$C$5,Lookup!$K$13:$K1000,Lookup!$L$13:$L1000,"missing",,1))</f>
        <v>393675.3633</v>
      </c>
      <c r="AD825" s="66">
        <f t="array" ref="AD825">IFS(B825&lt;66, XLOOKUP(year(A825),Lookup!$K$13:$K1000,Lookup!$M$13:$M1000,"missing",,1),B825&gt;65, XLOOKUP(questions!$C$5,Lookup!$K$13:$K1000,Lookup!$M$13:$M1000,"missing",,1))</f>
        <v>787350.7266</v>
      </c>
      <c r="AE825" s="66">
        <f t="array" ref="AE825">IFS(B825&lt;66, XLOOKUP(year(A825),Lookup!$K$13:$K1000,Lookup!$N$13:$N1000,"missing",,1),B825&gt;65,XLOOKUP(questions!$C$5,Lookup!$K$13:$K1000,Lookup!$N$13:$N1000,"missing",,1))</f>
        <v>1574701.453</v>
      </c>
      <c r="AF825" s="37"/>
      <c r="AG825" s="37"/>
      <c r="AH825" s="37"/>
      <c r="AI825" s="37"/>
      <c r="AJ825" s="37"/>
      <c r="AK825" s="37"/>
      <c r="AL825" s="37"/>
      <c r="AM825" s="37"/>
      <c r="AN825" s="37"/>
      <c r="AO825" s="37"/>
      <c r="AP825" s="37"/>
      <c r="AQ825" s="37"/>
    </row>
    <row r="826">
      <c r="A826" s="55">
        <f t="shared" si="7"/>
        <v>71163</v>
      </c>
      <c r="B826" s="56">
        <f>round(YEARFRAC(EOMONTH(questions!$C$3, 0),A826,1),2)</f>
        <v>95.92</v>
      </c>
      <c r="C826" s="58">
        <f>IF(B826&lt;questions!$C$6,if(MONTH(A826)=1,C825*(1+questions!$C$12),C825),0)</f>
        <v>0</v>
      </c>
      <c r="D826" s="58">
        <f>IF(MONTH(A826)=12,C826*questions!$C$11,0)</f>
        <v>0</v>
      </c>
      <c r="E826" s="71">
        <f t="shared" si="2"/>
        <v>0</v>
      </c>
      <c r="F826" s="71">
        <f t="shared" si="3"/>
        <v>0</v>
      </c>
      <c r="G826" s="61">
        <f t="array" ref="G826">if(YEAR(A826)=2025,XLOOKUP(B826,Lookup!$A$3:$A$7,Lookup!$D$3:$D$7,,1)*SUM(E826:F826), XLOOKUP(B826,Lookup!$A$14:$A$18,Lookup!$D$14:$D$18,,1)*SUM(E826:F826))</f>
        <v>0</v>
      </c>
      <c r="H826" s="61">
        <f t="array" ref="H826">if(YEAR(A826)=2025,XLOOKUP(B826,Lookup!$F$3:$F$10,Lookup!$G$3:$G$10,,1)*G826, XLOOKUP(B826,Lookup!$F$14:$F$21,Lookup!$G$14:$G$21,,1)*G826)</f>
        <v>0</v>
      </c>
      <c r="I826" s="61">
        <f t="array" ref="I826">if(B826&lt;55, if(YEAR(A826)=2025,XLOOKUP(B826,Lookup!$F$3:$F$10,Lookup!$H$3:$H$10,,1)*G826, XLOOKUP(B826,Lookup!$F$14:$F$21,Lookup!$H$14:$H$21,,1)*G826),0)</f>
        <v>0</v>
      </c>
      <c r="J826" s="61">
        <f t="array" ref="J826">if(YEAR(A826)=2025,XLOOKUP(B826,Lookup!$F$3:$F$10,Lookup!$I$3:$I$10,,1)*G826, XLOOKUP(B826,Lookup!$F$14:$F$21,Lookup!$I$14:$I$21,,1)*G826)</f>
        <v>0</v>
      </c>
      <c r="K826" s="61">
        <f t="array" ref="K826">if(B826&gt;54, if(YEAR(A826)=2025,XLOOKUP(B826,Lookup!$F$3:$F$10,Lookup!$H$3:$H$10,,1)*G826, XLOOKUP(B826,Lookup!$F$14:$F$21,Lookup!$H$14:$H$21,,1)*G826),0)</f>
        <v>0</v>
      </c>
      <c r="L826" s="62">
        <f>IF(and(A826&lt;questions!$C$19,questions!$C$18="yes"),questions!$C$20,0)</f>
        <v>0</v>
      </c>
      <c r="M826" s="63">
        <f>(Y825+H826)*Lookup!A$26/12</f>
        <v>4318.061804</v>
      </c>
      <c r="N826" s="63">
        <f>if(B826&lt;55, (Z825+I826)*Lookup!B$26/12, (AB825+K826)*Lookup!B$26/12)</f>
        <v>10262.93511</v>
      </c>
      <c r="O826" s="63">
        <f>(AA825+J826)*Lookup!C$26/12</f>
        <v>940.3700287</v>
      </c>
      <c r="P826" s="63">
        <f t="shared" si="8"/>
        <v>43180.61804</v>
      </c>
      <c r="Q826" s="63">
        <f t="shared" si="4"/>
        <v>102629.3511</v>
      </c>
      <c r="R826" s="63">
        <f t="shared" si="5"/>
        <v>9403.700287</v>
      </c>
      <c r="S826" s="64">
        <f t="shared" si="9"/>
        <v>33.33333333</v>
      </c>
      <c r="T826" s="64">
        <f t="shared" si="10"/>
        <v>41.66666667</v>
      </c>
      <c r="U826" s="64">
        <f t="shared" si="11"/>
        <v>0</v>
      </c>
      <c r="V826" s="64">
        <f t="shared" ref="V826:X826" si="834">IF(year($A826)=year($A825), V825+S826, S826)</f>
        <v>333.3333333</v>
      </c>
      <c r="W826" s="64">
        <f t="shared" si="834"/>
        <v>416.6666667</v>
      </c>
      <c r="X826" s="64">
        <f t="shared" si="834"/>
        <v>0</v>
      </c>
      <c r="Y826" s="65">
        <f>IFS(
  B826&lt;55,
    MAX(
      Y825 + IF(MONTH(A826)=12, P826+V826, 0) + H826 - L826
      + MAX(0,
          IF(AA825 &gt;= VLOOKUP(YEAR(A826), Lookup!$Q:$R, 2),
            Z825 + IF(MONTH(A826)=12, Q826+W826, 0) + I826
              + AA825 + IF(MONTH(A826)=12, R826+X826, 0)
              - VLOOKUP(YEAR(A826), Lookup!$Q:$R, 2) + J826,
            Z825 + IF(MONTH(A826)=12, Q826+W826, 0) + I826
          ) - VLOOKUP(YEAR(A826), Lookup!$K:$M, 3)
        ),
    0),
  B826=55,
    IF(Z825&gt;=AD826,
      MAX(Y825 + IF(MONTH(A826)=12, P826+V826, 0) + H826 - L826, 0),
      MAX(MAX(0, Y825-(AD826-Z825)) + IF(MONTH(A826)=12, P826+V826, 0) + H826 - L826, 0)
    ),
  B826&gt;55,
    IF(AB825&gt;=$AH$7,
      MAX(Y825 + IF(MONTH(A826)=12, P826+V826, 0) + H826 - L826 + K826 + Z825, 0),
      MAX(Y825 + IF(MONTH(A826)=12, P826+V826, 0) + H826 - L826, 0)
    )
)</f>
        <v>2072669.666</v>
      </c>
      <c r="Z826" s="65">
        <f>IFS(
  B826&lt;55,
    MIN(
      IF(AA825 &gt;= VLOOKUP(YEAR(A826), Lookup!$Q:$R, 2),
        Z825 + IF(MONTH(A826)=12, Q826+W826, 0) + I826
          + AA825 + IF(MONTH(A826)=12, R826+X826, 0) - VLOOKUP(YEAR(A826), Lookup!$Q:$R, 2) + J826,
        Z825 + IF(MONTH(A826)=12, Q826+W826, 0) + I826
      ),
      VLOOKUP(YEAR(A826), Lookup!$K:$M, 3)
    ),
  B826=55,
    IF(Z825 &gt;= AD826, Z825 - AD826, 0),
  B826&gt;55, 0
)</f>
        <v>0</v>
      </c>
      <c r="AA826" s="65">
        <f>IFS(
  B826&lt;65,
    IF(AA825+J826 &lt; VLOOKUP(YEAR(A826), Lookup!$Q:$R, 2),
      AA825 + IF(MONTH(A826)=12, R825+X825, 0) + J826,
      MIN(
        AA825 + IF(MONTH(A826)=12, R825+X825, 0) + J826 ,
        VLOOKUP(YEAR(A826), Lookup!$Q:$R, 2)
      )
    ),
  B826&gt;=65,
    IF(AA825+J826 &lt; VLOOKUP(questions!$C$5, Lookup!$Q:$R, 2),
      AA825 + IF(MONTH(A826)=12, R825+X825, 0) + J826 ,
      MIN(
        AA825 + IF(MONTH(A826)=12, R825+X825, 0) + J826,
        VLOOKUP(questions!$C$5, Lookup!$Q:$R, 2)
      )
    )
)</f>
        <v>282111.0086</v>
      </c>
      <c r="AB826" s="65">
        <f t="shared" si="13"/>
        <v>3078880.533</v>
      </c>
      <c r="AC826" s="66">
        <f t="array" ref="AC826">IFS(B826&lt;66, XLOOKUP(year(A826),Lookup!$K$13:$K1000,Lookup!$L$13:$L1000,"missing",,1),B826&gt;65,XLOOKUP(questions!$C$5,Lookup!$K$13:$K1000,Lookup!$L$13:$L1000,"missing",,1))</f>
        <v>393675.3633</v>
      </c>
      <c r="AD826" s="66">
        <f t="array" ref="AD826">IFS(B826&lt;66, XLOOKUP(year(A826),Lookup!$K$13:$K1000,Lookup!$M$13:$M1000,"missing",,1),B826&gt;65, XLOOKUP(questions!$C$5,Lookup!$K$13:$K1000,Lookup!$M$13:$M1000,"missing",,1))</f>
        <v>787350.7266</v>
      </c>
      <c r="AE826" s="66">
        <f t="array" ref="AE826">IFS(B826&lt;66, XLOOKUP(year(A826),Lookup!$K$13:$K1000,Lookup!$N$13:$N1000,"missing",,1),B826&gt;65,XLOOKUP(questions!$C$5,Lookup!$K$13:$K1000,Lookup!$N$13:$N1000,"missing",,1))</f>
        <v>1574701.453</v>
      </c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7"/>
      <c r="AQ826" s="37"/>
    </row>
    <row r="827">
      <c r="A827" s="55">
        <f t="shared" si="7"/>
        <v>71193</v>
      </c>
      <c r="B827" s="56">
        <f>round(YEARFRAC(EOMONTH(questions!$C$3, 0),A827,1),2)</f>
        <v>96</v>
      </c>
      <c r="C827" s="58">
        <f>IF(B827&lt;questions!$C$6,if(MONTH(A827)=1,C826*(1+questions!$C$12),C826),0)</f>
        <v>0</v>
      </c>
      <c r="D827" s="58">
        <f>IF(MONTH(A827)=12,C827*questions!$C$11,0)</f>
        <v>0</v>
      </c>
      <c r="E827" s="71">
        <f t="shared" si="2"/>
        <v>0</v>
      </c>
      <c r="F827" s="71">
        <f t="shared" si="3"/>
        <v>0</v>
      </c>
      <c r="G827" s="61">
        <f t="array" ref="G827">if(YEAR(A827)=2025,XLOOKUP(B827,Lookup!$A$3:$A$7,Lookup!$D$3:$D$7,,1)*SUM(E827:F827), XLOOKUP(B827,Lookup!$A$14:$A$18,Lookup!$D$14:$D$18,,1)*SUM(E827:F827))</f>
        <v>0</v>
      </c>
      <c r="H827" s="61">
        <f t="array" ref="H827">if(YEAR(A827)=2025,XLOOKUP(B827,Lookup!$F$3:$F$10,Lookup!$G$3:$G$10,,1)*G827, XLOOKUP(B827,Lookup!$F$14:$F$21,Lookup!$G$14:$G$21,,1)*G827)</f>
        <v>0</v>
      </c>
      <c r="I827" s="61">
        <f t="array" ref="I827">if(B827&lt;55, if(YEAR(A827)=2025,XLOOKUP(B827,Lookup!$F$3:$F$10,Lookup!$H$3:$H$10,,1)*G827, XLOOKUP(B827,Lookup!$F$14:$F$21,Lookup!$H$14:$H$21,,1)*G827),0)</f>
        <v>0</v>
      </c>
      <c r="J827" s="61">
        <f t="array" ref="J827">if(YEAR(A827)=2025,XLOOKUP(B827,Lookup!$F$3:$F$10,Lookup!$I$3:$I$10,,1)*G827, XLOOKUP(B827,Lookup!$F$14:$F$21,Lookup!$I$14:$I$21,,1)*G827)</f>
        <v>0</v>
      </c>
      <c r="K827" s="61">
        <f t="array" ref="K827">if(B827&gt;54, if(YEAR(A827)=2025,XLOOKUP(B827,Lookup!$F$3:$F$10,Lookup!$H$3:$H$10,,1)*G827, XLOOKUP(B827,Lookup!$F$14:$F$21,Lookup!$H$14:$H$21,,1)*G827),0)</f>
        <v>0</v>
      </c>
      <c r="L827" s="62">
        <f>IF(and(A827&lt;questions!$C$19,questions!$C$18="yes"),questions!$C$20,0)</f>
        <v>0</v>
      </c>
      <c r="M827" s="63">
        <f>(Y826+H827)*Lookup!A$26/12</f>
        <v>4318.061804</v>
      </c>
      <c r="N827" s="63">
        <f>if(B827&lt;55, (Z826+I827)*Lookup!B$26/12, (AB826+K827)*Lookup!B$26/12)</f>
        <v>10262.93511</v>
      </c>
      <c r="O827" s="63">
        <f>(AA826+J827)*Lookup!C$26/12</f>
        <v>940.3700287</v>
      </c>
      <c r="P827" s="63">
        <f t="shared" si="8"/>
        <v>47498.67984</v>
      </c>
      <c r="Q827" s="63">
        <f t="shared" si="4"/>
        <v>112892.2862</v>
      </c>
      <c r="R827" s="63">
        <f t="shared" si="5"/>
        <v>10344.07032</v>
      </c>
      <c r="S827" s="64">
        <f t="shared" si="9"/>
        <v>33.33333333</v>
      </c>
      <c r="T827" s="64">
        <f t="shared" si="10"/>
        <v>41.66666667</v>
      </c>
      <c r="U827" s="64">
        <f t="shared" si="11"/>
        <v>0</v>
      </c>
      <c r="V827" s="64">
        <f t="shared" ref="V827:X827" si="835">IF(year($A827)=year($A826), V826+S827, S827)</f>
        <v>366.6666667</v>
      </c>
      <c r="W827" s="64">
        <f t="shared" si="835"/>
        <v>458.3333333</v>
      </c>
      <c r="X827" s="64">
        <f t="shared" si="835"/>
        <v>0</v>
      </c>
      <c r="Y827" s="65">
        <f>IFS(
  B827&lt;55,
    MAX(
      Y826 + IF(MONTH(A827)=12, P827+V827, 0) + H827 - L827
      + MAX(0,
          IF(AA826 &gt;= VLOOKUP(YEAR(A827), Lookup!$Q:$R, 2),
            Z826 + IF(MONTH(A827)=12, Q827+W827, 0) + I827
              + AA826 + IF(MONTH(A827)=12, R827+X827, 0)
              - VLOOKUP(YEAR(A827), Lookup!$Q:$R, 2) + J827,
            Z826 + IF(MONTH(A827)=12, Q827+W827, 0) + I827
          ) - VLOOKUP(YEAR(A827), Lookup!$K:$M, 3)
        ),
    0),
  B827=55,
    IF(Z826&gt;=AD827,
      MAX(Y826 + IF(MONTH(A827)=12, P827+V827, 0) + H827 - L827, 0),
      MAX(MAX(0, Y826-(AD827-Z826)) + IF(MONTH(A827)=12, P827+V827, 0) + H827 - L827, 0)
    ),
  B827&gt;55,
    IF(AB826&gt;=$AH$7,
      MAX(Y826 + IF(MONTH(A827)=12, P827+V827, 0) + H827 - L827 + K827 + Z826, 0),
      MAX(Y826 + IF(MONTH(A827)=12, P827+V827, 0) + H827 - L827, 0)
    )
)</f>
        <v>2072669.666</v>
      </c>
      <c r="Z827" s="65">
        <f>IFS(
  B827&lt;55,
    MIN(
      IF(AA826 &gt;= VLOOKUP(YEAR(A827), Lookup!$Q:$R, 2),
        Z826 + IF(MONTH(A827)=12, Q827+W827, 0) + I827
          + AA826 + IF(MONTH(A827)=12, R827+X827, 0) - VLOOKUP(YEAR(A827), Lookup!$Q:$R, 2) + J827,
        Z826 + IF(MONTH(A827)=12, Q827+W827, 0) + I827
      ),
      VLOOKUP(YEAR(A827), Lookup!$K:$M, 3)
    ),
  B827=55,
    IF(Z826 &gt;= AD827, Z826 - AD827, 0),
  B827&gt;55, 0
)</f>
        <v>0</v>
      </c>
      <c r="AA827" s="65">
        <f>IFS(
  B827&lt;65,
    IF(AA826+J827 &lt; VLOOKUP(YEAR(A827), Lookup!$Q:$R, 2),
      AA826 + IF(MONTH(A827)=12, R826+X826, 0) + J827,
      MIN(
        AA826 + IF(MONTH(A827)=12, R826+X826, 0) + J827 ,
        VLOOKUP(YEAR(A827), Lookup!$Q:$R, 2)
      )
    ),
  B827&gt;=65,
    IF(AA826+J827 &lt; VLOOKUP(questions!$C$5, Lookup!$Q:$R, 2),
      AA826 + IF(MONTH(A827)=12, R826+X826, 0) + J827 ,
      MIN(
        AA826 + IF(MONTH(A827)=12, R826+X826, 0) + J827,
        VLOOKUP(questions!$C$5, Lookup!$Q:$R, 2)
      )
    )
)</f>
        <v>282111.0086</v>
      </c>
      <c r="AB827" s="65">
        <f t="shared" si="13"/>
        <v>3078880.533</v>
      </c>
      <c r="AC827" s="66">
        <f t="array" ref="AC827">IFS(B827&lt;66, XLOOKUP(year(A827),Lookup!$K$13:$K1000,Lookup!$L$13:$L1000,"missing",,1),B827&gt;65,XLOOKUP(questions!$C$5,Lookup!$K$13:$K1000,Lookup!$L$13:$L1000,"missing",,1))</f>
        <v>393675.3633</v>
      </c>
      <c r="AD827" s="66">
        <f t="array" ref="AD827">IFS(B827&lt;66, XLOOKUP(year(A827),Lookup!$K$13:$K1000,Lookup!$M$13:$M1000,"missing",,1),B827&gt;65, XLOOKUP(questions!$C$5,Lookup!$K$13:$K1000,Lookup!$M$13:$M1000,"missing",,1))</f>
        <v>787350.7266</v>
      </c>
      <c r="AE827" s="66">
        <f t="array" ref="AE827">IFS(B827&lt;66, XLOOKUP(year(A827),Lookup!$K$13:$K1000,Lookup!$N$13:$N1000,"missing",,1),B827&gt;65,XLOOKUP(questions!$C$5,Lookup!$K$13:$K1000,Lookup!$N$13:$N1000,"missing",,1))</f>
        <v>1574701.453</v>
      </c>
      <c r="AF827" s="37"/>
      <c r="AG827" s="37"/>
      <c r="AH827" s="37"/>
      <c r="AI827" s="37"/>
      <c r="AJ827" s="37"/>
      <c r="AK827" s="37"/>
      <c r="AL827" s="37"/>
      <c r="AM827" s="37"/>
      <c r="AN827" s="37"/>
      <c r="AO827" s="37"/>
      <c r="AP827" s="37"/>
      <c r="AQ827" s="37"/>
    </row>
    <row r="828">
      <c r="A828" s="55">
        <f t="shared" si="7"/>
        <v>71224</v>
      </c>
      <c r="B828" s="56">
        <f>round(YEARFRAC(EOMONTH(questions!$C$3, 0),A828,1),2)</f>
        <v>96.08</v>
      </c>
      <c r="C828" s="58">
        <f>IF(B828&lt;questions!$C$6,if(MONTH(A828)=1,C827*(1+questions!$C$12),C827),0)</f>
        <v>0</v>
      </c>
      <c r="D828" s="58">
        <f>IF(MONTH(A828)=12,C828*questions!$C$11,0)</f>
        <v>0</v>
      </c>
      <c r="E828" s="71">
        <f t="shared" si="2"/>
        <v>0</v>
      </c>
      <c r="F828" s="71">
        <f t="shared" si="3"/>
        <v>0</v>
      </c>
      <c r="G828" s="61">
        <f t="array" ref="G828">if(YEAR(A828)=2025,XLOOKUP(B828,Lookup!$A$3:$A$7,Lookup!$D$3:$D$7,,1)*SUM(E828:F828), XLOOKUP(B828,Lookup!$A$14:$A$18,Lookup!$D$14:$D$18,,1)*SUM(E828:F828))</f>
        <v>0</v>
      </c>
      <c r="H828" s="61">
        <f t="array" ref="H828">if(YEAR(A828)=2025,XLOOKUP(B828,Lookup!$F$3:$F$10,Lookup!$G$3:$G$10,,1)*G828, XLOOKUP(B828,Lookup!$F$14:$F$21,Lookup!$G$14:$G$21,,1)*G828)</f>
        <v>0</v>
      </c>
      <c r="I828" s="61">
        <f t="array" ref="I828">if(B828&lt;55, if(YEAR(A828)=2025,XLOOKUP(B828,Lookup!$F$3:$F$10,Lookup!$H$3:$H$10,,1)*G828, XLOOKUP(B828,Lookup!$F$14:$F$21,Lookup!$H$14:$H$21,,1)*G828),0)</f>
        <v>0</v>
      </c>
      <c r="J828" s="61">
        <f t="array" ref="J828">if(YEAR(A828)=2025,XLOOKUP(B828,Lookup!$F$3:$F$10,Lookup!$I$3:$I$10,,1)*G828, XLOOKUP(B828,Lookup!$F$14:$F$21,Lookup!$I$14:$I$21,,1)*G828)</f>
        <v>0</v>
      </c>
      <c r="K828" s="61">
        <f t="array" ref="K828">if(B828&gt;54, if(YEAR(A828)=2025,XLOOKUP(B828,Lookup!$F$3:$F$10,Lookup!$H$3:$H$10,,1)*G828, XLOOKUP(B828,Lookup!$F$14:$F$21,Lookup!$H$14:$H$21,,1)*G828),0)</f>
        <v>0</v>
      </c>
      <c r="L828" s="62">
        <f>IF(and(A828&lt;questions!$C$19,questions!$C$18="yes"),questions!$C$20,0)</f>
        <v>0</v>
      </c>
      <c r="M828" s="63">
        <f>(Y827+H828)*Lookup!A$26/12</f>
        <v>4318.061804</v>
      </c>
      <c r="N828" s="63">
        <f>if(B828&lt;55, (Z827+I828)*Lookup!B$26/12, (AB827+K828)*Lookup!B$26/12)</f>
        <v>10262.93511</v>
      </c>
      <c r="O828" s="63">
        <f>(AA827+J828)*Lookup!C$26/12</f>
        <v>940.3700287</v>
      </c>
      <c r="P828" s="63">
        <f t="shared" si="8"/>
        <v>51816.74165</v>
      </c>
      <c r="Q828" s="63">
        <f t="shared" si="4"/>
        <v>123155.2213</v>
      </c>
      <c r="R828" s="63">
        <f t="shared" si="5"/>
        <v>11284.44034</v>
      </c>
      <c r="S828" s="64">
        <f t="shared" si="9"/>
        <v>33.33333333</v>
      </c>
      <c r="T828" s="64">
        <f t="shared" si="10"/>
        <v>41.66666667</v>
      </c>
      <c r="U828" s="64">
        <f t="shared" si="11"/>
        <v>0</v>
      </c>
      <c r="V828" s="64">
        <f t="shared" ref="V828:X828" si="836">IF(year($A828)=year($A827), V827+S828, S828)</f>
        <v>400</v>
      </c>
      <c r="W828" s="64">
        <f t="shared" si="836"/>
        <v>500</v>
      </c>
      <c r="X828" s="64">
        <f t="shared" si="836"/>
        <v>0</v>
      </c>
      <c r="Y828" s="65">
        <f>IFS(
  B828&lt;55,
    MAX(
      Y827 + IF(MONTH(A828)=12, P828+V828, 0) + H828 - L828
      + MAX(0,
          IF(AA827 &gt;= VLOOKUP(YEAR(A828), Lookup!$Q:$R, 2),
            Z827 + IF(MONTH(A828)=12, Q828+W828, 0) + I828
              + AA827 + IF(MONTH(A828)=12, R828+X828, 0)
              - VLOOKUP(YEAR(A828), Lookup!$Q:$R, 2) + J828,
            Z827 + IF(MONTH(A828)=12, Q828+W828, 0) + I828
          ) - VLOOKUP(YEAR(A828), Lookup!$K:$M, 3)
        ),
    0),
  B828=55,
    IF(Z827&gt;=AD828,
      MAX(Y827 + IF(MONTH(A828)=12, P828+V828, 0) + H828 - L828, 0),
      MAX(MAX(0, Y827-(AD828-Z827)) + IF(MONTH(A828)=12, P828+V828, 0) + H828 - L828, 0)
    ),
  B828&gt;55,
    IF(AB827&gt;=$AH$7,
      MAX(Y827 + IF(MONTH(A828)=12, P828+V828, 0) + H828 - L828 + K828 + Z827, 0),
      MAX(Y827 + IF(MONTH(A828)=12, P828+V828, 0) + H828 - L828, 0)
    )
)</f>
        <v>2124886.408</v>
      </c>
      <c r="Z828" s="65">
        <f>IFS(
  B828&lt;55,
    MIN(
      IF(AA827 &gt;= VLOOKUP(YEAR(A828), Lookup!$Q:$R, 2),
        Z827 + IF(MONTH(A828)=12, Q828+W828, 0) + I828
          + AA827 + IF(MONTH(A828)=12, R828+X828, 0) - VLOOKUP(YEAR(A828), Lookup!$Q:$R, 2) + J828,
        Z827 + IF(MONTH(A828)=12, Q828+W828, 0) + I828
      ),
      VLOOKUP(YEAR(A828), Lookup!$K:$M, 3)
    ),
  B828=55,
    IF(Z827 &gt;= AD828, Z827 - AD828, 0),
  B828&gt;55, 0
)</f>
        <v>0</v>
      </c>
      <c r="AA828" s="65">
        <f>IFS(
  B828&lt;65,
    IF(AA827+J828 &lt; VLOOKUP(YEAR(A828), Lookup!$Q:$R, 2),
      AA827 + IF(MONTH(A828)=12, R827+X827, 0) + J828,
      MIN(
        AA827 + IF(MONTH(A828)=12, R827+X827, 0) + J828 ,
        VLOOKUP(YEAR(A828), Lookup!$Q:$R, 2)
      )
    ),
  B828&gt;=65,
    IF(AA827+J828 &lt; VLOOKUP(questions!$C$5, Lookup!$Q:$R, 2),
      AA827 + IF(MONTH(A828)=12, R827+X827, 0) + J828 ,
      MIN(
        AA827 + IF(MONTH(A828)=12, R827+X827, 0) + J828,
        VLOOKUP(questions!$C$5, Lookup!$Q:$R, 2)
      )
    )
)</f>
        <v>282111.0086</v>
      </c>
      <c r="AB828" s="65">
        <f t="shared" si="13"/>
        <v>3202535.754</v>
      </c>
      <c r="AC828" s="66">
        <f t="array" ref="AC828">IFS(B828&lt;66, XLOOKUP(year(A828),Lookup!$K$13:$K1000,Lookup!$L$13:$L1000,"missing",,1),B828&gt;65,XLOOKUP(questions!$C$5,Lookup!$K$13:$K1000,Lookup!$L$13:$L1000,"missing",,1))</f>
        <v>393675.3633</v>
      </c>
      <c r="AD828" s="66">
        <f t="array" ref="AD828">IFS(B828&lt;66, XLOOKUP(year(A828),Lookup!$K$13:$K1000,Lookup!$M$13:$M1000,"missing",,1),B828&gt;65, XLOOKUP(questions!$C$5,Lookup!$K$13:$K1000,Lookup!$M$13:$M1000,"missing",,1))</f>
        <v>787350.7266</v>
      </c>
      <c r="AE828" s="66">
        <f t="array" ref="AE828">IFS(B828&lt;66, XLOOKUP(year(A828),Lookup!$K$13:$K1000,Lookup!$N$13:$N1000,"missing",,1),B828&gt;65,XLOOKUP(questions!$C$5,Lookup!$K$13:$K1000,Lookup!$N$13:$N1000,"missing",,1))</f>
        <v>1574701.453</v>
      </c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7"/>
      <c r="AQ828" s="37"/>
    </row>
    <row r="829">
      <c r="A829" s="55">
        <f t="shared" si="7"/>
        <v>71255</v>
      </c>
      <c r="B829" s="56">
        <f>round(YEARFRAC(EOMONTH(questions!$C$3, 0),A829,1),2)</f>
        <v>96.17</v>
      </c>
      <c r="C829" s="58">
        <f>IF(B829&lt;questions!$C$6,if(MONTH(A829)=1,C828*(1+questions!$C$12),C828),0)</f>
        <v>0</v>
      </c>
      <c r="D829" s="58">
        <f>IF(MONTH(A829)=12,C829*questions!$C$11,0)</f>
        <v>0</v>
      </c>
      <c r="E829" s="71">
        <f t="shared" si="2"/>
        <v>0</v>
      </c>
      <c r="F829" s="71">
        <f t="shared" si="3"/>
        <v>0</v>
      </c>
      <c r="G829" s="61">
        <f t="array" ref="G829">if(YEAR(A829)=2025,XLOOKUP(B829,Lookup!$A$3:$A$7,Lookup!$D$3:$D$7,,1)*SUM(E829:F829), XLOOKUP(B829,Lookup!$A$14:$A$18,Lookup!$D$14:$D$18,,1)*SUM(E829:F829))</f>
        <v>0</v>
      </c>
      <c r="H829" s="61">
        <f t="array" ref="H829">if(YEAR(A829)=2025,XLOOKUP(B829,Lookup!$F$3:$F$10,Lookup!$G$3:$G$10,,1)*G829, XLOOKUP(B829,Lookup!$F$14:$F$21,Lookup!$G$14:$G$21,,1)*G829)</f>
        <v>0</v>
      </c>
      <c r="I829" s="61">
        <f t="array" ref="I829">if(B829&lt;55, if(YEAR(A829)=2025,XLOOKUP(B829,Lookup!$F$3:$F$10,Lookup!$H$3:$H$10,,1)*G829, XLOOKUP(B829,Lookup!$F$14:$F$21,Lookup!$H$14:$H$21,,1)*G829),0)</f>
        <v>0</v>
      </c>
      <c r="J829" s="61">
        <f t="array" ref="J829">if(YEAR(A829)=2025,XLOOKUP(B829,Lookup!$F$3:$F$10,Lookup!$I$3:$I$10,,1)*G829, XLOOKUP(B829,Lookup!$F$14:$F$21,Lookup!$I$14:$I$21,,1)*G829)</f>
        <v>0</v>
      </c>
      <c r="K829" s="61">
        <f t="array" ref="K829">if(B829&gt;54, if(YEAR(A829)=2025,XLOOKUP(B829,Lookup!$F$3:$F$10,Lookup!$H$3:$H$10,,1)*G829, XLOOKUP(B829,Lookup!$F$14:$F$21,Lookup!$H$14:$H$21,,1)*G829),0)</f>
        <v>0</v>
      </c>
      <c r="L829" s="62">
        <f>IF(and(A829&lt;questions!$C$19,questions!$C$18="yes"),questions!$C$20,0)</f>
        <v>0</v>
      </c>
      <c r="M829" s="63">
        <f>(Y828+H829)*Lookup!A$26/12</f>
        <v>4426.846682</v>
      </c>
      <c r="N829" s="63">
        <f>if(B829&lt;55, (Z828+I829)*Lookup!B$26/12, (AB828+K829)*Lookup!B$26/12)</f>
        <v>10675.11918</v>
      </c>
      <c r="O829" s="63">
        <f>(AA828+J829)*Lookup!C$26/12</f>
        <v>940.3700287</v>
      </c>
      <c r="P829" s="63">
        <f t="shared" si="8"/>
        <v>4426.846682</v>
      </c>
      <c r="Q829" s="63">
        <f t="shared" si="4"/>
        <v>10675.11918</v>
      </c>
      <c r="R829" s="63">
        <f t="shared" si="5"/>
        <v>940.3700287</v>
      </c>
      <c r="S829" s="64">
        <f t="shared" si="9"/>
        <v>33.33333333</v>
      </c>
      <c r="T829" s="64">
        <f t="shared" si="10"/>
        <v>41.66666667</v>
      </c>
      <c r="U829" s="64">
        <f t="shared" si="11"/>
        <v>0</v>
      </c>
      <c r="V829" s="64">
        <f t="shared" ref="V829:X829" si="837">IF(year($A829)=year($A828), V828+S829, S829)</f>
        <v>33.33333333</v>
      </c>
      <c r="W829" s="64">
        <f t="shared" si="837"/>
        <v>41.66666667</v>
      </c>
      <c r="X829" s="64">
        <f t="shared" si="837"/>
        <v>0</v>
      </c>
      <c r="Y829" s="65">
        <f>IFS(
  B829&lt;55,
    MAX(
      Y828 + IF(MONTH(A829)=12, P829+V829, 0) + H829 - L829
      + MAX(0,
          IF(AA828 &gt;= VLOOKUP(YEAR(A829), Lookup!$Q:$R, 2),
            Z828 + IF(MONTH(A829)=12, Q829+W829, 0) + I829
              + AA828 + IF(MONTH(A829)=12, R829+X829, 0)
              - VLOOKUP(YEAR(A829), Lookup!$Q:$R, 2) + J829,
            Z828 + IF(MONTH(A829)=12, Q829+W829, 0) + I829
          ) - VLOOKUP(YEAR(A829), Lookup!$K:$M, 3)
        ),
    0),
  B829=55,
    IF(Z828&gt;=AD829,
      MAX(Y828 + IF(MONTH(A829)=12, P829+V829, 0) + H829 - L829, 0),
      MAX(MAX(0, Y828-(AD829-Z828)) + IF(MONTH(A829)=12, P829+V829, 0) + H829 - L829, 0)
    ),
  B829&gt;55,
    IF(AB828&gt;=$AH$7,
      MAX(Y828 + IF(MONTH(A829)=12, P829+V829, 0) + H829 - L829 + K829 + Z828, 0),
      MAX(Y828 + IF(MONTH(A829)=12, P829+V829, 0) + H829 - L829, 0)
    )
)</f>
        <v>2124886.408</v>
      </c>
      <c r="Z829" s="65">
        <f>IFS(
  B829&lt;55,
    MIN(
      IF(AA828 &gt;= VLOOKUP(YEAR(A829), Lookup!$Q:$R, 2),
        Z828 + IF(MONTH(A829)=12, Q829+W829, 0) + I829
          + AA828 + IF(MONTH(A829)=12, R829+X829, 0) - VLOOKUP(YEAR(A829), Lookup!$Q:$R, 2) + J829,
        Z828 + IF(MONTH(A829)=12, Q829+W829, 0) + I829
      ),
      VLOOKUP(YEAR(A829), Lookup!$K:$M, 3)
    ),
  B829=55,
    IF(Z828 &gt;= AD829, Z828 - AD829, 0),
  B829&gt;55, 0
)</f>
        <v>0</v>
      </c>
      <c r="AA829" s="65">
        <f>IFS(
  B829&lt;65,
    IF(AA828+J829 &lt; VLOOKUP(YEAR(A829), Lookup!$Q:$R, 2),
      AA828 + IF(MONTH(A829)=12, R828+X828, 0) + J829,
      MIN(
        AA828 + IF(MONTH(A829)=12, R828+X828, 0) + J829 ,
        VLOOKUP(YEAR(A829), Lookup!$Q:$R, 2)
      )
    ),
  B829&gt;=65,
    IF(AA828+J829 &lt; VLOOKUP(questions!$C$5, Lookup!$Q:$R, 2),
      AA828 + IF(MONTH(A829)=12, R828+X828, 0) + J829 ,
      MIN(
        AA828 + IF(MONTH(A829)=12, R828+X828, 0) + J829,
        VLOOKUP(questions!$C$5, Lookup!$Q:$R, 2)
      )
    )
)</f>
        <v>282111.0086</v>
      </c>
      <c r="AB829" s="65">
        <f t="shared" si="13"/>
        <v>3202535.754</v>
      </c>
      <c r="AC829" s="66">
        <f t="array" ref="AC829">IFS(B829&lt;66, XLOOKUP(year(A829),Lookup!$K$13:$K1000,Lookup!$L$13:$L1000,"missing",,1),B829&gt;65,XLOOKUP(questions!$C$5,Lookup!$K$13:$K1000,Lookup!$L$13:$L1000,"missing",,1))</f>
        <v>393675.3633</v>
      </c>
      <c r="AD829" s="66">
        <f t="array" ref="AD829">IFS(B829&lt;66, XLOOKUP(year(A829),Lookup!$K$13:$K1000,Lookup!$M$13:$M1000,"missing",,1),B829&gt;65, XLOOKUP(questions!$C$5,Lookup!$K$13:$K1000,Lookup!$M$13:$M1000,"missing",,1))</f>
        <v>787350.7266</v>
      </c>
      <c r="AE829" s="66">
        <f t="array" ref="AE829">IFS(B829&lt;66, XLOOKUP(year(A829),Lookup!$K$13:$K1000,Lookup!$N$13:$N1000,"missing",,1),B829&gt;65,XLOOKUP(questions!$C$5,Lookup!$K$13:$K1000,Lookup!$N$13:$N1000,"missing",,1))</f>
        <v>1574701.453</v>
      </c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7"/>
      <c r="AQ829" s="37"/>
    </row>
    <row r="830">
      <c r="A830" s="55">
        <f t="shared" si="7"/>
        <v>71283</v>
      </c>
      <c r="B830" s="56">
        <f>round(YEARFRAC(EOMONTH(questions!$C$3, 0),A830,1),2)</f>
        <v>96.25</v>
      </c>
      <c r="C830" s="58">
        <f>IF(B830&lt;questions!$C$6,if(MONTH(A830)=1,C829*(1+questions!$C$12),C829),0)</f>
        <v>0</v>
      </c>
      <c r="D830" s="58">
        <f>IF(MONTH(A830)=12,C830*questions!$C$11,0)</f>
        <v>0</v>
      </c>
      <c r="E830" s="71">
        <f t="shared" si="2"/>
        <v>0</v>
      </c>
      <c r="F830" s="71">
        <f t="shared" si="3"/>
        <v>0</v>
      </c>
      <c r="G830" s="61">
        <f t="array" ref="G830">if(YEAR(A830)=2025,XLOOKUP(B830,Lookup!$A$3:$A$7,Lookup!$D$3:$D$7,,1)*SUM(E830:F830), XLOOKUP(B830,Lookup!$A$14:$A$18,Lookup!$D$14:$D$18,,1)*SUM(E830:F830))</f>
        <v>0</v>
      </c>
      <c r="H830" s="61">
        <f t="array" ref="H830">if(YEAR(A830)=2025,XLOOKUP(B830,Lookup!$F$3:$F$10,Lookup!$G$3:$G$10,,1)*G830, XLOOKUP(B830,Lookup!$F$14:$F$21,Lookup!$G$14:$G$21,,1)*G830)</f>
        <v>0</v>
      </c>
      <c r="I830" s="61">
        <f t="array" ref="I830">if(B830&lt;55, if(YEAR(A830)=2025,XLOOKUP(B830,Lookup!$F$3:$F$10,Lookup!$H$3:$H$10,,1)*G830, XLOOKUP(B830,Lookup!$F$14:$F$21,Lookup!$H$14:$H$21,,1)*G830),0)</f>
        <v>0</v>
      </c>
      <c r="J830" s="61">
        <f t="array" ref="J830">if(YEAR(A830)=2025,XLOOKUP(B830,Lookup!$F$3:$F$10,Lookup!$I$3:$I$10,,1)*G830, XLOOKUP(B830,Lookup!$F$14:$F$21,Lookup!$I$14:$I$21,,1)*G830)</f>
        <v>0</v>
      </c>
      <c r="K830" s="61">
        <f t="array" ref="K830">if(B830&gt;54, if(YEAR(A830)=2025,XLOOKUP(B830,Lookup!$F$3:$F$10,Lookup!$H$3:$H$10,,1)*G830, XLOOKUP(B830,Lookup!$F$14:$F$21,Lookup!$H$14:$H$21,,1)*G830),0)</f>
        <v>0</v>
      </c>
      <c r="L830" s="62">
        <f>IF(and(A830&lt;questions!$C$19,questions!$C$18="yes"),questions!$C$20,0)</f>
        <v>0</v>
      </c>
      <c r="M830" s="63">
        <f>(Y829+H830)*Lookup!A$26/12</f>
        <v>4426.846682</v>
      </c>
      <c r="N830" s="63">
        <f>if(B830&lt;55, (Z829+I830)*Lookup!B$26/12, (AB829+K830)*Lookup!B$26/12)</f>
        <v>10675.11918</v>
      </c>
      <c r="O830" s="63">
        <f>(AA829+J830)*Lookup!C$26/12</f>
        <v>940.3700287</v>
      </c>
      <c r="P830" s="63">
        <f t="shared" si="8"/>
        <v>8853.693365</v>
      </c>
      <c r="Q830" s="63">
        <f t="shared" si="4"/>
        <v>21350.23836</v>
      </c>
      <c r="R830" s="63">
        <f t="shared" si="5"/>
        <v>1880.740057</v>
      </c>
      <c r="S830" s="64">
        <f t="shared" si="9"/>
        <v>33.33333333</v>
      </c>
      <c r="T830" s="64">
        <f t="shared" si="10"/>
        <v>41.66666667</v>
      </c>
      <c r="U830" s="64">
        <f t="shared" si="11"/>
        <v>0</v>
      </c>
      <c r="V830" s="64">
        <f t="shared" ref="V830:X830" si="838">IF(year($A830)=year($A829), V829+S830, S830)</f>
        <v>66.66666667</v>
      </c>
      <c r="W830" s="64">
        <f t="shared" si="838"/>
        <v>83.33333333</v>
      </c>
      <c r="X830" s="64">
        <f t="shared" si="838"/>
        <v>0</v>
      </c>
      <c r="Y830" s="65">
        <f>IFS(
  B830&lt;55,
    MAX(
      Y829 + IF(MONTH(A830)=12, P830+V830, 0) + H830 - L830
      + MAX(0,
          IF(AA829 &gt;= VLOOKUP(YEAR(A830), Lookup!$Q:$R, 2),
            Z829 + IF(MONTH(A830)=12, Q830+W830, 0) + I830
              + AA829 + IF(MONTH(A830)=12, R830+X830, 0)
              - VLOOKUP(YEAR(A830), Lookup!$Q:$R, 2) + J830,
            Z829 + IF(MONTH(A830)=12, Q830+W830, 0) + I830
          ) - VLOOKUP(YEAR(A830), Lookup!$K:$M, 3)
        ),
    0),
  B830=55,
    IF(Z829&gt;=AD830,
      MAX(Y829 + IF(MONTH(A830)=12, P830+V830, 0) + H830 - L830, 0),
      MAX(MAX(0, Y829-(AD830-Z829)) + IF(MONTH(A830)=12, P830+V830, 0) + H830 - L830, 0)
    ),
  B830&gt;55,
    IF(AB829&gt;=$AH$7,
      MAX(Y829 + IF(MONTH(A830)=12, P830+V830, 0) + H830 - L830 + K830 + Z829, 0),
      MAX(Y829 + IF(MONTH(A830)=12, P830+V830, 0) + H830 - L830, 0)
    )
)</f>
        <v>2124886.408</v>
      </c>
      <c r="Z830" s="65">
        <f>IFS(
  B830&lt;55,
    MIN(
      IF(AA829 &gt;= VLOOKUP(YEAR(A830), Lookup!$Q:$R, 2),
        Z829 + IF(MONTH(A830)=12, Q830+W830, 0) + I830
          + AA829 + IF(MONTH(A830)=12, R830+X830, 0) - VLOOKUP(YEAR(A830), Lookup!$Q:$R, 2) + J830,
        Z829 + IF(MONTH(A830)=12, Q830+W830, 0) + I830
      ),
      VLOOKUP(YEAR(A830), Lookup!$K:$M, 3)
    ),
  B830=55,
    IF(Z829 &gt;= AD830, Z829 - AD830, 0),
  B830&gt;55, 0
)</f>
        <v>0</v>
      </c>
      <c r="AA830" s="65">
        <f>IFS(
  B830&lt;65,
    IF(AA829+J830 &lt; VLOOKUP(YEAR(A830), Lookup!$Q:$R, 2),
      AA829 + IF(MONTH(A830)=12, R829+X829, 0) + J830,
      MIN(
        AA829 + IF(MONTH(A830)=12, R829+X829, 0) + J830 ,
        VLOOKUP(YEAR(A830), Lookup!$Q:$R, 2)
      )
    ),
  B830&gt;=65,
    IF(AA829+J830 &lt; VLOOKUP(questions!$C$5, Lookup!$Q:$R, 2),
      AA829 + IF(MONTH(A830)=12, R829+X829, 0) + J830 ,
      MIN(
        AA829 + IF(MONTH(A830)=12, R829+X829, 0) + J830,
        VLOOKUP(questions!$C$5, Lookup!$Q:$R, 2)
      )
    )
)</f>
        <v>282111.0086</v>
      </c>
      <c r="AB830" s="65">
        <f t="shared" si="13"/>
        <v>3202535.754</v>
      </c>
      <c r="AC830" s="66">
        <f t="array" ref="AC830">IFS(B830&lt;66, XLOOKUP(year(A830),Lookup!$K$13:$K1000,Lookup!$L$13:$L1000,"missing",,1),B830&gt;65,XLOOKUP(questions!$C$5,Lookup!$K$13:$K1000,Lookup!$L$13:$L1000,"missing",,1))</f>
        <v>393675.3633</v>
      </c>
      <c r="AD830" s="66">
        <f t="array" ref="AD830">IFS(B830&lt;66, XLOOKUP(year(A830),Lookup!$K$13:$K1000,Lookup!$M$13:$M1000,"missing",,1),B830&gt;65, XLOOKUP(questions!$C$5,Lookup!$K$13:$K1000,Lookup!$M$13:$M1000,"missing",,1))</f>
        <v>787350.7266</v>
      </c>
      <c r="AE830" s="66">
        <f t="array" ref="AE830">IFS(B830&lt;66, XLOOKUP(year(A830),Lookup!$K$13:$K1000,Lookup!$N$13:$N1000,"missing",,1),B830&gt;65,XLOOKUP(questions!$C$5,Lookup!$K$13:$K1000,Lookup!$N$13:$N1000,"missing",,1))</f>
        <v>1574701.453</v>
      </c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  <c r="AQ830" s="37"/>
    </row>
    <row r="831">
      <c r="A831" s="55">
        <f t="shared" si="7"/>
        <v>71314</v>
      </c>
      <c r="B831" s="56">
        <f>round(YEARFRAC(EOMONTH(questions!$C$3, 0),A831,1),2)</f>
        <v>96.33</v>
      </c>
      <c r="C831" s="58">
        <f>IF(B831&lt;questions!$C$6,if(MONTH(A831)=1,C830*(1+questions!$C$12),C830),0)</f>
        <v>0</v>
      </c>
      <c r="D831" s="58">
        <f>IF(MONTH(A831)=12,C831*questions!$C$11,0)</f>
        <v>0</v>
      </c>
      <c r="E831" s="71">
        <f t="shared" si="2"/>
        <v>0</v>
      </c>
      <c r="F831" s="71">
        <f t="shared" si="3"/>
        <v>0</v>
      </c>
      <c r="G831" s="61">
        <f t="array" ref="G831">if(YEAR(A831)=2025,XLOOKUP(B831,Lookup!$A$3:$A$7,Lookup!$D$3:$D$7,,1)*SUM(E831:F831), XLOOKUP(B831,Lookup!$A$14:$A$18,Lookup!$D$14:$D$18,,1)*SUM(E831:F831))</f>
        <v>0</v>
      </c>
      <c r="H831" s="61">
        <f t="array" ref="H831">if(YEAR(A831)=2025,XLOOKUP(B831,Lookup!$F$3:$F$10,Lookup!$G$3:$G$10,,1)*G831, XLOOKUP(B831,Lookup!$F$14:$F$21,Lookup!$G$14:$G$21,,1)*G831)</f>
        <v>0</v>
      </c>
      <c r="I831" s="61">
        <f t="array" ref="I831">if(B831&lt;55, if(YEAR(A831)=2025,XLOOKUP(B831,Lookup!$F$3:$F$10,Lookup!$H$3:$H$10,,1)*G831, XLOOKUP(B831,Lookup!$F$14:$F$21,Lookup!$H$14:$H$21,,1)*G831),0)</f>
        <v>0</v>
      </c>
      <c r="J831" s="61">
        <f t="array" ref="J831">if(YEAR(A831)=2025,XLOOKUP(B831,Lookup!$F$3:$F$10,Lookup!$I$3:$I$10,,1)*G831, XLOOKUP(B831,Lookup!$F$14:$F$21,Lookup!$I$14:$I$21,,1)*G831)</f>
        <v>0</v>
      </c>
      <c r="K831" s="61">
        <f t="array" ref="K831">if(B831&gt;54, if(YEAR(A831)=2025,XLOOKUP(B831,Lookup!$F$3:$F$10,Lookup!$H$3:$H$10,,1)*G831, XLOOKUP(B831,Lookup!$F$14:$F$21,Lookup!$H$14:$H$21,,1)*G831),0)</f>
        <v>0</v>
      </c>
      <c r="L831" s="62">
        <f>IF(and(A831&lt;questions!$C$19,questions!$C$18="yes"),questions!$C$20,0)</f>
        <v>0</v>
      </c>
      <c r="M831" s="63">
        <f>(Y830+H831)*Lookup!A$26/12</f>
        <v>4426.846682</v>
      </c>
      <c r="N831" s="63">
        <f>if(B831&lt;55, (Z830+I831)*Lookup!B$26/12, (AB830+K831)*Lookup!B$26/12)</f>
        <v>10675.11918</v>
      </c>
      <c r="O831" s="63">
        <f>(AA830+J831)*Lookup!C$26/12</f>
        <v>940.3700287</v>
      </c>
      <c r="P831" s="63">
        <f t="shared" si="8"/>
        <v>13280.54005</v>
      </c>
      <c r="Q831" s="63">
        <f t="shared" si="4"/>
        <v>32025.35754</v>
      </c>
      <c r="R831" s="63">
        <f t="shared" si="5"/>
        <v>2821.110086</v>
      </c>
      <c r="S831" s="64">
        <f t="shared" si="9"/>
        <v>33.33333333</v>
      </c>
      <c r="T831" s="64">
        <f t="shared" si="10"/>
        <v>41.66666667</v>
      </c>
      <c r="U831" s="64">
        <f t="shared" si="11"/>
        <v>0</v>
      </c>
      <c r="V831" s="64">
        <f t="shared" ref="V831:X831" si="839">IF(year($A831)=year($A830), V830+S831, S831)</f>
        <v>100</v>
      </c>
      <c r="W831" s="64">
        <f t="shared" si="839"/>
        <v>125</v>
      </c>
      <c r="X831" s="64">
        <f t="shared" si="839"/>
        <v>0</v>
      </c>
      <c r="Y831" s="65">
        <f>IFS(
  B831&lt;55,
    MAX(
      Y830 + IF(MONTH(A831)=12, P831+V831, 0) + H831 - L831
      + MAX(0,
          IF(AA830 &gt;= VLOOKUP(YEAR(A831), Lookup!$Q:$R, 2),
            Z830 + IF(MONTH(A831)=12, Q831+W831, 0) + I831
              + AA830 + IF(MONTH(A831)=12, R831+X831, 0)
              - VLOOKUP(YEAR(A831), Lookup!$Q:$R, 2) + J831,
            Z830 + IF(MONTH(A831)=12, Q831+W831, 0) + I831
          ) - VLOOKUP(YEAR(A831), Lookup!$K:$M, 3)
        ),
    0),
  B831=55,
    IF(Z830&gt;=AD831,
      MAX(Y830 + IF(MONTH(A831)=12, P831+V831, 0) + H831 - L831, 0),
      MAX(MAX(0, Y830-(AD831-Z830)) + IF(MONTH(A831)=12, P831+V831, 0) + H831 - L831, 0)
    ),
  B831&gt;55,
    IF(AB830&gt;=$AH$7,
      MAX(Y830 + IF(MONTH(A831)=12, P831+V831, 0) + H831 - L831 + K831 + Z830, 0),
      MAX(Y830 + IF(MONTH(A831)=12, P831+V831, 0) + H831 - L831, 0)
    )
)</f>
        <v>2124886.408</v>
      </c>
      <c r="Z831" s="65">
        <f>IFS(
  B831&lt;55,
    MIN(
      IF(AA830 &gt;= VLOOKUP(YEAR(A831), Lookup!$Q:$R, 2),
        Z830 + IF(MONTH(A831)=12, Q831+W831, 0) + I831
          + AA830 + IF(MONTH(A831)=12, R831+X831, 0) - VLOOKUP(YEAR(A831), Lookup!$Q:$R, 2) + J831,
        Z830 + IF(MONTH(A831)=12, Q831+W831, 0) + I831
      ),
      VLOOKUP(YEAR(A831), Lookup!$K:$M, 3)
    ),
  B831=55,
    IF(Z830 &gt;= AD831, Z830 - AD831, 0),
  B831&gt;55, 0
)</f>
        <v>0</v>
      </c>
      <c r="AA831" s="65">
        <f>IFS(
  B831&lt;65,
    IF(AA830+J831 &lt; VLOOKUP(YEAR(A831), Lookup!$Q:$R, 2),
      AA830 + IF(MONTH(A831)=12, R830+X830, 0) + J831,
      MIN(
        AA830 + IF(MONTH(A831)=12, R830+X830, 0) + J831 ,
        VLOOKUP(YEAR(A831), Lookup!$Q:$R, 2)
      )
    ),
  B831&gt;=65,
    IF(AA830+J831 &lt; VLOOKUP(questions!$C$5, Lookup!$Q:$R, 2),
      AA830 + IF(MONTH(A831)=12, R830+X830, 0) + J831 ,
      MIN(
        AA830 + IF(MONTH(A831)=12, R830+X830, 0) + J831,
        VLOOKUP(questions!$C$5, Lookup!$Q:$R, 2)
      )
    )
)</f>
        <v>282111.0086</v>
      </c>
      <c r="AB831" s="65">
        <f t="shared" si="13"/>
        <v>3202535.754</v>
      </c>
      <c r="AC831" s="66">
        <f t="array" ref="AC831">IFS(B831&lt;66, XLOOKUP(year(A831),Lookup!$K$13:$K1000,Lookup!$L$13:$L1000,"missing",,1),B831&gt;65,XLOOKUP(questions!$C$5,Lookup!$K$13:$K1000,Lookup!$L$13:$L1000,"missing",,1))</f>
        <v>393675.3633</v>
      </c>
      <c r="AD831" s="66">
        <f t="array" ref="AD831">IFS(B831&lt;66, XLOOKUP(year(A831),Lookup!$K$13:$K1000,Lookup!$M$13:$M1000,"missing",,1),B831&gt;65, XLOOKUP(questions!$C$5,Lookup!$K$13:$K1000,Lookup!$M$13:$M1000,"missing",,1))</f>
        <v>787350.7266</v>
      </c>
      <c r="AE831" s="66">
        <f t="array" ref="AE831">IFS(B831&lt;66, XLOOKUP(year(A831),Lookup!$K$13:$K1000,Lookup!$N$13:$N1000,"missing",,1),B831&gt;65,XLOOKUP(questions!$C$5,Lookup!$K$13:$K1000,Lookup!$N$13:$N1000,"missing",,1))</f>
        <v>1574701.453</v>
      </c>
      <c r="AF831" s="37"/>
      <c r="AG831" s="37"/>
      <c r="AH831" s="37"/>
      <c r="AI831" s="37"/>
      <c r="AJ831" s="37"/>
      <c r="AK831" s="37"/>
      <c r="AL831" s="37"/>
      <c r="AM831" s="37"/>
      <c r="AN831" s="37"/>
      <c r="AO831" s="37"/>
      <c r="AP831" s="37"/>
      <c r="AQ831" s="37"/>
    </row>
    <row r="832">
      <c r="A832" s="55">
        <f t="shared" si="7"/>
        <v>71344</v>
      </c>
      <c r="B832" s="56">
        <f>round(YEARFRAC(EOMONTH(questions!$C$3, 0),A832,1),2)</f>
        <v>96.41</v>
      </c>
      <c r="C832" s="58">
        <f>IF(B832&lt;questions!$C$6,if(MONTH(A832)=1,C831*(1+questions!$C$12),C831),0)</f>
        <v>0</v>
      </c>
      <c r="D832" s="58">
        <f>IF(MONTH(A832)=12,C832*questions!$C$11,0)</f>
        <v>0</v>
      </c>
      <c r="E832" s="71">
        <f t="shared" si="2"/>
        <v>0</v>
      </c>
      <c r="F832" s="71">
        <f t="shared" si="3"/>
        <v>0</v>
      </c>
      <c r="G832" s="61">
        <f t="array" ref="G832">if(YEAR(A832)=2025,XLOOKUP(B832,Lookup!$A$3:$A$7,Lookup!$D$3:$D$7,,1)*SUM(E832:F832), XLOOKUP(B832,Lookup!$A$14:$A$18,Lookup!$D$14:$D$18,,1)*SUM(E832:F832))</f>
        <v>0</v>
      </c>
      <c r="H832" s="61">
        <f t="array" ref="H832">if(YEAR(A832)=2025,XLOOKUP(B832,Lookup!$F$3:$F$10,Lookup!$G$3:$G$10,,1)*G832, XLOOKUP(B832,Lookup!$F$14:$F$21,Lookup!$G$14:$G$21,,1)*G832)</f>
        <v>0</v>
      </c>
      <c r="I832" s="61">
        <f t="array" ref="I832">if(B832&lt;55, if(YEAR(A832)=2025,XLOOKUP(B832,Lookup!$F$3:$F$10,Lookup!$H$3:$H$10,,1)*G832, XLOOKUP(B832,Lookup!$F$14:$F$21,Lookup!$H$14:$H$21,,1)*G832),0)</f>
        <v>0</v>
      </c>
      <c r="J832" s="61">
        <f t="array" ref="J832">if(YEAR(A832)=2025,XLOOKUP(B832,Lookup!$F$3:$F$10,Lookup!$I$3:$I$10,,1)*G832, XLOOKUP(B832,Lookup!$F$14:$F$21,Lookup!$I$14:$I$21,,1)*G832)</f>
        <v>0</v>
      </c>
      <c r="K832" s="61">
        <f t="array" ref="K832">if(B832&gt;54, if(YEAR(A832)=2025,XLOOKUP(B832,Lookup!$F$3:$F$10,Lookup!$H$3:$H$10,,1)*G832, XLOOKUP(B832,Lookup!$F$14:$F$21,Lookup!$H$14:$H$21,,1)*G832),0)</f>
        <v>0</v>
      </c>
      <c r="L832" s="62">
        <f>IF(and(A832&lt;questions!$C$19,questions!$C$18="yes"),questions!$C$20,0)</f>
        <v>0</v>
      </c>
      <c r="M832" s="63">
        <f>(Y831+H832)*Lookup!A$26/12</f>
        <v>4426.846682</v>
      </c>
      <c r="N832" s="63">
        <f>if(B832&lt;55, (Z831+I832)*Lookup!B$26/12, (AB831+K832)*Lookup!B$26/12)</f>
        <v>10675.11918</v>
      </c>
      <c r="O832" s="63">
        <f>(AA831+J832)*Lookup!C$26/12</f>
        <v>940.3700287</v>
      </c>
      <c r="P832" s="63">
        <f t="shared" si="8"/>
        <v>17707.38673</v>
      </c>
      <c r="Q832" s="63">
        <f t="shared" si="4"/>
        <v>42700.47673</v>
      </c>
      <c r="R832" s="63">
        <f t="shared" si="5"/>
        <v>3761.480115</v>
      </c>
      <c r="S832" s="64">
        <f t="shared" si="9"/>
        <v>33.33333333</v>
      </c>
      <c r="T832" s="64">
        <f t="shared" si="10"/>
        <v>41.66666667</v>
      </c>
      <c r="U832" s="64">
        <f t="shared" si="11"/>
        <v>0</v>
      </c>
      <c r="V832" s="64">
        <f t="shared" ref="V832:X832" si="840">IF(year($A832)=year($A831), V831+S832, S832)</f>
        <v>133.3333333</v>
      </c>
      <c r="W832" s="64">
        <f t="shared" si="840"/>
        <v>166.6666667</v>
      </c>
      <c r="X832" s="64">
        <f t="shared" si="840"/>
        <v>0</v>
      </c>
      <c r="Y832" s="65">
        <f>IFS(
  B832&lt;55,
    MAX(
      Y831 + IF(MONTH(A832)=12, P832+V832, 0) + H832 - L832
      + MAX(0,
          IF(AA831 &gt;= VLOOKUP(YEAR(A832), Lookup!$Q:$R, 2),
            Z831 + IF(MONTH(A832)=12, Q832+W832, 0) + I832
              + AA831 + IF(MONTH(A832)=12, R832+X832, 0)
              - VLOOKUP(YEAR(A832), Lookup!$Q:$R, 2) + J832,
            Z831 + IF(MONTH(A832)=12, Q832+W832, 0) + I832
          ) - VLOOKUP(YEAR(A832), Lookup!$K:$M, 3)
        ),
    0),
  B832=55,
    IF(Z831&gt;=AD832,
      MAX(Y831 + IF(MONTH(A832)=12, P832+V832, 0) + H832 - L832, 0),
      MAX(MAX(0, Y831-(AD832-Z831)) + IF(MONTH(A832)=12, P832+V832, 0) + H832 - L832, 0)
    ),
  B832&gt;55,
    IF(AB831&gt;=$AH$7,
      MAX(Y831 + IF(MONTH(A832)=12, P832+V832, 0) + H832 - L832 + K832 + Z831, 0),
      MAX(Y831 + IF(MONTH(A832)=12, P832+V832, 0) + H832 - L832, 0)
    )
)</f>
        <v>2124886.408</v>
      </c>
      <c r="Z832" s="65">
        <f>IFS(
  B832&lt;55,
    MIN(
      IF(AA831 &gt;= VLOOKUP(YEAR(A832), Lookup!$Q:$R, 2),
        Z831 + IF(MONTH(A832)=12, Q832+W832, 0) + I832
          + AA831 + IF(MONTH(A832)=12, R832+X832, 0) - VLOOKUP(YEAR(A832), Lookup!$Q:$R, 2) + J832,
        Z831 + IF(MONTH(A832)=12, Q832+W832, 0) + I832
      ),
      VLOOKUP(YEAR(A832), Lookup!$K:$M, 3)
    ),
  B832=55,
    IF(Z831 &gt;= AD832, Z831 - AD832, 0),
  B832&gt;55, 0
)</f>
        <v>0</v>
      </c>
      <c r="AA832" s="65">
        <f>IFS(
  B832&lt;65,
    IF(AA831+J832 &lt; VLOOKUP(YEAR(A832), Lookup!$Q:$R, 2),
      AA831 + IF(MONTH(A832)=12, R831+X831, 0) + J832,
      MIN(
        AA831 + IF(MONTH(A832)=12, R831+X831, 0) + J832 ,
        VLOOKUP(YEAR(A832), Lookup!$Q:$R, 2)
      )
    ),
  B832&gt;=65,
    IF(AA831+J832 &lt; VLOOKUP(questions!$C$5, Lookup!$Q:$R, 2),
      AA831 + IF(MONTH(A832)=12, R831+X831, 0) + J832 ,
      MIN(
        AA831 + IF(MONTH(A832)=12, R831+X831, 0) + J832,
        VLOOKUP(questions!$C$5, Lookup!$Q:$R, 2)
      )
    )
)</f>
        <v>282111.0086</v>
      </c>
      <c r="AB832" s="65">
        <f t="shared" si="13"/>
        <v>3202535.754</v>
      </c>
      <c r="AC832" s="66">
        <f t="array" ref="AC832">IFS(B832&lt;66, XLOOKUP(year(A832),Lookup!$K$13:$K1000,Lookup!$L$13:$L1000,"missing",,1),B832&gt;65,XLOOKUP(questions!$C$5,Lookup!$K$13:$K1000,Lookup!$L$13:$L1000,"missing",,1))</f>
        <v>393675.3633</v>
      </c>
      <c r="AD832" s="66">
        <f t="array" ref="AD832">IFS(B832&lt;66, XLOOKUP(year(A832),Lookup!$K$13:$K1000,Lookup!$M$13:$M1000,"missing",,1),B832&gt;65, XLOOKUP(questions!$C$5,Lookup!$K$13:$K1000,Lookup!$M$13:$M1000,"missing",,1))</f>
        <v>787350.7266</v>
      </c>
      <c r="AE832" s="66">
        <f t="array" ref="AE832">IFS(B832&lt;66, XLOOKUP(year(A832),Lookup!$K$13:$K1000,Lookup!$N$13:$N1000,"missing",,1),B832&gt;65,XLOOKUP(questions!$C$5,Lookup!$K$13:$K1000,Lookup!$N$13:$N1000,"missing",,1))</f>
        <v>1574701.453</v>
      </c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7"/>
      <c r="AQ832" s="37"/>
    </row>
    <row r="833">
      <c r="A833" s="55">
        <f t="shared" si="7"/>
        <v>71375</v>
      </c>
      <c r="B833" s="56">
        <f>round(YEARFRAC(EOMONTH(questions!$C$3, 0),A833,1),2)</f>
        <v>96.5</v>
      </c>
      <c r="C833" s="58">
        <f>IF(B833&lt;questions!$C$6,if(MONTH(A833)=1,C832*(1+questions!$C$12),C832),0)</f>
        <v>0</v>
      </c>
      <c r="D833" s="58">
        <f>IF(MONTH(A833)=12,C833*questions!$C$11,0)</f>
        <v>0</v>
      </c>
      <c r="E833" s="71">
        <f t="shared" si="2"/>
        <v>0</v>
      </c>
      <c r="F833" s="71">
        <f t="shared" si="3"/>
        <v>0</v>
      </c>
      <c r="G833" s="61">
        <f t="array" ref="G833">if(YEAR(A833)=2025,XLOOKUP(B833,Lookup!$A$3:$A$7,Lookup!$D$3:$D$7,,1)*SUM(E833:F833), XLOOKUP(B833,Lookup!$A$14:$A$18,Lookup!$D$14:$D$18,,1)*SUM(E833:F833))</f>
        <v>0</v>
      </c>
      <c r="H833" s="61">
        <f t="array" ref="H833">if(YEAR(A833)=2025,XLOOKUP(B833,Lookup!$F$3:$F$10,Lookup!$G$3:$G$10,,1)*G833, XLOOKUP(B833,Lookup!$F$14:$F$21,Lookup!$G$14:$G$21,,1)*G833)</f>
        <v>0</v>
      </c>
      <c r="I833" s="61">
        <f t="array" ref="I833">if(B833&lt;55, if(YEAR(A833)=2025,XLOOKUP(B833,Lookup!$F$3:$F$10,Lookup!$H$3:$H$10,,1)*G833, XLOOKUP(B833,Lookup!$F$14:$F$21,Lookup!$H$14:$H$21,,1)*G833),0)</f>
        <v>0</v>
      </c>
      <c r="J833" s="61">
        <f t="array" ref="J833">if(YEAR(A833)=2025,XLOOKUP(B833,Lookup!$F$3:$F$10,Lookup!$I$3:$I$10,,1)*G833, XLOOKUP(B833,Lookup!$F$14:$F$21,Lookup!$I$14:$I$21,,1)*G833)</f>
        <v>0</v>
      </c>
      <c r="K833" s="61">
        <f t="array" ref="K833">if(B833&gt;54, if(YEAR(A833)=2025,XLOOKUP(B833,Lookup!$F$3:$F$10,Lookup!$H$3:$H$10,,1)*G833, XLOOKUP(B833,Lookup!$F$14:$F$21,Lookup!$H$14:$H$21,,1)*G833),0)</f>
        <v>0</v>
      </c>
      <c r="L833" s="62">
        <f>IF(and(A833&lt;questions!$C$19,questions!$C$18="yes"),questions!$C$20,0)</f>
        <v>0</v>
      </c>
      <c r="M833" s="63">
        <f>(Y832+H833)*Lookup!A$26/12</f>
        <v>4426.846682</v>
      </c>
      <c r="N833" s="63">
        <f>if(B833&lt;55, (Z832+I833)*Lookup!B$26/12, (AB832+K833)*Lookup!B$26/12)</f>
        <v>10675.11918</v>
      </c>
      <c r="O833" s="63">
        <f>(AA832+J833)*Lookup!C$26/12</f>
        <v>940.3700287</v>
      </c>
      <c r="P833" s="63">
        <f t="shared" si="8"/>
        <v>22134.23341</v>
      </c>
      <c r="Q833" s="63">
        <f t="shared" si="4"/>
        <v>53375.59591</v>
      </c>
      <c r="R833" s="63">
        <f t="shared" si="5"/>
        <v>4701.850143</v>
      </c>
      <c r="S833" s="64">
        <f t="shared" si="9"/>
        <v>33.33333333</v>
      </c>
      <c r="T833" s="64">
        <f t="shared" si="10"/>
        <v>41.66666667</v>
      </c>
      <c r="U833" s="64">
        <f t="shared" si="11"/>
        <v>0</v>
      </c>
      <c r="V833" s="64">
        <f t="shared" ref="V833:X833" si="841">IF(year($A833)=year($A832), V832+S833, S833)</f>
        <v>166.6666667</v>
      </c>
      <c r="W833" s="64">
        <f t="shared" si="841"/>
        <v>208.3333333</v>
      </c>
      <c r="X833" s="64">
        <f t="shared" si="841"/>
        <v>0</v>
      </c>
      <c r="Y833" s="65">
        <f>IFS(
  B833&lt;55,
    MAX(
      Y832 + IF(MONTH(A833)=12, P833+V833, 0) + H833 - L833
      + MAX(0,
          IF(AA832 &gt;= VLOOKUP(YEAR(A833), Lookup!$Q:$R, 2),
            Z832 + IF(MONTH(A833)=12, Q833+W833, 0) + I833
              + AA832 + IF(MONTH(A833)=12, R833+X833, 0)
              - VLOOKUP(YEAR(A833), Lookup!$Q:$R, 2) + J833,
            Z832 + IF(MONTH(A833)=12, Q833+W833, 0) + I833
          ) - VLOOKUP(YEAR(A833), Lookup!$K:$M, 3)
        ),
    0),
  B833=55,
    IF(Z832&gt;=AD833,
      MAX(Y832 + IF(MONTH(A833)=12, P833+V833, 0) + H833 - L833, 0),
      MAX(MAX(0, Y832-(AD833-Z832)) + IF(MONTH(A833)=12, P833+V833, 0) + H833 - L833, 0)
    ),
  B833&gt;55,
    IF(AB832&gt;=$AH$7,
      MAX(Y832 + IF(MONTH(A833)=12, P833+V833, 0) + H833 - L833 + K833 + Z832, 0),
      MAX(Y832 + IF(MONTH(A833)=12, P833+V833, 0) + H833 - L833, 0)
    )
)</f>
        <v>2124886.408</v>
      </c>
      <c r="Z833" s="65">
        <f>IFS(
  B833&lt;55,
    MIN(
      IF(AA832 &gt;= VLOOKUP(YEAR(A833), Lookup!$Q:$R, 2),
        Z832 + IF(MONTH(A833)=12, Q833+W833, 0) + I833
          + AA832 + IF(MONTH(A833)=12, R833+X833, 0) - VLOOKUP(YEAR(A833), Lookup!$Q:$R, 2) + J833,
        Z832 + IF(MONTH(A833)=12, Q833+W833, 0) + I833
      ),
      VLOOKUP(YEAR(A833), Lookup!$K:$M, 3)
    ),
  B833=55,
    IF(Z832 &gt;= AD833, Z832 - AD833, 0),
  B833&gt;55, 0
)</f>
        <v>0</v>
      </c>
      <c r="AA833" s="65">
        <f>IFS(
  B833&lt;65,
    IF(AA832+J833 &lt; VLOOKUP(YEAR(A833), Lookup!$Q:$R, 2),
      AA832 + IF(MONTH(A833)=12, R832+X832, 0) + J833,
      MIN(
        AA832 + IF(MONTH(A833)=12, R832+X832, 0) + J833 ,
        VLOOKUP(YEAR(A833), Lookup!$Q:$R, 2)
      )
    ),
  B833&gt;=65,
    IF(AA832+J833 &lt; VLOOKUP(questions!$C$5, Lookup!$Q:$R, 2),
      AA832 + IF(MONTH(A833)=12, R832+X832, 0) + J833 ,
      MIN(
        AA832 + IF(MONTH(A833)=12, R832+X832, 0) + J833,
        VLOOKUP(questions!$C$5, Lookup!$Q:$R, 2)
      )
    )
)</f>
        <v>282111.0086</v>
      </c>
      <c r="AB833" s="65">
        <f t="shared" si="13"/>
        <v>3202535.754</v>
      </c>
      <c r="AC833" s="66">
        <f t="array" ref="AC833">IFS(B833&lt;66, XLOOKUP(year(A833),Lookup!$K$13:$K1000,Lookup!$L$13:$L1000,"missing",,1),B833&gt;65,XLOOKUP(questions!$C$5,Lookup!$K$13:$K1000,Lookup!$L$13:$L1000,"missing",,1))</f>
        <v>393675.3633</v>
      </c>
      <c r="AD833" s="66">
        <f t="array" ref="AD833">IFS(B833&lt;66, XLOOKUP(year(A833),Lookup!$K$13:$K1000,Lookup!$M$13:$M1000,"missing",,1),B833&gt;65, XLOOKUP(questions!$C$5,Lookup!$K$13:$K1000,Lookup!$M$13:$M1000,"missing",,1))</f>
        <v>787350.7266</v>
      </c>
      <c r="AE833" s="66">
        <f t="array" ref="AE833">IFS(B833&lt;66, XLOOKUP(year(A833),Lookup!$K$13:$K1000,Lookup!$N$13:$N1000,"missing",,1),B833&gt;65,XLOOKUP(questions!$C$5,Lookup!$K$13:$K1000,Lookup!$N$13:$N1000,"missing",,1))</f>
        <v>1574701.453</v>
      </c>
      <c r="AF833" s="37"/>
      <c r="AG833" s="37"/>
      <c r="AH833" s="37"/>
      <c r="AI833" s="37"/>
      <c r="AJ833" s="37"/>
      <c r="AK833" s="37"/>
      <c r="AL833" s="37"/>
      <c r="AM833" s="37"/>
      <c r="AN833" s="37"/>
      <c r="AO833" s="37"/>
      <c r="AP833" s="37"/>
      <c r="AQ833" s="37"/>
    </row>
    <row r="834">
      <c r="A834" s="55">
        <f t="shared" si="7"/>
        <v>71405</v>
      </c>
      <c r="B834" s="56">
        <f>round(YEARFRAC(EOMONTH(questions!$C$3, 0),A834,1),2)</f>
        <v>96.58</v>
      </c>
      <c r="C834" s="58">
        <f>IF(B834&lt;questions!$C$6,if(MONTH(A834)=1,C833*(1+questions!$C$12),C833),0)</f>
        <v>0</v>
      </c>
      <c r="D834" s="58">
        <f>IF(MONTH(A834)=12,C834*questions!$C$11,0)</f>
        <v>0</v>
      </c>
      <c r="E834" s="71">
        <f t="shared" si="2"/>
        <v>0</v>
      </c>
      <c r="F834" s="71">
        <f t="shared" si="3"/>
        <v>0</v>
      </c>
      <c r="G834" s="61">
        <f t="array" ref="G834">if(YEAR(A834)=2025,XLOOKUP(B834,Lookup!$A$3:$A$7,Lookup!$D$3:$D$7,,1)*SUM(E834:F834), XLOOKUP(B834,Lookup!$A$14:$A$18,Lookup!$D$14:$D$18,,1)*SUM(E834:F834))</f>
        <v>0</v>
      </c>
      <c r="H834" s="61">
        <f t="array" ref="H834">if(YEAR(A834)=2025,XLOOKUP(B834,Lookup!$F$3:$F$10,Lookup!$G$3:$G$10,,1)*G834, XLOOKUP(B834,Lookup!$F$14:$F$21,Lookup!$G$14:$G$21,,1)*G834)</f>
        <v>0</v>
      </c>
      <c r="I834" s="61">
        <f t="array" ref="I834">if(B834&lt;55, if(YEAR(A834)=2025,XLOOKUP(B834,Lookup!$F$3:$F$10,Lookup!$H$3:$H$10,,1)*G834, XLOOKUP(B834,Lookup!$F$14:$F$21,Lookup!$H$14:$H$21,,1)*G834),0)</f>
        <v>0</v>
      </c>
      <c r="J834" s="61">
        <f t="array" ref="J834">if(YEAR(A834)=2025,XLOOKUP(B834,Lookup!$F$3:$F$10,Lookup!$I$3:$I$10,,1)*G834, XLOOKUP(B834,Lookup!$F$14:$F$21,Lookup!$I$14:$I$21,,1)*G834)</f>
        <v>0</v>
      </c>
      <c r="K834" s="61">
        <f t="array" ref="K834">if(B834&gt;54, if(YEAR(A834)=2025,XLOOKUP(B834,Lookup!$F$3:$F$10,Lookup!$H$3:$H$10,,1)*G834, XLOOKUP(B834,Lookup!$F$14:$F$21,Lookup!$H$14:$H$21,,1)*G834),0)</f>
        <v>0</v>
      </c>
      <c r="L834" s="62">
        <f>IF(and(A834&lt;questions!$C$19,questions!$C$18="yes"),questions!$C$20,0)</f>
        <v>0</v>
      </c>
      <c r="M834" s="63">
        <f>(Y833+H834)*Lookup!A$26/12</f>
        <v>4426.846682</v>
      </c>
      <c r="N834" s="63">
        <f>if(B834&lt;55, (Z833+I834)*Lookup!B$26/12, (AB833+K834)*Lookup!B$26/12)</f>
        <v>10675.11918</v>
      </c>
      <c r="O834" s="63">
        <f>(AA833+J834)*Lookup!C$26/12</f>
        <v>940.3700287</v>
      </c>
      <c r="P834" s="63">
        <f t="shared" si="8"/>
        <v>26561.08009</v>
      </c>
      <c r="Q834" s="63">
        <f t="shared" si="4"/>
        <v>64050.71509</v>
      </c>
      <c r="R834" s="63">
        <f t="shared" si="5"/>
        <v>5642.220172</v>
      </c>
      <c r="S834" s="64">
        <f t="shared" si="9"/>
        <v>33.33333333</v>
      </c>
      <c r="T834" s="64">
        <f t="shared" si="10"/>
        <v>41.66666667</v>
      </c>
      <c r="U834" s="64">
        <f t="shared" si="11"/>
        <v>0</v>
      </c>
      <c r="V834" s="64">
        <f t="shared" ref="V834:X834" si="842">IF(year($A834)=year($A833), V833+S834, S834)</f>
        <v>200</v>
      </c>
      <c r="W834" s="64">
        <f t="shared" si="842"/>
        <v>250</v>
      </c>
      <c r="X834" s="64">
        <f t="shared" si="842"/>
        <v>0</v>
      </c>
      <c r="Y834" s="65">
        <f>IFS(
  B834&lt;55,
    MAX(
      Y833 + IF(MONTH(A834)=12, P834+V834, 0) + H834 - L834
      + MAX(0,
          IF(AA833 &gt;= VLOOKUP(YEAR(A834), Lookup!$Q:$R, 2),
            Z833 + IF(MONTH(A834)=12, Q834+W834, 0) + I834
              + AA833 + IF(MONTH(A834)=12, R834+X834, 0)
              - VLOOKUP(YEAR(A834), Lookup!$Q:$R, 2) + J834,
            Z833 + IF(MONTH(A834)=12, Q834+W834, 0) + I834
          ) - VLOOKUP(YEAR(A834), Lookup!$K:$M, 3)
        ),
    0),
  B834=55,
    IF(Z833&gt;=AD834,
      MAX(Y833 + IF(MONTH(A834)=12, P834+V834, 0) + H834 - L834, 0),
      MAX(MAX(0, Y833-(AD834-Z833)) + IF(MONTH(A834)=12, P834+V834, 0) + H834 - L834, 0)
    ),
  B834&gt;55,
    IF(AB833&gt;=$AH$7,
      MAX(Y833 + IF(MONTH(A834)=12, P834+V834, 0) + H834 - L834 + K834 + Z833, 0),
      MAX(Y833 + IF(MONTH(A834)=12, P834+V834, 0) + H834 - L834, 0)
    )
)</f>
        <v>2124886.408</v>
      </c>
      <c r="Z834" s="65">
        <f>IFS(
  B834&lt;55,
    MIN(
      IF(AA833 &gt;= VLOOKUP(YEAR(A834), Lookup!$Q:$R, 2),
        Z833 + IF(MONTH(A834)=12, Q834+W834, 0) + I834
          + AA833 + IF(MONTH(A834)=12, R834+X834, 0) - VLOOKUP(YEAR(A834), Lookup!$Q:$R, 2) + J834,
        Z833 + IF(MONTH(A834)=12, Q834+W834, 0) + I834
      ),
      VLOOKUP(YEAR(A834), Lookup!$K:$M, 3)
    ),
  B834=55,
    IF(Z833 &gt;= AD834, Z833 - AD834, 0),
  B834&gt;55, 0
)</f>
        <v>0</v>
      </c>
      <c r="AA834" s="65">
        <f>IFS(
  B834&lt;65,
    IF(AA833+J834 &lt; VLOOKUP(YEAR(A834), Lookup!$Q:$R, 2),
      AA833 + IF(MONTH(A834)=12, R833+X833, 0) + J834,
      MIN(
        AA833 + IF(MONTH(A834)=12, R833+X833, 0) + J834 ,
        VLOOKUP(YEAR(A834), Lookup!$Q:$R, 2)
      )
    ),
  B834&gt;=65,
    IF(AA833+J834 &lt; VLOOKUP(questions!$C$5, Lookup!$Q:$R, 2),
      AA833 + IF(MONTH(A834)=12, R833+X833, 0) + J834 ,
      MIN(
        AA833 + IF(MONTH(A834)=12, R833+X833, 0) + J834,
        VLOOKUP(questions!$C$5, Lookup!$Q:$R, 2)
      )
    )
)</f>
        <v>282111.0086</v>
      </c>
      <c r="AB834" s="65">
        <f t="shared" si="13"/>
        <v>3202535.754</v>
      </c>
      <c r="AC834" s="66">
        <f t="array" ref="AC834">IFS(B834&lt;66, XLOOKUP(year(A834),Lookup!$K$13:$K1000,Lookup!$L$13:$L1000,"missing",,1),B834&gt;65,XLOOKUP(questions!$C$5,Lookup!$K$13:$K1000,Lookup!$L$13:$L1000,"missing",,1))</f>
        <v>393675.3633</v>
      </c>
      <c r="AD834" s="66">
        <f t="array" ref="AD834">IFS(B834&lt;66, XLOOKUP(year(A834),Lookup!$K$13:$K1000,Lookup!$M$13:$M1000,"missing",,1),B834&gt;65, XLOOKUP(questions!$C$5,Lookup!$K$13:$K1000,Lookup!$M$13:$M1000,"missing",,1))</f>
        <v>787350.7266</v>
      </c>
      <c r="AE834" s="66">
        <f t="array" ref="AE834">IFS(B834&lt;66, XLOOKUP(year(A834),Lookup!$K$13:$K1000,Lookup!$N$13:$N1000,"missing",,1),B834&gt;65,XLOOKUP(questions!$C$5,Lookup!$K$13:$K1000,Lookup!$N$13:$N1000,"missing",,1))</f>
        <v>1574701.453</v>
      </c>
      <c r="AF834" s="37"/>
      <c r="AG834" s="37"/>
      <c r="AH834" s="37"/>
      <c r="AI834" s="37"/>
      <c r="AJ834" s="37"/>
      <c r="AK834" s="37"/>
      <c r="AL834" s="37"/>
      <c r="AM834" s="37"/>
      <c r="AN834" s="37"/>
      <c r="AO834" s="37"/>
      <c r="AP834" s="37"/>
      <c r="AQ834" s="37"/>
    </row>
    <row r="835">
      <c r="A835" s="55">
        <f t="shared" si="7"/>
        <v>71436</v>
      </c>
      <c r="B835" s="56">
        <f>round(YEARFRAC(EOMONTH(questions!$C$3, 0),A835,1),2)</f>
        <v>96.67</v>
      </c>
      <c r="C835" s="58">
        <f>IF(B835&lt;questions!$C$6,if(MONTH(A835)=1,C834*(1+questions!$C$12),C834),0)</f>
        <v>0</v>
      </c>
      <c r="D835" s="58">
        <f>IF(MONTH(A835)=12,C835*questions!$C$11,0)</f>
        <v>0</v>
      </c>
      <c r="E835" s="71">
        <f t="shared" si="2"/>
        <v>0</v>
      </c>
      <c r="F835" s="71">
        <f t="shared" si="3"/>
        <v>0</v>
      </c>
      <c r="G835" s="61">
        <f t="array" ref="G835">if(YEAR(A835)=2025,XLOOKUP(B835,Lookup!$A$3:$A$7,Lookup!$D$3:$D$7,,1)*SUM(E835:F835), XLOOKUP(B835,Lookup!$A$14:$A$18,Lookup!$D$14:$D$18,,1)*SUM(E835:F835))</f>
        <v>0</v>
      </c>
      <c r="H835" s="61">
        <f t="array" ref="H835">if(YEAR(A835)=2025,XLOOKUP(B835,Lookup!$F$3:$F$10,Lookup!$G$3:$G$10,,1)*G835, XLOOKUP(B835,Lookup!$F$14:$F$21,Lookup!$G$14:$G$21,,1)*G835)</f>
        <v>0</v>
      </c>
      <c r="I835" s="61">
        <f t="array" ref="I835">if(B835&lt;55, if(YEAR(A835)=2025,XLOOKUP(B835,Lookup!$F$3:$F$10,Lookup!$H$3:$H$10,,1)*G835, XLOOKUP(B835,Lookup!$F$14:$F$21,Lookup!$H$14:$H$21,,1)*G835),0)</f>
        <v>0</v>
      </c>
      <c r="J835" s="61">
        <f t="array" ref="J835">if(YEAR(A835)=2025,XLOOKUP(B835,Lookup!$F$3:$F$10,Lookup!$I$3:$I$10,,1)*G835, XLOOKUP(B835,Lookup!$F$14:$F$21,Lookup!$I$14:$I$21,,1)*G835)</f>
        <v>0</v>
      </c>
      <c r="K835" s="61">
        <f t="array" ref="K835">if(B835&gt;54, if(YEAR(A835)=2025,XLOOKUP(B835,Lookup!$F$3:$F$10,Lookup!$H$3:$H$10,,1)*G835, XLOOKUP(B835,Lookup!$F$14:$F$21,Lookup!$H$14:$H$21,,1)*G835),0)</f>
        <v>0</v>
      </c>
      <c r="L835" s="62">
        <f>IF(and(A835&lt;questions!$C$19,questions!$C$18="yes"),questions!$C$20,0)</f>
        <v>0</v>
      </c>
      <c r="M835" s="63">
        <f>(Y834+H835)*Lookup!A$26/12</f>
        <v>4426.846682</v>
      </c>
      <c r="N835" s="63">
        <f>if(B835&lt;55, (Z834+I835)*Lookup!B$26/12, (AB834+K835)*Lookup!B$26/12)</f>
        <v>10675.11918</v>
      </c>
      <c r="O835" s="63">
        <f>(AA834+J835)*Lookup!C$26/12</f>
        <v>940.3700287</v>
      </c>
      <c r="P835" s="63">
        <f t="shared" si="8"/>
        <v>30987.92678</v>
      </c>
      <c r="Q835" s="63">
        <f t="shared" si="4"/>
        <v>74725.83427</v>
      </c>
      <c r="R835" s="63">
        <f t="shared" si="5"/>
        <v>6582.590201</v>
      </c>
      <c r="S835" s="64">
        <f t="shared" si="9"/>
        <v>33.33333333</v>
      </c>
      <c r="T835" s="64">
        <f t="shared" si="10"/>
        <v>41.66666667</v>
      </c>
      <c r="U835" s="64">
        <f t="shared" si="11"/>
        <v>0</v>
      </c>
      <c r="V835" s="64">
        <f t="shared" ref="V835:X835" si="843">IF(year($A835)=year($A834), V834+S835, S835)</f>
        <v>233.3333333</v>
      </c>
      <c r="W835" s="64">
        <f t="shared" si="843"/>
        <v>291.6666667</v>
      </c>
      <c r="X835" s="64">
        <f t="shared" si="843"/>
        <v>0</v>
      </c>
      <c r="Y835" s="65">
        <f>IFS(
  B835&lt;55,
    MAX(
      Y834 + IF(MONTH(A835)=12, P835+V835, 0) + H835 - L835
      + MAX(0,
          IF(AA834 &gt;= VLOOKUP(YEAR(A835), Lookup!$Q:$R, 2),
            Z834 + IF(MONTH(A835)=12, Q835+W835, 0) + I835
              + AA834 + IF(MONTH(A835)=12, R835+X835, 0)
              - VLOOKUP(YEAR(A835), Lookup!$Q:$R, 2) + J835,
            Z834 + IF(MONTH(A835)=12, Q835+W835, 0) + I835
          ) - VLOOKUP(YEAR(A835), Lookup!$K:$M, 3)
        ),
    0),
  B835=55,
    IF(Z834&gt;=AD835,
      MAX(Y834 + IF(MONTH(A835)=12, P835+V835, 0) + H835 - L835, 0),
      MAX(MAX(0, Y834-(AD835-Z834)) + IF(MONTH(A835)=12, P835+V835, 0) + H835 - L835, 0)
    ),
  B835&gt;55,
    IF(AB834&gt;=$AH$7,
      MAX(Y834 + IF(MONTH(A835)=12, P835+V835, 0) + H835 - L835 + K835 + Z834, 0),
      MAX(Y834 + IF(MONTH(A835)=12, P835+V835, 0) + H835 - L835, 0)
    )
)</f>
        <v>2124886.408</v>
      </c>
      <c r="Z835" s="65">
        <f>IFS(
  B835&lt;55,
    MIN(
      IF(AA834 &gt;= VLOOKUP(YEAR(A835), Lookup!$Q:$R, 2),
        Z834 + IF(MONTH(A835)=12, Q835+W835, 0) + I835
          + AA834 + IF(MONTH(A835)=12, R835+X835, 0) - VLOOKUP(YEAR(A835), Lookup!$Q:$R, 2) + J835,
        Z834 + IF(MONTH(A835)=12, Q835+W835, 0) + I835
      ),
      VLOOKUP(YEAR(A835), Lookup!$K:$M, 3)
    ),
  B835=55,
    IF(Z834 &gt;= AD835, Z834 - AD835, 0),
  B835&gt;55, 0
)</f>
        <v>0</v>
      </c>
      <c r="AA835" s="65">
        <f>IFS(
  B835&lt;65,
    IF(AA834+J835 &lt; VLOOKUP(YEAR(A835), Lookup!$Q:$R, 2),
      AA834 + IF(MONTH(A835)=12, R834+X834, 0) + J835,
      MIN(
        AA834 + IF(MONTH(A835)=12, R834+X834, 0) + J835 ,
        VLOOKUP(YEAR(A835), Lookup!$Q:$R, 2)
      )
    ),
  B835&gt;=65,
    IF(AA834+J835 &lt; VLOOKUP(questions!$C$5, Lookup!$Q:$R, 2),
      AA834 + IF(MONTH(A835)=12, R834+X834, 0) + J835 ,
      MIN(
        AA834 + IF(MONTH(A835)=12, R834+X834, 0) + J835,
        VLOOKUP(questions!$C$5, Lookup!$Q:$R, 2)
      )
    )
)</f>
        <v>282111.0086</v>
      </c>
      <c r="AB835" s="65">
        <f t="shared" si="13"/>
        <v>3202535.754</v>
      </c>
      <c r="AC835" s="66">
        <f t="array" ref="AC835">IFS(B835&lt;66, XLOOKUP(year(A835),Lookup!$K$13:$K1000,Lookup!$L$13:$L1000,"missing",,1),B835&gt;65,XLOOKUP(questions!$C$5,Lookup!$K$13:$K1000,Lookup!$L$13:$L1000,"missing",,1))</f>
        <v>393675.3633</v>
      </c>
      <c r="AD835" s="66">
        <f t="array" ref="AD835">IFS(B835&lt;66, XLOOKUP(year(A835),Lookup!$K$13:$K1000,Lookup!$M$13:$M1000,"missing",,1),B835&gt;65, XLOOKUP(questions!$C$5,Lookup!$K$13:$K1000,Lookup!$M$13:$M1000,"missing",,1))</f>
        <v>787350.7266</v>
      </c>
      <c r="AE835" s="66">
        <f t="array" ref="AE835">IFS(B835&lt;66, XLOOKUP(year(A835),Lookup!$K$13:$K1000,Lookup!$N$13:$N1000,"missing",,1),B835&gt;65,XLOOKUP(questions!$C$5,Lookup!$K$13:$K1000,Lookup!$N$13:$N1000,"missing",,1))</f>
        <v>1574701.453</v>
      </c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7"/>
      <c r="AQ835" s="37"/>
    </row>
    <row r="836">
      <c r="A836" s="55">
        <f t="shared" si="7"/>
        <v>71467</v>
      </c>
      <c r="B836" s="56">
        <f>round(YEARFRAC(EOMONTH(questions!$C$3, 0),A836,1),2)</f>
        <v>96.75</v>
      </c>
      <c r="C836" s="58">
        <f>IF(B836&lt;questions!$C$6,if(MONTH(A836)=1,C835*(1+questions!$C$12),C835),0)</f>
        <v>0</v>
      </c>
      <c r="D836" s="58">
        <f>IF(MONTH(A836)=12,C836*questions!$C$11,0)</f>
        <v>0</v>
      </c>
      <c r="E836" s="71">
        <f t="shared" si="2"/>
        <v>0</v>
      </c>
      <c r="F836" s="71">
        <f t="shared" si="3"/>
        <v>0</v>
      </c>
      <c r="G836" s="61">
        <f t="array" ref="G836">if(YEAR(A836)=2025,XLOOKUP(B836,Lookup!$A$3:$A$7,Lookup!$D$3:$D$7,,1)*SUM(E836:F836), XLOOKUP(B836,Lookup!$A$14:$A$18,Lookup!$D$14:$D$18,,1)*SUM(E836:F836))</f>
        <v>0</v>
      </c>
      <c r="H836" s="61">
        <f t="array" ref="H836">if(YEAR(A836)=2025,XLOOKUP(B836,Lookup!$F$3:$F$10,Lookup!$G$3:$G$10,,1)*G836, XLOOKUP(B836,Lookup!$F$14:$F$21,Lookup!$G$14:$G$21,,1)*G836)</f>
        <v>0</v>
      </c>
      <c r="I836" s="61">
        <f t="array" ref="I836">if(B836&lt;55, if(YEAR(A836)=2025,XLOOKUP(B836,Lookup!$F$3:$F$10,Lookup!$H$3:$H$10,,1)*G836, XLOOKUP(B836,Lookup!$F$14:$F$21,Lookup!$H$14:$H$21,,1)*G836),0)</f>
        <v>0</v>
      </c>
      <c r="J836" s="61">
        <f t="array" ref="J836">if(YEAR(A836)=2025,XLOOKUP(B836,Lookup!$F$3:$F$10,Lookup!$I$3:$I$10,,1)*G836, XLOOKUP(B836,Lookup!$F$14:$F$21,Lookup!$I$14:$I$21,,1)*G836)</f>
        <v>0</v>
      </c>
      <c r="K836" s="61">
        <f t="array" ref="K836">if(B836&gt;54, if(YEAR(A836)=2025,XLOOKUP(B836,Lookup!$F$3:$F$10,Lookup!$H$3:$H$10,,1)*G836, XLOOKUP(B836,Lookup!$F$14:$F$21,Lookup!$H$14:$H$21,,1)*G836),0)</f>
        <v>0</v>
      </c>
      <c r="L836" s="62">
        <f>IF(and(A836&lt;questions!$C$19,questions!$C$18="yes"),questions!$C$20,0)</f>
        <v>0</v>
      </c>
      <c r="M836" s="63">
        <f>(Y835+H836)*Lookup!A$26/12</f>
        <v>4426.846682</v>
      </c>
      <c r="N836" s="63">
        <f>if(B836&lt;55, (Z835+I836)*Lookup!B$26/12, (AB835+K836)*Lookup!B$26/12)</f>
        <v>10675.11918</v>
      </c>
      <c r="O836" s="63">
        <f>(AA835+J836)*Lookup!C$26/12</f>
        <v>940.3700287</v>
      </c>
      <c r="P836" s="63">
        <f t="shared" si="8"/>
        <v>35414.77346</v>
      </c>
      <c r="Q836" s="63">
        <f t="shared" si="4"/>
        <v>85400.95345</v>
      </c>
      <c r="R836" s="63">
        <f t="shared" si="5"/>
        <v>7522.960229</v>
      </c>
      <c r="S836" s="64">
        <f t="shared" si="9"/>
        <v>33.33333333</v>
      </c>
      <c r="T836" s="64">
        <f t="shared" si="10"/>
        <v>41.66666667</v>
      </c>
      <c r="U836" s="64">
        <f t="shared" si="11"/>
        <v>0</v>
      </c>
      <c r="V836" s="64">
        <f t="shared" ref="V836:X836" si="844">IF(year($A836)=year($A835), V835+S836, S836)</f>
        <v>266.6666667</v>
      </c>
      <c r="W836" s="64">
        <f t="shared" si="844"/>
        <v>333.3333333</v>
      </c>
      <c r="X836" s="64">
        <f t="shared" si="844"/>
        <v>0</v>
      </c>
      <c r="Y836" s="65">
        <f>IFS(
  B836&lt;55,
    MAX(
      Y835 + IF(MONTH(A836)=12, P836+V836, 0) + H836 - L836
      + MAX(0,
          IF(AA835 &gt;= VLOOKUP(YEAR(A836), Lookup!$Q:$R, 2),
            Z835 + IF(MONTH(A836)=12, Q836+W836, 0) + I836
              + AA835 + IF(MONTH(A836)=12, R836+X836, 0)
              - VLOOKUP(YEAR(A836), Lookup!$Q:$R, 2) + J836,
            Z835 + IF(MONTH(A836)=12, Q836+W836, 0) + I836
          ) - VLOOKUP(YEAR(A836), Lookup!$K:$M, 3)
        ),
    0),
  B836=55,
    IF(Z835&gt;=AD836,
      MAX(Y835 + IF(MONTH(A836)=12, P836+V836, 0) + H836 - L836, 0),
      MAX(MAX(0, Y835-(AD836-Z835)) + IF(MONTH(A836)=12, P836+V836, 0) + H836 - L836, 0)
    ),
  B836&gt;55,
    IF(AB835&gt;=$AH$7,
      MAX(Y835 + IF(MONTH(A836)=12, P836+V836, 0) + H836 - L836 + K836 + Z835, 0),
      MAX(Y835 + IF(MONTH(A836)=12, P836+V836, 0) + H836 - L836, 0)
    )
)</f>
        <v>2124886.408</v>
      </c>
      <c r="Z836" s="65">
        <f>IFS(
  B836&lt;55,
    MIN(
      IF(AA835 &gt;= VLOOKUP(YEAR(A836), Lookup!$Q:$R, 2),
        Z835 + IF(MONTH(A836)=12, Q836+W836, 0) + I836
          + AA835 + IF(MONTH(A836)=12, R836+X836, 0) - VLOOKUP(YEAR(A836), Lookup!$Q:$R, 2) + J836,
        Z835 + IF(MONTH(A836)=12, Q836+W836, 0) + I836
      ),
      VLOOKUP(YEAR(A836), Lookup!$K:$M, 3)
    ),
  B836=55,
    IF(Z835 &gt;= AD836, Z835 - AD836, 0),
  B836&gt;55, 0
)</f>
        <v>0</v>
      </c>
      <c r="AA836" s="65">
        <f>IFS(
  B836&lt;65,
    IF(AA835+J836 &lt; VLOOKUP(YEAR(A836), Lookup!$Q:$R, 2),
      AA835 + IF(MONTH(A836)=12, R835+X835, 0) + J836,
      MIN(
        AA835 + IF(MONTH(A836)=12, R835+X835, 0) + J836 ,
        VLOOKUP(YEAR(A836), Lookup!$Q:$R, 2)
      )
    ),
  B836&gt;=65,
    IF(AA835+J836 &lt; VLOOKUP(questions!$C$5, Lookup!$Q:$R, 2),
      AA835 + IF(MONTH(A836)=12, R835+X835, 0) + J836 ,
      MIN(
        AA835 + IF(MONTH(A836)=12, R835+X835, 0) + J836,
        VLOOKUP(questions!$C$5, Lookup!$Q:$R, 2)
      )
    )
)</f>
        <v>282111.0086</v>
      </c>
      <c r="AB836" s="65">
        <f t="shared" si="13"/>
        <v>3202535.754</v>
      </c>
      <c r="AC836" s="66">
        <f t="array" ref="AC836">IFS(B836&lt;66, XLOOKUP(year(A836),Lookup!$K$13:$K1000,Lookup!$L$13:$L1000,"missing",,1),B836&gt;65,XLOOKUP(questions!$C$5,Lookup!$K$13:$K1000,Lookup!$L$13:$L1000,"missing",,1))</f>
        <v>393675.3633</v>
      </c>
      <c r="AD836" s="66">
        <f t="array" ref="AD836">IFS(B836&lt;66, XLOOKUP(year(A836),Lookup!$K$13:$K1000,Lookup!$M$13:$M1000,"missing",,1),B836&gt;65, XLOOKUP(questions!$C$5,Lookup!$K$13:$K1000,Lookup!$M$13:$M1000,"missing",,1))</f>
        <v>787350.7266</v>
      </c>
      <c r="AE836" s="66">
        <f t="array" ref="AE836">IFS(B836&lt;66, XLOOKUP(year(A836),Lookup!$K$13:$K1000,Lookup!$N$13:$N1000,"missing",,1),B836&gt;65,XLOOKUP(questions!$C$5,Lookup!$K$13:$K1000,Lookup!$N$13:$N1000,"missing",,1))</f>
        <v>1574701.453</v>
      </c>
      <c r="AF836" s="37"/>
      <c r="AG836" s="37"/>
      <c r="AH836" s="37"/>
      <c r="AI836" s="37"/>
      <c r="AJ836" s="37"/>
      <c r="AK836" s="37"/>
      <c r="AL836" s="37"/>
      <c r="AM836" s="37"/>
      <c r="AN836" s="37"/>
      <c r="AO836" s="37"/>
      <c r="AP836" s="37"/>
      <c r="AQ836" s="37"/>
    </row>
    <row r="837">
      <c r="A837" s="55">
        <f t="shared" si="7"/>
        <v>71497</v>
      </c>
      <c r="B837" s="56">
        <f>round(YEARFRAC(EOMONTH(questions!$C$3, 0),A837,1),2)</f>
        <v>96.83</v>
      </c>
      <c r="C837" s="58">
        <f>IF(B837&lt;questions!$C$6,if(MONTH(A837)=1,C836*(1+questions!$C$12),C836),0)</f>
        <v>0</v>
      </c>
      <c r="D837" s="58">
        <f>IF(MONTH(A837)=12,C837*questions!$C$11,0)</f>
        <v>0</v>
      </c>
      <c r="E837" s="71">
        <f t="shared" si="2"/>
        <v>0</v>
      </c>
      <c r="F837" s="71">
        <f t="shared" si="3"/>
        <v>0</v>
      </c>
      <c r="G837" s="61">
        <f t="array" ref="G837">if(YEAR(A837)=2025,XLOOKUP(B837,Lookup!$A$3:$A$7,Lookup!$D$3:$D$7,,1)*SUM(E837:F837), XLOOKUP(B837,Lookup!$A$14:$A$18,Lookup!$D$14:$D$18,,1)*SUM(E837:F837))</f>
        <v>0</v>
      </c>
      <c r="H837" s="61">
        <f t="array" ref="H837">if(YEAR(A837)=2025,XLOOKUP(B837,Lookup!$F$3:$F$10,Lookup!$G$3:$G$10,,1)*G837, XLOOKUP(B837,Lookup!$F$14:$F$21,Lookup!$G$14:$G$21,,1)*G837)</f>
        <v>0</v>
      </c>
      <c r="I837" s="61">
        <f t="array" ref="I837">if(B837&lt;55, if(YEAR(A837)=2025,XLOOKUP(B837,Lookup!$F$3:$F$10,Lookup!$H$3:$H$10,,1)*G837, XLOOKUP(B837,Lookup!$F$14:$F$21,Lookup!$H$14:$H$21,,1)*G837),0)</f>
        <v>0</v>
      </c>
      <c r="J837" s="61">
        <f t="array" ref="J837">if(YEAR(A837)=2025,XLOOKUP(B837,Lookup!$F$3:$F$10,Lookup!$I$3:$I$10,,1)*G837, XLOOKUP(B837,Lookup!$F$14:$F$21,Lookup!$I$14:$I$21,,1)*G837)</f>
        <v>0</v>
      </c>
      <c r="K837" s="61">
        <f t="array" ref="K837">if(B837&gt;54, if(YEAR(A837)=2025,XLOOKUP(B837,Lookup!$F$3:$F$10,Lookup!$H$3:$H$10,,1)*G837, XLOOKUP(B837,Lookup!$F$14:$F$21,Lookup!$H$14:$H$21,,1)*G837),0)</f>
        <v>0</v>
      </c>
      <c r="L837" s="62">
        <f>IF(and(A837&lt;questions!$C$19,questions!$C$18="yes"),questions!$C$20,0)</f>
        <v>0</v>
      </c>
      <c r="M837" s="63">
        <f>(Y836+H837)*Lookup!A$26/12</f>
        <v>4426.846682</v>
      </c>
      <c r="N837" s="63">
        <f>if(B837&lt;55, (Z836+I837)*Lookup!B$26/12, (AB836+K837)*Lookup!B$26/12)</f>
        <v>10675.11918</v>
      </c>
      <c r="O837" s="63">
        <f>(AA836+J837)*Lookup!C$26/12</f>
        <v>940.3700287</v>
      </c>
      <c r="P837" s="63">
        <f t="shared" si="8"/>
        <v>39841.62014</v>
      </c>
      <c r="Q837" s="63">
        <f t="shared" si="4"/>
        <v>96076.07263</v>
      </c>
      <c r="R837" s="63">
        <f t="shared" si="5"/>
        <v>8463.330258</v>
      </c>
      <c r="S837" s="64">
        <f t="shared" si="9"/>
        <v>33.33333333</v>
      </c>
      <c r="T837" s="64">
        <f t="shared" si="10"/>
        <v>41.66666667</v>
      </c>
      <c r="U837" s="64">
        <f t="shared" si="11"/>
        <v>0</v>
      </c>
      <c r="V837" s="64">
        <f t="shared" ref="V837:X837" si="845">IF(year($A837)=year($A836), V836+S837, S837)</f>
        <v>300</v>
      </c>
      <c r="W837" s="64">
        <f t="shared" si="845"/>
        <v>375</v>
      </c>
      <c r="X837" s="64">
        <f t="shared" si="845"/>
        <v>0</v>
      </c>
      <c r="Y837" s="65">
        <f>IFS(
  B837&lt;55,
    MAX(
      Y836 + IF(MONTH(A837)=12, P837+V837, 0) + H837 - L837
      + MAX(0,
          IF(AA836 &gt;= VLOOKUP(YEAR(A837), Lookup!$Q:$R, 2),
            Z836 + IF(MONTH(A837)=12, Q837+W837, 0) + I837
              + AA836 + IF(MONTH(A837)=12, R837+X837, 0)
              - VLOOKUP(YEAR(A837), Lookup!$Q:$R, 2) + J837,
            Z836 + IF(MONTH(A837)=12, Q837+W837, 0) + I837
          ) - VLOOKUP(YEAR(A837), Lookup!$K:$M, 3)
        ),
    0),
  B837=55,
    IF(Z836&gt;=AD837,
      MAX(Y836 + IF(MONTH(A837)=12, P837+V837, 0) + H837 - L837, 0),
      MAX(MAX(0, Y836-(AD837-Z836)) + IF(MONTH(A837)=12, P837+V837, 0) + H837 - L837, 0)
    ),
  B837&gt;55,
    IF(AB836&gt;=$AH$7,
      MAX(Y836 + IF(MONTH(A837)=12, P837+V837, 0) + H837 - L837 + K837 + Z836, 0),
      MAX(Y836 + IF(MONTH(A837)=12, P837+V837, 0) + H837 - L837, 0)
    )
)</f>
        <v>2124886.408</v>
      </c>
      <c r="Z837" s="65">
        <f>IFS(
  B837&lt;55,
    MIN(
      IF(AA836 &gt;= VLOOKUP(YEAR(A837), Lookup!$Q:$R, 2),
        Z836 + IF(MONTH(A837)=12, Q837+W837, 0) + I837
          + AA836 + IF(MONTH(A837)=12, R837+X837, 0) - VLOOKUP(YEAR(A837), Lookup!$Q:$R, 2) + J837,
        Z836 + IF(MONTH(A837)=12, Q837+W837, 0) + I837
      ),
      VLOOKUP(YEAR(A837), Lookup!$K:$M, 3)
    ),
  B837=55,
    IF(Z836 &gt;= AD837, Z836 - AD837, 0),
  B837&gt;55, 0
)</f>
        <v>0</v>
      </c>
      <c r="AA837" s="65">
        <f>IFS(
  B837&lt;65,
    IF(AA836+J837 &lt; VLOOKUP(YEAR(A837), Lookup!$Q:$R, 2),
      AA836 + IF(MONTH(A837)=12, R836+X836, 0) + J837,
      MIN(
        AA836 + IF(MONTH(A837)=12, R836+X836, 0) + J837 ,
        VLOOKUP(YEAR(A837), Lookup!$Q:$R, 2)
      )
    ),
  B837&gt;=65,
    IF(AA836+J837 &lt; VLOOKUP(questions!$C$5, Lookup!$Q:$R, 2),
      AA836 + IF(MONTH(A837)=12, R836+X836, 0) + J837 ,
      MIN(
        AA836 + IF(MONTH(A837)=12, R836+X836, 0) + J837,
        VLOOKUP(questions!$C$5, Lookup!$Q:$R, 2)
      )
    )
)</f>
        <v>282111.0086</v>
      </c>
      <c r="AB837" s="65">
        <f t="shared" si="13"/>
        <v>3202535.754</v>
      </c>
      <c r="AC837" s="66">
        <f t="array" ref="AC837">IFS(B837&lt;66, XLOOKUP(year(A837),Lookup!$K$13:$K1000,Lookup!$L$13:$L1000,"missing",,1),B837&gt;65,XLOOKUP(questions!$C$5,Lookup!$K$13:$K1000,Lookup!$L$13:$L1000,"missing",,1))</f>
        <v>393675.3633</v>
      </c>
      <c r="AD837" s="66">
        <f t="array" ref="AD837">IFS(B837&lt;66, XLOOKUP(year(A837),Lookup!$K$13:$K1000,Lookup!$M$13:$M1000,"missing",,1),B837&gt;65, XLOOKUP(questions!$C$5,Lookup!$K$13:$K1000,Lookup!$M$13:$M1000,"missing",,1))</f>
        <v>787350.7266</v>
      </c>
      <c r="AE837" s="66">
        <f t="array" ref="AE837">IFS(B837&lt;66, XLOOKUP(year(A837),Lookup!$K$13:$K1000,Lookup!$N$13:$N1000,"missing",,1),B837&gt;65,XLOOKUP(questions!$C$5,Lookup!$K$13:$K1000,Lookup!$N$13:$N1000,"missing",,1))</f>
        <v>1574701.453</v>
      </c>
      <c r="AF837" s="37"/>
      <c r="AG837" s="37"/>
      <c r="AH837" s="37"/>
      <c r="AI837" s="37"/>
      <c r="AJ837" s="37"/>
      <c r="AK837" s="37"/>
      <c r="AL837" s="37"/>
      <c r="AM837" s="37"/>
      <c r="AN837" s="37"/>
      <c r="AO837" s="37"/>
      <c r="AP837" s="37"/>
      <c r="AQ837" s="37"/>
    </row>
    <row r="838">
      <c r="A838" s="55">
        <f t="shared" si="7"/>
        <v>71528</v>
      </c>
      <c r="B838" s="56">
        <f>round(YEARFRAC(EOMONTH(questions!$C$3, 0),A838,1),2)</f>
        <v>96.92</v>
      </c>
      <c r="C838" s="58">
        <f>IF(B838&lt;questions!$C$6,if(MONTH(A838)=1,C837*(1+questions!$C$12),C837),0)</f>
        <v>0</v>
      </c>
      <c r="D838" s="58">
        <f>IF(MONTH(A838)=12,C838*questions!$C$11,0)</f>
        <v>0</v>
      </c>
      <c r="E838" s="71">
        <f t="shared" si="2"/>
        <v>0</v>
      </c>
      <c r="F838" s="71">
        <f t="shared" si="3"/>
        <v>0</v>
      </c>
      <c r="G838" s="61">
        <f t="array" ref="G838">if(YEAR(A838)=2025,XLOOKUP(B838,Lookup!$A$3:$A$7,Lookup!$D$3:$D$7,,1)*SUM(E838:F838), XLOOKUP(B838,Lookup!$A$14:$A$18,Lookup!$D$14:$D$18,,1)*SUM(E838:F838))</f>
        <v>0</v>
      </c>
      <c r="H838" s="61">
        <f t="array" ref="H838">if(YEAR(A838)=2025,XLOOKUP(B838,Lookup!$F$3:$F$10,Lookup!$G$3:$G$10,,1)*G838, XLOOKUP(B838,Lookup!$F$14:$F$21,Lookup!$G$14:$G$21,,1)*G838)</f>
        <v>0</v>
      </c>
      <c r="I838" s="61">
        <f t="array" ref="I838">if(B838&lt;55, if(YEAR(A838)=2025,XLOOKUP(B838,Lookup!$F$3:$F$10,Lookup!$H$3:$H$10,,1)*G838, XLOOKUP(B838,Lookup!$F$14:$F$21,Lookup!$H$14:$H$21,,1)*G838),0)</f>
        <v>0</v>
      </c>
      <c r="J838" s="61">
        <f t="array" ref="J838">if(YEAR(A838)=2025,XLOOKUP(B838,Lookup!$F$3:$F$10,Lookup!$I$3:$I$10,,1)*G838, XLOOKUP(B838,Lookup!$F$14:$F$21,Lookup!$I$14:$I$21,,1)*G838)</f>
        <v>0</v>
      </c>
      <c r="K838" s="61">
        <f t="array" ref="K838">if(B838&gt;54, if(YEAR(A838)=2025,XLOOKUP(B838,Lookup!$F$3:$F$10,Lookup!$H$3:$H$10,,1)*G838, XLOOKUP(B838,Lookup!$F$14:$F$21,Lookup!$H$14:$H$21,,1)*G838),0)</f>
        <v>0</v>
      </c>
      <c r="L838" s="62">
        <f>IF(and(A838&lt;questions!$C$19,questions!$C$18="yes"),questions!$C$20,0)</f>
        <v>0</v>
      </c>
      <c r="M838" s="63">
        <f>(Y837+H838)*Lookup!A$26/12</f>
        <v>4426.846682</v>
      </c>
      <c r="N838" s="63">
        <f>if(B838&lt;55, (Z837+I838)*Lookup!B$26/12, (AB837+K838)*Lookup!B$26/12)</f>
        <v>10675.11918</v>
      </c>
      <c r="O838" s="63">
        <f>(AA837+J838)*Lookup!C$26/12</f>
        <v>940.3700287</v>
      </c>
      <c r="P838" s="63">
        <f t="shared" si="8"/>
        <v>44268.46682</v>
      </c>
      <c r="Q838" s="63">
        <f t="shared" si="4"/>
        <v>106751.1918</v>
      </c>
      <c r="R838" s="63">
        <f t="shared" si="5"/>
        <v>9403.700287</v>
      </c>
      <c r="S838" s="64">
        <f t="shared" si="9"/>
        <v>33.33333333</v>
      </c>
      <c r="T838" s="64">
        <f t="shared" si="10"/>
        <v>41.66666667</v>
      </c>
      <c r="U838" s="64">
        <f t="shared" si="11"/>
        <v>0</v>
      </c>
      <c r="V838" s="64">
        <f t="shared" ref="V838:X838" si="846">IF(year($A838)=year($A837), V837+S838, S838)</f>
        <v>333.3333333</v>
      </c>
      <c r="W838" s="64">
        <f t="shared" si="846"/>
        <v>416.6666667</v>
      </c>
      <c r="X838" s="64">
        <f t="shared" si="846"/>
        <v>0</v>
      </c>
      <c r="Y838" s="65">
        <f>IFS(
  B838&lt;55,
    MAX(
      Y837 + IF(MONTH(A838)=12, P838+V838, 0) + H838 - L838
      + MAX(0,
          IF(AA837 &gt;= VLOOKUP(YEAR(A838), Lookup!$Q:$R, 2),
            Z837 + IF(MONTH(A838)=12, Q838+W838, 0) + I838
              + AA837 + IF(MONTH(A838)=12, R838+X838, 0)
              - VLOOKUP(YEAR(A838), Lookup!$Q:$R, 2) + J838,
            Z837 + IF(MONTH(A838)=12, Q838+W838, 0) + I838
          ) - VLOOKUP(YEAR(A838), Lookup!$K:$M, 3)
        ),
    0),
  B838=55,
    IF(Z837&gt;=AD838,
      MAX(Y837 + IF(MONTH(A838)=12, P838+V838, 0) + H838 - L838, 0),
      MAX(MAX(0, Y837-(AD838-Z837)) + IF(MONTH(A838)=12, P838+V838, 0) + H838 - L838, 0)
    ),
  B838&gt;55,
    IF(AB837&gt;=$AH$7,
      MAX(Y837 + IF(MONTH(A838)=12, P838+V838, 0) + H838 - L838 + K838 + Z837, 0),
      MAX(Y837 + IF(MONTH(A838)=12, P838+V838, 0) + H838 - L838, 0)
    )
)</f>
        <v>2124886.408</v>
      </c>
      <c r="Z838" s="65">
        <f>IFS(
  B838&lt;55,
    MIN(
      IF(AA837 &gt;= VLOOKUP(YEAR(A838), Lookup!$Q:$R, 2),
        Z837 + IF(MONTH(A838)=12, Q838+W838, 0) + I838
          + AA837 + IF(MONTH(A838)=12, R838+X838, 0) - VLOOKUP(YEAR(A838), Lookup!$Q:$R, 2) + J838,
        Z837 + IF(MONTH(A838)=12, Q838+W838, 0) + I838
      ),
      VLOOKUP(YEAR(A838), Lookup!$K:$M, 3)
    ),
  B838=55,
    IF(Z837 &gt;= AD838, Z837 - AD838, 0),
  B838&gt;55, 0
)</f>
        <v>0</v>
      </c>
      <c r="AA838" s="65">
        <f>IFS(
  B838&lt;65,
    IF(AA837+J838 &lt; VLOOKUP(YEAR(A838), Lookup!$Q:$R, 2),
      AA837 + IF(MONTH(A838)=12, R837+X837, 0) + J838,
      MIN(
        AA837 + IF(MONTH(A838)=12, R837+X837, 0) + J838 ,
        VLOOKUP(YEAR(A838), Lookup!$Q:$R, 2)
      )
    ),
  B838&gt;=65,
    IF(AA837+J838 &lt; VLOOKUP(questions!$C$5, Lookup!$Q:$R, 2),
      AA837 + IF(MONTH(A838)=12, R837+X837, 0) + J838 ,
      MIN(
        AA837 + IF(MONTH(A838)=12, R837+X837, 0) + J838,
        VLOOKUP(questions!$C$5, Lookup!$Q:$R, 2)
      )
    )
)</f>
        <v>282111.0086</v>
      </c>
      <c r="AB838" s="65">
        <f t="shared" si="13"/>
        <v>3202535.754</v>
      </c>
      <c r="AC838" s="66">
        <f t="array" ref="AC838">IFS(B838&lt;66, XLOOKUP(year(A838),Lookup!$K$13:$K1000,Lookup!$L$13:$L1000,"missing",,1),B838&gt;65,XLOOKUP(questions!$C$5,Lookup!$K$13:$K1000,Lookup!$L$13:$L1000,"missing",,1))</f>
        <v>393675.3633</v>
      </c>
      <c r="AD838" s="66">
        <f t="array" ref="AD838">IFS(B838&lt;66, XLOOKUP(year(A838),Lookup!$K$13:$K1000,Lookup!$M$13:$M1000,"missing",,1),B838&gt;65, XLOOKUP(questions!$C$5,Lookup!$K$13:$K1000,Lookup!$M$13:$M1000,"missing",,1))</f>
        <v>787350.7266</v>
      </c>
      <c r="AE838" s="66">
        <f t="array" ref="AE838">IFS(B838&lt;66, XLOOKUP(year(A838),Lookup!$K$13:$K1000,Lookup!$N$13:$N1000,"missing",,1),B838&gt;65,XLOOKUP(questions!$C$5,Lookup!$K$13:$K1000,Lookup!$N$13:$N1000,"missing",,1))</f>
        <v>1574701.453</v>
      </c>
      <c r="AF838" s="37"/>
      <c r="AG838" s="37"/>
      <c r="AH838" s="37"/>
      <c r="AI838" s="37"/>
      <c r="AJ838" s="37"/>
      <c r="AK838" s="37"/>
      <c r="AL838" s="37"/>
      <c r="AM838" s="37"/>
      <c r="AN838" s="37"/>
      <c r="AO838" s="37"/>
      <c r="AP838" s="37"/>
      <c r="AQ838" s="37"/>
    </row>
    <row r="839">
      <c r="A839" s="55">
        <f t="shared" si="7"/>
        <v>71558</v>
      </c>
      <c r="B839" s="56">
        <f>round(YEARFRAC(EOMONTH(questions!$C$3, 0),A839,1),2)</f>
        <v>97</v>
      </c>
      <c r="C839" s="58">
        <f>IF(B839&lt;questions!$C$6,if(MONTH(A839)=1,C838*(1+questions!$C$12),C838),0)</f>
        <v>0</v>
      </c>
      <c r="D839" s="58">
        <f>IF(MONTH(A839)=12,C839*questions!$C$11,0)</f>
        <v>0</v>
      </c>
      <c r="E839" s="71">
        <f t="shared" si="2"/>
        <v>0</v>
      </c>
      <c r="F839" s="71">
        <f t="shared" si="3"/>
        <v>0</v>
      </c>
      <c r="G839" s="61">
        <f t="array" ref="G839">if(YEAR(A839)=2025,XLOOKUP(B839,Lookup!$A$3:$A$7,Lookup!$D$3:$D$7,,1)*SUM(E839:F839), XLOOKUP(B839,Lookup!$A$14:$A$18,Lookup!$D$14:$D$18,,1)*SUM(E839:F839))</f>
        <v>0</v>
      </c>
      <c r="H839" s="61">
        <f t="array" ref="H839">if(YEAR(A839)=2025,XLOOKUP(B839,Lookup!$F$3:$F$10,Lookup!$G$3:$G$10,,1)*G839, XLOOKUP(B839,Lookup!$F$14:$F$21,Lookup!$G$14:$G$21,,1)*G839)</f>
        <v>0</v>
      </c>
      <c r="I839" s="61">
        <f t="array" ref="I839">if(B839&lt;55, if(YEAR(A839)=2025,XLOOKUP(B839,Lookup!$F$3:$F$10,Lookup!$H$3:$H$10,,1)*G839, XLOOKUP(B839,Lookup!$F$14:$F$21,Lookup!$H$14:$H$21,,1)*G839),0)</f>
        <v>0</v>
      </c>
      <c r="J839" s="61">
        <f t="array" ref="J839">if(YEAR(A839)=2025,XLOOKUP(B839,Lookup!$F$3:$F$10,Lookup!$I$3:$I$10,,1)*G839, XLOOKUP(B839,Lookup!$F$14:$F$21,Lookup!$I$14:$I$21,,1)*G839)</f>
        <v>0</v>
      </c>
      <c r="K839" s="61">
        <f t="array" ref="K839">if(B839&gt;54, if(YEAR(A839)=2025,XLOOKUP(B839,Lookup!$F$3:$F$10,Lookup!$H$3:$H$10,,1)*G839, XLOOKUP(B839,Lookup!$F$14:$F$21,Lookup!$H$14:$H$21,,1)*G839),0)</f>
        <v>0</v>
      </c>
      <c r="L839" s="62">
        <f>IF(and(A839&lt;questions!$C$19,questions!$C$18="yes"),questions!$C$20,0)</f>
        <v>0</v>
      </c>
      <c r="M839" s="63">
        <f>(Y838+H839)*Lookup!A$26/12</f>
        <v>4426.846682</v>
      </c>
      <c r="N839" s="63">
        <f>if(B839&lt;55, (Z838+I839)*Lookup!B$26/12, (AB838+K839)*Lookup!B$26/12)</f>
        <v>10675.11918</v>
      </c>
      <c r="O839" s="63">
        <f>(AA838+J839)*Lookup!C$26/12</f>
        <v>940.3700287</v>
      </c>
      <c r="P839" s="63">
        <f t="shared" si="8"/>
        <v>48695.31351</v>
      </c>
      <c r="Q839" s="63">
        <f t="shared" si="4"/>
        <v>117426.311</v>
      </c>
      <c r="R839" s="63">
        <f t="shared" si="5"/>
        <v>10344.07032</v>
      </c>
      <c r="S839" s="64">
        <f t="shared" si="9"/>
        <v>33.33333333</v>
      </c>
      <c r="T839" s="64">
        <f t="shared" si="10"/>
        <v>41.66666667</v>
      </c>
      <c r="U839" s="64">
        <f t="shared" si="11"/>
        <v>0</v>
      </c>
      <c r="V839" s="64">
        <f t="shared" ref="V839:X839" si="847">IF(year($A839)=year($A838), V838+S839, S839)</f>
        <v>366.6666667</v>
      </c>
      <c r="W839" s="64">
        <f t="shared" si="847"/>
        <v>458.3333333</v>
      </c>
      <c r="X839" s="64">
        <f t="shared" si="847"/>
        <v>0</v>
      </c>
      <c r="Y839" s="65">
        <f>IFS(
  B839&lt;55,
    MAX(
      Y838 + IF(MONTH(A839)=12, P839+V839, 0) + H839 - L839
      + MAX(0,
          IF(AA838 &gt;= VLOOKUP(YEAR(A839), Lookup!$Q:$R, 2),
            Z838 + IF(MONTH(A839)=12, Q839+W839, 0) + I839
              + AA838 + IF(MONTH(A839)=12, R839+X839, 0)
              - VLOOKUP(YEAR(A839), Lookup!$Q:$R, 2) + J839,
            Z838 + IF(MONTH(A839)=12, Q839+W839, 0) + I839
          ) - VLOOKUP(YEAR(A839), Lookup!$K:$M, 3)
        ),
    0),
  B839=55,
    IF(Z838&gt;=AD839,
      MAX(Y838 + IF(MONTH(A839)=12, P839+V839, 0) + H839 - L839, 0),
      MAX(MAX(0, Y838-(AD839-Z838)) + IF(MONTH(A839)=12, P839+V839, 0) + H839 - L839, 0)
    ),
  B839&gt;55,
    IF(AB838&gt;=$AH$7,
      MAX(Y838 + IF(MONTH(A839)=12, P839+V839, 0) + H839 - L839 + K839 + Z838, 0),
      MAX(Y838 + IF(MONTH(A839)=12, P839+V839, 0) + H839 - L839, 0)
    )
)</f>
        <v>2124886.408</v>
      </c>
      <c r="Z839" s="65">
        <f>IFS(
  B839&lt;55,
    MIN(
      IF(AA838 &gt;= VLOOKUP(YEAR(A839), Lookup!$Q:$R, 2),
        Z838 + IF(MONTH(A839)=12, Q839+W839, 0) + I839
          + AA838 + IF(MONTH(A839)=12, R839+X839, 0) - VLOOKUP(YEAR(A839), Lookup!$Q:$R, 2) + J839,
        Z838 + IF(MONTH(A839)=12, Q839+W839, 0) + I839
      ),
      VLOOKUP(YEAR(A839), Lookup!$K:$M, 3)
    ),
  B839=55,
    IF(Z838 &gt;= AD839, Z838 - AD839, 0),
  B839&gt;55, 0
)</f>
        <v>0</v>
      </c>
      <c r="AA839" s="65">
        <f>IFS(
  B839&lt;65,
    IF(AA838+J839 &lt; VLOOKUP(YEAR(A839), Lookup!$Q:$R, 2),
      AA838 + IF(MONTH(A839)=12, R838+X838, 0) + J839,
      MIN(
        AA838 + IF(MONTH(A839)=12, R838+X838, 0) + J839 ,
        VLOOKUP(YEAR(A839), Lookup!$Q:$R, 2)
      )
    ),
  B839&gt;=65,
    IF(AA838+J839 &lt; VLOOKUP(questions!$C$5, Lookup!$Q:$R, 2),
      AA838 + IF(MONTH(A839)=12, R838+X838, 0) + J839 ,
      MIN(
        AA838 + IF(MONTH(A839)=12, R838+X838, 0) + J839,
        VLOOKUP(questions!$C$5, Lookup!$Q:$R, 2)
      )
    )
)</f>
        <v>282111.0086</v>
      </c>
      <c r="AB839" s="65">
        <f t="shared" si="13"/>
        <v>3202535.754</v>
      </c>
      <c r="AC839" s="66">
        <f t="array" ref="AC839">IFS(B839&lt;66, XLOOKUP(year(A839),Lookup!$K$13:$K1000,Lookup!$L$13:$L1000,"missing",,1),B839&gt;65,XLOOKUP(questions!$C$5,Lookup!$K$13:$K1000,Lookup!$L$13:$L1000,"missing",,1))</f>
        <v>393675.3633</v>
      </c>
      <c r="AD839" s="66">
        <f t="array" ref="AD839">IFS(B839&lt;66, XLOOKUP(year(A839),Lookup!$K$13:$K1000,Lookup!$M$13:$M1000,"missing",,1),B839&gt;65, XLOOKUP(questions!$C$5,Lookup!$K$13:$K1000,Lookup!$M$13:$M1000,"missing",,1))</f>
        <v>787350.7266</v>
      </c>
      <c r="AE839" s="66">
        <f t="array" ref="AE839">IFS(B839&lt;66, XLOOKUP(year(A839),Lookup!$K$13:$K1000,Lookup!$N$13:$N1000,"missing",,1),B839&gt;65,XLOOKUP(questions!$C$5,Lookup!$K$13:$K1000,Lookup!$N$13:$N1000,"missing",,1))</f>
        <v>1574701.453</v>
      </c>
      <c r="AF839" s="37"/>
      <c r="AG839" s="37"/>
      <c r="AH839" s="37"/>
      <c r="AI839" s="37"/>
      <c r="AJ839" s="37"/>
      <c r="AK839" s="37"/>
      <c r="AL839" s="37"/>
      <c r="AM839" s="37"/>
      <c r="AN839" s="37"/>
      <c r="AO839" s="37"/>
      <c r="AP839" s="37"/>
      <c r="AQ839" s="37"/>
    </row>
    <row r="840">
      <c r="A840" s="55">
        <f t="shared" si="7"/>
        <v>71589</v>
      </c>
      <c r="B840" s="56">
        <f>round(YEARFRAC(EOMONTH(questions!$C$3, 0),A840,1),2)</f>
        <v>97.08</v>
      </c>
      <c r="C840" s="58">
        <f>IF(B840&lt;questions!$C$6,if(MONTH(A840)=1,C839*(1+questions!$C$12),C839),0)</f>
        <v>0</v>
      </c>
      <c r="D840" s="58">
        <f>IF(MONTH(A840)=12,C840*questions!$C$11,0)</f>
        <v>0</v>
      </c>
      <c r="E840" s="71">
        <f t="shared" si="2"/>
        <v>0</v>
      </c>
      <c r="F840" s="71">
        <f t="shared" si="3"/>
        <v>0</v>
      </c>
      <c r="G840" s="61">
        <f t="array" ref="G840">if(YEAR(A840)=2025,XLOOKUP(B840,Lookup!$A$3:$A$7,Lookup!$D$3:$D$7,,1)*SUM(E840:F840), XLOOKUP(B840,Lookup!$A$14:$A$18,Lookup!$D$14:$D$18,,1)*SUM(E840:F840))</f>
        <v>0</v>
      </c>
      <c r="H840" s="61">
        <f t="array" ref="H840">if(YEAR(A840)=2025,XLOOKUP(B840,Lookup!$F$3:$F$10,Lookup!$G$3:$G$10,,1)*G840, XLOOKUP(B840,Lookup!$F$14:$F$21,Lookup!$G$14:$G$21,,1)*G840)</f>
        <v>0</v>
      </c>
      <c r="I840" s="61">
        <f t="array" ref="I840">if(B840&lt;55, if(YEAR(A840)=2025,XLOOKUP(B840,Lookup!$F$3:$F$10,Lookup!$H$3:$H$10,,1)*G840, XLOOKUP(B840,Lookup!$F$14:$F$21,Lookup!$H$14:$H$21,,1)*G840),0)</f>
        <v>0</v>
      </c>
      <c r="J840" s="61">
        <f t="array" ref="J840">if(YEAR(A840)=2025,XLOOKUP(B840,Lookup!$F$3:$F$10,Lookup!$I$3:$I$10,,1)*G840, XLOOKUP(B840,Lookup!$F$14:$F$21,Lookup!$I$14:$I$21,,1)*G840)</f>
        <v>0</v>
      </c>
      <c r="K840" s="61">
        <f t="array" ref="K840">if(B840&gt;54, if(YEAR(A840)=2025,XLOOKUP(B840,Lookup!$F$3:$F$10,Lookup!$H$3:$H$10,,1)*G840, XLOOKUP(B840,Lookup!$F$14:$F$21,Lookup!$H$14:$H$21,,1)*G840),0)</f>
        <v>0</v>
      </c>
      <c r="L840" s="62">
        <f>IF(and(A840&lt;questions!$C$19,questions!$C$18="yes"),questions!$C$20,0)</f>
        <v>0</v>
      </c>
      <c r="M840" s="63">
        <f>(Y839+H840)*Lookup!A$26/12</f>
        <v>4426.846682</v>
      </c>
      <c r="N840" s="63">
        <f>if(B840&lt;55, (Z839+I840)*Lookup!B$26/12, (AB839+K840)*Lookup!B$26/12)</f>
        <v>10675.11918</v>
      </c>
      <c r="O840" s="63">
        <f>(AA839+J840)*Lookup!C$26/12</f>
        <v>940.3700287</v>
      </c>
      <c r="P840" s="63">
        <f t="shared" si="8"/>
        <v>53122.16019</v>
      </c>
      <c r="Q840" s="63">
        <f t="shared" si="4"/>
        <v>128101.4302</v>
      </c>
      <c r="R840" s="63">
        <f t="shared" si="5"/>
        <v>11284.44034</v>
      </c>
      <c r="S840" s="64">
        <f t="shared" si="9"/>
        <v>33.33333333</v>
      </c>
      <c r="T840" s="64">
        <f t="shared" si="10"/>
        <v>41.66666667</v>
      </c>
      <c r="U840" s="64">
        <f t="shared" si="11"/>
        <v>0</v>
      </c>
      <c r="V840" s="64">
        <f t="shared" ref="V840:X840" si="848">IF(year($A840)=year($A839), V839+S840, S840)</f>
        <v>400</v>
      </c>
      <c r="W840" s="64">
        <f t="shared" si="848"/>
        <v>500</v>
      </c>
      <c r="X840" s="64">
        <f t="shared" si="848"/>
        <v>0</v>
      </c>
      <c r="Y840" s="65">
        <f>IFS(
  B840&lt;55,
    MAX(
      Y839 + IF(MONTH(A840)=12, P840+V840, 0) + H840 - L840
      + MAX(0,
          IF(AA839 &gt;= VLOOKUP(YEAR(A840), Lookup!$Q:$R, 2),
            Z839 + IF(MONTH(A840)=12, Q840+W840, 0) + I840
              + AA839 + IF(MONTH(A840)=12, R840+X840, 0)
              - VLOOKUP(YEAR(A840), Lookup!$Q:$R, 2) + J840,
            Z839 + IF(MONTH(A840)=12, Q840+W840, 0) + I840
          ) - VLOOKUP(YEAR(A840), Lookup!$K:$M, 3)
        ),
    0),
  B840=55,
    IF(Z839&gt;=AD840,
      MAX(Y839 + IF(MONTH(A840)=12, P840+V840, 0) + H840 - L840, 0),
      MAX(MAX(0, Y839-(AD840-Z839)) + IF(MONTH(A840)=12, P840+V840, 0) + H840 - L840, 0)
    ),
  B840&gt;55,
    IF(AB839&gt;=$AH$7,
      MAX(Y839 + IF(MONTH(A840)=12, P840+V840, 0) + H840 - L840 + K840 + Z839, 0),
      MAX(Y839 + IF(MONTH(A840)=12, P840+V840, 0) + H840 - L840, 0)
    )
)</f>
        <v>2178408.568</v>
      </c>
      <c r="Z840" s="65">
        <f>IFS(
  B840&lt;55,
    MIN(
      IF(AA839 &gt;= VLOOKUP(YEAR(A840), Lookup!$Q:$R, 2),
        Z839 + IF(MONTH(A840)=12, Q840+W840, 0) + I840
          + AA839 + IF(MONTH(A840)=12, R840+X840, 0) - VLOOKUP(YEAR(A840), Lookup!$Q:$R, 2) + J840,
        Z839 + IF(MONTH(A840)=12, Q840+W840, 0) + I840
      ),
      VLOOKUP(YEAR(A840), Lookup!$K:$M, 3)
    ),
  B840=55,
    IF(Z839 &gt;= AD840, Z839 - AD840, 0),
  B840&gt;55, 0
)</f>
        <v>0</v>
      </c>
      <c r="AA840" s="65">
        <f>IFS(
  B840&lt;65,
    IF(AA839+J840 &lt; VLOOKUP(YEAR(A840), Lookup!$Q:$R, 2),
      AA839 + IF(MONTH(A840)=12, R839+X839, 0) + J840,
      MIN(
        AA839 + IF(MONTH(A840)=12, R839+X839, 0) + J840 ,
        VLOOKUP(YEAR(A840), Lookup!$Q:$R, 2)
      )
    ),
  B840&gt;=65,
    IF(AA839+J840 &lt; VLOOKUP(questions!$C$5, Lookup!$Q:$R, 2),
      AA839 + IF(MONTH(A840)=12, R839+X839, 0) + J840 ,
      MIN(
        AA839 + IF(MONTH(A840)=12, R839+X839, 0) + J840,
        VLOOKUP(questions!$C$5, Lookup!$Q:$R, 2)
      )
    )
)</f>
        <v>282111.0086</v>
      </c>
      <c r="AB840" s="65">
        <f t="shared" si="13"/>
        <v>3331137.185</v>
      </c>
      <c r="AC840" s="66">
        <f t="array" ref="AC840">IFS(B840&lt;66, XLOOKUP(year(A840),Lookup!$K$13:$K1000,Lookup!$L$13:$L1000,"missing",,1),B840&gt;65,XLOOKUP(questions!$C$5,Lookup!$K$13:$K1000,Lookup!$L$13:$L1000,"missing",,1))</f>
        <v>393675.3633</v>
      </c>
      <c r="AD840" s="66">
        <f t="array" ref="AD840">IFS(B840&lt;66, XLOOKUP(year(A840),Lookup!$K$13:$K1000,Lookup!$M$13:$M1000,"missing",,1),B840&gt;65, XLOOKUP(questions!$C$5,Lookup!$K$13:$K1000,Lookup!$M$13:$M1000,"missing",,1))</f>
        <v>787350.7266</v>
      </c>
      <c r="AE840" s="66">
        <f t="array" ref="AE840">IFS(B840&lt;66, XLOOKUP(year(A840),Lookup!$K$13:$K1000,Lookup!$N$13:$N1000,"missing",,1),B840&gt;65,XLOOKUP(questions!$C$5,Lookup!$K$13:$K1000,Lookup!$N$13:$N1000,"missing",,1))</f>
        <v>1574701.453</v>
      </c>
      <c r="AF840" s="37"/>
      <c r="AG840" s="37"/>
      <c r="AH840" s="37"/>
      <c r="AI840" s="37"/>
      <c r="AJ840" s="37"/>
      <c r="AK840" s="37"/>
      <c r="AL840" s="37"/>
      <c r="AM840" s="37"/>
      <c r="AN840" s="37"/>
      <c r="AO840" s="37"/>
      <c r="AP840" s="37"/>
      <c r="AQ840" s="37"/>
    </row>
    <row r="841">
      <c r="A841" s="55">
        <f t="shared" si="7"/>
        <v>71620</v>
      </c>
      <c r="B841" s="56">
        <f>round(YEARFRAC(EOMONTH(questions!$C$3, 0),A841,1),2)</f>
        <v>97.17</v>
      </c>
      <c r="C841" s="58">
        <f>IF(B841&lt;questions!$C$6,if(MONTH(A841)=1,C840*(1+questions!$C$12),C840),0)</f>
        <v>0</v>
      </c>
      <c r="D841" s="58">
        <f>IF(MONTH(A841)=12,C841*questions!$C$11,0)</f>
        <v>0</v>
      </c>
      <c r="E841" s="71">
        <f t="shared" si="2"/>
        <v>0</v>
      </c>
      <c r="F841" s="71">
        <f t="shared" si="3"/>
        <v>0</v>
      </c>
      <c r="G841" s="61">
        <f t="array" ref="G841">if(YEAR(A841)=2025,XLOOKUP(B841,Lookup!$A$3:$A$7,Lookup!$D$3:$D$7,,1)*SUM(E841:F841), XLOOKUP(B841,Lookup!$A$14:$A$18,Lookup!$D$14:$D$18,,1)*SUM(E841:F841))</f>
        <v>0</v>
      </c>
      <c r="H841" s="61">
        <f t="array" ref="H841">if(YEAR(A841)=2025,XLOOKUP(B841,Lookup!$F$3:$F$10,Lookup!$G$3:$G$10,,1)*G841, XLOOKUP(B841,Lookup!$F$14:$F$21,Lookup!$G$14:$G$21,,1)*G841)</f>
        <v>0</v>
      </c>
      <c r="I841" s="61">
        <f t="array" ref="I841">if(B841&lt;55, if(YEAR(A841)=2025,XLOOKUP(B841,Lookup!$F$3:$F$10,Lookup!$H$3:$H$10,,1)*G841, XLOOKUP(B841,Lookup!$F$14:$F$21,Lookup!$H$14:$H$21,,1)*G841),0)</f>
        <v>0</v>
      </c>
      <c r="J841" s="61">
        <f t="array" ref="J841">if(YEAR(A841)=2025,XLOOKUP(B841,Lookup!$F$3:$F$10,Lookup!$I$3:$I$10,,1)*G841, XLOOKUP(B841,Lookup!$F$14:$F$21,Lookup!$I$14:$I$21,,1)*G841)</f>
        <v>0</v>
      </c>
      <c r="K841" s="61">
        <f t="array" ref="K841">if(B841&gt;54, if(YEAR(A841)=2025,XLOOKUP(B841,Lookup!$F$3:$F$10,Lookup!$H$3:$H$10,,1)*G841, XLOOKUP(B841,Lookup!$F$14:$F$21,Lookup!$H$14:$H$21,,1)*G841),0)</f>
        <v>0</v>
      </c>
      <c r="L841" s="62">
        <f>IF(and(A841&lt;questions!$C$19,questions!$C$18="yes"),questions!$C$20,0)</f>
        <v>0</v>
      </c>
      <c r="M841" s="63">
        <f>(Y840+H841)*Lookup!A$26/12</f>
        <v>4538.351183</v>
      </c>
      <c r="N841" s="63">
        <f>if(B841&lt;55, (Z840+I841)*Lookup!B$26/12, (AB840+K841)*Lookup!B$26/12)</f>
        <v>11103.79062</v>
      </c>
      <c r="O841" s="63">
        <f>(AA840+J841)*Lookup!C$26/12</f>
        <v>940.3700287</v>
      </c>
      <c r="P841" s="63">
        <f t="shared" si="8"/>
        <v>4538.351183</v>
      </c>
      <c r="Q841" s="63">
        <f t="shared" si="4"/>
        <v>11103.79062</v>
      </c>
      <c r="R841" s="63">
        <f t="shared" si="5"/>
        <v>940.3700287</v>
      </c>
      <c r="S841" s="64">
        <f t="shared" si="9"/>
        <v>33.33333333</v>
      </c>
      <c r="T841" s="64">
        <f t="shared" si="10"/>
        <v>41.66666667</v>
      </c>
      <c r="U841" s="64">
        <f t="shared" si="11"/>
        <v>0</v>
      </c>
      <c r="V841" s="64">
        <f t="shared" ref="V841:X841" si="849">IF(year($A841)=year($A840), V840+S841, S841)</f>
        <v>33.33333333</v>
      </c>
      <c r="W841" s="64">
        <f t="shared" si="849"/>
        <v>41.66666667</v>
      </c>
      <c r="X841" s="64">
        <f t="shared" si="849"/>
        <v>0</v>
      </c>
      <c r="Y841" s="65">
        <f>IFS(
  B841&lt;55,
    MAX(
      Y840 + IF(MONTH(A841)=12, P841+V841, 0) + H841 - L841
      + MAX(0,
          IF(AA840 &gt;= VLOOKUP(YEAR(A841), Lookup!$Q:$R, 2),
            Z840 + IF(MONTH(A841)=12, Q841+W841, 0) + I841
              + AA840 + IF(MONTH(A841)=12, R841+X841, 0)
              - VLOOKUP(YEAR(A841), Lookup!$Q:$R, 2) + J841,
            Z840 + IF(MONTH(A841)=12, Q841+W841, 0) + I841
          ) - VLOOKUP(YEAR(A841), Lookup!$K:$M, 3)
        ),
    0),
  B841=55,
    IF(Z840&gt;=AD841,
      MAX(Y840 + IF(MONTH(A841)=12, P841+V841, 0) + H841 - L841, 0),
      MAX(MAX(0, Y840-(AD841-Z840)) + IF(MONTH(A841)=12, P841+V841, 0) + H841 - L841, 0)
    ),
  B841&gt;55,
    IF(AB840&gt;=$AH$7,
      MAX(Y840 + IF(MONTH(A841)=12, P841+V841, 0) + H841 - L841 + K841 + Z840, 0),
      MAX(Y840 + IF(MONTH(A841)=12, P841+V841, 0) + H841 - L841, 0)
    )
)</f>
        <v>2178408.568</v>
      </c>
      <c r="Z841" s="65">
        <f>IFS(
  B841&lt;55,
    MIN(
      IF(AA840 &gt;= VLOOKUP(YEAR(A841), Lookup!$Q:$R, 2),
        Z840 + IF(MONTH(A841)=12, Q841+W841, 0) + I841
          + AA840 + IF(MONTH(A841)=12, R841+X841, 0) - VLOOKUP(YEAR(A841), Lookup!$Q:$R, 2) + J841,
        Z840 + IF(MONTH(A841)=12, Q841+W841, 0) + I841
      ),
      VLOOKUP(YEAR(A841), Lookup!$K:$M, 3)
    ),
  B841=55,
    IF(Z840 &gt;= AD841, Z840 - AD841, 0),
  B841&gt;55, 0
)</f>
        <v>0</v>
      </c>
      <c r="AA841" s="65">
        <f>IFS(
  B841&lt;65,
    IF(AA840+J841 &lt; VLOOKUP(YEAR(A841), Lookup!$Q:$R, 2),
      AA840 + IF(MONTH(A841)=12, R840+X840, 0) + J841,
      MIN(
        AA840 + IF(MONTH(A841)=12, R840+X840, 0) + J841 ,
        VLOOKUP(YEAR(A841), Lookup!$Q:$R, 2)
      )
    ),
  B841&gt;=65,
    IF(AA840+J841 &lt; VLOOKUP(questions!$C$5, Lookup!$Q:$R, 2),
      AA840 + IF(MONTH(A841)=12, R840+X840, 0) + J841 ,
      MIN(
        AA840 + IF(MONTH(A841)=12, R840+X840, 0) + J841,
        VLOOKUP(questions!$C$5, Lookup!$Q:$R, 2)
      )
    )
)</f>
        <v>282111.0086</v>
      </c>
      <c r="AB841" s="65">
        <f t="shared" si="13"/>
        <v>3331137.185</v>
      </c>
      <c r="AC841" s="66">
        <f t="array" ref="AC841">IFS(B841&lt;66, XLOOKUP(year(A841),Lookup!$K$13:$K1000,Lookup!$L$13:$L1000,"missing",,1),B841&gt;65,XLOOKUP(questions!$C$5,Lookup!$K$13:$K1000,Lookup!$L$13:$L1000,"missing",,1))</f>
        <v>393675.3633</v>
      </c>
      <c r="AD841" s="66">
        <f t="array" ref="AD841">IFS(B841&lt;66, XLOOKUP(year(A841),Lookup!$K$13:$K1000,Lookup!$M$13:$M1000,"missing",,1),B841&gt;65, XLOOKUP(questions!$C$5,Lookup!$K$13:$K1000,Lookup!$M$13:$M1000,"missing",,1))</f>
        <v>787350.7266</v>
      </c>
      <c r="AE841" s="66">
        <f t="array" ref="AE841">IFS(B841&lt;66, XLOOKUP(year(A841),Lookup!$K$13:$K1000,Lookup!$N$13:$N1000,"missing",,1),B841&gt;65,XLOOKUP(questions!$C$5,Lookup!$K$13:$K1000,Lookup!$N$13:$N1000,"missing",,1))</f>
        <v>1574701.453</v>
      </c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7"/>
      <c r="AQ841" s="37"/>
    </row>
    <row r="842">
      <c r="A842" s="55">
        <f t="shared" si="7"/>
        <v>71649</v>
      </c>
      <c r="B842" s="56">
        <f>round(YEARFRAC(EOMONTH(questions!$C$3, 0),A842,1),2)</f>
        <v>97.25</v>
      </c>
      <c r="C842" s="58">
        <f>IF(B842&lt;questions!$C$6,if(MONTH(A842)=1,C841*(1+questions!$C$12),C841),0)</f>
        <v>0</v>
      </c>
      <c r="D842" s="58">
        <f>IF(MONTH(A842)=12,C842*questions!$C$11,0)</f>
        <v>0</v>
      </c>
      <c r="E842" s="71">
        <f t="shared" si="2"/>
        <v>0</v>
      </c>
      <c r="F842" s="71">
        <f t="shared" si="3"/>
        <v>0</v>
      </c>
      <c r="G842" s="61">
        <f t="array" ref="G842">if(YEAR(A842)=2025,XLOOKUP(B842,Lookup!$A$3:$A$7,Lookup!$D$3:$D$7,,1)*SUM(E842:F842), XLOOKUP(B842,Lookup!$A$14:$A$18,Lookup!$D$14:$D$18,,1)*SUM(E842:F842))</f>
        <v>0</v>
      </c>
      <c r="H842" s="61">
        <f t="array" ref="H842">if(YEAR(A842)=2025,XLOOKUP(B842,Lookup!$F$3:$F$10,Lookup!$G$3:$G$10,,1)*G842, XLOOKUP(B842,Lookup!$F$14:$F$21,Lookup!$G$14:$G$21,,1)*G842)</f>
        <v>0</v>
      </c>
      <c r="I842" s="61">
        <f t="array" ref="I842">if(B842&lt;55, if(YEAR(A842)=2025,XLOOKUP(B842,Lookup!$F$3:$F$10,Lookup!$H$3:$H$10,,1)*G842, XLOOKUP(B842,Lookup!$F$14:$F$21,Lookup!$H$14:$H$21,,1)*G842),0)</f>
        <v>0</v>
      </c>
      <c r="J842" s="61">
        <f t="array" ref="J842">if(YEAR(A842)=2025,XLOOKUP(B842,Lookup!$F$3:$F$10,Lookup!$I$3:$I$10,,1)*G842, XLOOKUP(B842,Lookup!$F$14:$F$21,Lookup!$I$14:$I$21,,1)*G842)</f>
        <v>0</v>
      </c>
      <c r="K842" s="61">
        <f t="array" ref="K842">if(B842&gt;54, if(YEAR(A842)=2025,XLOOKUP(B842,Lookup!$F$3:$F$10,Lookup!$H$3:$H$10,,1)*G842, XLOOKUP(B842,Lookup!$F$14:$F$21,Lookup!$H$14:$H$21,,1)*G842),0)</f>
        <v>0</v>
      </c>
      <c r="L842" s="62">
        <f>IF(and(A842&lt;questions!$C$19,questions!$C$18="yes"),questions!$C$20,0)</f>
        <v>0</v>
      </c>
      <c r="M842" s="63">
        <f>(Y841+H842)*Lookup!A$26/12</f>
        <v>4538.351183</v>
      </c>
      <c r="N842" s="63">
        <f>if(B842&lt;55, (Z841+I842)*Lookup!B$26/12, (AB841+K842)*Lookup!B$26/12)</f>
        <v>11103.79062</v>
      </c>
      <c r="O842" s="63">
        <f>(AA841+J842)*Lookup!C$26/12</f>
        <v>940.3700287</v>
      </c>
      <c r="P842" s="63">
        <f t="shared" si="8"/>
        <v>9076.702366</v>
      </c>
      <c r="Q842" s="63">
        <f t="shared" si="4"/>
        <v>22207.58123</v>
      </c>
      <c r="R842" s="63">
        <f t="shared" si="5"/>
        <v>1880.740057</v>
      </c>
      <c r="S842" s="64">
        <f t="shared" si="9"/>
        <v>33.33333333</v>
      </c>
      <c r="T842" s="64">
        <f t="shared" si="10"/>
        <v>41.66666667</v>
      </c>
      <c r="U842" s="64">
        <f t="shared" si="11"/>
        <v>0</v>
      </c>
      <c r="V842" s="64">
        <f t="shared" ref="V842:X842" si="850">IF(year($A842)=year($A841), V841+S842, S842)</f>
        <v>66.66666667</v>
      </c>
      <c r="W842" s="64">
        <f t="shared" si="850"/>
        <v>83.33333333</v>
      </c>
      <c r="X842" s="64">
        <f t="shared" si="850"/>
        <v>0</v>
      </c>
      <c r="Y842" s="65">
        <f>IFS(
  B842&lt;55,
    MAX(
      Y841 + IF(MONTH(A842)=12, P842+V842, 0) + H842 - L842
      + MAX(0,
          IF(AA841 &gt;= VLOOKUP(YEAR(A842), Lookup!$Q:$R, 2),
            Z841 + IF(MONTH(A842)=12, Q842+W842, 0) + I842
              + AA841 + IF(MONTH(A842)=12, R842+X842, 0)
              - VLOOKUP(YEAR(A842), Lookup!$Q:$R, 2) + J842,
            Z841 + IF(MONTH(A842)=12, Q842+W842, 0) + I842
          ) - VLOOKUP(YEAR(A842), Lookup!$K:$M, 3)
        ),
    0),
  B842=55,
    IF(Z841&gt;=AD842,
      MAX(Y841 + IF(MONTH(A842)=12, P842+V842, 0) + H842 - L842, 0),
      MAX(MAX(0, Y841-(AD842-Z841)) + IF(MONTH(A842)=12, P842+V842, 0) + H842 - L842, 0)
    ),
  B842&gt;55,
    IF(AB841&gt;=$AH$7,
      MAX(Y841 + IF(MONTH(A842)=12, P842+V842, 0) + H842 - L842 + K842 + Z841, 0),
      MAX(Y841 + IF(MONTH(A842)=12, P842+V842, 0) + H842 - L842, 0)
    )
)</f>
        <v>2178408.568</v>
      </c>
      <c r="Z842" s="65">
        <f>IFS(
  B842&lt;55,
    MIN(
      IF(AA841 &gt;= VLOOKUP(YEAR(A842), Lookup!$Q:$R, 2),
        Z841 + IF(MONTH(A842)=12, Q842+W842, 0) + I842
          + AA841 + IF(MONTH(A842)=12, R842+X842, 0) - VLOOKUP(YEAR(A842), Lookup!$Q:$R, 2) + J842,
        Z841 + IF(MONTH(A842)=12, Q842+W842, 0) + I842
      ),
      VLOOKUP(YEAR(A842), Lookup!$K:$M, 3)
    ),
  B842=55,
    IF(Z841 &gt;= AD842, Z841 - AD842, 0),
  B842&gt;55, 0
)</f>
        <v>0</v>
      </c>
      <c r="AA842" s="65">
        <f>IFS(
  B842&lt;65,
    IF(AA841+J842 &lt; VLOOKUP(YEAR(A842), Lookup!$Q:$R, 2),
      AA841 + IF(MONTH(A842)=12, R841+X841, 0) + J842,
      MIN(
        AA841 + IF(MONTH(A842)=12, R841+X841, 0) + J842 ,
        VLOOKUP(YEAR(A842), Lookup!$Q:$R, 2)
      )
    ),
  B842&gt;=65,
    IF(AA841+J842 &lt; VLOOKUP(questions!$C$5, Lookup!$Q:$R, 2),
      AA841 + IF(MONTH(A842)=12, R841+X841, 0) + J842 ,
      MIN(
        AA841 + IF(MONTH(A842)=12, R841+X841, 0) + J842,
        VLOOKUP(questions!$C$5, Lookup!$Q:$R, 2)
      )
    )
)</f>
        <v>282111.0086</v>
      </c>
      <c r="AB842" s="65">
        <f t="shared" si="13"/>
        <v>3331137.185</v>
      </c>
      <c r="AC842" s="66">
        <f t="array" ref="AC842">IFS(B842&lt;66, XLOOKUP(year(A842),Lookup!$K$13:$K1000,Lookup!$L$13:$L1000,"missing",,1),B842&gt;65,XLOOKUP(questions!$C$5,Lookup!$K$13:$K1000,Lookup!$L$13:$L1000,"missing",,1))</f>
        <v>393675.3633</v>
      </c>
      <c r="AD842" s="66">
        <f t="array" ref="AD842">IFS(B842&lt;66, XLOOKUP(year(A842),Lookup!$K$13:$K1000,Lookup!$M$13:$M1000,"missing",,1),B842&gt;65, XLOOKUP(questions!$C$5,Lookup!$K$13:$K1000,Lookup!$M$13:$M1000,"missing",,1))</f>
        <v>787350.7266</v>
      </c>
      <c r="AE842" s="66">
        <f t="array" ref="AE842">IFS(B842&lt;66, XLOOKUP(year(A842),Lookup!$K$13:$K1000,Lookup!$N$13:$N1000,"missing",,1),B842&gt;65,XLOOKUP(questions!$C$5,Lookup!$K$13:$K1000,Lookup!$N$13:$N1000,"missing",,1))</f>
        <v>1574701.453</v>
      </c>
      <c r="AF842" s="37"/>
      <c r="AG842" s="37"/>
      <c r="AH842" s="37"/>
      <c r="AI842" s="37"/>
      <c r="AJ842" s="37"/>
      <c r="AK842" s="37"/>
      <c r="AL842" s="37"/>
      <c r="AM842" s="37"/>
      <c r="AN842" s="37"/>
      <c r="AO842" s="37"/>
      <c r="AP842" s="37"/>
      <c r="AQ842" s="37"/>
    </row>
    <row r="843">
      <c r="A843" s="55">
        <f t="shared" si="7"/>
        <v>71680</v>
      </c>
      <c r="B843" s="56">
        <f>round(YEARFRAC(EOMONTH(questions!$C$3, 0),A843,1),2)</f>
        <v>97.33</v>
      </c>
      <c r="C843" s="58">
        <f>IF(B843&lt;questions!$C$6,if(MONTH(A843)=1,C842*(1+questions!$C$12),C842),0)</f>
        <v>0</v>
      </c>
      <c r="D843" s="58">
        <f>IF(MONTH(A843)=12,C843*questions!$C$11,0)</f>
        <v>0</v>
      </c>
      <c r="E843" s="71">
        <f t="shared" si="2"/>
        <v>0</v>
      </c>
      <c r="F843" s="71">
        <f t="shared" si="3"/>
        <v>0</v>
      </c>
      <c r="G843" s="61">
        <f t="array" ref="G843">if(YEAR(A843)=2025,XLOOKUP(B843,Lookup!$A$3:$A$7,Lookup!$D$3:$D$7,,1)*SUM(E843:F843), XLOOKUP(B843,Lookup!$A$14:$A$18,Lookup!$D$14:$D$18,,1)*SUM(E843:F843))</f>
        <v>0</v>
      </c>
      <c r="H843" s="61">
        <f t="array" ref="H843">if(YEAR(A843)=2025,XLOOKUP(B843,Lookup!$F$3:$F$10,Lookup!$G$3:$G$10,,1)*G843, XLOOKUP(B843,Lookup!$F$14:$F$21,Lookup!$G$14:$G$21,,1)*G843)</f>
        <v>0</v>
      </c>
      <c r="I843" s="61">
        <f t="array" ref="I843">if(B843&lt;55, if(YEAR(A843)=2025,XLOOKUP(B843,Lookup!$F$3:$F$10,Lookup!$H$3:$H$10,,1)*G843, XLOOKUP(B843,Lookup!$F$14:$F$21,Lookup!$H$14:$H$21,,1)*G843),0)</f>
        <v>0</v>
      </c>
      <c r="J843" s="61">
        <f t="array" ref="J843">if(YEAR(A843)=2025,XLOOKUP(B843,Lookup!$F$3:$F$10,Lookup!$I$3:$I$10,,1)*G843, XLOOKUP(B843,Lookup!$F$14:$F$21,Lookup!$I$14:$I$21,,1)*G843)</f>
        <v>0</v>
      </c>
      <c r="K843" s="61">
        <f t="array" ref="K843">if(B843&gt;54, if(YEAR(A843)=2025,XLOOKUP(B843,Lookup!$F$3:$F$10,Lookup!$H$3:$H$10,,1)*G843, XLOOKUP(B843,Lookup!$F$14:$F$21,Lookup!$H$14:$H$21,,1)*G843),0)</f>
        <v>0</v>
      </c>
      <c r="L843" s="62">
        <f>IF(and(A843&lt;questions!$C$19,questions!$C$18="yes"),questions!$C$20,0)</f>
        <v>0</v>
      </c>
      <c r="M843" s="63">
        <f>(Y842+H843)*Lookup!A$26/12</f>
        <v>4538.351183</v>
      </c>
      <c r="N843" s="63">
        <f>if(B843&lt;55, (Z842+I843)*Lookup!B$26/12, (AB842+K843)*Lookup!B$26/12)</f>
        <v>11103.79062</v>
      </c>
      <c r="O843" s="63">
        <f>(AA842+J843)*Lookup!C$26/12</f>
        <v>940.3700287</v>
      </c>
      <c r="P843" s="63">
        <f t="shared" si="8"/>
        <v>13615.05355</v>
      </c>
      <c r="Q843" s="63">
        <f t="shared" si="4"/>
        <v>33311.37185</v>
      </c>
      <c r="R843" s="63">
        <f t="shared" si="5"/>
        <v>2821.110086</v>
      </c>
      <c r="S843" s="64">
        <f t="shared" si="9"/>
        <v>33.33333333</v>
      </c>
      <c r="T843" s="64">
        <f t="shared" si="10"/>
        <v>41.66666667</v>
      </c>
      <c r="U843" s="64">
        <f t="shared" si="11"/>
        <v>0</v>
      </c>
      <c r="V843" s="64">
        <f t="shared" ref="V843:X843" si="851">IF(year($A843)=year($A842), V842+S843, S843)</f>
        <v>100</v>
      </c>
      <c r="W843" s="64">
        <f t="shared" si="851"/>
        <v>125</v>
      </c>
      <c r="X843" s="64">
        <f t="shared" si="851"/>
        <v>0</v>
      </c>
      <c r="Y843" s="65">
        <f>IFS(
  B843&lt;55,
    MAX(
      Y842 + IF(MONTH(A843)=12, P843+V843, 0) + H843 - L843
      + MAX(0,
          IF(AA842 &gt;= VLOOKUP(YEAR(A843), Lookup!$Q:$R, 2),
            Z842 + IF(MONTH(A843)=12, Q843+W843, 0) + I843
              + AA842 + IF(MONTH(A843)=12, R843+X843, 0)
              - VLOOKUP(YEAR(A843), Lookup!$Q:$R, 2) + J843,
            Z842 + IF(MONTH(A843)=12, Q843+W843, 0) + I843
          ) - VLOOKUP(YEAR(A843), Lookup!$K:$M, 3)
        ),
    0),
  B843=55,
    IF(Z842&gt;=AD843,
      MAX(Y842 + IF(MONTH(A843)=12, P843+V843, 0) + H843 - L843, 0),
      MAX(MAX(0, Y842-(AD843-Z842)) + IF(MONTH(A843)=12, P843+V843, 0) + H843 - L843, 0)
    ),
  B843&gt;55,
    IF(AB842&gt;=$AH$7,
      MAX(Y842 + IF(MONTH(A843)=12, P843+V843, 0) + H843 - L843 + K843 + Z842, 0),
      MAX(Y842 + IF(MONTH(A843)=12, P843+V843, 0) + H843 - L843, 0)
    )
)</f>
        <v>2178408.568</v>
      </c>
      <c r="Z843" s="65">
        <f>IFS(
  B843&lt;55,
    MIN(
      IF(AA842 &gt;= VLOOKUP(YEAR(A843), Lookup!$Q:$R, 2),
        Z842 + IF(MONTH(A843)=12, Q843+W843, 0) + I843
          + AA842 + IF(MONTH(A843)=12, R843+X843, 0) - VLOOKUP(YEAR(A843), Lookup!$Q:$R, 2) + J843,
        Z842 + IF(MONTH(A843)=12, Q843+W843, 0) + I843
      ),
      VLOOKUP(YEAR(A843), Lookup!$K:$M, 3)
    ),
  B843=55,
    IF(Z842 &gt;= AD843, Z842 - AD843, 0),
  B843&gt;55, 0
)</f>
        <v>0</v>
      </c>
      <c r="AA843" s="65">
        <f>IFS(
  B843&lt;65,
    IF(AA842+J843 &lt; VLOOKUP(YEAR(A843), Lookup!$Q:$R, 2),
      AA842 + IF(MONTH(A843)=12, R842+X842, 0) + J843,
      MIN(
        AA842 + IF(MONTH(A843)=12, R842+X842, 0) + J843 ,
        VLOOKUP(YEAR(A843), Lookup!$Q:$R, 2)
      )
    ),
  B843&gt;=65,
    IF(AA842+J843 &lt; VLOOKUP(questions!$C$5, Lookup!$Q:$R, 2),
      AA842 + IF(MONTH(A843)=12, R842+X842, 0) + J843 ,
      MIN(
        AA842 + IF(MONTH(A843)=12, R842+X842, 0) + J843,
        VLOOKUP(questions!$C$5, Lookup!$Q:$R, 2)
      )
    )
)</f>
        <v>282111.0086</v>
      </c>
      <c r="AB843" s="65">
        <f t="shared" si="13"/>
        <v>3331137.185</v>
      </c>
      <c r="AC843" s="66">
        <f t="array" ref="AC843">IFS(B843&lt;66, XLOOKUP(year(A843),Lookup!$K$13:$K1000,Lookup!$L$13:$L1000,"missing",,1),B843&gt;65,XLOOKUP(questions!$C$5,Lookup!$K$13:$K1000,Lookup!$L$13:$L1000,"missing",,1))</f>
        <v>393675.3633</v>
      </c>
      <c r="AD843" s="66">
        <f t="array" ref="AD843">IFS(B843&lt;66, XLOOKUP(year(A843),Lookup!$K$13:$K1000,Lookup!$M$13:$M1000,"missing",,1),B843&gt;65, XLOOKUP(questions!$C$5,Lookup!$K$13:$K1000,Lookup!$M$13:$M1000,"missing",,1))</f>
        <v>787350.7266</v>
      </c>
      <c r="AE843" s="66">
        <f t="array" ref="AE843">IFS(B843&lt;66, XLOOKUP(year(A843),Lookup!$K$13:$K1000,Lookup!$N$13:$N1000,"missing",,1),B843&gt;65,XLOOKUP(questions!$C$5,Lookup!$K$13:$K1000,Lookup!$N$13:$N1000,"missing",,1))</f>
        <v>1574701.453</v>
      </c>
      <c r="AF843" s="37"/>
      <c r="AG843" s="37"/>
      <c r="AH843" s="37"/>
      <c r="AI843" s="37"/>
      <c r="AJ843" s="37"/>
      <c r="AK843" s="37"/>
      <c r="AL843" s="37"/>
      <c r="AM843" s="37"/>
      <c r="AN843" s="37"/>
      <c r="AO843" s="37"/>
      <c r="AP843" s="37"/>
      <c r="AQ843" s="37"/>
    </row>
    <row r="844">
      <c r="A844" s="55">
        <f t="shared" si="7"/>
        <v>71710</v>
      </c>
      <c r="B844" s="56">
        <f>round(YEARFRAC(EOMONTH(questions!$C$3, 0),A844,1),2)</f>
        <v>97.42</v>
      </c>
      <c r="C844" s="58">
        <f>IF(B844&lt;questions!$C$6,if(MONTH(A844)=1,C843*(1+questions!$C$12),C843),0)</f>
        <v>0</v>
      </c>
      <c r="D844" s="58">
        <f>IF(MONTH(A844)=12,C844*questions!$C$11,0)</f>
        <v>0</v>
      </c>
      <c r="E844" s="71">
        <f t="shared" si="2"/>
        <v>0</v>
      </c>
      <c r="F844" s="71">
        <f t="shared" si="3"/>
        <v>0</v>
      </c>
      <c r="G844" s="61">
        <f t="array" ref="G844">if(YEAR(A844)=2025,XLOOKUP(B844,Lookup!$A$3:$A$7,Lookup!$D$3:$D$7,,1)*SUM(E844:F844), XLOOKUP(B844,Lookup!$A$14:$A$18,Lookup!$D$14:$D$18,,1)*SUM(E844:F844))</f>
        <v>0</v>
      </c>
      <c r="H844" s="61">
        <f t="array" ref="H844">if(YEAR(A844)=2025,XLOOKUP(B844,Lookup!$F$3:$F$10,Lookup!$G$3:$G$10,,1)*G844, XLOOKUP(B844,Lookup!$F$14:$F$21,Lookup!$G$14:$G$21,,1)*G844)</f>
        <v>0</v>
      </c>
      <c r="I844" s="61">
        <f t="array" ref="I844">if(B844&lt;55, if(YEAR(A844)=2025,XLOOKUP(B844,Lookup!$F$3:$F$10,Lookup!$H$3:$H$10,,1)*G844, XLOOKUP(B844,Lookup!$F$14:$F$21,Lookup!$H$14:$H$21,,1)*G844),0)</f>
        <v>0</v>
      </c>
      <c r="J844" s="61">
        <f t="array" ref="J844">if(YEAR(A844)=2025,XLOOKUP(B844,Lookup!$F$3:$F$10,Lookup!$I$3:$I$10,,1)*G844, XLOOKUP(B844,Lookup!$F$14:$F$21,Lookup!$I$14:$I$21,,1)*G844)</f>
        <v>0</v>
      </c>
      <c r="K844" s="61">
        <f t="array" ref="K844">if(B844&gt;54, if(YEAR(A844)=2025,XLOOKUP(B844,Lookup!$F$3:$F$10,Lookup!$H$3:$H$10,,1)*G844, XLOOKUP(B844,Lookup!$F$14:$F$21,Lookup!$H$14:$H$21,,1)*G844),0)</f>
        <v>0</v>
      </c>
      <c r="L844" s="62">
        <f>IF(and(A844&lt;questions!$C$19,questions!$C$18="yes"),questions!$C$20,0)</f>
        <v>0</v>
      </c>
      <c r="M844" s="63">
        <f>(Y843+H844)*Lookup!A$26/12</f>
        <v>4538.351183</v>
      </c>
      <c r="N844" s="63">
        <f>if(B844&lt;55, (Z843+I844)*Lookup!B$26/12, (AB843+K844)*Lookup!B$26/12)</f>
        <v>11103.79062</v>
      </c>
      <c r="O844" s="63">
        <f>(AA843+J844)*Lookup!C$26/12</f>
        <v>940.3700287</v>
      </c>
      <c r="P844" s="63">
        <f t="shared" si="8"/>
        <v>18153.40473</v>
      </c>
      <c r="Q844" s="63">
        <f t="shared" si="4"/>
        <v>44415.16246</v>
      </c>
      <c r="R844" s="63">
        <f t="shared" si="5"/>
        <v>3761.480115</v>
      </c>
      <c r="S844" s="64">
        <f t="shared" si="9"/>
        <v>33.33333333</v>
      </c>
      <c r="T844" s="64">
        <f t="shared" si="10"/>
        <v>41.66666667</v>
      </c>
      <c r="U844" s="64">
        <f t="shared" si="11"/>
        <v>0</v>
      </c>
      <c r="V844" s="64">
        <f t="shared" ref="V844:X844" si="852">IF(year($A844)=year($A843), V843+S844, S844)</f>
        <v>133.3333333</v>
      </c>
      <c r="W844" s="64">
        <f t="shared" si="852"/>
        <v>166.6666667</v>
      </c>
      <c r="X844" s="64">
        <f t="shared" si="852"/>
        <v>0</v>
      </c>
      <c r="Y844" s="65">
        <f>IFS(
  B844&lt;55,
    MAX(
      Y843 + IF(MONTH(A844)=12, P844+V844, 0) + H844 - L844
      + MAX(0,
          IF(AA843 &gt;= VLOOKUP(YEAR(A844), Lookup!$Q:$R, 2),
            Z843 + IF(MONTH(A844)=12, Q844+W844, 0) + I844
              + AA843 + IF(MONTH(A844)=12, R844+X844, 0)
              - VLOOKUP(YEAR(A844), Lookup!$Q:$R, 2) + J844,
            Z843 + IF(MONTH(A844)=12, Q844+W844, 0) + I844
          ) - VLOOKUP(YEAR(A844), Lookup!$K:$M, 3)
        ),
    0),
  B844=55,
    IF(Z843&gt;=AD844,
      MAX(Y843 + IF(MONTH(A844)=12, P844+V844, 0) + H844 - L844, 0),
      MAX(MAX(0, Y843-(AD844-Z843)) + IF(MONTH(A844)=12, P844+V844, 0) + H844 - L844, 0)
    ),
  B844&gt;55,
    IF(AB843&gt;=$AH$7,
      MAX(Y843 + IF(MONTH(A844)=12, P844+V844, 0) + H844 - L844 + K844 + Z843, 0),
      MAX(Y843 + IF(MONTH(A844)=12, P844+V844, 0) + H844 - L844, 0)
    )
)</f>
        <v>2178408.568</v>
      </c>
      <c r="Z844" s="65">
        <f>IFS(
  B844&lt;55,
    MIN(
      IF(AA843 &gt;= VLOOKUP(YEAR(A844), Lookup!$Q:$R, 2),
        Z843 + IF(MONTH(A844)=12, Q844+W844, 0) + I844
          + AA843 + IF(MONTH(A844)=12, R844+X844, 0) - VLOOKUP(YEAR(A844), Lookup!$Q:$R, 2) + J844,
        Z843 + IF(MONTH(A844)=12, Q844+W844, 0) + I844
      ),
      VLOOKUP(YEAR(A844), Lookup!$K:$M, 3)
    ),
  B844=55,
    IF(Z843 &gt;= AD844, Z843 - AD844, 0),
  B844&gt;55, 0
)</f>
        <v>0</v>
      </c>
      <c r="AA844" s="65">
        <f>IFS(
  B844&lt;65,
    IF(AA843+J844 &lt; VLOOKUP(YEAR(A844), Lookup!$Q:$R, 2),
      AA843 + IF(MONTH(A844)=12, R843+X843, 0) + J844,
      MIN(
        AA843 + IF(MONTH(A844)=12, R843+X843, 0) + J844 ,
        VLOOKUP(YEAR(A844), Lookup!$Q:$R, 2)
      )
    ),
  B844&gt;=65,
    IF(AA843+J844 &lt; VLOOKUP(questions!$C$5, Lookup!$Q:$R, 2),
      AA843 + IF(MONTH(A844)=12, R843+X843, 0) + J844 ,
      MIN(
        AA843 + IF(MONTH(A844)=12, R843+X843, 0) + J844,
        VLOOKUP(questions!$C$5, Lookup!$Q:$R, 2)
      )
    )
)</f>
        <v>282111.0086</v>
      </c>
      <c r="AB844" s="65">
        <f t="shared" si="13"/>
        <v>3331137.185</v>
      </c>
      <c r="AC844" s="66">
        <f t="array" ref="AC844">IFS(B844&lt;66, XLOOKUP(year(A844),Lookup!$K$13:$K1000,Lookup!$L$13:$L1000,"missing",,1),B844&gt;65,XLOOKUP(questions!$C$5,Lookup!$K$13:$K1000,Lookup!$L$13:$L1000,"missing",,1))</f>
        <v>393675.3633</v>
      </c>
      <c r="AD844" s="66">
        <f t="array" ref="AD844">IFS(B844&lt;66, XLOOKUP(year(A844),Lookup!$K$13:$K1000,Lookup!$M$13:$M1000,"missing",,1),B844&gt;65, XLOOKUP(questions!$C$5,Lookup!$K$13:$K1000,Lookup!$M$13:$M1000,"missing",,1))</f>
        <v>787350.7266</v>
      </c>
      <c r="AE844" s="66">
        <f t="array" ref="AE844">IFS(B844&lt;66, XLOOKUP(year(A844),Lookup!$K$13:$K1000,Lookup!$N$13:$N1000,"missing",,1),B844&gt;65,XLOOKUP(questions!$C$5,Lookup!$K$13:$K1000,Lookup!$N$13:$N1000,"missing",,1))</f>
        <v>1574701.453</v>
      </c>
      <c r="AF844" s="37"/>
      <c r="AG844" s="37"/>
      <c r="AH844" s="37"/>
      <c r="AI844" s="37"/>
      <c r="AJ844" s="37"/>
      <c r="AK844" s="37"/>
      <c r="AL844" s="37"/>
      <c r="AM844" s="37"/>
      <c r="AN844" s="37"/>
      <c r="AO844" s="37"/>
      <c r="AP844" s="37"/>
      <c r="AQ844" s="37"/>
    </row>
    <row r="845">
      <c r="A845" s="55">
        <f t="shared" si="7"/>
        <v>71741</v>
      </c>
      <c r="B845" s="56">
        <f>round(YEARFRAC(EOMONTH(questions!$C$3, 0),A845,1),2)</f>
        <v>97.5</v>
      </c>
      <c r="C845" s="58">
        <f>IF(B845&lt;questions!$C$6,if(MONTH(A845)=1,C844*(1+questions!$C$12),C844),0)</f>
        <v>0</v>
      </c>
      <c r="D845" s="58">
        <f>IF(MONTH(A845)=12,C845*questions!$C$11,0)</f>
        <v>0</v>
      </c>
      <c r="E845" s="71">
        <f t="shared" si="2"/>
        <v>0</v>
      </c>
      <c r="F845" s="71">
        <f t="shared" si="3"/>
        <v>0</v>
      </c>
      <c r="G845" s="61">
        <f t="array" ref="G845">if(YEAR(A845)=2025,XLOOKUP(B845,Lookup!$A$3:$A$7,Lookup!$D$3:$D$7,,1)*SUM(E845:F845), XLOOKUP(B845,Lookup!$A$14:$A$18,Lookup!$D$14:$D$18,,1)*SUM(E845:F845))</f>
        <v>0</v>
      </c>
      <c r="H845" s="61">
        <f t="array" ref="H845">if(YEAR(A845)=2025,XLOOKUP(B845,Lookup!$F$3:$F$10,Lookup!$G$3:$G$10,,1)*G845, XLOOKUP(B845,Lookup!$F$14:$F$21,Lookup!$G$14:$G$21,,1)*G845)</f>
        <v>0</v>
      </c>
      <c r="I845" s="61">
        <f t="array" ref="I845">if(B845&lt;55, if(YEAR(A845)=2025,XLOOKUP(B845,Lookup!$F$3:$F$10,Lookup!$H$3:$H$10,,1)*G845, XLOOKUP(B845,Lookup!$F$14:$F$21,Lookup!$H$14:$H$21,,1)*G845),0)</f>
        <v>0</v>
      </c>
      <c r="J845" s="61">
        <f t="array" ref="J845">if(YEAR(A845)=2025,XLOOKUP(B845,Lookup!$F$3:$F$10,Lookup!$I$3:$I$10,,1)*G845, XLOOKUP(B845,Lookup!$F$14:$F$21,Lookup!$I$14:$I$21,,1)*G845)</f>
        <v>0</v>
      </c>
      <c r="K845" s="61">
        <f t="array" ref="K845">if(B845&gt;54, if(YEAR(A845)=2025,XLOOKUP(B845,Lookup!$F$3:$F$10,Lookup!$H$3:$H$10,,1)*G845, XLOOKUP(B845,Lookup!$F$14:$F$21,Lookup!$H$14:$H$21,,1)*G845),0)</f>
        <v>0</v>
      </c>
      <c r="L845" s="62">
        <f>IF(and(A845&lt;questions!$C$19,questions!$C$18="yes"),questions!$C$20,0)</f>
        <v>0</v>
      </c>
      <c r="M845" s="63">
        <f>(Y844+H845)*Lookup!A$26/12</f>
        <v>4538.351183</v>
      </c>
      <c r="N845" s="63">
        <f>if(B845&lt;55, (Z844+I845)*Lookup!B$26/12, (AB844+K845)*Lookup!B$26/12)</f>
        <v>11103.79062</v>
      </c>
      <c r="O845" s="63">
        <f>(AA844+J845)*Lookup!C$26/12</f>
        <v>940.3700287</v>
      </c>
      <c r="P845" s="63">
        <f t="shared" si="8"/>
        <v>22691.75591</v>
      </c>
      <c r="Q845" s="63">
        <f t="shared" si="4"/>
        <v>55518.95308</v>
      </c>
      <c r="R845" s="63">
        <f t="shared" si="5"/>
        <v>4701.850143</v>
      </c>
      <c r="S845" s="64">
        <f t="shared" si="9"/>
        <v>33.33333333</v>
      </c>
      <c r="T845" s="64">
        <f t="shared" si="10"/>
        <v>41.66666667</v>
      </c>
      <c r="U845" s="64">
        <f t="shared" si="11"/>
        <v>0</v>
      </c>
      <c r="V845" s="64">
        <f t="shared" ref="V845:X845" si="853">IF(year($A845)=year($A844), V844+S845, S845)</f>
        <v>166.6666667</v>
      </c>
      <c r="W845" s="64">
        <f t="shared" si="853"/>
        <v>208.3333333</v>
      </c>
      <c r="X845" s="64">
        <f t="shared" si="853"/>
        <v>0</v>
      </c>
      <c r="Y845" s="65">
        <f>IFS(
  B845&lt;55,
    MAX(
      Y844 + IF(MONTH(A845)=12, P845+V845, 0) + H845 - L845
      + MAX(0,
          IF(AA844 &gt;= VLOOKUP(YEAR(A845), Lookup!$Q:$R, 2),
            Z844 + IF(MONTH(A845)=12, Q845+W845, 0) + I845
              + AA844 + IF(MONTH(A845)=12, R845+X845, 0)
              - VLOOKUP(YEAR(A845), Lookup!$Q:$R, 2) + J845,
            Z844 + IF(MONTH(A845)=12, Q845+W845, 0) + I845
          ) - VLOOKUP(YEAR(A845), Lookup!$K:$M, 3)
        ),
    0),
  B845=55,
    IF(Z844&gt;=AD845,
      MAX(Y844 + IF(MONTH(A845)=12, P845+V845, 0) + H845 - L845, 0),
      MAX(MAX(0, Y844-(AD845-Z844)) + IF(MONTH(A845)=12, P845+V845, 0) + H845 - L845, 0)
    ),
  B845&gt;55,
    IF(AB844&gt;=$AH$7,
      MAX(Y844 + IF(MONTH(A845)=12, P845+V845, 0) + H845 - L845 + K845 + Z844, 0),
      MAX(Y844 + IF(MONTH(A845)=12, P845+V845, 0) + H845 - L845, 0)
    )
)</f>
        <v>2178408.568</v>
      </c>
      <c r="Z845" s="65">
        <f>IFS(
  B845&lt;55,
    MIN(
      IF(AA844 &gt;= VLOOKUP(YEAR(A845), Lookup!$Q:$R, 2),
        Z844 + IF(MONTH(A845)=12, Q845+W845, 0) + I845
          + AA844 + IF(MONTH(A845)=12, R845+X845, 0) - VLOOKUP(YEAR(A845), Lookup!$Q:$R, 2) + J845,
        Z844 + IF(MONTH(A845)=12, Q845+W845, 0) + I845
      ),
      VLOOKUP(YEAR(A845), Lookup!$K:$M, 3)
    ),
  B845=55,
    IF(Z844 &gt;= AD845, Z844 - AD845, 0),
  B845&gt;55, 0
)</f>
        <v>0</v>
      </c>
      <c r="AA845" s="65">
        <f>IFS(
  B845&lt;65,
    IF(AA844+J845 &lt; VLOOKUP(YEAR(A845), Lookup!$Q:$R, 2),
      AA844 + IF(MONTH(A845)=12, R844+X844, 0) + J845,
      MIN(
        AA844 + IF(MONTH(A845)=12, R844+X844, 0) + J845 ,
        VLOOKUP(YEAR(A845), Lookup!$Q:$R, 2)
      )
    ),
  B845&gt;=65,
    IF(AA844+J845 &lt; VLOOKUP(questions!$C$5, Lookup!$Q:$R, 2),
      AA844 + IF(MONTH(A845)=12, R844+X844, 0) + J845 ,
      MIN(
        AA844 + IF(MONTH(A845)=12, R844+X844, 0) + J845,
        VLOOKUP(questions!$C$5, Lookup!$Q:$R, 2)
      )
    )
)</f>
        <v>282111.0086</v>
      </c>
      <c r="AB845" s="65">
        <f t="shared" si="13"/>
        <v>3331137.185</v>
      </c>
      <c r="AC845" s="66">
        <f t="array" ref="AC845">IFS(B845&lt;66, XLOOKUP(year(A845),Lookup!$K$13:$K1000,Lookup!$L$13:$L1000,"missing",,1),B845&gt;65,XLOOKUP(questions!$C$5,Lookup!$K$13:$K1000,Lookup!$L$13:$L1000,"missing",,1))</f>
        <v>393675.3633</v>
      </c>
      <c r="AD845" s="66">
        <f t="array" ref="AD845">IFS(B845&lt;66, XLOOKUP(year(A845),Lookup!$K$13:$K1000,Lookup!$M$13:$M1000,"missing",,1),B845&gt;65, XLOOKUP(questions!$C$5,Lookup!$K$13:$K1000,Lookup!$M$13:$M1000,"missing",,1))</f>
        <v>787350.7266</v>
      </c>
      <c r="AE845" s="66">
        <f t="array" ref="AE845">IFS(B845&lt;66, XLOOKUP(year(A845),Lookup!$K$13:$K1000,Lookup!$N$13:$N1000,"missing",,1),B845&gt;65,XLOOKUP(questions!$C$5,Lookup!$K$13:$K1000,Lookup!$N$13:$N1000,"missing",,1))</f>
        <v>1574701.453</v>
      </c>
      <c r="AF845" s="37"/>
      <c r="AG845" s="37"/>
      <c r="AH845" s="37"/>
      <c r="AI845" s="37"/>
      <c r="AJ845" s="37"/>
      <c r="AK845" s="37"/>
      <c r="AL845" s="37"/>
      <c r="AM845" s="37"/>
      <c r="AN845" s="37"/>
      <c r="AO845" s="37"/>
      <c r="AP845" s="37"/>
      <c r="AQ845" s="37"/>
    </row>
    <row r="846">
      <c r="A846" s="55">
        <f t="shared" si="7"/>
        <v>71771</v>
      </c>
      <c r="B846" s="56">
        <f>round(YEARFRAC(EOMONTH(questions!$C$3, 0),A846,1),2)</f>
        <v>97.58</v>
      </c>
      <c r="C846" s="58">
        <f>IF(B846&lt;questions!$C$6,if(MONTH(A846)=1,C845*(1+questions!$C$12),C845),0)</f>
        <v>0</v>
      </c>
      <c r="D846" s="58">
        <f>IF(MONTH(A846)=12,C846*questions!$C$11,0)</f>
        <v>0</v>
      </c>
      <c r="E846" s="71">
        <f t="shared" si="2"/>
        <v>0</v>
      </c>
      <c r="F846" s="71">
        <f t="shared" si="3"/>
        <v>0</v>
      </c>
      <c r="G846" s="61">
        <f t="array" ref="G846">if(YEAR(A846)=2025,XLOOKUP(B846,Lookup!$A$3:$A$7,Lookup!$D$3:$D$7,,1)*SUM(E846:F846), XLOOKUP(B846,Lookup!$A$14:$A$18,Lookup!$D$14:$D$18,,1)*SUM(E846:F846))</f>
        <v>0</v>
      </c>
      <c r="H846" s="61">
        <f t="array" ref="H846">if(YEAR(A846)=2025,XLOOKUP(B846,Lookup!$F$3:$F$10,Lookup!$G$3:$G$10,,1)*G846, XLOOKUP(B846,Lookup!$F$14:$F$21,Lookup!$G$14:$G$21,,1)*G846)</f>
        <v>0</v>
      </c>
      <c r="I846" s="61">
        <f t="array" ref="I846">if(B846&lt;55, if(YEAR(A846)=2025,XLOOKUP(B846,Lookup!$F$3:$F$10,Lookup!$H$3:$H$10,,1)*G846, XLOOKUP(B846,Lookup!$F$14:$F$21,Lookup!$H$14:$H$21,,1)*G846),0)</f>
        <v>0</v>
      </c>
      <c r="J846" s="61">
        <f t="array" ref="J846">if(YEAR(A846)=2025,XLOOKUP(B846,Lookup!$F$3:$F$10,Lookup!$I$3:$I$10,,1)*G846, XLOOKUP(B846,Lookup!$F$14:$F$21,Lookup!$I$14:$I$21,,1)*G846)</f>
        <v>0</v>
      </c>
      <c r="K846" s="61">
        <f t="array" ref="K846">if(B846&gt;54, if(YEAR(A846)=2025,XLOOKUP(B846,Lookup!$F$3:$F$10,Lookup!$H$3:$H$10,,1)*G846, XLOOKUP(B846,Lookup!$F$14:$F$21,Lookup!$H$14:$H$21,,1)*G846),0)</f>
        <v>0</v>
      </c>
      <c r="L846" s="62">
        <f>IF(and(A846&lt;questions!$C$19,questions!$C$18="yes"),questions!$C$20,0)</f>
        <v>0</v>
      </c>
      <c r="M846" s="63">
        <f>(Y845+H846)*Lookup!A$26/12</f>
        <v>4538.351183</v>
      </c>
      <c r="N846" s="63">
        <f>if(B846&lt;55, (Z845+I846)*Lookup!B$26/12, (AB845+K846)*Lookup!B$26/12)</f>
        <v>11103.79062</v>
      </c>
      <c r="O846" s="63">
        <f>(AA845+J846)*Lookup!C$26/12</f>
        <v>940.3700287</v>
      </c>
      <c r="P846" s="63">
        <f t="shared" si="8"/>
        <v>27230.1071</v>
      </c>
      <c r="Q846" s="63">
        <f t="shared" si="4"/>
        <v>66622.74369</v>
      </c>
      <c r="R846" s="63">
        <f t="shared" si="5"/>
        <v>5642.220172</v>
      </c>
      <c r="S846" s="64">
        <f t="shared" si="9"/>
        <v>33.33333333</v>
      </c>
      <c r="T846" s="64">
        <f t="shared" si="10"/>
        <v>41.66666667</v>
      </c>
      <c r="U846" s="64">
        <f t="shared" si="11"/>
        <v>0</v>
      </c>
      <c r="V846" s="64">
        <f t="shared" ref="V846:X846" si="854">IF(year($A846)=year($A845), V845+S846, S846)</f>
        <v>200</v>
      </c>
      <c r="W846" s="64">
        <f t="shared" si="854"/>
        <v>250</v>
      </c>
      <c r="X846" s="64">
        <f t="shared" si="854"/>
        <v>0</v>
      </c>
      <c r="Y846" s="65">
        <f>IFS(
  B846&lt;55,
    MAX(
      Y845 + IF(MONTH(A846)=12, P846+V846, 0) + H846 - L846
      + MAX(0,
          IF(AA845 &gt;= VLOOKUP(YEAR(A846), Lookup!$Q:$R, 2),
            Z845 + IF(MONTH(A846)=12, Q846+W846, 0) + I846
              + AA845 + IF(MONTH(A846)=12, R846+X846, 0)
              - VLOOKUP(YEAR(A846), Lookup!$Q:$R, 2) + J846,
            Z845 + IF(MONTH(A846)=12, Q846+W846, 0) + I846
          ) - VLOOKUP(YEAR(A846), Lookup!$K:$M, 3)
        ),
    0),
  B846=55,
    IF(Z845&gt;=AD846,
      MAX(Y845 + IF(MONTH(A846)=12, P846+V846, 0) + H846 - L846, 0),
      MAX(MAX(0, Y845-(AD846-Z845)) + IF(MONTH(A846)=12, P846+V846, 0) + H846 - L846, 0)
    ),
  B846&gt;55,
    IF(AB845&gt;=$AH$7,
      MAX(Y845 + IF(MONTH(A846)=12, P846+V846, 0) + H846 - L846 + K846 + Z845, 0),
      MAX(Y845 + IF(MONTH(A846)=12, P846+V846, 0) + H846 - L846, 0)
    )
)</f>
        <v>2178408.568</v>
      </c>
      <c r="Z846" s="65">
        <f>IFS(
  B846&lt;55,
    MIN(
      IF(AA845 &gt;= VLOOKUP(YEAR(A846), Lookup!$Q:$R, 2),
        Z845 + IF(MONTH(A846)=12, Q846+W846, 0) + I846
          + AA845 + IF(MONTH(A846)=12, R846+X846, 0) - VLOOKUP(YEAR(A846), Lookup!$Q:$R, 2) + J846,
        Z845 + IF(MONTH(A846)=12, Q846+W846, 0) + I846
      ),
      VLOOKUP(YEAR(A846), Lookup!$K:$M, 3)
    ),
  B846=55,
    IF(Z845 &gt;= AD846, Z845 - AD846, 0),
  B846&gt;55, 0
)</f>
        <v>0</v>
      </c>
      <c r="AA846" s="65">
        <f>IFS(
  B846&lt;65,
    IF(AA845+J846 &lt; VLOOKUP(YEAR(A846), Lookup!$Q:$R, 2),
      AA845 + IF(MONTH(A846)=12, R845+X845, 0) + J846,
      MIN(
        AA845 + IF(MONTH(A846)=12, R845+X845, 0) + J846 ,
        VLOOKUP(YEAR(A846), Lookup!$Q:$R, 2)
      )
    ),
  B846&gt;=65,
    IF(AA845+J846 &lt; VLOOKUP(questions!$C$5, Lookup!$Q:$R, 2),
      AA845 + IF(MONTH(A846)=12, R845+X845, 0) + J846 ,
      MIN(
        AA845 + IF(MONTH(A846)=12, R845+X845, 0) + J846,
        VLOOKUP(questions!$C$5, Lookup!$Q:$R, 2)
      )
    )
)</f>
        <v>282111.0086</v>
      </c>
      <c r="AB846" s="65">
        <f t="shared" si="13"/>
        <v>3331137.185</v>
      </c>
      <c r="AC846" s="66">
        <f t="array" ref="AC846">IFS(B846&lt;66, XLOOKUP(year(A846),Lookup!$K$13:$K1000,Lookup!$L$13:$L1000,"missing",,1),B846&gt;65,XLOOKUP(questions!$C$5,Lookup!$K$13:$K1000,Lookup!$L$13:$L1000,"missing",,1))</f>
        <v>393675.3633</v>
      </c>
      <c r="AD846" s="66">
        <f t="array" ref="AD846">IFS(B846&lt;66, XLOOKUP(year(A846),Lookup!$K$13:$K1000,Lookup!$M$13:$M1000,"missing",,1),B846&gt;65, XLOOKUP(questions!$C$5,Lookup!$K$13:$K1000,Lookup!$M$13:$M1000,"missing",,1))</f>
        <v>787350.7266</v>
      </c>
      <c r="AE846" s="66">
        <f t="array" ref="AE846">IFS(B846&lt;66, XLOOKUP(year(A846),Lookup!$K$13:$K1000,Lookup!$N$13:$N1000,"missing",,1),B846&gt;65,XLOOKUP(questions!$C$5,Lookup!$K$13:$K1000,Lookup!$N$13:$N1000,"missing",,1))</f>
        <v>1574701.453</v>
      </c>
      <c r="AF846" s="37"/>
      <c r="AG846" s="37"/>
      <c r="AH846" s="37"/>
      <c r="AI846" s="37"/>
      <c r="AJ846" s="37"/>
      <c r="AK846" s="37"/>
      <c r="AL846" s="37"/>
      <c r="AM846" s="37"/>
      <c r="AN846" s="37"/>
      <c r="AO846" s="37"/>
      <c r="AP846" s="37"/>
      <c r="AQ846" s="37"/>
    </row>
    <row r="847">
      <c r="A847" s="55">
        <f t="shared" si="7"/>
        <v>71802</v>
      </c>
      <c r="B847" s="56">
        <f>round(YEARFRAC(EOMONTH(questions!$C$3, 0),A847,1),2)</f>
        <v>97.67</v>
      </c>
      <c r="C847" s="58">
        <f>IF(B847&lt;questions!$C$6,if(MONTH(A847)=1,C846*(1+questions!$C$12),C846),0)</f>
        <v>0</v>
      </c>
      <c r="D847" s="58">
        <f>IF(MONTH(A847)=12,C847*questions!$C$11,0)</f>
        <v>0</v>
      </c>
      <c r="E847" s="71">
        <f t="shared" si="2"/>
        <v>0</v>
      </c>
      <c r="F847" s="71">
        <f t="shared" si="3"/>
        <v>0</v>
      </c>
      <c r="G847" s="61">
        <f t="array" ref="G847">if(YEAR(A847)=2025,XLOOKUP(B847,Lookup!$A$3:$A$7,Lookup!$D$3:$D$7,,1)*SUM(E847:F847), XLOOKUP(B847,Lookup!$A$14:$A$18,Lookup!$D$14:$D$18,,1)*SUM(E847:F847))</f>
        <v>0</v>
      </c>
      <c r="H847" s="61">
        <f t="array" ref="H847">if(YEAR(A847)=2025,XLOOKUP(B847,Lookup!$F$3:$F$10,Lookup!$G$3:$G$10,,1)*G847, XLOOKUP(B847,Lookup!$F$14:$F$21,Lookup!$G$14:$G$21,,1)*G847)</f>
        <v>0</v>
      </c>
      <c r="I847" s="61">
        <f t="array" ref="I847">if(B847&lt;55, if(YEAR(A847)=2025,XLOOKUP(B847,Lookup!$F$3:$F$10,Lookup!$H$3:$H$10,,1)*G847, XLOOKUP(B847,Lookup!$F$14:$F$21,Lookup!$H$14:$H$21,,1)*G847),0)</f>
        <v>0</v>
      </c>
      <c r="J847" s="61">
        <f t="array" ref="J847">if(YEAR(A847)=2025,XLOOKUP(B847,Lookup!$F$3:$F$10,Lookup!$I$3:$I$10,,1)*G847, XLOOKUP(B847,Lookup!$F$14:$F$21,Lookup!$I$14:$I$21,,1)*G847)</f>
        <v>0</v>
      </c>
      <c r="K847" s="61">
        <f t="array" ref="K847">if(B847&gt;54, if(YEAR(A847)=2025,XLOOKUP(B847,Lookup!$F$3:$F$10,Lookup!$H$3:$H$10,,1)*G847, XLOOKUP(B847,Lookup!$F$14:$F$21,Lookup!$H$14:$H$21,,1)*G847),0)</f>
        <v>0</v>
      </c>
      <c r="L847" s="62">
        <f>IF(and(A847&lt;questions!$C$19,questions!$C$18="yes"),questions!$C$20,0)</f>
        <v>0</v>
      </c>
      <c r="M847" s="63">
        <f>(Y846+H847)*Lookup!A$26/12</f>
        <v>4538.351183</v>
      </c>
      <c r="N847" s="63">
        <f>if(B847&lt;55, (Z846+I847)*Lookup!B$26/12, (AB846+K847)*Lookup!B$26/12)</f>
        <v>11103.79062</v>
      </c>
      <c r="O847" s="63">
        <f>(AA846+J847)*Lookup!C$26/12</f>
        <v>940.3700287</v>
      </c>
      <c r="P847" s="63">
        <f t="shared" si="8"/>
        <v>31768.45828</v>
      </c>
      <c r="Q847" s="63">
        <f t="shared" si="4"/>
        <v>77726.53431</v>
      </c>
      <c r="R847" s="63">
        <f t="shared" si="5"/>
        <v>6582.590201</v>
      </c>
      <c r="S847" s="64">
        <f t="shared" si="9"/>
        <v>33.33333333</v>
      </c>
      <c r="T847" s="64">
        <f t="shared" si="10"/>
        <v>41.66666667</v>
      </c>
      <c r="U847" s="64">
        <f t="shared" si="11"/>
        <v>0</v>
      </c>
      <c r="V847" s="64">
        <f t="shared" ref="V847:X847" si="855">IF(year($A847)=year($A846), V846+S847, S847)</f>
        <v>233.3333333</v>
      </c>
      <c r="W847" s="64">
        <f t="shared" si="855"/>
        <v>291.6666667</v>
      </c>
      <c r="X847" s="64">
        <f t="shared" si="855"/>
        <v>0</v>
      </c>
      <c r="Y847" s="65">
        <f>IFS(
  B847&lt;55,
    MAX(
      Y846 + IF(MONTH(A847)=12, P847+V847, 0) + H847 - L847
      + MAX(0,
          IF(AA846 &gt;= VLOOKUP(YEAR(A847), Lookup!$Q:$R, 2),
            Z846 + IF(MONTH(A847)=12, Q847+W847, 0) + I847
              + AA846 + IF(MONTH(A847)=12, R847+X847, 0)
              - VLOOKUP(YEAR(A847), Lookup!$Q:$R, 2) + J847,
            Z846 + IF(MONTH(A847)=12, Q847+W847, 0) + I847
          ) - VLOOKUP(YEAR(A847), Lookup!$K:$M, 3)
        ),
    0),
  B847=55,
    IF(Z846&gt;=AD847,
      MAX(Y846 + IF(MONTH(A847)=12, P847+V847, 0) + H847 - L847, 0),
      MAX(MAX(0, Y846-(AD847-Z846)) + IF(MONTH(A847)=12, P847+V847, 0) + H847 - L847, 0)
    ),
  B847&gt;55,
    IF(AB846&gt;=$AH$7,
      MAX(Y846 + IF(MONTH(A847)=12, P847+V847, 0) + H847 - L847 + K847 + Z846, 0),
      MAX(Y846 + IF(MONTH(A847)=12, P847+V847, 0) + H847 - L847, 0)
    )
)</f>
        <v>2178408.568</v>
      </c>
      <c r="Z847" s="65">
        <f>IFS(
  B847&lt;55,
    MIN(
      IF(AA846 &gt;= VLOOKUP(YEAR(A847), Lookup!$Q:$R, 2),
        Z846 + IF(MONTH(A847)=12, Q847+W847, 0) + I847
          + AA846 + IF(MONTH(A847)=12, R847+X847, 0) - VLOOKUP(YEAR(A847), Lookup!$Q:$R, 2) + J847,
        Z846 + IF(MONTH(A847)=12, Q847+W847, 0) + I847
      ),
      VLOOKUP(YEAR(A847), Lookup!$K:$M, 3)
    ),
  B847=55,
    IF(Z846 &gt;= AD847, Z846 - AD847, 0),
  B847&gt;55, 0
)</f>
        <v>0</v>
      </c>
      <c r="AA847" s="65">
        <f>IFS(
  B847&lt;65,
    IF(AA846+J847 &lt; VLOOKUP(YEAR(A847), Lookup!$Q:$R, 2),
      AA846 + IF(MONTH(A847)=12, R846+X846, 0) + J847,
      MIN(
        AA846 + IF(MONTH(A847)=12, R846+X846, 0) + J847 ,
        VLOOKUP(YEAR(A847), Lookup!$Q:$R, 2)
      )
    ),
  B847&gt;=65,
    IF(AA846+J847 &lt; VLOOKUP(questions!$C$5, Lookup!$Q:$R, 2),
      AA846 + IF(MONTH(A847)=12, R846+X846, 0) + J847 ,
      MIN(
        AA846 + IF(MONTH(A847)=12, R846+X846, 0) + J847,
        VLOOKUP(questions!$C$5, Lookup!$Q:$R, 2)
      )
    )
)</f>
        <v>282111.0086</v>
      </c>
      <c r="AB847" s="65">
        <f t="shared" si="13"/>
        <v>3331137.185</v>
      </c>
      <c r="AC847" s="66">
        <f t="array" ref="AC847">IFS(B847&lt;66, XLOOKUP(year(A847),Lookup!$K$13:$K1000,Lookup!$L$13:$L1000,"missing",,1),B847&gt;65,XLOOKUP(questions!$C$5,Lookup!$K$13:$K1000,Lookup!$L$13:$L1000,"missing",,1))</f>
        <v>393675.3633</v>
      </c>
      <c r="AD847" s="66">
        <f t="array" ref="AD847">IFS(B847&lt;66, XLOOKUP(year(A847),Lookup!$K$13:$K1000,Lookup!$M$13:$M1000,"missing",,1),B847&gt;65, XLOOKUP(questions!$C$5,Lookup!$K$13:$K1000,Lookup!$M$13:$M1000,"missing",,1))</f>
        <v>787350.7266</v>
      </c>
      <c r="AE847" s="66">
        <f t="array" ref="AE847">IFS(B847&lt;66, XLOOKUP(year(A847),Lookup!$K$13:$K1000,Lookup!$N$13:$N1000,"missing",,1),B847&gt;65,XLOOKUP(questions!$C$5,Lookup!$K$13:$K1000,Lookup!$N$13:$N1000,"missing",,1))</f>
        <v>1574701.453</v>
      </c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7"/>
      <c r="AQ847" s="37"/>
    </row>
    <row r="848">
      <c r="A848" s="55">
        <f t="shared" si="7"/>
        <v>71833</v>
      </c>
      <c r="B848" s="56">
        <f>round(YEARFRAC(EOMONTH(questions!$C$3, 0),A848,1),2)</f>
        <v>97.75</v>
      </c>
      <c r="C848" s="58">
        <f>IF(B848&lt;questions!$C$6,if(MONTH(A848)=1,C847*(1+questions!$C$12),C847),0)</f>
        <v>0</v>
      </c>
      <c r="D848" s="58">
        <f>IF(MONTH(A848)=12,C848*questions!$C$11,0)</f>
        <v>0</v>
      </c>
      <c r="E848" s="71">
        <f t="shared" si="2"/>
        <v>0</v>
      </c>
      <c r="F848" s="71">
        <f t="shared" si="3"/>
        <v>0</v>
      </c>
      <c r="G848" s="61">
        <f t="array" ref="G848">if(YEAR(A848)=2025,XLOOKUP(B848,Lookup!$A$3:$A$7,Lookup!$D$3:$D$7,,1)*SUM(E848:F848), XLOOKUP(B848,Lookup!$A$14:$A$18,Lookup!$D$14:$D$18,,1)*SUM(E848:F848))</f>
        <v>0</v>
      </c>
      <c r="H848" s="61">
        <f t="array" ref="H848">if(YEAR(A848)=2025,XLOOKUP(B848,Lookup!$F$3:$F$10,Lookup!$G$3:$G$10,,1)*G848, XLOOKUP(B848,Lookup!$F$14:$F$21,Lookup!$G$14:$G$21,,1)*G848)</f>
        <v>0</v>
      </c>
      <c r="I848" s="61">
        <f t="array" ref="I848">if(B848&lt;55, if(YEAR(A848)=2025,XLOOKUP(B848,Lookup!$F$3:$F$10,Lookup!$H$3:$H$10,,1)*G848, XLOOKUP(B848,Lookup!$F$14:$F$21,Lookup!$H$14:$H$21,,1)*G848),0)</f>
        <v>0</v>
      </c>
      <c r="J848" s="61">
        <f t="array" ref="J848">if(YEAR(A848)=2025,XLOOKUP(B848,Lookup!$F$3:$F$10,Lookup!$I$3:$I$10,,1)*G848, XLOOKUP(B848,Lookup!$F$14:$F$21,Lookup!$I$14:$I$21,,1)*G848)</f>
        <v>0</v>
      </c>
      <c r="K848" s="61">
        <f t="array" ref="K848">if(B848&gt;54, if(YEAR(A848)=2025,XLOOKUP(B848,Lookup!$F$3:$F$10,Lookup!$H$3:$H$10,,1)*G848, XLOOKUP(B848,Lookup!$F$14:$F$21,Lookup!$H$14:$H$21,,1)*G848),0)</f>
        <v>0</v>
      </c>
      <c r="L848" s="62">
        <f>IF(and(A848&lt;questions!$C$19,questions!$C$18="yes"),questions!$C$20,0)</f>
        <v>0</v>
      </c>
      <c r="M848" s="63">
        <f>(Y847+H848)*Lookup!A$26/12</f>
        <v>4538.351183</v>
      </c>
      <c r="N848" s="63">
        <f>if(B848&lt;55, (Z847+I848)*Lookup!B$26/12, (AB847+K848)*Lookup!B$26/12)</f>
        <v>11103.79062</v>
      </c>
      <c r="O848" s="63">
        <f>(AA847+J848)*Lookup!C$26/12</f>
        <v>940.3700287</v>
      </c>
      <c r="P848" s="63">
        <f t="shared" si="8"/>
        <v>36306.80946</v>
      </c>
      <c r="Q848" s="63">
        <f t="shared" si="4"/>
        <v>88830.32492</v>
      </c>
      <c r="R848" s="63">
        <f t="shared" si="5"/>
        <v>7522.960229</v>
      </c>
      <c r="S848" s="64">
        <f t="shared" si="9"/>
        <v>33.33333333</v>
      </c>
      <c r="T848" s="64">
        <f t="shared" si="10"/>
        <v>41.66666667</v>
      </c>
      <c r="U848" s="64">
        <f t="shared" si="11"/>
        <v>0</v>
      </c>
      <c r="V848" s="64">
        <f t="shared" ref="V848:X848" si="856">IF(year($A848)=year($A847), V847+S848, S848)</f>
        <v>266.6666667</v>
      </c>
      <c r="W848" s="64">
        <f t="shared" si="856"/>
        <v>333.3333333</v>
      </c>
      <c r="X848" s="64">
        <f t="shared" si="856"/>
        <v>0</v>
      </c>
      <c r="Y848" s="65">
        <f>IFS(
  B848&lt;55,
    MAX(
      Y847 + IF(MONTH(A848)=12, P848+V848, 0) + H848 - L848
      + MAX(0,
          IF(AA847 &gt;= VLOOKUP(YEAR(A848), Lookup!$Q:$R, 2),
            Z847 + IF(MONTH(A848)=12, Q848+W848, 0) + I848
              + AA847 + IF(MONTH(A848)=12, R848+X848, 0)
              - VLOOKUP(YEAR(A848), Lookup!$Q:$R, 2) + J848,
            Z847 + IF(MONTH(A848)=12, Q848+W848, 0) + I848
          ) - VLOOKUP(YEAR(A848), Lookup!$K:$M, 3)
        ),
    0),
  B848=55,
    IF(Z847&gt;=AD848,
      MAX(Y847 + IF(MONTH(A848)=12, P848+V848, 0) + H848 - L848, 0),
      MAX(MAX(0, Y847-(AD848-Z847)) + IF(MONTH(A848)=12, P848+V848, 0) + H848 - L848, 0)
    ),
  B848&gt;55,
    IF(AB847&gt;=$AH$7,
      MAX(Y847 + IF(MONTH(A848)=12, P848+V848, 0) + H848 - L848 + K848 + Z847, 0),
      MAX(Y847 + IF(MONTH(A848)=12, P848+V848, 0) + H848 - L848, 0)
    )
)</f>
        <v>2178408.568</v>
      </c>
      <c r="Z848" s="65">
        <f>IFS(
  B848&lt;55,
    MIN(
      IF(AA847 &gt;= VLOOKUP(YEAR(A848), Lookup!$Q:$R, 2),
        Z847 + IF(MONTH(A848)=12, Q848+W848, 0) + I848
          + AA847 + IF(MONTH(A848)=12, R848+X848, 0) - VLOOKUP(YEAR(A848), Lookup!$Q:$R, 2) + J848,
        Z847 + IF(MONTH(A848)=12, Q848+W848, 0) + I848
      ),
      VLOOKUP(YEAR(A848), Lookup!$K:$M, 3)
    ),
  B848=55,
    IF(Z847 &gt;= AD848, Z847 - AD848, 0),
  B848&gt;55, 0
)</f>
        <v>0</v>
      </c>
      <c r="AA848" s="65">
        <f>IFS(
  B848&lt;65,
    IF(AA847+J848 &lt; VLOOKUP(YEAR(A848), Lookup!$Q:$R, 2),
      AA847 + IF(MONTH(A848)=12, R847+X847, 0) + J848,
      MIN(
        AA847 + IF(MONTH(A848)=12, R847+X847, 0) + J848 ,
        VLOOKUP(YEAR(A848), Lookup!$Q:$R, 2)
      )
    ),
  B848&gt;=65,
    IF(AA847+J848 &lt; VLOOKUP(questions!$C$5, Lookup!$Q:$R, 2),
      AA847 + IF(MONTH(A848)=12, R847+X847, 0) + J848 ,
      MIN(
        AA847 + IF(MONTH(A848)=12, R847+X847, 0) + J848,
        VLOOKUP(questions!$C$5, Lookup!$Q:$R, 2)
      )
    )
)</f>
        <v>282111.0086</v>
      </c>
      <c r="AB848" s="65">
        <f t="shared" si="13"/>
        <v>3331137.185</v>
      </c>
      <c r="AC848" s="66">
        <f t="array" ref="AC848">IFS(B848&lt;66, XLOOKUP(year(A848),Lookup!$K$13:$K1000,Lookup!$L$13:$L1000,"missing",,1),B848&gt;65,XLOOKUP(questions!$C$5,Lookup!$K$13:$K1000,Lookup!$L$13:$L1000,"missing",,1))</f>
        <v>393675.3633</v>
      </c>
      <c r="AD848" s="66">
        <f t="array" ref="AD848">IFS(B848&lt;66, XLOOKUP(year(A848),Lookup!$K$13:$K1000,Lookup!$M$13:$M1000,"missing",,1),B848&gt;65, XLOOKUP(questions!$C$5,Lookup!$K$13:$K1000,Lookup!$M$13:$M1000,"missing",,1))</f>
        <v>787350.7266</v>
      </c>
      <c r="AE848" s="66">
        <f t="array" ref="AE848">IFS(B848&lt;66, XLOOKUP(year(A848),Lookup!$K$13:$K1000,Lookup!$N$13:$N1000,"missing",,1),B848&gt;65,XLOOKUP(questions!$C$5,Lookup!$K$13:$K1000,Lookup!$N$13:$N1000,"missing",,1))</f>
        <v>1574701.453</v>
      </c>
      <c r="AF848" s="37"/>
      <c r="AG848" s="37"/>
      <c r="AH848" s="37"/>
      <c r="AI848" s="37"/>
      <c r="AJ848" s="37"/>
      <c r="AK848" s="37"/>
      <c r="AL848" s="37"/>
      <c r="AM848" s="37"/>
      <c r="AN848" s="37"/>
      <c r="AO848" s="37"/>
      <c r="AP848" s="37"/>
      <c r="AQ848" s="37"/>
    </row>
    <row r="849">
      <c r="A849" s="55">
        <f t="shared" si="7"/>
        <v>71863</v>
      </c>
      <c r="B849" s="56">
        <f>round(YEARFRAC(EOMONTH(questions!$C$3, 0),A849,1),2)</f>
        <v>97.83</v>
      </c>
      <c r="C849" s="58">
        <f>IF(B849&lt;questions!$C$6,if(MONTH(A849)=1,C848*(1+questions!$C$12),C848),0)</f>
        <v>0</v>
      </c>
      <c r="D849" s="58">
        <f>IF(MONTH(A849)=12,C849*questions!$C$11,0)</f>
        <v>0</v>
      </c>
      <c r="E849" s="71">
        <f t="shared" si="2"/>
        <v>0</v>
      </c>
      <c r="F849" s="71">
        <f t="shared" si="3"/>
        <v>0</v>
      </c>
      <c r="G849" s="61">
        <f t="array" ref="G849">if(YEAR(A849)=2025,XLOOKUP(B849,Lookup!$A$3:$A$7,Lookup!$D$3:$D$7,,1)*SUM(E849:F849), XLOOKUP(B849,Lookup!$A$14:$A$18,Lookup!$D$14:$D$18,,1)*SUM(E849:F849))</f>
        <v>0</v>
      </c>
      <c r="H849" s="61">
        <f t="array" ref="H849">if(YEAR(A849)=2025,XLOOKUP(B849,Lookup!$F$3:$F$10,Lookup!$G$3:$G$10,,1)*G849, XLOOKUP(B849,Lookup!$F$14:$F$21,Lookup!$G$14:$G$21,,1)*G849)</f>
        <v>0</v>
      </c>
      <c r="I849" s="61">
        <f t="array" ref="I849">if(B849&lt;55, if(YEAR(A849)=2025,XLOOKUP(B849,Lookup!$F$3:$F$10,Lookup!$H$3:$H$10,,1)*G849, XLOOKUP(B849,Lookup!$F$14:$F$21,Lookup!$H$14:$H$21,,1)*G849),0)</f>
        <v>0</v>
      </c>
      <c r="J849" s="61">
        <f t="array" ref="J849">if(YEAR(A849)=2025,XLOOKUP(B849,Lookup!$F$3:$F$10,Lookup!$I$3:$I$10,,1)*G849, XLOOKUP(B849,Lookup!$F$14:$F$21,Lookup!$I$14:$I$21,,1)*G849)</f>
        <v>0</v>
      </c>
      <c r="K849" s="61">
        <f t="array" ref="K849">if(B849&gt;54, if(YEAR(A849)=2025,XLOOKUP(B849,Lookup!$F$3:$F$10,Lookup!$H$3:$H$10,,1)*G849, XLOOKUP(B849,Lookup!$F$14:$F$21,Lookup!$H$14:$H$21,,1)*G849),0)</f>
        <v>0</v>
      </c>
      <c r="L849" s="62">
        <f>IF(and(A849&lt;questions!$C$19,questions!$C$18="yes"),questions!$C$20,0)</f>
        <v>0</v>
      </c>
      <c r="M849" s="63">
        <f>(Y848+H849)*Lookup!A$26/12</f>
        <v>4538.351183</v>
      </c>
      <c r="N849" s="63">
        <f>if(B849&lt;55, (Z848+I849)*Lookup!B$26/12, (AB848+K849)*Lookup!B$26/12)</f>
        <v>11103.79062</v>
      </c>
      <c r="O849" s="63">
        <f>(AA848+J849)*Lookup!C$26/12</f>
        <v>940.3700287</v>
      </c>
      <c r="P849" s="63">
        <f t="shared" si="8"/>
        <v>40845.16064</v>
      </c>
      <c r="Q849" s="63">
        <f t="shared" si="4"/>
        <v>99934.11554</v>
      </c>
      <c r="R849" s="63">
        <f t="shared" si="5"/>
        <v>8463.330258</v>
      </c>
      <c r="S849" s="64">
        <f t="shared" si="9"/>
        <v>33.33333333</v>
      </c>
      <c r="T849" s="64">
        <f t="shared" si="10"/>
        <v>41.66666667</v>
      </c>
      <c r="U849" s="64">
        <f t="shared" si="11"/>
        <v>0</v>
      </c>
      <c r="V849" s="64">
        <f t="shared" ref="V849:X849" si="857">IF(year($A849)=year($A848), V848+S849, S849)</f>
        <v>300</v>
      </c>
      <c r="W849" s="64">
        <f t="shared" si="857"/>
        <v>375</v>
      </c>
      <c r="X849" s="64">
        <f t="shared" si="857"/>
        <v>0</v>
      </c>
      <c r="Y849" s="65">
        <f>IFS(
  B849&lt;55,
    MAX(
      Y848 + IF(MONTH(A849)=12, P849+V849, 0) + H849 - L849
      + MAX(0,
          IF(AA848 &gt;= VLOOKUP(YEAR(A849), Lookup!$Q:$R, 2),
            Z848 + IF(MONTH(A849)=12, Q849+W849, 0) + I849
              + AA848 + IF(MONTH(A849)=12, R849+X849, 0)
              - VLOOKUP(YEAR(A849), Lookup!$Q:$R, 2) + J849,
            Z848 + IF(MONTH(A849)=12, Q849+W849, 0) + I849
          ) - VLOOKUP(YEAR(A849), Lookup!$K:$M, 3)
        ),
    0),
  B849=55,
    IF(Z848&gt;=AD849,
      MAX(Y848 + IF(MONTH(A849)=12, P849+V849, 0) + H849 - L849, 0),
      MAX(MAX(0, Y848-(AD849-Z848)) + IF(MONTH(A849)=12, P849+V849, 0) + H849 - L849, 0)
    ),
  B849&gt;55,
    IF(AB848&gt;=$AH$7,
      MAX(Y848 + IF(MONTH(A849)=12, P849+V849, 0) + H849 - L849 + K849 + Z848, 0),
      MAX(Y848 + IF(MONTH(A849)=12, P849+V849, 0) + H849 - L849, 0)
    )
)</f>
        <v>2178408.568</v>
      </c>
      <c r="Z849" s="65">
        <f>IFS(
  B849&lt;55,
    MIN(
      IF(AA848 &gt;= VLOOKUP(YEAR(A849), Lookup!$Q:$R, 2),
        Z848 + IF(MONTH(A849)=12, Q849+W849, 0) + I849
          + AA848 + IF(MONTH(A849)=12, R849+X849, 0) - VLOOKUP(YEAR(A849), Lookup!$Q:$R, 2) + J849,
        Z848 + IF(MONTH(A849)=12, Q849+W849, 0) + I849
      ),
      VLOOKUP(YEAR(A849), Lookup!$K:$M, 3)
    ),
  B849=55,
    IF(Z848 &gt;= AD849, Z848 - AD849, 0),
  B849&gt;55, 0
)</f>
        <v>0</v>
      </c>
      <c r="AA849" s="65">
        <f>IFS(
  B849&lt;65,
    IF(AA848+J849 &lt; VLOOKUP(YEAR(A849), Lookup!$Q:$R, 2),
      AA848 + IF(MONTH(A849)=12, R848+X848, 0) + J849,
      MIN(
        AA848 + IF(MONTH(A849)=12, R848+X848, 0) + J849 ,
        VLOOKUP(YEAR(A849), Lookup!$Q:$R, 2)
      )
    ),
  B849&gt;=65,
    IF(AA848+J849 &lt; VLOOKUP(questions!$C$5, Lookup!$Q:$R, 2),
      AA848 + IF(MONTH(A849)=12, R848+X848, 0) + J849 ,
      MIN(
        AA848 + IF(MONTH(A849)=12, R848+X848, 0) + J849,
        VLOOKUP(questions!$C$5, Lookup!$Q:$R, 2)
      )
    )
)</f>
        <v>282111.0086</v>
      </c>
      <c r="AB849" s="65">
        <f t="shared" si="13"/>
        <v>3331137.185</v>
      </c>
      <c r="AC849" s="66">
        <f t="array" ref="AC849">IFS(B849&lt;66, XLOOKUP(year(A849),Lookup!$K$13:$K1000,Lookup!$L$13:$L1000,"missing",,1),B849&gt;65,XLOOKUP(questions!$C$5,Lookup!$K$13:$K1000,Lookup!$L$13:$L1000,"missing",,1))</f>
        <v>393675.3633</v>
      </c>
      <c r="AD849" s="66">
        <f t="array" ref="AD849">IFS(B849&lt;66, XLOOKUP(year(A849),Lookup!$K$13:$K1000,Lookup!$M$13:$M1000,"missing",,1),B849&gt;65, XLOOKUP(questions!$C$5,Lookup!$K$13:$K1000,Lookup!$M$13:$M1000,"missing",,1))</f>
        <v>787350.7266</v>
      </c>
      <c r="AE849" s="66">
        <f t="array" ref="AE849">IFS(B849&lt;66, XLOOKUP(year(A849),Lookup!$K$13:$K1000,Lookup!$N$13:$N1000,"missing",,1),B849&gt;65,XLOOKUP(questions!$C$5,Lookup!$K$13:$K1000,Lookup!$N$13:$N1000,"missing",,1))</f>
        <v>1574701.453</v>
      </c>
      <c r="AF849" s="37"/>
      <c r="AG849" s="37"/>
      <c r="AH849" s="37"/>
      <c r="AI849" s="37"/>
      <c r="AJ849" s="37"/>
      <c r="AK849" s="37"/>
      <c r="AL849" s="37"/>
      <c r="AM849" s="37"/>
      <c r="AN849" s="37"/>
      <c r="AO849" s="37"/>
      <c r="AP849" s="37"/>
      <c r="AQ849" s="37"/>
    </row>
    <row r="850">
      <c r="A850" s="55">
        <f t="shared" si="7"/>
        <v>71894</v>
      </c>
      <c r="B850" s="56">
        <f>round(YEARFRAC(EOMONTH(questions!$C$3, 0),A850,1),2)</f>
        <v>97.92</v>
      </c>
      <c r="C850" s="58">
        <f>IF(B850&lt;questions!$C$6,if(MONTH(A850)=1,C849*(1+questions!$C$12),C849),0)</f>
        <v>0</v>
      </c>
      <c r="D850" s="58">
        <f>IF(MONTH(A850)=12,C850*questions!$C$11,0)</f>
        <v>0</v>
      </c>
      <c r="E850" s="71">
        <f t="shared" si="2"/>
        <v>0</v>
      </c>
      <c r="F850" s="71">
        <f t="shared" si="3"/>
        <v>0</v>
      </c>
      <c r="G850" s="61">
        <f t="array" ref="G850">if(YEAR(A850)=2025,XLOOKUP(B850,Lookup!$A$3:$A$7,Lookup!$D$3:$D$7,,1)*SUM(E850:F850), XLOOKUP(B850,Lookup!$A$14:$A$18,Lookup!$D$14:$D$18,,1)*SUM(E850:F850))</f>
        <v>0</v>
      </c>
      <c r="H850" s="61">
        <f t="array" ref="H850">if(YEAR(A850)=2025,XLOOKUP(B850,Lookup!$F$3:$F$10,Lookup!$G$3:$G$10,,1)*G850, XLOOKUP(B850,Lookup!$F$14:$F$21,Lookup!$G$14:$G$21,,1)*G850)</f>
        <v>0</v>
      </c>
      <c r="I850" s="61">
        <f t="array" ref="I850">if(B850&lt;55, if(YEAR(A850)=2025,XLOOKUP(B850,Lookup!$F$3:$F$10,Lookup!$H$3:$H$10,,1)*G850, XLOOKUP(B850,Lookup!$F$14:$F$21,Lookup!$H$14:$H$21,,1)*G850),0)</f>
        <v>0</v>
      </c>
      <c r="J850" s="61">
        <f t="array" ref="J850">if(YEAR(A850)=2025,XLOOKUP(B850,Lookup!$F$3:$F$10,Lookup!$I$3:$I$10,,1)*G850, XLOOKUP(B850,Lookup!$F$14:$F$21,Lookup!$I$14:$I$21,,1)*G850)</f>
        <v>0</v>
      </c>
      <c r="K850" s="61">
        <f t="array" ref="K850">if(B850&gt;54, if(YEAR(A850)=2025,XLOOKUP(B850,Lookup!$F$3:$F$10,Lookup!$H$3:$H$10,,1)*G850, XLOOKUP(B850,Lookup!$F$14:$F$21,Lookup!$H$14:$H$21,,1)*G850),0)</f>
        <v>0</v>
      </c>
      <c r="L850" s="62">
        <f>IF(and(A850&lt;questions!$C$19,questions!$C$18="yes"),questions!$C$20,0)</f>
        <v>0</v>
      </c>
      <c r="M850" s="63">
        <f>(Y849+H850)*Lookup!A$26/12</f>
        <v>4538.351183</v>
      </c>
      <c r="N850" s="63">
        <f>if(B850&lt;55, (Z849+I850)*Lookup!B$26/12, (AB849+K850)*Lookup!B$26/12)</f>
        <v>11103.79062</v>
      </c>
      <c r="O850" s="63">
        <f>(AA849+J850)*Lookup!C$26/12</f>
        <v>940.3700287</v>
      </c>
      <c r="P850" s="63">
        <f t="shared" si="8"/>
        <v>45383.51183</v>
      </c>
      <c r="Q850" s="63">
        <f t="shared" si="4"/>
        <v>111037.9062</v>
      </c>
      <c r="R850" s="63">
        <f t="shared" si="5"/>
        <v>9403.700287</v>
      </c>
      <c r="S850" s="64">
        <f t="shared" si="9"/>
        <v>33.33333333</v>
      </c>
      <c r="T850" s="64">
        <f t="shared" si="10"/>
        <v>41.66666667</v>
      </c>
      <c r="U850" s="64">
        <f t="shared" si="11"/>
        <v>0</v>
      </c>
      <c r="V850" s="64">
        <f t="shared" ref="V850:X850" si="858">IF(year($A850)=year($A849), V849+S850, S850)</f>
        <v>333.3333333</v>
      </c>
      <c r="W850" s="64">
        <f t="shared" si="858"/>
        <v>416.6666667</v>
      </c>
      <c r="X850" s="64">
        <f t="shared" si="858"/>
        <v>0</v>
      </c>
      <c r="Y850" s="65">
        <f>IFS(
  B850&lt;55,
    MAX(
      Y849 + IF(MONTH(A850)=12, P850+V850, 0) + H850 - L850
      + MAX(0,
          IF(AA849 &gt;= VLOOKUP(YEAR(A850), Lookup!$Q:$R, 2),
            Z849 + IF(MONTH(A850)=12, Q850+W850, 0) + I850
              + AA849 + IF(MONTH(A850)=12, R850+X850, 0)
              - VLOOKUP(YEAR(A850), Lookup!$Q:$R, 2) + J850,
            Z849 + IF(MONTH(A850)=12, Q850+W850, 0) + I850
          ) - VLOOKUP(YEAR(A850), Lookup!$K:$M, 3)
        ),
    0),
  B850=55,
    IF(Z849&gt;=AD850,
      MAX(Y849 + IF(MONTH(A850)=12, P850+V850, 0) + H850 - L850, 0),
      MAX(MAX(0, Y849-(AD850-Z849)) + IF(MONTH(A850)=12, P850+V850, 0) + H850 - L850, 0)
    ),
  B850&gt;55,
    IF(AB849&gt;=$AH$7,
      MAX(Y849 + IF(MONTH(A850)=12, P850+V850, 0) + H850 - L850 + K850 + Z849, 0),
      MAX(Y849 + IF(MONTH(A850)=12, P850+V850, 0) + H850 - L850, 0)
    )
)</f>
        <v>2178408.568</v>
      </c>
      <c r="Z850" s="65">
        <f>IFS(
  B850&lt;55,
    MIN(
      IF(AA849 &gt;= VLOOKUP(YEAR(A850), Lookup!$Q:$R, 2),
        Z849 + IF(MONTH(A850)=12, Q850+W850, 0) + I850
          + AA849 + IF(MONTH(A850)=12, R850+X850, 0) - VLOOKUP(YEAR(A850), Lookup!$Q:$R, 2) + J850,
        Z849 + IF(MONTH(A850)=12, Q850+W850, 0) + I850
      ),
      VLOOKUP(YEAR(A850), Lookup!$K:$M, 3)
    ),
  B850=55,
    IF(Z849 &gt;= AD850, Z849 - AD850, 0),
  B850&gt;55, 0
)</f>
        <v>0</v>
      </c>
      <c r="AA850" s="65">
        <f>IFS(
  B850&lt;65,
    IF(AA849+J850 &lt; VLOOKUP(YEAR(A850), Lookup!$Q:$R, 2),
      AA849 + IF(MONTH(A850)=12, R849+X849, 0) + J850,
      MIN(
        AA849 + IF(MONTH(A850)=12, R849+X849, 0) + J850 ,
        VLOOKUP(YEAR(A850), Lookup!$Q:$R, 2)
      )
    ),
  B850&gt;=65,
    IF(AA849+J850 &lt; VLOOKUP(questions!$C$5, Lookup!$Q:$R, 2),
      AA849 + IF(MONTH(A850)=12, R849+X849, 0) + J850 ,
      MIN(
        AA849 + IF(MONTH(A850)=12, R849+X849, 0) + J850,
        VLOOKUP(questions!$C$5, Lookup!$Q:$R, 2)
      )
    )
)</f>
        <v>282111.0086</v>
      </c>
      <c r="AB850" s="65">
        <f t="shared" si="13"/>
        <v>3331137.185</v>
      </c>
      <c r="AC850" s="66">
        <f t="array" ref="AC850">IFS(B850&lt;66, XLOOKUP(year(A850),Lookup!$K$13:$K1000,Lookup!$L$13:$L1000,"missing",,1),B850&gt;65,XLOOKUP(questions!$C$5,Lookup!$K$13:$K1000,Lookup!$L$13:$L1000,"missing",,1))</f>
        <v>393675.3633</v>
      </c>
      <c r="AD850" s="66">
        <f t="array" ref="AD850">IFS(B850&lt;66, XLOOKUP(year(A850),Lookup!$K$13:$K1000,Lookup!$M$13:$M1000,"missing",,1),B850&gt;65, XLOOKUP(questions!$C$5,Lookup!$K$13:$K1000,Lookup!$M$13:$M1000,"missing",,1))</f>
        <v>787350.7266</v>
      </c>
      <c r="AE850" s="66">
        <f t="array" ref="AE850">IFS(B850&lt;66, XLOOKUP(year(A850),Lookup!$K$13:$K1000,Lookup!$N$13:$N1000,"missing",,1),B850&gt;65,XLOOKUP(questions!$C$5,Lookup!$K$13:$K1000,Lookup!$N$13:$N1000,"missing",,1))</f>
        <v>1574701.453</v>
      </c>
      <c r="AF850" s="37"/>
      <c r="AG850" s="37"/>
      <c r="AH850" s="37"/>
      <c r="AI850" s="37"/>
      <c r="AJ850" s="37"/>
      <c r="AK850" s="37"/>
      <c r="AL850" s="37"/>
      <c r="AM850" s="37"/>
      <c r="AN850" s="37"/>
      <c r="AO850" s="37"/>
      <c r="AP850" s="37"/>
      <c r="AQ850" s="37"/>
    </row>
    <row r="851">
      <c r="A851" s="55">
        <f t="shared" si="7"/>
        <v>71924</v>
      </c>
      <c r="B851" s="56">
        <f>round(YEARFRAC(EOMONTH(questions!$C$3, 0),A851,1),2)</f>
        <v>98</v>
      </c>
      <c r="C851" s="58">
        <f>IF(B851&lt;questions!$C$6,if(MONTH(A851)=1,C850*(1+questions!$C$12),C850),0)</f>
        <v>0</v>
      </c>
      <c r="D851" s="58">
        <f>IF(MONTH(A851)=12,C851*questions!$C$11,0)</f>
        <v>0</v>
      </c>
      <c r="E851" s="71">
        <f t="shared" si="2"/>
        <v>0</v>
      </c>
      <c r="F851" s="71">
        <f t="shared" si="3"/>
        <v>0</v>
      </c>
      <c r="G851" s="61">
        <f t="array" ref="G851">if(YEAR(A851)=2025,XLOOKUP(B851,Lookup!$A$3:$A$7,Lookup!$D$3:$D$7,,1)*SUM(E851:F851), XLOOKUP(B851,Lookup!$A$14:$A$18,Lookup!$D$14:$D$18,,1)*SUM(E851:F851))</f>
        <v>0</v>
      </c>
      <c r="H851" s="61">
        <f t="array" ref="H851">if(YEAR(A851)=2025,XLOOKUP(B851,Lookup!$F$3:$F$10,Lookup!$G$3:$G$10,,1)*G851, XLOOKUP(B851,Lookup!$F$14:$F$21,Lookup!$G$14:$G$21,,1)*G851)</f>
        <v>0</v>
      </c>
      <c r="I851" s="61">
        <f t="array" ref="I851">if(B851&lt;55, if(YEAR(A851)=2025,XLOOKUP(B851,Lookup!$F$3:$F$10,Lookup!$H$3:$H$10,,1)*G851, XLOOKUP(B851,Lookup!$F$14:$F$21,Lookup!$H$14:$H$21,,1)*G851),0)</f>
        <v>0</v>
      </c>
      <c r="J851" s="61">
        <f t="array" ref="J851">if(YEAR(A851)=2025,XLOOKUP(B851,Lookup!$F$3:$F$10,Lookup!$I$3:$I$10,,1)*G851, XLOOKUP(B851,Lookup!$F$14:$F$21,Lookup!$I$14:$I$21,,1)*G851)</f>
        <v>0</v>
      </c>
      <c r="K851" s="61">
        <f t="array" ref="K851">if(B851&gt;54, if(YEAR(A851)=2025,XLOOKUP(B851,Lookup!$F$3:$F$10,Lookup!$H$3:$H$10,,1)*G851, XLOOKUP(B851,Lookup!$F$14:$F$21,Lookup!$H$14:$H$21,,1)*G851),0)</f>
        <v>0</v>
      </c>
      <c r="L851" s="62">
        <f>IF(and(A851&lt;questions!$C$19,questions!$C$18="yes"),questions!$C$20,0)</f>
        <v>0</v>
      </c>
      <c r="M851" s="63">
        <f>(Y850+H851)*Lookup!A$26/12</f>
        <v>4538.351183</v>
      </c>
      <c r="N851" s="63">
        <f>if(B851&lt;55, (Z850+I851)*Lookup!B$26/12, (AB850+K851)*Lookup!B$26/12)</f>
        <v>11103.79062</v>
      </c>
      <c r="O851" s="63">
        <f>(AA850+J851)*Lookup!C$26/12</f>
        <v>940.3700287</v>
      </c>
      <c r="P851" s="63">
        <f t="shared" si="8"/>
        <v>49921.86301</v>
      </c>
      <c r="Q851" s="63">
        <f t="shared" si="4"/>
        <v>122141.6968</v>
      </c>
      <c r="R851" s="63">
        <f t="shared" si="5"/>
        <v>10344.07032</v>
      </c>
      <c r="S851" s="64">
        <f t="shared" si="9"/>
        <v>33.33333333</v>
      </c>
      <c r="T851" s="64">
        <f t="shared" si="10"/>
        <v>41.66666667</v>
      </c>
      <c r="U851" s="64">
        <f t="shared" si="11"/>
        <v>0</v>
      </c>
      <c r="V851" s="64">
        <f t="shared" ref="V851:X851" si="859">IF(year($A851)=year($A850), V850+S851, S851)</f>
        <v>366.6666667</v>
      </c>
      <c r="W851" s="64">
        <f t="shared" si="859"/>
        <v>458.3333333</v>
      </c>
      <c r="X851" s="64">
        <f t="shared" si="859"/>
        <v>0</v>
      </c>
      <c r="Y851" s="65">
        <f>IFS(
  B851&lt;55,
    MAX(
      Y850 + IF(MONTH(A851)=12, P851+V851, 0) + H851 - L851
      + MAX(0,
          IF(AA850 &gt;= VLOOKUP(YEAR(A851), Lookup!$Q:$R, 2),
            Z850 + IF(MONTH(A851)=12, Q851+W851, 0) + I851
              + AA850 + IF(MONTH(A851)=12, R851+X851, 0)
              - VLOOKUP(YEAR(A851), Lookup!$Q:$R, 2) + J851,
            Z850 + IF(MONTH(A851)=12, Q851+W851, 0) + I851
          ) - VLOOKUP(YEAR(A851), Lookup!$K:$M, 3)
        ),
    0),
  B851=55,
    IF(Z850&gt;=AD851,
      MAX(Y850 + IF(MONTH(A851)=12, P851+V851, 0) + H851 - L851, 0),
      MAX(MAX(0, Y850-(AD851-Z850)) + IF(MONTH(A851)=12, P851+V851, 0) + H851 - L851, 0)
    ),
  B851&gt;55,
    IF(AB850&gt;=$AH$7,
      MAX(Y850 + IF(MONTH(A851)=12, P851+V851, 0) + H851 - L851 + K851 + Z850, 0),
      MAX(Y850 + IF(MONTH(A851)=12, P851+V851, 0) + H851 - L851, 0)
    )
)</f>
        <v>2178408.568</v>
      </c>
      <c r="Z851" s="65">
        <f>IFS(
  B851&lt;55,
    MIN(
      IF(AA850 &gt;= VLOOKUP(YEAR(A851), Lookup!$Q:$R, 2),
        Z850 + IF(MONTH(A851)=12, Q851+W851, 0) + I851
          + AA850 + IF(MONTH(A851)=12, R851+X851, 0) - VLOOKUP(YEAR(A851), Lookup!$Q:$R, 2) + J851,
        Z850 + IF(MONTH(A851)=12, Q851+W851, 0) + I851
      ),
      VLOOKUP(YEAR(A851), Lookup!$K:$M, 3)
    ),
  B851=55,
    IF(Z850 &gt;= AD851, Z850 - AD851, 0),
  B851&gt;55, 0
)</f>
        <v>0</v>
      </c>
      <c r="AA851" s="65">
        <f>IFS(
  B851&lt;65,
    IF(AA850+J851 &lt; VLOOKUP(YEAR(A851), Lookup!$Q:$R, 2),
      AA850 + IF(MONTH(A851)=12, R850+X850, 0) + J851,
      MIN(
        AA850 + IF(MONTH(A851)=12, R850+X850, 0) + J851 ,
        VLOOKUP(YEAR(A851), Lookup!$Q:$R, 2)
      )
    ),
  B851&gt;=65,
    IF(AA850+J851 &lt; VLOOKUP(questions!$C$5, Lookup!$Q:$R, 2),
      AA850 + IF(MONTH(A851)=12, R850+X850, 0) + J851 ,
      MIN(
        AA850 + IF(MONTH(A851)=12, R850+X850, 0) + J851,
        VLOOKUP(questions!$C$5, Lookup!$Q:$R, 2)
      )
    )
)</f>
        <v>282111.0086</v>
      </c>
      <c r="AB851" s="65">
        <f t="shared" si="13"/>
        <v>3331137.185</v>
      </c>
      <c r="AC851" s="66">
        <f t="array" ref="AC851">IFS(B851&lt;66, XLOOKUP(year(A851),Lookup!$K$13:$K1000,Lookup!$L$13:$L1000,"missing",,1),B851&gt;65,XLOOKUP(questions!$C$5,Lookup!$K$13:$K1000,Lookup!$L$13:$L1000,"missing",,1))</f>
        <v>393675.3633</v>
      </c>
      <c r="AD851" s="66">
        <f t="array" ref="AD851">IFS(B851&lt;66, XLOOKUP(year(A851),Lookup!$K$13:$K1000,Lookup!$M$13:$M1000,"missing",,1),B851&gt;65, XLOOKUP(questions!$C$5,Lookup!$K$13:$K1000,Lookup!$M$13:$M1000,"missing",,1))</f>
        <v>787350.7266</v>
      </c>
      <c r="AE851" s="66">
        <f t="array" ref="AE851">IFS(B851&lt;66, XLOOKUP(year(A851),Lookup!$K$13:$K1000,Lookup!$N$13:$N1000,"missing",,1),B851&gt;65,XLOOKUP(questions!$C$5,Lookup!$K$13:$K1000,Lookup!$N$13:$N1000,"missing",,1))</f>
        <v>1574701.453</v>
      </c>
      <c r="AF851" s="37"/>
      <c r="AG851" s="37"/>
      <c r="AH851" s="37"/>
      <c r="AI851" s="37"/>
      <c r="AJ851" s="37"/>
      <c r="AK851" s="37"/>
      <c r="AL851" s="37"/>
      <c r="AM851" s="37"/>
      <c r="AN851" s="37"/>
      <c r="AO851" s="37"/>
      <c r="AP851" s="37"/>
      <c r="AQ851" s="37"/>
    </row>
    <row r="852">
      <c r="A852" s="55">
        <f t="shared" si="7"/>
        <v>71955</v>
      </c>
      <c r="B852" s="56">
        <f>round(YEARFRAC(EOMONTH(questions!$C$3, 0),A852,1),2)</f>
        <v>98.08</v>
      </c>
      <c r="C852" s="58">
        <f>IF(B852&lt;questions!$C$6,if(MONTH(A852)=1,C851*(1+questions!$C$12),C851),0)</f>
        <v>0</v>
      </c>
      <c r="D852" s="58">
        <f>IF(MONTH(A852)=12,C852*questions!$C$11,0)</f>
        <v>0</v>
      </c>
      <c r="E852" s="71">
        <f t="shared" si="2"/>
        <v>0</v>
      </c>
      <c r="F852" s="71">
        <f t="shared" si="3"/>
        <v>0</v>
      </c>
      <c r="G852" s="61">
        <f t="array" ref="G852">if(YEAR(A852)=2025,XLOOKUP(B852,Lookup!$A$3:$A$7,Lookup!$D$3:$D$7,,1)*SUM(E852:F852), XLOOKUP(B852,Lookup!$A$14:$A$18,Lookup!$D$14:$D$18,,1)*SUM(E852:F852))</f>
        <v>0</v>
      </c>
      <c r="H852" s="61">
        <f t="array" ref="H852">if(YEAR(A852)=2025,XLOOKUP(B852,Lookup!$F$3:$F$10,Lookup!$G$3:$G$10,,1)*G852, XLOOKUP(B852,Lookup!$F$14:$F$21,Lookup!$G$14:$G$21,,1)*G852)</f>
        <v>0</v>
      </c>
      <c r="I852" s="61">
        <f t="array" ref="I852">if(B852&lt;55, if(YEAR(A852)=2025,XLOOKUP(B852,Lookup!$F$3:$F$10,Lookup!$H$3:$H$10,,1)*G852, XLOOKUP(B852,Lookup!$F$14:$F$21,Lookup!$H$14:$H$21,,1)*G852),0)</f>
        <v>0</v>
      </c>
      <c r="J852" s="61">
        <f t="array" ref="J852">if(YEAR(A852)=2025,XLOOKUP(B852,Lookup!$F$3:$F$10,Lookup!$I$3:$I$10,,1)*G852, XLOOKUP(B852,Lookup!$F$14:$F$21,Lookup!$I$14:$I$21,,1)*G852)</f>
        <v>0</v>
      </c>
      <c r="K852" s="61">
        <f t="array" ref="K852">if(B852&gt;54, if(YEAR(A852)=2025,XLOOKUP(B852,Lookup!$F$3:$F$10,Lookup!$H$3:$H$10,,1)*G852, XLOOKUP(B852,Lookup!$F$14:$F$21,Lookup!$H$14:$H$21,,1)*G852),0)</f>
        <v>0</v>
      </c>
      <c r="L852" s="62">
        <f>IF(and(A852&lt;questions!$C$19,questions!$C$18="yes"),questions!$C$20,0)</f>
        <v>0</v>
      </c>
      <c r="M852" s="63">
        <f>(Y851+H852)*Lookup!A$26/12</f>
        <v>4538.351183</v>
      </c>
      <c r="N852" s="63">
        <f>if(B852&lt;55, (Z851+I852)*Lookup!B$26/12, (AB851+K852)*Lookup!B$26/12)</f>
        <v>11103.79062</v>
      </c>
      <c r="O852" s="63">
        <f>(AA851+J852)*Lookup!C$26/12</f>
        <v>940.3700287</v>
      </c>
      <c r="P852" s="63">
        <f t="shared" si="8"/>
        <v>54460.21419</v>
      </c>
      <c r="Q852" s="63">
        <f t="shared" si="4"/>
        <v>133245.4874</v>
      </c>
      <c r="R852" s="63">
        <f t="shared" si="5"/>
        <v>11284.44034</v>
      </c>
      <c r="S852" s="64">
        <f t="shared" si="9"/>
        <v>33.33333333</v>
      </c>
      <c r="T852" s="64">
        <f t="shared" si="10"/>
        <v>41.66666667</v>
      </c>
      <c r="U852" s="64">
        <f t="shared" si="11"/>
        <v>0</v>
      </c>
      <c r="V852" s="64">
        <f t="shared" ref="V852:X852" si="860">IF(year($A852)=year($A851), V851+S852, S852)</f>
        <v>400</v>
      </c>
      <c r="W852" s="64">
        <f t="shared" si="860"/>
        <v>500</v>
      </c>
      <c r="X852" s="64">
        <f t="shared" si="860"/>
        <v>0</v>
      </c>
      <c r="Y852" s="65">
        <f>IFS(
  B852&lt;55,
    MAX(
      Y851 + IF(MONTH(A852)=12, P852+V852, 0) + H852 - L852
      + MAX(0,
          IF(AA851 &gt;= VLOOKUP(YEAR(A852), Lookup!$Q:$R, 2),
            Z851 + IF(MONTH(A852)=12, Q852+W852, 0) + I852
              + AA851 + IF(MONTH(A852)=12, R852+X852, 0)
              - VLOOKUP(YEAR(A852), Lookup!$Q:$R, 2) + J852,
            Z851 + IF(MONTH(A852)=12, Q852+W852, 0) + I852
          ) - VLOOKUP(YEAR(A852), Lookup!$K:$M, 3)
        ),
    0),
  B852=55,
    IF(Z851&gt;=AD852,
      MAX(Y851 + IF(MONTH(A852)=12, P852+V852, 0) + H852 - L852, 0),
      MAX(MAX(0, Y851-(AD852-Z851)) + IF(MONTH(A852)=12, P852+V852, 0) + H852 - L852, 0)
    ),
  B852&gt;55,
    IF(AB851&gt;=$AH$7,
      MAX(Y851 + IF(MONTH(A852)=12, P852+V852, 0) + H852 - L852 + K852 + Z851, 0),
      MAX(Y851 + IF(MONTH(A852)=12, P852+V852, 0) + H852 - L852, 0)
    )
)</f>
        <v>2233268.782</v>
      </c>
      <c r="Z852" s="65">
        <f>IFS(
  B852&lt;55,
    MIN(
      IF(AA851 &gt;= VLOOKUP(YEAR(A852), Lookup!$Q:$R, 2),
        Z851 + IF(MONTH(A852)=12, Q852+W852, 0) + I852
          + AA851 + IF(MONTH(A852)=12, R852+X852, 0) - VLOOKUP(YEAR(A852), Lookup!$Q:$R, 2) + J852,
        Z851 + IF(MONTH(A852)=12, Q852+W852, 0) + I852
      ),
      VLOOKUP(YEAR(A852), Lookup!$K:$M, 3)
    ),
  B852=55,
    IF(Z851 &gt;= AD852, Z851 - AD852, 0),
  B852&gt;55, 0
)</f>
        <v>0</v>
      </c>
      <c r="AA852" s="65">
        <f>IFS(
  B852&lt;65,
    IF(AA851+J852 &lt; VLOOKUP(YEAR(A852), Lookup!$Q:$R, 2),
      AA851 + IF(MONTH(A852)=12, R851+X851, 0) + J852,
      MIN(
        AA851 + IF(MONTH(A852)=12, R851+X851, 0) + J852 ,
        VLOOKUP(YEAR(A852), Lookup!$Q:$R, 2)
      )
    ),
  B852&gt;=65,
    IF(AA851+J852 &lt; VLOOKUP(questions!$C$5, Lookup!$Q:$R, 2),
      AA851 + IF(MONTH(A852)=12, R851+X851, 0) + J852 ,
      MIN(
        AA851 + IF(MONTH(A852)=12, R851+X851, 0) + J852,
        VLOOKUP(questions!$C$5, Lookup!$Q:$R, 2)
      )
    )
)</f>
        <v>282111.0086</v>
      </c>
      <c r="AB852" s="65">
        <f t="shared" si="13"/>
        <v>3464882.672</v>
      </c>
      <c r="AC852" s="66">
        <f t="array" ref="AC852">IFS(B852&lt;66, XLOOKUP(year(A852),Lookup!$K$13:$K1000,Lookup!$L$13:$L1000,"missing",,1),B852&gt;65,XLOOKUP(questions!$C$5,Lookup!$K$13:$K1000,Lookup!$L$13:$L1000,"missing",,1))</f>
        <v>393675.3633</v>
      </c>
      <c r="AD852" s="66">
        <f t="array" ref="AD852">IFS(B852&lt;66, XLOOKUP(year(A852),Lookup!$K$13:$K1000,Lookup!$M$13:$M1000,"missing",,1),B852&gt;65, XLOOKUP(questions!$C$5,Lookup!$K$13:$K1000,Lookup!$M$13:$M1000,"missing",,1))</f>
        <v>787350.7266</v>
      </c>
      <c r="AE852" s="66">
        <f t="array" ref="AE852">IFS(B852&lt;66, XLOOKUP(year(A852),Lookup!$K$13:$K1000,Lookup!$N$13:$N1000,"missing",,1),B852&gt;65,XLOOKUP(questions!$C$5,Lookup!$K$13:$K1000,Lookup!$N$13:$N1000,"missing",,1))</f>
        <v>1574701.453</v>
      </c>
      <c r="AF852" s="37"/>
      <c r="AG852" s="37"/>
      <c r="AH852" s="37"/>
      <c r="AI852" s="37"/>
      <c r="AJ852" s="37"/>
      <c r="AK852" s="37"/>
      <c r="AL852" s="37"/>
      <c r="AM852" s="37"/>
      <c r="AN852" s="37"/>
      <c r="AO852" s="37"/>
      <c r="AP852" s="37"/>
      <c r="AQ852" s="37"/>
    </row>
    <row r="853">
      <c r="A853" s="55">
        <f t="shared" si="7"/>
        <v>71986</v>
      </c>
      <c r="B853" s="56">
        <f>round(YEARFRAC(EOMONTH(questions!$C$3, 0),A853,1),2)</f>
        <v>98.17</v>
      </c>
      <c r="C853" s="58">
        <f>IF(B853&lt;questions!$C$6,if(MONTH(A853)=1,C852*(1+questions!$C$12),C852),0)</f>
        <v>0</v>
      </c>
      <c r="D853" s="58">
        <f>IF(MONTH(A853)=12,C853*questions!$C$11,0)</f>
        <v>0</v>
      </c>
      <c r="E853" s="71">
        <f t="shared" si="2"/>
        <v>0</v>
      </c>
      <c r="F853" s="71">
        <f t="shared" si="3"/>
        <v>0</v>
      </c>
      <c r="G853" s="61">
        <f t="array" ref="G853">if(YEAR(A853)=2025,XLOOKUP(B853,Lookup!$A$3:$A$7,Lookup!$D$3:$D$7,,1)*SUM(E853:F853), XLOOKUP(B853,Lookup!$A$14:$A$18,Lookup!$D$14:$D$18,,1)*SUM(E853:F853))</f>
        <v>0</v>
      </c>
      <c r="H853" s="61">
        <f t="array" ref="H853">if(YEAR(A853)=2025,XLOOKUP(B853,Lookup!$F$3:$F$10,Lookup!$G$3:$G$10,,1)*G853, XLOOKUP(B853,Lookup!$F$14:$F$21,Lookup!$G$14:$G$21,,1)*G853)</f>
        <v>0</v>
      </c>
      <c r="I853" s="61">
        <f t="array" ref="I853">if(B853&lt;55, if(YEAR(A853)=2025,XLOOKUP(B853,Lookup!$F$3:$F$10,Lookup!$H$3:$H$10,,1)*G853, XLOOKUP(B853,Lookup!$F$14:$F$21,Lookup!$H$14:$H$21,,1)*G853),0)</f>
        <v>0</v>
      </c>
      <c r="J853" s="61">
        <f t="array" ref="J853">if(YEAR(A853)=2025,XLOOKUP(B853,Lookup!$F$3:$F$10,Lookup!$I$3:$I$10,,1)*G853, XLOOKUP(B853,Lookup!$F$14:$F$21,Lookup!$I$14:$I$21,,1)*G853)</f>
        <v>0</v>
      </c>
      <c r="K853" s="61">
        <f t="array" ref="K853">if(B853&gt;54, if(YEAR(A853)=2025,XLOOKUP(B853,Lookup!$F$3:$F$10,Lookup!$H$3:$H$10,,1)*G853, XLOOKUP(B853,Lookup!$F$14:$F$21,Lookup!$H$14:$H$21,,1)*G853),0)</f>
        <v>0</v>
      </c>
      <c r="L853" s="62">
        <f>IF(and(A853&lt;questions!$C$19,questions!$C$18="yes"),questions!$C$20,0)</f>
        <v>0</v>
      </c>
      <c r="M853" s="63">
        <f>(Y852+H853)*Lookup!A$26/12</f>
        <v>4652.643296</v>
      </c>
      <c r="N853" s="63">
        <f>if(B853&lt;55, (Z852+I853)*Lookup!B$26/12, (AB852+K853)*Lookup!B$26/12)</f>
        <v>11549.60891</v>
      </c>
      <c r="O853" s="63">
        <f>(AA852+J853)*Lookup!C$26/12</f>
        <v>940.3700287</v>
      </c>
      <c r="P853" s="63">
        <f t="shared" si="8"/>
        <v>4652.643296</v>
      </c>
      <c r="Q853" s="63">
        <f t="shared" si="4"/>
        <v>11549.60891</v>
      </c>
      <c r="R853" s="63">
        <f t="shared" si="5"/>
        <v>940.3700287</v>
      </c>
      <c r="S853" s="64">
        <f t="shared" si="9"/>
        <v>33.33333333</v>
      </c>
      <c r="T853" s="64">
        <f t="shared" si="10"/>
        <v>41.66666667</v>
      </c>
      <c r="U853" s="64">
        <f t="shared" si="11"/>
        <v>0</v>
      </c>
      <c r="V853" s="64">
        <f t="shared" ref="V853:X853" si="861">IF(year($A853)=year($A852), V852+S853, S853)</f>
        <v>33.33333333</v>
      </c>
      <c r="W853" s="64">
        <f t="shared" si="861"/>
        <v>41.66666667</v>
      </c>
      <c r="X853" s="64">
        <f t="shared" si="861"/>
        <v>0</v>
      </c>
      <c r="Y853" s="65">
        <f>IFS(
  B853&lt;55,
    MAX(
      Y852 + IF(MONTH(A853)=12, P853+V853, 0) + H853 - L853
      + MAX(0,
          IF(AA852 &gt;= VLOOKUP(YEAR(A853), Lookup!$Q:$R, 2),
            Z852 + IF(MONTH(A853)=12, Q853+W853, 0) + I853
              + AA852 + IF(MONTH(A853)=12, R853+X853, 0)
              - VLOOKUP(YEAR(A853), Lookup!$Q:$R, 2) + J853,
            Z852 + IF(MONTH(A853)=12, Q853+W853, 0) + I853
          ) - VLOOKUP(YEAR(A853), Lookup!$K:$M, 3)
        ),
    0),
  B853=55,
    IF(Z852&gt;=AD853,
      MAX(Y852 + IF(MONTH(A853)=12, P853+V853, 0) + H853 - L853, 0),
      MAX(MAX(0, Y852-(AD853-Z852)) + IF(MONTH(A853)=12, P853+V853, 0) + H853 - L853, 0)
    ),
  B853&gt;55,
    IF(AB852&gt;=$AH$7,
      MAX(Y852 + IF(MONTH(A853)=12, P853+V853, 0) + H853 - L853 + K853 + Z852, 0),
      MAX(Y852 + IF(MONTH(A853)=12, P853+V853, 0) + H853 - L853, 0)
    )
)</f>
        <v>2233268.782</v>
      </c>
      <c r="Z853" s="65">
        <f>IFS(
  B853&lt;55,
    MIN(
      IF(AA852 &gt;= VLOOKUP(YEAR(A853), Lookup!$Q:$R, 2),
        Z852 + IF(MONTH(A853)=12, Q853+W853, 0) + I853
          + AA852 + IF(MONTH(A853)=12, R853+X853, 0) - VLOOKUP(YEAR(A853), Lookup!$Q:$R, 2) + J853,
        Z852 + IF(MONTH(A853)=12, Q853+W853, 0) + I853
      ),
      VLOOKUP(YEAR(A853), Lookup!$K:$M, 3)
    ),
  B853=55,
    IF(Z852 &gt;= AD853, Z852 - AD853, 0),
  B853&gt;55, 0
)</f>
        <v>0</v>
      </c>
      <c r="AA853" s="65">
        <f>IFS(
  B853&lt;65,
    IF(AA852+J853 &lt; VLOOKUP(YEAR(A853), Lookup!$Q:$R, 2),
      AA852 + IF(MONTH(A853)=12, R852+X852, 0) + J853,
      MIN(
        AA852 + IF(MONTH(A853)=12, R852+X852, 0) + J853 ,
        VLOOKUP(YEAR(A853), Lookup!$Q:$R, 2)
      )
    ),
  B853&gt;=65,
    IF(AA852+J853 &lt; VLOOKUP(questions!$C$5, Lookup!$Q:$R, 2),
      AA852 + IF(MONTH(A853)=12, R852+X852, 0) + J853 ,
      MIN(
        AA852 + IF(MONTH(A853)=12, R852+X852, 0) + J853,
        VLOOKUP(questions!$C$5, Lookup!$Q:$R, 2)
      )
    )
)</f>
        <v>282111.0086</v>
      </c>
      <c r="AB853" s="65">
        <f t="shared" si="13"/>
        <v>3464882.672</v>
      </c>
      <c r="AC853" s="66">
        <f t="array" ref="AC853">IFS(B853&lt;66, XLOOKUP(year(A853),Lookup!$K$13:$K1000,Lookup!$L$13:$L1000,"missing",,1),B853&gt;65,XLOOKUP(questions!$C$5,Lookup!$K$13:$K1000,Lookup!$L$13:$L1000,"missing",,1))</f>
        <v>393675.3633</v>
      </c>
      <c r="AD853" s="66">
        <f t="array" ref="AD853">IFS(B853&lt;66, XLOOKUP(year(A853),Lookup!$K$13:$K1000,Lookup!$M$13:$M1000,"missing",,1),B853&gt;65, XLOOKUP(questions!$C$5,Lookup!$K$13:$K1000,Lookup!$M$13:$M1000,"missing",,1))</f>
        <v>787350.7266</v>
      </c>
      <c r="AE853" s="66">
        <f t="array" ref="AE853">IFS(B853&lt;66, XLOOKUP(year(A853),Lookup!$K$13:$K1000,Lookup!$N$13:$N1000,"missing",,1),B853&gt;65,XLOOKUP(questions!$C$5,Lookup!$K$13:$K1000,Lookup!$N$13:$N1000,"missing",,1))</f>
        <v>1574701.453</v>
      </c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7"/>
      <c r="AQ853" s="37"/>
    </row>
    <row r="854">
      <c r="A854" s="55">
        <f t="shared" si="7"/>
        <v>72014</v>
      </c>
      <c r="B854" s="56">
        <f>round(YEARFRAC(EOMONTH(questions!$C$3, 0),A854,1),2)</f>
        <v>98.25</v>
      </c>
      <c r="C854" s="58">
        <f>IF(B854&lt;questions!$C$6,if(MONTH(A854)=1,C853*(1+questions!$C$12),C853),0)</f>
        <v>0</v>
      </c>
      <c r="D854" s="58">
        <f>IF(MONTH(A854)=12,C854*questions!$C$11,0)</f>
        <v>0</v>
      </c>
      <c r="E854" s="71">
        <f t="shared" si="2"/>
        <v>0</v>
      </c>
      <c r="F854" s="71">
        <f t="shared" si="3"/>
        <v>0</v>
      </c>
      <c r="G854" s="61">
        <f t="array" ref="G854">if(YEAR(A854)=2025,XLOOKUP(B854,Lookup!$A$3:$A$7,Lookup!$D$3:$D$7,,1)*SUM(E854:F854), XLOOKUP(B854,Lookup!$A$14:$A$18,Lookup!$D$14:$D$18,,1)*SUM(E854:F854))</f>
        <v>0</v>
      </c>
      <c r="H854" s="61">
        <f t="array" ref="H854">if(YEAR(A854)=2025,XLOOKUP(B854,Lookup!$F$3:$F$10,Lookup!$G$3:$G$10,,1)*G854, XLOOKUP(B854,Lookup!$F$14:$F$21,Lookup!$G$14:$G$21,,1)*G854)</f>
        <v>0</v>
      </c>
      <c r="I854" s="61">
        <f t="array" ref="I854">if(B854&lt;55, if(YEAR(A854)=2025,XLOOKUP(B854,Lookup!$F$3:$F$10,Lookup!$H$3:$H$10,,1)*G854, XLOOKUP(B854,Lookup!$F$14:$F$21,Lookup!$H$14:$H$21,,1)*G854),0)</f>
        <v>0</v>
      </c>
      <c r="J854" s="61">
        <f t="array" ref="J854">if(YEAR(A854)=2025,XLOOKUP(B854,Lookup!$F$3:$F$10,Lookup!$I$3:$I$10,,1)*G854, XLOOKUP(B854,Lookup!$F$14:$F$21,Lookup!$I$14:$I$21,,1)*G854)</f>
        <v>0</v>
      </c>
      <c r="K854" s="61">
        <f t="array" ref="K854">if(B854&gt;54, if(YEAR(A854)=2025,XLOOKUP(B854,Lookup!$F$3:$F$10,Lookup!$H$3:$H$10,,1)*G854, XLOOKUP(B854,Lookup!$F$14:$F$21,Lookup!$H$14:$H$21,,1)*G854),0)</f>
        <v>0</v>
      </c>
      <c r="L854" s="62">
        <f>IF(and(A854&lt;questions!$C$19,questions!$C$18="yes"),questions!$C$20,0)</f>
        <v>0</v>
      </c>
      <c r="M854" s="63">
        <f>(Y853+H854)*Lookup!A$26/12</f>
        <v>4652.643296</v>
      </c>
      <c r="N854" s="63">
        <f>if(B854&lt;55, (Z853+I854)*Lookup!B$26/12, (AB853+K854)*Lookup!B$26/12)</f>
        <v>11549.60891</v>
      </c>
      <c r="O854" s="63">
        <f>(AA853+J854)*Lookup!C$26/12</f>
        <v>940.3700287</v>
      </c>
      <c r="P854" s="63">
        <f t="shared" si="8"/>
        <v>9305.286591</v>
      </c>
      <c r="Q854" s="63">
        <f t="shared" si="4"/>
        <v>23099.21781</v>
      </c>
      <c r="R854" s="63">
        <f t="shared" si="5"/>
        <v>1880.740057</v>
      </c>
      <c r="S854" s="64">
        <f t="shared" si="9"/>
        <v>33.33333333</v>
      </c>
      <c r="T854" s="64">
        <f t="shared" si="10"/>
        <v>41.66666667</v>
      </c>
      <c r="U854" s="64">
        <f t="shared" si="11"/>
        <v>0</v>
      </c>
      <c r="V854" s="64">
        <f t="shared" ref="V854:X854" si="862">IF(year($A854)=year($A853), V853+S854, S854)</f>
        <v>66.66666667</v>
      </c>
      <c r="W854" s="64">
        <f t="shared" si="862"/>
        <v>83.33333333</v>
      </c>
      <c r="X854" s="64">
        <f t="shared" si="862"/>
        <v>0</v>
      </c>
      <c r="Y854" s="65">
        <f>IFS(
  B854&lt;55,
    MAX(
      Y853 + IF(MONTH(A854)=12, P854+V854, 0) + H854 - L854
      + MAX(0,
          IF(AA853 &gt;= VLOOKUP(YEAR(A854), Lookup!$Q:$R, 2),
            Z853 + IF(MONTH(A854)=12, Q854+W854, 0) + I854
              + AA853 + IF(MONTH(A854)=12, R854+X854, 0)
              - VLOOKUP(YEAR(A854), Lookup!$Q:$R, 2) + J854,
            Z853 + IF(MONTH(A854)=12, Q854+W854, 0) + I854
          ) - VLOOKUP(YEAR(A854), Lookup!$K:$M, 3)
        ),
    0),
  B854=55,
    IF(Z853&gt;=AD854,
      MAX(Y853 + IF(MONTH(A854)=12, P854+V854, 0) + H854 - L854, 0),
      MAX(MAX(0, Y853-(AD854-Z853)) + IF(MONTH(A854)=12, P854+V854, 0) + H854 - L854, 0)
    ),
  B854&gt;55,
    IF(AB853&gt;=$AH$7,
      MAX(Y853 + IF(MONTH(A854)=12, P854+V854, 0) + H854 - L854 + K854 + Z853, 0),
      MAX(Y853 + IF(MONTH(A854)=12, P854+V854, 0) + H854 - L854, 0)
    )
)</f>
        <v>2233268.782</v>
      </c>
      <c r="Z854" s="65">
        <f>IFS(
  B854&lt;55,
    MIN(
      IF(AA853 &gt;= VLOOKUP(YEAR(A854), Lookup!$Q:$R, 2),
        Z853 + IF(MONTH(A854)=12, Q854+W854, 0) + I854
          + AA853 + IF(MONTH(A854)=12, R854+X854, 0) - VLOOKUP(YEAR(A854), Lookup!$Q:$R, 2) + J854,
        Z853 + IF(MONTH(A854)=12, Q854+W854, 0) + I854
      ),
      VLOOKUP(YEAR(A854), Lookup!$K:$M, 3)
    ),
  B854=55,
    IF(Z853 &gt;= AD854, Z853 - AD854, 0),
  B854&gt;55, 0
)</f>
        <v>0</v>
      </c>
      <c r="AA854" s="65">
        <f>IFS(
  B854&lt;65,
    IF(AA853+J854 &lt; VLOOKUP(YEAR(A854), Lookup!$Q:$R, 2),
      AA853 + IF(MONTH(A854)=12, R853+X853, 0) + J854,
      MIN(
        AA853 + IF(MONTH(A854)=12, R853+X853, 0) + J854 ,
        VLOOKUP(YEAR(A854), Lookup!$Q:$R, 2)
      )
    ),
  B854&gt;=65,
    IF(AA853+J854 &lt; VLOOKUP(questions!$C$5, Lookup!$Q:$R, 2),
      AA853 + IF(MONTH(A854)=12, R853+X853, 0) + J854 ,
      MIN(
        AA853 + IF(MONTH(A854)=12, R853+X853, 0) + J854,
        VLOOKUP(questions!$C$5, Lookup!$Q:$R, 2)
      )
    )
)</f>
        <v>282111.0086</v>
      </c>
      <c r="AB854" s="65">
        <f t="shared" si="13"/>
        <v>3464882.672</v>
      </c>
      <c r="AC854" s="66">
        <f t="array" ref="AC854">IFS(B854&lt;66, XLOOKUP(year(A854),Lookup!$K$13:$K1000,Lookup!$L$13:$L1000,"missing",,1),B854&gt;65,XLOOKUP(questions!$C$5,Lookup!$K$13:$K1000,Lookup!$L$13:$L1000,"missing",,1))</f>
        <v>393675.3633</v>
      </c>
      <c r="AD854" s="66">
        <f t="array" ref="AD854">IFS(B854&lt;66, XLOOKUP(year(A854),Lookup!$K$13:$K1000,Lookup!$M$13:$M1000,"missing",,1),B854&gt;65, XLOOKUP(questions!$C$5,Lookup!$K$13:$K1000,Lookup!$M$13:$M1000,"missing",,1))</f>
        <v>787350.7266</v>
      </c>
      <c r="AE854" s="66">
        <f t="array" ref="AE854">IFS(B854&lt;66, XLOOKUP(year(A854),Lookup!$K$13:$K1000,Lookup!$N$13:$N1000,"missing",,1),B854&gt;65,XLOOKUP(questions!$C$5,Lookup!$K$13:$K1000,Lookup!$N$13:$N1000,"missing",,1))</f>
        <v>1574701.453</v>
      </c>
      <c r="AF854" s="37"/>
      <c r="AG854" s="37"/>
      <c r="AH854" s="37"/>
      <c r="AI854" s="37"/>
      <c r="AJ854" s="37"/>
      <c r="AK854" s="37"/>
      <c r="AL854" s="37"/>
      <c r="AM854" s="37"/>
      <c r="AN854" s="37"/>
      <c r="AO854" s="37"/>
      <c r="AP854" s="37"/>
      <c r="AQ854" s="37"/>
    </row>
    <row r="855">
      <c r="A855" s="55">
        <f t="shared" si="7"/>
        <v>72045</v>
      </c>
      <c r="B855" s="56">
        <f>round(YEARFRAC(EOMONTH(questions!$C$3, 0),A855,1),2)</f>
        <v>98.33</v>
      </c>
      <c r="C855" s="58">
        <f>IF(B855&lt;questions!$C$6,if(MONTH(A855)=1,C854*(1+questions!$C$12),C854),0)</f>
        <v>0</v>
      </c>
      <c r="D855" s="58">
        <f>IF(MONTH(A855)=12,C855*questions!$C$11,0)</f>
        <v>0</v>
      </c>
      <c r="E855" s="71">
        <f t="shared" si="2"/>
        <v>0</v>
      </c>
      <c r="F855" s="71">
        <f t="shared" si="3"/>
        <v>0</v>
      </c>
      <c r="G855" s="61">
        <f t="array" ref="G855">if(YEAR(A855)=2025,XLOOKUP(B855,Lookup!$A$3:$A$7,Lookup!$D$3:$D$7,,1)*SUM(E855:F855), XLOOKUP(B855,Lookup!$A$14:$A$18,Lookup!$D$14:$D$18,,1)*SUM(E855:F855))</f>
        <v>0</v>
      </c>
      <c r="H855" s="61">
        <f t="array" ref="H855">if(YEAR(A855)=2025,XLOOKUP(B855,Lookup!$F$3:$F$10,Lookup!$G$3:$G$10,,1)*G855, XLOOKUP(B855,Lookup!$F$14:$F$21,Lookup!$G$14:$G$21,,1)*G855)</f>
        <v>0</v>
      </c>
      <c r="I855" s="61">
        <f t="array" ref="I855">if(B855&lt;55, if(YEAR(A855)=2025,XLOOKUP(B855,Lookup!$F$3:$F$10,Lookup!$H$3:$H$10,,1)*G855, XLOOKUP(B855,Lookup!$F$14:$F$21,Lookup!$H$14:$H$21,,1)*G855),0)</f>
        <v>0</v>
      </c>
      <c r="J855" s="61">
        <f t="array" ref="J855">if(YEAR(A855)=2025,XLOOKUP(B855,Lookup!$F$3:$F$10,Lookup!$I$3:$I$10,,1)*G855, XLOOKUP(B855,Lookup!$F$14:$F$21,Lookup!$I$14:$I$21,,1)*G855)</f>
        <v>0</v>
      </c>
      <c r="K855" s="61">
        <f t="array" ref="K855">if(B855&gt;54, if(YEAR(A855)=2025,XLOOKUP(B855,Lookup!$F$3:$F$10,Lookup!$H$3:$H$10,,1)*G855, XLOOKUP(B855,Lookup!$F$14:$F$21,Lookup!$H$14:$H$21,,1)*G855),0)</f>
        <v>0</v>
      </c>
      <c r="L855" s="62">
        <f>IF(and(A855&lt;questions!$C$19,questions!$C$18="yes"),questions!$C$20,0)</f>
        <v>0</v>
      </c>
      <c r="M855" s="63">
        <f>(Y854+H855)*Lookup!A$26/12</f>
        <v>4652.643296</v>
      </c>
      <c r="N855" s="63">
        <f>if(B855&lt;55, (Z854+I855)*Lookup!B$26/12, (AB854+K855)*Lookup!B$26/12)</f>
        <v>11549.60891</v>
      </c>
      <c r="O855" s="63">
        <f>(AA854+J855)*Lookup!C$26/12</f>
        <v>940.3700287</v>
      </c>
      <c r="P855" s="63">
        <f t="shared" si="8"/>
        <v>13957.92989</v>
      </c>
      <c r="Q855" s="63">
        <f t="shared" si="4"/>
        <v>34648.82672</v>
      </c>
      <c r="R855" s="63">
        <f t="shared" si="5"/>
        <v>2821.110086</v>
      </c>
      <c r="S855" s="64">
        <f t="shared" si="9"/>
        <v>33.33333333</v>
      </c>
      <c r="T855" s="64">
        <f t="shared" si="10"/>
        <v>41.66666667</v>
      </c>
      <c r="U855" s="64">
        <f t="shared" si="11"/>
        <v>0</v>
      </c>
      <c r="V855" s="64">
        <f t="shared" ref="V855:X855" si="863">IF(year($A855)=year($A854), V854+S855, S855)</f>
        <v>100</v>
      </c>
      <c r="W855" s="64">
        <f t="shared" si="863"/>
        <v>125</v>
      </c>
      <c r="X855" s="64">
        <f t="shared" si="863"/>
        <v>0</v>
      </c>
      <c r="Y855" s="65">
        <f>IFS(
  B855&lt;55,
    MAX(
      Y854 + IF(MONTH(A855)=12, P855+V855, 0) + H855 - L855
      + MAX(0,
          IF(AA854 &gt;= VLOOKUP(YEAR(A855), Lookup!$Q:$R, 2),
            Z854 + IF(MONTH(A855)=12, Q855+W855, 0) + I855
              + AA854 + IF(MONTH(A855)=12, R855+X855, 0)
              - VLOOKUP(YEAR(A855), Lookup!$Q:$R, 2) + J855,
            Z854 + IF(MONTH(A855)=12, Q855+W855, 0) + I855
          ) - VLOOKUP(YEAR(A855), Lookup!$K:$M, 3)
        ),
    0),
  B855=55,
    IF(Z854&gt;=AD855,
      MAX(Y854 + IF(MONTH(A855)=12, P855+V855, 0) + H855 - L855, 0),
      MAX(MAX(0, Y854-(AD855-Z854)) + IF(MONTH(A855)=12, P855+V855, 0) + H855 - L855, 0)
    ),
  B855&gt;55,
    IF(AB854&gt;=$AH$7,
      MAX(Y854 + IF(MONTH(A855)=12, P855+V855, 0) + H855 - L855 + K855 + Z854, 0),
      MAX(Y854 + IF(MONTH(A855)=12, P855+V855, 0) + H855 - L855, 0)
    )
)</f>
        <v>2233268.782</v>
      </c>
      <c r="Z855" s="65">
        <f>IFS(
  B855&lt;55,
    MIN(
      IF(AA854 &gt;= VLOOKUP(YEAR(A855), Lookup!$Q:$R, 2),
        Z854 + IF(MONTH(A855)=12, Q855+W855, 0) + I855
          + AA854 + IF(MONTH(A855)=12, R855+X855, 0) - VLOOKUP(YEAR(A855), Lookup!$Q:$R, 2) + J855,
        Z854 + IF(MONTH(A855)=12, Q855+W855, 0) + I855
      ),
      VLOOKUP(YEAR(A855), Lookup!$K:$M, 3)
    ),
  B855=55,
    IF(Z854 &gt;= AD855, Z854 - AD855, 0),
  B855&gt;55, 0
)</f>
        <v>0</v>
      </c>
      <c r="AA855" s="65">
        <f>IFS(
  B855&lt;65,
    IF(AA854+J855 &lt; VLOOKUP(YEAR(A855), Lookup!$Q:$R, 2),
      AA854 + IF(MONTH(A855)=12, R854+X854, 0) + J855,
      MIN(
        AA854 + IF(MONTH(A855)=12, R854+X854, 0) + J855 ,
        VLOOKUP(YEAR(A855), Lookup!$Q:$R, 2)
      )
    ),
  B855&gt;=65,
    IF(AA854+J855 &lt; VLOOKUP(questions!$C$5, Lookup!$Q:$R, 2),
      AA854 + IF(MONTH(A855)=12, R854+X854, 0) + J855 ,
      MIN(
        AA854 + IF(MONTH(A855)=12, R854+X854, 0) + J855,
        VLOOKUP(questions!$C$5, Lookup!$Q:$R, 2)
      )
    )
)</f>
        <v>282111.0086</v>
      </c>
      <c r="AB855" s="65">
        <f t="shared" si="13"/>
        <v>3464882.672</v>
      </c>
      <c r="AC855" s="66">
        <f t="array" ref="AC855">IFS(B855&lt;66, XLOOKUP(year(A855),Lookup!$K$13:$K1000,Lookup!$L$13:$L1000,"missing",,1),B855&gt;65,XLOOKUP(questions!$C$5,Lookup!$K$13:$K1000,Lookup!$L$13:$L1000,"missing",,1))</f>
        <v>393675.3633</v>
      </c>
      <c r="AD855" s="66">
        <f t="array" ref="AD855">IFS(B855&lt;66, XLOOKUP(year(A855),Lookup!$K$13:$K1000,Lookup!$M$13:$M1000,"missing",,1),B855&gt;65, XLOOKUP(questions!$C$5,Lookup!$K$13:$K1000,Lookup!$M$13:$M1000,"missing",,1))</f>
        <v>787350.7266</v>
      </c>
      <c r="AE855" s="66">
        <f t="array" ref="AE855">IFS(B855&lt;66, XLOOKUP(year(A855),Lookup!$K$13:$K1000,Lookup!$N$13:$N1000,"missing",,1),B855&gt;65,XLOOKUP(questions!$C$5,Lookup!$K$13:$K1000,Lookup!$N$13:$N1000,"missing",,1))</f>
        <v>1574701.453</v>
      </c>
      <c r="AF855" s="37"/>
      <c r="AG855" s="37"/>
      <c r="AH855" s="37"/>
      <c r="AI855" s="37"/>
      <c r="AJ855" s="37"/>
      <c r="AK855" s="37"/>
      <c r="AL855" s="37"/>
      <c r="AM855" s="37"/>
      <c r="AN855" s="37"/>
      <c r="AO855" s="37"/>
      <c r="AP855" s="37"/>
      <c r="AQ855" s="37"/>
    </row>
    <row r="856">
      <c r="A856" s="55">
        <f t="shared" si="7"/>
        <v>72075</v>
      </c>
      <c r="B856" s="56">
        <f>round(YEARFRAC(EOMONTH(questions!$C$3, 0),A856,1),2)</f>
        <v>98.41</v>
      </c>
      <c r="C856" s="58">
        <f>IF(B856&lt;questions!$C$6,if(MONTH(A856)=1,C855*(1+questions!$C$12),C855),0)</f>
        <v>0</v>
      </c>
      <c r="D856" s="58">
        <f>IF(MONTH(A856)=12,C856*questions!$C$11,0)</f>
        <v>0</v>
      </c>
      <c r="E856" s="71">
        <f t="shared" si="2"/>
        <v>0</v>
      </c>
      <c r="F856" s="71">
        <f t="shared" si="3"/>
        <v>0</v>
      </c>
      <c r="G856" s="61">
        <f t="array" ref="G856">if(YEAR(A856)=2025,XLOOKUP(B856,Lookup!$A$3:$A$7,Lookup!$D$3:$D$7,,1)*SUM(E856:F856), XLOOKUP(B856,Lookup!$A$14:$A$18,Lookup!$D$14:$D$18,,1)*SUM(E856:F856))</f>
        <v>0</v>
      </c>
      <c r="H856" s="61">
        <f t="array" ref="H856">if(YEAR(A856)=2025,XLOOKUP(B856,Lookup!$F$3:$F$10,Lookup!$G$3:$G$10,,1)*G856, XLOOKUP(B856,Lookup!$F$14:$F$21,Lookup!$G$14:$G$21,,1)*G856)</f>
        <v>0</v>
      </c>
      <c r="I856" s="61">
        <f t="array" ref="I856">if(B856&lt;55, if(YEAR(A856)=2025,XLOOKUP(B856,Lookup!$F$3:$F$10,Lookup!$H$3:$H$10,,1)*G856, XLOOKUP(B856,Lookup!$F$14:$F$21,Lookup!$H$14:$H$21,,1)*G856),0)</f>
        <v>0</v>
      </c>
      <c r="J856" s="61">
        <f t="array" ref="J856">if(YEAR(A856)=2025,XLOOKUP(B856,Lookup!$F$3:$F$10,Lookup!$I$3:$I$10,,1)*G856, XLOOKUP(B856,Lookup!$F$14:$F$21,Lookup!$I$14:$I$21,,1)*G856)</f>
        <v>0</v>
      </c>
      <c r="K856" s="61">
        <f t="array" ref="K856">if(B856&gt;54, if(YEAR(A856)=2025,XLOOKUP(B856,Lookup!$F$3:$F$10,Lookup!$H$3:$H$10,,1)*G856, XLOOKUP(B856,Lookup!$F$14:$F$21,Lookup!$H$14:$H$21,,1)*G856),0)</f>
        <v>0</v>
      </c>
      <c r="L856" s="62">
        <f>IF(and(A856&lt;questions!$C$19,questions!$C$18="yes"),questions!$C$20,0)</f>
        <v>0</v>
      </c>
      <c r="M856" s="63">
        <f>(Y855+H856)*Lookup!A$26/12</f>
        <v>4652.643296</v>
      </c>
      <c r="N856" s="63">
        <f>if(B856&lt;55, (Z855+I856)*Lookup!B$26/12, (AB855+K856)*Lookup!B$26/12)</f>
        <v>11549.60891</v>
      </c>
      <c r="O856" s="63">
        <f>(AA855+J856)*Lookup!C$26/12</f>
        <v>940.3700287</v>
      </c>
      <c r="P856" s="63">
        <f t="shared" si="8"/>
        <v>18610.57318</v>
      </c>
      <c r="Q856" s="63">
        <f t="shared" si="4"/>
        <v>46198.43563</v>
      </c>
      <c r="R856" s="63">
        <f t="shared" si="5"/>
        <v>3761.480115</v>
      </c>
      <c r="S856" s="64">
        <f t="shared" si="9"/>
        <v>33.33333333</v>
      </c>
      <c r="T856" s="64">
        <f t="shared" si="10"/>
        <v>41.66666667</v>
      </c>
      <c r="U856" s="64">
        <f t="shared" si="11"/>
        <v>0</v>
      </c>
      <c r="V856" s="64">
        <f t="shared" ref="V856:X856" si="864">IF(year($A856)=year($A855), V855+S856, S856)</f>
        <v>133.3333333</v>
      </c>
      <c r="W856" s="64">
        <f t="shared" si="864"/>
        <v>166.6666667</v>
      </c>
      <c r="X856" s="64">
        <f t="shared" si="864"/>
        <v>0</v>
      </c>
      <c r="Y856" s="65">
        <f>IFS(
  B856&lt;55,
    MAX(
      Y855 + IF(MONTH(A856)=12, P856+V856, 0) + H856 - L856
      + MAX(0,
          IF(AA855 &gt;= VLOOKUP(YEAR(A856), Lookup!$Q:$R, 2),
            Z855 + IF(MONTH(A856)=12, Q856+W856, 0) + I856
              + AA855 + IF(MONTH(A856)=12, R856+X856, 0)
              - VLOOKUP(YEAR(A856), Lookup!$Q:$R, 2) + J856,
            Z855 + IF(MONTH(A856)=12, Q856+W856, 0) + I856
          ) - VLOOKUP(YEAR(A856), Lookup!$K:$M, 3)
        ),
    0),
  B856=55,
    IF(Z855&gt;=AD856,
      MAX(Y855 + IF(MONTH(A856)=12, P856+V856, 0) + H856 - L856, 0),
      MAX(MAX(0, Y855-(AD856-Z855)) + IF(MONTH(A856)=12, P856+V856, 0) + H856 - L856, 0)
    ),
  B856&gt;55,
    IF(AB855&gt;=$AH$7,
      MAX(Y855 + IF(MONTH(A856)=12, P856+V856, 0) + H856 - L856 + K856 + Z855, 0),
      MAX(Y855 + IF(MONTH(A856)=12, P856+V856, 0) + H856 - L856, 0)
    )
)</f>
        <v>2233268.782</v>
      </c>
      <c r="Z856" s="65">
        <f>IFS(
  B856&lt;55,
    MIN(
      IF(AA855 &gt;= VLOOKUP(YEAR(A856), Lookup!$Q:$R, 2),
        Z855 + IF(MONTH(A856)=12, Q856+W856, 0) + I856
          + AA855 + IF(MONTH(A856)=12, R856+X856, 0) - VLOOKUP(YEAR(A856), Lookup!$Q:$R, 2) + J856,
        Z855 + IF(MONTH(A856)=12, Q856+W856, 0) + I856
      ),
      VLOOKUP(YEAR(A856), Lookup!$K:$M, 3)
    ),
  B856=55,
    IF(Z855 &gt;= AD856, Z855 - AD856, 0),
  B856&gt;55, 0
)</f>
        <v>0</v>
      </c>
      <c r="AA856" s="65">
        <f>IFS(
  B856&lt;65,
    IF(AA855+J856 &lt; VLOOKUP(YEAR(A856), Lookup!$Q:$R, 2),
      AA855 + IF(MONTH(A856)=12, R855+X855, 0) + J856,
      MIN(
        AA855 + IF(MONTH(A856)=12, R855+X855, 0) + J856 ,
        VLOOKUP(YEAR(A856), Lookup!$Q:$R, 2)
      )
    ),
  B856&gt;=65,
    IF(AA855+J856 &lt; VLOOKUP(questions!$C$5, Lookup!$Q:$R, 2),
      AA855 + IF(MONTH(A856)=12, R855+X855, 0) + J856 ,
      MIN(
        AA855 + IF(MONTH(A856)=12, R855+X855, 0) + J856,
        VLOOKUP(questions!$C$5, Lookup!$Q:$R, 2)
      )
    )
)</f>
        <v>282111.0086</v>
      </c>
      <c r="AB856" s="65">
        <f t="shared" si="13"/>
        <v>3464882.672</v>
      </c>
      <c r="AC856" s="66">
        <f t="array" ref="AC856">IFS(B856&lt;66, XLOOKUP(year(A856),Lookup!$K$13:$K1000,Lookup!$L$13:$L1000,"missing",,1),B856&gt;65,XLOOKUP(questions!$C$5,Lookup!$K$13:$K1000,Lookup!$L$13:$L1000,"missing",,1))</f>
        <v>393675.3633</v>
      </c>
      <c r="AD856" s="66">
        <f t="array" ref="AD856">IFS(B856&lt;66, XLOOKUP(year(A856),Lookup!$K$13:$K1000,Lookup!$M$13:$M1000,"missing",,1),B856&gt;65, XLOOKUP(questions!$C$5,Lookup!$K$13:$K1000,Lookup!$M$13:$M1000,"missing",,1))</f>
        <v>787350.7266</v>
      </c>
      <c r="AE856" s="66">
        <f t="array" ref="AE856">IFS(B856&lt;66, XLOOKUP(year(A856),Lookup!$K$13:$K1000,Lookup!$N$13:$N1000,"missing",,1),B856&gt;65,XLOOKUP(questions!$C$5,Lookup!$K$13:$K1000,Lookup!$N$13:$N1000,"missing",,1))</f>
        <v>1574701.453</v>
      </c>
      <c r="AF856" s="37"/>
      <c r="AG856" s="37"/>
      <c r="AH856" s="37"/>
      <c r="AI856" s="37"/>
      <c r="AJ856" s="37"/>
      <c r="AK856" s="37"/>
      <c r="AL856" s="37"/>
      <c r="AM856" s="37"/>
      <c r="AN856" s="37"/>
      <c r="AO856" s="37"/>
      <c r="AP856" s="37"/>
      <c r="AQ856" s="37"/>
    </row>
    <row r="857">
      <c r="A857" s="55">
        <f t="shared" si="7"/>
        <v>72106</v>
      </c>
      <c r="B857" s="56">
        <f>round(YEARFRAC(EOMONTH(questions!$C$3, 0),A857,1),2)</f>
        <v>98.5</v>
      </c>
      <c r="C857" s="58">
        <f>IF(B857&lt;questions!$C$6,if(MONTH(A857)=1,C856*(1+questions!$C$12),C856),0)</f>
        <v>0</v>
      </c>
      <c r="D857" s="58">
        <f>IF(MONTH(A857)=12,C857*questions!$C$11,0)</f>
        <v>0</v>
      </c>
      <c r="E857" s="71">
        <f t="shared" si="2"/>
        <v>0</v>
      </c>
      <c r="F857" s="71">
        <f t="shared" si="3"/>
        <v>0</v>
      </c>
      <c r="G857" s="61">
        <f t="array" ref="G857">if(YEAR(A857)=2025,XLOOKUP(B857,Lookup!$A$3:$A$7,Lookup!$D$3:$D$7,,1)*SUM(E857:F857), XLOOKUP(B857,Lookup!$A$14:$A$18,Lookup!$D$14:$D$18,,1)*SUM(E857:F857))</f>
        <v>0</v>
      </c>
      <c r="H857" s="61">
        <f t="array" ref="H857">if(YEAR(A857)=2025,XLOOKUP(B857,Lookup!$F$3:$F$10,Lookup!$G$3:$G$10,,1)*G857, XLOOKUP(B857,Lookup!$F$14:$F$21,Lookup!$G$14:$G$21,,1)*G857)</f>
        <v>0</v>
      </c>
      <c r="I857" s="61">
        <f t="array" ref="I857">if(B857&lt;55, if(YEAR(A857)=2025,XLOOKUP(B857,Lookup!$F$3:$F$10,Lookup!$H$3:$H$10,,1)*G857, XLOOKUP(B857,Lookup!$F$14:$F$21,Lookup!$H$14:$H$21,,1)*G857),0)</f>
        <v>0</v>
      </c>
      <c r="J857" s="61">
        <f t="array" ref="J857">if(YEAR(A857)=2025,XLOOKUP(B857,Lookup!$F$3:$F$10,Lookup!$I$3:$I$10,,1)*G857, XLOOKUP(B857,Lookup!$F$14:$F$21,Lookup!$I$14:$I$21,,1)*G857)</f>
        <v>0</v>
      </c>
      <c r="K857" s="61">
        <f t="array" ref="K857">if(B857&gt;54, if(YEAR(A857)=2025,XLOOKUP(B857,Lookup!$F$3:$F$10,Lookup!$H$3:$H$10,,1)*G857, XLOOKUP(B857,Lookup!$F$14:$F$21,Lookup!$H$14:$H$21,,1)*G857),0)</f>
        <v>0</v>
      </c>
      <c r="L857" s="62">
        <f>IF(and(A857&lt;questions!$C$19,questions!$C$18="yes"),questions!$C$20,0)</f>
        <v>0</v>
      </c>
      <c r="M857" s="63">
        <f>(Y856+H857)*Lookup!A$26/12</f>
        <v>4652.643296</v>
      </c>
      <c r="N857" s="63">
        <f>if(B857&lt;55, (Z856+I857)*Lookup!B$26/12, (AB856+K857)*Lookup!B$26/12)</f>
        <v>11549.60891</v>
      </c>
      <c r="O857" s="63">
        <f>(AA856+J857)*Lookup!C$26/12</f>
        <v>940.3700287</v>
      </c>
      <c r="P857" s="63">
        <f t="shared" si="8"/>
        <v>23263.21648</v>
      </c>
      <c r="Q857" s="63">
        <f t="shared" si="4"/>
        <v>57748.04453</v>
      </c>
      <c r="R857" s="63">
        <f t="shared" si="5"/>
        <v>4701.850143</v>
      </c>
      <c r="S857" s="64">
        <f t="shared" si="9"/>
        <v>33.33333333</v>
      </c>
      <c r="T857" s="64">
        <f t="shared" si="10"/>
        <v>41.66666667</v>
      </c>
      <c r="U857" s="64">
        <f t="shared" si="11"/>
        <v>0</v>
      </c>
      <c r="V857" s="64">
        <f t="shared" ref="V857:X857" si="865">IF(year($A857)=year($A856), V856+S857, S857)</f>
        <v>166.6666667</v>
      </c>
      <c r="W857" s="64">
        <f t="shared" si="865"/>
        <v>208.3333333</v>
      </c>
      <c r="X857" s="64">
        <f t="shared" si="865"/>
        <v>0</v>
      </c>
      <c r="Y857" s="65">
        <f>IFS(
  B857&lt;55,
    MAX(
      Y856 + IF(MONTH(A857)=12, P857+V857, 0) + H857 - L857
      + MAX(0,
          IF(AA856 &gt;= VLOOKUP(YEAR(A857), Lookup!$Q:$R, 2),
            Z856 + IF(MONTH(A857)=12, Q857+W857, 0) + I857
              + AA856 + IF(MONTH(A857)=12, R857+X857, 0)
              - VLOOKUP(YEAR(A857), Lookup!$Q:$R, 2) + J857,
            Z856 + IF(MONTH(A857)=12, Q857+W857, 0) + I857
          ) - VLOOKUP(YEAR(A857), Lookup!$K:$M, 3)
        ),
    0),
  B857=55,
    IF(Z856&gt;=AD857,
      MAX(Y856 + IF(MONTH(A857)=12, P857+V857, 0) + H857 - L857, 0),
      MAX(MAX(0, Y856-(AD857-Z856)) + IF(MONTH(A857)=12, P857+V857, 0) + H857 - L857, 0)
    ),
  B857&gt;55,
    IF(AB856&gt;=$AH$7,
      MAX(Y856 + IF(MONTH(A857)=12, P857+V857, 0) + H857 - L857 + K857 + Z856, 0),
      MAX(Y856 + IF(MONTH(A857)=12, P857+V857, 0) + H857 - L857, 0)
    )
)</f>
        <v>2233268.782</v>
      </c>
      <c r="Z857" s="65">
        <f>IFS(
  B857&lt;55,
    MIN(
      IF(AA856 &gt;= VLOOKUP(YEAR(A857), Lookup!$Q:$R, 2),
        Z856 + IF(MONTH(A857)=12, Q857+W857, 0) + I857
          + AA856 + IF(MONTH(A857)=12, R857+X857, 0) - VLOOKUP(YEAR(A857), Lookup!$Q:$R, 2) + J857,
        Z856 + IF(MONTH(A857)=12, Q857+W857, 0) + I857
      ),
      VLOOKUP(YEAR(A857), Lookup!$K:$M, 3)
    ),
  B857=55,
    IF(Z856 &gt;= AD857, Z856 - AD857, 0),
  B857&gt;55, 0
)</f>
        <v>0</v>
      </c>
      <c r="AA857" s="65">
        <f>IFS(
  B857&lt;65,
    IF(AA856+J857 &lt; VLOOKUP(YEAR(A857), Lookup!$Q:$R, 2),
      AA856 + IF(MONTH(A857)=12, R856+X856, 0) + J857,
      MIN(
        AA856 + IF(MONTH(A857)=12, R856+X856, 0) + J857 ,
        VLOOKUP(YEAR(A857), Lookup!$Q:$R, 2)
      )
    ),
  B857&gt;=65,
    IF(AA856+J857 &lt; VLOOKUP(questions!$C$5, Lookup!$Q:$R, 2),
      AA856 + IF(MONTH(A857)=12, R856+X856, 0) + J857 ,
      MIN(
        AA856 + IF(MONTH(A857)=12, R856+X856, 0) + J857,
        VLOOKUP(questions!$C$5, Lookup!$Q:$R, 2)
      )
    )
)</f>
        <v>282111.0086</v>
      </c>
      <c r="AB857" s="65">
        <f t="shared" si="13"/>
        <v>3464882.672</v>
      </c>
      <c r="AC857" s="66">
        <f t="array" ref="AC857">IFS(B857&lt;66, XLOOKUP(year(A857),Lookup!$K$13:$K1000,Lookup!$L$13:$L1000,"missing",,1),B857&gt;65,XLOOKUP(questions!$C$5,Lookup!$K$13:$K1000,Lookup!$L$13:$L1000,"missing",,1))</f>
        <v>393675.3633</v>
      </c>
      <c r="AD857" s="66">
        <f t="array" ref="AD857">IFS(B857&lt;66, XLOOKUP(year(A857),Lookup!$K$13:$K1000,Lookup!$M$13:$M1000,"missing",,1),B857&gt;65, XLOOKUP(questions!$C$5,Lookup!$K$13:$K1000,Lookup!$M$13:$M1000,"missing",,1))</f>
        <v>787350.7266</v>
      </c>
      <c r="AE857" s="66">
        <f t="array" ref="AE857">IFS(B857&lt;66, XLOOKUP(year(A857),Lookup!$K$13:$K1000,Lookup!$N$13:$N1000,"missing",,1),B857&gt;65,XLOOKUP(questions!$C$5,Lookup!$K$13:$K1000,Lookup!$N$13:$N1000,"missing",,1))</f>
        <v>1574701.453</v>
      </c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  <c r="AQ857" s="37"/>
    </row>
    <row r="858">
      <c r="A858" s="55">
        <f t="shared" si="7"/>
        <v>72136</v>
      </c>
      <c r="B858" s="56">
        <f>round(YEARFRAC(EOMONTH(questions!$C$3, 0),A858,1),2)</f>
        <v>98.58</v>
      </c>
      <c r="C858" s="58">
        <f>IF(B858&lt;questions!$C$6,if(MONTH(A858)=1,C857*(1+questions!$C$12),C857),0)</f>
        <v>0</v>
      </c>
      <c r="D858" s="58">
        <f>IF(MONTH(A858)=12,C858*questions!$C$11,0)</f>
        <v>0</v>
      </c>
      <c r="E858" s="71">
        <f t="shared" si="2"/>
        <v>0</v>
      </c>
      <c r="F858" s="71">
        <f t="shared" si="3"/>
        <v>0</v>
      </c>
      <c r="G858" s="61">
        <f t="array" ref="G858">if(YEAR(A858)=2025,XLOOKUP(B858,Lookup!$A$3:$A$7,Lookup!$D$3:$D$7,,1)*SUM(E858:F858), XLOOKUP(B858,Lookup!$A$14:$A$18,Lookup!$D$14:$D$18,,1)*SUM(E858:F858))</f>
        <v>0</v>
      </c>
      <c r="H858" s="61">
        <f t="array" ref="H858">if(YEAR(A858)=2025,XLOOKUP(B858,Lookup!$F$3:$F$10,Lookup!$G$3:$G$10,,1)*G858, XLOOKUP(B858,Lookup!$F$14:$F$21,Lookup!$G$14:$G$21,,1)*G858)</f>
        <v>0</v>
      </c>
      <c r="I858" s="61">
        <f t="array" ref="I858">if(B858&lt;55, if(YEAR(A858)=2025,XLOOKUP(B858,Lookup!$F$3:$F$10,Lookup!$H$3:$H$10,,1)*G858, XLOOKUP(B858,Lookup!$F$14:$F$21,Lookup!$H$14:$H$21,,1)*G858),0)</f>
        <v>0</v>
      </c>
      <c r="J858" s="61">
        <f t="array" ref="J858">if(YEAR(A858)=2025,XLOOKUP(B858,Lookup!$F$3:$F$10,Lookup!$I$3:$I$10,,1)*G858, XLOOKUP(B858,Lookup!$F$14:$F$21,Lookup!$I$14:$I$21,,1)*G858)</f>
        <v>0</v>
      </c>
      <c r="K858" s="61">
        <f t="array" ref="K858">if(B858&gt;54, if(YEAR(A858)=2025,XLOOKUP(B858,Lookup!$F$3:$F$10,Lookup!$H$3:$H$10,,1)*G858, XLOOKUP(B858,Lookup!$F$14:$F$21,Lookup!$H$14:$H$21,,1)*G858),0)</f>
        <v>0</v>
      </c>
      <c r="L858" s="62">
        <f>IF(and(A858&lt;questions!$C$19,questions!$C$18="yes"),questions!$C$20,0)</f>
        <v>0</v>
      </c>
      <c r="M858" s="63">
        <f>(Y857+H858)*Lookup!A$26/12</f>
        <v>4652.643296</v>
      </c>
      <c r="N858" s="63">
        <f>if(B858&lt;55, (Z857+I858)*Lookup!B$26/12, (AB857+K858)*Lookup!B$26/12)</f>
        <v>11549.60891</v>
      </c>
      <c r="O858" s="63">
        <f>(AA857+J858)*Lookup!C$26/12</f>
        <v>940.3700287</v>
      </c>
      <c r="P858" s="63">
        <f t="shared" si="8"/>
        <v>27915.85977</v>
      </c>
      <c r="Q858" s="63">
        <f t="shared" si="4"/>
        <v>69297.65344</v>
      </c>
      <c r="R858" s="63">
        <f t="shared" si="5"/>
        <v>5642.220172</v>
      </c>
      <c r="S858" s="64">
        <f t="shared" si="9"/>
        <v>33.33333333</v>
      </c>
      <c r="T858" s="64">
        <f t="shared" si="10"/>
        <v>41.66666667</v>
      </c>
      <c r="U858" s="64">
        <f t="shared" si="11"/>
        <v>0</v>
      </c>
      <c r="V858" s="64">
        <f t="shared" ref="V858:X858" si="866">IF(year($A858)=year($A857), V857+S858, S858)</f>
        <v>200</v>
      </c>
      <c r="W858" s="64">
        <f t="shared" si="866"/>
        <v>250</v>
      </c>
      <c r="X858" s="64">
        <f t="shared" si="866"/>
        <v>0</v>
      </c>
      <c r="Y858" s="65">
        <f>IFS(
  B858&lt;55,
    MAX(
      Y857 + IF(MONTH(A858)=12, P858+V858, 0) + H858 - L858
      + MAX(0,
          IF(AA857 &gt;= VLOOKUP(YEAR(A858), Lookup!$Q:$R, 2),
            Z857 + IF(MONTH(A858)=12, Q858+W858, 0) + I858
              + AA857 + IF(MONTH(A858)=12, R858+X858, 0)
              - VLOOKUP(YEAR(A858), Lookup!$Q:$R, 2) + J858,
            Z857 + IF(MONTH(A858)=12, Q858+W858, 0) + I858
          ) - VLOOKUP(YEAR(A858), Lookup!$K:$M, 3)
        ),
    0),
  B858=55,
    IF(Z857&gt;=AD858,
      MAX(Y857 + IF(MONTH(A858)=12, P858+V858, 0) + H858 - L858, 0),
      MAX(MAX(0, Y857-(AD858-Z857)) + IF(MONTH(A858)=12, P858+V858, 0) + H858 - L858, 0)
    ),
  B858&gt;55,
    IF(AB857&gt;=$AH$7,
      MAX(Y857 + IF(MONTH(A858)=12, P858+V858, 0) + H858 - L858 + K858 + Z857, 0),
      MAX(Y857 + IF(MONTH(A858)=12, P858+V858, 0) + H858 - L858, 0)
    )
)</f>
        <v>2233268.782</v>
      </c>
      <c r="Z858" s="65">
        <f>IFS(
  B858&lt;55,
    MIN(
      IF(AA857 &gt;= VLOOKUP(YEAR(A858), Lookup!$Q:$R, 2),
        Z857 + IF(MONTH(A858)=12, Q858+W858, 0) + I858
          + AA857 + IF(MONTH(A858)=12, R858+X858, 0) - VLOOKUP(YEAR(A858), Lookup!$Q:$R, 2) + J858,
        Z857 + IF(MONTH(A858)=12, Q858+W858, 0) + I858
      ),
      VLOOKUP(YEAR(A858), Lookup!$K:$M, 3)
    ),
  B858=55,
    IF(Z857 &gt;= AD858, Z857 - AD858, 0),
  B858&gt;55, 0
)</f>
        <v>0</v>
      </c>
      <c r="AA858" s="65">
        <f>IFS(
  B858&lt;65,
    IF(AA857+J858 &lt; VLOOKUP(YEAR(A858), Lookup!$Q:$R, 2),
      AA857 + IF(MONTH(A858)=12, R857+X857, 0) + J858,
      MIN(
        AA857 + IF(MONTH(A858)=12, R857+X857, 0) + J858 ,
        VLOOKUP(YEAR(A858), Lookup!$Q:$R, 2)
      )
    ),
  B858&gt;=65,
    IF(AA857+J858 &lt; VLOOKUP(questions!$C$5, Lookup!$Q:$R, 2),
      AA857 + IF(MONTH(A858)=12, R857+X857, 0) + J858 ,
      MIN(
        AA857 + IF(MONTH(A858)=12, R857+X857, 0) + J858,
        VLOOKUP(questions!$C$5, Lookup!$Q:$R, 2)
      )
    )
)</f>
        <v>282111.0086</v>
      </c>
      <c r="AB858" s="65">
        <f t="shared" si="13"/>
        <v>3464882.672</v>
      </c>
      <c r="AC858" s="66">
        <f t="array" ref="AC858">IFS(B858&lt;66, XLOOKUP(year(A858),Lookup!$K$13:$K1000,Lookup!$L$13:$L1000,"missing",,1),B858&gt;65,XLOOKUP(questions!$C$5,Lookup!$K$13:$K1000,Lookup!$L$13:$L1000,"missing",,1))</f>
        <v>393675.3633</v>
      </c>
      <c r="AD858" s="66">
        <f t="array" ref="AD858">IFS(B858&lt;66, XLOOKUP(year(A858),Lookup!$K$13:$K1000,Lookup!$M$13:$M1000,"missing",,1),B858&gt;65, XLOOKUP(questions!$C$5,Lookup!$K$13:$K1000,Lookup!$M$13:$M1000,"missing",,1))</f>
        <v>787350.7266</v>
      </c>
      <c r="AE858" s="66">
        <f t="array" ref="AE858">IFS(B858&lt;66, XLOOKUP(year(A858),Lookup!$K$13:$K1000,Lookup!$N$13:$N1000,"missing",,1),B858&gt;65,XLOOKUP(questions!$C$5,Lookup!$K$13:$K1000,Lookup!$N$13:$N1000,"missing",,1))</f>
        <v>1574701.453</v>
      </c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  <c r="AQ858" s="37"/>
    </row>
    <row r="859">
      <c r="A859" s="55">
        <f t="shared" si="7"/>
        <v>72167</v>
      </c>
      <c r="B859" s="56">
        <f>round(YEARFRAC(EOMONTH(questions!$C$3, 0),A859,1),2)</f>
        <v>98.67</v>
      </c>
      <c r="C859" s="58">
        <f>IF(B859&lt;questions!$C$6,if(MONTH(A859)=1,C858*(1+questions!$C$12),C858),0)</f>
        <v>0</v>
      </c>
      <c r="D859" s="58">
        <f>IF(MONTH(A859)=12,C859*questions!$C$11,0)</f>
        <v>0</v>
      </c>
      <c r="E859" s="71">
        <f t="shared" si="2"/>
        <v>0</v>
      </c>
      <c r="F859" s="71">
        <f t="shared" si="3"/>
        <v>0</v>
      </c>
      <c r="G859" s="61">
        <f t="array" ref="G859">if(YEAR(A859)=2025,XLOOKUP(B859,Lookup!$A$3:$A$7,Lookup!$D$3:$D$7,,1)*SUM(E859:F859), XLOOKUP(B859,Lookup!$A$14:$A$18,Lookup!$D$14:$D$18,,1)*SUM(E859:F859))</f>
        <v>0</v>
      </c>
      <c r="H859" s="61">
        <f t="array" ref="H859">if(YEAR(A859)=2025,XLOOKUP(B859,Lookup!$F$3:$F$10,Lookup!$G$3:$G$10,,1)*G859, XLOOKUP(B859,Lookup!$F$14:$F$21,Lookup!$G$14:$G$21,,1)*G859)</f>
        <v>0</v>
      </c>
      <c r="I859" s="61">
        <f t="array" ref="I859">if(B859&lt;55, if(YEAR(A859)=2025,XLOOKUP(B859,Lookup!$F$3:$F$10,Lookup!$H$3:$H$10,,1)*G859, XLOOKUP(B859,Lookup!$F$14:$F$21,Lookup!$H$14:$H$21,,1)*G859),0)</f>
        <v>0</v>
      </c>
      <c r="J859" s="61">
        <f t="array" ref="J859">if(YEAR(A859)=2025,XLOOKUP(B859,Lookup!$F$3:$F$10,Lookup!$I$3:$I$10,,1)*G859, XLOOKUP(B859,Lookup!$F$14:$F$21,Lookup!$I$14:$I$21,,1)*G859)</f>
        <v>0</v>
      </c>
      <c r="K859" s="61">
        <f t="array" ref="K859">if(B859&gt;54, if(YEAR(A859)=2025,XLOOKUP(B859,Lookup!$F$3:$F$10,Lookup!$H$3:$H$10,,1)*G859, XLOOKUP(B859,Lookup!$F$14:$F$21,Lookup!$H$14:$H$21,,1)*G859),0)</f>
        <v>0</v>
      </c>
      <c r="L859" s="62">
        <f>IF(and(A859&lt;questions!$C$19,questions!$C$18="yes"),questions!$C$20,0)</f>
        <v>0</v>
      </c>
      <c r="M859" s="63">
        <f>(Y858+H859)*Lookup!A$26/12</f>
        <v>4652.643296</v>
      </c>
      <c r="N859" s="63">
        <f>if(B859&lt;55, (Z858+I859)*Lookup!B$26/12, (AB858+K859)*Lookup!B$26/12)</f>
        <v>11549.60891</v>
      </c>
      <c r="O859" s="63">
        <f>(AA858+J859)*Lookup!C$26/12</f>
        <v>940.3700287</v>
      </c>
      <c r="P859" s="63">
        <f t="shared" si="8"/>
        <v>32568.50307</v>
      </c>
      <c r="Q859" s="63">
        <f t="shared" si="4"/>
        <v>80847.26235</v>
      </c>
      <c r="R859" s="63">
        <f t="shared" si="5"/>
        <v>6582.590201</v>
      </c>
      <c r="S859" s="64">
        <f t="shared" si="9"/>
        <v>33.33333333</v>
      </c>
      <c r="T859" s="64">
        <f t="shared" si="10"/>
        <v>41.66666667</v>
      </c>
      <c r="U859" s="64">
        <f t="shared" si="11"/>
        <v>0</v>
      </c>
      <c r="V859" s="64">
        <f t="shared" ref="V859:X859" si="867">IF(year($A859)=year($A858), V858+S859, S859)</f>
        <v>233.3333333</v>
      </c>
      <c r="W859" s="64">
        <f t="shared" si="867"/>
        <v>291.6666667</v>
      </c>
      <c r="X859" s="64">
        <f t="shared" si="867"/>
        <v>0</v>
      </c>
      <c r="Y859" s="65">
        <f>IFS(
  B859&lt;55,
    MAX(
      Y858 + IF(MONTH(A859)=12, P859+V859, 0) + H859 - L859
      + MAX(0,
          IF(AA858 &gt;= VLOOKUP(YEAR(A859), Lookup!$Q:$R, 2),
            Z858 + IF(MONTH(A859)=12, Q859+W859, 0) + I859
              + AA858 + IF(MONTH(A859)=12, R859+X859, 0)
              - VLOOKUP(YEAR(A859), Lookup!$Q:$R, 2) + J859,
            Z858 + IF(MONTH(A859)=12, Q859+W859, 0) + I859
          ) - VLOOKUP(YEAR(A859), Lookup!$K:$M, 3)
        ),
    0),
  B859=55,
    IF(Z858&gt;=AD859,
      MAX(Y858 + IF(MONTH(A859)=12, P859+V859, 0) + H859 - L859, 0),
      MAX(MAX(0, Y858-(AD859-Z858)) + IF(MONTH(A859)=12, P859+V859, 0) + H859 - L859, 0)
    ),
  B859&gt;55,
    IF(AB858&gt;=$AH$7,
      MAX(Y858 + IF(MONTH(A859)=12, P859+V859, 0) + H859 - L859 + K859 + Z858, 0),
      MAX(Y858 + IF(MONTH(A859)=12, P859+V859, 0) + H859 - L859, 0)
    )
)</f>
        <v>2233268.782</v>
      </c>
      <c r="Z859" s="65">
        <f>IFS(
  B859&lt;55,
    MIN(
      IF(AA858 &gt;= VLOOKUP(YEAR(A859), Lookup!$Q:$R, 2),
        Z858 + IF(MONTH(A859)=12, Q859+W859, 0) + I859
          + AA858 + IF(MONTH(A859)=12, R859+X859, 0) - VLOOKUP(YEAR(A859), Lookup!$Q:$R, 2) + J859,
        Z858 + IF(MONTH(A859)=12, Q859+W859, 0) + I859
      ),
      VLOOKUP(YEAR(A859), Lookup!$K:$M, 3)
    ),
  B859=55,
    IF(Z858 &gt;= AD859, Z858 - AD859, 0),
  B859&gt;55, 0
)</f>
        <v>0</v>
      </c>
      <c r="AA859" s="65">
        <f>IFS(
  B859&lt;65,
    IF(AA858+J859 &lt; VLOOKUP(YEAR(A859), Lookup!$Q:$R, 2),
      AA858 + IF(MONTH(A859)=12, R858+X858, 0) + J859,
      MIN(
        AA858 + IF(MONTH(A859)=12, R858+X858, 0) + J859 ,
        VLOOKUP(YEAR(A859), Lookup!$Q:$R, 2)
      )
    ),
  B859&gt;=65,
    IF(AA858+J859 &lt; VLOOKUP(questions!$C$5, Lookup!$Q:$R, 2),
      AA858 + IF(MONTH(A859)=12, R858+X858, 0) + J859 ,
      MIN(
        AA858 + IF(MONTH(A859)=12, R858+X858, 0) + J859,
        VLOOKUP(questions!$C$5, Lookup!$Q:$R, 2)
      )
    )
)</f>
        <v>282111.0086</v>
      </c>
      <c r="AB859" s="65">
        <f t="shared" si="13"/>
        <v>3464882.672</v>
      </c>
      <c r="AC859" s="66">
        <f t="array" ref="AC859">IFS(B859&lt;66, XLOOKUP(year(A859),Lookup!$K$13:$K1000,Lookup!$L$13:$L1000,"missing",,1),B859&gt;65,XLOOKUP(questions!$C$5,Lookup!$K$13:$K1000,Lookup!$L$13:$L1000,"missing",,1))</f>
        <v>393675.3633</v>
      </c>
      <c r="AD859" s="66">
        <f t="array" ref="AD859">IFS(B859&lt;66, XLOOKUP(year(A859),Lookup!$K$13:$K1000,Lookup!$M$13:$M1000,"missing",,1),B859&gt;65, XLOOKUP(questions!$C$5,Lookup!$K$13:$K1000,Lookup!$M$13:$M1000,"missing",,1))</f>
        <v>787350.7266</v>
      </c>
      <c r="AE859" s="66">
        <f t="array" ref="AE859">IFS(B859&lt;66, XLOOKUP(year(A859),Lookup!$K$13:$K1000,Lookup!$N$13:$N1000,"missing",,1),B859&gt;65,XLOOKUP(questions!$C$5,Lookup!$K$13:$K1000,Lookup!$N$13:$N1000,"missing",,1))</f>
        <v>1574701.453</v>
      </c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7"/>
      <c r="AQ859" s="37"/>
    </row>
    <row r="860">
      <c r="A860" s="55">
        <f t="shared" si="7"/>
        <v>72198</v>
      </c>
      <c r="B860" s="56">
        <f>round(YEARFRAC(EOMONTH(questions!$C$3, 0),A860,1),2)</f>
        <v>98.75</v>
      </c>
      <c r="C860" s="58">
        <f>IF(B860&lt;questions!$C$6,if(MONTH(A860)=1,C859*(1+questions!$C$12),C859),0)</f>
        <v>0</v>
      </c>
      <c r="D860" s="58">
        <f>IF(MONTH(A860)=12,C860*questions!$C$11,0)</f>
        <v>0</v>
      </c>
      <c r="E860" s="71">
        <f t="shared" si="2"/>
        <v>0</v>
      </c>
      <c r="F860" s="71">
        <f t="shared" si="3"/>
        <v>0</v>
      </c>
      <c r="G860" s="61">
        <f t="array" ref="G860">if(YEAR(A860)=2025,XLOOKUP(B860,Lookup!$A$3:$A$7,Lookup!$D$3:$D$7,,1)*SUM(E860:F860), XLOOKUP(B860,Lookup!$A$14:$A$18,Lookup!$D$14:$D$18,,1)*SUM(E860:F860))</f>
        <v>0</v>
      </c>
      <c r="H860" s="61">
        <f t="array" ref="H860">if(YEAR(A860)=2025,XLOOKUP(B860,Lookup!$F$3:$F$10,Lookup!$G$3:$G$10,,1)*G860, XLOOKUP(B860,Lookup!$F$14:$F$21,Lookup!$G$14:$G$21,,1)*G860)</f>
        <v>0</v>
      </c>
      <c r="I860" s="61">
        <f t="array" ref="I860">if(B860&lt;55, if(YEAR(A860)=2025,XLOOKUP(B860,Lookup!$F$3:$F$10,Lookup!$H$3:$H$10,,1)*G860, XLOOKUP(B860,Lookup!$F$14:$F$21,Lookup!$H$14:$H$21,,1)*G860),0)</f>
        <v>0</v>
      </c>
      <c r="J860" s="61">
        <f t="array" ref="J860">if(YEAR(A860)=2025,XLOOKUP(B860,Lookup!$F$3:$F$10,Lookup!$I$3:$I$10,,1)*G860, XLOOKUP(B860,Lookup!$F$14:$F$21,Lookup!$I$14:$I$21,,1)*G860)</f>
        <v>0</v>
      </c>
      <c r="K860" s="61">
        <f t="array" ref="K860">if(B860&gt;54, if(YEAR(A860)=2025,XLOOKUP(B860,Lookup!$F$3:$F$10,Lookup!$H$3:$H$10,,1)*G860, XLOOKUP(B860,Lookup!$F$14:$F$21,Lookup!$H$14:$H$21,,1)*G860),0)</f>
        <v>0</v>
      </c>
      <c r="L860" s="62">
        <f>IF(and(A860&lt;questions!$C$19,questions!$C$18="yes"),questions!$C$20,0)</f>
        <v>0</v>
      </c>
      <c r="M860" s="63">
        <f>(Y859+H860)*Lookup!A$26/12</f>
        <v>4652.643296</v>
      </c>
      <c r="N860" s="63">
        <f>if(B860&lt;55, (Z859+I860)*Lookup!B$26/12, (AB859+K860)*Lookup!B$26/12)</f>
        <v>11549.60891</v>
      </c>
      <c r="O860" s="63">
        <f>(AA859+J860)*Lookup!C$26/12</f>
        <v>940.3700287</v>
      </c>
      <c r="P860" s="63">
        <f t="shared" si="8"/>
        <v>37221.14637</v>
      </c>
      <c r="Q860" s="63">
        <f t="shared" si="4"/>
        <v>92396.87125</v>
      </c>
      <c r="R860" s="63">
        <f t="shared" si="5"/>
        <v>7522.960229</v>
      </c>
      <c r="S860" s="64">
        <f t="shared" si="9"/>
        <v>33.33333333</v>
      </c>
      <c r="T860" s="64">
        <f t="shared" si="10"/>
        <v>41.66666667</v>
      </c>
      <c r="U860" s="64">
        <f t="shared" si="11"/>
        <v>0</v>
      </c>
      <c r="V860" s="64">
        <f t="shared" ref="V860:X860" si="868">IF(year($A860)=year($A859), V859+S860, S860)</f>
        <v>266.6666667</v>
      </c>
      <c r="W860" s="64">
        <f t="shared" si="868"/>
        <v>333.3333333</v>
      </c>
      <c r="X860" s="64">
        <f t="shared" si="868"/>
        <v>0</v>
      </c>
      <c r="Y860" s="65">
        <f>IFS(
  B860&lt;55,
    MAX(
      Y859 + IF(MONTH(A860)=12, P860+V860, 0) + H860 - L860
      + MAX(0,
          IF(AA859 &gt;= VLOOKUP(YEAR(A860), Lookup!$Q:$R, 2),
            Z859 + IF(MONTH(A860)=12, Q860+W860, 0) + I860
              + AA859 + IF(MONTH(A860)=12, R860+X860, 0)
              - VLOOKUP(YEAR(A860), Lookup!$Q:$R, 2) + J860,
            Z859 + IF(MONTH(A860)=12, Q860+W860, 0) + I860
          ) - VLOOKUP(YEAR(A860), Lookup!$K:$M, 3)
        ),
    0),
  B860=55,
    IF(Z859&gt;=AD860,
      MAX(Y859 + IF(MONTH(A860)=12, P860+V860, 0) + H860 - L860, 0),
      MAX(MAX(0, Y859-(AD860-Z859)) + IF(MONTH(A860)=12, P860+V860, 0) + H860 - L860, 0)
    ),
  B860&gt;55,
    IF(AB859&gt;=$AH$7,
      MAX(Y859 + IF(MONTH(A860)=12, P860+V860, 0) + H860 - L860 + K860 + Z859, 0),
      MAX(Y859 + IF(MONTH(A860)=12, P860+V860, 0) + H860 - L860, 0)
    )
)</f>
        <v>2233268.782</v>
      </c>
      <c r="Z860" s="65">
        <f>IFS(
  B860&lt;55,
    MIN(
      IF(AA859 &gt;= VLOOKUP(YEAR(A860), Lookup!$Q:$R, 2),
        Z859 + IF(MONTH(A860)=12, Q860+W860, 0) + I860
          + AA859 + IF(MONTH(A860)=12, R860+X860, 0) - VLOOKUP(YEAR(A860), Lookup!$Q:$R, 2) + J860,
        Z859 + IF(MONTH(A860)=12, Q860+W860, 0) + I860
      ),
      VLOOKUP(YEAR(A860), Lookup!$K:$M, 3)
    ),
  B860=55,
    IF(Z859 &gt;= AD860, Z859 - AD860, 0),
  B860&gt;55, 0
)</f>
        <v>0</v>
      </c>
      <c r="AA860" s="65">
        <f>IFS(
  B860&lt;65,
    IF(AA859+J860 &lt; VLOOKUP(YEAR(A860), Lookup!$Q:$R, 2),
      AA859 + IF(MONTH(A860)=12, R859+X859, 0) + J860,
      MIN(
        AA859 + IF(MONTH(A860)=12, R859+X859, 0) + J860 ,
        VLOOKUP(YEAR(A860), Lookup!$Q:$R, 2)
      )
    ),
  B860&gt;=65,
    IF(AA859+J860 &lt; VLOOKUP(questions!$C$5, Lookup!$Q:$R, 2),
      AA859 + IF(MONTH(A860)=12, R859+X859, 0) + J860 ,
      MIN(
        AA859 + IF(MONTH(A860)=12, R859+X859, 0) + J860,
        VLOOKUP(questions!$C$5, Lookup!$Q:$R, 2)
      )
    )
)</f>
        <v>282111.0086</v>
      </c>
      <c r="AB860" s="65">
        <f t="shared" si="13"/>
        <v>3464882.672</v>
      </c>
      <c r="AC860" s="66">
        <f t="array" ref="AC860">IFS(B860&lt;66, XLOOKUP(year(A860),Lookup!$K$13:$K1000,Lookup!$L$13:$L1000,"missing",,1),B860&gt;65,XLOOKUP(questions!$C$5,Lookup!$K$13:$K1000,Lookup!$L$13:$L1000,"missing",,1))</f>
        <v>393675.3633</v>
      </c>
      <c r="AD860" s="66">
        <f t="array" ref="AD860">IFS(B860&lt;66, XLOOKUP(year(A860),Lookup!$K$13:$K1000,Lookup!$M$13:$M1000,"missing",,1),B860&gt;65, XLOOKUP(questions!$C$5,Lookup!$K$13:$K1000,Lookup!$M$13:$M1000,"missing",,1))</f>
        <v>787350.7266</v>
      </c>
      <c r="AE860" s="66">
        <f t="array" ref="AE860">IFS(B860&lt;66, XLOOKUP(year(A860),Lookup!$K$13:$K1000,Lookup!$N$13:$N1000,"missing",,1),B860&gt;65,XLOOKUP(questions!$C$5,Lookup!$K$13:$K1000,Lookup!$N$13:$N1000,"missing",,1))</f>
        <v>1574701.453</v>
      </c>
      <c r="AF860" s="37"/>
      <c r="AG860" s="37"/>
      <c r="AH860" s="37"/>
      <c r="AI860" s="37"/>
      <c r="AJ860" s="37"/>
      <c r="AK860" s="37"/>
      <c r="AL860" s="37"/>
      <c r="AM860" s="37"/>
      <c r="AN860" s="37"/>
      <c r="AO860" s="37"/>
      <c r="AP860" s="37"/>
      <c r="AQ860" s="37"/>
    </row>
    <row r="861">
      <c r="A861" s="55">
        <f t="shared" si="7"/>
        <v>72228</v>
      </c>
      <c r="B861" s="56">
        <f>round(YEARFRAC(EOMONTH(questions!$C$3, 0),A861,1),2)</f>
        <v>98.83</v>
      </c>
      <c r="C861" s="58">
        <f>IF(B861&lt;questions!$C$6,if(MONTH(A861)=1,C860*(1+questions!$C$12),C860),0)</f>
        <v>0</v>
      </c>
      <c r="D861" s="58">
        <f>IF(MONTH(A861)=12,C861*questions!$C$11,0)</f>
        <v>0</v>
      </c>
      <c r="E861" s="71">
        <f t="shared" si="2"/>
        <v>0</v>
      </c>
      <c r="F861" s="71">
        <f t="shared" si="3"/>
        <v>0</v>
      </c>
      <c r="G861" s="61">
        <f t="array" ref="G861">if(YEAR(A861)=2025,XLOOKUP(B861,Lookup!$A$3:$A$7,Lookup!$D$3:$D$7,,1)*SUM(E861:F861), XLOOKUP(B861,Lookup!$A$14:$A$18,Lookup!$D$14:$D$18,,1)*SUM(E861:F861))</f>
        <v>0</v>
      </c>
      <c r="H861" s="61">
        <f t="array" ref="H861">if(YEAR(A861)=2025,XLOOKUP(B861,Lookup!$F$3:$F$10,Lookup!$G$3:$G$10,,1)*G861, XLOOKUP(B861,Lookup!$F$14:$F$21,Lookup!$G$14:$G$21,,1)*G861)</f>
        <v>0</v>
      </c>
      <c r="I861" s="61">
        <f t="array" ref="I861">if(B861&lt;55, if(YEAR(A861)=2025,XLOOKUP(B861,Lookup!$F$3:$F$10,Lookup!$H$3:$H$10,,1)*G861, XLOOKUP(B861,Lookup!$F$14:$F$21,Lookup!$H$14:$H$21,,1)*G861),0)</f>
        <v>0</v>
      </c>
      <c r="J861" s="61">
        <f t="array" ref="J861">if(YEAR(A861)=2025,XLOOKUP(B861,Lookup!$F$3:$F$10,Lookup!$I$3:$I$10,,1)*G861, XLOOKUP(B861,Lookup!$F$14:$F$21,Lookup!$I$14:$I$21,,1)*G861)</f>
        <v>0</v>
      </c>
      <c r="K861" s="61">
        <f t="array" ref="K861">if(B861&gt;54, if(YEAR(A861)=2025,XLOOKUP(B861,Lookup!$F$3:$F$10,Lookup!$H$3:$H$10,,1)*G861, XLOOKUP(B861,Lookup!$F$14:$F$21,Lookup!$H$14:$H$21,,1)*G861),0)</f>
        <v>0</v>
      </c>
      <c r="L861" s="62">
        <f>IF(and(A861&lt;questions!$C$19,questions!$C$18="yes"),questions!$C$20,0)</f>
        <v>0</v>
      </c>
      <c r="M861" s="63">
        <f>(Y860+H861)*Lookup!A$26/12</f>
        <v>4652.643296</v>
      </c>
      <c r="N861" s="63">
        <f>if(B861&lt;55, (Z860+I861)*Lookup!B$26/12, (AB860+K861)*Lookup!B$26/12)</f>
        <v>11549.60891</v>
      </c>
      <c r="O861" s="63">
        <f>(AA860+J861)*Lookup!C$26/12</f>
        <v>940.3700287</v>
      </c>
      <c r="P861" s="63">
        <f t="shared" si="8"/>
        <v>41873.78966</v>
      </c>
      <c r="Q861" s="63">
        <f t="shared" si="4"/>
        <v>103946.4802</v>
      </c>
      <c r="R861" s="63">
        <f t="shared" si="5"/>
        <v>8463.330258</v>
      </c>
      <c r="S861" s="64">
        <f t="shared" si="9"/>
        <v>33.33333333</v>
      </c>
      <c r="T861" s="64">
        <f t="shared" si="10"/>
        <v>41.66666667</v>
      </c>
      <c r="U861" s="64">
        <f t="shared" si="11"/>
        <v>0</v>
      </c>
      <c r="V861" s="64">
        <f t="shared" ref="V861:X861" si="869">IF(year($A861)=year($A860), V860+S861, S861)</f>
        <v>300</v>
      </c>
      <c r="W861" s="64">
        <f t="shared" si="869"/>
        <v>375</v>
      </c>
      <c r="X861" s="64">
        <f t="shared" si="869"/>
        <v>0</v>
      </c>
      <c r="Y861" s="65">
        <f>IFS(
  B861&lt;55,
    MAX(
      Y860 + IF(MONTH(A861)=12, P861+V861, 0) + H861 - L861
      + MAX(0,
          IF(AA860 &gt;= VLOOKUP(YEAR(A861), Lookup!$Q:$R, 2),
            Z860 + IF(MONTH(A861)=12, Q861+W861, 0) + I861
              + AA860 + IF(MONTH(A861)=12, R861+X861, 0)
              - VLOOKUP(YEAR(A861), Lookup!$Q:$R, 2) + J861,
            Z860 + IF(MONTH(A861)=12, Q861+W861, 0) + I861
          ) - VLOOKUP(YEAR(A861), Lookup!$K:$M, 3)
        ),
    0),
  B861=55,
    IF(Z860&gt;=AD861,
      MAX(Y860 + IF(MONTH(A861)=12, P861+V861, 0) + H861 - L861, 0),
      MAX(MAX(0, Y860-(AD861-Z860)) + IF(MONTH(A861)=12, P861+V861, 0) + H861 - L861, 0)
    ),
  B861&gt;55,
    IF(AB860&gt;=$AH$7,
      MAX(Y860 + IF(MONTH(A861)=12, P861+V861, 0) + H861 - L861 + K861 + Z860, 0),
      MAX(Y860 + IF(MONTH(A861)=12, P861+V861, 0) + H861 - L861, 0)
    )
)</f>
        <v>2233268.782</v>
      </c>
      <c r="Z861" s="65">
        <f>IFS(
  B861&lt;55,
    MIN(
      IF(AA860 &gt;= VLOOKUP(YEAR(A861), Lookup!$Q:$R, 2),
        Z860 + IF(MONTH(A861)=12, Q861+W861, 0) + I861
          + AA860 + IF(MONTH(A861)=12, R861+X861, 0) - VLOOKUP(YEAR(A861), Lookup!$Q:$R, 2) + J861,
        Z860 + IF(MONTH(A861)=12, Q861+W861, 0) + I861
      ),
      VLOOKUP(YEAR(A861), Lookup!$K:$M, 3)
    ),
  B861=55,
    IF(Z860 &gt;= AD861, Z860 - AD861, 0),
  B861&gt;55, 0
)</f>
        <v>0</v>
      </c>
      <c r="AA861" s="65">
        <f>IFS(
  B861&lt;65,
    IF(AA860+J861 &lt; VLOOKUP(YEAR(A861), Lookup!$Q:$R, 2),
      AA860 + IF(MONTH(A861)=12, R860+X860, 0) + J861,
      MIN(
        AA860 + IF(MONTH(A861)=12, R860+X860, 0) + J861 ,
        VLOOKUP(YEAR(A861), Lookup!$Q:$R, 2)
      )
    ),
  B861&gt;=65,
    IF(AA860+J861 &lt; VLOOKUP(questions!$C$5, Lookup!$Q:$R, 2),
      AA860 + IF(MONTH(A861)=12, R860+X860, 0) + J861 ,
      MIN(
        AA860 + IF(MONTH(A861)=12, R860+X860, 0) + J861,
        VLOOKUP(questions!$C$5, Lookup!$Q:$R, 2)
      )
    )
)</f>
        <v>282111.0086</v>
      </c>
      <c r="AB861" s="65">
        <f t="shared" si="13"/>
        <v>3464882.672</v>
      </c>
      <c r="AC861" s="66">
        <f t="array" ref="AC861">IFS(B861&lt;66, XLOOKUP(year(A861),Lookup!$K$13:$K1000,Lookup!$L$13:$L1000,"missing",,1),B861&gt;65,XLOOKUP(questions!$C$5,Lookup!$K$13:$K1000,Lookup!$L$13:$L1000,"missing",,1))</f>
        <v>393675.3633</v>
      </c>
      <c r="AD861" s="66">
        <f t="array" ref="AD861">IFS(B861&lt;66, XLOOKUP(year(A861),Lookup!$K$13:$K1000,Lookup!$M$13:$M1000,"missing",,1),B861&gt;65, XLOOKUP(questions!$C$5,Lookup!$K$13:$K1000,Lookup!$M$13:$M1000,"missing",,1))</f>
        <v>787350.7266</v>
      </c>
      <c r="AE861" s="66">
        <f t="array" ref="AE861">IFS(B861&lt;66, XLOOKUP(year(A861),Lookup!$K$13:$K1000,Lookup!$N$13:$N1000,"missing",,1),B861&gt;65,XLOOKUP(questions!$C$5,Lookup!$K$13:$K1000,Lookup!$N$13:$N1000,"missing",,1))</f>
        <v>1574701.453</v>
      </c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  <c r="AQ861" s="37"/>
    </row>
    <row r="862">
      <c r="A862" s="55">
        <f t="shared" si="7"/>
        <v>72259</v>
      </c>
      <c r="B862" s="56">
        <f>round(YEARFRAC(EOMONTH(questions!$C$3, 0),A862,1),2)</f>
        <v>98.92</v>
      </c>
      <c r="C862" s="58">
        <f>IF(B862&lt;questions!$C$6,if(MONTH(A862)=1,C861*(1+questions!$C$12),C861),0)</f>
        <v>0</v>
      </c>
      <c r="D862" s="58">
        <f>IF(MONTH(A862)=12,C862*questions!$C$11,0)</f>
        <v>0</v>
      </c>
      <c r="E862" s="71">
        <f t="shared" si="2"/>
        <v>0</v>
      </c>
      <c r="F862" s="71">
        <f t="shared" si="3"/>
        <v>0</v>
      </c>
      <c r="G862" s="61">
        <f t="array" ref="G862">if(YEAR(A862)=2025,XLOOKUP(B862,Lookup!$A$3:$A$7,Lookup!$D$3:$D$7,,1)*SUM(E862:F862), XLOOKUP(B862,Lookup!$A$14:$A$18,Lookup!$D$14:$D$18,,1)*SUM(E862:F862))</f>
        <v>0</v>
      </c>
      <c r="H862" s="61">
        <f t="array" ref="H862">if(YEAR(A862)=2025,XLOOKUP(B862,Lookup!$F$3:$F$10,Lookup!$G$3:$G$10,,1)*G862, XLOOKUP(B862,Lookup!$F$14:$F$21,Lookup!$G$14:$G$21,,1)*G862)</f>
        <v>0</v>
      </c>
      <c r="I862" s="61">
        <f t="array" ref="I862">if(B862&lt;55, if(YEAR(A862)=2025,XLOOKUP(B862,Lookup!$F$3:$F$10,Lookup!$H$3:$H$10,,1)*G862, XLOOKUP(B862,Lookup!$F$14:$F$21,Lookup!$H$14:$H$21,,1)*G862),0)</f>
        <v>0</v>
      </c>
      <c r="J862" s="61">
        <f t="array" ref="J862">if(YEAR(A862)=2025,XLOOKUP(B862,Lookup!$F$3:$F$10,Lookup!$I$3:$I$10,,1)*G862, XLOOKUP(B862,Lookup!$F$14:$F$21,Lookup!$I$14:$I$21,,1)*G862)</f>
        <v>0</v>
      </c>
      <c r="K862" s="61">
        <f t="array" ref="K862">if(B862&gt;54, if(YEAR(A862)=2025,XLOOKUP(B862,Lookup!$F$3:$F$10,Lookup!$H$3:$H$10,,1)*G862, XLOOKUP(B862,Lookup!$F$14:$F$21,Lookup!$H$14:$H$21,,1)*G862),0)</f>
        <v>0</v>
      </c>
      <c r="L862" s="62">
        <f>IF(and(A862&lt;questions!$C$19,questions!$C$18="yes"),questions!$C$20,0)</f>
        <v>0</v>
      </c>
      <c r="M862" s="63">
        <f>(Y861+H862)*Lookup!A$26/12</f>
        <v>4652.643296</v>
      </c>
      <c r="N862" s="63">
        <f>if(B862&lt;55, (Z861+I862)*Lookup!B$26/12, (AB861+K862)*Lookup!B$26/12)</f>
        <v>11549.60891</v>
      </c>
      <c r="O862" s="63">
        <f>(AA861+J862)*Lookup!C$26/12</f>
        <v>940.3700287</v>
      </c>
      <c r="P862" s="63">
        <f t="shared" si="8"/>
        <v>46526.43296</v>
      </c>
      <c r="Q862" s="63">
        <f t="shared" si="4"/>
        <v>115496.0891</v>
      </c>
      <c r="R862" s="63">
        <f t="shared" si="5"/>
        <v>9403.700287</v>
      </c>
      <c r="S862" s="64">
        <f t="shared" si="9"/>
        <v>33.33333333</v>
      </c>
      <c r="T862" s="64">
        <f t="shared" si="10"/>
        <v>41.66666667</v>
      </c>
      <c r="U862" s="64">
        <f t="shared" si="11"/>
        <v>0</v>
      </c>
      <c r="V862" s="64">
        <f t="shared" ref="V862:X862" si="870">IF(year($A862)=year($A861), V861+S862, S862)</f>
        <v>333.3333333</v>
      </c>
      <c r="W862" s="64">
        <f t="shared" si="870"/>
        <v>416.6666667</v>
      </c>
      <c r="X862" s="64">
        <f t="shared" si="870"/>
        <v>0</v>
      </c>
      <c r="Y862" s="65">
        <f>IFS(
  B862&lt;55,
    MAX(
      Y861 + IF(MONTH(A862)=12, P862+V862, 0) + H862 - L862
      + MAX(0,
          IF(AA861 &gt;= VLOOKUP(YEAR(A862), Lookup!$Q:$R, 2),
            Z861 + IF(MONTH(A862)=12, Q862+W862, 0) + I862
              + AA861 + IF(MONTH(A862)=12, R862+X862, 0)
              - VLOOKUP(YEAR(A862), Lookup!$Q:$R, 2) + J862,
            Z861 + IF(MONTH(A862)=12, Q862+W862, 0) + I862
          ) - VLOOKUP(YEAR(A862), Lookup!$K:$M, 3)
        ),
    0),
  B862=55,
    IF(Z861&gt;=AD862,
      MAX(Y861 + IF(MONTH(A862)=12, P862+V862, 0) + H862 - L862, 0),
      MAX(MAX(0, Y861-(AD862-Z861)) + IF(MONTH(A862)=12, P862+V862, 0) + H862 - L862, 0)
    ),
  B862&gt;55,
    IF(AB861&gt;=$AH$7,
      MAX(Y861 + IF(MONTH(A862)=12, P862+V862, 0) + H862 - L862 + K862 + Z861, 0),
      MAX(Y861 + IF(MONTH(A862)=12, P862+V862, 0) + H862 - L862, 0)
    )
)</f>
        <v>2233268.782</v>
      </c>
      <c r="Z862" s="65">
        <f>IFS(
  B862&lt;55,
    MIN(
      IF(AA861 &gt;= VLOOKUP(YEAR(A862), Lookup!$Q:$R, 2),
        Z861 + IF(MONTH(A862)=12, Q862+W862, 0) + I862
          + AA861 + IF(MONTH(A862)=12, R862+X862, 0) - VLOOKUP(YEAR(A862), Lookup!$Q:$R, 2) + J862,
        Z861 + IF(MONTH(A862)=12, Q862+W862, 0) + I862
      ),
      VLOOKUP(YEAR(A862), Lookup!$K:$M, 3)
    ),
  B862=55,
    IF(Z861 &gt;= AD862, Z861 - AD862, 0),
  B862&gt;55, 0
)</f>
        <v>0</v>
      </c>
      <c r="AA862" s="65">
        <f>IFS(
  B862&lt;65,
    IF(AA861+J862 &lt; VLOOKUP(YEAR(A862), Lookup!$Q:$R, 2),
      AA861 + IF(MONTH(A862)=12, R861+X861, 0) + J862,
      MIN(
        AA861 + IF(MONTH(A862)=12, R861+X861, 0) + J862 ,
        VLOOKUP(YEAR(A862), Lookup!$Q:$R, 2)
      )
    ),
  B862&gt;=65,
    IF(AA861+J862 &lt; VLOOKUP(questions!$C$5, Lookup!$Q:$R, 2),
      AA861 + IF(MONTH(A862)=12, R861+X861, 0) + J862 ,
      MIN(
        AA861 + IF(MONTH(A862)=12, R861+X861, 0) + J862,
        VLOOKUP(questions!$C$5, Lookup!$Q:$R, 2)
      )
    )
)</f>
        <v>282111.0086</v>
      </c>
      <c r="AB862" s="65">
        <f t="shared" si="13"/>
        <v>3464882.672</v>
      </c>
      <c r="AC862" s="66">
        <f t="array" ref="AC862">IFS(B862&lt;66, XLOOKUP(year(A862),Lookup!$K$13:$K1000,Lookup!$L$13:$L1000,"missing",,1),B862&gt;65,XLOOKUP(questions!$C$5,Lookup!$K$13:$K1000,Lookup!$L$13:$L1000,"missing",,1))</f>
        <v>393675.3633</v>
      </c>
      <c r="AD862" s="66">
        <f t="array" ref="AD862">IFS(B862&lt;66, XLOOKUP(year(A862),Lookup!$K$13:$K1000,Lookup!$M$13:$M1000,"missing",,1),B862&gt;65, XLOOKUP(questions!$C$5,Lookup!$K$13:$K1000,Lookup!$M$13:$M1000,"missing",,1))</f>
        <v>787350.7266</v>
      </c>
      <c r="AE862" s="66">
        <f t="array" ref="AE862">IFS(B862&lt;66, XLOOKUP(year(A862),Lookup!$K$13:$K1000,Lookup!$N$13:$N1000,"missing",,1),B862&gt;65,XLOOKUP(questions!$C$5,Lookup!$K$13:$K1000,Lookup!$N$13:$N1000,"missing",,1))</f>
        <v>1574701.453</v>
      </c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  <c r="AQ862" s="37"/>
    </row>
    <row r="863">
      <c r="A863" s="55">
        <f t="shared" si="7"/>
        <v>72289</v>
      </c>
      <c r="B863" s="56">
        <f>round(YEARFRAC(EOMONTH(questions!$C$3, 0),A863,1),2)</f>
        <v>99</v>
      </c>
      <c r="C863" s="58">
        <f>IF(B863&lt;questions!$C$6,if(MONTH(A863)=1,C862*(1+questions!$C$12),C862),0)</f>
        <v>0</v>
      </c>
      <c r="D863" s="58">
        <f>IF(MONTH(A863)=12,C863*questions!$C$11,0)</f>
        <v>0</v>
      </c>
      <c r="E863" s="71">
        <f t="shared" si="2"/>
        <v>0</v>
      </c>
      <c r="F863" s="71">
        <f t="shared" si="3"/>
        <v>0</v>
      </c>
      <c r="G863" s="61">
        <f t="array" ref="G863">if(YEAR(A863)=2025,XLOOKUP(B863,Lookup!$A$3:$A$7,Lookup!$D$3:$D$7,,1)*SUM(E863:F863), XLOOKUP(B863,Lookup!$A$14:$A$18,Lookup!$D$14:$D$18,,1)*SUM(E863:F863))</f>
        <v>0</v>
      </c>
      <c r="H863" s="61">
        <f t="array" ref="H863">if(YEAR(A863)=2025,XLOOKUP(B863,Lookup!$F$3:$F$10,Lookup!$G$3:$G$10,,1)*G863, XLOOKUP(B863,Lookup!$F$14:$F$21,Lookup!$G$14:$G$21,,1)*G863)</f>
        <v>0</v>
      </c>
      <c r="I863" s="61">
        <f t="array" ref="I863">if(B863&lt;55, if(YEAR(A863)=2025,XLOOKUP(B863,Lookup!$F$3:$F$10,Lookup!$H$3:$H$10,,1)*G863, XLOOKUP(B863,Lookup!$F$14:$F$21,Lookup!$H$14:$H$21,,1)*G863),0)</f>
        <v>0</v>
      </c>
      <c r="J863" s="61">
        <f t="array" ref="J863">if(YEAR(A863)=2025,XLOOKUP(B863,Lookup!$F$3:$F$10,Lookup!$I$3:$I$10,,1)*G863, XLOOKUP(B863,Lookup!$F$14:$F$21,Lookup!$I$14:$I$21,,1)*G863)</f>
        <v>0</v>
      </c>
      <c r="K863" s="61">
        <f t="array" ref="K863">if(B863&gt;54, if(YEAR(A863)=2025,XLOOKUP(B863,Lookup!$F$3:$F$10,Lookup!$H$3:$H$10,,1)*G863, XLOOKUP(B863,Lookup!$F$14:$F$21,Lookup!$H$14:$H$21,,1)*G863),0)</f>
        <v>0</v>
      </c>
      <c r="L863" s="62">
        <f>IF(and(A863&lt;questions!$C$19,questions!$C$18="yes"),questions!$C$20,0)</f>
        <v>0</v>
      </c>
      <c r="M863" s="63">
        <f>(Y862+H863)*Lookup!A$26/12</f>
        <v>4652.643296</v>
      </c>
      <c r="N863" s="63">
        <f>if(B863&lt;55, (Z862+I863)*Lookup!B$26/12, (AB862+K863)*Lookup!B$26/12)</f>
        <v>11549.60891</v>
      </c>
      <c r="O863" s="63">
        <f>(AA862+J863)*Lookup!C$26/12</f>
        <v>940.3700287</v>
      </c>
      <c r="P863" s="63">
        <f t="shared" si="8"/>
        <v>51179.07625</v>
      </c>
      <c r="Q863" s="63">
        <f t="shared" si="4"/>
        <v>127045.698</v>
      </c>
      <c r="R863" s="63">
        <f t="shared" si="5"/>
        <v>10344.07032</v>
      </c>
      <c r="S863" s="64">
        <f t="shared" si="9"/>
        <v>33.33333333</v>
      </c>
      <c r="T863" s="64">
        <f t="shared" si="10"/>
        <v>41.66666667</v>
      </c>
      <c r="U863" s="64">
        <f t="shared" si="11"/>
        <v>0</v>
      </c>
      <c r="V863" s="64">
        <f t="shared" ref="V863:X863" si="871">IF(year($A863)=year($A862), V862+S863, S863)</f>
        <v>366.6666667</v>
      </c>
      <c r="W863" s="64">
        <f t="shared" si="871"/>
        <v>458.3333333</v>
      </c>
      <c r="X863" s="64">
        <f t="shared" si="871"/>
        <v>0</v>
      </c>
      <c r="Y863" s="65">
        <f>IFS(
  B863&lt;55,
    MAX(
      Y862 + IF(MONTH(A863)=12, P863+V863, 0) + H863 - L863
      + MAX(0,
          IF(AA862 &gt;= VLOOKUP(YEAR(A863), Lookup!$Q:$R, 2),
            Z862 + IF(MONTH(A863)=12, Q863+W863, 0) + I863
              + AA862 + IF(MONTH(A863)=12, R863+X863, 0)
              - VLOOKUP(YEAR(A863), Lookup!$Q:$R, 2) + J863,
            Z862 + IF(MONTH(A863)=12, Q863+W863, 0) + I863
          ) - VLOOKUP(YEAR(A863), Lookup!$K:$M, 3)
        ),
    0),
  B863=55,
    IF(Z862&gt;=AD863,
      MAX(Y862 + IF(MONTH(A863)=12, P863+V863, 0) + H863 - L863, 0),
      MAX(MAX(0, Y862-(AD863-Z862)) + IF(MONTH(A863)=12, P863+V863, 0) + H863 - L863, 0)
    ),
  B863&gt;55,
    IF(AB862&gt;=$AH$7,
      MAX(Y862 + IF(MONTH(A863)=12, P863+V863, 0) + H863 - L863 + K863 + Z862, 0),
      MAX(Y862 + IF(MONTH(A863)=12, P863+V863, 0) + H863 - L863, 0)
    )
)</f>
        <v>2233268.782</v>
      </c>
      <c r="Z863" s="65">
        <f>IFS(
  B863&lt;55,
    MIN(
      IF(AA862 &gt;= VLOOKUP(YEAR(A863), Lookup!$Q:$R, 2),
        Z862 + IF(MONTH(A863)=12, Q863+W863, 0) + I863
          + AA862 + IF(MONTH(A863)=12, R863+X863, 0) - VLOOKUP(YEAR(A863), Lookup!$Q:$R, 2) + J863,
        Z862 + IF(MONTH(A863)=12, Q863+W863, 0) + I863
      ),
      VLOOKUP(YEAR(A863), Lookup!$K:$M, 3)
    ),
  B863=55,
    IF(Z862 &gt;= AD863, Z862 - AD863, 0),
  B863&gt;55, 0
)</f>
        <v>0</v>
      </c>
      <c r="AA863" s="65">
        <f>IFS(
  B863&lt;65,
    IF(AA862+J863 &lt; VLOOKUP(YEAR(A863), Lookup!$Q:$R, 2),
      AA862 + IF(MONTH(A863)=12, R862+X862, 0) + J863,
      MIN(
        AA862 + IF(MONTH(A863)=12, R862+X862, 0) + J863 ,
        VLOOKUP(YEAR(A863), Lookup!$Q:$R, 2)
      )
    ),
  B863&gt;=65,
    IF(AA862+J863 &lt; VLOOKUP(questions!$C$5, Lookup!$Q:$R, 2),
      AA862 + IF(MONTH(A863)=12, R862+X862, 0) + J863 ,
      MIN(
        AA862 + IF(MONTH(A863)=12, R862+X862, 0) + J863,
        VLOOKUP(questions!$C$5, Lookup!$Q:$R, 2)
      )
    )
)</f>
        <v>282111.0086</v>
      </c>
      <c r="AB863" s="65">
        <f t="shared" si="13"/>
        <v>3464882.672</v>
      </c>
      <c r="AC863" s="66">
        <f t="array" ref="AC863">IFS(B863&lt;66, XLOOKUP(year(A863),Lookup!$K$13:$K1000,Lookup!$L$13:$L1000,"missing",,1),B863&gt;65,XLOOKUP(questions!$C$5,Lookup!$K$13:$K1000,Lookup!$L$13:$L1000,"missing",,1))</f>
        <v>393675.3633</v>
      </c>
      <c r="AD863" s="66">
        <f t="array" ref="AD863">IFS(B863&lt;66, XLOOKUP(year(A863),Lookup!$K$13:$K1000,Lookup!$M$13:$M1000,"missing",,1),B863&gt;65, XLOOKUP(questions!$C$5,Lookup!$K$13:$K1000,Lookup!$M$13:$M1000,"missing",,1))</f>
        <v>787350.7266</v>
      </c>
      <c r="AE863" s="66">
        <f t="array" ref="AE863">IFS(B863&lt;66, XLOOKUP(year(A863),Lookup!$K$13:$K1000,Lookup!$N$13:$N1000,"missing",,1),B863&gt;65,XLOOKUP(questions!$C$5,Lookup!$K$13:$K1000,Lookup!$N$13:$N1000,"missing",,1))</f>
        <v>1574701.453</v>
      </c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  <c r="AQ863" s="37"/>
    </row>
    <row r="864">
      <c r="A864" s="55">
        <f t="shared" si="7"/>
        <v>72320</v>
      </c>
      <c r="B864" s="56">
        <f>round(YEARFRAC(EOMONTH(questions!$C$3, 0),A864,1),2)</f>
        <v>99.08</v>
      </c>
      <c r="C864" s="58">
        <f>IF(B864&lt;questions!$C$6,if(MONTH(A864)=1,C863*(1+questions!$C$12),C863),0)</f>
        <v>0</v>
      </c>
      <c r="D864" s="58">
        <f>IF(MONTH(A864)=12,C864*questions!$C$11,0)</f>
        <v>0</v>
      </c>
      <c r="E864" s="71">
        <f t="shared" si="2"/>
        <v>0</v>
      </c>
      <c r="F864" s="71">
        <f t="shared" si="3"/>
        <v>0</v>
      </c>
      <c r="G864" s="61">
        <f t="array" ref="G864">if(YEAR(A864)=2025,XLOOKUP(B864,Lookup!$A$3:$A$7,Lookup!$D$3:$D$7,,1)*SUM(E864:F864), XLOOKUP(B864,Lookup!$A$14:$A$18,Lookup!$D$14:$D$18,,1)*SUM(E864:F864))</f>
        <v>0</v>
      </c>
      <c r="H864" s="61">
        <f t="array" ref="H864">if(YEAR(A864)=2025,XLOOKUP(B864,Lookup!$F$3:$F$10,Lookup!$G$3:$G$10,,1)*G864, XLOOKUP(B864,Lookup!$F$14:$F$21,Lookup!$G$14:$G$21,,1)*G864)</f>
        <v>0</v>
      </c>
      <c r="I864" s="61">
        <f t="array" ref="I864">if(B864&lt;55, if(YEAR(A864)=2025,XLOOKUP(B864,Lookup!$F$3:$F$10,Lookup!$H$3:$H$10,,1)*G864, XLOOKUP(B864,Lookup!$F$14:$F$21,Lookup!$H$14:$H$21,,1)*G864),0)</f>
        <v>0</v>
      </c>
      <c r="J864" s="61">
        <f t="array" ref="J864">if(YEAR(A864)=2025,XLOOKUP(B864,Lookup!$F$3:$F$10,Lookup!$I$3:$I$10,,1)*G864, XLOOKUP(B864,Lookup!$F$14:$F$21,Lookup!$I$14:$I$21,,1)*G864)</f>
        <v>0</v>
      </c>
      <c r="K864" s="61">
        <f t="array" ref="K864">if(B864&gt;54, if(YEAR(A864)=2025,XLOOKUP(B864,Lookup!$F$3:$F$10,Lookup!$H$3:$H$10,,1)*G864, XLOOKUP(B864,Lookup!$F$14:$F$21,Lookup!$H$14:$H$21,,1)*G864),0)</f>
        <v>0</v>
      </c>
      <c r="L864" s="62">
        <f>IF(and(A864&lt;questions!$C$19,questions!$C$18="yes"),questions!$C$20,0)</f>
        <v>0</v>
      </c>
      <c r="M864" s="63">
        <f>(Y863+H864)*Lookup!A$26/12</f>
        <v>4652.643296</v>
      </c>
      <c r="N864" s="63">
        <f>if(B864&lt;55, (Z863+I864)*Lookup!B$26/12, (AB863+K864)*Lookup!B$26/12)</f>
        <v>11549.60891</v>
      </c>
      <c r="O864" s="63">
        <f>(AA863+J864)*Lookup!C$26/12</f>
        <v>940.3700287</v>
      </c>
      <c r="P864" s="63">
        <f t="shared" si="8"/>
        <v>55831.71955</v>
      </c>
      <c r="Q864" s="63">
        <f t="shared" si="4"/>
        <v>138595.3069</v>
      </c>
      <c r="R864" s="63">
        <f t="shared" si="5"/>
        <v>11284.44034</v>
      </c>
      <c r="S864" s="64">
        <f t="shared" si="9"/>
        <v>33.33333333</v>
      </c>
      <c r="T864" s="64">
        <f t="shared" si="10"/>
        <v>41.66666667</v>
      </c>
      <c r="U864" s="64">
        <f t="shared" si="11"/>
        <v>0</v>
      </c>
      <c r="V864" s="64">
        <f t="shared" ref="V864:X864" si="872">IF(year($A864)=year($A863), V863+S864, S864)</f>
        <v>400</v>
      </c>
      <c r="W864" s="64">
        <f t="shared" si="872"/>
        <v>500</v>
      </c>
      <c r="X864" s="64">
        <f t="shared" si="872"/>
        <v>0</v>
      </c>
      <c r="Y864" s="65">
        <f>IFS(
  B864&lt;55,
    MAX(
      Y863 + IF(MONTH(A864)=12, P864+V864, 0) + H864 - L864
      + MAX(0,
          IF(AA863 &gt;= VLOOKUP(YEAR(A864), Lookup!$Q:$R, 2),
            Z863 + IF(MONTH(A864)=12, Q864+W864, 0) + I864
              + AA863 + IF(MONTH(A864)=12, R864+X864, 0)
              - VLOOKUP(YEAR(A864), Lookup!$Q:$R, 2) + J864,
            Z863 + IF(MONTH(A864)=12, Q864+W864, 0) + I864
          ) - VLOOKUP(YEAR(A864), Lookup!$K:$M, 3)
        ),
    0),
  B864=55,
    IF(Z863&gt;=AD864,
      MAX(Y863 + IF(MONTH(A864)=12, P864+V864, 0) + H864 - L864, 0),
      MAX(MAX(0, Y863-(AD864-Z863)) + IF(MONTH(A864)=12, P864+V864, 0) + H864 - L864, 0)
    ),
  B864&gt;55,
    IF(AB863&gt;=$AH$7,
      MAX(Y863 + IF(MONTH(A864)=12, P864+V864, 0) + H864 - L864 + K864 + Z863, 0),
      MAX(Y863 + IF(MONTH(A864)=12, P864+V864, 0) + H864 - L864, 0)
    )
)</f>
        <v>2289500.501</v>
      </c>
      <c r="Z864" s="65">
        <f>IFS(
  B864&lt;55,
    MIN(
      IF(AA863 &gt;= VLOOKUP(YEAR(A864), Lookup!$Q:$R, 2),
        Z863 + IF(MONTH(A864)=12, Q864+W864, 0) + I864
          + AA863 + IF(MONTH(A864)=12, R864+X864, 0) - VLOOKUP(YEAR(A864), Lookup!$Q:$R, 2) + J864,
        Z863 + IF(MONTH(A864)=12, Q864+W864, 0) + I864
      ),
      VLOOKUP(YEAR(A864), Lookup!$K:$M, 3)
    ),
  B864=55,
    IF(Z863 &gt;= AD864, Z863 - AD864, 0),
  B864&gt;55, 0
)</f>
        <v>0</v>
      </c>
      <c r="AA864" s="65">
        <f>IFS(
  B864&lt;65,
    IF(AA863+J864 &lt; VLOOKUP(YEAR(A864), Lookup!$Q:$R, 2),
      AA863 + IF(MONTH(A864)=12, R863+X863, 0) + J864,
      MIN(
        AA863 + IF(MONTH(A864)=12, R863+X863, 0) + J864 ,
        VLOOKUP(YEAR(A864), Lookup!$Q:$R, 2)
      )
    ),
  B864&gt;=65,
    IF(AA863+J864 &lt; VLOOKUP(questions!$C$5, Lookup!$Q:$R, 2),
      AA863 + IF(MONTH(A864)=12, R863+X863, 0) + J864 ,
      MIN(
        AA863 + IF(MONTH(A864)=12, R863+X863, 0) + J864,
        VLOOKUP(questions!$C$5, Lookup!$Q:$R, 2)
      )
    )
)</f>
        <v>282111.0086</v>
      </c>
      <c r="AB864" s="65">
        <f t="shared" si="13"/>
        <v>3603977.979</v>
      </c>
      <c r="AC864" s="66">
        <f t="array" ref="AC864">IFS(B864&lt;66, XLOOKUP(year(A864),Lookup!$K$13:$K1000,Lookup!$L$13:$L1000,"missing",,1),B864&gt;65,XLOOKUP(questions!$C$5,Lookup!$K$13:$K1000,Lookup!$L$13:$L1000,"missing",,1))</f>
        <v>393675.3633</v>
      </c>
      <c r="AD864" s="66">
        <f t="array" ref="AD864">IFS(B864&lt;66, XLOOKUP(year(A864),Lookup!$K$13:$K1000,Lookup!$M$13:$M1000,"missing",,1),B864&gt;65, XLOOKUP(questions!$C$5,Lookup!$K$13:$K1000,Lookup!$M$13:$M1000,"missing",,1))</f>
        <v>787350.7266</v>
      </c>
      <c r="AE864" s="66">
        <f t="array" ref="AE864">IFS(B864&lt;66, XLOOKUP(year(A864),Lookup!$K$13:$K1000,Lookup!$N$13:$N1000,"missing",,1),B864&gt;65,XLOOKUP(questions!$C$5,Lookup!$K$13:$K1000,Lookup!$N$13:$N1000,"missing",,1))</f>
        <v>1574701.453</v>
      </c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7"/>
      <c r="AQ864" s="37"/>
    </row>
    <row r="865">
      <c r="A865" s="55">
        <f t="shared" si="7"/>
        <v>72351</v>
      </c>
      <c r="B865" s="56">
        <f>round(YEARFRAC(EOMONTH(questions!$C$3, 0),A865,1),2)</f>
        <v>99.17</v>
      </c>
      <c r="C865" s="58">
        <f>IF(B865&lt;questions!$C$6,if(MONTH(A865)=1,C864*(1+questions!$C$12),C864),0)</f>
        <v>0</v>
      </c>
      <c r="D865" s="58">
        <f>IF(MONTH(A865)=12,C865*questions!$C$11,0)</f>
        <v>0</v>
      </c>
      <c r="E865" s="71">
        <f t="shared" si="2"/>
        <v>0</v>
      </c>
      <c r="F865" s="71">
        <f t="shared" si="3"/>
        <v>0</v>
      </c>
      <c r="G865" s="61">
        <f t="array" ref="G865">if(YEAR(A865)=2025,XLOOKUP(B865,Lookup!$A$3:$A$7,Lookup!$D$3:$D$7,,1)*SUM(E865:F865), XLOOKUP(B865,Lookup!$A$14:$A$18,Lookup!$D$14:$D$18,,1)*SUM(E865:F865))</f>
        <v>0</v>
      </c>
      <c r="H865" s="61">
        <f t="array" ref="H865">if(YEAR(A865)=2025,XLOOKUP(B865,Lookup!$F$3:$F$10,Lookup!$G$3:$G$10,,1)*G865, XLOOKUP(B865,Lookup!$F$14:$F$21,Lookup!$G$14:$G$21,,1)*G865)</f>
        <v>0</v>
      </c>
      <c r="I865" s="61">
        <f t="array" ref="I865">if(B865&lt;55, if(YEAR(A865)=2025,XLOOKUP(B865,Lookup!$F$3:$F$10,Lookup!$H$3:$H$10,,1)*G865, XLOOKUP(B865,Lookup!$F$14:$F$21,Lookup!$H$14:$H$21,,1)*G865),0)</f>
        <v>0</v>
      </c>
      <c r="J865" s="61">
        <f t="array" ref="J865">if(YEAR(A865)=2025,XLOOKUP(B865,Lookup!$F$3:$F$10,Lookup!$I$3:$I$10,,1)*G865, XLOOKUP(B865,Lookup!$F$14:$F$21,Lookup!$I$14:$I$21,,1)*G865)</f>
        <v>0</v>
      </c>
      <c r="K865" s="61">
        <f t="array" ref="K865">if(B865&gt;54, if(YEAR(A865)=2025,XLOOKUP(B865,Lookup!$F$3:$F$10,Lookup!$H$3:$H$10,,1)*G865, XLOOKUP(B865,Lookup!$F$14:$F$21,Lookup!$H$14:$H$21,,1)*G865),0)</f>
        <v>0</v>
      </c>
      <c r="L865" s="62">
        <f>IF(and(A865&lt;questions!$C$19,questions!$C$18="yes"),questions!$C$20,0)</f>
        <v>0</v>
      </c>
      <c r="M865" s="63">
        <f>(Y864+H865)*Lookup!A$26/12</f>
        <v>4769.792711</v>
      </c>
      <c r="N865" s="63">
        <f>if(B865&lt;55, (Z864+I865)*Lookup!B$26/12, (AB864+K865)*Lookup!B$26/12)</f>
        <v>12013.25993</v>
      </c>
      <c r="O865" s="63">
        <f>(AA864+J865)*Lookup!C$26/12</f>
        <v>940.3700287</v>
      </c>
      <c r="P865" s="63">
        <f t="shared" si="8"/>
        <v>4769.792711</v>
      </c>
      <c r="Q865" s="63">
        <f t="shared" si="4"/>
        <v>12013.25993</v>
      </c>
      <c r="R865" s="63">
        <f t="shared" si="5"/>
        <v>940.3700287</v>
      </c>
      <c r="S865" s="64">
        <f t="shared" si="9"/>
        <v>33.33333333</v>
      </c>
      <c r="T865" s="64">
        <f t="shared" si="10"/>
        <v>41.66666667</v>
      </c>
      <c r="U865" s="64">
        <f t="shared" si="11"/>
        <v>0</v>
      </c>
      <c r="V865" s="64">
        <f t="shared" ref="V865:X865" si="873">IF(year($A865)=year($A864), V864+S865, S865)</f>
        <v>33.33333333</v>
      </c>
      <c r="W865" s="64">
        <f t="shared" si="873"/>
        <v>41.66666667</v>
      </c>
      <c r="X865" s="64">
        <f t="shared" si="873"/>
        <v>0</v>
      </c>
      <c r="Y865" s="65">
        <f>IFS(
  B865&lt;55,
    MAX(
      Y864 + IF(MONTH(A865)=12, P865+V865, 0) + H865 - L865
      + MAX(0,
          IF(AA864 &gt;= VLOOKUP(YEAR(A865), Lookup!$Q:$R, 2),
            Z864 + IF(MONTH(A865)=12, Q865+W865, 0) + I865
              + AA864 + IF(MONTH(A865)=12, R865+X865, 0)
              - VLOOKUP(YEAR(A865), Lookup!$Q:$R, 2) + J865,
            Z864 + IF(MONTH(A865)=12, Q865+W865, 0) + I865
          ) - VLOOKUP(YEAR(A865), Lookup!$K:$M, 3)
        ),
    0),
  B865=55,
    IF(Z864&gt;=AD865,
      MAX(Y864 + IF(MONTH(A865)=12, P865+V865, 0) + H865 - L865, 0),
      MAX(MAX(0, Y864-(AD865-Z864)) + IF(MONTH(A865)=12, P865+V865, 0) + H865 - L865, 0)
    ),
  B865&gt;55,
    IF(AB864&gt;=$AH$7,
      MAX(Y864 + IF(MONTH(A865)=12, P865+V865, 0) + H865 - L865 + K865 + Z864, 0),
      MAX(Y864 + IF(MONTH(A865)=12, P865+V865, 0) + H865 - L865, 0)
    )
)</f>
        <v>2289500.501</v>
      </c>
      <c r="Z865" s="65">
        <f>IFS(
  B865&lt;55,
    MIN(
      IF(AA864 &gt;= VLOOKUP(YEAR(A865), Lookup!$Q:$R, 2),
        Z864 + IF(MONTH(A865)=12, Q865+W865, 0) + I865
          + AA864 + IF(MONTH(A865)=12, R865+X865, 0) - VLOOKUP(YEAR(A865), Lookup!$Q:$R, 2) + J865,
        Z864 + IF(MONTH(A865)=12, Q865+W865, 0) + I865
      ),
      VLOOKUP(YEAR(A865), Lookup!$K:$M, 3)
    ),
  B865=55,
    IF(Z864 &gt;= AD865, Z864 - AD865, 0),
  B865&gt;55, 0
)</f>
        <v>0</v>
      </c>
      <c r="AA865" s="65">
        <f>IFS(
  B865&lt;65,
    IF(AA864+J865 &lt; VLOOKUP(YEAR(A865), Lookup!$Q:$R, 2),
      AA864 + IF(MONTH(A865)=12, R864+X864, 0) + J865,
      MIN(
        AA864 + IF(MONTH(A865)=12, R864+X864, 0) + J865 ,
        VLOOKUP(YEAR(A865), Lookup!$Q:$R, 2)
      )
    ),
  B865&gt;=65,
    IF(AA864+J865 &lt; VLOOKUP(questions!$C$5, Lookup!$Q:$R, 2),
      AA864 + IF(MONTH(A865)=12, R864+X864, 0) + J865 ,
      MIN(
        AA864 + IF(MONTH(A865)=12, R864+X864, 0) + J865,
        VLOOKUP(questions!$C$5, Lookup!$Q:$R, 2)
      )
    )
)</f>
        <v>282111.0086</v>
      </c>
      <c r="AB865" s="65">
        <f t="shared" si="13"/>
        <v>3603977.979</v>
      </c>
      <c r="AC865" s="66">
        <f t="array" ref="AC865">IFS(B865&lt;66, XLOOKUP(year(A865),Lookup!$K$13:$K1000,Lookup!$L$13:$L1000,"missing",,1),B865&gt;65,XLOOKUP(questions!$C$5,Lookup!$K$13:$K1000,Lookup!$L$13:$L1000,"missing",,1))</f>
        <v>393675.3633</v>
      </c>
      <c r="AD865" s="66">
        <f t="array" ref="AD865">IFS(B865&lt;66, XLOOKUP(year(A865),Lookup!$K$13:$K1000,Lookup!$M$13:$M1000,"missing",,1),B865&gt;65, XLOOKUP(questions!$C$5,Lookup!$K$13:$K1000,Lookup!$M$13:$M1000,"missing",,1))</f>
        <v>787350.7266</v>
      </c>
      <c r="AE865" s="66">
        <f t="array" ref="AE865">IFS(B865&lt;66, XLOOKUP(year(A865),Lookup!$K$13:$K1000,Lookup!$N$13:$N1000,"missing",,1),B865&gt;65,XLOOKUP(questions!$C$5,Lookup!$K$13:$K1000,Lookup!$N$13:$N1000,"missing",,1))</f>
        <v>1574701.453</v>
      </c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  <c r="AQ865" s="37"/>
    </row>
    <row r="866">
      <c r="A866" s="55">
        <f t="shared" si="7"/>
        <v>72379</v>
      </c>
      <c r="B866" s="56">
        <f>round(YEARFRAC(EOMONTH(questions!$C$3, 0),A866,1),2)</f>
        <v>99.25</v>
      </c>
      <c r="C866" s="58">
        <f>IF(B866&lt;questions!$C$6,if(MONTH(A866)=1,C865*(1+questions!$C$12),C865),0)</f>
        <v>0</v>
      </c>
      <c r="D866" s="58">
        <f>IF(MONTH(A866)=12,C866*questions!$C$11,0)</f>
        <v>0</v>
      </c>
      <c r="E866" s="71">
        <f t="shared" si="2"/>
        <v>0</v>
      </c>
      <c r="F866" s="71">
        <f t="shared" si="3"/>
        <v>0</v>
      </c>
      <c r="G866" s="61">
        <f t="array" ref="G866">if(YEAR(A866)=2025,XLOOKUP(B866,Lookup!$A$3:$A$7,Lookup!$D$3:$D$7,,1)*SUM(E866:F866), XLOOKUP(B866,Lookup!$A$14:$A$18,Lookup!$D$14:$D$18,,1)*SUM(E866:F866))</f>
        <v>0</v>
      </c>
      <c r="H866" s="61">
        <f t="array" ref="H866">if(YEAR(A866)=2025,XLOOKUP(B866,Lookup!$F$3:$F$10,Lookup!$G$3:$G$10,,1)*G866, XLOOKUP(B866,Lookup!$F$14:$F$21,Lookup!$G$14:$G$21,,1)*G866)</f>
        <v>0</v>
      </c>
      <c r="I866" s="61">
        <f t="array" ref="I866">if(B866&lt;55, if(YEAR(A866)=2025,XLOOKUP(B866,Lookup!$F$3:$F$10,Lookup!$H$3:$H$10,,1)*G866, XLOOKUP(B866,Lookup!$F$14:$F$21,Lookup!$H$14:$H$21,,1)*G866),0)</f>
        <v>0</v>
      </c>
      <c r="J866" s="61">
        <f t="array" ref="J866">if(YEAR(A866)=2025,XLOOKUP(B866,Lookup!$F$3:$F$10,Lookup!$I$3:$I$10,,1)*G866, XLOOKUP(B866,Lookup!$F$14:$F$21,Lookup!$I$14:$I$21,,1)*G866)</f>
        <v>0</v>
      </c>
      <c r="K866" s="61">
        <f t="array" ref="K866">if(B866&gt;54, if(YEAR(A866)=2025,XLOOKUP(B866,Lookup!$F$3:$F$10,Lookup!$H$3:$H$10,,1)*G866, XLOOKUP(B866,Lookup!$F$14:$F$21,Lookup!$H$14:$H$21,,1)*G866),0)</f>
        <v>0</v>
      </c>
      <c r="L866" s="62">
        <f>IF(and(A866&lt;questions!$C$19,questions!$C$18="yes"),questions!$C$20,0)</f>
        <v>0</v>
      </c>
      <c r="M866" s="63">
        <f>(Y865+H866)*Lookup!A$26/12</f>
        <v>4769.792711</v>
      </c>
      <c r="N866" s="63">
        <f>if(B866&lt;55, (Z865+I866)*Lookup!B$26/12, (AB865+K866)*Lookup!B$26/12)</f>
        <v>12013.25993</v>
      </c>
      <c r="O866" s="63">
        <f>(AA865+J866)*Lookup!C$26/12</f>
        <v>940.3700287</v>
      </c>
      <c r="P866" s="63">
        <f t="shared" si="8"/>
        <v>9539.585423</v>
      </c>
      <c r="Q866" s="63">
        <f t="shared" si="4"/>
        <v>24026.51986</v>
      </c>
      <c r="R866" s="63">
        <f t="shared" si="5"/>
        <v>1880.740057</v>
      </c>
      <c r="S866" s="64">
        <f t="shared" si="9"/>
        <v>33.33333333</v>
      </c>
      <c r="T866" s="64">
        <f t="shared" si="10"/>
        <v>41.66666667</v>
      </c>
      <c r="U866" s="64">
        <f t="shared" si="11"/>
        <v>0</v>
      </c>
      <c r="V866" s="64">
        <f t="shared" ref="V866:X866" si="874">IF(year($A866)=year($A865), V865+S866, S866)</f>
        <v>66.66666667</v>
      </c>
      <c r="W866" s="64">
        <f t="shared" si="874"/>
        <v>83.33333333</v>
      </c>
      <c r="X866" s="64">
        <f t="shared" si="874"/>
        <v>0</v>
      </c>
      <c r="Y866" s="65">
        <f>IFS(
  B866&lt;55,
    MAX(
      Y865 + IF(MONTH(A866)=12, P866+V866, 0) + H866 - L866
      + MAX(0,
          IF(AA865 &gt;= VLOOKUP(YEAR(A866), Lookup!$Q:$R, 2),
            Z865 + IF(MONTH(A866)=12, Q866+W866, 0) + I866
              + AA865 + IF(MONTH(A866)=12, R866+X866, 0)
              - VLOOKUP(YEAR(A866), Lookup!$Q:$R, 2) + J866,
            Z865 + IF(MONTH(A866)=12, Q866+W866, 0) + I866
          ) - VLOOKUP(YEAR(A866), Lookup!$K:$M, 3)
        ),
    0),
  B866=55,
    IF(Z865&gt;=AD866,
      MAX(Y865 + IF(MONTH(A866)=12, P866+V866, 0) + H866 - L866, 0),
      MAX(MAX(0, Y865-(AD866-Z865)) + IF(MONTH(A866)=12, P866+V866, 0) + H866 - L866, 0)
    ),
  B866&gt;55,
    IF(AB865&gt;=$AH$7,
      MAX(Y865 + IF(MONTH(A866)=12, P866+V866, 0) + H866 - L866 + K866 + Z865, 0),
      MAX(Y865 + IF(MONTH(A866)=12, P866+V866, 0) + H866 - L866, 0)
    )
)</f>
        <v>2289500.501</v>
      </c>
      <c r="Z866" s="65">
        <f>IFS(
  B866&lt;55,
    MIN(
      IF(AA865 &gt;= VLOOKUP(YEAR(A866), Lookup!$Q:$R, 2),
        Z865 + IF(MONTH(A866)=12, Q866+W866, 0) + I866
          + AA865 + IF(MONTH(A866)=12, R866+X866, 0) - VLOOKUP(YEAR(A866), Lookup!$Q:$R, 2) + J866,
        Z865 + IF(MONTH(A866)=12, Q866+W866, 0) + I866
      ),
      VLOOKUP(YEAR(A866), Lookup!$K:$M, 3)
    ),
  B866=55,
    IF(Z865 &gt;= AD866, Z865 - AD866, 0),
  B866&gt;55, 0
)</f>
        <v>0</v>
      </c>
      <c r="AA866" s="65">
        <f>IFS(
  B866&lt;65,
    IF(AA865+J866 &lt; VLOOKUP(YEAR(A866), Lookup!$Q:$R, 2),
      AA865 + IF(MONTH(A866)=12, R865+X865, 0) + J866,
      MIN(
        AA865 + IF(MONTH(A866)=12, R865+X865, 0) + J866 ,
        VLOOKUP(YEAR(A866), Lookup!$Q:$R, 2)
      )
    ),
  B866&gt;=65,
    IF(AA865+J866 &lt; VLOOKUP(questions!$C$5, Lookup!$Q:$R, 2),
      AA865 + IF(MONTH(A866)=12, R865+X865, 0) + J866 ,
      MIN(
        AA865 + IF(MONTH(A866)=12, R865+X865, 0) + J866,
        VLOOKUP(questions!$C$5, Lookup!$Q:$R, 2)
      )
    )
)</f>
        <v>282111.0086</v>
      </c>
      <c r="AB866" s="65">
        <f t="shared" si="13"/>
        <v>3603977.979</v>
      </c>
      <c r="AC866" s="66">
        <f t="array" ref="AC866">IFS(B866&lt;66, XLOOKUP(year(A866),Lookup!$K$13:$K1000,Lookup!$L$13:$L1000,"missing",,1),B866&gt;65,XLOOKUP(questions!$C$5,Lookup!$K$13:$K1000,Lookup!$L$13:$L1000,"missing",,1))</f>
        <v>393675.3633</v>
      </c>
      <c r="AD866" s="66">
        <f t="array" ref="AD866">IFS(B866&lt;66, XLOOKUP(year(A866),Lookup!$K$13:$K1000,Lookup!$M$13:$M1000,"missing",,1),B866&gt;65, XLOOKUP(questions!$C$5,Lookup!$K$13:$K1000,Lookup!$M$13:$M1000,"missing",,1))</f>
        <v>787350.7266</v>
      </c>
      <c r="AE866" s="66">
        <f t="array" ref="AE866">IFS(B866&lt;66, XLOOKUP(year(A866),Lookup!$K$13:$K1000,Lookup!$N$13:$N1000,"missing",,1),B866&gt;65,XLOOKUP(questions!$C$5,Lookup!$K$13:$K1000,Lookup!$N$13:$N1000,"missing",,1))</f>
        <v>1574701.453</v>
      </c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  <c r="AQ866" s="37"/>
    </row>
    <row r="867">
      <c r="A867" s="55">
        <f t="shared" si="7"/>
        <v>72410</v>
      </c>
      <c r="B867" s="56">
        <f>round(YEARFRAC(EOMONTH(questions!$C$3, 0),A867,1),2)</f>
        <v>99.33</v>
      </c>
      <c r="C867" s="58">
        <f>IF(B867&lt;questions!$C$6,if(MONTH(A867)=1,C866*(1+questions!$C$12),C866),0)</f>
        <v>0</v>
      </c>
      <c r="D867" s="58">
        <f>IF(MONTH(A867)=12,C867*questions!$C$11,0)</f>
        <v>0</v>
      </c>
      <c r="E867" s="71">
        <f t="shared" si="2"/>
        <v>0</v>
      </c>
      <c r="F867" s="71">
        <f t="shared" si="3"/>
        <v>0</v>
      </c>
      <c r="G867" s="61">
        <f t="array" ref="G867">if(YEAR(A867)=2025,XLOOKUP(B867,Lookup!$A$3:$A$7,Lookup!$D$3:$D$7,,1)*SUM(E867:F867), XLOOKUP(B867,Lookup!$A$14:$A$18,Lookup!$D$14:$D$18,,1)*SUM(E867:F867))</f>
        <v>0</v>
      </c>
      <c r="H867" s="61">
        <f t="array" ref="H867">if(YEAR(A867)=2025,XLOOKUP(B867,Lookup!$F$3:$F$10,Lookup!$G$3:$G$10,,1)*G867, XLOOKUP(B867,Lookup!$F$14:$F$21,Lookup!$G$14:$G$21,,1)*G867)</f>
        <v>0</v>
      </c>
      <c r="I867" s="61">
        <f t="array" ref="I867">if(B867&lt;55, if(YEAR(A867)=2025,XLOOKUP(B867,Lookup!$F$3:$F$10,Lookup!$H$3:$H$10,,1)*G867, XLOOKUP(B867,Lookup!$F$14:$F$21,Lookup!$H$14:$H$21,,1)*G867),0)</f>
        <v>0</v>
      </c>
      <c r="J867" s="61">
        <f t="array" ref="J867">if(YEAR(A867)=2025,XLOOKUP(B867,Lookup!$F$3:$F$10,Lookup!$I$3:$I$10,,1)*G867, XLOOKUP(B867,Lookup!$F$14:$F$21,Lookup!$I$14:$I$21,,1)*G867)</f>
        <v>0</v>
      </c>
      <c r="K867" s="61">
        <f t="array" ref="K867">if(B867&gt;54, if(YEAR(A867)=2025,XLOOKUP(B867,Lookup!$F$3:$F$10,Lookup!$H$3:$H$10,,1)*G867, XLOOKUP(B867,Lookup!$F$14:$F$21,Lookup!$H$14:$H$21,,1)*G867),0)</f>
        <v>0</v>
      </c>
      <c r="L867" s="62">
        <f>IF(and(A867&lt;questions!$C$19,questions!$C$18="yes"),questions!$C$20,0)</f>
        <v>0</v>
      </c>
      <c r="M867" s="63">
        <f>(Y866+H867)*Lookup!A$26/12</f>
        <v>4769.792711</v>
      </c>
      <c r="N867" s="63">
        <f>if(B867&lt;55, (Z866+I867)*Lookup!B$26/12, (AB866+K867)*Lookup!B$26/12)</f>
        <v>12013.25993</v>
      </c>
      <c r="O867" s="63">
        <f>(AA866+J867)*Lookup!C$26/12</f>
        <v>940.3700287</v>
      </c>
      <c r="P867" s="63">
        <f t="shared" si="8"/>
        <v>14309.37813</v>
      </c>
      <c r="Q867" s="63">
        <f t="shared" si="4"/>
        <v>36039.77979</v>
      </c>
      <c r="R867" s="63">
        <f t="shared" si="5"/>
        <v>2821.110086</v>
      </c>
      <c r="S867" s="64">
        <f t="shared" si="9"/>
        <v>33.33333333</v>
      </c>
      <c r="T867" s="64">
        <f t="shared" si="10"/>
        <v>41.66666667</v>
      </c>
      <c r="U867" s="64">
        <f t="shared" si="11"/>
        <v>0</v>
      </c>
      <c r="V867" s="64">
        <f t="shared" ref="V867:X867" si="875">IF(year($A867)=year($A866), V866+S867, S867)</f>
        <v>100</v>
      </c>
      <c r="W867" s="64">
        <f t="shared" si="875"/>
        <v>125</v>
      </c>
      <c r="X867" s="64">
        <f t="shared" si="875"/>
        <v>0</v>
      </c>
      <c r="Y867" s="65">
        <f>IFS(
  B867&lt;55,
    MAX(
      Y866 + IF(MONTH(A867)=12, P867+V867, 0) + H867 - L867
      + MAX(0,
          IF(AA866 &gt;= VLOOKUP(YEAR(A867), Lookup!$Q:$R, 2),
            Z866 + IF(MONTH(A867)=12, Q867+W867, 0) + I867
              + AA866 + IF(MONTH(A867)=12, R867+X867, 0)
              - VLOOKUP(YEAR(A867), Lookup!$Q:$R, 2) + J867,
            Z866 + IF(MONTH(A867)=12, Q867+W867, 0) + I867
          ) - VLOOKUP(YEAR(A867), Lookup!$K:$M, 3)
        ),
    0),
  B867=55,
    IF(Z866&gt;=AD867,
      MAX(Y866 + IF(MONTH(A867)=12, P867+V867, 0) + H867 - L867, 0),
      MAX(MAX(0, Y866-(AD867-Z866)) + IF(MONTH(A867)=12, P867+V867, 0) + H867 - L867, 0)
    ),
  B867&gt;55,
    IF(AB866&gt;=$AH$7,
      MAX(Y866 + IF(MONTH(A867)=12, P867+V867, 0) + H867 - L867 + K867 + Z866, 0),
      MAX(Y866 + IF(MONTH(A867)=12, P867+V867, 0) + H867 - L867, 0)
    )
)</f>
        <v>2289500.501</v>
      </c>
      <c r="Z867" s="65">
        <f>IFS(
  B867&lt;55,
    MIN(
      IF(AA866 &gt;= VLOOKUP(YEAR(A867), Lookup!$Q:$R, 2),
        Z866 + IF(MONTH(A867)=12, Q867+W867, 0) + I867
          + AA866 + IF(MONTH(A867)=12, R867+X867, 0) - VLOOKUP(YEAR(A867), Lookup!$Q:$R, 2) + J867,
        Z866 + IF(MONTH(A867)=12, Q867+W867, 0) + I867
      ),
      VLOOKUP(YEAR(A867), Lookup!$K:$M, 3)
    ),
  B867=55,
    IF(Z866 &gt;= AD867, Z866 - AD867, 0),
  B867&gt;55, 0
)</f>
        <v>0</v>
      </c>
      <c r="AA867" s="65">
        <f>IFS(
  B867&lt;65,
    IF(AA866+J867 &lt; VLOOKUP(YEAR(A867), Lookup!$Q:$R, 2),
      AA866 + IF(MONTH(A867)=12, R866+X866, 0) + J867,
      MIN(
        AA866 + IF(MONTH(A867)=12, R866+X866, 0) + J867 ,
        VLOOKUP(YEAR(A867), Lookup!$Q:$R, 2)
      )
    ),
  B867&gt;=65,
    IF(AA866+J867 &lt; VLOOKUP(questions!$C$5, Lookup!$Q:$R, 2),
      AA866 + IF(MONTH(A867)=12, R866+X866, 0) + J867 ,
      MIN(
        AA866 + IF(MONTH(A867)=12, R866+X866, 0) + J867,
        VLOOKUP(questions!$C$5, Lookup!$Q:$R, 2)
      )
    )
)</f>
        <v>282111.0086</v>
      </c>
      <c r="AB867" s="65">
        <f t="shared" si="13"/>
        <v>3603977.979</v>
      </c>
      <c r="AC867" s="66">
        <f t="array" ref="AC867">IFS(B867&lt;66, XLOOKUP(year(A867),Lookup!$K$13:$K1000,Lookup!$L$13:$L1000,"missing",,1),B867&gt;65,XLOOKUP(questions!$C$5,Lookup!$K$13:$K1000,Lookup!$L$13:$L1000,"missing",,1))</f>
        <v>393675.3633</v>
      </c>
      <c r="AD867" s="66">
        <f t="array" ref="AD867">IFS(B867&lt;66, XLOOKUP(year(A867),Lookup!$K$13:$K1000,Lookup!$M$13:$M1000,"missing",,1),B867&gt;65, XLOOKUP(questions!$C$5,Lookup!$K$13:$K1000,Lookup!$M$13:$M1000,"missing",,1))</f>
        <v>787350.7266</v>
      </c>
      <c r="AE867" s="66">
        <f t="array" ref="AE867">IFS(B867&lt;66, XLOOKUP(year(A867),Lookup!$K$13:$K1000,Lookup!$N$13:$N1000,"missing",,1),B867&gt;65,XLOOKUP(questions!$C$5,Lookup!$K$13:$K1000,Lookup!$N$13:$N1000,"missing",,1))</f>
        <v>1574701.453</v>
      </c>
      <c r="AF867" s="37"/>
      <c r="AG867" s="37"/>
      <c r="AH867" s="37"/>
      <c r="AI867" s="37"/>
      <c r="AJ867" s="37"/>
      <c r="AK867" s="37"/>
      <c r="AL867" s="37"/>
      <c r="AM867" s="37"/>
      <c r="AN867" s="37"/>
      <c r="AO867" s="37"/>
      <c r="AP867" s="37"/>
      <c r="AQ867" s="37"/>
    </row>
    <row r="868">
      <c r="A868" s="55">
        <f t="shared" si="7"/>
        <v>72440</v>
      </c>
      <c r="B868" s="56">
        <f>round(YEARFRAC(EOMONTH(questions!$C$3, 0),A868,1),2)</f>
        <v>99.41</v>
      </c>
      <c r="C868" s="58">
        <f>IF(B868&lt;questions!$C$6,if(MONTH(A868)=1,C867*(1+questions!$C$12),C867),0)</f>
        <v>0</v>
      </c>
      <c r="D868" s="58">
        <f>IF(MONTH(A868)=12,C868*questions!$C$11,0)</f>
        <v>0</v>
      </c>
      <c r="E868" s="71">
        <f t="shared" si="2"/>
        <v>0</v>
      </c>
      <c r="F868" s="71">
        <f t="shared" si="3"/>
        <v>0</v>
      </c>
      <c r="G868" s="61">
        <f t="array" ref="G868">if(YEAR(A868)=2025,XLOOKUP(B868,Lookup!$A$3:$A$7,Lookup!$D$3:$D$7,,1)*SUM(E868:F868), XLOOKUP(B868,Lookup!$A$14:$A$18,Lookup!$D$14:$D$18,,1)*SUM(E868:F868))</f>
        <v>0</v>
      </c>
      <c r="H868" s="61">
        <f t="array" ref="H868">if(YEAR(A868)=2025,XLOOKUP(B868,Lookup!$F$3:$F$10,Lookup!$G$3:$G$10,,1)*G868, XLOOKUP(B868,Lookup!$F$14:$F$21,Lookup!$G$14:$G$21,,1)*G868)</f>
        <v>0</v>
      </c>
      <c r="I868" s="61">
        <f t="array" ref="I868">if(B868&lt;55, if(YEAR(A868)=2025,XLOOKUP(B868,Lookup!$F$3:$F$10,Lookup!$H$3:$H$10,,1)*G868, XLOOKUP(B868,Lookup!$F$14:$F$21,Lookup!$H$14:$H$21,,1)*G868),0)</f>
        <v>0</v>
      </c>
      <c r="J868" s="61">
        <f t="array" ref="J868">if(YEAR(A868)=2025,XLOOKUP(B868,Lookup!$F$3:$F$10,Lookup!$I$3:$I$10,,1)*G868, XLOOKUP(B868,Lookup!$F$14:$F$21,Lookup!$I$14:$I$21,,1)*G868)</f>
        <v>0</v>
      </c>
      <c r="K868" s="61">
        <f t="array" ref="K868">if(B868&gt;54, if(YEAR(A868)=2025,XLOOKUP(B868,Lookup!$F$3:$F$10,Lookup!$H$3:$H$10,,1)*G868, XLOOKUP(B868,Lookup!$F$14:$F$21,Lookup!$H$14:$H$21,,1)*G868),0)</f>
        <v>0</v>
      </c>
      <c r="L868" s="62">
        <f>IF(and(A868&lt;questions!$C$19,questions!$C$18="yes"),questions!$C$20,0)</f>
        <v>0</v>
      </c>
      <c r="M868" s="63">
        <f>(Y867+H868)*Lookup!A$26/12</f>
        <v>4769.792711</v>
      </c>
      <c r="N868" s="63">
        <f>if(B868&lt;55, (Z867+I868)*Lookup!B$26/12, (AB867+K868)*Lookup!B$26/12)</f>
        <v>12013.25993</v>
      </c>
      <c r="O868" s="63">
        <f>(AA867+J868)*Lookup!C$26/12</f>
        <v>940.3700287</v>
      </c>
      <c r="P868" s="63">
        <f t="shared" si="8"/>
        <v>19079.17085</v>
      </c>
      <c r="Q868" s="63">
        <f t="shared" si="4"/>
        <v>48053.03972</v>
      </c>
      <c r="R868" s="63">
        <f t="shared" si="5"/>
        <v>3761.480115</v>
      </c>
      <c r="S868" s="64">
        <f t="shared" si="9"/>
        <v>33.33333333</v>
      </c>
      <c r="T868" s="64">
        <f t="shared" si="10"/>
        <v>41.66666667</v>
      </c>
      <c r="U868" s="64">
        <f t="shared" si="11"/>
        <v>0</v>
      </c>
      <c r="V868" s="64">
        <f t="shared" ref="V868:X868" si="876">IF(year($A868)=year($A867), V867+S868, S868)</f>
        <v>133.3333333</v>
      </c>
      <c r="W868" s="64">
        <f t="shared" si="876"/>
        <v>166.6666667</v>
      </c>
      <c r="X868" s="64">
        <f t="shared" si="876"/>
        <v>0</v>
      </c>
      <c r="Y868" s="65">
        <f>IFS(
  B868&lt;55,
    MAX(
      Y867 + IF(MONTH(A868)=12, P868+V868, 0) + H868 - L868
      + MAX(0,
          IF(AA867 &gt;= VLOOKUP(YEAR(A868), Lookup!$Q:$R, 2),
            Z867 + IF(MONTH(A868)=12, Q868+W868, 0) + I868
              + AA867 + IF(MONTH(A868)=12, R868+X868, 0)
              - VLOOKUP(YEAR(A868), Lookup!$Q:$R, 2) + J868,
            Z867 + IF(MONTH(A868)=12, Q868+W868, 0) + I868
          ) - VLOOKUP(YEAR(A868), Lookup!$K:$M, 3)
        ),
    0),
  B868=55,
    IF(Z867&gt;=AD868,
      MAX(Y867 + IF(MONTH(A868)=12, P868+V868, 0) + H868 - L868, 0),
      MAX(MAX(0, Y867-(AD868-Z867)) + IF(MONTH(A868)=12, P868+V868, 0) + H868 - L868, 0)
    ),
  B868&gt;55,
    IF(AB867&gt;=$AH$7,
      MAX(Y867 + IF(MONTH(A868)=12, P868+V868, 0) + H868 - L868 + K868 + Z867, 0),
      MAX(Y867 + IF(MONTH(A868)=12, P868+V868, 0) + H868 - L868, 0)
    )
)</f>
        <v>2289500.501</v>
      </c>
      <c r="Z868" s="65">
        <f>IFS(
  B868&lt;55,
    MIN(
      IF(AA867 &gt;= VLOOKUP(YEAR(A868), Lookup!$Q:$R, 2),
        Z867 + IF(MONTH(A868)=12, Q868+W868, 0) + I868
          + AA867 + IF(MONTH(A868)=12, R868+X868, 0) - VLOOKUP(YEAR(A868), Lookup!$Q:$R, 2) + J868,
        Z867 + IF(MONTH(A868)=12, Q868+W868, 0) + I868
      ),
      VLOOKUP(YEAR(A868), Lookup!$K:$M, 3)
    ),
  B868=55,
    IF(Z867 &gt;= AD868, Z867 - AD868, 0),
  B868&gt;55, 0
)</f>
        <v>0</v>
      </c>
      <c r="AA868" s="65">
        <f>IFS(
  B868&lt;65,
    IF(AA867+J868 &lt; VLOOKUP(YEAR(A868), Lookup!$Q:$R, 2),
      AA867 + IF(MONTH(A868)=12, R867+X867, 0) + J868,
      MIN(
        AA867 + IF(MONTH(A868)=12, R867+X867, 0) + J868 ,
        VLOOKUP(YEAR(A868), Lookup!$Q:$R, 2)
      )
    ),
  B868&gt;=65,
    IF(AA867+J868 &lt; VLOOKUP(questions!$C$5, Lookup!$Q:$R, 2),
      AA867 + IF(MONTH(A868)=12, R867+X867, 0) + J868 ,
      MIN(
        AA867 + IF(MONTH(A868)=12, R867+X867, 0) + J868,
        VLOOKUP(questions!$C$5, Lookup!$Q:$R, 2)
      )
    )
)</f>
        <v>282111.0086</v>
      </c>
      <c r="AB868" s="65">
        <f t="shared" si="13"/>
        <v>3603977.979</v>
      </c>
      <c r="AC868" s="66">
        <f t="array" ref="AC868">IFS(B868&lt;66, XLOOKUP(year(A868),Lookup!$K$13:$K1000,Lookup!$L$13:$L1000,"missing",,1),B868&gt;65,XLOOKUP(questions!$C$5,Lookup!$K$13:$K1000,Lookup!$L$13:$L1000,"missing",,1))</f>
        <v>393675.3633</v>
      </c>
      <c r="AD868" s="66">
        <f t="array" ref="AD868">IFS(B868&lt;66, XLOOKUP(year(A868),Lookup!$K$13:$K1000,Lookup!$M$13:$M1000,"missing",,1),B868&gt;65, XLOOKUP(questions!$C$5,Lookup!$K$13:$K1000,Lookup!$M$13:$M1000,"missing",,1))</f>
        <v>787350.7266</v>
      </c>
      <c r="AE868" s="66">
        <f t="array" ref="AE868">IFS(B868&lt;66, XLOOKUP(year(A868),Lookup!$K$13:$K1000,Lookup!$N$13:$N1000,"missing",,1),B868&gt;65,XLOOKUP(questions!$C$5,Lookup!$K$13:$K1000,Lookup!$N$13:$N1000,"missing",,1))</f>
        <v>1574701.453</v>
      </c>
      <c r="AF868" s="37"/>
      <c r="AG868" s="37"/>
      <c r="AH868" s="37"/>
      <c r="AI868" s="37"/>
      <c r="AJ868" s="37"/>
      <c r="AK868" s="37"/>
      <c r="AL868" s="37"/>
      <c r="AM868" s="37"/>
      <c r="AN868" s="37"/>
      <c r="AO868" s="37"/>
      <c r="AP868" s="37"/>
      <c r="AQ868" s="37"/>
    </row>
    <row r="869">
      <c r="A869" s="55">
        <f t="shared" si="7"/>
        <v>72471</v>
      </c>
      <c r="B869" s="56">
        <f>round(YEARFRAC(EOMONTH(questions!$C$3, 0),A869,1),2)</f>
        <v>99.5</v>
      </c>
      <c r="C869" s="58">
        <f>IF(B869&lt;questions!$C$6,if(MONTH(A869)=1,C868*(1+questions!$C$12),C868),0)</f>
        <v>0</v>
      </c>
      <c r="D869" s="58">
        <f>IF(MONTH(A869)=12,C869*questions!$C$11,0)</f>
        <v>0</v>
      </c>
      <c r="E869" s="71">
        <f t="shared" si="2"/>
        <v>0</v>
      </c>
      <c r="F869" s="71">
        <f t="shared" si="3"/>
        <v>0</v>
      </c>
      <c r="G869" s="61">
        <f t="array" ref="G869">if(YEAR(A869)=2025,XLOOKUP(B869,Lookup!$A$3:$A$7,Lookup!$D$3:$D$7,,1)*SUM(E869:F869), XLOOKUP(B869,Lookup!$A$14:$A$18,Lookup!$D$14:$D$18,,1)*SUM(E869:F869))</f>
        <v>0</v>
      </c>
      <c r="H869" s="61">
        <f t="array" ref="H869">if(YEAR(A869)=2025,XLOOKUP(B869,Lookup!$F$3:$F$10,Lookup!$G$3:$G$10,,1)*G869, XLOOKUP(B869,Lookup!$F$14:$F$21,Lookup!$G$14:$G$21,,1)*G869)</f>
        <v>0</v>
      </c>
      <c r="I869" s="61">
        <f t="array" ref="I869">if(B869&lt;55, if(YEAR(A869)=2025,XLOOKUP(B869,Lookup!$F$3:$F$10,Lookup!$H$3:$H$10,,1)*G869, XLOOKUP(B869,Lookup!$F$14:$F$21,Lookup!$H$14:$H$21,,1)*G869),0)</f>
        <v>0</v>
      </c>
      <c r="J869" s="61">
        <f t="array" ref="J869">if(YEAR(A869)=2025,XLOOKUP(B869,Lookup!$F$3:$F$10,Lookup!$I$3:$I$10,,1)*G869, XLOOKUP(B869,Lookup!$F$14:$F$21,Lookup!$I$14:$I$21,,1)*G869)</f>
        <v>0</v>
      </c>
      <c r="K869" s="61">
        <f t="array" ref="K869">if(B869&gt;54, if(YEAR(A869)=2025,XLOOKUP(B869,Lookup!$F$3:$F$10,Lookup!$H$3:$H$10,,1)*G869, XLOOKUP(B869,Lookup!$F$14:$F$21,Lookup!$H$14:$H$21,,1)*G869),0)</f>
        <v>0</v>
      </c>
      <c r="L869" s="62">
        <f>IF(and(A869&lt;questions!$C$19,questions!$C$18="yes"),questions!$C$20,0)</f>
        <v>0</v>
      </c>
      <c r="M869" s="63">
        <f>(Y868+H869)*Lookup!A$26/12</f>
        <v>4769.792711</v>
      </c>
      <c r="N869" s="63">
        <f>if(B869&lt;55, (Z868+I869)*Lookup!B$26/12, (AB868+K869)*Lookup!B$26/12)</f>
        <v>12013.25993</v>
      </c>
      <c r="O869" s="63">
        <f>(AA868+J869)*Lookup!C$26/12</f>
        <v>940.3700287</v>
      </c>
      <c r="P869" s="63">
        <f t="shared" si="8"/>
        <v>23848.96356</v>
      </c>
      <c r="Q869" s="63">
        <f t="shared" si="4"/>
        <v>60066.29965</v>
      </c>
      <c r="R869" s="63">
        <f t="shared" si="5"/>
        <v>4701.850143</v>
      </c>
      <c r="S869" s="64">
        <f t="shared" si="9"/>
        <v>33.33333333</v>
      </c>
      <c r="T869" s="64">
        <f t="shared" si="10"/>
        <v>41.66666667</v>
      </c>
      <c r="U869" s="64">
        <f t="shared" si="11"/>
        <v>0</v>
      </c>
      <c r="V869" s="64">
        <f t="shared" ref="V869:X869" si="877">IF(year($A869)=year($A868), V868+S869, S869)</f>
        <v>166.6666667</v>
      </c>
      <c r="W869" s="64">
        <f t="shared" si="877"/>
        <v>208.3333333</v>
      </c>
      <c r="X869" s="64">
        <f t="shared" si="877"/>
        <v>0</v>
      </c>
      <c r="Y869" s="65">
        <f>IFS(
  B869&lt;55,
    MAX(
      Y868 + IF(MONTH(A869)=12, P869+V869, 0) + H869 - L869
      + MAX(0,
          IF(AA868 &gt;= VLOOKUP(YEAR(A869), Lookup!$Q:$R, 2),
            Z868 + IF(MONTH(A869)=12, Q869+W869, 0) + I869
              + AA868 + IF(MONTH(A869)=12, R869+X869, 0)
              - VLOOKUP(YEAR(A869), Lookup!$Q:$R, 2) + J869,
            Z868 + IF(MONTH(A869)=12, Q869+W869, 0) + I869
          ) - VLOOKUP(YEAR(A869), Lookup!$K:$M, 3)
        ),
    0),
  B869=55,
    IF(Z868&gt;=AD869,
      MAX(Y868 + IF(MONTH(A869)=12, P869+V869, 0) + H869 - L869, 0),
      MAX(MAX(0, Y868-(AD869-Z868)) + IF(MONTH(A869)=12, P869+V869, 0) + H869 - L869, 0)
    ),
  B869&gt;55,
    IF(AB868&gt;=$AH$7,
      MAX(Y868 + IF(MONTH(A869)=12, P869+V869, 0) + H869 - L869 + K869 + Z868, 0),
      MAX(Y868 + IF(MONTH(A869)=12, P869+V869, 0) + H869 - L869, 0)
    )
)</f>
        <v>2289500.501</v>
      </c>
      <c r="Z869" s="65">
        <f>IFS(
  B869&lt;55,
    MIN(
      IF(AA868 &gt;= VLOOKUP(YEAR(A869), Lookup!$Q:$R, 2),
        Z868 + IF(MONTH(A869)=12, Q869+W869, 0) + I869
          + AA868 + IF(MONTH(A869)=12, R869+X869, 0) - VLOOKUP(YEAR(A869), Lookup!$Q:$R, 2) + J869,
        Z868 + IF(MONTH(A869)=12, Q869+W869, 0) + I869
      ),
      VLOOKUP(YEAR(A869), Lookup!$K:$M, 3)
    ),
  B869=55,
    IF(Z868 &gt;= AD869, Z868 - AD869, 0),
  B869&gt;55, 0
)</f>
        <v>0</v>
      </c>
      <c r="AA869" s="65">
        <f>IFS(
  B869&lt;65,
    IF(AA868+J869 &lt; VLOOKUP(YEAR(A869), Lookup!$Q:$R, 2),
      AA868 + IF(MONTH(A869)=12, R868+X868, 0) + J869,
      MIN(
        AA868 + IF(MONTH(A869)=12, R868+X868, 0) + J869 ,
        VLOOKUP(YEAR(A869), Lookup!$Q:$R, 2)
      )
    ),
  B869&gt;=65,
    IF(AA868+J869 &lt; VLOOKUP(questions!$C$5, Lookup!$Q:$R, 2),
      AA868 + IF(MONTH(A869)=12, R868+X868, 0) + J869 ,
      MIN(
        AA868 + IF(MONTH(A869)=12, R868+X868, 0) + J869,
        VLOOKUP(questions!$C$5, Lookup!$Q:$R, 2)
      )
    )
)</f>
        <v>282111.0086</v>
      </c>
      <c r="AB869" s="65">
        <f t="shared" si="13"/>
        <v>3603977.979</v>
      </c>
      <c r="AC869" s="66">
        <f t="array" ref="AC869">IFS(B869&lt;66, XLOOKUP(year(A869),Lookup!$K$13:$K1000,Lookup!$L$13:$L1000,"missing",,1),B869&gt;65,XLOOKUP(questions!$C$5,Lookup!$K$13:$K1000,Lookup!$L$13:$L1000,"missing",,1))</f>
        <v>393675.3633</v>
      </c>
      <c r="AD869" s="66">
        <f t="array" ref="AD869">IFS(B869&lt;66, XLOOKUP(year(A869),Lookup!$K$13:$K1000,Lookup!$M$13:$M1000,"missing",,1),B869&gt;65, XLOOKUP(questions!$C$5,Lookup!$K$13:$K1000,Lookup!$M$13:$M1000,"missing",,1))</f>
        <v>787350.7266</v>
      </c>
      <c r="AE869" s="66">
        <f t="array" ref="AE869">IFS(B869&lt;66, XLOOKUP(year(A869),Lookup!$K$13:$K1000,Lookup!$N$13:$N1000,"missing",,1),B869&gt;65,XLOOKUP(questions!$C$5,Lookup!$K$13:$K1000,Lookup!$N$13:$N1000,"missing",,1))</f>
        <v>1574701.453</v>
      </c>
      <c r="AF869" s="37"/>
      <c r="AG869" s="37"/>
      <c r="AH869" s="37"/>
      <c r="AI869" s="37"/>
      <c r="AJ869" s="37"/>
      <c r="AK869" s="37"/>
      <c r="AL869" s="37"/>
      <c r="AM869" s="37"/>
      <c r="AN869" s="37"/>
      <c r="AO869" s="37"/>
      <c r="AP869" s="37"/>
      <c r="AQ869" s="37"/>
    </row>
    <row r="870">
      <c r="A870" s="55">
        <f t="shared" si="7"/>
        <v>72501</v>
      </c>
      <c r="B870" s="56">
        <f>round(YEARFRAC(EOMONTH(questions!$C$3, 0),A870,1),2)</f>
        <v>99.58</v>
      </c>
      <c r="C870" s="58">
        <f>IF(B870&lt;questions!$C$6,if(MONTH(A870)=1,C869*(1+questions!$C$12),C869),0)</f>
        <v>0</v>
      </c>
      <c r="D870" s="58">
        <f>IF(MONTH(A870)=12,C870*questions!$C$11,0)</f>
        <v>0</v>
      </c>
      <c r="E870" s="71">
        <f t="shared" si="2"/>
        <v>0</v>
      </c>
      <c r="F870" s="71">
        <f t="shared" si="3"/>
        <v>0</v>
      </c>
      <c r="G870" s="61">
        <f t="array" ref="G870">if(YEAR(A870)=2025,XLOOKUP(B870,Lookup!$A$3:$A$7,Lookup!$D$3:$D$7,,1)*SUM(E870:F870), XLOOKUP(B870,Lookup!$A$14:$A$18,Lookup!$D$14:$D$18,,1)*SUM(E870:F870))</f>
        <v>0</v>
      </c>
      <c r="H870" s="61">
        <f t="array" ref="H870">if(YEAR(A870)=2025,XLOOKUP(B870,Lookup!$F$3:$F$10,Lookup!$G$3:$G$10,,1)*G870, XLOOKUP(B870,Lookup!$F$14:$F$21,Lookup!$G$14:$G$21,,1)*G870)</f>
        <v>0</v>
      </c>
      <c r="I870" s="61">
        <f t="array" ref="I870">if(B870&lt;55, if(YEAR(A870)=2025,XLOOKUP(B870,Lookup!$F$3:$F$10,Lookup!$H$3:$H$10,,1)*G870, XLOOKUP(B870,Lookup!$F$14:$F$21,Lookup!$H$14:$H$21,,1)*G870),0)</f>
        <v>0</v>
      </c>
      <c r="J870" s="61">
        <f t="array" ref="J870">if(YEAR(A870)=2025,XLOOKUP(B870,Lookup!$F$3:$F$10,Lookup!$I$3:$I$10,,1)*G870, XLOOKUP(B870,Lookup!$F$14:$F$21,Lookup!$I$14:$I$21,,1)*G870)</f>
        <v>0</v>
      </c>
      <c r="K870" s="61">
        <f t="array" ref="K870">if(B870&gt;54, if(YEAR(A870)=2025,XLOOKUP(B870,Lookup!$F$3:$F$10,Lookup!$H$3:$H$10,,1)*G870, XLOOKUP(B870,Lookup!$F$14:$F$21,Lookup!$H$14:$H$21,,1)*G870),0)</f>
        <v>0</v>
      </c>
      <c r="L870" s="62">
        <f>IF(and(A870&lt;questions!$C$19,questions!$C$18="yes"),questions!$C$20,0)</f>
        <v>0</v>
      </c>
      <c r="M870" s="63">
        <f>(Y869+H870)*Lookup!A$26/12</f>
        <v>4769.792711</v>
      </c>
      <c r="N870" s="63">
        <f>if(B870&lt;55, (Z869+I870)*Lookup!B$26/12, (AB869+K870)*Lookup!B$26/12)</f>
        <v>12013.25993</v>
      </c>
      <c r="O870" s="63">
        <f>(AA869+J870)*Lookup!C$26/12</f>
        <v>940.3700287</v>
      </c>
      <c r="P870" s="63">
        <f t="shared" si="8"/>
        <v>28618.75627</v>
      </c>
      <c r="Q870" s="63">
        <f t="shared" si="4"/>
        <v>72079.55958</v>
      </c>
      <c r="R870" s="63">
        <f t="shared" si="5"/>
        <v>5642.220172</v>
      </c>
      <c r="S870" s="64">
        <f t="shared" si="9"/>
        <v>33.33333333</v>
      </c>
      <c r="T870" s="64">
        <f t="shared" si="10"/>
        <v>41.66666667</v>
      </c>
      <c r="U870" s="64">
        <f t="shared" si="11"/>
        <v>0</v>
      </c>
      <c r="V870" s="64">
        <f t="shared" ref="V870:X870" si="878">IF(year($A870)=year($A869), V869+S870, S870)</f>
        <v>200</v>
      </c>
      <c r="W870" s="64">
        <f t="shared" si="878"/>
        <v>250</v>
      </c>
      <c r="X870" s="64">
        <f t="shared" si="878"/>
        <v>0</v>
      </c>
      <c r="Y870" s="65">
        <f>IFS(
  B870&lt;55,
    MAX(
      Y869 + IF(MONTH(A870)=12, P870+V870, 0) + H870 - L870
      + MAX(0,
          IF(AA869 &gt;= VLOOKUP(YEAR(A870), Lookup!$Q:$R, 2),
            Z869 + IF(MONTH(A870)=12, Q870+W870, 0) + I870
              + AA869 + IF(MONTH(A870)=12, R870+X870, 0)
              - VLOOKUP(YEAR(A870), Lookup!$Q:$R, 2) + J870,
            Z869 + IF(MONTH(A870)=12, Q870+W870, 0) + I870
          ) - VLOOKUP(YEAR(A870), Lookup!$K:$M, 3)
        ),
    0),
  B870=55,
    IF(Z869&gt;=AD870,
      MAX(Y869 + IF(MONTH(A870)=12, P870+V870, 0) + H870 - L870, 0),
      MAX(MAX(0, Y869-(AD870-Z869)) + IF(MONTH(A870)=12, P870+V870, 0) + H870 - L870, 0)
    ),
  B870&gt;55,
    IF(AB869&gt;=$AH$7,
      MAX(Y869 + IF(MONTH(A870)=12, P870+V870, 0) + H870 - L870 + K870 + Z869, 0),
      MAX(Y869 + IF(MONTH(A870)=12, P870+V870, 0) + H870 - L870, 0)
    )
)</f>
        <v>2289500.501</v>
      </c>
      <c r="Z870" s="65">
        <f>IFS(
  B870&lt;55,
    MIN(
      IF(AA869 &gt;= VLOOKUP(YEAR(A870), Lookup!$Q:$R, 2),
        Z869 + IF(MONTH(A870)=12, Q870+W870, 0) + I870
          + AA869 + IF(MONTH(A870)=12, R870+X870, 0) - VLOOKUP(YEAR(A870), Lookup!$Q:$R, 2) + J870,
        Z869 + IF(MONTH(A870)=12, Q870+W870, 0) + I870
      ),
      VLOOKUP(YEAR(A870), Lookup!$K:$M, 3)
    ),
  B870=55,
    IF(Z869 &gt;= AD870, Z869 - AD870, 0),
  B870&gt;55, 0
)</f>
        <v>0</v>
      </c>
      <c r="AA870" s="65">
        <f>IFS(
  B870&lt;65,
    IF(AA869+J870 &lt; VLOOKUP(YEAR(A870), Lookup!$Q:$R, 2),
      AA869 + IF(MONTH(A870)=12, R869+X869, 0) + J870,
      MIN(
        AA869 + IF(MONTH(A870)=12, R869+X869, 0) + J870 ,
        VLOOKUP(YEAR(A870), Lookup!$Q:$R, 2)
      )
    ),
  B870&gt;=65,
    IF(AA869+J870 &lt; VLOOKUP(questions!$C$5, Lookup!$Q:$R, 2),
      AA869 + IF(MONTH(A870)=12, R869+X869, 0) + J870 ,
      MIN(
        AA869 + IF(MONTH(A870)=12, R869+X869, 0) + J870,
        VLOOKUP(questions!$C$5, Lookup!$Q:$R, 2)
      )
    )
)</f>
        <v>282111.0086</v>
      </c>
      <c r="AB870" s="65">
        <f t="shared" si="13"/>
        <v>3603977.979</v>
      </c>
      <c r="AC870" s="66">
        <f t="array" ref="AC870">IFS(B870&lt;66, XLOOKUP(year(A870),Lookup!$K$13:$K1000,Lookup!$L$13:$L1000,"missing",,1),B870&gt;65,XLOOKUP(questions!$C$5,Lookup!$K$13:$K1000,Lookup!$L$13:$L1000,"missing",,1))</f>
        <v>393675.3633</v>
      </c>
      <c r="AD870" s="66">
        <f t="array" ref="AD870">IFS(B870&lt;66, XLOOKUP(year(A870),Lookup!$K$13:$K1000,Lookup!$M$13:$M1000,"missing",,1),B870&gt;65, XLOOKUP(questions!$C$5,Lookup!$K$13:$K1000,Lookup!$M$13:$M1000,"missing",,1))</f>
        <v>787350.7266</v>
      </c>
      <c r="AE870" s="66">
        <f t="array" ref="AE870">IFS(B870&lt;66, XLOOKUP(year(A870),Lookup!$K$13:$K1000,Lookup!$N$13:$N1000,"missing",,1),B870&gt;65,XLOOKUP(questions!$C$5,Lookup!$K$13:$K1000,Lookup!$N$13:$N1000,"missing",,1))</f>
        <v>1574701.453</v>
      </c>
      <c r="AF870" s="37"/>
      <c r="AG870" s="37"/>
      <c r="AH870" s="37"/>
      <c r="AI870" s="37"/>
      <c r="AJ870" s="37"/>
      <c r="AK870" s="37"/>
      <c r="AL870" s="37"/>
      <c r="AM870" s="37"/>
      <c r="AN870" s="37"/>
      <c r="AO870" s="37"/>
      <c r="AP870" s="37"/>
      <c r="AQ870" s="37"/>
    </row>
    <row r="871">
      <c r="A871" s="55">
        <f t="shared" si="7"/>
        <v>72532</v>
      </c>
      <c r="B871" s="56">
        <f>round(YEARFRAC(EOMONTH(questions!$C$3, 0),A871,1),2)</f>
        <v>99.67</v>
      </c>
      <c r="C871" s="58">
        <f>IF(B871&lt;questions!$C$6,if(MONTH(A871)=1,C870*(1+questions!$C$12),C870),0)</f>
        <v>0</v>
      </c>
      <c r="D871" s="58">
        <f>IF(MONTH(A871)=12,C871*questions!$C$11,0)</f>
        <v>0</v>
      </c>
      <c r="E871" s="71">
        <f t="shared" si="2"/>
        <v>0</v>
      </c>
      <c r="F871" s="71">
        <f t="shared" si="3"/>
        <v>0</v>
      </c>
      <c r="G871" s="61">
        <f t="array" ref="G871">if(YEAR(A871)=2025,XLOOKUP(B871,Lookup!$A$3:$A$7,Lookup!$D$3:$D$7,,1)*SUM(E871:F871), XLOOKUP(B871,Lookup!$A$14:$A$18,Lookup!$D$14:$D$18,,1)*SUM(E871:F871))</f>
        <v>0</v>
      </c>
      <c r="H871" s="61">
        <f t="array" ref="H871">if(YEAR(A871)=2025,XLOOKUP(B871,Lookup!$F$3:$F$10,Lookup!$G$3:$G$10,,1)*G871, XLOOKUP(B871,Lookup!$F$14:$F$21,Lookup!$G$14:$G$21,,1)*G871)</f>
        <v>0</v>
      </c>
      <c r="I871" s="61">
        <f t="array" ref="I871">if(B871&lt;55, if(YEAR(A871)=2025,XLOOKUP(B871,Lookup!$F$3:$F$10,Lookup!$H$3:$H$10,,1)*G871, XLOOKUP(B871,Lookup!$F$14:$F$21,Lookup!$H$14:$H$21,,1)*G871),0)</f>
        <v>0</v>
      </c>
      <c r="J871" s="61">
        <f t="array" ref="J871">if(YEAR(A871)=2025,XLOOKUP(B871,Lookup!$F$3:$F$10,Lookup!$I$3:$I$10,,1)*G871, XLOOKUP(B871,Lookup!$F$14:$F$21,Lookup!$I$14:$I$21,,1)*G871)</f>
        <v>0</v>
      </c>
      <c r="K871" s="61">
        <f t="array" ref="K871">if(B871&gt;54, if(YEAR(A871)=2025,XLOOKUP(B871,Lookup!$F$3:$F$10,Lookup!$H$3:$H$10,,1)*G871, XLOOKUP(B871,Lookup!$F$14:$F$21,Lookup!$H$14:$H$21,,1)*G871),0)</f>
        <v>0</v>
      </c>
      <c r="L871" s="62">
        <f>IF(and(A871&lt;questions!$C$19,questions!$C$18="yes"),questions!$C$20,0)</f>
        <v>0</v>
      </c>
      <c r="M871" s="63">
        <f>(Y870+H871)*Lookup!A$26/12</f>
        <v>4769.792711</v>
      </c>
      <c r="N871" s="63">
        <f>if(B871&lt;55, (Z870+I871)*Lookup!B$26/12, (AB870+K871)*Lookup!B$26/12)</f>
        <v>12013.25993</v>
      </c>
      <c r="O871" s="63">
        <f>(AA870+J871)*Lookup!C$26/12</f>
        <v>940.3700287</v>
      </c>
      <c r="P871" s="63">
        <f t="shared" si="8"/>
        <v>33388.54898</v>
      </c>
      <c r="Q871" s="63">
        <f t="shared" si="4"/>
        <v>84092.81951</v>
      </c>
      <c r="R871" s="63">
        <f t="shared" si="5"/>
        <v>6582.590201</v>
      </c>
      <c r="S871" s="64">
        <f t="shared" si="9"/>
        <v>33.33333333</v>
      </c>
      <c r="T871" s="64">
        <f t="shared" si="10"/>
        <v>41.66666667</v>
      </c>
      <c r="U871" s="64">
        <f t="shared" si="11"/>
        <v>0</v>
      </c>
      <c r="V871" s="64">
        <f t="shared" ref="V871:X871" si="879">IF(year($A871)=year($A870), V870+S871, S871)</f>
        <v>233.3333333</v>
      </c>
      <c r="W871" s="64">
        <f t="shared" si="879"/>
        <v>291.6666667</v>
      </c>
      <c r="X871" s="64">
        <f t="shared" si="879"/>
        <v>0</v>
      </c>
      <c r="Y871" s="65">
        <f>IFS(
  B871&lt;55,
    MAX(
      Y870 + IF(MONTH(A871)=12, P871+V871, 0) + H871 - L871
      + MAX(0,
          IF(AA870 &gt;= VLOOKUP(YEAR(A871), Lookup!$Q:$R, 2),
            Z870 + IF(MONTH(A871)=12, Q871+W871, 0) + I871
              + AA870 + IF(MONTH(A871)=12, R871+X871, 0)
              - VLOOKUP(YEAR(A871), Lookup!$Q:$R, 2) + J871,
            Z870 + IF(MONTH(A871)=12, Q871+W871, 0) + I871
          ) - VLOOKUP(YEAR(A871), Lookup!$K:$M, 3)
        ),
    0),
  B871=55,
    IF(Z870&gt;=AD871,
      MAX(Y870 + IF(MONTH(A871)=12, P871+V871, 0) + H871 - L871, 0),
      MAX(MAX(0, Y870-(AD871-Z870)) + IF(MONTH(A871)=12, P871+V871, 0) + H871 - L871, 0)
    ),
  B871&gt;55,
    IF(AB870&gt;=$AH$7,
      MAX(Y870 + IF(MONTH(A871)=12, P871+V871, 0) + H871 - L871 + K871 + Z870, 0),
      MAX(Y870 + IF(MONTH(A871)=12, P871+V871, 0) + H871 - L871, 0)
    )
)</f>
        <v>2289500.501</v>
      </c>
      <c r="Z871" s="65">
        <f>IFS(
  B871&lt;55,
    MIN(
      IF(AA870 &gt;= VLOOKUP(YEAR(A871), Lookup!$Q:$R, 2),
        Z870 + IF(MONTH(A871)=12, Q871+W871, 0) + I871
          + AA870 + IF(MONTH(A871)=12, R871+X871, 0) - VLOOKUP(YEAR(A871), Lookup!$Q:$R, 2) + J871,
        Z870 + IF(MONTH(A871)=12, Q871+W871, 0) + I871
      ),
      VLOOKUP(YEAR(A871), Lookup!$K:$M, 3)
    ),
  B871=55,
    IF(Z870 &gt;= AD871, Z870 - AD871, 0),
  B871&gt;55, 0
)</f>
        <v>0</v>
      </c>
      <c r="AA871" s="65">
        <f>IFS(
  B871&lt;65,
    IF(AA870+J871 &lt; VLOOKUP(YEAR(A871), Lookup!$Q:$R, 2),
      AA870 + IF(MONTH(A871)=12, R870+X870, 0) + J871,
      MIN(
        AA870 + IF(MONTH(A871)=12, R870+X870, 0) + J871 ,
        VLOOKUP(YEAR(A871), Lookup!$Q:$R, 2)
      )
    ),
  B871&gt;=65,
    IF(AA870+J871 &lt; VLOOKUP(questions!$C$5, Lookup!$Q:$R, 2),
      AA870 + IF(MONTH(A871)=12, R870+X870, 0) + J871 ,
      MIN(
        AA870 + IF(MONTH(A871)=12, R870+X870, 0) + J871,
        VLOOKUP(questions!$C$5, Lookup!$Q:$R, 2)
      )
    )
)</f>
        <v>282111.0086</v>
      </c>
      <c r="AB871" s="65">
        <f t="shared" si="13"/>
        <v>3603977.979</v>
      </c>
      <c r="AC871" s="66">
        <f t="array" ref="AC871">IFS(B871&lt;66, XLOOKUP(year(A871),Lookup!$K$13:$K1000,Lookup!$L$13:$L1000,"missing",,1),B871&gt;65,XLOOKUP(questions!$C$5,Lookup!$K$13:$K1000,Lookup!$L$13:$L1000,"missing",,1))</f>
        <v>393675.3633</v>
      </c>
      <c r="AD871" s="66">
        <f t="array" ref="AD871">IFS(B871&lt;66, XLOOKUP(year(A871),Lookup!$K$13:$K1000,Lookup!$M$13:$M1000,"missing",,1),B871&gt;65, XLOOKUP(questions!$C$5,Lookup!$K$13:$K1000,Lookup!$M$13:$M1000,"missing",,1))</f>
        <v>787350.7266</v>
      </c>
      <c r="AE871" s="66">
        <f t="array" ref="AE871">IFS(B871&lt;66, XLOOKUP(year(A871),Lookup!$K$13:$K1000,Lookup!$N$13:$N1000,"missing",,1),B871&gt;65,XLOOKUP(questions!$C$5,Lookup!$K$13:$K1000,Lookup!$N$13:$N1000,"missing",,1))</f>
        <v>1574701.453</v>
      </c>
      <c r="AF871" s="37"/>
      <c r="AG871" s="37"/>
      <c r="AH871" s="37"/>
      <c r="AI871" s="37"/>
      <c r="AJ871" s="37"/>
      <c r="AK871" s="37"/>
      <c r="AL871" s="37"/>
      <c r="AM871" s="37"/>
      <c r="AN871" s="37"/>
      <c r="AO871" s="37"/>
      <c r="AP871" s="37"/>
      <c r="AQ871" s="37"/>
    </row>
    <row r="872">
      <c r="A872" s="55">
        <f t="shared" si="7"/>
        <v>72563</v>
      </c>
      <c r="B872" s="56">
        <f>round(YEARFRAC(EOMONTH(questions!$C$3, 0),A872,1),2)</f>
        <v>99.75</v>
      </c>
      <c r="C872" s="58">
        <f>IF(B872&lt;questions!$C$6,if(MONTH(A872)=1,C871*(1+questions!$C$12),C871),0)</f>
        <v>0</v>
      </c>
      <c r="D872" s="58">
        <f>IF(MONTH(A872)=12,C872*questions!$C$11,0)</f>
        <v>0</v>
      </c>
      <c r="E872" s="71">
        <f t="shared" si="2"/>
        <v>0</v>
      </c>
      <c r="F872" s="71">
        <f t="shared" si="3"/>
        <v>0</v>
      </c>
      <c r="G872" s="61">
        <f t="array" ref="G872">if(YEAR(A872)=2025,XLOOKUP(B872,Lookup!$A$3:$A$7,Lookup!$D$3:$D$7,,1)*SUM(E872:F872), XLOOKUP(B872,Lookup!$A$14:$A$18,Lookup!$D$14:$D$18,,1)*SUM(E872:F872))</f>
        <v>0</v>
      </c>
      <c r="H872" s="61">
        <f t="array" ref="H872">if(YEAR(A872)=2025,XLOOKUP(B872,Lookup!$F$3:$F$10,Lookup!$G$3:$G$10,,1)*G872, XLOOKUP(B872,Lookup!$F$14:$F$21,Lookup!$G$14:$G$21,,1)*G872)</f>
        <v>0</v>
      </c>
      <c r="I872" s="61">
        <f t="array" ref="I872">if(B872&lt;55, if(YEAR(A872)=2025,XLOOKUP(B872,Lookup!$F$3:$F$10,Lookup!$H$3:$H$10,,1)*G872, XLOOKUP(B872,Lookup!$F$14:$F$21,Lookup!$H$14:$H$21,,1)*G872),0)</f>
        <v>0</v>
      </c>
      <c r="J872" s="61">
        <f t="array" ref="J872">if(YEAR(A872)=2025,XLOOKUP(B872,Lookup!$F$3:$F$10,Lookup!$I$3:$I$10,,1)*G872, XLOOKUP(B872,Lookup!$F$14:$F$21,Lookup!$I$14:$I$21,,1)*G872)</f>
        <v>0</v>
      </c>
      <c r="K872" s="61">
        <f t="array" ref="K872">if(B872&gt;54, if(YEAR(A872)=2025,XLOOKUP(B872,Lookup!$F$3:$F$10,Lookup!$H$3:$H$10,,1)*G872, XLOOKUP(B872,Lookup!$F$14:$F$21,Lookup!$H$14:$H$21,,1)*G872),0)</f>
        <v>0</v>
      </c>
      <c r="L872" s="62">
        <f>IF(and(A872&lt;questions!$C$19,questions!$C$18="yes"),questions!$C$20,0)</f>
        <v>0</v>
      </c>
      <c r="M872" s="63">
        <f>(Y871+H872)*Lookup!A$26/12</f>
        <v>4769.792711</v>
      </c>
      <c r="N872" s="63">
        <f>if(B872&lt;55, (Z871+I872)*Lookup!B$26/12, (AB871+K872)*Lookup!B$26/12)</f>
        <v>12013.25993</v>
      </c>
      <c r="O872" s="63">
        <f>(AA871+J872)*Lookup!C$26/12</f>
        <v>940.3700287</v>
      </c>
      <c r="P872" s="63">
        <f t="shared" si="8"/>
        <v>38158.34169</v>
      </c>
      <c r="Q872" s="63">
        <f t="shared" si="4"/>
        <v>96106.07944</v>
      </c>
      <c r="R872" s="63">
        <f t="shared" si="5"/>
        <v>7522.960229</v>
      </c>
      <c r="S872" s="64">
        <f t="shared" si="9"/>
        <v>33.33333333</v>
      </c>
      <c r="T872" s="64">
        <f t="shared" si="10"/>
        <v>41.66666667</v>
      </c>
      <c r="U872" s="64">
        <f t="shared" si="11"/>
        <v>0</v>
      </c>
      <c r="V872" s="64">
        <f t="shared" ref="V872:X872" si="880">IF(year($A872)=year($A871), V871+S872, S872)</f>
        <v>266.6666667</v>
      </c>
      <c r="W872" s="64">
        <f t="shared" si="880"/>
        <v>333.3333333</v>
      </c>
      <c r="X872" s="64">
        <f t="shared" si="880"/>
        <v>0</v>
      </c>
      <c r="Y872" s="65">
        <f>IFS(
  B872&lt;55,
    MAX(
      Y871 + IF(MONTH(A872)=12, P872+V872, 0) + H872 - L872
      + MAX(0,
          IF(AA871 &gt;= VLOOKUP(YEAR(A872), Lookup!$Q:$R, 2),
            Z871 + IF(MONTH(A872)=12, Q872+W872, 0) + I872
              + AA871 + IF(MONTH(A872)=12, R872+X872, 0)
              - VLOOKUP(YEAR(A872), Lookup!$Q:$R, 2) + J872,
            Z871 + IF(MONTH(A872)=12, Q872+W872, 0) + I872
          ) - VLOOKUP(YEAR(A872), Lookup!$K:$M, 3)
        ),
    0),
  B872=55,
    IF(Z871&gt;=AD872,
      MAX(Y871 + IF(MONTH(A872)=12, P872+V872, 0) + H872 - L872, 0),
      MAX(MAX(0, Y871-(AD872-Z871)) + IF(MONTH(A872)=12, P872+V872, 0) + H872 - L872, 0)
    ),
  B872&gt;55,
    IF(AB871&gt;=$AH$7,
      MAX(Y871 + IF(MONTH(A872)=12, P872+V872, 0) + H872 - L872 + K872 + Z871, 0),
      MAX(Y871 + IF(MONTH(A872)=12, P872+V872, 0) + H872 - L872, 0)
    )
)</f>
        <v>2289500.501</v>
      </c>
      <c r="Z872" s="65">
        <f>IFS(
  B872&lt;55,
    MIN(
      IF(AA871 &gt;= VLOOKUP(YEAR(A872), Lookup!$Q:$R, 2),
        Z871 + IF(MONTH(A872)=12, Q872+W872, 0) + I872
          + AA871 + IF(MONTH(A872)=12, R872+X872, 0) - VLOOKUP(YEAR(A872), Lookup!$Q:$R, 2) + J872,
        Z871 + IF(MONTH(A872)=12, Q872+W872, 0) + I872
      ),
      VLOOKUP(YEAR(A872), Lookup!$K:$M, 3)
    ),
  B872=55,
    IF(Z871 &gt;= AD872, Z871 - AD872, 0),
  B872&gt;55, 0
)</f>
        <v>0</v>
      </c>
      <c r="AA872" s="65">
        <f>IFS(
  B872&lt;65,
    IF(AA871+J872 &lt; VLOOKUP(YEAR(A872), Lookup!$Q:$R, 2),
      AA871 + IF(MONTH(A872)=12, R871+X871, 0) + J872,
      MIN(
        AA871 + IF(MONTH(A872)=12, R871+X871, 0) + J872 ,
        VLOOKUP(YEAR(A872), Lookup!$Q:$R, 2)
      )
    ),
  B872&gt;=65,
    IF(AA871+J872 &lt; VLOOKUP(questions!$C$5, Lookup!$Q:$R, 2),
      AA871 + IF(MONTH(A872)=12, R871+X871, 0) + J872 ,
      MIN(
        AA871 + IF(MONTH(A872)=12, R871+X871, 0) + J872,
        VLOOKUP(questions!$C$5, Lookup!$Q:$R, 2)
      )
    )
)</f>
        <v>282111.0086</v>
      </c>
      <c r="AB872" s="65">
        <f t="shared" si="13"/>
        <v>3603977.979</v>
      </c>
      <c r="AC872" s="66">
        <f t="array" ref="AC872">IFS(B872&lt;66, XLOOKUP(year(A872),Lookup!$K$13:$K1000,Lookup!$L$13:$L1000,"missing",,1),B872&gt;65,XLOOKUP(questions!$C$5,Lookup!$K$13:$K1000,Lookup!$L$13:$L1000,"missing",,1))</f>
        <v>393675.3633</v>
      </c>
      <c r="AD872" s="66">
        <f t="array" ref="AD872">IFS(B872&lt;66, XLOOKUP(year(A872),Lookup!$K$13:$K1000,Lookup!$M$13:$M1000,"missing",,1),B872&gt;65, XLOOKUP(questions!$C$5,Lookup!$K$13:$K1000,Lookup!$M$13:$M1000,"missing",,1))</f>
        <v>787350.7266</v>
      </c>
      <c r="AE872" s="66">
        <f t="array" ref="AE872">IFS(B872&lt;66, XLOOKUP(year(A872),Lookup!$K$13:$K1000,Lookup!$N$13:$N1000,"missing",,1),B872&gt;65,XLOOKUP(questions!$C$5,Lookup!$K$13:$K1000,Lookup!$N$13:$N1000,"missing",,1))</f>
        <v>1574701.453</v>
      </c>
      <c r="AF872" s="37"/>
      <c r="AG872" s="37"/>
      <c r="AH872" s="37"/>
      <c r="AI872" s="37"/>
      <c r="AJ872" s="37"/>
      <c r="AK872" s="37"/>
      <c r="AL872" s="37"/>
      <c r="AM872" s="37"/>
      <c r="AN872" s="37"/>
      <c r="AO872" s="37"/>
      <c r="AP872" s="37"/>
      <c r="AQ872" s="37"/>
    </row>
    <row r="873">
      <c r="A873" s="55">
        <f t="shared" si="7"/>
        <v>72593</v>
      </c>
      <c r="B873" s="56">
        <f>round(YEARFRAC(EOMONTH(questions!$C$3, 0),A873,1),2)</f>
        <v>99.83</v>
      </c>
      <c r="C873" s="58">
        <f>IF(B873&lt;questions!$C$6,if(MONTH(A873)=1,C872*(1+questions!$C$12),C872),0)</f>
        <v>0</v>
      </c>
      <c r="D873" s="58">
        <f>IF(MONTH(A873)=12,C873*questions!$C$11,0)</f>
        <v>0</v>
      </c>
      <c r="E873" s="71">
        <f t="shared" si="2"/>
        <v>0</v>
      </c>
      <c r="F873" s="71">
        <f t="shared" si="3"/>
        <v>0</v>
      </c>
      <c r="G873" s="61">
        <f t="array" ref="G873">if(YEAR(A873)=2025,XLOOKUP(B873,Lookup!$A$3:$A$7,Lookup!$D$3:$D$7,,1)*SUM(E873:F873), XLOOKUP(B873,Lookup!$A$14:$A$18,Lookup!$D$14:$D$18,,1)*SUM(E873:F873))</f>
        <v>0</v>
      </c>
      <c r="H873" s="61">
        <f t="array" ref="H873">if(YEAR(A873)=2025,XLOOKUP(B873,Lookup!$F$3:$F$10,Lookup!$G$3:$G$10,,1)*G873, XLOOKUP(B873,Lookup!$F$14:$F$21,Lookup!$G$14:$G$21,,1)*G873)</f>
        <v>0</v>
      </c>
      <c r="I873" s="61">
        <f t="array" ref="I873">if(B873&lt;55, if(YEAR(A873)=2025,XLOOKUP(B873,Lookup!$F$3:$F$10,Lookup!$H$3:$H$10,,1)*G873, XLOOKUP(B873,Lookup!$F$14:$F$21,Lookup!$H$14:$H$21,,1)*G873),0)</f>
        <v>0</v>
      </c>
      <c r="J873" s="61">
        <f t="array" ref="J873">if(YEAR(A873)=2025,XLOOKUP(B873,Lookup!$F$3:$F$10,Lookup!$I$3:$I$10,,1)*G873, XLOOKUP(B873,Lookup!$F$14:$F$21,Lookup!$I$14:$I$21,,1)*G873)</f>
        <v>0</v>
      </c>
      <c r="K873" s="61">
        <f t="array" ref="K873">if(B873&gt;54, if(YEAR(A873)=2025,XLOOKUP(B873,Lookup!$F$3:$F$10,Lookup!$H$3:$H$10,,1)*G873, XLOOKUP(B873,Lookup!$F$14:$F$21,Lookup!$H$14:$H$21,,1)*G873),0)</f>
        <v>0</v>
      </c>
      <c r="L873" s="62">
        <f>IF(and(A873&lt;questions!$C$19,questions!$C$18="yes"),questions!$C$20,0)</f>
        <v>0</v>
      </c>
      <c r="M873" s="63">
        <f>(Y872+H873)*Lookup!A$26/12</f>
        <v>4769.792711</v>
      </c>
      <c r="N873" s="63">
        <f>if(B873&lt;55, (Z872+I873)*Lookup!B$26/12, (AB872+K873)*Lookup!B$26/12)</f>
        <v>12013.25993</v>
      </c>
      <c r="O873" s="63">
        <f>(AA872+J873)*Lookup!C$26/12</f>
        <v>940.3700287</v>
      </c>
      <c r="P873" s="63">
        <f t="shared" si="8"/>
        <v>42928.1344</v>
      </c>
      <c r="Q873" s="63">
        <f t="shared" si="4"/>
        <v>108119.3394</v>
      </c>
      <c r="R873" s="63">
        <f t="shared" si="5"/>
        <v>8463.330258</v>
      </c>
      <c r="S873" s="64">
        <f t="shared" si="9"/>
        <v>33.33333333</v>
      </c>
      <c r="T873" s="64">
        <f t="shared" si="10"/>
        <v>41.66666667</v>
      </c>
      <c r="U873" s="64">
        <f t="shared" si="11"/>
        <v>0</v>
      </c>
      <c r="V873" s="64">
        <f t="shared" ref="V873:X873" si="881">IF(year($A873)=year($A872), V872+S873, S873)</f>
        <v>300</v>
      </c>
      <c r="W873" s="64">
        <f t="shared" si="881"/>
        <v>375</v>
      </c>
      <c r="X873" s="64">
        <f t="shared" si="881"/>
        <v>0</v>
      </c>
      <c r="Y873" s="65">
        <f>IFS(
  B873&lt;55,
    MAX(
      Y872 + IF(MONTH(A873)=12, P873+V873, 0) + H873 - L873
      + MAX(0,
          IF(AA872 &gt;= VLOOKUP(YEAR(A873), Lookup!$Q:$R, 2),
            Z872 + IF(MONTH(A873)=12, Q873+W873, 0) + I873
              + AA872 + IF(MONTH(A873)=12, R873+X873, 0)
              - VLOOKUP(YEAR(A873), Lookup!$Q:$R, 2) + J873,
            Z872 + IF(MONTH(A873)=12, Q873+W873, 0) + I873
          ) - VLOOKUP(YEAR(A873), Lookup!$K:$M, 3)
        ),
    0),
  B873=55,
    IF(Z872&gt;=AD873,
      MAX(Y872 + IF(MONTH(A873)=12, P873+V873, 0) + H873 - L873, 0),
      MAX(MAX(0, Y872-(AD873-Z872)) + IF(MONTH(A873)=12, P873+V873, 0) + H873 - L873, 0)
    ),
  B873&gt;55,
    IF(AB872&gt;=$AH$7,
      MAX(Y872 + IF(MONTH(A873)=12, P873+V873, 0) + H873 - L873 + K873 + Z872, 0),
      MAX(Y872 + IF(MONTH(A873)=12, P873+V873, 0) + H873 - L873, 0)
    )
)</f>
        <v>2289500.501</v>
      </c>
      <c r="Z873" s="65">
        <f>IFS(
  B873&lt;55,
    MIN(
      IF(AA872 &gt;= VLOOKUP(YEAR(A873), Lookup!$Q:$R, 2),
        Z872 + IF(MONTH(A873)=12, Q873+W873, 0) + I873
          + AA872 + IF(MONTH(A873)=12, R873+X873, 0) - VLOOKUP(YEAR(A873), Lookup!$Q:$R, 2) + J873,
        Z872 + IF(MONTH(A873)=12, Q873+W873, 0) + I873
      ),
      VLOOKUP(YEAR(A873), Lookup!$K:$M, 3)
    ),
  B873=55,
    IF(Z872 &gt;= AD873, Z872 - AD873, 0),
  B873&gt;55, 0
)</f>
        <v>0</v>
      </c>
      <c r="AA873" s="65">
        <f>IFS(
  B873&lt;65,
    IF(AA872+J873 &lt; VLOOKUP(YEAR(A873), Lookup!$Q:$R, 2),
      AA872 + IF(MONTH(A873)=12, R872+X872, 0) + J873,
      MIN(
        AA872 + IF(MONTH(A873)=12, R872+X872, 0) + J873 ,
        VLOOKUP(YEAR(A873), Lookup!$Q:$R, 2)
      )
    ),
  B873&gt;=65,
    IF(AA872+J873 &lt; VLOOKUP(questions!$C$5, Lookup!$Q:$R, 2),
      AA872 + IF(MONTH(A873)=12, R872+X872, 0) + J873 ,
      MIN(
        AA872 + IF(MONTH(A873)=12, R872+X872, 0) + J873,
        VLOOKUP(questions!$C$5, Lookup!$Q:$R, 2)
      )
    )
)</f>
        <v>282111.0086</v>
      </c>
      <c r="AB873" s="65">
        <f t="shared" si="13"/>
        <v>3603977.979</v>
      </c>
      <c r="AC873" s="66">
        <f t="array" ref="AC873">IFS(B873&lt;66, XLOOKUP(year(A873),Lookup!$K$13:$K1000,Lookup!$L$13:$L1000,"missing",,1),B873&gt;65,XLOOKUP(questions!$C$5,Lookup!$K$13:$K1000,Lookup!$L$13:$L1000,"missing",,1))</f>
        <v>393675.3633</v>
      </c>
      <c r="AD873" s="66">
        <f t="array" ref="AD873">IFS(B873&lt;66, XLOOKUP(year(A873),Lookup!$K$13:$K1000,Lookup!$M$13:$M1000,"missing",,1),B873&gt;65, XLOOKUP(questions!$C$5,Lookup!$K$13:$K1000,Lookup!$M$13:$M1000,"missing",,1))</f>
        <v>787350.7266</v>
      </c>
      <c r="AE873" s="66">
        <f t="array" ref="AE873">IFS(B873&lt;66, XLOOKUP(year(A873),Lookup!$K$13:$K1000,Lookup!$N$13:$N1000,"missing",,1),B873&gt;65,XLOOKUP(questions!$C$5,Lookup!$K$13:$K1000,Lookup!$N$13:$N1000,"missing",,1))</f>
        <v>1574701.453</v>
      </c>
      <c r="AF873" s="37"/>
      <c r="AG873" s="37"/>
      <c r="AH873" s="37"/>
      <c r="AI873" s="37"/>
      <c r="AJ873" s="37"/>
      <c r="AK873" s="37"/>
      <c r="AL873" s="37"/>
      <c r="AM873" s="37"/>
      <c r="AN873" s="37"/>
      <c r="AO873" s="37"/>
      <c r="AP873" s="37"/>
      <c r="AQ873" s="37"/>
    </row>
    <row r="874">
      <c r="A874" s="55">
        <f t="shared" si="7"/>
        <v>72624</v>
      </c>
      <c r="B874" s="56">
        <f>round(YEARFRAC(EOMONTH(questions!$C$3, 0),A874,1),2)</f>
        <v>99.92</v>
      </c>
      <c r="C874" s="58">
        <f>IF(B874&lt;questions!$C$6,if(MONTH(A874)=1,C873*(1+questions!$C$12),C873),0)</f>
        <v>0</v>
      </c>
      <c r="D874" s="58">
        <f>IF(MONTH(A874)=12,C874*questions!$C$11,0)</f>
        <v>0</v>
      </c>
      <c r="E874" s="71">
        <f t="shared" si="2"/>
        <v>0</v>
      </c>
      <c r="F874" s="71">
        <f t="shared" si="3"/>
        <v>0</v>
      </c>
      <c r="G874" s="61">
        <f t="array" ref="G874">if(YEAR(A874)=2025,XLOOKUP(B874,Lookup!$A$3:$A$7,Lookup!$D$3:$D$7,,1)*SUM(E874:F874), XLOOKUP(B874,Lookup!$A$14:$A$18,Lookup!$D$14:$D$18,,1)*SUM(E874:F874))</f>
        <v>0</v>
      </c>
      <c r="H874" s="61">
        <f t="array" ref="H874">if(YEAR(A874)=2025,XLOOKUP(B874,Lookup!$F$3:$F$10,Lookup!$G$3:$G$10,,1)*G874, XLOOKUP(B874,Lookup!$F$14:$F$21,Lookup!$G$14:$G$21,,1)*G874)</f>
        <v>0</v>
      </c>
      <c r="I874" s="61">
        <f t="array" ref="I874">if(B874&lt;55, if(YEAR(A874)=2025,XLOOKUP(B874,Lookup!$F$3:$F$10,Lookup!$H$3:$H$10,,1)*G874, XLOOKUP(B874,Lookup!$F$14:$F$21,Lookup!$H$14:$H$21,,1)*G874),0)</f>
        <v>0</v>
      </c>
      <c r="J874" s="61">
        <f t="array" ref="J874">if(YEAR(A874)=2025,XLOOKUP(B874,Lookup!$F$3:$F$10,Lookup!$I$3:$I$10,,1)*G874, XLOOKUP(B874,Lookup!$F$14:$F$21,Lookup!$I$14:$I$21,,1)*G874)</f>
        <v>0</v>
      </c>
      <c r="K874" s="61">
        <f t="array" ref="K874">if(B874&gt;54, if(YEAR(A874)=2025,XLOOKUP(B874,Lookup!$F$3:$F$10,Lookup!$H$3:$H$10,,1)*G874, XLOOKUP(B874,Lookup!$F$14:$F$21,Lookup!$H$14:$H$21,,1)*G874),0)</f>
        <v>0</v>
      </c>
      <c r="L874" s="62">
        <f>IF(and(A874&lt;questions!$C$19,questions!$C$18="yes"),questions!$C$20,0)</f>
        <v>0</v>
      </c>
      <c r="M874" s="63">
        <f>(Y873+H874)*Lookup!A$26/12</f>
        <v>4769.792711</v>
      </c>
      <c r="N874" s="63">
        <f>if(B874&lt;55, (Z873+I874)*Lookup!B$26/12, (AB873+K874)*Lookup!B$26/12)</f>
        <v>12013.25993</v>
      </c>
      <c r="O874" s="63">
        <f>(AA873+J874)*Lookup!C$26/12</f>
        <v>940.3700287</v>
      </c>
      <c r="P874" s="63">
        <f t="shared" si="8"/>
        <v>47697.92711</v>
      </c>
      <c r="Q874" s="63">
        <f t="shared" si="4"/>
        <v>120132.5993</v>
      </c>
      <c r="R874" s="63">
        <f t="shared" si="5"/>
        <v>9403.700287</v>
      </c>
      <c r="S874" s="64">
        <f t="shared" si="9"/>
        <v>33.33333333</v>
      </c>
      <c r="T874" s="64">
        <f t="shared" si="10"/>
        <v>41.66666667</v>
      </c>
      <c r="U874" s="64">
        <f t="shared" si="11"/>
        <v>0</v>
      </c>
      <c r="V874" s="64">
        <f t="shared" ref="V874:X874" si="882">IF(year($A874)=year($A873), V873+S874, S874)</f>
        <v>333.3333333</v>
      </c>
      <c r="W874" s="64">
        <f t="shared" si="882"/>
        <v>416.6666667</v>
      </c>
      <c r="X874" s="64">
        <f t="shared" si="882"/>
        <v>0</v>
      </c>
      <c r="Y874" s="65">
        <f>IFS(
  B874&lt;55,
    MAX(
      Y873 + IF(MONTH(A874)=12, P874+V874, 0) + H874 - L874
      + MAX(0,
          IF(AA873 &gt;= VLOOKUP(YEAR(A874), Lookup!$Q:$R, 2),
            Z873 + IF(MONTH(A874)=12, Q874+W874, 0) + I874
              + AA873 + IF(MONTH(A874)=12, R874+X874, 0)
              - VLOOKUP(YEAR(A874), Lookup!$Q:$R, 2) + J874,
            Z873 + IF(MONTH(A874)=12, Q874+W874, 0) + I874
          ) - VLOOKUP(YEAR(A874), Lookup!$K:$M, 3)
        ),
    0),
  B874=55,
    IF(Z873&gt;=AD874,
      MAX(Y873 + IF(MONTH(A874)=12, P874+V874, 0) + H874 - L874, 0),
      MAX(MAX(0, Y873-(AD874-Z873)) + IF(MONTH(A874)=12, P874+V874, 0) + H874 - L874, 0)
    ),
  B874&gt;55,
    IF(AB873&gt;=$AH$7,
      MAX(Y873 + IF(MONTH(A874)=12, P874+V874, 0) + H874 - L874 + K874 + Z873, 0),
      MAX(Y873 + IF(MONTH(A874)=12, P874+V874, 0) + H874 - L874, 0)
    )
)</f>
        <v>2289500.501</v>
      </c>
      <c r="Z874" s="65">
        <f>IFS(
  B874&lt;55,
    MIN(
      IF(AA873 &gt;= VLOOKUP(YEAR(A874), Lookup!$Q:$R, 2),
        Z873 + IF(MONTH(A874)=12, Q874+W874, 0) + I874
          + AA873 + IF(MONTH(A874)=12, R874+X874, 0) - VLOOKUP(YEAR(A874), Lookup!$Q:$R, 2) + J874,
        Z873 + IF(MONTH(A874)=12, Q874+W874, 0) + I874
      ),
      VLOOKUP(YEAR(A874), Lookup!$K:$M, 3)
    ),
  B874=55,
    IF(Z873 &gt;= AD874, Z873 - AD874, 0),
  B874&gt;55, 0
)</f>
        <v>0</v>
      </c>
      <c r="AA874" s="65">
        <f>IFS(
  B874&lt;65,
    IF(AA873+J874 &lt; VLOOKUP(YEAR(A874), Lookup!$Q:$R, 2),
      AA873 + IF(MONTH(A874)=12, R873+X873, 0) + J874,
      MIN(
        AA873 + IF(MONTH(A874)=12, R873+X873, 0) + J874 ,
        VLOOKUP(YEAR(A874), Lookup!$Q:$R, 2)
      )
    ),
  B874&gt;=65,
    IF(AA873+J874 &lt; VLOOKUP(questions!$C$5, Lookup!$Q:$R, 2),
      AA873 + IF(MONTH(A874)=12, R873+X873, 0) + J874 ,
      MIN(
        AA873 + IF(MONTH(A874)=12, R873+X873, 0) + J874,
        VLOOKUP(questions!$C$5, Lookup!$Q:$R, 2)
      )
    )
)</f>
        <v>282111.0086</v>
      </c>
      <c r="AB874" s="65">
        <f t="shared" si="13"/>
        <v>3603977.979</v>
      </c>
      <c r="AC874" s="66">
        <f t="array" ref="AC874">IFS(B874&lt;66, XLOOKUP(year(A874),Lookup!$K$13:$K1000,Lookup!$L$13:$L1000,"missing",,1),B874&gt;65,XLOOKUP(questions!$C$5,Lookup!$K$13:$K1000,Lookup!$L$13:$L1000,"missing",,1))</f>
        <v>393675.3633</v>
      </c>
      <c r="AD874" s="66">
        <f t="array" ref="AD874">IFS(B874&lt;66, XLOOKUP(year(A874),Lookup!$K$13:$K1000,Lookup!$M$13:$M1000,"missing",,1),B874&gt;65, XLOOKUP(questions!$C$5,Lookup!$K$13:$K1000,Lookup!$M$13:$M1000,"missing",,1))</f>
        <v>787350.7266</v>
      </c>
      <c r="AE874" s="66">
        <f t="array" ref="AE874">IFS(B874&lt;66, XLOOKUP(year(A874),Lookup!$K$13:$K1000,Lookup!$N$13:$N1000,"missing",,1),B874&gt;65,XLOOKUP(questions!$C$5,Lookup!$K$13:$K1000,Lookup!$N$13:$N1000,"missing",,1))</f>
        <v>1574701.453</v>
      </c>
      <c r="AF874" s="37"/>
      <c r="AG874" s="37"/>
      <c r="AH874" s="37"/>
      <c r="AI874" s="37"/>
      <c r="AJ874" s="37"/>
      <c r="AK874" s="37"/>
      <c r="AL874" s="37"/>
      <c r="AM874" s="37"/>
      <c r="AN874" s="37"/>
      <c r="AO874" s="37"/>
      <c r="AP874" s="37"/>
      <c r="AQ874" s="37"/>
    </row>
    <row r="875">
      <c r="A875" s="55">
        <f t="shared" si="7"/>
        <v>72654</v>
      </c>
      <c r="B875" s="56">
        <f>round(YEARFRAC(EOMONTH(questions!$C$3, 0),A875,1),2)</f>
        <v>100</v>
      </c>
      <c r="C875" s="58">
        <f>IF(B875&lt;questions!$C$6,if(MONTH(A875)=1,C874*(1+questions!$C$12),C874),0)</f>
        <v>0</v>
      </c>
      <c r="D875" s="58">
        <f>IF(MONTH(A875)=12,C875*questions!$C$11,0)</f>
        <v>0</v>
      </c>
      <c r="E875" s="71">
        <f t="shared" si="2"/>
        <v>0</v>
      </c>
      <c r="F875" s="71">
        <f t="shared" si="3"/>
        <v>0</v>
      </c>
      <c r="G875" s="61">
        <f t="array" ref="G875">if(YEAR(A875)=2025,XLOOKUP(B875,Lookup!$A$3:$A$7,Lookup!$D$3:$D$7,,1)*SUM(E875:F875), XLOOKUP(B875,Lookup!$A$14:$A$18,Lookup!$D$14:$D$18,,1)*SUM(E875:F875))</f>
        <v>0</v>
      </c>
      <c r="H875" s="61">
        <f t="array" ref="H875">if(YEAR(A875)=2025,XLOOKUP(B875,Lookup!$F$3:$F$10,Lookup!$G$3:$G$10,,1)*G875, XLOOKUP(B875,Lookup!$F$14:$F$21,Lookup!$G$14:$G$21,,1)*G875)</f>
        <v>0</v>
      </c>
      <c r="I875" s="61">
        <f t="array" ref="I875">if(B875&lt;55, if(YEAR(A875)=2025,XLOOKUP(B875,Lookup!$F$3:$F$10,Lookup!$H$3:$H$10,,1)*G875, XLOOKUP(B875,Lookup!$F$14:$F$21,Lookup!$H$14:$H$21,,1)*G875),0)</f>
        <v>0</v>
      </c>
      <c r="J875" s="61">
        <f t="array" ref="J875">if(YEAR(A875)=2025,XLOOKUP(B875,Lookup!$F$3:$F$10,Lookup!$I$3:$I$10,,1)*G875, XLOOKUP(B875,Lookup!$F$14:$F$21,Lookup!$I$14:$I$21,,1)*G875)</f>
        <v>0</v>
      </c>
      <c r="K875" s="61">
        <f t="array" ref="K875">if(B875&gt;54, if(YEAR(A875)=2025,XLOOKUP(B875,Lookup!$F$3:$F$10,Lookup!$H$3:$H$10,,1)*G875, XLOOKUP(B875,Lookup!$F$14:$F$21,Lookup!$H$14:$H$21,,1)*G875),0)</f>
        <v>0</v>
      </c>
      <c r="L875" s="62">
        <f>IF(and(A875&lt;questions!$C$19,questions!$C$18="yes"),questions!$C$20,0)</f>
        <v>0</v>
      </c>
      <c r="M875" s="63">
        <f>(Y874+H875)*Lookup!A$26/12</f>
        <v>4769.792711</v>
      </c>
      <c r="N875" s="63">
        <f>if(B875&lt;55, (Z874+I875)*Lookup!B$26/12, (AB874+K875)*Lookup!B$26/12)</f>
        <v>12013.25993</v>
      </c>
      <c r="O875" s="63">
        <f>(AA874+J875)*Lookup!C$26/12</f>
        <v>940.3700287</v>
      </c>
      <c r="P875" s="63">
        <f t="shared" si="8"/>
        <v>52467.71983</v>
      </c>
      <c r="Q875" s="63">
        <f t="shared" si="4"/>
        <v>132145.8592</v>
      </c>
      <c r="R875" s="63">
        <f t="shared" si="5"/>
        <v>10344.07032</v>
      </c>
      <c r="S875" s="64">
        <f t="shared" si="9"/>
        <v>33.33333333</v>
      </c>
      <c r="T875" s="64">
        <f t="shared" si="10"/>
        <v>41.66666667</v>
      </c>
      <c r="U875" s="64">
        <f t="shared" si="11"/>
        <v>0</v>
      </c>
      <c r="V875" s="64">
        <f t="shared" ref="V875:X875" si="883">IF(year($A875)=year($A874), V874+S875, S875)</f>
        <v>366.6666667</v>
      </c>
      <c r="W875" s="64">
        <f t="shared" si="883"/>
        <v>458.3333333</v>
      </c>
      <c r="X875" s="64">
        <f t="shared" si="883"/>
        <v>0</v>
      </c>
      <c r="Y875" s="65">
        <f>IFS(
  B875&lt;55,
    MAX(
      Y874 + IF(MONTH(A875)=12, P875+V875, 0) + H875 - L875
      + MAX(0,
          IF(AA874 &gt;= VLOOKUP(YEAR(A875), Lookup!$Q:$R, 2),
            Z874 + IF(MONTH(A875)=12, Q875+W875, 0) + I875
              + AA874 + IF(MONTH(A875)=12, R875+X875, 0)
              - VLOOKUP(YEAR(A875), Lookup!$Q:$R, 2) + J875,
            Z874 + IF(MONTH(A875)=12, Q875+W875, 0) + I875
          ) - VLOOKUP(YEAR(A875), Lookup!$K:$M, 3)
        ),
    0),
  B875=55,
    IF(Z874&gt;=AD875,
      MAX(Y874 + IF(MONTH(A875)=12, P875+V875, 0) + H875 - L875, 0),
      MAX(MAX(0, Y874-(AD875-Z874)) + IF(MONTH(A875)=12, P875+V875, 0) + H875 - L875, 0)
    ),
  B875&gt;55,
    IF(AB874&gt;=$AH$7,
      MAX(Y874 + IF(MONTH(A875)=12, P875+V875, 0) + H875 - L875 + K875 + Z874, 0),
      MAX(Y874 + IF(MONTH(A875)=12, P875+V875, 0) + H875 - L875, 0)
    )
)</f>
        <v>2289500.501</v>
      </c>
      <c r="Z875" s="65">
        <f>IFS(
  B875&lt;55,
    MIN(
      IF(AA874 &gt;= VLOOKUP(YEAR(A875), Lookup!$Q:$R, 2),
        Z874 + IF(MONTH(A875)=12, Q875+W875, 0) + I875
          + AA874 + IF(MONTH(A875)=12, R875+X875, 0) - VLOOKUP(YEAR(A875), Lookup!$Q:$R, 2) + J875,
        Z874 + IF(MONTH(A875)=12, Q875+W875, 0) + I875
      ),
      VLOOKUP(YEAR(A875), Lookup!$K:$M, 3)
    ),
  B875=55,
    IF(Z874 &gt;= AD875, Z874 - AD875, 0),
  B875&gt;55, 0
)</f>
        <v>0</v>
      </c>
      <c r="AA875" s="65">
        <f>IFS(
  B875&lt;65,
    IF(AA874+J875 &lt; VLOOKUP(YEAR(A875), Lookup!$Q:$R, 2),
      AA874 + IF(MONTH(A875)=12, R874+X874, 0) + J875,
      MIN(
        AA874 + IF(MONTH(A875)=12, R874+X874, 0) + J875 ,
        VLOOKUP(YEAR(A875), Lookup!$Q:$R, 2)
      )
    ),
  B875&gt;=65,
    IF(AA874+J875 &lt; VLOOKUP(questions!$C$5, Lookup!$Q:$R, 2),
      AA874 + IF(MONTH(A875)=12, R874+X874, 0) + J875 ,
      MIN(
        AA874 + IF(MONTH(A875)=12, R874+X874, 0) + J875,
        VLOOKUP(questions!$C$5, Lookup!$Q:$R, 2)
      )
    )
)</f>
        <v>282111.0086</v>
      </c>
      <c r="AB875" s="65">
        <f t="shared" si="13"/>
        <v>3603977.979</v>
      </c>
      <c r="AC875" s="66">
        <f t="array" ref="AC875">IFS(B875&lt;66, XLOOKUP(year(A875),Lookup!$K$13:$K1000,Lookup!$L$13:$L1000,"missing",,1),B875&gt;65,XLOOKUP(questions!$C$5,Lookup!$K$13:$K1000,Lookup!$L$13:$L1000,"missing",,1))</f>
        <v>393675.3633</v>
      </c>
      <c r="AD875" s="66">
        <f t="array" ref="AD875">IFS(B875&lt;66, XLOOKUP(year(A875),Lookup!$K$13:$K1000,Lookup!$M$13:$M1000,"missing",,1),B875&gt;65, XLOOKUP(questions!$C$5,Lookup!$K$13:$K1000,Lookup!$M$13:$M1000,"missing",,1))</f>
        <v>787350.7266</v>
      </c>
      <c r="AE875" s="66">
        <f t="array" ref="AE875">IFS(B875&lt;66, XLOOKUP(year(A875),Lookup!$K$13:$K1000,Lookup!$N$13:$N1000,"missing",,1),B875&gt;65,XLOOKUP(questions!$C$5,Lookup!$K$13:$K1000,Lookup!$N$13:$N1000,"missing",,1))</f>
        <v>1574701.453</v>
      </c>
      <c r="AF875" s="37"/>
      <c r="AG875" s="37"/>
      <c r="AH875" s="37"/>
      <c r="AI875" s="37"/>
      <c r="AJ875" s="37"/>
      <c r="AK875" s="37"/>
      <c r="AL875" s="37"/>
      <c r="AM875" s="37"/>
      <c r="AN875" s="37"/>
      <c r="AO875" s="37"/>
      <c r="AP875" s="37"/>
      <c r="AQ875" s="37"/>
    </row>
    <row r="876">
      <c r="A876" s="55">
        <f t="shared" si="7"/>
        <v>72685</v>
      </c>
      <c r="B876" s="56">
        <f>round(YEARFRAC(EOMONTH(questions!$C$3, 0),A876,1),2)</f>
        <v>100.08</v>
      </c>
      <c r="C876" s="58">
        <f>IF(B876&lt;questions!$C$6,if(MONTH(A876)=1,C875*(1+questions!$C$12),C875),0)</f>
        <v>0</v>
      </c>
      <c r="D876" s="58">
        <f>IF(MONTH(A876)=12,C876*questions!$C$11,0)</f>
        <v>0</v>
      </c>
      <c r="E876" s="71">
        <f t="shared" si="2"/>
        <v>0</v>
      </c>
      <c r="F876" s="71">
        <f t="shared" si="3"/>
        <v>0</v>
      </c>
      <c r="G876" s="61">
        <f t="array" ref="G876">if(YEAR(A876)=2025,XLOOKUP(B876,Lookup!$A$3:$A$7,Lookup!$D$3:$D$7,,1)*SUM(E876:F876), XLOOKUP(B876,Lookup!$A$14:$A$18,Lookup!$D$14:$D$18,,1)*SUM(E876:F876))</f>
        <v>0</v>
      </c>
      <c r="H876" s="61">
        <f t="array" ref="H876">if(YEAR(A876)=2025,XLOOKUP(B876,Lookup!$F$3:$F$10,Lookup!$G$3:$G$10,,1)*G876, XLOOKUP(B876,Lookup!$F$14:$F$21,Lookup!$G$14:$G$21,,1)*G876)</f>
        <v>0</v>
      </c>
      <c r="I876" s="61">
        <f t="array" ref="I876">if(B876&lt;55, if(YEAR(A876)=2025,XLOOKUP(B876,Lookup!$F$3:$F$10,Lookup!$H$3:$H$10,,1)*G876, XLOOKUP(B876,Lookup!$F$14:$F$21,Lookup!$H$14:$H$21,,1)*G876),0)</f>
        <v>0</v>
      </c>
      <c r="J876" s="61">
        <f t="array" ref="J876">if(YEAR(A876)=2025,XLOOKUP(B876,Lookup!$F$3:$F$10,Lookup!$I$3:$I$10,,1)*G876, XLOOKUP(B876,Lookup!$F$14:$F$21,Lookup!$I$14:$I$21,,1)*G876)</f>
        <v>0</v>
      </c>
      <c r="K876" s="61">
        <f t="array" ref="K876">if(B876&gt;54, if(YEAR(A876)=2025,XLOOKUP(B876,Lookup!$F$3:$F$10,Lookup!$H$3:$H$10,,1)*G876, XLOOKUP(B876,Lookup!$F$14:$F$21,Lookup!$H$14:$H$21,,1)*G876),0)</f>
        <v>0</v>
      </c>
      <c r="L876" s="62">
        <f>IF(and(A876&lt;questions!$C$19,questions!$C$18="yes"),questions!$C$20,0)</f>
        <v>0</v>
      </c>
      <c r="M876" s="63">
        <f>(Y875+H876)*Lookup!A$26/12</f>
        <v>4769.792711</v>
      </c>
      <c r="N876" s="63">
        <f>if(B876&lt;55, (Z875+I876)*Lookup!B$26/12, (AB875+K876)*Lookup!B$26/12)</f>
        <v>12013.25993</v>
      </c>
      <c r="O876" s="63">
        <f>(AA875+J876)*Lookup!C$26/12</f>
        <v>940.3700287</v>
      </c>
      <c r="P876" s="63">
        <f t="shared" si="8"/>
        <v>57237.51254</v>
      </c>
      <c r="Q876" s="63">
        <f t="shared" si="4"/>
        <v>144159.1192</v>
      </c>
      <c r="R876" s="63">
        <f t="shared" si="5"/>
        <v>11284.44034</v>
      </c>
      <c r="S876" s="64">
        <f t="shared" si="9"/>
        <v>33.33333333</v>
      </c>
      <c r="T876" s="64">
        <f t="shared" si="10"/>
        <v>41.66666667</v>
      </c>
      <c r="U876" s="64">
        <f t="shared" si="11"/>
        <v>0</v>
      </c>
      <c r="V876" s="64">
        <f t="shared" ref="V876:X876" si="884">IF(year($A876)=year($A875), V875+S876, S876)</f>
        <v>400</v>
      </c>
      <c r="W876" s="64">
        <f t="shared" si="884"/>
        <v>500</v>
      </c>
      <c r="X876" s="64">
        <f t="shared" si="884"/>
        <v>0</v>
      </c>
      <c r="Y876" s="65">
        <f>IFS(
  B876&lt;55,
    MAX(
      Y875 + IF(MONTH(A876)=12, P876+V876, 0) + H876 - L876
      + MAX(0,
          IF(AA875 &gt;= VLOOKUP(YEAR(A876), Lookup!$Q:$R, 2),
            Z875 + IF(MONTH(A876)=12, Q876+W876, 0) + I876
              + AA875 + IF(MONTH(A876)=12, R876+X876, 0)
              - VLOOKUP(YEAR(A876), Lookup!$Q:$R, 2) + J876,
            Z875 + IF(MONTH(A876)=12, Q876+W876, 0) + I876
          ) - VLOOKUP(YEAR(A876), Lookup!$K:$M, 3)
        ),
    0),
  B876=55,
    IF(Z875&gt;=AD876,
      MAX(Y875 + IF(MONTH(A876)=12, P876+V876, 0) + H876 - L876, 0),
      MAX(MAX(0, Y875-(AD876-Z875)) + IF(MONTH(A876)=12, P876+V876, 0) + H876 - L876, 0)
    ),
  B876&gt;55,
    IF(AB875&gt;=$AH$7,
      MAX(Y875 + IF(MONTH(A876)=12, P876+V876, 0) + H876 - L876 + K876 + Z875, 0),
      MAX(Y875 + IF(MONTH(A876)=12, P876+V876, 0) + H876 - L876, 0)
    )
)</f>
        <v>2347138.014</v>
      </c>
      <c r="Z876" s="65">
        <f>IFS(
  B876&lt;55,
    MIN(
      IF(AA875 &gt;= VLOOKUP(YEAR(A876), Lookup!$Q:$R, 2),
        Z875 + IF(MONTH(A876)=12, Q876+W876, 0) + I876
          + AA875 + IF(MONTH(A876)=12, R876+X876, 0) - VLOOKUP(YEAR(A876), Lookup!$Q:$R, 2) + J876,
        Z875 + IF(MONTH(A876)=12, Q876+W876, 0) + I876
      ),
      VLOOKUP(YEAR(A876), Lookup!$K:$M, 3)
    ),
  B876=55,
    IF(Z875 &gt;= AD876, Z875 - AD876, 0),
  B876&gt;55, 0
)</f>
        <v>0</v>
      </c>
      <c r="AA876" s="65">
        <f>IFS(
  B876&lt;65,
    IF(AA875+J876 &lt; VLOOKUP(YEAR(A876), Lookup!$Q:$R, 2),
      AA875 + IF(MONTH(A876)=12, R875+X875, 0) + J876,
      MIN(
        AA875 + IF(MONTH(A876)=12, R875+X875, 0) + J876 ,
        VLOOKUP(YEAR(A876), Lookup!$Q:$R, 2)
      )
    ),
  B876&gt;=65,
    IF(AA875+J876 &lt; VLOOKUP(questions!$C$5, Lookup!$Q:$R, 2),
      AA875 + IF(MONTH(A876)=12, R875+X875, 0) + J876 ,
      MIN(
        AA875 + IF(MONTH(A876)=12, R875+X875, 0) + J876,
        VLOOKUP(questions!$C$5, Lookup!$Q:$R, 2)
      )
    )
)</f>
        <v>282111.0086</v>
      </c>
      <c r="AB876" s="65">
        <f t="shared" si="13"/>
        <v>3748637.098</v>
      </c>
      <c r="AC876" s="66">
        <f t="array" ref="AC876">IFS(B876&lt;66, XLOOKUP(year(A876),Lookup!$K$13:$K1000,Lookup!$L$13:$L1000,"missing",,1),B876&gt;65,XLOOKUP(questions!$C$5,Lookup!$K$13:$K1000,Lookup!$L$13:$L1000,"missing",,1))</f>
        <v>393675.3633</v>
      </c>
      <c r="AD876" s="66">
        <f t="array" ref="AD876">IFS(B876&lt;66, XLOOKUP(year(A876),Lookup!$K$13:$K1000,Lookup!$M$13:$M1000,"missing",,1),B876&gt;65, XLOOKUP(questions!$C$5,Lookup!$K$13:$K1000,Lookup!$M$13:$M1000,"missing",,1))</f>
        <v>787350.7266</v>
      </c>
      <c r="AE876" s="66">
        <f t="array" ref="AE876">IFS(B876&lt;66, XLOOKUP(year(A876),Lookup!$K$13:$K1000,Lookup!$N$13:$N1000,"missing",,1),B876&gt;65,XLOOKUP(questions!$C$5,Lookup!$K$13:$K1000,Lookup!$N$13:$N1000,"missing",,1))</f>
        <v>1574701.453</v>
      </c>
      <c r="AF876" s="37"/>
      <c r="AG876" s="37"/>
      <c r="AH876" s="37"/>
      <c r="AI876" s="37"/>
      <c r="AJ876" s="37"/>
      <c r="AK876" s="37"/>
      <c r="AL876" s="37"/>
      <c r="AM876" s="37"/>
      <c r="AN876" s="37"/>
      <c r="AO876" s="37"/>
      <c r="AP876" s="37"/>
      <c r="AQ876" s="37"/>
    </row>
    <row r="877">
      <c r="A877" s="55">
        <f t="shared" si="7"/>
        <v>72716</v>
      </c>
      <c r="B877" s="56">
        <f>round(YEARFRAC(EOMONTH(questions!$C$3, 0),A877,1),2)</f>
        <v>100.17</v>
      </c>
      <c r="C877" s="58">
        <f>IF(B877&lt;questions!$C$6,if(MONTH(A877)=1,C876*(1+questions!$C$12),C876),0)</f>
        <v>0</v>
      </c>
      <c r="D877" s="58">
        <f>IF(MONTH(A877)=12,C877*questions!$C$11,0)</f>
        <v>0</v>
      </c>
      <c r="E877" s="71">
        <f t="shared" si="2"/>
        <v>0</v>
      </c>
      <c r="F877" s="71">
        <f t="shared" si="3"/>
        <v>0</v>
      </c>
      <c r="G877" s="61">
        <f t="array" ref="G877">if(YEAR(A877)=2025,XLOOKUP(B877,Lookup!$A$3:$A$7,Lookup!$D$3:$D$7,,1)*SUM(E877:F877), XLOOKUP(B877,Lookup!$A$14:$A$18,Lookup!$D$14:$D$18,,1)*SUM(E877:F877))</f>
        <v>0</v>
      </c>
      <c r="H877" s="61">
        <f t="array" ref="H877">if(YEAR(A877)=2025,XLOOKUP(B877,Lookup!$F$3:$F$10,Lookup!$G$3:$G$10,,1)*G877, XLOOKUP(B877,Lookup!$F$14:$F$21,Lookup!$G$14:$G$21,,1)*G877)</f>
        <v>0</v>
      </c>
      <c r="I877" s="61">
        <f t="array" ref="I877">if(B877&lt;55, if(YEAR(A877)=2025,XLOOKUP(B877,Lookup!$F$3:$F$10,Lookup!$H$3:$H$10,,1)*G877, XLOOKUP(B877,Lookup!$F$14:$F$21,Lookup!$H$14:$H$21,,1)*G877),0)</f>
        <v>0</v>
      </c>
      <c r="J877" s="61">
        <f t="array" ref="J877">if(YEAR(A877)=2025,XLOOKUP(B877,Lookup!$F$3:$F$10,Lookup!$I$3:$I$10,,1)*G877, XLOOKUP(B877,Lookup!$F$14:$F$21,Lookup!$I$14:$I$21,,1)*G877)</f>
        <v>0</v>
      </c>
      <c r="K877" s="61">
        <f t="array" ref="K877">if(B877&gt;54, if(YEAR(A877)=2025,XLOOKUP(B877,Lookup!$F$3:$F$10,Lookup!$H$3:$H$10,,1)*G877, XLOOKUP(B877,Lookup!$F$14:$F$21,Lookup!$H$14:$H$21,,1)*G877),0)</f>
        <v>0</v>
      </c>
      <c r="L877" s="62">
        <f>IF(and(A877&lt;questions!$C$19,questions!$C$18="yes"),questions!$C$20,0)</f>
        <v>0</v>
      </c>
      <c r="M877" s="63">
        <f>(Y876+H877)*Lookup!A$26/12</f>
        <v>4889.870863</v>
      </c>
      <c r="N877" s="63">
        <f>if(B877&lt;55, (Z876+I877)*Lookup!B$26/12, (AB876+K877)*Lookup!B$26/12)</f>
        <v>12495.45699</v>
      </c>
      <c r="O877" s="63">
        <f>(AA876+J877)*Lookup!C$26/12</f>
        <v>940.3700287</v>
      </c>
      <c r="P877" s="63">
        <f t="shared" si="8"/>
        <v>4889.870863</v>
      </c>
      <c r="Q877" s="63">
        <f t="shared" si="4"/>
        <v>12495.45699</v>
      </c>
      <c r="R877" s="63">
        <f t="shared" si="5"/>
        <v>940.3700287</v>
      </c>
      <c r="S877" s="64">
        <f t="shared" si="9"/>
        <v>33.33333333</v>
      </c>
      <c r="T877" s="64">
        <f t="shared" si="10"/>
        <v>41.66666667</v>
      </c>
      <c r="U877" s="64">
        <f t="shared" si="11"/>
        <v>0</v>
      </c>
      <c r="V877" s="64">
        <f t="shared" ref="V877:X877" si="885">IF(year($A877)=year($A876), V876+S877, S877)</f>
        <v>33.33333333</v>
      </c>
      <c r="W877" s="64">
        <f t="shared" si="885"/>
        <v>41.66666667</v>
      </c>
      <c r="X877" s="64">
        <f t="shared" si="885"/>
        <v>0</v>
      </c>
      <c r="Y877" s="65">
        <f>IFS(
  B877&lt;55,
    MAX(
      Y876 + IF(MONTH(A877)=12, P877+V877, 0) + H877 - L877
      + MAX(0,
          IF(AA876 &gt;= VLOOKUP(YEAR(A877), Lookup!$Q:$R, 2),
            Z876 + IF(MONTH(A877)=12, Q877+W877, 0) + I877
              + AA876 + IF(MONTH(A877)=12, R877+X877, 0)
              - VLOOKUP(YEAR(A877), Lookup!$Q:$R, 2) + J877,
            Z876 + IF(MONTH(A877)=12, Q877+W877, 0) + I877
          ) - VLOOKUP(YEAR(A877), Lookup!$K:$M, 3)
        ),
    0),
  B877=55,
    IF(Z876&gt;=AD877,
      MAX(Y876 + IF(MONTH(A877)=12, P877+V877, 0) + H877 - L877, 0),
      MAX(MAX(0, Y876-(AD877-Z876)) + IF(MONTH(A877)=12, P877+V877, 0) + H877 - L877, 0)
    ),
  B877&gt;55,
    IF(AB876&gt;=$AH$7,
      MAX(Y876 + IF(MONTH(A877)=12, P877+V877, 0) + H877 - L877 + K877 + Z876, 0),
      MAX(Y876 + IF(MONTH(A877)=12, P877+V877, 0) + H877 - L877, 0)
    )
)</f>
        <v>2347138.014</v>
      </c>
      <c r="Z877" s="65">
        <f>IFS(
  B877&lt;55,
    MIN(
      IF(AA876 &gt;= VLOOKUP(YEAR(A877), Lookup!$Q:$R, 2),
        Z876 + IF(MONTH(A877)=12, Q877+W877, 0) + I877
          + AA876 + IF(MONTH(A877)=12, R877+X877, 0) - VLOOKUP(YEAR(A877), Lookup!$Q:$R, 2) + J877,
        Z876 + IF(MONTH(A877)=12, Q877+W877, 0) + I877
      ),
      VLOOKUP(YEAR(A877), Lookup!$K:$M, 3)
    ),
  B877=55,
    IF(Z876 &gt;= AD877, Z876 - AD877, 0),
  B877&gt;55, 0
)</f>
        <v>0</v>
      </c>
      <c r="AA877" s="65">
        <f>IFS(
  B877&lt;65,
    IF(AA876+J877 &lt; VLOOKUP(YEAR(A877), Lookup!$Q:$R, 2),
      AA876 + IF(MONTH(A877)=12, R876+X876, 0) + J877,
      MIN(
        AA876 + IF(MONTH(A877)=12, R876+X876, 0) + J877 ,
        VLOOKUP(YEAR(A877), Lookup!$Q:$R, 2)
      )
    ),
  B877&gt;=65,
    IF(AA876+J877 &lt; VLOOKUP(questions!$C$5, Lookup!$Q:$R, 2),
      AA876 + IF(MONTH(A877)=12, R876+X876, 0) + J877 ,
      MIN(
        AA876 + IF(MONTH(A877)=12, R876+X876, 0) + J877,
        VLOOKUP(questions!$C$5, Lookup!$Q:$R, 2)
      )
    )
)</f>
        <v>282111.0086</v>
      </c>
      <c r="AB877" s="65">
        <f t="shared" si="13"/>
        <v>3748637.098</v>
      </c>
      <c r="AC877" s="66">
        <f t="array" ref="AC877">IFS(B877&lt;66, XLOOKUP(year(A877),Lookup!$K$13:$K1000,Lookup!$L$13:$L1000,"missing",,1),B877&gt;65,XLOOKUP(questions!$C$5,Lookup!$K$13:$K1000,Lookup!$L$13:$L1000,"missing",,1))</f>
        <v>393675.3633</v>
      </c>
      <c r="AD877" s="66">
        <f t="array" ref="AD877">IFS(B877&lt;66, XLOOKUP(year(A877),Lookup!$K$13:$K1000,Lookup!$M$13:$M1000,"missing",,1),B877&gt;65, XLOOKUP(questions!$C$5,Lookup!$K$13:$K1000,Lookup!$M$13:$M1000,"missing",,1))</f>
        <v>787350.7266</v>
      </c>
      <c r="AE877" s="66">
        <f t="array" ref="AE877">IFS(B877&lt;66, XLOOKUP(year(A877),Lookup!$K$13:$K1000,Lookup!$N$13:$N1000,"missing",,1),B877&gt;65,XLOOKUP(questions!$C$5,Lookup!$K$13:$K1000,Lookup!$N$13:$N1000,"missing",,1))</f>
        <v>1574701.453</v>
      </c>
      <c r="AF877" s="37"/>
      <c r="AG877" s="37"/>
      <c r="AH877" s="37"/>
      <c r="AI877" s="37"/>
      <c r="AJ877" s="37"/>
      <c r="AK877" s="37"/>
      <c r="AL877" s="37"/>
      <c r="AM877" s="37"/>
      <c r="AN877" s="37"/>
      <c r="AO877" s="37"/>
      <c r="AP877" s="37"/>
      <c r="AQ877" s="37"/>
    </row>
    <row r="878">
      <c r="A878" s="55">
        <f t="shared" si="7"/>
        <v>72744</v>
      </c>
      <c r="B878" s="56">
        <f>round(YEARFRAC(EOMONTH(questions!$C$3, 0),A878,1),2)</f>
        <v>100.25</v>
      </c>
      <c r="C878" s="58">
        <f>IF(B878&lt;questions!$C$6,if(MONTH(A878)=1,C877*(1+questions!$C$12),C877),0)</f>
        <v>0</v>
      </c>
      <c r="D878" s="58">
        <f>IF(MONTH(A878)=12,C878*questions!$C$11,0)</f>
        <v>0</v>
      </c>
      <c r="E878" s="71">
        <f t="shared" si="2"/>
        <v>0</v>
      </c>
      <c r="F878" s="71">
        <f t="shared" si="3"/>
        <v>0</v>
      </c>
      <c r="G878" s="61">
        <f t="array" ref="G878">if(YEAR(A878)=2025,XLOOKUP(B878,Lookup!$A$3:$A$7,Lookup!$D$3:$D$7,,1)*SUM(E878:F878), XLOOKUP(B878,Lookup!$A$14:$A$18,Lookup!$D$14:$D$18,,1)*SUM(E878:F878))</f>
        <v>0</v>
      </c>
      <c r="H878" s="61">
        <f t="array" ref="H878">if(YEAR(A878)=2025,XLOOKUP(B878,Lookup!$F$3:$F$10,Lookup!$G$3:$G$10,,1)*G878, XLOOKUP(B878,Lookup!$F$14:$F$21,Lookup!$G$14:$G$21,,1)*G878)</f>
        <v>0</v>
      </c>
      <c r="I878" s="61">
        <f t="array" ref="I878">if(B878&lt;55, if(YEAR(A878)=2025,XLOOKUP(B878,Lookup!$F$3:$F$10,Lookup!$H$3:$H$10,,1)*G878, XLOOKUP(B878,Lookup!$F$14:$F$21,Lookup!$H$14:$H$21,,1)*G878),0)</f>
        <v>0</v>
      </c>
      <c r="J878" s="61">
        <f t="array" ref="J878">if(YEAR(A878)=2025,XLOOKUP(B878,Lookup!$F$3:$F$10,Lookup!$I$3:$I$10,,1)*G878, XLOOKUP(B878,Lookup!$F$14:$F$21,Lookup!$I$14:$I$21,,1)*G878)</f>
        <v>0</v>
      </c>
      <c r="K878" s="61">
        <f t="array" ref="K878">if(B878&gt;54, if(YEAR(A878)=2025,XLOOKUP(B878,Lookup!$F$3:$F$10,Lookup!$H$3:$H$10,,1)*G878, XLOOKUP(B878,Lookup!$F$14:$F$21,Lookup!$H$14:$H$21,,1)*G878),0)</f>
        <v>0</v>
      </c>
      <c r="L878" s="62">
        <f>IF(and(A878&lt;questions!$C$19,questions!$C$18="yes"),questions!$C$20,0)</f>
        <v>0</v>
      </c>
      <c r="M878" s="63">
        <f>(Y877+H878)*Lookup!A$26/12</f>
        <v>4889.870863</v>
      </c>
      <c r="N878" s="63">
        <f>if(B878&lt;55, (Z877+I878)*Lookup!B$26/12, (AB877+K878)*Lookup!B$26/12)</f>
        <v>12495.45699</v>
      </c>
      <c r="O878" s="63">
        <f>(AA877+J878)*Lookup!C$26/12</f>
        <v>940.3700287</v>
      </c>
      <c r="P878" s="63">
        <f t="shared" si="8"/>
        <v>9779.741725</v>
      </c>
      <c r="Q878" s="63">
        <f t="shared" si="4"/>
        <v>24990.91399</v>
      </c>
      <c r="R878" s="63">
        <f t="shared" si="5"/>
        <v>1880.740057</v>
      </c>
      <c r="S878" s="64">
        <f t="shared" si="9"/>
        <v>33.33333333</v>
      </c>
      <c r="T878" s="64">
        <f t="shared" si="10"/>
        <v>41.66666667</v>
      </c>
      <c r="U878" s="64">
        <f t="shared" si="11"/>
        <v>0</v>
      </c>
      <c r="V878" s="64">
        <f t="shared" ref="V878:X878" si="886">IF(year($A878)=year($A877), V877+S878, S878)</f>
        <v>66.66666667</v>
      </c>
      <c r="W878" s="64">
        <f t="shared" si="886"/>
        <v>83.33333333</v>
      </c>
      <c r="X878" s="64">
        <f t="shared" si="886"/>
        <v>0</v>
      </c>
      <c r="Y878" s="65">
        <f>IFS(
  B878&lt;55,
    MAX(
      Y877 + IF(MONTH(A878)=12, P878+V878, 0) + H878 - L878
      + MAX(0,
          IF(AA877 &gt;= VLOOKUP(YEAR(A878), Lookup!$Q:$R, 2),
            Z877 + IF(MONTH(A878)=12, Q878+W878, 0) + I878
              + AA877 + IF(MONTH(A878)=12, R878+X878, 0)
              - VLOOKUP(YEAR(A878), Lookup!$Q:$R, 2) + J878,
            Z877 + IF(MONTH(A878)=12, Q878+W878, 0) + I878
          ) - VLOOKUP(YEAR(A878), Lookup!$K:$M, 3)
        ),
    0),
  B878=55,
    IF(Z877&gt;=AD878,
      MAX(Y877 + IF(MONTH(A878)=12, P878+V878, 0) + H878 - L878, 0),
      MAX(MAX(0, Y877-(AD878-Z877)) + IF(MONTH(A878)=12, P878+V878, 0) + H878 - L878, 0)
    ),
  B878&gt;55,
    IF(AB877&gt;=$AH$7,
      MAX(Y877 + IF(MONTH(A878)=12, P878+V878, 0) + H878 - L878 + K878 + Z877, 0),
      MAX(Y877 + IF(MONTH(A878)=12, P878+V878, 0) + H878 - L878, 0)
    )
)</f>
        <v>2347138.014</v>
      </c>
      <c r="Z878" s="65">
        <f>IFS(
  B878&lt;55,
    MIN(
      IF(AA877 &gt;= VLOOKUP(YEAR(A878), Lookup!$Q:$R, 2),
        Z877 + IF(MONTH(A878)=12, Q878+W878, 0) + I878
          + AA877 + IF(MONTH(A878)=12, R878+X878, 0) - VLOOKUP(YEAR(A878), Lookup!$Q:$R, 2) + J878,
        Z877 + IF(MONTH(A878)=12, Q878+W878, 0) + I878
      ),
      VLOOKUP(YEAR(A878), Lookup!$K:$M, 3)
    ),
  B878=55,
    IF(Z877 &gt;= AD878, Z877 - AD878, 0),
  B878&gt;55, 0
)</f>
        <v>0</v>
      </c>
      <c r="AA878" s="65">
        <f>IFS(
  B878&lt;65,
    IF(AA877+J878 &lt; VLOOKUP(YEAR(A878), Lookup!$Q:$R, 2),
      AA877 + IF(MONTH(A878)=12, R877+X877, 0) + J878,
      MIN(
        AA877 + IF(MONTH(A878)=12, R877+X877, 0) + J878 ,
        VLOOKUP(YEAR(A878), Lookup!$Q:$R, 2)
      )
    ),
  B878&gt;=65,
    IF(AA877+J878 &lt; VLOOKUP(questions!$C$5, Lookup!$Q:$R, 2),
      AA877 + IF(MONTH(A878)=12, R877+X877, 0) + J878 ,
      MIN(
        AA877 + IF(MONTH(A878)=12, R877+X877, 0) + J878,
        VLOOKUP(questions!$C$5, Lookup!$Q:$R, 2)
      )
    )
)</f>
        <v>282111.0086</v>
      </c>
      <c r="AB878" s="65">
        <f t="shared" si="13"/>
        <v>3748637.098</v>
      </c>
      <c r="AC878" s="66">
        <f t="array" ref="AC878">IFS(B878&lt;66, XLOOKUP(year(A878),Lookup!$K$13:$K1000,Lookup!$L$13:$L1000,"missing",,1),B878&gt;65,XLOOKUP(questions!$C$5,Lookup!$K$13:$K1000,Lookup!$L$13:$L1000,"missing",,1))</f>
        <v>393675.3633</v>
      </c>
      <c r="AD878" s="66">
        <f t="array" ref="AD878">IFS(B878&lt;66, XLOOKUP(year(A878),Lookup!$K$13:$K1000,Lookup!$M$13:$M1000,"missing",,1),B878&gt;65, XLOOKUP(questions!$C$5,Lookup!$K$13:$K1000,Lookup!$M$13:$M1000,"missing",,1))</f>
        <v>787350.7266</v>
      </c>
      <c r="AE878" s="66">
        <f t="array" ref="AE878">IFS(B878&lt;66, XLOOKUP(year(A878),Lookup!$K$13:$K1000,Lookup!$N$13:$N1000,"missing",,1),B878&gt;65,XLOOKUP(questions!$C$5,Lookup!$K$13:$K1000,Lookup!$N$13:$N1000,"missing",,1))</f>
        <v>1574701.453</v>
      </c>
      <c r="AF878" s="37"/>
      <c r="AG878" s="37"/>
      <c r="AH878" s="37"/>
      <c r="AI878" s="37"/>
      <c r="AJ878" s="37"/>
      <c r="AK878" s="37"/>
      <c r="AL878" s="37"/>
      <c r="AM878" s="37"/>
      <c r="AN878" s="37"/>
      <c r="AO878" s="37"/>
      <c r="AP878" s="37"/>
      <c r="AQ878" s="37"/>
    </row>
    <row r="879">
      <c r="A879" s="55">
        <f t="shared" si="7"/>
        <v>72775</v>
      </c>
      <c r="B879" s="56">
        <f>round(YEARFRAC(EOMONTH(questions!$C$3, 0),A879,1),2)</f>
        <v>100.33</v>
      </c>
      <c r="C879" s="58">
        <f>IF(B879&lt;questions!$C$6,if(MONTH(A879)=1,C878*(1+questions!$C$12),C878),0)</f>
        <v>0</v>
      </c>
      <c r="D879" s="58">
        <f>IF(MONTH(A879)=12,C879*questions!$C$11,0)</f>
        <v>0</v>
      </c>
      <c r="E879" s="71">
        <f t="shared" si="2"/>
        <v>0</v>
      </c>
      <c r="F879" s="71">
        <f t="shared" si="3"/>
        <v>0</v>
      </c>
      <c r="G879" s="61">
        <f t="array" ref="G879">if(YEAR(A879)=2025,XLOOKUP(B879,Lookup!$A$3:$A$7,Lookup!$D$3:$D$7,,1)*SUM(E879:F879), XLOOKUP(B879,Lookup!$A$14:$A$18,Lookup!$D$14:$D$18,,1)*SUM(E879:F879))</f>
        <v>0</v>
      </c>
      <c r="H879" s="61">
        <f t="array" ref="H879">if(YEAR(A879)=2025,XLOOKUP(B879,Lookup!$F$3:$F$10,Lookup!$G$3:$G$10,,1)*G879, XLOOKUP(B879,Lookup!$F$14:$F$21,Lookup!$G$14:$G$21,,1)*G879)</f>
        <v>0</v>
      </c>
      <c r="I879" s="61">
        <f t="array" ref="I879">if(B879&lt;55, if(YEAR(A879)=2025,XLOOKUP(B879,Lookup!$F$3:$F$10,Lookup!$H$3:$H$10,,1)*G879, XLOOKUP(B879,Lookup!$F$14:$F$21,Lookup!$H$14:$H$21,,1)*G879),0)</f>
        <v>0</v>
      </c>
      <c r="J879" s="61">
        <f t="array" ref="J879">if(YEAR(A879)=2025,XLOOKUP(B879,Lookup!$F$3:$F$10,Lookup!$I$3:$I$10,,1)*G879, XLOOKUP(B879,Lookup!$F$14:$F$21,Lookup!$I$14:$I$21,,1)*G879)</f>
        <v>0</v>
      </c>
      <c r="K879" s="61">
        <f t="array" ref="K879">if(B879&gt;54, if(YEAR(A879)=2025,XLOOKUP(B879,Lookup!$F$3:$F$10,Lookup!$H$3:$H$10,,1)*G879, XLOOKUP(B879,Lookup!$F$14:$F$21,Lookup!$H$14:$H$21,,1)*G879),0)</f>
        <v>0</v>
      </c>
      <c r="L879" s="62">
        <f>IF(and(A879&lt;questions!$C$19,questions!$C$18="yes"),questions!$C$20,0)</f>
        <v>0</v>
      </c>
      <c r="M879" s="63">
        <f>(Y878+H879)*Lookup!A$26/12</f>
        <v>4889.870863</v>
      </c>
      <c r="N879" s="63">
        <f>if(B879&lt;55, (Z878+I879)*Lookup!B$26/12, (AB878+K879)*Lookup!B$26/12)</f>
        <v>12495.45699</v>
      </c>
      <c r="O879" s="63">
        <f>(AA878+J879)*Lookup!C$26/12</f>
        <v>940.3700287</v>
      </c>
      <c r="P879" s="63">
        <f t="shared" si="8"/>
        <v>14669.61259</v>
      </c>
      <c r="Q879" s="63">
        <f t="shared" si="4"/>
        <v>37486.37098</v>
      </c>
      <c r="R879" s="63">
        <f t="shared" si="5"/>
        <v>2821.110086</v>
      </c>
      <c r="S879" s="64">
        <f t="shared" si="9"/>
        <v>33.33333333</v>
      </c>
      <c r="T879" s="64">
        <f t="shared" si="10"/>
        <v>41.66666667</v>
      </c>
      <c r="U879" s="64">
        <f t="shared" si="11"/>
        <v>0</v>
      </c>
      <c r="V879" s="64">
        <f t="shared" ref="V879:X879" si="887">IF(year($A879)=year($A878), V878+S879, S879)</f>
        <v>100</v>
      </c>
      <c r="W879" s="64">
        <f t="shared" si="887"/>
        <v>125</v>
      </c>
      <c r="X879" s="64">
        <f t="shared" si="887"/>
        <v>0</v>
      </c>
      <c r="Y879" s="65">
        <f>IFS(
  B879&lt;55,
    MAX(
      Y878 + IF(MONTH(A879)=12, P879+V879, 0) + H879 - L879
      + MAX(0,
          IF(AA878 &gt;= VLOOKUP(YEAR(A879), Lookup!$Q:$R, 2),
            Z878 + IF(MONTH(A879)=12, Q879+W879, 0) + I879
              + AA878 + IF(MONTH(A879)=12, R879+X879, 0)
              - VLOOKUP(YEAR(A879), Lookup!$Q:$R, 2) + J879,
            Z878 + IF(MONTH(A879)=12, Q879+W879, 0) + I879
          ) - VLOOKUP(YEAR(A879), Lookup!$K:$M, 3)
        ),
    0),
  B879=55,
    IF(Z878&gt;=AD879,
      MAX(Y878 + IF(MONTH(A879)=12, P879+V879, 0) + H879 - L879, 0),
      MAX(MAX(0, Y878-(AD879-Z878)) + IF(MONTH(A879)=12, P879+V879, 0) + H879 - L879, 0)
    ),
  B879&gt;55,
    IF(AB878&gt;=$AH$7,
      MAX(Y878 + IF(MONTH(A879)=12, P879+V879, 0) + H879 - L879 + K879 + Z878, 0),
      MAX(Y878 + IF(MONTH(A879)=12, P879+V879, 0) + H879 - L879, 0)
    )
)</f>
        <v>2347138.014</v>
      </c>
      <c r="Z879" s="65">
        <f>IFS(
  B879&lt;55,
    MIN(
      IF(AA878 &gt;= VLOOKUP(YEAR(A879), Lookup!$Q:$R, 2),
        Z878 + IF(MONTH(A879)=12, Q879+W879, 0) + I879
          + AA878 + IF(MONTH(A879)=12, R879+X879, 0) - VLOOKUP(YEAR(A879), Lookup!$Q:$R, 2) + J879,
        Z878 + IF(MONTH(A879)=12, Q879+W879, 0) + I879
      ),
      VLOOKUP(YEAR(A879), Lookup!$K:$M, 3)
    ),
  B879=55,
    IF(Z878 &gt;= AD879, Z878 - AD879, 0),
  B879&gt;55, 0
)</f>
        <v>0</v>
      </c>
      <c r="AA879" s="65">
        <f>IFS(
  B879&lt;65,
    IF(AA878+J879 &lt; VLOOKUP(YEAR(A879), Lookup!$Q:$R, 2),
      AA878 + IF(MONTH(A879)=12, R878+X878, 0) + J879,
      MIN(
        AA878 + IF(MONTH(A879)=12, R878+X878, 0) + J879 ,
        VLOOKUP(YEAR(A879), Lookup!$Q:$R, 2)
      )
    ),
  B879&gt;=65,
    IF(AA878+J879 &lt; VLOOKUP(questions!$C$5, Lookup!$Q:$R, 2),
      AA878 + IF(MONTH(A879)=12, R878+X878, 0) + J879 ,
      MIN(
        AA878 + IF(MONTH(A879)=12, R878+X878, 0) + J879,
        VLOOKUP(questions!$C$5, Lookup!$Q:$R, 2)
      )
    )
)</f>
        <v>282111.0086</v>
      </c>
      <c r="AB879" s="65">
        <f t="shared" si="13"/>
        <v>3748637.098</v>
      </c>
      <c r="AC879" s="66">
        <f t="array" ref="AC879">IFS(B879&lt;66, XLOOKUP(year(A879),Lookup!$K$13:$K1000,Lookup!$L$13:$L1000,"missing",,1),B879&gt;65,XLOOKUP(questions!$C$5,Lookup!$K$13:$K1000,Lookup!$L$13:$L1000,"missing",,1))</f>
        <v>393675.3633</v>
      </c>
      <c r="AD879" s="66">
        <f t="array" ref="AD879">IFS(B879&lt;66, XLOOKUP(year(A879),Lookup!$K$13:$K1000,Lookup!$M$13:$M1000,"missing",,1),B879&gt;65, XLOOKUP(questions!$C$5,Lookup!$K$13:$K1000,Lookup!$M$13:$M1000,"missing",,1))</f>
        <v>787350.7266</v>
      </c>
      <c r="AE879" s="66">
        <f t="array" ref="AE879">IFS(B879&lt;66, XLOOKUP(year(A879),Lookup!$K$13:$K1000,Lookup!$N$13:$N1000,"missing",,1),B879&gt;65,XLOOKUP(questions!$C$5,Lookup!$K$13:$K1000,Lookup!$N$13:$N1000,"missing",,1))</f>
        <v>1574701.453</v>
      </c>
      <c r="AF879" s="37"/>
      <c r="AG879" s="37"/>
      <c r="AH879" s="37"/>
      <c r="AI879" s="37"/>
      <c r="AJ879" s="37"/>
      <c r="AK879" s="37"/>
      <c r="AL879" s="37"/>
      <c r="AM879" s="37"/>
      <c r="AN879" s="37"/>
      <c r="AO879" s="37"/>
      <c r="AP879" s="37"/>
      <c r="AQ879" s="37"/>
    </row>
    <row r="880">
      <c r="A880" s="55">
        <f t="shared" si="7"/>
        <v>72805</v>
      </c>
      <c r="B880" s="56">
        <f>round(YEARFRAC(EOMONTH(questions!$C$3, 0),A880,1),2)</f>
        <v>100.41</v>
      </c>
      <c r="C880" s="58">
        <f>IF(B880&lt;questions!$C$6,if(MONTH(A880)=1,C879*(1+questions!$C$12),C879),0)</f>
        <v>0</v>
      </c>
      <c r="D880" s="58">
        <f>IF(MONTH(A880)=12,C880*questions!$C$11,0)</f>
        <v>0</v>
      </c>
      <c r="E880" s="71">
        <f t="shared" si="2"/>
        <v>0</v>
      </c>
      <c r="F880" s="71">
        <f t="shared" si="3"/>
        <v>0</v>
      </c>
      <c r="G880" s="61">
        <f t="array" ref="G880">if(YEAR(A880)=2025,XLOOKUP(B880,Lookup!$A$3:$A$7,Lookup!$D$3:$D$7,,1)*SUM(E880:F880), XLOOKUP(B880,Lookup!$A$14:$A$18,Lookup!$D$14:$D$18,,1)*SUM(E880:F880))</f>
        <v>0</v>
      </c>
      <c r="H880" s="61">
        <f t="array" ref="H880">if(YEAR(A880)=2025,XLOOKUP(B880,Lookup!$F$3:$F$10,Lookup!$G$3:$G$10,,1)*G880, XLOOKUP(B880,Lookup!$F$14:$F$21,Lookup!$G$14:$G$21,,1)*G880)</f>
        <v>0</v>
      </c>
      <c r="I880" s="61">
        <f t="array" ref="I880">if(B880&lt;55, if(YEAR(A880)=2025,XLOOKUP(B880,Lookup!$F$3:$F$10,Lookup!$H$3:$H$10,,1)*G880, XLOOKUP(B880,Lookup!$F$14:$F$21,Lookup!$H$14:$H$21,,1)*G880),0)</f>
        <v>0</v>
      </c>
      <c r="J880" s="61">
        <f t="array" ref="J880">if(YEAR(A880)=2025,XLOOKUP(B880,Lookup!$F$3:$F$10,Lookup!$I$3:$I$10,,1)*G880, XLOOKUP(B880,Lookup!$F$14:$F$21,Lookup!$I$14:$I$21,,1)*G880)</f>
        <v>0</v>
      </c>
      <c r="K880" s="61">
        <f t="array" ref="K880">if(B880&gt;54, if(YEAR(A880)=2025,XLOOKUP(B880,Lookup!$F$3:$F$10,Lookup!$H$3:$H$10,,1)*G880, XLOOKUP(B880,Lookup!$F$14:$F$21,Lookup!$H$14:$H$21,,1)*G880),0)</f>
        <v>0</v>
      </c>
      <c r="L880" s="62">
        <f>IF(and(A880&lt;questions!$C$19,questions!$C$18="yes"),questions!$C$20,0)</f>
        <v>0</v>
      </c>
      <c r="M880" s="63">
        <f>(Y879+H880)*Lookup!A$26/12</f>
        <v>4889.870863</v>
      </c>
      <c r="N880" s="63">
        <f>if(B880&lt;55, (Z879+I880)*Lookup!B$26/12, (AB879+K880)*Lookup!B$26/12)</f>
        <v>12495.45699</v>
      </c>
      <c r="O880" s="63">
        <f>(AA879+J880)*Lookup!C$26/12</f>
        <v>940.3700287</v>
      </c>
      <c r="P880" s="63">
        <f t="shared" si="8"/>
        <v>19559.48345</v>
      </c>
      <c r="Q880" s="63">
        <f t="shared" si="4"/>
        <v>49981.82797</v>
      </c>
      <c r="R880" s="63">
        <f t="shared" si="5"/>
        <v>3761.480115</v>
      </c>
      <c r="S880" s="64">
        <f t="shared" si="9"/>
        <v>33.33333333</v>
      </c>
      <c r="T880" s="64">
        <f t="shared" si="10"/>
        <v>41.66666667</v>
      </c>
      <c r="U880" s="64">
        <f t="shared" si="11"/>
        <v>0</v>
      </c>
      <c r="V880" s="64">
        <f t="shared" ref="V880:X880" si="888">IF(year($A880)=year($A879), V879+S880, S880)</f>
        <v>133.3333333</v>
      </c>
      <c r="W880" s="64">
        <f t="shared" si="888"/>
        <v>166.6666667</v>
      </c>
      <c r="X880" s="64">
        <f t="shared" si="888"/>
        <v>0</v>
      </c>
      <c r="Y880" s="65">
        <f>IFS(
  B880&lt;55,
    MAX(
      Y879 + IF(MONTH(A880)=12, P880+V880, 0) + H880 - L880
      + MAX(0,
          IF(AA879 &gt;= VLOOKUP(YEAR(A880), Lookup!$Q:$R, 2),
            Z879 + IF(MONTH(A880)=12, Q880+W880, 0) + I880
              + AA879 + IF(MONTH(A880)=12, R880+X880, 0)
              - VLOOKUP(YEAR(A880), Lookup!$Q:$R, 2) + J880,
            Z879 + IF(MONTH(A880)=12, Q880+W880, 0) + I880
          ) - VLOOKUP(YEAR(A880), Lookup!$K:$M, 3)
        ),
    0),
  B880=55,
    IF(Z879&gt;=AD880,
      MAX(Y879 + IF(MONTH(A880)=12, P880+V880, 0) + H880 - L880, 0),
      MAX(MAX(0, Y879-(AD880-Z879)) + IF(MONTH(A880)=12, P880+V880, 0) + H880 - L880, 0)
    ),
  B880&gt;55,
    IF(AB879&gt;=$AH$7,
      MAX(Y879 + IF(MONTH(A880)=12, P880+V880, 0) + H880 - L880 + K880 + Z879, 0),
      MAX(Y879 + IF(MONTH(A880)=12, P880+V880, 0) + H880 - L880, 0)
    )
)</f>
        <v>2347138.014</v>
      </c>
      <c r="Z880" s="65">
        <f>IFS(
  B880&lt;55,
    MIN(
      IF(AA879 &gt;= VLOOKUP(YEAR(A880), Lookup!$Q:$R, 2),
        Z879 + IF(MONTH(A880)=12, Q880+W880, 0) + I880
          + AA879 + IF(MONTH(A880)=12, R880+X880, 0) - VLOOKUP(YEAR(A880), Lookup!$Q:$R, 2) + J880,
        Z879 + IF(MONTH(A880)=12, Q880+W880, 0) + I880
      ),
      VLOOKUP(YEAR(A880), Lookup!$K:$M, 3)
    ),
  B880=55,
    IF(Z879 &gt;= AD880, Z879 - AD880, 0),
  B880&gt;55, 0
)</f>
        <v>0</v>
      </c>
      <c r="AA880" s="65">
        <f>IFS(
  B880&lt;65,
    IF(AA879+J880 &lt; VLOOKUP(YEAR(A880), Lookup!$Q:$R, 2),
      AA879 + IF(MONTH(A880)=12, R879+X879, 0) + J880,
      MIN(
        AA879 + IF(MONTH(A880)=12, R879+X879, 0) + J880 ,
        VLOOKUP(YEAR(A880), Lookup!$Q:$R, 2)
      )
    ),
  B880&gt;=65,
    IF(AA879+J880 &lt; VLOOKUP(questions!$C$5, Lookup!$Q:$R, 2),
      AA879 + IF(MONTH(A880)=12, R879+X879, 0) + J880 ,
      MIN(
        AA879 + IF(MONTH(A880)=12, R879+X879, 0) + J880,
        VLOOKUP(questions!$C$5, Lookup!$Q:$R, 2)
      )
    )
)</f>
        <v>282111.0086</v>
      </c>
      <c r="AB880" s="65">
        <f t="shared" si="13"/>
        <v>3748637.098</v>
      </c>
      <c r="AC880" s="66">
        <f t="array" ref="AC880">IFS(B880&lt;66, XLOOKUP(year(A880),Lookup!$K$13:$K1000,Lookup!$L$13:$L1000,"missing",,1),B880&gt;65,XLOOKUP(questions!$C$5,Lookup!$K$13:$K1000,Lookup!$L$13:$L1000,"missing",,1))</f>
        <v>393675.3633</v>
      </c>
      <c r="AD880" s="66">
        <f t="array" ref="AD880">IFS(B880&lt;66, XLOOKUP(year(A880),Lookup!$K$13:$K1000,Lookup!$M$13:$M1000,"missing",,1),B880&gt;65, XLOOKUP(questions!$C$5,Lookup!$K$13:$K1000,Lookup!$M$13:$M1000,"missing",,1))</f>
        <v>787350.7266</v>
      </c>
      <c r="AE880" s="66">
        <f t="array" ref="AE880">IFS(B880&lt;66, XLOOKUP(year(A880),Lookup!$K$13:$K1000,Lookup!$N$13:$N1000,"missing",,1),B880&gt;65,XLOOKUP(questions!$C$5,Lookup!$K$13:$K1000,Lookup!$N$13:$N1000,"missing",,1))</f>
        <v>1574701.453</v>
      </c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  <c r="AQ880" s="37"/>
    </row>
    <row r="881">
      <c r="A881" s="55">
        <f t="shared" si="7"/>
        <v>72836</v>
      </c>
      <c r="B881" s="56">
        <f>round(YEARFRAC(EOMONTH(questions!$C$3, 0),A881,1),2)</f>
        <v>100.5</v>
      </c>
      <c r="C881" s="58">
        <f>IF(B881&lt;questions!$C$6,if(MONTH(A881)=1,C880*(1+questions!$C$12),C880),0)</f>
        <v>0</v>
      </c>
      <c r="D881" s="58">
        <f>IF(MONTH(A881)=12,C881*questions!$C$11,0)</f>
        <v>0</v>
      </c>
      <c r="E881" s="71">
        <f t="shared" si="2"/>
        <v>0</v>
      </c>
      <c r="F881" s="71">
        <f t="shared" si="3"/>
        <v>0</v>
      </c>
      <c r="G881" s="61">
        <f t="array" ref="G881">if(YEAR(A881)=2025,XLOOKUP(B881,Lookup!$A$3:$A$7,Lookup!$D$3:$D$7,,1)*SUM(E881:F881), XLOOKUP(B881,Lookup!$A$14:$A$18,Lookup!$D$14:$D$18,,1)*SUM(E881:F881))</f>
        <v>0</v>
      </c>
      <c r="H881" s="61">
        <f t="array" ref="H881">if(YEAR(A881)=2025,XLOOKUP(B881,Lookup!$F$3:$F$10,Lookup!$G$3:$G$10,,1)*G881, XLOOKUP(B881,Lookup!$F$14:$F$21,Lookup!$G$14:$G$21,,1)*G881)</f>
        <v>0</v>
      </c>
      <c r="I881" s="61">
        <f t="array" ref="I881">if(B881&lt;55, if(YEAR(A881)=2025,XLOOKUP(B881,Lookup!$F$3:$F$10,Lookup!$H$3:$H$10,,1)*G881, XLOOKUP(B881,Lookup!$F$14:$F$21,Lookup!$H$14:$H$21,,1)*G881),0)</f>
        <v>0</v>
      </c>
      <c r="J881" s="61">
        <f t="array" ref="J881">if(YEAR(A881)=2025,XLOOKUP(B881,Lookup!$F$3:$F$10,Lookup!$I$3:$I$10,,1)*G881, XLOOKUP(B881,Lookup!$F$14:$F$21,Lookup!$I$14:$I$21,,1)*G881)</f>
        <v>0</v>
      </c>
      <c r="K881" s="61">
        <f t="array" ref="K881">if(B881&gt;54, if(YEAR(A881)=2025,XLOOKUP(B881,Lookup!$F$3:$F$10,Lookup!$H$3:$H$10,,1)*G881, XLOOKUP(B881,Lookup!$F$14:$F$21,Lookup!$H$14:$H$21,,1)*G881),0)</f>
        <v>0</v>
      </c>
      <c r="L881" s="62">
        <f>IF(and(A881&lt;questions!$C$19,questions!$C$18="yes"),questions!$C$20,0)</f>
        <v>0</v>
      </c>
      <c r="M881" s="63">
        <f>(Y880+H881)*Lookup!A$26/12</f>
        <v>4889.870863</v>
      </c>
      <c r="N881" s="63">
        <f>if(B881&lt;55, (Z880+I881)*Lookup!B$26/12, (AB880+K881)*Lookup!B$26/12)</f>
        <v>12495.45699</v>
      </c>
      <c r="O881" s="63">
        <f>(AA880+J881)*Lookup!C$26/12</f>
        <v>940.3700287</v>
      </c>
      <c r="P881" s="63">
        <f t="shared" si="8"/>
        <v>24449.35431</v>
      </c>
      <c r="Q881" s="63">
        <f t="shared" si="4"/>
        <v>62477.28497</v>
      </c>
      <c r="R881" s="63">
        <f t="shared" si="5"/>
        <v>4701.850143</v>
      </c>
      <c r="S881" s="64">
        <f t="shared" si="9"/>
        <v>33.33333333</v>
      </c>
      <c r="T881" s="64">
        <f t="shared" si="10"/>
        <v>41.66666667</v>
      </c>
      <c r="U881" s="64">
        <f t="shared" si="11"/>
        <v>0</v>
      </c>
      <c r="V881" s="64">
        <f t="shared" ref="V881:X881" si="889">IF(year($A881)=year($A880), V880+S881, S881)</f>
        <v>166.6666667</v>
      </c>
      <c r="W881" s="64">
        <f t="shared" si="889"/>
        <v>208.3333333</v>
      </c>
      <c r="X881" s="64">
        <f t="shared" si="889"/>
        <v>0</v>
      </c>
      <c r="Y881" s="65">
        <f>IFS(
  B881&lt;55,
    MAX(
      Y880 + IF(MONTH(A881)=12, P881+V881, 0) + H881 - L881
      + MAX(0,
          IF(AA880 &gt;= VLOOKUP(YEAR(A881), Lookup!$Q:$R, 2),
            Z880 + IF(MONTH(A881)=12, Q881+W881, 0) + I881
              + AA880 + IF(MONTH(A881)=12, R881+X881, 0)
              - VLOOKUP(YEAR(A881), Lookup!$Q:$R, 2) + J881,
            Z880 + IF(MONTH(A881)=12, Q881+W881, 0) + I881
          ) - VLOOKUP(YEAR(A881), Lookup!$K:$M, 3)
        ),
    0),
  B881=55,
    IF(Z880&gt;=AD881,
      MAX(Y880 + IF(MONTH(A881)=12, P881+V881, 0) + H881 - L881, 0),
      MAX(MAX(0, Y880-(AD881-Z880)) + IF(MONTH(A881)=12, P881+V881, 0) + H881 - L881, 0)
    ),
  B881&gt;55,
    IF(AB880&gt;=$AH$7,
      MAX(Y880 + IF(MONTH(A881)=12, P881+V881, 0) + H881 - L881 + K881 + Z880, 0),
      MAX(Y880 + IF(MONTH(A881)=12, P881+V881, 0) + H881 - L881, 0)
    )
)</f>
        <v>2347138.014</v>
      </c>
      <c r="Z881" s="65">
        <f>IFS(
  B881&lt;55,
    MIN(
      IF(AA880 &gt;= VLOOKUP(YEAR(A881), Lookup!$Q:$R, 2),
        Z880 + IF(MONTH(A881)=12, Q881+W881, 0) + I881
          + AA880 + IF(MONTH(A881)=12, R881+X881, 0) - VLOOKUP(YEAR(A881), Lookup!$Q:$R, 2) + J881,
        Z880 + IF(MONTH(A881)=12, Q881+W881, 0) + I881
      ),
      VLOOKUP(YEAR(A881), Lookup!$K:$M, 3)
    ),
  B881=55,
    IF(Z880 &gt;= AD881, Z880 - AD881, 0),
  B881&gt;55, 0
)</f>
        <v>0</v>
      </c>
      <c r="AA881" s="65">
        <f>IFS(
  B881&lt;65,
    IF(AA880+J881 &lt; VLOOKUP(YEAR(A881), Lookup!$Q:$R, 2),
      AA880 + IF(MONTH(A881)=12, R880+X880, 0) + J881,
      MIN(
        AA880 + IF(MONTH(A881)=12, R880+X880, 0) + J881 ,
        VLOOKUP(YEAR(A881), Lookup!$Q:$R, 2)
      )
    ),
  B881&gt;=65,
    IF(AA880+J881 &lt; VLOOKUP(questions!$C$5, Lookup!$Q:$R, 2),
      AA880 + IF(MONTH(A881)=12, R880+X880, 0) + J881 ,
      MIN(
        AA880 + IF(MONTH(A881)=12, R880+X880, 0) + J881,
        VLOOKUP(questions!$C$5, Lookup!$Q:$R, 2)
      )
    )
)</f>
        <v>282111.0086</v>
      </c>
      <c r="AB881" s="65">
        <f t="shared" si="13"/>
        <v>3748637.098</v>
      </c>
      <c r="AC881" s="66">
        <f t="array" ref="AC881">IFS(B881&lt;66, XLOOKUP(year(A881),Lookup!$K$13:$K1000,Lookup!$L$13:$L1000,"missing",,1),B881&gt;65,XLOOKUP(questions!$C$5,Lookup!$K$13:$K1000,Lookup!$L$13:$L1000,"missing",,1))</f>
        <v>393675.3633</v>
      </c>
      <c r="AD881" s="66">
        <f t="array" ref="AD881">IFS(B881&lt;66, XLOOKUP(year(A881),Lookup!$K$13:$K1000,Lookup!$M$13:$M1000,"missing",,1),B881&gt;65, XLOOKUP(questions!$C$5,Lookup!$K$13:$K1000,Lookup!$M$13:$M1000,"missing",,1))</f>
        <v>787350.7266</v>
      </c>
      <c r="AE881" s="66">
        <f t="array" ref="AE881">IFS(B881&lt;66, XLOOKUP(year(A881),Lookup!$K$13:$K1000,Lookup!$N$13:$N1000,"missing",,1),B881&gt;65,XLOOKUP(questions!$C$5,Lookup!$K$13:$K1000,Lookup!$N$13:$N1000,"missing",,1))</f>
        <v>1574701.453</v>
      </c>
      <c r="AF881" s="37"/>
      <c r="AG881" s="37"/>
      <c r="AH881" s="37"/>
      <c r="AI881" s="37"/>
      <c r="AJ881" s="37"/>
      <c r="AK881" s="37"/>
      <c r="AL881" s="37"/>
      <c r="AM881" s="37"/>
      <c r="AN881" s="37"/>
      <c r="AO881" s="37"/>
      <c r="AP881" s="37"/>
      <c r="AQ881" s="37"/>
    </row>
    <row r="882">
      <c r="A882" s="55">
        <f t="shared" si="7"/>
        <v>72866</v>
      </c>
      <c r="B882" s="56">
        <f>round(YEARFRAC(EOMONTH(questions!$C$3, 0),A882,1),2)</f>
        <v>100.58</v>
      </c>
      <c r="C882" s="58">
        <f>IF(B882&lt;questions!$C$6,if(MONTH(A882)=1,C881*(1+questions!$C$12),C881),0)</f>
        <v>0</v>
      </c>
      <c r="D882" s="58">
        <f>IF(MONTH(A882)=12,C882*questions!$C$11,0)</f>
        <v>0</v>
      </c>
      <c r="E882" s="71">
        <f t="shared" si="2"/>
        <v>0</v>
      </c>
      <c r="F882" s="71">
        <f t="shared" si="3"/>
        <v>0</v>
      </c>
      <c r="G882" s="61">
        <f t="array" ref="G882">if(YEAR(A882)=2025,XLOOKUP(B882,Lookup!$A$3:$A$7,Lookup!$D$3:$D$7,,1)*SUM(E882:F882), XLOOKUP(B882,Lookup!$A$14:$A$18,Lookup!$D$14:$D$18,,1)*SUM(E882:F882))</f>
        <v>0</v>
      </c>
      <c r="H882" s="61">
        <f t="array" ref="H882">if(YEAR(A882)=2025,XLOOKUP(B882,Lookup!$F$3:$F$10,Lookup!$G$3:$G$10,,1)*G882, XLOOKUP(B882,Lookup!$F$14:$F$21,Lookup!$G$14:$G$21,,1)*G882)</f>
        <v>0</v>
      </c>
      <c r="I882" s="61">
        <f t="array" ref="I882">if(B882&lt;55, if(YEAR(A882)=2025,XLOOKUP(B882,Lookup!$F$3:$F$10,Lookup!$H$3:$H$10,,1)*G882, XLOOKUP(B882,Lookup!$F$14:$F$21,Lookup!$H$14:$H$21,,1)*G882),0)</f>
        <v>0</v>
      </c>
      <c r="J882" s="61">
        <f t="array" ref="J882">if(YEAR(A882)=2025,XLOOKUP(B882,Lookup!$F$3:$F$10,Lookup!$I$3:$I$10,,1)*G882, XLOOKUP(B882,Lookup!$F$14:$F$21,Lookup!$I$14:$I$21,,1)*G882)</f>
        <v>0</v>
      </c>
      <c r="K882" s="61">
        <f t="array" ref="K882">if(B882&gt;54, if(YEAR(A882)=2025,XLOOKUP(B882,Lookup!$F$3:$F$10,Lookup!$H$3:$H$10,,1)*G882, XLOOKUP(B882,Lookup!$F$14:$F$21,Lookup!$H$14:$H$21,,1)*G882),0)</f>
        <v>0</v>
      </c>
      <c r="L882" s="62">
        <f>IF(and(A882&lt;questions!$C$19,questions!$C$18="yes"),questions!$C$20,0)</f>
        <v>0</v>
      </c>
      <c r="M882" s="63">
        <f>(Y881+H882)*Lookup!A$26/12</f>
        <v>4889.870863</v>
      </c>
      <c r="N882" s="63">
        <f>if(B882&lt;55, (Z881+I882)*Lookup!B$26/12, (AB881+K882)*Lookup!B$26/12)</f>
        <v>12495.45699</v>
      </c>
      <c r="O882" s="63">
        <f>(AA881+J882)*Lookup!C$26/12</f>
        <v>940.3700287</v>
      </c>
      <c r="P882" s="63">
        <f t="shared" si="8"/>
        <v>29339.22518</v>
      </c>
      <c r="Q882" s="63">
        <f t="shared" si="4"/>
        <v>74972.74196</v>
      </c>
      <c r="R882" s="63">
        <f t="shared" si="5"/>
        <v>5642.220172</v>
      </c>
      <c r="S882" s="64">
        <f t="shared" si="9"/>
        <v>33.33333333</v>
      </c>
      <c r="T882" s="64">
        <f t="shared" si="10"/>
        <v>41.66666667</v>
      </c>
      <c r="U882" s="64">
        <f t="shared" si="11"/>
        <v>0</v>
      </c>
      <c r="V882" s="64">
        <f t="shared" ref="V882:X882" si="890">IF(year($A882)=year($A881), V881+S882, S882)</f>
        <v>200</v>
      </c>
      <c r="W882" s="64">
        <f t="shared" si="890"/>
        <v>250</v>
      </c>
      <c r="X882" s="64">
        <f t="shared" si="890"/>
        <v>0</v>
      </c>
      <c r="Y882" s="65">
        <f>IFS(
  B882&lt;55,
    MAX(
      Y881 + IF(MONTH(A882)=12, P882+V882, 0) + H882 - L882
      + MAX(0,
          IF(AA881 &gt;= VLOOKUP(YEAR(A882), Lookup!$Q:$R, 2),
            Z881 + IF(MONTH(A882)=12, Q882+W882, 0) + I882
              + AA881 + IF(MONTH(A882)=12, R882+X882, 0)
              - VLOOKUP(YEAR(A882), Lookup!$Q:$R, 2) + J882,
            Z881 + IF(MONTH(A882)=12, Q882+W882, 0) + I882
          ) - VLOOKUP(YEAR(A882), Lookup!$K:$M, 3)
        ),
    0),
  B882=55,
    IF(Z881&gt;=AD882,
      MAX(Y881 + IF(MONTH(A882)=12, P882+V882, 0) + H882 - L882, 0),
      MAX(MAX(0, Y881-(AD882-Z881)) + IF(MONTH(A882)=12, P882+V882, 0) + H882 - L882, 0)
    ),
  B882&gt;55,
    IF(AB881&gt;=$AH$7,
      MAX(Y881 + IF(MONTH(A882)=12, P882+V882, 0) + H882 - L882 + K882 + Z881, 0),
      MAX(Y881 + IF(MONTH(A882)=12, P882+V882, 0) + H882 - L882, 0)
    )
)</f>
        <v>2347138.014</v>
      </c>
      <c r="Z882" s="65">
        <f>IFS(
  B882&lt;55,
    MIN(
      IF(AA881 &gt;= VLOOKUP(YEAR(A882), Lookup!$Q:$R, 2),
        Z881 + IF(MONTH(A882)=12, Q882+W882, 0) + I882
          + AA881 + IF(MONTH(A882)=12, R882+X882, 0) - VLOOKUP(YEAR(A882), Lookup!$Q:$R, 2) + J882,
        Z881 + IF(MONTH(A882)=12, Q882+W882, 0) + I882
      ),
      VLOOKUP(YEAR(A882), Lookup!$K:$M, 3)
    ),
  B882=55,
    IF(Z881 &gt;= AD882, Z881 - AD882, 0),
  B882&gt;55, 0
)</f>
        <v>0</v>
      </c>
      <c r="AA882" s="65">
        <f>IFS(
  B882&lt;65,
    IF(AA881+J882 &lt; VLOOKUP(YEAR(A882), Lookup!$Q:$R, 2),
      AA881 + IF(MONTH(A882)=12, R881+X881, 0) + J882,
      MIN(
        AA881 + IF(MONTH(A882)=12, R881+X881, 0) + J882 ,
        VLOOKUP(YEAR(A882), Lookup!$Q:$R, 2)
      )
    ),
  B882&gt;=65,
    IF(AA881+J882 &lt; VLOOKUP(questions!$C$5, Lookup!$Q:$R, 2),
      AA881 + IF(MONTH(A882)=12, R881+X881, 0) + J882 ,
      MIN(
        AA881 + IF(MONTH(A882)=12, R881+X881, 0) + J882,
        VLOOKUP(questions!$C$5, Lookup!$Q:$R, 2)
      )
    )
)</f>
        <v>282111.0086</v>
      </c>
      <c r="AB882" s="65">
        <f t="shared" si="13"/>
        <v>3748637.098</v>
      </c>
      <c r="AC882" s="66">
        <f t="array" ref="AC882">IFS(B882&lt;66, XLOOKUP(year(A882),Lookup!$K$13:$K1000,Lookup!$L$13:$L1000,"missing",,1),B882&gt;65,XLOOKUP(questions!$C$5,Lookup!$K$13:$K1000,Lookup!$L$13:$L1000,"missing",,1))</f>
        <v>393675.3633</v>
      </c>
      <c r="AD882" s="66">
        <f t="array" ref="AD882">IFS(B882&lt;66, XLOOKUP(year(A882),Lookup!$K$13:$K1000,Lookup!$M$13:$M1000,"missing",,1),B882&gt;65, XLOOKUP(questions!$C$5,Lookup!$K$13:$K1000,Lookup!$M$13:$M1000,"missing",,1))</f>
        <v>787350.7266</v>
      </c>
      <c r="AE882" s="66">
        <f t="array" ref="AE882">IFS(B882&lt;66, XLOOKUP(year(A882),Lookup!$K$13:$K1000,Lookup!$N$13:$N1000,"missing",,1),B882&gt;65,XLOOKUP(questions!$C$5,Lookup!$K$13:$K1000,Lookup!$N$13:$N1000,"missing",,1))</f>
        <v>1574701.453</v>
      </c>
      <c r="AF882" s="37"/>
      <c r="AG882" s="37"/>
      <c r="AH882" s="37"/>
      <c r="AI882" s="37"/>
      <c r="AJ882" s="37"/>
      <c r="AK882" s="37"/>
      <c r="AL882" s="37"/>
      <c r="AM882" s="37"/>
      <c r="AN882" s="37"/>
      <c r="AO882" s="37"/>
      <c r="AP882" s="37"/>
      <c r="AQ882" s="37"/>
    </row>
    <row r="883">
      <c r="A883" s="55">
        <f t="shared" si="7"/>
        <v>72897</v>
      </c>
      <c r="B883" s="56">
        <f>round(YEARFRAC(EOMONTH(questions!$C$3, 0),A883,1),2)</f>
        <v>100.67</v>
      </c>
      <c r="C883" s="58">
        <f>IF(B883&lt;questions!$C$6,if(MONTH(A883)=1,C882*(1+questions!$C$12),C882),0)</f>
        <v>0</v>
      </c>
      <c r="D883" s="58">
        <f>IF(MONTH(A883)=12,C883*questions!$C$11,0)</f>
        <v>0</v>
      </c>
      <c r="E883" s="71">
        <f t="shared" si="2"/>
        <v>0</v>
      </c>
      <c r="F883" s="71">
        <f t="shared" si="3"/>
        <v>0</v>
      </c>
      <c r="G883" s="61">
        <f t="array" ref="G883">if(YEAR(A883)=2025,XLOOKUP(B883,Lookup!$A$3:$A$7,Lookup!$D$3:$D$7,,1)*SUM(E883:F883), XLOOKUP(B883,Lookup!$A$14:$A$18,Lookup!$D$14:$D$18,,1)*SUM(E883:F883))</f>
        <v>0</v>
      </c>
      <c r="H883" s="61">
        <f t="array" ref="H883">if(YEAR(A883)=2025,XLOOKUP(B883,Lookup!$F$3:$F$10,Lookup!$G$3:$G$10,,1)*G883, XLOOKUP(B883,Lookup!$F$14:$F$21,Lookup!$G$14:$G$21,,1)*G883)</f>
        <v>0</v>
      </c>
      <c r="I883" s="61">
        <f t="array" ref="I883">if(B883&lt;55, if(YEAR(A883)=2025,XLOOKUP(B883,Lookup!$F$3:$F$10,Lookup!$H$3:$H$10,,1)*G883, XLOOKUP(B883,Lookup!$F$14:$F$21,Lookup!$H$14:$H$21,,1)*G883),0)</f>
        <v>0</v>
      </c>
      <c r="J883" s="61">
        <f t="array" ref="J883">if(YEAR(A883)=2025,XLOOKUP(B883,Lookup!$F$3:$F$10,Lookup!$I$3:$I$10,,1)*G883, XLOOKUP(B883,Lookup!$F$14:$F$21,Lookup!$I$14:$I$21,,1)*G883)</f>
        <v>0</v>
      </c>
      <c r="K883" s="61">
        <f t="array" ref="K883">if(B883&gt;54, if(YEAR(A883)=2025,XLOOKUP(B883,Lookup!$F$3:$F$10,Lookup!$H$3:$H$10,,1)*G883, XLOOKUP(B883,Lookup!$F$14:$F$21,Lookup!$H$14:$H$21,,1)*G883),0)</f>
        <v>0</v>
      </c>
      <c r="L883" s="62">
        <f>IF(and(A883&lt;questions!$C$19,questions!$C$18="yes"),questions!$C$20,0)</f>
        <v>0</v>
      </c>
      <c r="M883" s="63">
        <f>(Y882+H883)*Lookup!A$26/12</f>
        <v>4889.870863</v>
      </c>
      <c r="N883" s="63">
        <f>if(B883&lt;55, (Z882+I883)*Lookup!B$26/12, (AB882+K883)*Lookup!B$26/12)</f>
        <v>12495.45699</v>
      </c>
      <c r="O883" s="63">
        <f>(AA882+J883)*Lookup!C$26/12</f>
        <v>940.3700287</v>
      </c>
      <c r="P883" s="63">
        <f t="shared" si="8"/>
        <v>34229.09604</v>
      </c>
      <c r="Q883" s="63">
        <f t="shared" si="4"/>
        <v>87468.19896</v>
      </c>
      <c r="R883" s="63">
        <f t="shared" si="5"/>
        <v>6582.590201</v>
      </c>
      <c r="S883" s="64">
        <f t="shared" si="9"/>
        <v>33.33333333</v>
      </c>
      <c r="T883" s="64">
        <f t="shared" si="10"/>
        <v>41.66666667</v>
      </c>
      <c r="U883" s="64">
        <f t="shared" si="11"/>
        <v>0</v>
      </c>
      <c r="V883" s="64">
        <f t="shared" ref="V883:X883" si="891">IF(year($A883)=year($A882), V882+S883, S883)</f>
        <v>233.3333333</v>
      </c>
      <c r="W883" s="64">
        <f t="shared" si="891"/>
        <v>291.6666667</v>
      </c>
      <c r="X883" s="64">
        <f t="shared" si="891"/>
        <v>0</v>
      </c>
      <c r="Y883" s="65">
        <f>IFS(
  B883&lt;55,
    MAX(
      Y882 + IF(MONTH(A883)=12, P883+V883, 0) + H883 - L883
      + MAX(0,
          IF(AA882 &gt;= VLOOKUP(YEAR(A883), Lookup!$Q:$R, 2),
            Z882 + IF(MONTH(A883)=12, Q883+W883, 0) + I883
              + AA882 + IF(MONTH(A883)=12, R883+X883, 0)
              - VLOOKUP(YEAR(A883), Lookup!$Q:$R, 2) + J883,
            Z882 + IF(MONTH(A883)=12, Q883+W883, 0) + I883
          ) - VLOOKUP(YEAR(A883), Lookup!$K:$M, 3)
        ),
    0),
  B883=55,
    IF(Z882&gt;=AD883,
      MAX(Y882 + IF(MONTH(A883)=12, P883+V883, 0) + H883 - L883, 0),
      MAX(MAX(0, Y882-(AD883-Z882)) + IF(MONTH(A883)=12, P883+V883, 0) + H883 - L883, 0)
    ),
  B883&gt;55,
    IF(AB882&gt;=$AH$7,
      MAX(Y882 + IF(MONTH(A883)=12, P883+V883, 0) + H883 - L883 + K883 + Z882, 0),
      MAX(Y882 + IF(MONTH(A883)=12, P883+V883, 0) + H883 - L883, 0)
    )
)</f>
        <v>2347138.014</v>
      </c>
      <c r="Z883" s="65">
        <f>IFS(
  B883&lt;55,
    MIN(
      IF(AA882 &gt;= VLOOKUP(YEAR(A883), Lookup!$Q:$R, 2),
        Z882 + IF(MONTH(A883)=12, Q883+W883, 0) + I883
          + AA882 + IF(MONTH(A883)=12, R883+X883, 0) - VLOOKUP(YEAR(A883), Lookup!$Q:$R, 2) + J883,
        Z882 + IF(MONTH(A883)=12, Q883+W883, 0) + I883
      ),
      VLOOKUP(YEAR(A883), Lookup!$K:$M, 3)
    ),
  B883=55,
    IF(Z882 &gt;= AD883, Z882 - AD883, 0),
  B883&gt;55, 0
)</f>
        <v>0</v>
      </c>
      <c r="AA883" s="65">
        <f>IFS(
  B883&lt;65,
    IF(AA882+J883 &lt; VLOOKUP(YEAR(A883), Lookup!$Q:$R, 2),
      AA882 + IF(MONTH(A883)=12, R882+X882, 0) + J883,
      MIN(
        AA882 + IF(MONTH(A883)=12, R882+X882, 0) + J883 ,
        VLOOKUP(YEAR(A883), Lookup!$Q:$R, 2)
      )
    ),
  B883&gt;=65,
    IF(AA882+J883 &lt; VLOOKUP(questions!$C$5, Lookup!$Q:$R, 2),
      AA882 + IF(MONTH(A883)=12, R882+X882, 0) + J883 ,
      MIN(
        AA882 + IF(MONTH(A883)=12, R882+X882, 0) + J883,
        VLOOKUP(questions!$C$5, Lookup!$Q:$R, 2)
      )
    )
)</f>
        <v>282111.0086</v>
      </c>
      <c r="AB883" s="65">
        <f t="shared" si="13"/>
        <v>3748637.098</v>
      </c>
      <c r="AC883" s="66">
        <f t="array" ref="AC883">IFS(B883&lt;66, XLOOKUP(year(A883),Lookup!$K$13:$K1000,Lookup!$L$13:$L1000,"missing",,1),B883&gt;65,XLOOKUP(questions!$C$5,Lookup!$K$13:$K1000,Lookup!$L$13:$L1000,"missing",,1))</f>
        <v>393675.3633</v>
      </c>
      <c r="AD883" s="66">
        <f t="array" ref="AD883">IFS(B883&lt;66, XLOOKUP(year(A883),Lookup!$K$13:$K1000,Lookup!$M$13:$M1000,"missing",,1),B883&gt;65, XLOOKUP(questions!$C$5,Lookup!$K$13:$K1000,Lookup!$M$13:$M1000,"missing",,1))</f>
        <v>787350.7266</v>
      </c>
      <c r="AE883" s="66">
        <f t="array" ref="AE883">IFS(B883&lt;66, XLOOKUP(year(A883),Lookup!$K$13:$K1000,Lookup!$N$13:$N1000,"missing",,1),B883&gt;65,XLOOKUP(questions!$C$5,Lookup!$K$13:$K1000,Lookup!$N$13:$N1000,"missing",,1))</f>
        <v>1574701.453</v>
      </c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  <c r="AQ883" s="37"/>
    </row>
    <row r="884">
      <c r="A884" s="55">
        <f t="shared" si="7"/>
        <v>72928</v>
      </c>
      <c r="B884" s="56">
        <f>round(YEARFRAC(EOMONTH(questions!$C$3, 0),A884,1),2)</f>
        <v>100.75</v>
      </c>
      <c r="C884" s="58">
        <f>IF(B884&lt;questions!$C$6,if(MONTH(A884)=1,C883*(1+questions!$C$12),C883),0)</f>
        <v>0</v>
      </c>
      <c r="D884" s="58">
        <f>IF(MONTH(A884)=12,C884*questions!$C$11,0)</f>
        <v>0</v>
      </c>
      <c r="E884" s="71">
        <f t="shared" si="2"/>
        <v>0</v>
      </c>
      <c r="F884" s="71">
        <f t="shared" si="3"/>
        <v>0</v>
      </c>
      <c r="G884" s="61">
        <f t="array" ref="G884">if(YEAR(A884)=2025,XLOOKUP(B884,Lookup!$A$3:$A$7,Lookup!$D$3:$D$7,,1)*SUM(E884:F884), XLOOKUP(B884,Lookup!$A$14:$A$18,Lookup!$D$14:$D$18,,1)*SUM(E884:F884))</f>
        <v>0</v>
      </c>
      <c r="H884" s="61">
        <f t="array" ref="H884">if(YEAR(A884)=2025,XLOOKUP(B884,Lookup!$F$3:$F$10,Lookup!$G$3:$G$10,,1)*G884, XLOOKUP(B884,Lookup!$F$14:$F$21,Lookup!$G$14:$G$21,,1)*G884)</f>
        <v>0</v>
      </c>
      <c r="I884" s="61">
        <f t="array" ref="I884">if(B884&lt;55, if(YEAR(A884)=2025,XLOOKUP(B884,Lookup!$F$3:$F$10,Lookup!$H$3:$H$10,,1)*G884, XLOOKUP(B884,Lookup!$F$14:$F$21,Lookup!$H$14:$H$21,,1)*G884),0)</f>
        <v>0</v>
      </c>
      <c r="J884" s="61">
        <f t="array" ref="J884">if(YEAR(A884)=2025,XLOOKUP(B884,Lookup!$F$3:$F$10,Lookup!$I$3:$I$10,,1)*G884, XLOOKUP(B884,Lookup!$F$14:$F$21,Lookup!$I$14:$I$21,,1)*G884)</f>
        <v>0</v>
      </c>
      <c r="K884" s="61">
        <f t="array" ref="K884">if(B884&gt;54, if(YEAR(A884)=2025,XLOOKUP(B884,Lookup!$F$3:$F$10,Lookup!$H$3:$H$10,,1)*G884, XLOOKUP(B884,Lookup!$F$14:$F$21,Lookup!$H$14:$H$21,,1)*G884),0)</f>
        <v>0</v>
      </c>
      <c r="L884" s="62">
        <f>IF(and(A884&lt;questions!$C$19,questions!$C$18="yes"),questions!$C$20,0)</f>
        <v>0</v>
      </c>
      <c r="M884" s="63">
        <f>(Y883+H884)*Lookup!A$26/12</f>
        <v>4889.870863</v>
      </c>
      <c r="N884" s="63">
        <f>if(B884&lt;55, (Z883+I884)*Lookup!B$26/12, (AB883+K884)*Lookup!B$26/12)</f>
        <v>12495.45699</v>
      </c>
      <c r="O884" s="63">
        <f>(AA883+J884)*Lookup!C$26/12</f>
        <v>940.3700287</v>
      </c>
      <c r="P884" s="63">
        <f t="shared" si="8"/>
        <v>39118.9669</v>
      </c>
      <c r="Q884" s="63">
        <f t="shared" si="4"/>
        <v>99963.65595</v>
      </c>
      <c r="R884" s="63">
        <f t="shared" si="5"/>
        <v>7522.960229</v>
      </c>
      <c r="S884" s="64">
        <f t="shared" si="9"/>
        <v>33.33333333</v>
      </c>
      <c r="T884" s="64">
        <f t="shared" si="10"/>
        <v>41.66666667</v>
      </c>
      <c r="U884" s="64">
        <f t="shared" si="11"/>
        <v>0</v>
      </c>
      <c r="V884" s="64">
        <f t="shared" ref="V884:X884" si="892">IF(year($A884)=year($A883), V883+S884, S884)</f>
        <v>266.6666667</v>
      </c>
      <c r="W884" s="64">
        <f t="shared" si="892"/>
        <v>333.3333333</v>
      </c>
      <c r="X884" s="64">
        <f t="shared" si="892"/>
        <v>0</v>
      </c>
      <c r="Y884" s="65">
        <f>IFS(
  B884&lt;55,
    MAX(
      Y883 + IF(MONTH(A884)=12, P884+V884, 0) + H884 - L884
      + MAX(0,
          IF(AA883 &gt;= VLOOKUP(YEAR(A884), Lookup!$Q:$R, 2),
            Z883 + IF(MONTH(A884)=12, Q884+W884, 0) + I884
              + AA883 + IF(MONTH(A884)=12, R884+X884, 0)
              - VLOOKUP(YEAR(A884), Lookup!$Q:$R, 2) + J884,
            Z883 + IF(MONTH(A884)=12, Q884+W884, 0) + I884
          ) - VLOOKUP(YEAR(A884), Lookup!$K:$M, 3)
        ),
    0),
  B884=55,
    IF(Z883&gt;=AD884,
      MAX(Y883 + IF(MONTH(A884)=12, P884+V884, 0) + H884 - L884, 0),
      MAX(MAX(0, Y883-(AD884-Z883)) + IF(MONTH(A884)=12, P884+V884, 0) + H884 - L884, 0)
    ),
  B884&gt;55,
    IF(AB883&gt;=$AH$7,
      MAX(Y883 + IF(MONTH(A884)=12, P884+V884, 0) + H884 - L884 + K884 + Z883, 0),
      MAX(Y883 + IF(MONTH(A884)=12, P884+V884, 0) + H884 - L884, 0)
    )
)</f>
        <v>2347138.014</v>
      </c>
      <c r="Z884" s="65">
        <f>IFS(
  B884&lt;55,
    MIN(
      IF(AA883 &gt;= VLOOKUP(YEAR(A884), Lookup!$Q:$R, 2),
        Z883 + IF(MONTH(A884)=12, Q884+W884, 0) + I884
          + AA883 + IF(MONTH(A884)=12, R884+X884, 0) - VLOOKUP(YEAR(A884), Lookup!$Q:$R, 2) + J884,
        Z883 + IF(MONTH(A884)=12, Q884+W884, 0) + I884
      ),
      VLOOKUP(YEAR(A884), Lookup!$K:$M, 3)
    ),
  B884=55,
    IF(Z883 &gt;= AD884, Z883 - AD884, 0),
  B884&gt;55, 0
)</f>
        <v>0</v>
      </c>
      <c r="AA884" s="65">
        <f>IFS(
  B884&lt;65,
    IF(AA883+J884 &lt; VLOOKUP(YEAR(A884), Lookup!$Q:$R, 2),
      AA883 + IF(MONTH(A884)=12, R883+X883, 0) + J884,
      MIN(
        AA883 + IF(MONTH(A884)=12, R883+X883, 0) + J884 ,
        VLOOKUP(YEAR(A884), Lookup!$Q:$R, 2)
      )
    ),
  B884&gt;=65,
    IF(AA883+J884 &lt; VLOOKUP(questions!$C$5, Lookup!$Q:$R, 2),
      AA883 + IF(MONTH(A884)=12, R883+X883, 0) + J884 ,
      MIN(
        AA883 + IF(MONTH(A884)=12, R883+X883, 0) + J884,
        VLOOKUP(questions!$C$5, Lookup!$Q:$R, 2)
      )
    )
)</f>
        <v>282111.0086</v>
      </c>
      <c r="AB884" s="65">
        <f t="shared" si="13"/>
        <v>3748637.098</v>
      </c>
      <c r="AC884" s="66">
        <f t="array" ref="AC884">IFS(B884&lt;66, XLOOKUP(year(A884),Lookup!$K$13:$K1000,Lookup!$L$13:$L1000,"missing",,1),B884&gt;65,XLOOKUP(questions!$C$5,Lookup!$K$13:$K1000,Lookup!$L$13:$L1000,"missing",,1))</f>
        <v>393675.3633</v>
      </c>
      <c r="AD884" s="66">
        <f t="array" ref="AD884">IFS(B884&lt;66, XLOOKUP(year(A884),Lookup!$K$13:$K1000,Lookup!$M$13:$M1000,"missing",,1),B884&gt;65, XLOOKUP(questions!$C$5,Lookup!$K$13:$K1000,Lookup!$M$13:$M1000,"missing",,1))</f>
        <v>787350.7266</v>
      </c>
      <c r="AE884" s="66">
        <f t="array" ref="AE884">IFS(B884&lt;66, XLOOKUP(year(A884),Lookup!$K$13:$K1000,Lookup!$N$13:$N1000,"missing",,1),B884&gt;65,XLOOKUP(questions!$C$5,Lookup!$K$13:$K1000,Lookup!$N$13:$N1000,"missing",,1))</f>
        <v>1574701.453</v>
      </c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  <c r="AQ884" s="37"/>
    </row>
    <row r="885">
      <c r="A885" s="55">
        <f t="shared" si="7"/>
        <v>72958</v>
      </c>
      <c r="B885" s="56">
        <f>round(YEARFRAC(EOMONTH(questions!$C$3, 0),A885,1),2)</f>
        <v>100.83</v>
      </c>
      <c r="C885" s="58">
        <f>IF(B885&lt;questions!$C$6,if(MONTH(A885)=1,C884*(1+questions!$C$12),C884),0)</f>
        <v>0</v>
      </c>
      <c r="D885" s="58">
        <f>IF(MONTH(A885)=12,C885*questions!$C$11,0)</f>
        <v>0</v>
      </c>
      <c r="E885" s="71">
        <f t="shared" si="2"/>
        <v>0</v>
      </c>
      <c r="F885" s="71">
        <f t="shared" si="3"/>
        <v>0</v>
      </c>
      <c r="G885" s="61">
        <f t="array" ref="G885">if(YEAR(A885)=2025,XLOOKUP(B885,Lookup!$A$3:$A$7,Lookup!$D$3:$D$7,,1)*SUM(E885:F885), XLOOKUP(B885,Lookup!$A$14:$A$18,Lookup!$D$14:$D$18,,1)*SUM(E885:F885))</f>
        <v>0</v>
      </c>
      <c r="H885" s="61">
        <f t="array" ref="H885">if(YEAR(A885)=2025,XLOOKUP(B885,Lookup!$F$3:$F$10,Lookup!$G$3:$G$10,,1)*G885, XLOOKUP(B885,Lookup!$F$14:$F$21,Lookup!$G$14:$G$21,,1)*G885)</f>
        <v>0</v>
      </c>
      <c r="I885" s="61">
        <f t="array" ref="I885">if(B885&lt;55, if(YEAR(A885)=2025,XLOOKUP(B885,Lookup!$F$3:$F$10,Lookup!$H$3:$H$10,,1)*G885, XLOOKUP(B885,Lookup!$F$14:$F$21,Lookup!$H$14:$H$21,,1)*G885),0)</f>
        <v>0</v>
      </c>
      <c r="J885" s="61">
        <f t="array" ref="J885">if(YEAR(A885)=2025,XLOOKUP(B885,Lookup!$F$3:$F$10,Lookup!$I$3:$I$10,,1)*G885, XLOOKUP(B885,Lookup!$F$14:$F$21,Lookup!$I$14:$I$21,,1)*G885)</f>
        <v>0</v>
      </c>
      <c r="K885" s="61">
        <f t="array" ref="K885">if(B885&gt;54, if(YEAR(A885)=2025,XLOOKUP(B885,Lookup!$F$3:$F$10,Lookup!$H$3:$H$10,,1)*G885, XLOOKUP(B885,Lookup!$F$14:$F$21,Lookup!$H$14:$H$21,,1)*G885),0)</f>
        <v>0</v>
      </c>
      <c r="L885" s="62">
        <f>IF(and(A885&lt;questions!$C$19,questions!$C$18="yes"),questions!$C$20,0)</f>
        <v>0</v>
      </c>
      <c r="M885" s="63">
        <f>(Y884+H885)*Lookup!A$26/12</f>
        <v>4889.870863</v>
      </c>
      <c r="N885" s="63">
        <f>if(B885&lt;55, (Z884+I885)*Lookup!B$26/12, (AB884+K885)*Lookup!B$26/12)</f>
        <v>12495.45699</v>
      </c>
      <c r="O885" s="63">
        <f>(AA884+J885)*Lookup!C$26/12</f>
        <v>940.3700287</v>
      </c>
      <c r="P885" s="63">
        <f t="shared" si="8"/>
        <v>44008.83776</v>
      </c>
      <c r="Q885" s="63">
        <f t="shared" si="4"/>
        <v>112459.1129</v>
      </c>
      <c r="R885" s="63">
        <f t="shared" si="5"/>
        <v>8463.330258</v>
      </c>
      <c r="S885" s="64">
        <f t="shared" si="9"/>
        <v>33.33333333</v>
      </c>
      <c r="T885" s="64">
        <f t="shared" si="10"/>
        <v>41.66666667</v>
      </c>
      <c r="U885" s="64">
        <f t="shared" si="11"/>
        <v>0</v>
      </c>
      <c r="V885" s="64">
        <f t="shared" ref="V885:X885" si="893">IF(year($A885)=year($A884), V884+S885, S885)</f>
        <v>300</v>
      </c>
      <c r="W885" s="64">
        <f t="shared" si="893"/>
        <v>375</v>
      </c>
      <c r="X885" s="64">
        <f t="shared" si="893"/>
        <v>0</v>
      </c>
      <c r="Y885" s="65">
        <f>IFS(
  B885&lt;55,
    MAX(
      Y884 + IF(MONTH(A885)=12, P885+V885, 0) + H885 - L885
      + MAX(0,
          IF(AA884 &gt;= VLOOKUP(YEAR(A885), Lookup!$Q:$R, 2),
            Z884 + IF(MONTH(A885)=12, Q885+W885, 0) + I885
              + AA884 + IF(MONTH(A885)=12, R885+X885, 0)
              - VLOOKUP(YEAR(A885), Lookup!$Q:$R, 2) + J885,
            Z884 + IF(MONTH(A885)=12, Q885+W885, 0) + I885
          ) - VLOOKUP(YEAR(A885), Lookup!$K:$M, 3)
        ),
    0),
  B885=55,
    IF(Z884&gt;=AD885,
      MAX(Y884 + IF(MONTH(A885)=12, P885+V885, 0) + H885 - L885, 0),
      MAX(MAX(0, Y884-(AD885-Z884)) + IF(MONTH(A885)=12, P885+V885, 0) + H885 - L885, 0)
    ),
  B885&gt;55,
    IF(AB884&gt;=$AH$7,
      MAX(Y884 + IF(MONTH(A885)=12, P885+V885, 0) + H885 - L885 + K885 + Z884, 0),
      MAX(Y884 + IF(MONTH(A885)=12, P885+V885, 0) + H885 - L885, 0)
    )
)</f>
        <v>2347138.014</v>
      </c>
      <c r="Z885" s="65">
        <f>IFS(
  B885&lt;55,
    MIN(
      IF(AA884 &gt;= VLOOKUP(YEAR(A885), Lookup!$Q:$R, 2),
        Z884 + IF(MONTH(A885)=12, Q885+W885, 0) + I885
          + AA884 + IF(MONTH(A885)=12, R885+X885, 0) - VLOOKUP(YEAR(A885), Lookup!$Q:$R, 2) + J885,
        Z884 + IF(MONTH(A885)=12, Q885+W885, 0) + I885
      ),
      VLOOKUP(YEAR(A885), Lookup!$K:$M, 3)
    ),
  B885=55,
    IF(Z884 &gt;= AD885, Z884 - AD885, 0),
  B885&gt;55, 0
)</f>
        <v>0</v>
      </c>
      <c r="AA885" s="65">
        <f>IFS(
  B885&lt;65,
    IF(AA884+J885 &lt; VLOOKUP(YEAR(A885), Lookup!$Q:$R, 2),
      AA884 + IF(MONTH(A885)=12, R884+X884, 0) + J885,
      MIN(
        AA884 + IF(MONTH(A885)=12, R884+X884, 0) + J885 ,
        VLOOKUP(YEAR(A885), Lookup!$Q:$R, 2)
      )
    ),
  B885&gt;=65,
    IF(AA884+J885 &lt; VLOOKUP(questions!$C$5, Lookup!$Q:$R, 2),
      AA884 + IF(MONTH(A885)=12, R884+X884, 0) + J885 ,
      MIN(
        AA884 + IF(MONTH(A885)=12, R884+X884, 0) + J885,
        VLOOKUP(questions!$C$5, Lookup!$Q:$R, 2)
      )
    )
)</f>
        <v>282111.0086</v>
      </c>
      <c r="AB885" s="65">
        <f t="shared" si="13"/>
        <v>3748637.098</v>
      </c>
      <c r="AC885" s="66">
        <f t="array" ref="AC885">IFS(B885&lt;66, XLOOKUP(year(A885),Lookup!$K$13:$K1000,Lookup!$L$13:$L1000,"missing",,1),B885&gt;65,XLOOKUP(questions!$C$5,Lookup!$K$13:$K1000,Lookup!$L$13:$L1000,"missing",,1))</f>
        <v>393675.3633</v>
      </c>
      <c r="AD885" s="66">
        <f t="array" ref="AD885">IFS(B885&lt;66, XLOOKUP(year(A885),Lookup!$K$13:$K1000,Lookup!$M$13:$M1000,"missing",,1),B885&gt;65, XLOOKUP(questions!$C$5,Lookup!$K$13:$K1000,Lookup!$M$13:$M1000,"missing",,1))</f>
        <v>787350.7266</v>
      </c>
      <c r="AE885" s="66">
        <f t="array" ref="AE885">IFS(B885&lt;66, XLOOKUP(year(A885),Lookup!$K$13:$K1000,Lookup!$N$13:$N1000,"missing",,1),B885&gt;65,XLOOKUP(questions!$C$5,Lookup!$K$13:$K1000,Lookup!$N$13:$N1000,"missing",,1))</f>
        <v>1574701.453</v>
      </c>
      <c r="AF885" s="37"/>
      <c r="AG885" s="37"/>
      <c r="AH885" s="37"/>
      <c r="AI885" s="37"/>
      <c r="AJ885" s="37"/>
      <c r="AK885" s="37"/>
      <c r="AL885" s="37"/>
      <c r="AM885" s="37"/>
      <c r="AN885" s="37"/>
      <c r="AO885" s="37"/>
      <c r="AP885" s="37"/>
      <c r="AQ885" s="37"/>
    </row>
    <row r="886">
      <c r="A886" s="55">
        <f t="shared" si="7"/>
        <v>72989</v>
      </c>
      <c r="B886" s="56">
        <f>round(YEARFRAC(EOMONTH(questions!$C$3, 0),A886,1),2)</f>
        <v>100.92</v>
      </c>
      <c r="C886" s="58">
        <f>IF(B886&lt;questions!$C$6,if(MONTH(A886)=1,C885*(1+questions!$C$12),C885),0)</f>
        <v>0</v>
      </c>
      <c r="D886" s="58">
        <f>IF(MONTH(A886)=12,C886*questions!$C$11,0)</f>
        <v>0</v>
      </c>
      <c r="E886" s="71">
        <f t="shared" si="2"/>
        <v>0</v>
      </c>
      <c r="F886" s="71">
        <f t="shared" si="3"/>
        <v>0</v>
      </c>
      <c r="G886" s="61">
        <f t="array" ref="G886">if(YEAR(A886)=2025,XLOOKUP(B886,Lookup!$A$3:$A$7,Lookup!$D$3:$D$7,,1)*SUM(E886:F886), XLOOKUP(B886,Lookup!$A$14:$A$18,Lookup!$D$14:$D$18,,1)*SUM(E886:F886))</f>
        <v>0</v>
      </c>
      <c r="H886" s="61">
        <f t="array" ref="H886">if(YEAR(A886)=2025,XLOOKUP(B886,Lookup!$F$3:$F$10,Lookup!$G$3:$G$10,,1)*G886, XLOOKUP(B886,Lookup!$F$14:$F$21,Lookup!$G$14:$G$21,,1)*G886)</f>
        <v>0</v>
      </c>
      <c r="I886" s="61">
        <f t="array" ref="I886">if(B886&lt;55, if(YEAR(A886)=2025,XLOOKUP(B886,Lookup!$F$3:$F$10,Lookup!$H$3:$H$10,,1)*G886, XLOOKUP(B886,Lookup!$F$14:$F$21,Lookup!$H$14:$H$21,,1)*G886),0)</f>
        <v>0</v>
      </c>
      <c r="J886" s="61">
        <f t="array" ref="J886">if(YEAR(A886)=2025,XLOOKUP(B886,Lookup!$F$3:$F$10,Lookup!$I$3:$I$10,,1)*G886, XLOOKUP(B886,Lookup!$F$14:$F$21,Lookup!$I$14:$I$21,,1)*G886)</f>
        <v>0</v>
      </c>
      <c r="K886" s="61">
        <f t="array" ref="K886">if(B886&gt;54, if(YEAR(A886)=2025,XLOOKUP(B886,Lookup!$F$3:$F$10,Lookup!$H$3:$H$10,,1)*G886, XLOOKUP(B886,Lookup!$F$14:$F$21,Lookup!$H$14:$H$21,,1)*G886),0)</f>
        <v>0</v>
      </c>
      <c r="L886" s="62">
        <f>IF(and(A886&lt;questions!$C$19,questions!$C$18="yes"),questions!$C$20,0)</f>
        <v>0</v>
      </c>
      <c r="M886" s="63">
        <f>(Y885+H886)*Lookup!A$26/12</f>
        <v>4889.870863</v>
      </c>
      <c r="N886" s="63">
        <f>if(B886&lt;55, (Z885+I886)*Lookup!B$26/12, (AB885+K886)*Lookup!B$26/12)</f>
        <v>12495.45699</v>
      </c>
      <c r="O886" s="63">
        <f>(AA885+J886)*Lookup!C$26/12</f>
        <v>940.3700287</v>
      </c>
      <c r="P886" s="63">
        <f t="shared" si="8"/>
        <v>48898.70863</v>
      </c>
      <c r="Q886" s="63">
        <f t="shared" si="4"/>
        <v>124954.5699</v>
      </c>
      <c r="R886" s="63">
        <f t="shared" si="5"/>
        <v>9403.700287</v>
      </c>
      <c r="S886" s="64">
        <f t="shared" si="9"/>
        <v>33.33333333</v>
      </c>
      <c r="T886" s="64">
        <f t="shared" si="10"/>
        <v>41.66666667</v>
      </c>
      <c r="U886" s="64">
        <f t="shared" si="11"/>
        <v>0</v>
      </c>
      <c r="V886" s="64">
        <f t="shared" ref="V886:X886" si="894">IF(year($A886)=year($A885), V885+S886, S886)</f>
        <v>333.3333333</v>
      </c>
      <c r="W886" s="64">
        <f t="shared" si="894"/>
        <v>416.6666667</v>
      </c>
      <c r="X886" s="64">
        <f t="shared" si="894"/>
        <v>0</v>
      </c>
      <c r="Y886" s="65">
        <f>IFS(
  B886&lt;55,
    MAX(
      Y885 + IF(MONTH(A886)=12, P886+V886, 0) + H886 - L886
      + MAX(0,
          IF(AA885 &gt;= VLOOKUP(YEAR(A886), Lookup!$Q:$R, 2),
            Z885 + IF(MONTH(A886)=12, Q886+W886, 0) + I886
              + AA885 + IF(MONTH(A886)=12, R886+X886, 0)
              - VLOOKUP(YEAR(A886), Lookup!$Q:$R, 2) + J886,
            Z885 + IF(MONTH(A886)=12, Q886+W886, 0) + I886
          ) - VLOOKUP(YEAR(A886), Lookup!$K:$M, 3)
        ),
    0),
  B886=55,
    IF(Z885&gt;=AD886,
      MAX(Y885 + IF(MONTH(A886)=12, P886+V886, 0) + H886 - L886, 0),
      MAX(MAX(0, Y885-(AD886-Z885)) + IF(MONTH(A886)=12, P886+V886, 0) + H886 - L886, 0)
    ),
  B886&gt;55,
    IF(AB885&gt;=$AH$7,
      MAX(Y885 + IF(MONTH(A886)=12, P886+V886, 0) + H886 - L886 + K886 + Z885, 0),
      MAX(Y885 + IF(MONTH(A886)=12, P886+V886, 0) + H886 - L886, 0)
    )
)</f>
        <v>2347138.014</v>
      </c>
      <c r="Z886" s="65">
        <f>IFS(
  B886&lt;55,
    MIN(
      IF(AA885 &gt;= VLOOKUP(YEAR(A886), Lookup!$Q:$R, 2),
        Z885 + IF(MONTH(A886)=12, Q886+W886, 0) + I886
          + AA885 + IF(MONTH(A886)=12, R886+X886, 0) - VLOOKUP(YEAR(A886), Lookup!$Q:$R, 2) + J886,
        Z885 + IF(MONTH(A886)=12, Q886+W886, 0) + I886
      ),
      VLOOKUP(YEAR(A886), Lookup!$K:$M, 3)
    ),
  B886=55,
    IF(Z885 &gt;= AD886, Z885 - AD886, 0),
  B886&gt;55, 0
)</f>
        <v>0</v>
      </c>
      <c r="AA886" s="65">
        <f>IFS(
  B886&lt;65,
    IF(AA885+J886 &lt; VLOOKUP(YEAR(A886), Lookup!$Q:$R, 2),
      AA885 + IF(MONTH(A886)=12, R885+X885, 0) + J886,
      MIN(
        AA885 + IF(MONTH(A886)=12, R885+X885, 0) + J886 ,
        VLOOKUP(YEAR(A886), Lookup!$Q:$R, 2)
      )
    ),
  B886&gt;=65,
    IF(AA885+J886 &lt; VLOOKUP(questions!$C$5, Lookup!$Q:$R, 2),
      AA885 + IF(MONTH(A886)=12, R885+X885, 0) + J886 ,
      MIN(
        AA885 + IF(MONTH(A886)=12, R885+X885, 0) + J886,
        VLOOKUP(questions!$C$5, Lookup!$Q:$R, 2)
      )
    )
)</f>
        <v>282111.0086</v>
      </c>
      <c r="AB886" s="65">
        <f t="shared" si="13"/>
        <v>3748637.098</v>
      </c>
      <c r="AC886" s="66">
        <f t="array" ref="AC886">IFS(B886&lt;66, XLOOKUP(year(A886),Lookup!$K$13:$K1000,Lookup!$L$13:$L1000,"missing",,1),B886&gt;65,XLOOKUP(questions!$C$5,Lookup!$K$13:$K1000,Lookup!$L$13:$L1000,"missing",,1))</f>
        <v>393675.3633</v>
      </c>
      <c r="AD886" s="66">
        <f t="array" ref="AD886">IFS(B886&lt;66, XLOOKUP(year(A886),Lookup!$K$13:$K1000,Lookup!$M$13:$M1000,"missing",,1),B886&gt;65, XLOOKUP(questions!$C$5,Lookup!$K$13:$K1000,Lookup!$M$13:$M1000,"missing",,1))</f>
        <v>787350.7266</v>
      </c>
      <c r="AE886" s="66">
        <f t="array" ref="AE886">IFS(B886&lt;66, XLOOKUP(year(A886),Lookup!$K$13:$K1000,Lookup!$N$13:$N1000,"missing",,1),B886&gt;65,XLOOKUP(questions!$C$5,Lookup!$K$13:$K1000,Lookup!$N$13:$N1000,"missing",,1))</f>
        <v>1574701.453</v>
      </c>
      <c r="AF886" s="37"/>
      <c r="AG886" s="37"/>
      <c r="AH886" s="37"/>
      <c r="AI886" s="37"/>
      <c r="AJ886" s="37"/>
      <c r="AK886" s="37"/>
      <c r="AL886" s="37"/>
      <c r="AM886" s="37"/>
      <c r="AN886" s="37"/>
      <c r="AO886" s="37"/>
      <c r="AP886" s="37"/>
      <c r="AQ886" s="37"/>
    </row>
    <row r="887">
      <c r="A887" s="55">
        <f t="shared" si="7"/>
        <v>73019</v>
      </c>
      <c r="B887" s="56">
        <f>round(YEARFRAC(EOMONTH(questions!$C$3, 0),A887,1),2)</f>
        <v>101</v>
      </c>
      <c r="C887" s="58">
        <f>IF(B887&lt;questions!$C$6,if(MONTH(A887)=1,C886*(1+questions!$C$12),C886),0)</f>
        <v>0</v>
      </c>
      <c r="D887" s="58">
        <f>IF(MONTH(A887)=12,C887*questions!$C$11,0)</f>
        <v>0</v>
      </c>
      <c r="E887" s="71">
        <f t="shared" si="2"/>
        <v>0</v>
      </c>
      <c r="F887" s="71">
        <f t="shared" si="3"/>
        <v>0</v>
      </c>
      <c r="G887" s="61">
        <f t="array" ref="G887">if(YEAR(A887)=2025,XLOOKUP(B887,Lookup!$A$3:$A$7,Lookup!$D$3:$D$7,,1)*SUM(E887:F887), XLOOKUP(B887,Lookup!$A$14:$A$18,Lookup!$D$14:$D$18,,1)*SUM(E887:F887))</f>
        <v>0</v>
      </c>
      <c r="H887" s="61">
        <f t="array" ref="H887">if(YEAR(A887)=2025,XLOOKUP(B887,Lookup!$F$3:$F$10,Lookup!$G$3:$G$10,,1)*G887, XLOOKUP(B887,Lookup!$F$14:$F$21,Lookup!$G$14:$G$21,,1)*G887)</f>
        <v>0</v>
      </c>
      <c r="I887" s="61">
        <f t="array" ref="I887">if(B887&lt;55, if(YEAR(A887)=2025,XLOOKUP(B887,Lookup!$F$3:$F$10,Lookup!$H$3:$H$10,,1)*G887, XLOOKUP(B887,Lookup!$F$14:$F$21,Lookup!$H$14:$H$21,,1)*G887),0)</f>
        <v>0</v>
      </c>
      <c r="J887" s="61">
        <f t="array" ref="J887">if(YEAR(A887)=2025,XLOOKUP(B887,Lookup!$F$3:$F$10,Lookup!$I$3:$I$10,,1)*G887, XLOOKUP(B887,Lookup!$F$14:$F$21,Lookup!$I$14:$I$21,,1)*G887)</f>
        <v>0</v>
      </c>
      <c r="K887" s="61">
        <f t="array" ref="K887">if(B887&gt;54, if(YEAR(A887)=2025,XLOOKUP(B887,Lookup!$F$3:$F$10,Lookup!$H$3:$H$10,,1)*G887, XLOOKUP(B887,Lookup!$F$14:$F$21,Lookup!$H$14:$H$21,,1)*G887),0)</f>
        <v>0</v>
      </c>
      <c r="L887" s="62">
        <f>IF(and(A887&lt;questions!$C$19,questions!$C$18="yes"),questions!$C$20,0)</f>
        <v>0</v>
      </c>
      <c r="M887" s="63">
        <f>(Y886+H887)*Lookup!A$26/12</f>
        <v>4889.870863</v>
      </c>
      <c r="N887" s="63">
        <f>if(B887&lt;55, (Z886+I887)*Lookup!B$26/12, (AB886+K887)*Lookup!B$26/12)</f>
        <v>12495.45699</v>
      </c>
      <c r="O887" s="63">
        <f>(AA886+J887)*Lookup!C$26/12</f>
        <v>940.3700287</v>
      </c>
      <c r="P887" s="63">
        <f t="shared" si="8"/>
        <v>53788.57949</v>
      </c>
      <c r="Q887" s="63">
        <f t="shared" si="4"/>
        <v>137450.0269</v>
      </c>
      <c r="R887" s="63">
        <f t="shared" si="5"/>
        <v>10344.07032</v>
      </c>
      <c r="S887" s="64">
        <f t="shared" si="9"/>
        <v>33.33333333</v>
      </c>
      <c r="T887" s="64">
        <f t="shared" si="10"/>
        <v>41.66666667</v>
      </c>
      <c r="U887" s="64">
        <f t="shared" si="11"/>
        <v>0</v>
      </c>
      <c r="V887" s="64">
        <f t="shared" ref="V887:X887" si="895">IF(year($A887)=year($A886), V886+S887, S887)</f>
        <v>366.6666667</v>
      </c>
      <c r="W887" s="64">
        <f t="shared" si="895"/>
        <v>458.3333333</v>
      </c>
      <c r="X887" s="64">
        <f t="shared" si="895"/>
        <v>0</v>
      </c>
      <c r="Y887" s="65">
        <f>IFS(
  B887&lt;55,
    MAX(
      Y886 + IF(MONTH(A887)=12, P887+V887, 0) + H887 - L887
      + MAX(0,
          IF(AA886 &gt;= VLOOKUP(YEAR(A887), Lookup!$Q:$R, 2),
            Z886 + IF(MONTH(A887)=12, Q887+W887, 0) + I887
              + AA886 + IF(MONTH(A887)=12, R887+X887, 0)
              - VLOOKUP(YEAR(A887), Lookup!$Q:$R, 2) + J887,
            Z886 + IF(MONTH(A887)=12, Q887+W887, 0) + I887
          ) - VLOOKUP(YEAR(A887), Lookup!$K:$M, 3)
        ),
    0),
  B887=55,
    IF(Z886&gt;=AD887,
      MAX(Y886 + IF(MONTH(A887)=12, P887+V887, 0) + H887 - L887, 0),
      MAX(MAX(0, Y886-(AD887-Z886)) + IF(MONTH(A887)=12, P887+V887, 0) + H887 - L887, 0)
    ),
  B887&gt;55,
    IF(AB886&gt;=$AH$7,
      MAX(Y886 + IF(MONTH(A887)=12, P887+V887, 0) + H887 - L887 + K887 + Z886, 0),
      MAX(Y886 + IF(MONTH(A887)=12, P887+V887, 0) + H887 - L887, 0)
    )
)</f>
        <v>2347138.014</v>
      </c>
      <c r="Z887" s="65">
        <f>IFS(
  B887&lt;55,
    MIN(
      IF(AA886 &gt;= VLOOKUP(YEAR(A887), Lookup!$Q:$R, 2),
        Z886 + IF(MONTH(A887)=12, Q887+W887, 0) + I887
          + AA886 + IF(MONTH(A887)=12, R887+X887, 0) - VLOOKUP(YEAR(A887), Lookup!$Q:$R, 2) + J887,
        Z886 + IF(MONTH(A887)=12, Q887+W887, 0) + I887
      ),
      VLOOKUP(YEAR(A887), Lookup!$K:$M, 3)
    ),
  B887=55,
    IF(Z886 &gt;= AD887, Z886 - AD887, 0),
  B887&gt;55, 0
)</f>
        <v>0</v>
      </c>
      <c r="AA887" s="65">
        <f>IFS(
  B887&lt;65,
    IF(AA886+J887 &lt; VLOOKUP(YEAR(A887), Lookup!$Q:$R, 2),
      AA886 + IF(MONTH(A887)=12, R886+X886, 0) + J887,
      MIN(
        AA886 + IF(MONTH(A887)=12, R886+X886, 0) + J887 ,
        VLOOKUP(YEAR(A887), Lookup!$Q:$R, 2)
      )
    ),
  B887&gt;=65,
    IF(AA886+J887 &lt; VLOOKUP(questions!$C$5, Lookup!$Q:$R, 2),
      AA886 + IF(MONTH(A887)=12, R886+X886, 0) + J887 ,
      MIN(
        AA886 + IF(MONTH(A887)=12, R886+X886, 0) + J887,
        VLOOKUP(questions!$C$5, Lookup!$Q:$R, 2)
      )
    )
)</f>
        <v>282111.0086</v>
      </c>
      <c r="AB887" s="65">
        <f t="shared" si="13"/>
        <v>3748637.098</v>
      </c>
      <c r="AC887" s="66">
        <f t="array" ref="AC887">IFS(B887&lt;66, XLOOKUP(year(A887),Lookup!$K$13:$K1000,Lookup!$L$13:$L1000,"missing",,1),B887&gt;65,XLOOKUP(questions!$C$5,Lookup!$K$13:$K1000,Lookup!$L$13:$L1000,"missing",,1))</f>
        <v>393675.3633</v>
      </c>
      <c r="AD887" s="66">
        <f t="array" ref="AD887">IFS(B887&lt;66, XLOOKUP(year(A887),Lookup!$K$13:$K1000,Lookup!$M$13:$M1000,"missing",,1),B887&gt;65, XLOOKUP(questions!$C$5,Lookup!$K$13:$K1000,Lookup!$M$13:$M1000,"missing",,1))</f>
        <v>787350.7266</v>
      </c>
      <c r="AE887" s="66">
        <f t="array" ref="AE887">IFS(B887&lt;66, XLOOKUP(year(A887),Lookup!$K$13:$K1000,Lookup!$N$13:$N1000,"missing",,1),B887&gt;65,XLOOKUP(questions!$C$5,Lookup!$K$13:$K1000,Lookup!$N$13:$N1000,"missing",,1))</f>
        <v>1574701.453</v>
      </c>
      <c r="AF887" s="37"/>
      <c r="AG887" s="37"/>
      <c r="AH887" s="37"/>
      <c r="AI887" s="37"/>
      <c r="AJ887" s="37"/>
      <c r="AK887" s="37"/>
      <c r="AL887" s="37"/>
      <c r="AM887" s="37"/>
      <c r="AN887" s="37"/>
      <c r="AO887" s="37"/>
      <c r="AP887" s="37"/>
      <c r="AQ887" s="37"/>
    </row>
    <row r="888">
      <c r="A888" s="55">
        <f t="shared" si="7"/>
        <v>73050</v>
      </c>
      <c r="B888" s="56">
        <f>round(YEARFRAC(EOMONTH(questions!$C$3, 0),A888,1),2)</f>
        <v>101.08</v>
      </c>
      <c r="C888" s="58">
        <f>IF(B888&lt;questions!$C$6,if(MONTH(A888)=1,C887*(1+questions!$C$12),C887),0)</f>
        <v>0</v>
      </c>
      <c r="D888" s="58">
        <f>IF(MONTH(A888)=12,C888*questions!$C$11,0)</f>
        <v>0</v>
      </c>
      <c r="E888" s="71">
        <f t="shared" si="2"/>
        <v>0</v>
      </c>
      <c r="F888" s="71">
        <f t="shared" si="3"/>
        <v>0</v>
      </c>
      <c r="G888" s="61">
        <f t="array" ref="G888">if(YEAR(A888)=2025,XLOOKUP(B888,Lookup!$A$3:$A$7,Lookup!$D$3:$D$7,,1)*SUM(E888:F888), XLOOKUP(B888,Lookup!$A$14:$A$18,Lookup!$D$14:$D$18,,1)*SUM(E888:F888))</f>
        <v>0</v>
      </c>
      <c r="H888" s="61">
        <f t="array" ref="H888">if(YEAR(A888)=2025,XLOOKUP(B888,Lookup!$F$3:$F$10,Lookup!$G$3:$G$10,,1)*G888, XLOOKUP(B888,Lookup!$F$14:$F$21,Lookup!$G$14:$G$21,,1)*G888)</f>
        <v>0</v>
      </c>
      <c r="I888" s="61">
        <f t="array" ref="I888">if(B888&lt;55, if(YEAR(A888)=2025,XLOOKUP(B888,Lookup!$F$3:$F$10,Lookup!$H$3:$H$10,,1)*G888, XLOOKUP(B888,Lookup!$F$14:$F$21,Lookup!$H$14:$H$21,,1)*G888),0)</f>
        <v>0</v>
      </c>
      <c r="J888" s="61">
        <f t="array" ref="J888">if(YEAR(A888)=2025,XLOOKUP(B888,Lookup!$F$3:$F$10,Lookup!$I$3:$I$10,,1)*G888, XLOOKUP(B888,Lookup!$F$14:$F$21,Lookup!$I$14:$I$21,,1)*G888)</f>
        <v>0</v>
      </c>
      <c r="K888" s="61">
        <f t="array" ref="K888">if(B888&gt;54, if(YEAR(A888)=2025,XLOOKUP(B888,Lookup!$F$3:$F$10,Lookup!$H$3:$H$10,,1)*G888, XLOOKUP(B888,Lookup!$F$14:$F$21,Lookup!$H$14:$H$21,,1)*G888),0)</f>
        <v>0</v>
      </c>
      <c r="L888" s="62">
        <f>IF(and(A888&lt;questions!$C$19,questions!$C$18="yes"),questions!$C$20,0)</f>
        <v>0</v>
      </c>
      <c r="M888" s="63">
        <f>(Y887+H888)*Lookup!A$26/12</f>
        <v>4889.870863</v>
      </c>
      <c r="N888" s="63">
        <f>if(B888&lt;55, (Z887+I888)*Lookup!B$26/12, (AB887+K888)*Lookup!B$26/12)</f>
        <v>12495.45699</v>
      </c>
      <c r="O888" s="63">
        <f>(AA887+J888)*Lookup!C$26/12</f>
        <v>940.3700287</v>
      </c>
      <c r="P888" s="63">
        <f t="shared" si="8"/>
        <v>58678.45035</v>
      </c>
      <c r="Q888" s="63">
        <f t="shared" si="4"/>
        <v>149945.4839</v>
      </c>
      <c r="R888" s="63">
        <f t="shared" si="5"/>
        <v>11284.44034</v>
      </c>
      <c r="S888" s="64">
        <f t="shared" si="9"/>
        <v>33.33333333</v>
      </c>
      <c r="T888" s="64">
        <f t="shared" si="10"/>
        <v>41.66666667</v>
      </c>
      <c r="U888" s="64">
        <f t="shared" si="11"/>
        <v>0</v>
      </c>
      <c r="V888" s="64">
        <f t="shared" ref="V888:X888" si="896">IF(year($A888)=year($A887), V887+S888, S888)</f>
        <v>400</v>
      </c>
      <c r="W888" s="64">
        <f t="shared" si="896"/>
        <v>500</v>
      </c>
      <c r="X888" s="64">
        <f t="shared" si="896"/>
        <v>0</v>
      </c>
      <c r="Y888" s="65">
        <f>IFS(
  B888&lt;55,
    MAX(
      Y887 + IF(MONTH(A888)=12, P888+V888, 0) + H888 - L888
      + MAX(0,
          IF(AA887 &gt;= VLOOKUP(YEAR(A888), Lookup!$Q:$R, 2),
            Z887 + IF(MONTH(A888)=12, Q888+W888, 0) + I888
              + AA887 + IF(MONTH(A888)=12, R888+X888, 0)
              - VLOOKUP(YEAR(A888), Lookup!$Q:$R, 2) + J888,
            Z887 + IF(MONTH(A888)=12, Q888+W888, 0) + I888
          ) - VLOOKUP(YEAR(A888), Lookup!$K:$M, 3)
        ),
    0),
  B888=55,
    IF(Z887&gt;=AD888,
      MAX(Y887 + IF(MONTH(A888)=12, P888+V888, 0) + H888 - L888, 0),
      MAX(MAX(0, Y887-(AD888-Z887)) + IF(MONTH(A888)=12, P888+V888, 0) + H888 - L888, 0)
    ),
  B888&gt;55,
    IF(AB887&gt;=$AH$7,
      MAX(Y887 + IF(MONTH(A888)=12, P888+V888, 0) + H888 - L888 + K888 + Z887, 0),
      MAX(Y887 + IF(MONTH(A888)=12, P888+V888, 0) + H888 - L888, 0)
    )
)</f>
        <v>2406216.464</v>
      </c>
      <c r="Z888" s="65">
        <f>IFS(
  B888&lt;55,
    MIN(
      IF(AA887 &gt;= VLOOKUP(YEAR(A888), Lookup!$Q:$R, 2),
        Z887 + IF(MONTH(A888)=12, Q888+W888, 0) + I888
          + AA887 + IF(MONTH(A888)=12, R888+X888, 0) - VLOOKUP(YEAR(A888), Lookup!$Q:$R, 2) + J888,
        Z887 + IF(MONTH(A888)=12, Q888+W888, 0) + I888
      ),
      VLOOKUP(YEAR(A888), Lookup!$K:$M, 3)
    ),
  B888=55,
    IF(Z887 &gt;= AD888, Z887 - AD888, 0),
  B888&gt;55, 0
)</f>
        <v>0</v>
      </c>
      <c r="AA888" s="65">
        <f>IFS(
  B888&lt;65,
    IF(AA887+J888 &lt; VLOOKUP(YEAR(A888), Lookup!$Q:$R, 2),
      AA887 + IF(MONTH(A888)=12, R887+X887, 0) + J888,
      MIN(
        AA887 + IF(MONTH(A888)=12, R887+X887, 0) + J888 ,
        VLOOKUP(YEAR(A888), Lookup!$Q:$R, 2)
      )
    ),
  B888&gt;=65,
    IF(AA887+J888 &lt; VLOOKUP(questions!$C$5, Lookup!$Q:$R, 2),
      AA887 + IF(MONTH(A888)=12, R887+X887, 0) + J888 ,
      MIN(
        AA887 + IF(MONTH(A888)=12, R887+X887, 0) + J888,
        VLOOKUP(questions!$C$5, Lookup!$Q:$R, 2)
      )
    )
)</f>
        <v>282111.0086</v>
      </c>
      <c r="AB888" s="65">
        <f t="shared" si="13"/>
        <v>3899082.582</v>
      </c>
      <c r="AC888" s="66">
        <f t="array" ref="AC888">IFS(B888&lt;66, XLOOKUP(year(A888),Lookup!$K$13:$K1000,Lookup!$L$13:$L1000,"missing",,1),B888&gt;65,XLOOKUP(questions!$C$5,Lookup!$K$13:$K1000,Lookup!$L$13:$L1000,"missing",,1))</f>
        <v>393675.3633</v>
      </c>
      <c r="AD888" s="66">
        <f t="array" ref="AD888">IFS(B888&lt;66, XLOOKUP(year(A888),Lookup!$K$13:$K1000,Lookup!$M$13:$M1000,"missing",,1),B888&gt;65, XLOOKUP(questions!$C$5,Lookup!$K$13:$K1000,Lookup!$M$13:$M1000,"missing",,1))</f>
        <v>787350.7266</v>
      </c>
      <c r="AE888" s="66">
        <f t="array" ref="AE888">IFS(B888&lt;66, XLOOKUP(year(A888),Lookup!$K$13:$K1000,Lookup!$N$13:$N1000,"missing",,1),B888&gt;65,XLOOKUP(questions!$C$5,Lookup!$K$13:$K1000,Lookup!$N$13:$N1000,"missing",,1))</f>
        <v>1574701.453</v>
      </c>
      <c r="AF888" s="37"/>
      <c r="AG888" s="37"/>
      <c r="AH888" s="37"/>
      <c r="AI888" s="37"/>
      <c r="AJ888" s="37"/>
      <c r="AK888" s="37"/>
      <c r="AL888" s="37"/>
      <c r="AM888" s="37"/>
      <c r="AN888" s="37"/>
      <c r="AO888" s="37"/>
      <c r="AP888" s="37"/>
      <c r="AQ888" s="37"/>
    </row>
    <row r="889">
      <c r="A889" s="55">
        <f t="shared" si="7"/>
        <v>73081</v>
      </c>
      <c r="B889" s="56">
        <f>round(YEARFRAC(EOMONTH(questions!$C$3, 0),A889,1),2)</f>
        <v>101.17</v>
      </c>
      <c r="C889" s="58">
        <f>IF(B889&lt;questions!$C$6,if(MONTH(A889)=1,C888*(1+questions!$C$12),C888),0)</f>
        <v>0</v>
      </c>
      <c r="D889" s="58">
        <f>IF(MONTH(A889)=12,C889*questions!$C$11,0)</f>
        <v>0</v>
      </c>
      <c r="E889" s="71">
        <f t="shared" si="2"/>
        <v>0</v>
      </c>
      <c r="F889" s="71">
        <f t="shared" si="3"/>
        <v>0</v>
      </c>
      <c r="G889" s="61">
        <f t="array" ref="G889">if(YEAR(A889)=2025,XLOOKUP(B889,Lookup!$A$3:$A$7,Lookup!$D$3:$D$7,,1)*SUM(E889:F889), XLOOKUP(B889,Lookup!$A$14:$A$18,Lookup!$D$14:$D$18,,1)*SUM(E889:F889))</f>
        <v>0</v>
      </c>
      <c r="H889" s="61">
        <f t="array" ref="H889">if(YEAR(A889)=2025,XLOOKUP(B889,Lookup!$F$3:$F$10,Lookup!$G$3:$G$10,,1)*G889, XLOOKUP(B889,Lookup!$F$14:$F$21,Lookup!$G$14:$G$21,,1)*G889)</f>
        <v>0</v>
      </c>
      <c r="I889" s="61">
        <f t="array" ref="I889">if(B889&lt;55, if(YEAR(A889)=2025,XLOOKUP(B889,Lookup!$F$3:$F$10,Lookup!$H$3:$H$10,,1)*G889, XLOOKUP(B889,Lookup!$F$14:$F$21,Lookup!$H$14:$H$21,,1)*G889),0)</f>
        <v>0</v>
      </c>
      <c r="J889" s="61">
        <f t="array" ref="J889">if(YEAR(A889)=2025,XLOOKUP(B889,Lookup!$F$3:$F$10,Lookup!$I$3:$I$10,,1)*G889, XLOOKUP(B889,Lookup!$F$14:$F$21,Lookup!$I$14:$I$21,,1)*G889)</f>
        <v>0</v>
      </c>
      <c r="K889" s="61">
        <f t="array" ref="K889">if(B889&gt;54, if(YEAR(A889)=2025,XLOOKUP(B889,Lookup!$F$3:$F$10,Lookup!$H$3:$H$10,,1)*G889, XLOOKUP(B889,Lookup!$F$14:$F$21,Lookup!$H$14:$H$21,,1)*G889),0)</f>
        <v>0</v>
      </c>
      <c r="L889" s="62">
        <f>IF(and(A889&lt;questions!$C$19,questions!$C$18="yes"),questions!$C$20,0)</f>
        <v>0</v>
      </c>
      <c r="M889" s="63">
        <f>(Y888+H889)*Lookup!A$26/12</f>
        <v>5012.950967</v>
      </c>
      <c r="N889" s="63">
        <f>if(B889&lt;55, (Z888+I889)*Lookup!B$26/12, (AB888+K889)*Lookup!B$26/12)</f>
        <v>12996.94194</v>
      </c>
      <c r="O889" s="63">
        <f>(AA888+J889)*Lookup!C$26/12</f>
        <v>940.3700287</v>
      </c>
      <c r="P889" s="63">
        <f t="shared" si="8"/>
        <v>5012.950967</v>
      </c>
      <c r="Q889" s="63">
        <f t="shared" si="4"/>
        <v>12996.94194</v>
      </c>
      <c r="R889" s="63">
        <f t="shared" si="5"/>
        <v>940.3700287</v>
      </c>
      <c r="S889" s="64">
        <f t="shared" si="9"/>
        <v>33.33333333</v>
      </c>
      <c r="T889" s="64">
        <f t="shared" si="10"/>
        <v>41.66666667</v>
      </c>
      <c r="U889" s="64">
        <f t="shared" si="11"/>
        <v>0</v>
      </c>
      <c r="V889" s="64">
        <f t="shared" ref="V889:X889" si="897">IF(year($A889)=year($A888), V888+S889, S889)</f>
        <v>33.33333333</v>
      </c>
      <c r="W889" s="64">
        <f t="shared" si="897"/>
        <v>41.66666667</v>
      </c>
      <c r="X889" s="64">
        <f t="shared" si="897"/>
        <v>0</v>
      </c>
      <c r="Y889" s="65">
        <f>IFS(
  B889&lt;55,
    MAX(
      Y888 + IF(MONTH(A889)=12, P889+V889, 0) + H889 - L889
      + MAX(0,
          IF(AA888 &gt;= VLOOKUP(YEAR(A889), Lookup!$Q:$R, 2),
            Z888 + IF(MONTH(A889)=12, Q889+W889, 0) + I889
              + AA888 + IF(MONTH(A889)=12, R889+X889, 0)
              - VLOOKUP(YEAR(A889), Lookup!$Q:$R, 2) + J889,
            Z888 + IF(MONTH(A889)=12, Q889+W889, 0) + I889
          ) - VLOOKUP(YEAR(A889), Lookup!$K:$M, 3)
        ),
    0),
  B889=55,
    IF(Z888&gt;=AD889,
      MAX(Y888 + IF(MONTH(A889)=12, P889+V889, 0) + H889 - L889, 0),
      MAX(MAX(0, Y888-(AD889-Z888)) + IF(MONTH(A889)=12, P889+V889, 0) + H889 - L889, 0)
    ),
  B889&gt;55,
    IF(AB888&gt;=$AH$7,
      MAX(Y888 + IF(MONTH(A889)=12, P889+V889, 0) + H889 - L889 + K889 + Z888, 0),
      MAX(Y888 + IF(MONTH(A889)=12, P889+V889, 0) + H889 - L889, 0)
    )
)</f>
        <v>2406216.464</v>
      </c>
      <c r="Z889" s="65">
        <f>IFS(
  B889&lt;55,
    MIN(
      IF(AA888 &gt;= VLOOKUP(YEAR(A889), Lookup!$Q:$R, 2),
        Z888 + IF(MONTH(A889)=12, Q889+W889, 0) + I889
          + AA888 + IF(MONTH(A889)=12, R889+X889, 0) - VLOOKUP(YEAR(A889), Lookup!$Q:$R, 2) + J889,
        Z888 + IF(MONTH(A889)=12, Q889+W889, 0) + I889
      ),
      VLOOKUP(YEAR(A889), Lookup!$K:$M, 3)
    ),
  B889=55,
    IF(Z888 &gt;= AD889, Z888 - AD889, 0),
  B889&gt;55, 0
)</f>
        <v>0</v>
      </c>
      <c r="AA889" s="65">
        <f>IFS(
  B889&lt;65,
    IF(AA888+J889 &lt; VLOOKUP(YEAR(A889), Lookup!$Q:$R, 2),
      AA888 + IF(MONTH(A889)=12, R888+X888, 0) + J889,
      MIN(
        AA888 + IF(MONTH(A889)=12, R888+X888, 0) + J889 ,
        VLOOKUP(YEAR(A889), Lookup!$Q:$R, 2)
      )
    ),
  B889&gt;=65,
    IF(AA888+J889 &lt; VLOOKUP(questions!$C$5, Lookup!$Q:$R, 2),
      AA888 + IF(MONTH(A889)=12, R888+X888, 0) + J889 ,
      MIN(
        AA888 + IF(MONTH(A889)=12, R888+X888, 0) + J889,
        VLOOKUP(questions!$C$5, Lookup!$Q:$R, 2)
      )
    )
)</f>
        <v>282111.0086</v>
      </c>
      <c r="AB889" s="65">
        <f t="shared" si="13"/>
        <v>3899082.582</v>
      </c>
      <c r="AC889" s="66">
        <f t="array" ref="AC889">IFS(B889&lt;66, XLOOKUP(year(A889),Lookup!$K$13:$K1000,Lookup!$L$13:$L1000,"missing",,1),B889&gt;65,XLOOKUP(questions!$C$5,Lookup!$K$13:$K1000,Lookup!$L$13:$L1000,"missing",,1))</f>
        <v>393675.3633</v>
      </c>
      <c r="AD889" s="66">
        <f t="array" ref="AD889">IFS(B889&lt;66, XLOOKUP(year(A889),Lookup!$K$13:$K1000,Lookup!$M$13:$M1000,"missing",,1),B889&gt;65, XLOOKUP(questions!$C$5,Lookup!$K$13:$K1000,Lookup!$M$13:$M1000,"missing",,1))</f>
        <v>787350.7266</v>
      </c>
      <c r="AE889" s="66">
        <f t="array" ref="AE889">IFS(B889&lt;66, XLOOKUP(year(A889),Lookup!$K$13:$K1000,Lookup!$N$13:$N1000,"missing",,1),B889&gt;65,XLOOKUP(questions!$C$5,Lookup!$K$13:$K1000,Lookup!$N$13:$N1000,"missing",,1))</f>
        <v>1574701.453</v>
      </c>
      <c r="AF889" s="37"/>
      <c r="AG889" s="37"/>
      <c r="AH889" s="37"/>
      <c r="AI889" s="37"/>
      <c r="AJ889" s="37"/>
      <c r="AK889" s="37"/>
      <c r="AL889" s="37"/>
      <c r="AM889" s="37"/>
      <c r="AN889" s="37"/>
      <c r="AO889" s="37"/>
      <c r="AP889" s="37"/>
      <c r="AQ889" s="37"/>
    </row>
    <row r="890">
      <c r="A890" s="55">
        <f t="shared" si="7"/>
        <v>73109</v>
      </c>
      <c r="B890" s="56">
        <f>round(YEARFRAC(EOMONTH(questions!$C$3, 0),A890,1),2)</f>
        <v>101.25</v>
      </c>
      <c r="C890" s="58">
        <f>IF(B890&lt;questions!$C$6,if(MONTH(A890)=1,C889*(1+questions!$C$12),C889),0)</f>
        <v>0</v>
      </c>
      <c r="D890" s="58">
        <f>IF(MONTH(A890)=12,C890*questions!$C$11,0)</f>
        <v>0</v>
      </c>
      <c r="E890" s="71">
        <f t="shared" si="2"/>
        <v>0</v>
      </c>
      <c r="F890" s="71">
        <f t="shared" si="3"/>
        <v>0</v>
      </c>
      <c r="G890" s="61">
        <f t="array" ref="G890">if(YEAR(A890)=2025,XLOOKUP(B890,Lookup!$A$3:$A$7,Lookup!$D$3:$D$7,,1)*SUM(E890:F890), XLOOKUP(B890,Lookup!$A$14:$A$18,Lookup!$D$14:$D$18,,1)*SUM(E890:F890))</f>
        <v>0</v>
      </c>
      <c r="H890" s="61">
        <f t="array" ref="H890">if(YEAR(A890)=2025,XLOOKUP(B890,Lookup!$F$3:$F$10,Lookup!$G$3:$G$10,,1)*G890, XLOOKUP(B890,Lookup!$F$14:$F$21,Lookup!$G$14:$G$21,,1)*G890)</f>
        <v>0</v>
      </c>
      <c r="I890" s="61">
        <f t="array" ref="I890">if(B890&lt;55, if(YEAR(A890)=2025,XLOOKUP(B890,Lookup!$F$3:$F$10,Lookup!$H$3:$H$10,,1)*G890, XLOOKUP(B890,Lookup!$F$14:$F$21,Lookup!$H$14:$H$21,,1)*G890),0)</f>
        <v>0</v>
      </c>
      <c r="J890" s="61">
        <f t="array" ref="J890">if(YEAR(A890)=2025,XLOOKUP(B890,Lookup!$F$3:$F$10,Lookup!$I$3:$I$10,,1)*G890, XLOOKUP(B890,Lookup!$F$14:$F$21,Lookup!$I$14:$I$21,,1)*G890)</f>
        <v>0</v>
      </c>
      <c r="K890" s="61">
        <f t="array" ref="K890">if(B890&gt;54, if(YEAR(A890)=2025,XLOOKUP(B890,Lookup!$F$3:$F$10,Lookup!$H$3:$H$10,,1)*G890, XLOOKUP(B890,Lookup!$F$14:$F$21,Lookup!$H$14:$H$21,,1)*G890),0)</f>
        <v>0</v>
      </c>
      <c r="L890" s="62">
        <f>IF(and(A890&lt;questions!$C$19,questions!$C$18="yes"),questions!$C$20,0)</f>
        <v>0</v>
      </c>
      <c r="M890" s="63">
        <f>(Y889+H890)*Lookup!A$26/12</f>
        <v>5012.950967</v>
      </c>
      <c r="N890" s="63">
        <f>if(B890&lt;55, (Z889+I890)*Lookup!B$26/12, (AB889+K890)*Lookup!B$26/12)</f>
        <v>12996.94194</v>
      </c>
      <c r="O890" s="63">
        <f>(AA889+J890)*Lookup!C$26/12</f>
        <v>940.3700287</v>
      </c>
      <c r="P890" s="63">
        <f t="shared" si="8"/>
        <v>10025.90193</v>
      </c>
      <c r="Q890" s="63">
        <f t="shared" si="4"/>
        <v>25993.88388</v>
      </c>
      <c r="R890" s="63">
        <f t="shared" si="5"/>
        <v>1880.740057</v>
      </c>
      <c r="S890" s="64">
        <f t="shared" si="9"/>
        <v>33.33333333</v>
      </c>
      <c r="T890" s="64">
        <f t="shared" si="10"/>
        <v>41.66666667</v>
      </c>
      <c r="U890" s="64">
        <f t="shared" si="11"/>
        <v>0</v>
      </c>
      <c r="V890" s="64">
        <f t="shared" ref="V890:X890" si="898">IF(year($A890)=year($A889), V889+S890, S890)</f>
        <v>66.66666667</v>
      </c>
      <c r="W890" s="64">
        <f t="shared" si="898"/>
        <v>83.33333333</v>
      </c>
      <c r="X890" s="64">
        <f t="shared" si="898"/>
        <v>0</v>
      </c>
      <c r="Y890" s="65">
        <f>IFS(
  B890&lt;55,
    MAX(
      Y889 + IF(MONTH(A890)=12, P890+V890, 0) + H890 - L890
      + MAX(0,
          IF(AA889 &gt;= VLOOKUP(YEAR(A890), Lookup!$Q:$R, 2),
            Z889 + IF(MONTH(A890)=12, Q890+W890, 0) + I890
              + AA889 + IF(MONTH(A890)=12, R890+X890, 0)
              - VLOOKUP(YEAR(A890), Lookup!$Q:$R, 2) + J890,
            Z889 + IF(MONTH(A890)=12, Q890+W890, 0) + I890
          ) - VLOOKUP(YEAR(A890), Lookup!$K:$M, 3)
        ),
    0),
  B890=55,
    IF(Z889&gt;=AD890,
      MAX(Y889 + IF(MONTH(A890)=12, P890+V890, 0) + H890 - L890, 0),
      MAX(MAX(0, Y889-(AD890-Z889)) + IF(MONTH(A890)=12, P890+V890, 0) + H890 - L890, 0)
    ),
  B890&gt;55,
    IF(AB889&gt;=$AH$7,
      MAX(Y889 + IF(MONTH(A890)=12, P890+V890, 0) + H890 - L890 + K890 + Z889, 0),
      MAX(Y889 + IF(MONTH(A890)=12, P890+V890, 0) + H890 - L890, 0)
    )
)</f>
        <v>2406216.464</v>
      </c>
      <c r="Z890" s="65">
        <f>IFS(
  B890&lt;55,
    MIN(
      IF(AA889 &gt;= VLOOKUP(YEAR(A890), Lookup!$Q:$R, 2),
        Z889 + IF(MONTH(A890)=12, Q890+W890, 0) + I890
          + AA889 + IF(MONTH(A890)=12, R890+X890, 0) - VLOOKUP(YEAR(A890), Lookup!$Q:$R, 2) + J890,
        Z889 + IF(MONTH(A890)=12, Q890+W890, 0) + I890
      ),
      VLOOKUP(YEAR(A890), Lookup!$K:$M, 3)
    ),
  B890=55,
    IF(Z889 &gt;= AD890, Z889 - AD890, 0),
  B890&gt;55, 0
)</f>
        <v>0</v>
      </c>
      <c r="AA890" s="65">
        <f>IFS(
  B890&lt;65,
    IF(AA889+J890 &lt; VLOOKUP(YEAR(A890), Lookup!$Q:$R, 2),
      AA889 + IF(MONTH(A890)=12, R889+X889, 0) + J890,
      MIN(
        AA889 + IF(MONTH(A890)=12, R889+X889, 0) + J890 ,
        VLOOKUP(YEAR(A890), Lookup!$Q:$R, 2)
      )
    ),
  B890&gt;=65,
    IF(AA889+J890 &lt; VLOOKUP(questions!$C$5, Lookup!$Q:$R, 2),
      AA889 + IF(MONTH(A890)=12, R889+X889, 0) + J890 ,
      MIN(
        AA889 + IF(MONTH(A890)=12, R889+X889, 0) + J890,
        VLOOKUP(questions!$C$5, Lookup!$Q:$R, 2)
      )
    )
)</f>
        <v>282111.0086</v>
      </c>
      <c r="AB890" s="65">
        <f t="shared" si="13"/>
        <v>3899082.582</v>
      </c>
      <c r="AC890" s="66">
        <f t="array" ref="AC890">IFS(B890&lt;66, XLOOKUP(year(A890),Lookup!$K$13:$K1000,Lookup!$L$13:$L1000,"missing",,1),B890&gt;65,XLOOKUP(questions!$C$5,Lookup!$K$13:$K1000,Lookup!$L$13:$L1000,"missing",,1))</f>
        <v>393675.3633</v>
      </c>
      <c r="AD890" s="66">
        <f t="array" ref="AD890">IFS(B890&lt;66, XLOOKUP(year(A890),Lookup!$K$13:$K1000,Lookup!$M$13:$M1000,"missing",,1),B890&gt;65, XLOOKUP(questions!$C$5,Lookup!$K$13:$K1000,Lookup!$M$13:$M1000,"missing",,1))</f>
        <v>787350.7266</v>
      </c>
      <c r="AE890" s="66">
        <f t="array" ref="AE890">IFS(B890&lt;66, XLOOKUP(year(A890),Lookup!$K$13:$K1000,Lookup!$N$13:$N1000,"missing",,1),B890&gt;65,XLOOKUP(questions!$C$5,Lookup!$K$13:$K1000,Lookup!$N$13:$N1000,"missing",,1))</f>
        <v>1574701.453</v>
      </c>
      <c r="AF890" s="37"/>
      <c r="AG890" s="37"/>
      <c r="AH890" s="37"/>
      <c r="AI890" s="37"/>
      <c r="AJ890" s="37"/>
      <c r="AK890" s="37"/>
      <c r="AL890" s="37"/>
      <c r="AM890" s="37"/>
      <c r="AN890" s="37"/>
      <c r="AO890" s="37"/>
      <c r="AP890" s="37"/>
      <c r="AQ890" s="37"/>
    </row>
    <row r="891">
      <c r="A891" s="55">
        <f t="shared" si="7"/>
        <v>73140</v>
      </c>
      <c r="B891" s="56">
        <f>round(YEARFRAC(EOMONTH(questions!$C$3, 0),A891,1),2)</f>
        <v>101.33</v>
      </c>
      <c r="C891" s="58">
        <f>IF(B891&lt;questions!$C$6,if(MONTH(A891)=1,C890*(1+questions!$C$12),C890),0)</f>
        <v>0</v>
      </c>
      <c r="D891" s="58">
        <f>IF(MONTH(A891)=12,C891*questions!$C$11,0)</f>
        <v>0</v>
      </c>
      <c r="E891" s="71">
        <f t="shared" si="2"/>
        <v>0</v>
      </c>
      <c r="F891" s="71">
        <f t="shared" si="3"/>
        <v>0</v>
      </c>
      <c r="G891" s="61">
        <f t="array" ref="G891">if(YEAR(A891)=2025,XLOOKUP(B891,Lookup!$A$3:$A$7,Lookup!$D$3:$D$7,,1)*SUM(E891:F891), XLOOKUP(B891,Lookup!$A$14:$A$18,Lookup!$D$14:$D$18,,1)*SUM(E891:F891))</f>
        <v>0</v>
      </c>
      <c r="H891" s="61">
        <f t="array" ref="H891">if(YEAR(A891)=2025,XLOOKUP(B891,Lookup!$F$3:$F$10,Lookup!$G$3:$G$10,,1)*G891, XLOOKUP(B891,Lookup!$F$14:$F$21,Lookup!$G$14:$G$21,,1)*G891)</f>
        <v>0</v>
      </c>
      <c r="I891" s="61">
        <f t="array" ref="I891">if(B891&lt;55, if(YEAR(A891)=2025,XLOOKUP(B891,Lookup!$F$3:$F$10,Lookup!$H$3:$H$10,,1)*G891, XLOOKUP(B891,Lookup!$F$14:$F$21,Lookup!$H$14:$H$21,,1)*G891),0)</f>
        <v>0</v>
      </c>
      <c r="J891" s="61">
        <f t="array" ref="J891">if(YEAR(A891)=2025,XLOOKUP(B891,Lookup!$F$3:$F$10,Lookup!$I$3:$I$10,,1)*G891, XLOOKUP(B891,Lookup!$F$14:$F$21,Lookup!$I$14:$I$21,,1)*G891)</f>
        <v>0</v>
      </c>
      <c r="K891" s="61">
        <f t="array" ref="K891">if(B891&gt;54, if(YEAR(A891)=2025,XLOOKUP(B891,Lookup!$F$3:$F$10,Lookup!$H$3:$H$10,,1)*G891, XLOOKUP(B891,Lookup!$F$14:$F$21,Lookup!$H$14:$H$21,,1)*G891),0)</f>
        <v>0</v>
      </c>
      <c r="L891" s="62">
        <f>IF(and(A891&lt;questions!$C$19,questions!$C$18="yes"),questions!$C$20,0)</f>
        <v>0</v>
      </c>
      <c r="M891" s="63">
        <f>(Y890+H891)*Lookup!A$26/12</f>
        <v>5012.950967</v>
      </c>
      <c r="N891" s="63">
        <f>if(B891&lt;55, (Z890+I891)*Lookup!B$26/12, (AB890+K891)*Lookup!B$26/12)</f>
        <v>12996.94194</v>
      </c>
      <c r="O891" s="63">
        <f>(AA890+J891)*Lookup!C$26/12</f>
        <v>940.3700287</v>
      </c>
      <c r="P891" s="63">
        <f t="shared" si="8"/>
        <v>15038.8529</v>
      </c>
      <c r="Q891" s="63">
        <f t="shared" si="4"/>
        <v>38990.82582</v>
      </c>
      <c r="R891" s="63">
        <f t="shared" si="5"/>
        <v>2821.110086</v>
      </c>
      <c r="S891" s="64">
        <f t="shared" si="9"/>
        <v>33.33333333</v>
      </c>
      <c r="T891" s="64">
        <f t="shared" si="10"/>
        <v>41.66666667</v>
      </c>
      <c r="U891" s="64">
        <f t="shared" si="11"/>
        <v>0</v>
      </c>
      <c r="V891" s="64">
        <f t="shared" ref="V891:X891" si="899">IF(year($A891)=year($A890), V890+S891, S891)</f>
        <v>100</v>
      </c>
      <c r="W891" s="64">
        <f t="shared" si="899"/>
        <v>125</v>
      </c>
      <c r="X891" s="64">
        <f t="shared" si="899"/>
        <v>0</v>
      </c>
      <c r="Y891" s="65">
        <f>IFS(
  B891&lt;55,
    MAX(
      Y890 + IF(MONTH(A891)=12, P891+V891, 0) + H891 - L891
      + MAX(0,
          IF(AA890 &gt;= VLOOKUP(YEAR(A891), Lookup!$Q:$R, 2),
            Z890 + IF(MONTH(A891)=12, Q891+W891, 0) + I891
              + AA890 + IF(MONTH(A891)=12, R891+X891, 0)
              - VLOOKUP(YEAR(A891), Lookup!$Q:$R, 2) + J891,
            Z890 + IF(MONTH(A891)=12, Q891+W891, 0) + I891
          ) - VLOOKUP(YEAR(A891), Lookup!$K:$M, 3)
        ),
    0),
  B891=55,
    IF(Z890&gt;=AD891,
      MAX(Y890 + IF(MONTH(A891)=12, P891+V891, 0) + H891 - L891, 0),
      MAX(MAX(0, Y890-(AD891-Z890)) + IF(MONTH(A891)=12, P891+V891, 0) + H891 - L891, 0)
    ),
  B891&gt;55,
    IF(AB890&gt;=$AH$7,
      MAX(Y890 + IF(MONTH(A891)=12, P891+V891, 0) + H891 - L891 + K891 + Z890, 0),
      MAX(Y890 + IF(MONTH(A891)=12, P891+V891, 0) + H891 - L891, 0)
    )
)</f>
        <v>2406216.464</v>
      </c>
      <c r="Z891" s="65">
        <f>IFS(
  B891&lt;55,
    MIN(
      IF(AA890 &gt;= VLOOKUP(YEAR(A891), Lookup!$Q:$R, 2),
        Z890 + IF(MONTH(A891)=12, Q891+W891, 0) + I891
          + AA890 + IF(MONTH(A891)=12, R891+X891, 0) - VLOOKUP(YEAR(A891), Lookup!$Q:$R, 2) + J891,
        Z890 + IF(MONTH(A891)=12, Q891+W891, 0) + I891
      ),
      VLOOKUP(YEAR(A891), Lookup!$K:$M, 3)
    ),
  B891=55,
    IF(Z890 &gt;= AD891, Z890 - AD891, 0),
  B891&gt;55, 0
)</f>
        <v>0</v>
      </c>
      <c r="AA891" s="65">
        <f>IFS(
  B891&lt;65,
    IF(AA890+J891 &lt; VLOOKUP(YEAR(A891), Lookup!$Q:$R, 2),
      AA890 + IF(MONTH(A891)=12, R890+X890, 0) + J891,
      MIN(
        AA890 + IF(MONTH(A891)=12, R890+X890, 0) + J891 ,
        VLOOKUP(YEAR(A891), Lookup!$Q:$R, 2)
      )
    ),
  B891&gt;=65,
    IF(AA890+J891 &lt; VLOOKUP(questions!$C$5, Lookup!$Q:$R, 2),
      AA890 + IF(MONTH(A891)=12, R890+X890, 0) + J891 ,
      MIN(
        AA890 + IF(MONTH(A891)=12, R890+X890, 0) + J891,
        VLOOKUP(questions!$C$5, Lookup!$Q:$R, 2)
      )
    )
)</f>
        <v>282111.0086</v>
      </c>
      <c r="AB891" s="65">
        <f t="shared" si="13"/>
        <v>3899082.582</v>
      </c>
      <c r="AC891" s="66">
        <f t="array" ref="AC891">IFS(B891&lt;66, XLOOKUP(year(A891),Lookup!$K$13:$K1000,Lookup!$L$13:$L1000,"missing",,1),B891&gt;65,XLOOKUP(questions!$C$5,Lookup!$K$13:$K1000,Lookup!$L$13:$L1000,"missing",,1))</f>
        <v>393675.3633</v>
      </c>
      <c r="AD891" s="66">
        <f t="array" ref="AD891">IFS(B891&lt;66, XLOOKUP(year(A891),Lookup!$K$13:$K1000,Lookup!$M$13:$M1000,"missing",,1),B891&gt;65, XLOOKUP(questions!$C$5,Lookup!$K$13:$K1000,Lookup!$M$13:$M1000,"missing",,1))</f>
        <v>787350.7266</v>
      </c>
      <c r="AE891" s="66">
        <f t="array" ref="AE891">IFS(B891&lt;66, XLOOKUP(year(A891),Lookup!$K$13:$K1000,Lookup!$N$13:$N1000,"missing",,1),B891&gt;65,XLOOKUP(questions!$C$5,Lookup!$K$13:$K1000,Lookup!$N$13:$N1000,"missing",,1))</f>
        <v>1574701.453</v>
      </c>
      <c r="AF891" s="37"/>
      <c r="AG891" s="37"/>
      <c r="AH891" s="37"/>
      <c r="AI891" s="37"/>
      <c r="AJ891" s="37"/>
      <c r="AK891" s="37"/>
      <c r="AL891" s="37"/>
      <c r="AM891" s="37"/>
      <c r="AN891" s="37"/>
      <c r="AO891" s="37"/>
      <c r="AP891" s="37"/>
      <c r="AQ891" s="37"/>
    </row>
    <row r="892">
      <c r="A892" s="55">
        <f t="shared" si="7"/>
        <v>73170</v>
      </c>
      <c r="B892" s="56">
        <f>round(YEARFRAC(EOMONTH(questions!$C$3, 0),A892,1),2)</f>
        <v>101.41</v>
      </c>
      <c r="C892" s="58">
        <f>IF(B892&lt;questions!$C$6,if(MONTH(A892)=1,C891*(1+questions!$C$12),C891),0)</f>
        <v>0</v>
      </c>
      <c r="D892" s="58">
        <f>IF(MONTH(A892)=12,C892*questions!$C$11,0)</f>
        <v>0</v>
      </c>
      <c r="E892" s="71">
        <f t="shared" si="2"/>
        <v>0</v>
      </c>
      <c r="F892" s="71">
        <f t="shared" si="3"/>
        <v>0</v>
      </c>
      <c r="G892" s="61">
        <f t="array" ref="G892">if(YEAR(A892)=2025,XLOOKUP(B892,Lookup!$A$3:$A$7,Lookup!$D$3:$D$7,,1)*SUM(E892:F892), XLOOKUP(B892,Lookup!$A$14:$A$18,Lookup!$D$14:$D$18,,1)*SUM(E892:F892))</f>
        <v>0</v>
      </c>
      <c r="H892" s="61">
        <f t="array" ref="H892">if(YEAR(A892)=2025,XLOOKUP(B892,Lookup!$F$3:$F$10,Lookup!$G$3:$G$10,,1)*G892, XLOOKUP(B892,Lookup!$F$14:$F$21,Lookup!$G$14:$G$21,,1)*G892)</f>
        <v>0</v>
      </c>
      <c r="I892" s="61">
        <f t="array" ref="I892">if(B892&lt;55, if(YEAR(A892)=2025,XLOOKUP(B892,Lookup!$F$3:$F$10,Lookup!$H$3:$H$10,,1)*G892, XLOOKUP(B892,Lookup!$F$14:$F$21,Lookup!$H$14:$H$21,,1)*G892),0)</f>
        <v>0</v>
      </c>
      <c r="J892" s="61">
        <f t="array" ref="J892">if(YEAR(A892)=2025,XLOOKUP(B892,Lookup!$F$3:$F$10,Lookup!$I$3:$I$10,,1)*G892, XLOOKUP(B892,Lookup!$F$14:$F$21,Lookup!$I$14:$I$21,,1)*G892)</f>
        <v>0</v>
      </c>
      <c r="K892" s="61">
        <f t="array" ref="K892">if(B892&gt;54, if(YEAR(A892)=2025,XLOOKUP(B892,Lookup!$F$3:$F$10,Lookup!$H$3:$H$10,,1)*G892, XLOOKUP(B892,Lookup!$F$14:$F$21,Lookup!$H$14:$H$21,,1)*G892),0)</f>
        <v>0</v>
      </c>
      <c r="L892" s="62">
        <f>IF(and(A892&lt;questions!$C$19,questions!$C$18="yes"),questions!$C$20,0)</f>
        <v>0</v>
      </c>
      <c r="M892" s="63">
        <f>(Y891+H892)*Lookup!A$26/12</f>
        <v>5012.950967</v>
      </c>
      <c r="N892" s="63">
        <f>if(B892&lt;55, (Z891+I892)*Lookup!B$26/12, (AB891+K892)*Lookup!B$26/12)</f>
        <v>12996.94194</v>
      </c>
      <c r="O892" s="63">
        <f>(AA891+J892)*Lookup!C$26/12</f>
        <v>940.3700287</v>
      </c>
      <c r="P892" s="63">
        <f t="shared" si="8"/>
        <v>20051.80387</v>
      </c>
      <c r="Q892" s="63">
        <f t="shared" si="4"/>
        <v>51987.76776</v>
      </c>
      <c r="R892" s="63">
        <f t="shared" si="5"/>
        <v>3761.480115</v>
      </c>
      <c r="S892" s="64">
        <f t="shared" si="9"/>
        <v>33.33333333</v>
      </c>
      <c r="T892" s="64">
        <f t="shared" si="10"/>
        <v>41.66666667</v>
      </c>
      <c r="U892" s="64">
        <f t="shared" si="11"/>
        <v>0</v>
      </c>
      <c r="V892" s="64">
        <f t="shared" ref="V892:X892" si="900">IF(year($A892)=year($A891), V891+S892, S892)</f>
        <v>133.3333333</v>
      </c>
      <c r="W892" s="64">
        <f t="shared" si="900"/>
        <v>166.6666667</v>
      </c>
      <c r="X892" s="64">
        <f t="shared" si="900"/>
        <v>0</v>
      </c>
      <c r="Y892" s="65">
        <f>IFS(
  B892&lt;55,
    MAX(
      Y891 + IF(MONTH(A892)=12, P892+V892, 0) + H892 - L892
      + MAX(0,
          IF(AA891 &gt;= VLOOKUP(YEAR(A892), Lookup!$Q:$R, 2),
            Z891 + IF(MONTH(A892)=12, Q892+W892, 0) + I892
              + AA891 + IF(MONTH(A892)=12, R892+X892, 0)
              - VLOOKUP(YEAR(A892), Lookup!$Q:$R, 2) + J892,
            Z891 + IF(MONTH(A892)=12, Q892+W892, 0) + I892
          ) - VLOOKUP(YEAR(A892), Lookup!$K:$M, 3)
        ),
    0),
  B892=55,
    IF(Z891&gt;=AD892,
      MAX(Y891 + IF(MONTH(A892)=12, P892+V892, 0) + H892 - L892, 0),
      MAX(MAX(0, Y891-(AD892-Z891)) + IF(MONTH(A892)=12, P892+V892, 0) + H892 - L892, 0)
    ),
  B892&gt;55,
    IF(AB891&gt;=$AH$7,
      MAX(Y891 + IF(MONTH(A892)=12, P892+V892, 0) + H892 - L892 + K892 + Z891, 0),
      MAX(Y891 + IF(MONTH(A892)=12, P892+V892, 0) + H892 - L892, 0)
    )
)</f>
        <v>2406216.464</v>
      </c>
      <c r="Z892" s="65">
        <f>IFS(
  B892&lt;55,
    MIN(
      IF(AA891 &gt;= VLOOKUP(YEAR(A892), Lookup!$Q:$R, 2),
        Z891 + IF(MONTH(A892)=12, Q892+W892, 0) + I892
          + AA891 + IF(MONTH(A892)=12, R892+X892, 0) - VLOOKUP(YEAR(A892), Lookup!$Q:$R, 2) + J892,
        Z891 + IF(MONTH(A892)=12, Q892+W892, 0) + I892
      ),
      VLOOKUP(YEAR(A892), Lookup!$K:$M, 3)
    ),
  B892=55,
    IF(Z891 &gt;= AD892, Z891 - AD892, 0),
  B892&gt;55, 0
)</f>
        <v>0</v>
      </c>
      <c r="AA892" s="65">
        <f>IFS(
  B892&lt;65,
    IF(AA891+J892 &lt; VLOOKUP(YEAR(A892), Lookup!$Q:$R, 2),
      AA891 + IF(MONTH(A892)=12, R891+X891, 0) + J892,
      MIN(
        AA891 + IF(MONTH(A892)=12, R891+X891, 0) + J892 ,
        VLOOKUP(YEAR(A892), Lookup!$Q:$R, 2)
      )
    ),
  B892&gt;=65,
    IF(AA891+J892 &lt; VLOOKUP(questions!$C$5, Lookup!$Q:$R, 2),
      AA891 + IF(MONTH(A892)=12, R891+X891, 0) + J892 ,
      MIN(
        AA891 + IF(MONTH(A892)=12, R891+X891, 0) + J892,
        VLOOKUP(questions!$C$5, Lookup!$Q:$R, 2)
      )
    )
)</f>
        <v>282111.0086</v>
      </c>
      <c r="AB892" s="65">
        <f t="shared" si="13"/>
        <v>3899082.582</v>
      </c>
      <c r="AC892" s="66">
        <f t="array" ref="AC892">IFS(B892&lt;66, XLOOKUP(year(A892),Lookup!$K$13:$K1000,Lookup!$L$13:$L1000,"missing",,1),B892&gt;65,XLOOKUP(questions!$C$5,Lookup!$K$13:$K1000,Lookup!$L$13:$L1000,"missing",,1))</f>
        <v>393675.3633</v>
      </c>
      <c r="AD892" s="66">
        <f t="array" ref="AD892">IFS(B892&lt;66, XLOOKUP(year(A892),Lookup!$K$13:$K1000,Lookup!$M$13:$M1000,"missing",,1),B892&gt;65, XLOOKUP(questions!$C$5,Lookup!$K$13:$K1000,Lookup!$M$13:$M1000,"missing",,1))</f>
        <v>787350.7266</v>
      </c>
      <c r="AE892" s="66">
        <f t="array" ref="AE892">IFS(B892&lt;66, XLOOKUP(year(A892),Lookup!$K$13:$K1000,Lookup!$N$13:$N1000,"missing",,1),B892&gt;65,XLOOKUP(questions!$C$5,Lookup!$K$13:$K1000,Lookup!$N$13:$N1000,"missing",,1))</f>
        <v>1574701.453</v>
      </c>
      <c r="AF892" s="37"/>
      <c r="AG892" s="37"/>
      <c r="AH892" s="37"/>
      <c r="AI892" s="37"/>
      <c r="AJ892" s="37"/>
      <c r="AK892" s="37"/>
      <c r="AL892" s="37"/>
      <c r="AM892" s="37"/>
      <c r="AN892" s="37"/>
      <c r="AO892" s="37"/>
      <c r="AP892" s="37"/>
      <c r="AQ892" s="37"/>
    </row>
    <row r="893">
      <c r="A893" s="55">
        <f t="shared" si="7"/>
        <v>73201</v>
      </c>
      <c r="B893" s="56">
        <f>round(YEARFRAC(EOMONTH(questions!$C$3, 0),A893,1),2)</f>
        <v>101.5</v>
      </c>
      <c r="C893" s="58">
        <f>IF(B893&lt;questions!$C$6,if(MONTH(A893)=1,C892*(1+questions!$C$12),C892),0)</f>
        <v>0</v>
      </c>
      <c r="D893" s="58">
        <f>IF(MONTH(A893)=12,C893*questions!$C$11,0)</f>
        <v>0</v>
      </c>
      <c r="E893" s="71">
        <f t="shared" si="2"/>
        <v>0</v>
      </c>
      <c r="F893" s="71">
        <f t="shared" si="3"/>
        <v>0</v>
      </c>
      <c r="G893" s="61">
        <f t="array" ref="G893">if(YEAR(A893)=2025,XLOOKUP(B893,Lookup!$A$3:$A$7,Lookup!$D$3:$D$7,,1)*SUM(E893:F893), XLOOKUP(B893,Lookup!$A$14:$A$18,Lookup!$D$14:$D$18,,1)*SUM(E893:F893))</f>
        <v>0</v>
      </c>
      <c r="H893" s="61">
        <f t="array" ref="H893">if(YEAR(A893)=2025,XLOOKUP(B893,Lookup!$F$3:$F$10,Lookup!$G$3:$G$10,,1)*G893, XLOOKUP(B893,Lookup!$F$14:$F$21,Lookup!$G$14:$G$21,,1)*G893)</f>
        <v>0</v>
      </c>
      <c r="I893" s="61">
        <f t="array" ref="I893">if(B893&lt;55, if(YEAR(A893)=2025,XLOOKUP(B893,Lookup!$F$3:$F$10,Lookup!$H$3:$H$10,,1)*G893, XLOOKUP(B893,Lookup!$F$14:$F$21,Lookup!$H$14:$H$21,,1)*G893),0)</f>
        <v>0</v>
      </c>
      <c r="J893" s="61">
        <f t="array" ref="J893">if(YEAR(A893)=2025,XLOOKUP(B893,Lookup!$F$3:$F$10,Lookup!$I$3:$I$10,,1)*G893, XLOOKUP(B893,Lookup!$F$14:$F$21,Lookup!$I$14:$I$21,,1)*G893)</f>
        <v>0</v>
      </c>
      <c r="K893" s="61">
        <f t="array" ref="K893">if(B893&gt;54, if(YEAR(A893)=2025,XLOOKUP(B893,Lookup!$F$3:$F$10,Lookup!$H$3:$H$10,,1)*G893, XLOOKUP(B893,Lookup!$F$14:$F$21,Lookup!$H$14:$H$21,,1)*G893),0)</f>
        <v>0</v>
      </c>
      <c r="L893" s="62">
        <f>IF(and(A893&lt;questions!$C$19,questions!$C$18="yes"),questions!$C$20,0)</f>
        <v>0</v>
      </c>
      <c r="M893" s="63">
        <f>(Y892+H893)*Lookup!A$26/12</f>
        <v>5012.950967</v>
      </c>
      <c r="N893" s="63">
        <f>if(B893&lt;55, (Z892+I893)*Lookup!B$26/12, (AB892+K893)*Lookup!B$26/12)</f>
        <v>12996.94194</v>
      </c>
      <c r="O893" s="63">
        <f>(AA892+J893)*Lookup!C$26/12</f>
        <v>940.3700287</v>
      </c>
      <c r="P893" s="63">
        <f t="shared" si="8"/>
        <v>25064.75484</v>
      </c>
      <c r="Q893" s="63">
        <f t="shared" si="4"/>
        <v>64984.7097</v>
      </c>
      <c r="R893" s="63">
        <f t="shared" si="5"/>
        <v>4701.850143</v>
      </c>
      <c r="S893" s="64">
        <f t="shared" si="9"/>
        <v>33.33333333</v>
      </c>
      <c r="T893" s="64">
        <f t="shared" si="10"/>
        <v>41.66666667</v>
      </c>
      <c r="U893" s="64">
        <f t="shared" si="11"/>
        <v>0</v>
      </c>
      <c r="V893" s="64">
        <f t="shared" ref="V893:X893" si="901">IF(year($A893)=year($A892), V892+S893, S893)</f>
        <v>166.6666667</v>
      </c>
      <c r="W893" s="64">
        <f t="shared" si="901"/>
        <v>208.3333333</v>
      </c>
      <c r="X893" s="64">
        <f t="shared" si="901"/>
        <v>0</v>
      </c>
      <c r="Y893" s="65">
        <f>IFS(
  B893&lt;55,
    MAX(
      Y892 + IF(MONTH(A893)=12, P893+V893, 0) + H893 - L893
      + MAX(0,
          IF(AA892 &gt;= VLOOKUP(YEAR(A893), Lookup!$Q:$R, 2),
            Z892 + IF(MONTH(A893)=12, Q893+W893, 0) + I893
              + AA892 + IF(MONTH(A893)=12, R893+X893, 0)
              - VLOOKUP(YEAR(A893), Lookup!$Q:$R, 2) + J893,
            Z892 + IF(MONTH(A893)=12, Q893+W893, 0) + I893
          ) - VLOOKUP(YEAR(A893), Lookup!$K:$M, 3)
        ),
    0),
  B893=55,
    IF(Z892&gt;=AD893,
      MAX(Y892 + IF(MONTH(A893)=12, P893+V893, 0) + H893 - L893, 0),
      MAX(MAX(0, Y892-(AD893-Z892)) + IF(MONTH(A893)=12, P893+V893, 0) + H893 - L893, 0)
    ),
  B893&gt;55,
    IF(AB892&gt;=$AH$7,
      MAX(Y892 + IF(MONTH(A893)=12, P893+V893, 0) + H893 - L893 + K893 + Z892, 0),
      MAX(Y892 + IF(MONTH(A893)=12, P893+V893, 0) + H893 - L893, 0)
    )
)</f>
        <v>2406216.464</v>
      </c>
      <c r="Z893" s="65">
        <f>IFS(
  B893&lt;55,
    MIN(
      IF(AA892 &gt;= VLOOKUP(YEAR(A893), Lookup!$Q:$R, 2),
        Z892 + IF(MONTH(A893)=12, Q893+W893, 0) + I893
          + AA892 + IF(MONTH(A893)=12, R893+X893, 0) - VLOOKUP(YEAR(A893), Lookup!$Q:$R, 2) + J893,
        Z892 + IF(MONTH(A893)=12, Q893+W893, 0) + I893
      ),
      VLOOKUP(YEAR(A893), Lookup!$K:$M, 3)
    ),
  B893=55,
    IF(Z892 &gt;= AD893, Z892 - AD893, 0),
  B893&gt;55, 0
)</f>
        <v>0</v>
      </c>
      <c r="AA893" s="65">
        <f>IFS(
  B893&lt;65,
    IF(AA892+J893 &lt; VLOOKUP(YEAR(A893), Lookup!$Q:$R, 2),
      AA892 + IF(MONTH(A893)=12, R892+X892, 0) + J893,
      MIN(
        AA892 + IF(MONTH(A893)=12, R892+X892, 0) + J893 ,
        VLOOKUP(YEAR(A893), Lookup!$Q:$R, 2)
      )
    ),
  B893&gt;=65,
    IF(AA892+J893 &lt; VLOOKUP(questions!$C$5, Lookup!$Q:$R, 2),
      AA892 + IF(MONTH(A893)=12, R892+X892, 0) + J893 ,
      MIN(
        AA892 + IF(MONTH(A893)=12, R892+X892, 0) + J893,
        VLOOKUP(questions!$C$5, Lookup!$Q:$R, 2)
      )
    )
)</f>
        <v>282111.0086</v>
      </c>
      <c r="AB893" s="65">
        <f t="shared" si="13"/>
        <v>3899082.582</v>
      </c>
      <c r="AC893" s="66">
        <f t="array" ref="AC893">IFS(B893&lt;66, XLOOKUP(year(A893),Lookup!$K$13:$K1000,Lookup!$L$13:$L1000,"missing",,1),B893&gt;65,XLOOKUP(questions!$C$5,Lookup!$K$13:$K1000,Lookup!$L$13:$L1000,"missing",,1))</f>
        <v>393675.3633</v>
      </c>
      <c r="AD893" s="66">
        <f t="array" ref="AD893">IFS(B893&lt;66, XLOOKUP(year(A893),Lookup!$K$13:$K1000,Lookup!$M$13:$M1000,"missing",,1),B893&gt;65, XLOOKUP(questions!$C$5,Lookup!$K$13:$K1000,Lookup!$M$13:$M1000,"missing",,1))</f>
        <v>787350.7266</v>
      </c>
      <c r="AE893" s="66">
        <f t="array" ref="AE893">IFS(B893&lt;66, XLOOKUP(year(A893),Lookup!$K$13:$K1000,Lookup!$N$13:$N1000,"missing",,1),B893&gt;65,XLOOKUP(questions!$C$5,Lookup!$K$13:$K1000,Lookup!$N$13:$N1000,"missing",,1))</f>
        <v>1574701.453</v>
      </c>
      <c r="AF893" s="37"/>
      <c r="AG893" s="37"/>
      <c r="AH893" s="37"/>
      <c r="AI893" s="37"/>
      <c r="AJ893" s="37"/>
      <c r="AK893" s="37"/>
      <c r="AL893" s="37"/>
      <c r="AM893" s="37"/>
      <c r="AN893" s="37"/>
      <c r="AO893" s="37"/>
      <c r="AP893" s="37"/>
      <c r="AQ893" s="37"/>
    </row>
    <row r="894">
      <c r="A894" s="55">
        <f t="shared" si="7"/>
        <v>73231</v>
      </c>
      <c r="B894" s="56">
        <f>round(YEARFRAC(EOMONTH(questions!$C$3, 0),A894,1),2)</f>
        <v>101.58</v>
      </c>
      <c r="C894" s="58">
        <f>IF(B894&lt;questions!$C$6,if(MONTH(A894)=1,C893*(1+questions!$C$12),C893),0)</f>
        <v>0</v>
      </c>
      <c r="D894" s="58">
        <f>IF(MONTH(A894)=12,C894*questions!$C$11,0)</f>
        <v>0</v>
      </c>
      <c r="E894" s="71">
        <f t="shared" si="2"/>
        <v>0</v>
      </c>
      <c r="F894" s="71">
        <f t="shared" si="3"/>
        <v>0</v>
      </c>
      <c r="G894" s="61">
        <f t="array" ref="G894">if(YEAR(A894)=2025,XLOOKUP(B894,Lookup!$A$3:$A$7,Lookup!$D$3:$D$7,,1)*SUM(E894:F894), XLOOKUP(B894,Lookup!$A$14:$A$18,Lookup!$D$14:$D$18,,1)*SUM(E894:F894))</f>
        <v>0</v>
      </c>
      <c r="H894" s="61">
        <f t="array" ref="H894">if(YEAR(A894)=2025,XLOOKUP(B894,Lookup!$F$3:$F$10,Lookup!$G$3:$G$10,,1)*G894, XLOOKUP(B894,Lookup!$F$14:$F$21,Lookup!$G$14:$G$21,,1)*G894)</f>
        <v>0</v>
      </c>
      <c r="I894" s="61">
        <f t="array" ref="I894">if(B894&lt;55, if(YEAR(A894)=2025,XLOOKUP(B894,Lookup!$F$3:$F$10,Lookup!$H$3:$H$10,,1)*G894, XLOOKUP(B894,Lookup!$F$14:$F$21,Lookup!$H$14:$H$21,,1)*G894),0)</f>
        <v>0</v>
      </c>
      <c r="J894" s="61">
        <f t="array" ref="J894">if(YEAR(A894)=2025,XLOOKUP(B894,Lookup!$F$3:$F$10,Lookup!$I$3:$I$10,,1)*G894, XLOOKUP(B894,Lookup!$F$14:$F$21,Lookup!$I$14:$I$21,,1)*G894)</f>
        <v>0</v>
      </c>
      <c r="K894" s="61">
        <f t="array" ref="K894">if(B894&gt;54, if(YEAR(A894)=2025,XLOOKUP(B894,Lookup!$F$3:$F$10,Lookup!$H$3:$H$10,,1)*G894, XLOOKUP(B894,Lookup!$F$14:$F$21,Lookup!$H$14:$H$21,,1)*G894),0)</f>
        <v>0</v>
      </c>
      <c r="L894" s="62">
        <f>IF(and(A894&lt;questions!$C$19,questions!$C$18="yes"),questions!$C$20,0)</f>
        <v>0</v>
      </c>
      <c r="M894" s="63">
        <f>(Y893+H894)*Lookup!A$26/12</f>
        <v>5012.950967</v>
      </c>
      <c r="N894" s="63">
        <f>if(B894&lt;55, (Z893+I894)*Lookup!B$26/12, (AB893+K894)*Lookup!B$26/12)</f>
        <v>12996.94194</v>
      </c>
      <c r="O894" s="63">
        <f>(AA893+J894)*Lookup!C$26/12</f>
        <v>940.3700287</v>
      </c>
      <c r="P894" s="63">
        <f t="shared" si="8"/>
        <v>30077.7058</v>
      </c>
      <c r="Q894" s="63">
        <f t="shared" si="4"/>
        <v>77981.65164</v>
      </c>
      <c r="R894" s="63">
        <f t="shared" si="5"/>
        <v>5642.220172</v>
      </c>
      <c r="S894" s="64">
        <f t="shared" si="9"/>
        <v>33.33333333</v>
      </c>
      <c r="T894" s="64">
        <f t="shared" si="10"/>
        <v>41.66666667</v>
      </c>
      <c r="U894" s="64">
        <f t="shared" si="11"/>
        <v>0</v>
      </c>
      <c r="V894" s="64">
        <f t="shared" ref="V894:X894" si="902">IF(year($A894)=year($A893), V893+S894, S894)</f>
        <v>200</v>
      </c>
      <c r="W894" s="64">
        <f t="shared" si="902"/>
        <v>250</v>
      </c>
      <c r="X894" s="64">
        <f t="shared" si="902"/>
        <v>0</v>
      </c>
      <c r="Y894" s="65">
        <f>IFS(
  B894&lt;55,
    MAX(
      Y893 + IF(MONTH(A894)=12, P894+V894, 0) + H894 - L894
      + MAX(0,
          IF(AA893 &gt;= VLOOKUP(YEAR(A894), Lookup!$Q:$R, 2),
            Z893 + IF(MONTH(A894)=12, Q894+W894, 0) + I894
              + AA893 + IF(MONTH(A894)=12, R894+X894, 0)
              - VLOOKUP(YEAR(A894), Lookup!$Q:$R, 2) + J894,
            Z893 + IF(MONTH(A894)=12, Q894+W894, 0) + I894
          ) - VLOOKUP(YEAR(A894), Lookup!$K:$M, 3)
        ),
    0),
  B894=55,
    IF(Z893&gt;=AD894,
      MAX(Y893 + IF(MONTH(A894)=12, P894+V894, 0) + H894 - L894, 0),
      MAX(MAX(0, Y893-(AD894-Z893)) + IF(MONTH(A894)=12, P894+V894, 0) + H894 - L894, 0)
    ),
  B894&gt;55,
    IF(AB893&gt;=$AH$7,
      MAX(Y893 + IF(MONTH(A894)=12, P894+V894, 0) + H894 - L894 + K894 + Z893, 0),
      MAX(Y893 + IF(MONTH(A894)=12, P894+V894, 0) + H894 - L894, 0)
    )
)</f>
        <v>2406216.464</v>
      </c>
      <c r="Z894" s="65">
        <f>IFS(
  B894&lt;55,
    MIN(
      IF(AA893 &gt;= VLOOKUP(YEAR(A894), Lookup!$Q:$R, 2),
        Z893 + IF(MONTH(A894)=12, Q894+W894, 0) + I894
          + AA893 + IF(MONTH(A894)=12, R894+X894, 0) - VLOOKUP(YEAR(A894), Lookup!$Q:$R, 2) + J894,
        Z893 + IF(MONTH(A894)=12, Q894+W894, 0) + I894
      ),
      VLOOKUP(YEAR(A894), Lookup!$K:$M, 3)
    ),
  B894=55,
    IF(Z893 &gt;= AD894, Z893 - AD894, 0),
  B894&gt;55, 0
)</f>
        <v>0</v>
      </c>
      <c r="AA894" s="65">
        <f>IFS(
  B894&lt;65,
    IF(AA893+J894 &lt; VLOOKUP(YEAR(A894), Lookup!$Q:$R, 2),
      AA893 + IF(MONTH(A894)=12, R893+X893, 0) + J894,
      MIN(
        AA893 + IF(MONTH(A894)=12, R893+X893, 0) + J894 ,
        VLOOKUP(YEAR(A894), Lookup!$Q:$R, 2)
      )
    ),
  B894&gt;=65,
    IF(AA893+J894 &lt; VLOOKUP(questions!$C$5, Lookup!$Q:$R, 2),
      AA893 + IF(MONTH(A894)=12, R893+X893, 0) + J894 ,
      MIN(
        AA893 + IF(MONTH(A894)=12, R893+X893, 0) + J894,
        VLOOKUP(questions!$C$5, Lookup!$Q:$R, 2)
      )
    )
)</f>
        <v>282111.0086</v>
      </c>
      <c r="AB894" s="65">
        <f t="shared" si="13"/>
        <v>3899082.582</v>
      </c>
      <c r="AC894" s="66">
        <f t="array" ref="AC894">IFS(B894&lt;66, XLOOKUP(year(A894),Lookup!$K$13:$K1000,Lookup!$L$13:$L1000,"missing",,1),B894&gt;65,XLOOKUP(questions!$C$5,Lookup!$K$13:$K1000,Lookup!$L$13:$L1000,"missing",,1))</f>
        <v>393675.3633</v>
      </c>
      <c r="AD894" s="66">
        <f t="array" ref="AD894">IFS(B894&lt;66, XLOOKUP(year(A894),Lookup!$K$13:$K1000,Lookup!$M$13:$M1000,"missing",,1),B894&gt;65, XLOOKUP(questions!$C$5,Lookup!$K$13:$K1000,Lookup!$M$13:$M1000,"missing",,1))</f>
        <v>787350.7266</v>
      </c>
      <c r="AE894" s="66">
        <f t="array" ref="AE894">IFS(B894&lt;66, XLOOKUP(year(A894),Lookup!$K$13:$K1000,Lookup!$N$13:$N1000,"missing",,1),B894&gt;65,XLOOKUP(questions!$C$5,Lookup!$K$13:$K1000,Lookup!$N$13:$N1000,"missing",,1))</f>
        <v>1574701.453</v>
      </c>
      <c r="AF894" s="37"/>
      <c r="AG894" s="37"/>
      <c r="AH894" s="37"/>
      <c r="AI894" s="37"/>
      <c r="AJ894" s="37"/>
      <c r="AK894" s="37"/>
      <c r="AL894" s="37"/>
      <c r="AM894" s="37"/>
      <c r="AN894" s="37"/>
      <c r="AO894" s="37"/>
      <c r="AP894" s="37"/>
      <c r="AQ894" s="37"/>
    </row>
    <row r="895">
      <c r="A895" s="55">
        <f t="shared" si="7"/>
        <v>73262</v>
      </c>
      <c r="B895" s="56">
        <f>round(YEARFRAC(EOMONTH(questions!$C$3, 0),A895,1),2)</f>
        <v>101.67</v>
      </c>
      <c r="C895" s="58">
        <f>IF(B895&lt;questions!$C$6,if(MONTH(A895)=1,C894*(1+questions!$C$12),C894),0)</f>
        <v>0</v>
      </c>
      <c r="D895" s="58">
        <f>IF(MONTH(A895)=12,C895*questions!$C$11,0)</f>
        <v>0</v>
      </c>
      <c r="E895" s="71">
        <f t="shared" si="2"/>
        <v>0</v>
      </c>
      <c r="F895" s="71">
        <f t="shared" si="3"/>
        <v>0</v>
      </c>
      <c r="G895" s="61">
        <f t="array" ref="G895">if(YEAR(A895)=2025,XLOOKUP(B895,Lookup!$A$3:$A$7,Lookup!$D$3:$D$7,,1)*SUM(E895:F895), XLOOKUP(B895,Lookup!$A$14:$A$18,Lookup!$D$14:$D$18,,1)*SUM(E895:F895))</f>
        <v>0</v>
      </c>
      <c r="H895" s="61">
        <f t="array" ref="H895">if(YEAR(A895)=2025,XLOOKUP(B895,Lookup!$F$3:$F$10,Lookup!$G$3:$G$10,,1)*G895, XLOOKUP(B895,Lookup!$F$14:$F$21,Lookup!$G$14:$G$21,,1)*G895)</f>
        <v>0</v>
      </c>
      <c r="I895" s="61">
        <f t="array" ref="I895">if(B895&lt;55, if(YEAR(A895)=2025,XLOOKUP(B895,Lookup!$F$3:$F$10,Lookup!$H$3:$H$10,,1)*G895, XLOOKUP(B895,Lookup!$F$14:$F$21,Lookup!$H$14:$H$21,,1)*G895),0)</f>
        <v>0</v>
      </c>
      <c r="J895" s="61">
        <f t="array" ref="J895">if(YEAR(A895)=2025,XLOOKUP(B895,Lookup!$F$3:$F$10,Lookup!$I$3:$I$10,,1)*G895, XLOOKUP(B895,Lookup!$F$14:$F$21,Lookup!$I$14:$I$21,,1)*G895)</f>
        <v>0</v>
      </c>
      <c r="K895" s="61">
        <f t="array" ref="K895">if(B895&gt;54, if(YEAR(A895)=2025,XLOOKUP(B895,Lookup!$F$3:$F$10,Lookup!$H$3:$H$10,,1)*G895, XLOOKUP(B895,Lookup!$F$14:$F$21,Lookup!$H$14:$H$21,,1)*G895),0)</f>
        <v>0</v>
      </c>
      <c r="L895" s="62">
        <f>IF(and(A895&lt;questions!$C$19,questions!$C$18="yes"),questions!$C$20,0)</f>
        <v>0</v>
      </c>
      <c r="M895" s="63">
        <f>(Y894+H895)*Lookup!A$26/12</f>
        <v>5012.950967</v>
      </c>
      <c r="N895" s="63">
        <f>if(B895&lt;55, (Z894+I895)*Lookup!B$26/12, (AB894+K895)*Lookup!B$26/12)</f>
        <v>12996.94194</v>
      </c>
      <c r="O895" s="63">
        <f>(AA894+J895)*Lookup!C$26/12</f>
        <v>940.3700287</v>
      </c>
      <c r="P895" s="63">
        <f t="shared" si="8"/>
        <v>35090.65677</v>
      </c>
      <c r="Q895" s="63">
        <f t="shared" si="4"/>
        <v>90978.59358</v>
      </c>
      <c r="R895" s="63">
        <f t="shared" si="5"/>
        <v>6582.590201</v>
      </c>
      <c r="S895" s="64">
        <f t="shared" si="9"/>
        <v>33.33333333</v>
      </c>
      <c r="T895" s="64">
        <f t="shared" si="10"/>
        <v>41.66666667</v>
      </c>
      <c r="U895" s="64">
        <f t="shared" si="11"/>
        <v>0</v>
      </c>
      <c r="V895" s="64">
        <f t="shared" ref="V895:X895" si="903">IF(year($A895)=year($A894), V894+S895, S895)</f>
        <v>233.3333333</v>
      </c>
      <c r="W895" s="64">
        <f t="shared" si="903"/>
        <v>291.6666667</v>
      </c>
      <c r="X895" s="64">
        <f t="shared" si="903"/>
        <v>0</v>
      </c>
      <c r="Y895" s="65">
        <f>IFS(
  B895&lt;55,
    MAX(
      Y894 + IF(MONTH(A895)=12, P895+V895, 0) + H895 - L895
      + MAX(0,
          IF(AA894 &gt;= VLOOKUP(YEAR(A895), Lookup!$Q:$R, 2),
            Z894 + IF(MONTH(A895)=12, Q895+W895, 0) + I895
              + AA894 + IF(MONTH(A895)=12, R895+X895, 0)
              - VLOOKUP(YEAR(A895), Lookup!$Q:$R, 2) + J895,
            Z894 + IF(MONTH(A895)=12, Q895+W895, 0) + I895
          ) - VLOOKUP(YEAR(A895), Lookup!$K:$M, 3)
        ),
    0),
  B895=55,
    IF(Z894&gt;=AD895,
      MAX(Y894 + IF(MONTH(A895)=12, P895+V895, 0) + H895 - L895, 0),
      MAX(MAX(0, Y894-(AD895-Z894)) + IF(MONTH(A895)=12, P895+V895, 0) + H895 - L895, 0)
    ),
  B895&gt;55,
    IF(AB894&gt;=$AH$7,
      MAX(Y894 + IF(MONTH(A895)=12, P895+V895, 0) + H895 - L895 + K895 + Z894, 0),
      MAX(Y894 + IF(MONTH(A895)=12, P895+V895, 0) + H895 - L895, 0)
    )
)</f>
        <v>2406216.464</v>
      </c>
      <c r="Z895" s="65">
        <f>IFS(
  B895&lt;55,
    MIN(
      IF(AA894 &gt;= VLOOKUP(YEAR(A895), Lookup!$Q:$R, 2),
        Z894 + IF(MONTH(A895)=12, Q895+W895, 0) + I895
          + AA894 + IF(MONTH(A895)=12, R895+X895, 0) - VLOOKUP(YEAR(A895), Lookup!$Q:$R, 2) + J895,
        Z894 + IF(MONTH(A895)=12, Q895+W895, 0) + I895
      ),
      VLOOKUP(YEAR(A895), Lookup!$K:$M, 3)
    ),
  B895=55,
    IF(Z894 &gt;= AD895, Z894 - AD895, 0),
  B895&gt;55, 0
)</f>
        <v>0</v>
      </c>
      <c r="AA895" s="65">
        <f>IFS(
  B895&lt;65,
    IF(AA894+J895 &lt; VLOOKUP(YEAR(A895), Lookup!$Q:$R, 2),
      AA894 + IF(MONTH(A895)=12, R894+X894, 0) + J895,
      MIN(
        AA894 + IF(MONTH(A895)=12, R894+X894, 0) + J895 ,
        VLOOKUP(YEAR(A895), Lookup!$Q:$R, 2)
      )
    ),
  B895&gt;=65,
    IF(AA894+J895 &lt; VLOOKUP(questions!$C$5, Lookup!$Q:$R, 2),
      AA894 + IF(MONTH(A895)=12, R894+X894, 0) + J895 ,
      MIN(
        AA894 + IF(MONTH(A895)=12, R894+X894, 0) + J895,
        VLOOKUP(questions!$C$5, Lookup!$Q:$R, 2)
      )
    )
)</f>
        <v>282111.0086</v>
      </c>
      <c r="AB895" s="65">
        <f t="shared" si="13"/>
        <v>3899082.582</v>
      </c>
      <c r="AC895" s="66">
        <f t="array" ref="AC895">IFS(B895&lt;66, XLOOKUP(year(A895),Lookup!$K$13:$K1000,Lookup!$L$13:$L1000,"missing",,1),B895&gt;65,XLOOKUP(questions!$C$5,Lookup!$K$13:$K1000,Lookup!$L$13:$L1000,"missing",,1))</f>
        <v>393675.3633</v>
      </c>
      <c r="AD895" s="66">
        <f t="array" ref="AD895">IFS(B895&lt;66, XLOOKUP(year(A895),Lookup!$K$13:$K1000,Lookup!$M$13:$M1000,"missing",,1),B895&gt;65, XLOOKUP(questions!$C$5,Lookup!$K$13:$K1000,Lookup!$M$13:$M1000,"missing",,1))</f>
        <v>787350.7266</v>
      </c>
      <c r="AE895" s="66">
        <f t="array" ref="AE895">IFS(B895&lt;66, XLOOKUP(year(A895),Lookup!$K$13:$K1000,Lookup!$N$13:$N1000,"missing",,1),B895&gt;65,XLOOKUP(questions!$C$5,Lookup!$K$13:$K1000,Lookup!$N$13:$N1000,"missing",,1))</f>
        <v>1574701.453</v>
      </c>
      <c r="AF895" s="37"/>
      <c r="AG895" s="37"/>
      <c r="AH895" s="37"/>
      <c r="AI895" s="37"/>
      <c r="AJ895" s="37"/>
      <c r="AK895" s="37"/>
      <c r="AL895" s="37"/>
      <c r="AM895" s="37"/>
      <c r="AN895" s="37"/>
      <c r="AO895" s="37"/>
      <c r="AP895" s="37"/>
      <c r="AQ895" s="37"/>
    </row>
    <row r="896">
      <c r="A896" s="55">
        <f t="shared" si="7"/>
        <v>73293</v>
      </c>
      <c r="B896" s="56">
        <f>round(YEARFRAC(EOMONTH(questions!$C$3, 0),A896,1),2)</f>
        <v>101.75</v>
      </c>
      <c r="C896" s="58">
        <f>IF(B896&lt;questions!$C$6,if(MONTH(A896)=1,C895*(1+questions!$C$12),C895),0)</f>
        <v>0</v>
      </c>
      <c r="D896" s="58">
        <f>IF(MONTH(A896)=12,C896*questions!$C$11,0)</f>
        <v>0</v>
      </c>
      <c r="E896" s="71">
        <f t="shared" si="2"/>
        <v>0</v>
      </c>
      <c r="F896" s="71">
        <f t="shared" si="3"/>
        <v>0</v>
      </c>
      <c r="G896" s="61">
        <f t="array" ref="G896">if(YEAR(A896)=2025,XLOOKUP(B896,Lookup!$A$3:$A$7,Lookup!$D$3:$D$7,,1)*SUM(E896:F896), XLOOKUP(B896,Lookup!$A$14:$A$18,Lookup!$D$14:$D$18,,1)*SUM(E896:F896))</f>
        <v>0</v>
      </c>
      <c r="H896" s="61">
        <f t="array" ref="H896">if(YEAR(A896)=2025,XLOOKUP(B896,Lookup!$F$3:$F$10,Lookup!$G$3:$G$10,,1)*G896, XLOOKUP(B896,Lookup!$F$14:$F$21,Lookup!$G$14:$G$21,,1)*G896)</f>
        <v>0</v>
      </c>
      <c r="I896" s="61">
        <f t="array" ref="I896">if(B896&lt;55, if(YEAR(A896)=2025,XLOOKUP(B896,Lookup!$F$3:$F$10,Lookup!$H$3:$H$10,,1)*G896, XLOOKUP(B896,Lookup!$F$14:$F$21,Lookup!$H$14:$H$21,,1)*G896),0)</f>
        <v>0</v>
      </c>
      <c r="J896" s="61">
        <f t="array" ref="J896">if(YEAR(A896)=2025,XLOOKUP(B896,Lookup!$F$3:$F$10,Lookup!$I$3:$I$10,,1)*G896, XLOOKUP(B896,Lookup!$F$14:$F$21,Lookup!$I$14:$I$21,,1)*G896)</f>
        <v>0</v>
      </c>
      <c r="K896" s="61">
        <f t="array" ref="K896">if(B896&gt;54, if(YEAR(A896)=2025,XLOOKUP(B896,Lookup!$F$3:$F$10,Lookup!$H$3:$H$10,,1)*G896, XLOOKUP(B896,Lookup!$F$14:$F$21,Lookup!$H$14:$H$21,,1)*G896),0)</f>
        <v>0</v>
      </c>
      <c r="L896" s="62">
        <f>IF(and(A896&lt;questions!$C$19,questions!$C$18="yes"),questions!$C$20,0)</f>
        <v>0</v>
      </c>
      <c r="M896" s="63">
        <f>(Y895+H896)*Lookup!A$26/12</f>
        <v>5012.950967</v>
      </c>
      <c r="N896" s="63">
        <f>if(B896&lt;55, (Z895+I896)*Lookup!B$26/12, (AB895+K896)*Lookup!B$26/12)</f>
        <v>12996.94194</v>
      </c>
      <c r="O896" s="63">
        <f>(AA895+J896)*Lookup!C$26/12</f>
        <v>940.3700287</v>
      </c>
      <c r="P896" s="63">
        <f t="shared" si="8"/>
        <v>40103.60774</v>
      </c>
      <c r="Q896" s="63">
        <f t="shared" si="4"/>
        <v>103975.5355</v>
      </c>
      <c r="R896" s="63">
        <f t="shared" si="5"/>
        <v>7522.960229</v>
      </c>
      <c r="S896" s="64">
        <f t="shared" si="9"/>
        <v>33.33333333</v>
      </c>
      <c r="T896" s="64">
        <f t="shared" si="10"/>
        <v>41.66666667</v>
      </c>
      <c r="U896" s="64">
        <f t="shared" si="11"/>
        <v>0</v>
      </c>
      <c r="V896" s="64">
        <f t="shared" ref="V896:X896" si="904">IF(year($A896)=year($A895), V895+S896, S896)</f>
        <v>266.6666667</v>
      </c>
      <c r="W896" s="64">
        <f t="shared" si="904"/>
        <v>333.3333333</v>
      </c>
      <c r="X896" s="64">
        <f t="shared" si="904"/>
        <v>0</v>
      </c>
      <c r="Y896" s="65">
        <f>IFS(
  B896&lt;55,
    MAX(
      Y895 + IF(MONTH(A896)=12, P896+V896, 0) + H896 - L896
      + MAX(0,
          IF(AA895 &gt;= VLOOKUP(YEAR(A896), Lookup!$Q:$R, 2),
            Z895 + IF(MONTH(A896)=12, Q896+W896, 0) + I896
              + AA895 + IF(MONTH(A896)=12, R896+X896, 0)
              - VLOOKUP(YEAR(A896), Lookup!$Q:$R, 2) + J896,
            Z895 + IF(MONTH(A896)=12, Q896+W896, 0) + I896
          ) - VLOOKUP(YEAR(A896), Lookup!$K:$M, 3)
        ),
    0),
  B896=55,
    IF(Z895&gt;=AD896,
      MAX(Y895 + IF(MONTH(A896)=12, P896+V896, 0) + H896 - L896, 0),
      MAX(MAX(0, Y895-(AD896-Z895)) + IF(MONTH(A896)=12, P896+V896, 0) + H896 - L896, 0)
    ),
  B896&gt;55,
    IF(AB895&gt;=$AH$7,
      MAX(Y895 + IF(MONTH(A896)=12, P896+V896, 0) + H896 - L896 + K896 + Z895, 0),
      MAX(Y895 + IF(MONTH(A896)=12, P896+V896, 0) + H896 - L896, 0)
    )
)</f>
        <v>2406216.464</v>
      </c>
      <c r="Z896" s="65">
        <f>IFS(
  B896&lt;55,
    MIN(
      IF(AA895 &gt;= VLOOKUP(YEAR(A896), Lookup!$Q:$R, 2),
        Z895 + IF(MONTH(A896)=12, Q896+W896, 0) + I896
          + AA895 + IF(MONTH(A896)=12, R896+X896, 0) - VLOOKUP(YEAR(A896), Lookup!$Q:$R, 2) + J896,
        Z895 + IF(MONTH(A896)=12, Q896+W896, 0) + I896
      ),
      VLOOKUP(YEAR(A896), Lookup!$K:$M, 3)
    ),
  B896=55,
    IF(Z895 &gt;= AD896, Z895 - AD896, 0),
  B896&gt;55, 0
)</f>
        <v>0</v>
      </c>
      <c r="AA896" s="65">
        <f>IFS(
  B896&lt;65,
    IF(AA895+J896 &lt; VLOOKUP(YEAR(A896), Lookup!$Q:$R, 2),
      AA895 + IF(MONTH(A896)=12, R895+X895, 0) + J896,
      MIN(
        AA895 + IF(MONTH(A896)=12, R895+X895, 0) + J896 ,
        VLOOKUP(YEAR(A896), Lookup!$Q:$R, 2)
      )
    ),
  B896&gt;=65,
    IF(AA895+J896 &lt; VLOOKUP(questions!$C$5, Lookup!$Q:$R, 2),
      AA895 + IF(MONTH(A896)=12, R895+X895, 0) + J896 ,
      MIN(
        AA895 + IF(MONTH(A896)=12, R895+X895, 0) + J896,
        VLOOKUP(questions!$C$5, Lookup!$Q:$R, 2)
      )
    )
)</f>
        <v>282111.0086</v>
      </c>
      <c r="AB896" s="65">
        <f t="shared" si="13"/>
        <v>3899082.582</v>
      </c>
      <c r="AC896" s="66">
        <f t="array" ref="AC896">IFS(B896&lt;66, XLOOKUP(year(A896),Lookup!$K$13:$K1000,Lookup!$L$13:$L1000,"missing",,1),B896&gt;65,XLOOKUP(questions!$C$5,Lookup!$K$13:$K1000,Lookup!$L$13:$L1000,"missing",,1))</f>
        <v>393675.3633</v>
      </c>
      <c r="AD896" s="66">
        <f t="array" ref="AD896">IFS(B896&lt;66, XLOOKUP(year(A896),Lookup!$K$13:$K1000,Lookup!$M$13:$M1000,"missing",,1),B896&gt;65, XLOOKUP(questions!$C$5,Lookup!$K$13:$K1000,Lookup!$M$13:$M1000,"missing",,1))</f>
        <v>787350.7266</v>
      </c>
      <c r="AE896" s="66">
        <f t="array" ref="AE896">IFS(B896&lt;66, XLOOKUP(year(A896),Lookup!$K$13:$K1000,Lookup!$N$13:$N1000,"missing",,1),B896&gt;65,XLOOKUP(questions!$C$5,Lookup!$K$13:$K1000,Lookup!$N$13:$N1000,"missing",,1))</f>
        <v>1574701.453</v>
      </c>
      <c r="AF896" s="37"/>
      <c r="AG896" s="37"/>
      <c r="AH896" s="37"/>
      <c r="AI896" s="37"/>
      <c r="AJ896" s="37"/>
      <c r="AK896" s="37"/>
      <c r="AL896" s="37"/>
      <c r="AM896" s="37"/>
      <c r="AN896" s="37"/>
      <c r="AO896" s="37"/>
      <c r="AP896" s="37"/>
      <c r="AQ896" s="37"/>
    </row>
    <row r="897">
      <c r="A897" s="55">
        <f t="shared" si="7"/>
        <v>73323</v>
      </c>
      <c r="B897" s="56">
        <f>round(YEARFRAC(EOMONTH(questions!$C$3, 0),A897,1),2)</f>
        <v>101.83</v>
      </c>
      <c r="C897" s="58">
        <f>IF(B897&lt;questions!$C$6,if(MONTH(A897)=1,C896*(1+questions!$C$12),C896),0)</f>
        <v>0</v>
      </c>
      <c r="D897" s="58">
        <f>IF(MONTH(A897)=12,C897*questions!$C$11,0)</f>
        <v>0</v>
      </c>
      <c r="E897" s="71">
        <f t="shared" si="2"/>
        <v>0</v>
      </c>
      <c r="F897" s="71">
        <f t="shared" si="3"/>
        <v>0</v>
      </c>
      <c r="G897" s="61">
        <f t="array" ref="G897">if(YEAR(A897)=2025,XLOOKUP(B897,Lookup!$A$3:$A$7,Lookup!$D$3:$D$7,,1)*SUM(E897:F897), XLOOKUP(B897,Lookup!$A$14:$A$18,Lookup!$D$14:$D$18,,1)*SUM(E897:F897))</f>
        <v>0</v>
      </c>
      <c r="H897" s="61">
        <f t="array" ref="H897">if(YEAR(A897)=2025,XLOOKUP(B897,Lookup!$F$3:$F$10,Lookup!$G$3:$G$10,,1)*G897, XLOOKUP(B897,Lookup!$F$14:$F$21,Lookup!$G$14:$G$21,,1)*G897)</f>
        <v>0</v>
      </c>
      <c r="I897" s="61">
        <f t="array" ref="I897">if(B897&lt;55, if(YEAR(A897)=2025,XLOOKUP(B897,Lookup!$F$3:$F$10,Lookup!$H$3:$H$10,,1)*G897, XLOOKUP(B897,Lookup!$F$14:$F$21,Lookup!$H$14:$H$21,,1)*G897),0)</f>
        <v>0</v>
      </c>
      <c r="J897" s="61">
        <f t="array" ref="J897">if(YEAR(A897)=2025,XLOOKUP(B897,Lookup!$F$3:$F$10,Lookup!$I$3:$I$10,,1)*G897, XLOOKUP(B897,Lookup!$F$14:$F$21,Lookup!$I$14:$I$21,,1)*G897)</f>
        <v>0</v>
      </c>
      <c r="K897" s="61">
        <f t="array" ref="K897">if(B897&gt;54, if(YEAR(A897)=2025,XLOOKUP(B897,Lookup!$F$3:$F$10,Lookup!$H$3:$H$10,,1)*G897, XLOOKUP(B897,Lookup!$F$14:$F$21,Lookup!$H$14:$H$21,,1)*G897),0)</f>
        <v>0</v>
      </c>
      <c r="L897" s="62">
        <f>IF(and(A897&lt;questions!$C$19,questions!$C$18="yes"),questions!$C$20,0)</f>
        <v>0</v>
      </c>
      <c r="M897" s="63">
        <f>(Y896+H897)*Lookup!A$26/12</f>
        <v>5012.950967</v>
      </c>
      <c r="N897" s="63">
        <f>if(B897&lt;55, (Z896+I897)*Lookup!B$26/12, (AB896+K897)*Lookup!B$26/12)</f>
        <v>12996.94194</v>
      </c>
      <c r="O897" s="63">
        <f>(AA896+J897)*Lookup!C$26/12</f>
        <v>940.3700287</v>
      </c>
      <c r="P897" s="63">
        <f t="shared" si="8"/>
        <v>45116.55871</v>
      </c>
      <c r="Q897" s="63">
        <f t="shared" si="4"/>
        <v>116972.4775</v>
      </c>
      <c r="R897" s="63">
        <f t="shared" si="5"/>
        <v>8463.330258</v>
      </c>
      <c r="S897" s="64">
        <f t="shared" si="9"/>
        <v>33.33333333</v>
      </c>
      <c r="T897" s="64">
        <f t="shared" si="10"/>
        <v>41.66666667</v>
      </c>
      <c r="U897" s="64">
        <f t="shared" si="11"/>
        <v>0</v>
      </c>
      <c r="V897" s="64">
        <f t="shared" ref="V897:X897" si="905">IF(year($A897)=year($A896), V896+S897, S897)</f>
        <v>300</v>
      </c>
      <c r="W897" s="64">
        <f t="shared" si="905"/>
        <v>375</v>
      </c>
      <c r="X897" s="64">
        <f t="shared" si="905"/>
        <v>0</v>
      </c>
      <c r="Y897" s="65">
        <f>IFS(
  B897&lt;55,
    MAX(
      Y896 + IF(MONTH(A897)=12, P897+V897, 0) + H897 - L897
      + MAX(0,
          IF(AA896 &gt;= VLOOKUP(YEAR(A897), Lookup!$Q:$R, 2),
            Z896 + IF(MONTH(A897)=12, Q897+W897, 0) + I897
              + AA896 + IF(MONTH(A897)=12, R897+X897, 0)
              - VLOOKUP(YEAR(A897), Lookup!$Q:$R, 2) + J897,
            Z896 + IF(MONTH(A897)=12, Q897+W897, 0) + I897
          ) - VLOOKUP(YEAR(A897), Lookup!$K:$M, 3)
        ),
    0),
  B897=55,
    IF(Z896&gt;=AD897,
      MAX(Y896 + IF(MONTH(A897)=12, P897+V897, 0) + H897 - L897, 0),
      MAX(MAX(0, Y896-(AD897-Z896)) + IF(MONTH(A897)=12, P897+V897, 0) + H897 - L897, 0)
    ),
  B897&gt;55,
    IF(AB896&gt;=$AH$7,
      MAX(Y896 + IF(MONTH(A897)=12, P897+V897, 0) + H897 - L897 + K897 + Z896, 0),
      MAX(Y896 + IF(MONTH(A897)=12, P897+V897, 0) + H897 - L897, 0)
    )
)</f>
        <v>2406216.464</v>
      </c>
      <c r="Z897" s="65">
        <f>IFS(
  B897&lt;55,
    MIN(
      IF(AA896 &gt;= VLOOKUP(YEAR(A897), Lookup!$Q:$R, 2),
        Z896 + IF(MONTH(A897)=12, Q897+W897, 0) + I897
          + AA896 + IF(MONTH(A897)=12, R897+X897, 0) - VLOOKUP(YEAR(A897), Lookup!$Q:$R, 2) + J897,
        Z896 + IF(MONTH(A897)=12, Q897+W897, 0) + I897
      ),
      VLOOKUP(YEAR(A897), Lookup!$K:$M, 3)
    ),
  B897=55,
    IF(Z896 &gt;= AD897, Z896 - AD897, 0),
  B897&gt;55, 0
)</f>
        <v>0</v>
      </c>
      <c r="AA897" s="65">
        <f>IFS(
  B897&lt;65,
    IF(AA896+J897 &lt; VLOOKUP(YEAR(A897), Lookup!$Q:$R, 2),
      AA896 + IF(MONTH(A897)=12, R896+X896, 0) + J897,
      MIN(
        AA896 + IF(MONTH(A897)=12, R896+X896, 0) + J897 ,
        VLOOKUP(YEAR(A897), Lookup!$Q:$R, 2)
      )
    ),
  B897&gt;=65,
    IF(AA896+J897 &lt; VLOOKUP(questions!$C$5, Lookup!$Q:$R, 2),
      AA896 + IF(MONTH(A897)=12, R896+X896, 0) + J897 ,
      MIN(
        AA896 + IF(MONTH(A897)=12, R896+X896, 0) + J897,
        VLOOKUP(questions!$C$5, Lookup!$Q:$R, 2)
      )
    )
)</f>
        <v>282111.0086</v>
      </c>
      <c r="AB897" s="65">
        <f t="shared" si="13"/>
        <v>3899082.582</v>
      </c>
      <c r="AC897" s="66">
        <f t="array" ref="AC897">IFS(B897&lt;66, XLOOKUP(year(A897),Lookup!$K$13:$K1000,Lookup!$L$13:$L1000,"missing",,1),B897&gt;65,XLOOKUP(questions!$C$5,Lookup!$K$13:$K1000,Lookup!$L$13:$L1000,"missing",,1))</f>
        <v>393675.3633</v>
      </c>
      <c r="AD897" s="66">
        <f t="array" ref="AD897">IFS(B897&lt;66, XLOOKUP(year(A897),Lookup!$K$13:$K1000,Lookup!$M$13:$M1000,"missing",,1),B897&gt;65, XLOOKUP(questions!$C$5,Lookup!$K$13:$K1000,Lookup!$M$13:$M1000,"missing",,1))</f>
        <v>787350.7266</v>
      </c>
      <c r="AE897" s="66">
        <f t="array" ref="AE897">IFS(B897&lt;66, XLOOKUP(year(A897),Lookup!$K$13:$K1000,Lookup!$N$13:$N1000,"missing",,1),B897&gt;65,XLOOKUP(questions!$C$5,Lookup!$K$13:$K1000,Lookup!$N$13:$N1000,"missing",,1))</f>
        <v>1574701.453</v>
      </c>
      <c r="AF897" s="37"/>
      <c r="AG897" s="37"/>
      <c r="AH897" s="37"/>
      <c r="AI897" s="37"/>
      <c r="AJ897" s="37"/>
      <c r="AK897" s="37"/>
      <c r="AL897" s="37"/>
      <c r="AM897" s="37"/>
      <c r="AN897" s="37"/>
      <c r="AO897" s="37"/>
      <c r="AP897" s="37"/>
      <c r="AQ897" s="37"/>
    </row>
    <row r="898">
      <c r="A898" s="55">
        <f t="shared" si="7"/>
        <v>73354</v>
      </c>
      <c r="B898" s="56">
        <f>round(YEARFRAC(EOMONTH(questions!$C$3, 0),A898,1),2)</f>
        <v>101.92</v>
      </c>
      <c r="C898" s="58">
        <f>IF(B898&lt;questions!$C$6,if(MONTH(A898)=1,C897*(1+questions!$C$12),C897),0)</f>
        <v>0</v>
      </c>
      <c r="D898" s="58">
        <f>IF(MONTH(A898)=12,C898*questions!$C$11,0)</f>
        <v>0</v>
      </c>
      <c r="E898" s="71">
        <f t="shared" si="2"/>
        <v>0</v>
      </c>
      <c r="F898" s="71">
        <f t="shared" si="3"/>
        <v>0</v>
      </c>
      <c r="G898" s="61">
        <f t="array" ref="G898">if(YEAR(A898)=2025,XLOOKUP(B898,Lookup!$A$3:$A$7,Lookup!$D$3:$D$7,,1)*SUM(E898:F898), XLOOKUP(B898,Lookup!$A$14:$A$18,Lookup!$D$14:$D$18,,1)*SUM(E898:F898))</f>
        <v>0</v>
      </c>
      <c r="H898" s="61">
        <f t="array" ref="H898">if(YEAR(A898)=2025,XLOOKUP(B898,Lookup!$F$3:$F$10,Lookup!$G$3:$G$10,,1)*G898, XLOOKUP(B898,Lookup!$F$14:$F$21,Lookup!$G$14:$G$21,,1)*G898)</f>
        <v>0</v>
      </c>
      <c r="I898" s="61">
        <f t="array" ref="I898">if(B898&lt;55, if(YEAR(A898)=2025,XLOOKUP(B898,Lookup!$F$3:$F$10,Lookup!$H$3:$H$10,,1)*G898, XLOOKUP(B898,Lookup!$F$14:$F$21,Lookup!$H$14:$H$21,,1)*G898),0)</f>
        <v>0</v>
      </c>
      <c r="J898" s="61">
        <f t="array" ref="J898">if(YEAR(A898)=2025,XLOOKUP(B898,Lookup!$F$3:$F$10,Lookup!$I$3:$I$10,,1)*G898, XLOOKUP(B898,Lookup!$F$14:$F$21,Lookup!$I$14:$I$21,,1)*G898)</f>
        <v>0</v>
      </c>
      <c r="K898" s="61">
        <f t="array" ref="K898">if(B898&gt;54, if(YEAR(A898)=2025,XLOOKUP(B898,Lookup!$F$3:$F$10,Lookup!$H$3:$H$10,,1)*G898, XLOOKUP(B898,Lookup!$F$14:$F$21,Lookup!$H$14:$H$21,,1)*G898),0)</f>
        <v>0</v>
      </c>
      <c r="L898" s="62">
        <f>IF(and(A898&lt;questions!$C$19,questions!$C$18="yes"),questions!$C$20,0)</f>
        <v>0</v>
      </c>
      <c r="M898" s="63">
        <f>(Y897+H898)*Lookup!A$26/12</f>
        <v>5012.950967</v>
      </c>
      <c r="N898" s="63">
        <f>if(B898&lt;55, (Z897+I898)*Lookup!B$26/12, (AB897+K898)*Lookup!B$26/12)</f>
        <v>12996.94194</v>
      </c>
      <c r="O898" s="63">
        <f>(AA897+J898)*Lookup!C$26/12</f>
        <v>940.3700287</v>
      </c>
      <c r="P898" s="63">
        <f t="shared" si="8"/>
        <v>50129.50967</v>
      </c>
      <c r="Q898" s="63">
        <f t="shared" si="4"/>
        <v>129969.4194</v>
      </c>
      <c r="R898" s="63">
        <f t="shared" si="5"/>
        <v>9403.700287</v>
      </c>
      <c r="S898" s="64">
        <f t="shared" si="9"/>
        <v>33.33333333</v>
      </c>
      <c r="T898" s="64">
        <f t="shared" si="10"/>
        <v>41.66666667</v>
      </c>
      <c r="U898" s="64">
        <f t="shared" si="11"/>
        <v>0</v>
      </c>
      <c r="V898" s="64">
        <f t="shared" ref="V898:X898" si="906">IF(year($A898)=year($A897), V897+S898, S898)</f>
        <v>333.3333333</v>
      </c>
      <c r="W898" s="64">
        <f t="shared" si="906"/>
        <v>416.6666667</v>
      </c>
      <c r="X898" s="64">
        <f t="shared" si="906"/>
        <v>0</v>
      </c>
      <c r="Y898" s="65">
        <f>IFS(
  B898&lt;55,
    MAX(
      Y897 + IF(MONTH(A898)=12, P898+V898, 0) + H898 - L898
      + MAX(0,
          IF(AA897 &gt;= VLOOKUP(YEAR(A898), Lookup!$Q:$R, 2),
            Z897 + IF(MONTH(A898)=12, Q898+W898, 0) + I898
              + AA897 + IF(MONTH(A898)=12, R898+X898, 0)
              - VLOOKUP(YEAR(A898), Lookup!$Q:$R, 2) + J898,
            Z897 + IF(MONTH(A898)=12, Q898+W898, 0) + I898
          ) - VLOOKUP(YEAR(A898), Lookup!$K:$M, 3)
        ),
    0),
  B898=55,
    IF(Z897&gt;=AD898,
      MAX(Y897 + IF(MONTH(A898)=12, P898+V898, 0) + H898 - L898, 0),
      MAX(MAX(0, Y897-(AD898-Z897)) + IF(MONTH(A898)=12, P898+V898, 0) + H898 - L898, 0)
    ),
  B898&gt;55,
    IF(AB897&gt;=$AH$7,
      MAX(Y897 + IF(MONTH(A898)=12, P898+V898, 0) + H898 - L898 + K898 + Z897, 0),
      MAX(Y897 + IF(MONTH(A898)=12, P898+V898, 0) + H898 - L898, 0)
    )
)</f>
        <v>2406216.464</v>
      </c>
      <c r="Z898" s="65">
        <f>IFS(
  B898&lt;55,
    MIN(
      IF(AA897 &gt;= VLOOKUP(YEAR(A898), Lookup!$Q:$R, 2),
        Z897 + IF(MONTH(A898)=12, Q898+W898, 0) + I898
          + AA897 + IF(MONTH(A898)=12, R898+X898, 0) - VLOOKUP(YEAR(A898), Lookup!$Q:$R, 2) + J898,
        Z897 + IF(MONTH(A898)=12, Q898+W898, 0) + I898
      ),
      VLOOKUP(YEAR(A898), Lookup!$K:$M, 3)
    ),
  B898=55,
    IF(Z897 &gt;= AD898, Z897 - AD898, 0),
  B898&gt;55, 0
)</f>
        <v>0</v>
      </c>
      <c r="AA898" s="65">
        <f>IFS(
  B898&lt;65,
    IF(AA897+J898 &lt; VLOOKUP(YEAR(A898), Lookup!$Q:$R, 2),
      AA897 + IF(MONTH(A898)=12, R897+X897, 0) + J898,
      MIN(
        AA897 + IF(MONTH(A898)=12, R897+X897, 0) + J898 ,
        VLOOKUP(YEAR(A898), Lookup!$Q:$R, 2)
      )
    ),
  B898&gt;=65,
    IF(AA897+J898 &lt; VLOOKUP(questions!$C$5, Lookup!$Q:$R, 2),
      AA897 + IF(MONTH(A898)=12, R897+X897, 0) + J898 ,
      MIN(
        AA897 + IF(MONTH(A898)=12, R897+X897, 0) + J898,
        VLOOKUP(questions!$C$5, Lookup!$Q:$R, 2)
      )
    )
)</f>
        <v>282111.0086</v>
      </c>
      <c r="AB898" s="65">
        <f t="shared" si="13"/>
        <v>3899082.582</v>
      </c>
      <c r="AC898" s="66">
        <f t="array" ref="AC898">IFS(B898&lt;66, XLOOKUP(year(A898),Lookup!$K$13:$K1000,Lookup!$L$13:$L1000,"missing",,1),B898&gt;65,XLOOKUP(questions!$C$5,Lookup!$K$13:$K1000,Lookup!$L$13:$L1000,"missing",,1))</f>
        <v>393675.3633</v>
      </c>
      <c r="AD898" s="66">
        <f t="array" ref="AD898">IFS(B898&lt;66, XLOOKUP(year(A898),Lookup!$K$13:$K1000,Lookup!$M$13:$M1000,"missing",,1),B898&gt;65, XLOOKUP(questions!$C$5,Lookup!$K$13:$K1000,Lookup!$M$13:$M1000,"missing",,1))</f>
        <v>787350.7266</v>
      </c>
      <c r="AE898" s="66">
        <f t="array" ref="AE898">IFS(B898&lt;66, XLOOKUP(year(A898),Lookup!$K$13:$K1000,Lookup!$N$13:$N1000,"missing",,1),B898&gt;65,XLOOKUP(questions!$C$5,Lookup!$K$13:$K1000,Lookup!$N$13:$N1000,"missing",,1))</f>
        <v>1574701.453</v>
      </c>
      <c r="AF898" s="37"/>
      <c r="AG898" s="37"/>
      <c r="AH898" s="37"/>
      <c r="AI898" s="37"/>
      <c r="AJ898" s="37"/>
      <c r="AK898" s="37"/>
      <c r="AL898" s="37"/>
      <c r="AM898" s="37"/>
      <c r="AN898" s="37"/>
      <c r="AO898" s="37"/>
      <c r="AP898" s="37"/>
      <c r="AQ898" s="37"/>
    </row>
    <row r="899">
      <c r="A899" s="55">
        <f t="shared" si="7"/>
        <v>73384</v>
      </c>
      <c r="B899" s="56">
        <f>round(YEARFRAC(EOMONTH(questions!$C$3, 0),A899,1),2)</f>
        <v>102</v>
      </c>
      <c r="C899" s="58">
        <f>IF(B899&lt;questions!$C$6,if(MONTH(A899)=1,C898*(1+questions!$C$12),C898),0)</f>
        <v>0</v>
      </c>
      <c r="D899" s="58">
        <f>IF(MONTH(A899)=12,C899*questions!$C$11,0)</f>
        <v>0</v>
      </c>
      <c r="E899" s="71">
        <f t="shared" si="2"/>
        <v>0</v>
      </c>
      <c r="F899" s="71">
        <f t="shared" si="3"/>
        <v>0</v>
      </c>
      <c r="G899" s="61">
        <f t="array" ref="G899">if(YEAR(A899)=2025,XLOOKUP(B899,Lookup!$A$3:$A$7,Lookup!$D$3:$D$7,,1)*SUM(E899:F899), XLOOKUP(B899,Lookup!$A$14:$A$18,Lookup!$D$14:$D$18,,1)*SUM(E899:F899))</f>
        <v>0</v>
      </c>
      <c r="H899" s="61">
        <f t="array" ref="H899">if(YEAR(A899)=2025,XLOOKUP(B899,Lookup!$F$3:$F$10,Lookup!$G$3:$G$10,,1)*G899, XLOOKUP(B899,Lookup!$F$14:$F$21,Lookup!$G$14:$G$21,,1)*G899)</f>
        <v>0</v>
      </c>
      <c r="I899" s="61">
        <f t="array" ref="I899">if(B899&lt;55, if(YEAR(A899)=2025,XLOOKUP(B899,Lookup!$F$3:$F$10,Lookup!$H$3:$H$10,,1)*G899, XLOOKUP(B899,Lookup!$F$14:$F$21,Lookup!$H$14:$H$21,,1)*G899),0)</f>
        <v>0</v>
      </c>
      <c r="J899" s="61">
        <f t="array" ref="J899">if(YEAR(A899)=2025,XLOOKUP(B899,Lookup!$F$3:$F$10,Lookup!$I$3:$I$10,,1)*G899, XLOOKUP(B899,Lookup!$F$14:$F$21,Lookup!$I$14:$I$21,,1)*G899)</f>
        <v>0</v>
      </c>
      <c r="K899" s="61">
        <f t="array" ref="K899">if(B899&gt;54, if(YEAR(A899)=2025,XLOOKUP(B899,Lookup!$F$3:$F$10,Lookup!$H$3:$H$10,,1)*G899, XLOOKUP(B899,Lookup!$F$14:$F$21,Lookup!$H$14:$H$21,,1)*G899),0)</f>
        <v>0</v>
      </c>
      <c r="L899" s="62">
        <f>IF(and(A899&lt;questions!$C$19,questions!$C$18="yes"),questions!$C$20,0)</f>
        <v>0</v>
      </c>
      <c r="M899" s="63">
        <f>(Y898+H899)*Lookup!A$26/12</f>
        <v>5012.950967</v>
      </c>
      <c r="N899" s="63">
        <f>if(B899&lt;55, (Z898+I899)*Lookup!B$26/12, (AB898+K899)*Lookup!B$26/12)</f>
        <v>12996.94194</v>
      </c>
      <c r="O899" s="63">
        <f>(AA898+J899)*Lookup!C$26/12</f>
        <v>940.3700287</v>
      </c>
      <c r="P899" s="63">
        <f t="shared" si="8"/>
        <v>55142.46064</v>
      </c>
      <c r="Q899" s="63">
        <f t="shared" si="4"/>
        <v>142966.3613</v>
      </c>
      <c r="R899" s="63">
        <f t="shared" si="5"/>
        <v>10344.07032</v>
      </c>
      <c r="S899" s="64">
        <f t="shared" si="9"/>
        <v>33.33333333</v>
      </c>
      <c r="T899" s="64">
        <f t="shared" si="10"/>
        <v>41.66666667</v>
      </c>
      <c r="U899" s="64">
        <f t="shared" si="11"/>
        <v>0</v>
      </c>
      <c r="V899" s="64">
        <f t="shared" ref="V899:X899" si="907">IF(year($A899)=year($A898), V898+S899, S899)</f>
        <v>366.6666667</v>
      </c>
      <c r="W899" s="64">
        <f t="shared" si="907"/>
        <v>458.3333333</v>
      </c>
      <c r="X899" s="64">
        <f t="shared" si="907"/>
        <v>0</v>
      </c>
      <c r="Y899" s="65">
        <f>IFS(
  B899&lt;55,
    MAX(
      Y898 + IF(MONTH(A899)=12, P899+V899, 0) + H899 - L899
      + MAX(0,
          IF(AA898 &gt;= VLOOKUP(YEAR(A899), Lookup!$Q:$R, 2),
            Z898 + IF(MONTH(A899)=12, Q899+W899, 0) + I899
              + AA898 + IF(MONTH(A899)=12, R899+X899, 0)
              - VLOOKUP(YEAR(A899), Lookup!$Q:$R, 2) + J899,
            Z898 + IF(MONTH(A899)=12, Q899+W899, 0) + I899
          ) - VLOOKUP(YEAR(A899), Lookup!$K:$M, 3)
        ),
    0),
  B899=55,
    IF(Z898&gt;=AD899,
      MAX(Y898 + IF(MONTH(A899)=12, P899+V899, 0) + H899 - L899, 0),
      MAX(MAX(0, Y898-(AD899-Z898)) + IF(MONTH(A899)=12, P899+V899, 0) + H899 - L899, 0)
    ),
  B899&gt;55,
    IF(AB898&gt;=$AH$7,
      MAX(Y898 + IF(MONTH(A899)=12, P899+V899, 0) + H899 - L899 + K899 + Z898, 0),
      MAX(Y898 + IF(MONTH(A899)=12, P899+V899, 0) + H899 - L899, 0)
    )
)</f>
        <v>2406216.464</v>
      </c>
      <c r="Z899" s="65">
        <f>IFS(
  B899&lt;55,
    MIN(
      IF(AA898 &gt;= VLOOKUP(YEAR(A899), Lookup!$Q:$R, 2),
        Z898 + IF(MONTH(A899)=12, Q899+W899, 0) + I899
          + AA898 + IF(MONTH(A899)=12, R899+X899, 0) - VLOOKUP(YEAR(A899), Lookup!$Q:$R, 2) + J899,
        Z898 + IF(MONTH(A899)=12, Q899+W899, 0) + I899
      ),
      VLOOKUP(YEAR(A899), Lookup!$K:$M, 3)
    ),
  B899=55,
    IF(Z898 &gt;= AD899, Z898 - AD899, 0),
  B899&gt;55, 0
)</f>
        <v>0</v>
      </c>
      <c r="AA899" s="65">
        <f>IFS(
  B899&lt;65,
    IF(AA898+J899 &lt; VLOOKUP(YEAR(A899), Lookup!$Q:$R, 2),
      AA898 + IF(MONTH(A899)=12, R898+X898, 0) + J899,
      MIN(
        AA898 + IF(MONTH(A899)=12, R898+X898, 0) + J899 ,
        VLOOKUP(YEAR(A899), Lookup!$Q:$R, 2)
      )
    ),
  B899&gt;=65,
    IF(AA898+J899 &lt; VLOOKUP(questions!$C$5, Lookup!$Q:$R, 2),
      AA898 + IF(MONTH(A899)=12, R898+X898, 0) + J899 ,
      MIN(
        AA898 + IF(MONTH(A899)=12, R898+X898, 0) + J899,
        VLOOKUP(questions!$C$5, Lookup!$Q:$R, 2)
      )
    )
)</f>
        <v>282111.0086</v>
      </c>
      <c r="AB899" s="65">
        <f t="shared" si="13"/>
        <v>3899082.582</v>
      </c>
      <c r="AC899" s="66">
        <f t="array" ref="AC899">IFS(B899&lt;66, XLOOKUP(year(A899),Lookup!$K$13:$K1000,Lookup!$L$13:$L1000,"missing",,1),B899&gt;65,XLOOKUP(questions!$C$5,Lookup!$K$13:$K1000,Lookup!$L$13:$L1000,"missing",,1))</f>
        <v>393675.3633</v>
      </c>
      <c r="AD899" s="66">
        <f t="array" ref="AD899">IFS(B899&lt;66, XLOOKUP(year(A899),Lookup!$K$13:$K1000,Lookup!$M$13:$M1000,"missing",,1),B899&gt;65, XLOOKUP(questions!$C$5,Lookup!$K$13:$K1000,Lookup!$M$13:$M1000,"missing",,1))</f>
        <v>787350.7266</v>
      </c>
      <c r="AE899" s="66">
        <f t="array" ref="AE899">IFS(B899&lt;66, XLOOKUP(year(A899),Lookup!$K$13:$K1000,Lookup!$N$13:$N1000,"missing",,1),B899&gt;65,XLOOKUP(questions!$C$5,Lookup!$K$13:$K1000,Lookup!$N$13:$N1000,"missing",,1))</f>
        <v>1574701.453</v>
      </c>
      <c r="AF899" s="37"/>
      <c r="AG899" s="37"/>
      <c r="AH899" s="37"/>
      <c r="AI899" s="37"/>
      <c r="AJ899" s="37"/>
      <c r="AK899" s="37"/>
      <c r="AL899" s="37"/>
      <c r="AM899" s="37"/>
      <c r="AN899" s="37"/>
      <c r="AO899" s="37"/>
      <c r="AP899" s="37"/>
      <c r="AQ899" s="37"/>
    </row>
    <row r="900">
      <c r="A900" s="55">
        <f t="shared" si="7"/>
        <v>73415</v>
      </c>
      <c r="B900" s="56">
        <f>round(YEARFRAC(EOMONTH(questions!$C$3, 0),A900,1),2)</f>
        <v>102.08</v>
      </c>
      <c r="C900" s="58">
        <f>IF(B900&lt;questions!$C$6,if(MONTH(A900)=1,C899*(1+questions!$C$12),C899),0)</f>
        <v>0</v>
      </c>
      <c r="D900" s="58">
        <f>IF(MONTH(A900)=12,C900*questions!$C$11,0)</f>
        <v>0</v>
      </c>
      <c r="E900" s="71">
        <f t="shared" si="2"/>
        <v>0</v>
      </c>
      <c r="F900" s="71">
        <f t="shared" si="3"/>
        <v>0</v>
      </c>
      <c r="G900" s="61">
        <f t="array" ref="G900">if(YEAR(A900)=2025,XLOOKUP(B900,Lookup!$A$3:$A$7,Lookup!$D$3:$D$7,,1)*SUM(E900:F900), XLOOKUP(B900,Lookup!$A$14:$A$18,Lookup!$D$14:$D$18,,1)*SUM(E900:F900))</f>
        <v>0</v>
      </c>
      <c r="H900" s="61">
        <f t="array" ref="H900">if(YEAR(A900)=2025,XLOOKUP(B900,Lookup!$F$3:$F$10,Lookup!$G$3:$G$10,,1)*G900, XLOOKUP(B900,Lookup!$F$14:$F$21,Lookup!$G$14:$G$21,,1)*G900)</f>
        <v>0</v>
      </c>
      <c r="I900" s="61">
        <f t="array" ref="I900">if(B900&lt;55, if(YEAR(A900)=2025,XLOOKUP(B900,Lookup!$F$3:$F$10,Lookup!$H$3:$H$10,,1)*G900, XLOOKUP(B900,Lookup!$F$14:$F$21,Lookup!$H$14:$H$21,,1)*G900),0)</f>
        <v>0</v>
      </c>
      <c r="J900" s="61">
        <f t="array" ref="J900">if(YEAR(A900)=2025,XLOOKUP(B900,Lookup!$F$3:$F$10,Lookup!$I$3:$I$10,,1)*G900, XLOOKUP(B900,Lookup!$F$14:$F$21,Lookup!$I$14:$I$21,,1)*G900)</f>
        <v>0</v>
      </c>
      <c r="K900" s="61">
        <f t="array" ref="K900">if(B900&gt;54, if(YEAR(A900)=2025,XLOOKUP(B900,Lookup!$F$3:$F$10,Lookup!$H$3:$H$10,,1)*G900, XLOOKUP(B900,Lookup!$F$14:$F$21,Lookup!$H$14:$H$21,,1)*G900),0)</f>
        <v>0</v>
      </c>
      <c r="L900" s="62">
        <f>IF(and(A900&lt;questions!$C$19,questions!$C$18="yes"),questions!$C$20,0)</f>
        <v>0</v>
      </c>
      <c r="M900" s="63">
        <f>(Y899+H900)*Lookup!A$26/12</f>
        <v>5012.950967</v>
      </c>
      <c r="N900" s="63">
        <f>if(B900&lt;55, (Z899+I900)*Lookup!B$26/12, (AB899+K900)*Lookup!B$26/12)</f>
        <v>12996.94194</v>
      </c>
      <c r="O900" s="63">
        <f>(AA899+J900)*Lookup!C$26/12</f>
        <v>940.3700287</v>
      </c>
      <c r="P900" s="63">
        <f t="shared" si="8"/>
        <v>60155.41161</v>
      </c>
      <c r="Q900" s="63">
        <f t="shared" si="4"/>
        <v>155963.3033</v>
      </c>
      <c r="R900" s="63">
        <f t="shared" si="5"/>
        <v>11284.44034</v>
      </c>
      <c r="S900" s="64">
        <f t="shared" si="9"/>
        <v>33.33333333</v>
      </c>
      <c r="T900" s="64">
        <f t="shared" si="10"/>
        <v>41.66666667</v>
      </c>
      <c r="U900" s="64">
        <f t="shared" si="11"/>
        <v>0</v>
      </c>
      <c r="V900" s="64">
        <f t="shared" ref="V900:X900" si="908">IF(year($A900)=year($A899), V899+S900, S900)</f>
        <v>400</v>
      </c>
      <c r="W900" s="64">
        <f t="shared" si="908"/>
        <v>500</v>
      </c>
      <c r="X900" s="64">
        <f t="shared" si="908"/>
        <v>0</v>
      </c>
      <c r="Y900" s="65">
        <f>IFS(
  B900&lt;55,
    MAX(
      Y899 + IF(MONTH(A900)=12, P900+V900, 0) + H900 - L900
      + MAX(0,
          IF(AA899 &gt;= VLOOKUP(YEAR(A900), Lookup!$Q:$R, 2),
            Z899 + IF(MONTH(A900)=12, Q900+W900, 0) + I900
              + AA899 + IF(MONTH(A900)=12, R900+X900, 0)
              - VLOOKUP(YEAR(A900), Lookup!$Q:$R, 2) + J900,
            Z899 + IF(MONTH(A900)=12, Q900+W900, 0) + I900
          ) - VLOOKUP(YEAR(A900), Lookup!$K:$M, 3)
        ),
    0),
  B900=55,
    IF(Z899&gt;=AD900,
      MAX(Y899 + IF(MONTH(A900)=12, P900+V900, 0) + H900 - L900, 0),
      MAX(MAX(0, Y899-(AD900-Z899)) + IF(MONTH(A900)=12, P900+V900, 0) + H900 - L900, 0)
    ),
  B900&gt;55,
    IF(AB899&gt;=$AH$7,
      MAX(Y899 + IF(MONTH(A900)=12, P900+V900, 0) + H900 - L900 + K900 + Z899, 0),
      MAX(Y899 + IF(MONTH(A900)=12, P900+V900, 0) + H900 - L900, 0)
    )
)</f>
        <v>2466771.876</v>
      </c>
      <c r="Z900" s="65">
        <f>IFS(
  B900&lt;55,
    MIN(
      IF(AA899 &gt;= VLOOKUP(YEAR(A900), Lookup!$Q:$R, 2),
        Z899 + IF(MONTH(A900)=12, Q900+W900, 0) + I900
          + AA899 + IF(MONTH(A900)=12, R900+X900, 0) - VLOOKUP(YEAR(A900), Lookup!$Q:$R, 2) + J900,
        Z899 + IF(MONTH(A900)=12, Q900+W900, 0) + I900
      ),
      VLOOKUP(YEAR(A900), Lookup!$K:$M, 3)
    ),
  B900=55,
    IF(Z899 &gt;= AD900, Z899 - AD900, 0),
  B900&gt;55, 0
)</f>
        <v>0</v>
      </c>
      <c r="AA900" s="65">
        <f>IFS(
  B900&lt;65,
    IF(AA899+J900 &lt; VLOOKUP(YEAR(A900), Lookup!$Q:$R, 2),
      AA899 + IF(MONTH(A900)=12, R899+X899, 0) + J900,
      MIN(
        AA899 + IF(MONTH(A900)=12, R899+X899, 0) + J900 ,
        VLOOKUP(YEAR(A900), Lookup!$Q:$R, 2)
      )
    ),
  B900&gt;=65,
    IF(AA899+J900 &lt; VLOOKUP(questions!$C$5, Lookup!$Q:$R, 2),
      AA899 + IF(MONTH(A900)=12, R899+X899, 0) + J900 ,
      MIN(
        AA899 + IF(MONTH(A900)=12, R899+X899, 0) + J900,
        VLOOKUP(questions!$C$5, Lookup!$Q:$R, 2)
      )
    )
)</f>
        <v>282111.0086</v>
      </c>
      <c r="AB900" s="65">
        <f t="shared" si="13"/>
        <v>4055545.885</v>
      </c>
      <c r="AC900" s="66">
        <f t="array" ref="AC900">IFS(B900&lt;66, XLOOKUP(year(A900),Lookup!$K$13:$K1000,Lookup!$L$13:$L1000,"missing",,1),B900&gt;65,XLOOKUP(questions!$C$5,Lookup!$K$13:$K1000,Lookup!$L$13:$L1000,"missing",,1))</f>
        <v>393675.3633</v>
      </c>
      <c r="AD900" s="66">
        <f t="array" ref="AD900">IFS(B900&lt;66, XLOOKUP(year(A900),Lookup!$K$13:$K1000,Lookup!$M$13:$M1000,"missing",,1),B900&gt;65, XLOOKUP(questions!$C$5,Lookup!$K$13:$K1000,Lookup!$M$13:$M1000,"missing",,1))</f>
        <v>787350.7266</v>
      </c>
      <c r="AE900" s="66">
        <f t="array" ref="AE900">IFS(B900&lt;66, XLOOKUP(year(A900),Lookup!$K$13:$K1000,Lookup!$N$13:$N1000,"missing",,1),B900&gt;65,XLOOKUP(questions!$C$5,Lookup!$K$13:$K1000,Lookup!$N$13:$N1000,"missing",,1))</f>
        <v>1574701.453</v>
      </c>
      <c r="AF900" s="37"/>
      <c r="AG900" s="37"/>
      <c r="AH900" s="37"/>
      <c r="AI900" s="37"/>
      <c r="AJ900" s="37"/>
      <c r="AK900" s="37"/>
      <c r="AL900" s="37"/>
      <c r="AM900" s="37"/>
      <c r="AN900" s="37"/>
      <c r="AO900" s="37"/>
      <c r="AP900" s="37"/>
      <c r="AQ900" s="37"/>
    </row>
    <row r="901">
      <c r="A901" s="55">
        <f t="shared" si="7"/>
        <v>73446</v>
      </c>
      <c r="B901" s="56">
        <f>round(YEARFRAC(EOMONTH(questions!$C$3, 0),A901,1),2)</f>
        <v>102.17</v>
      </c>
      <c r="C901" s="58">
        <f>IF(B901&lt;questions!$C$6,if(MONTH(A901)=1,C900*(1+questions!$C$12),C900),0)</f>
        <v>0</v>
      </c>
      <c r="D901" s="58">
        <f>IF(MONTH(A901)=12,C901*questions!$C$11,0)</f>
        <v>0</v>
      </c>
      <c r="E901" s="71">
        <f t="shared" si="2"/>
        <v>0</v>
      </c>
      <c r="F901" s="71">
        <f t="shared" si="3"/>
        <v>0</v>
      </c>
      <c r="G901" s="61">
        <f t="array" ref="G901">if(YEAR(A901)=2025,XLOOKUP(B901,Lookup!$A$3:$A$7,Lookup!$D$3:$D$7,,1)*SUM(E901:F901), XLOOKUP(B901,Lookup!$A$14:$A$18,Lookup!$D$14:$D$18,,1)*SUM(E901:F901))</f>
        <v>0</v>
      </c>
      <c r="H901" s="61">
        <f t="array" ref="H901">if(YEAR(A901)=2025,XLOOKUP(B901,Lookup!$F$3:$F$10,Lookup!$G$3:$G$10,,1)*G901, XLOOKUP(B901,Lookup!$F$14:$F$21,Lookup!$G$14:$G$21,,1)*G901)</f>
        <v>0</v>
      </c>
      <c r="I901" s="61">
        <f t="array" ref="I901">if(B901&lt;55, if(YEAR(A901)=2025,XLOOKUP(B901,Lookup!$F$3:$F$10,Lookup!$H$3:$H$10,,1)*G901, XLOOKUP(B901,Lookup!$F$14:$F$21,Lookup!$H$14:$H$21,,1)*G901),0)</f>
        <v>0</v>
      </c>
      <c r="J901" s="61">
        <f t="array" ref="J901">if(YEAR(A901)=2025,XLOOKUP(B901,Lookup!$F$3:$F$10,Lookup!$I$3:$I$10,,1)*G901, XLOOKUP(B901,Lookup!$F$14:$F$21,Lookup!$I$14:$I$21,,1)*G901)</f>
        <v>0</v>
      </c>
      <c r="K901" s="61">
        <f t="array" ref="K901">if(B901&gt;54, if(YEAR(A901)=2025,XLOOKUP(B901,Lookup!$F$3:$F$10,Lookup!$H$3:$H$10,,1)*G901, XLOOKUP(B901,Lookup!$F$14:$F$21,Lookup!$H$14:$H$21,,1)*G901),0)</f>
        <v>0</v>
      </c>
      <c r="L901" s="62">
        <f>IF(and(A901&lt;questions!$C$19,questions!$C$18="yes"),questions!$C$20,0)</f>
        <v>0</v>
      </c>
      <c r="M901" s="63">
        <f>(Y900+H901)*Lookup!A$26/12</f>
        <v>5139.108075</v>
      </c>
      <c r="N901" s="63">
        <f>if(B901&lt;55, (Z900+I901)*Lookup!B$26/12, (AB900+K901)*Lookup!B$26/12)</f>
        <v>13518.48628</v>
      </c>
      <c r="O901" s="63">
        <f>(AA900+J901)*Lookup!C$26/12</f>
        <v>940.3700287</v>
      </c>
      <c r="P901" s="63">
        <f t="shared" si="8"/>
        <v>5139.108075</v>
      </c>
      <c r="Q901" s="63">
        <f t="shared" si="4"/>
        <v>13518.48628</v>
      </c>
      <c r="R901" s="63">
        <f t="shared" si="5"/>
        <v>940.3700287</v>
      </c>
      <c r="S901" s="64">
        <f t="shared" si="9"/>
        <v>33.33333333</v>
      </c>
      <c r="T901" s="64">
        <f t="shared" si="10"/>
        <v>41.66666667</v>
      </c>
      <c r="U901" s="64">
        <f t="shared" si="11"/>
        <v>0</v>
      </c>
      <c r="V901" s="64">
        <f t="shared" ref="V901:X901" si="909">IF(year($A901)=year($A900), V900+S901, S901)</f>
        <v>33.33333333</v>
      </c>
      <c r="W901" s="64">
        <f t="shared" si="909"/>
        <v>41.66666667</v>
      </c>
      <c r="X901" s="64">
        <f t="shared" si="909"/>
        <v>0</v>
      </c>
      <c r="Y901" s="65">
        <f>IFS(
  B901&lt;55,
    MAX(
      Y900 + IF(MONTH(A901)=12, P901+V901, 0) + H901 - L901
      + MAX(0,
          IF(AA900 &gt;= VLOOKUP(YEAR(A901), Lookup!$Q:$R, 2),
            Z900 + IF(MONTH(A901)=12, Q901+W901, 0) + I901
              + AA900 + IF(MONTH(A901)=12, R901+X901, 0)
              - VLOOKUP(YEAR(A901), Lookup!$Q:$R, 2) + J901,
            Z900 + IF(MONTH(A901)=12, Q901+W901, 0) + I901
          ) - VLOOKUP(YEAR(A901), Lookup!$K:$M, 3)
        ),
    0),
  B901=55,
    IF(Z900&gt;=AD901,
      MAX(Y900 + IF(MONTH(A901)=12, P901+V901, 0) + H901 - L901, 0),
      MAX(MAX(0, Y900-(AD901-Z900)) + IF(MONTH(A901)=12, P901+V901, 0) + H901 - L901, 0)
    ),
  B901&gt;55,
    IF(AB900&gt;=$AH$7,
      MAX(Y900 + IF(MONTH(A901)=12, P901+V901, 0) + H901 - L901 + K901 + Z900, 0),
      MAX(Y900 + IF(MONTH(A901)=12, P901+V901, 0) + H901 - L901, 0)
    )
)</f>
        <v>2466771.876</v>
      </c>
      <c r="Z901" s="65">
        <f>IFS(
  B901&lt;55,
    MIN(
      IF(AA900 &gt;= VLOOKUP(YEAR(A901), Lookup!$Q:$R, 2),
        Z900 + IF(MONTH(A901)=12, Q901+W901, 0) + I901
          + AA900 + IF(MONTH(A901)=12, R901+X901, 0) - VLOOKUP(YEAR(A901), Lookup!$Q:$R, 2) + J901,
        Z900 + IF(MONTH(A901)=12, Q901+W901, 0) + I901
      ),
      VLOOKUP(YEAR(A901), Lookup!$K:$M, 3)
    ),
  B901=55,
    IF(Z900 &gt;= AD901, Z900 - AD901, 0),
  B901&gt;55, 0
)</f>
        <v>0</v>
      </c>
      <c r="AA901" s="65">
        <f>IFS(
  B901&lt;65,
    IF(AA900+J901 &lt; VLOOKUP(YEAR(A901), Lookup!$Q:$R, 2),
      AA900 + IF(MONTH(A901)=12, R900+X900, 0) + J901,
      MIN(
        AA900 + IF(MONTH(A901)=12, R900+X900, 0) + J901 ,
        VLOOKUP(YEAR(A901), Lookup!$Q:$R, 2)
      )
    ),
  B901&gt;=65,
    IF(AA900+J901 &lt; VLOOKUP(questions!$C$5, Lookup!$Q:$R, 2),
      AA900 + IF(MONTH(A901)=12, R900+X900, 0) + J901 ,
      MIN(
        AA900 + IF(MONTH(A901)=12, R900+X900, 0) + J901,
        VLOOKUP(questions!$C$5, Lookup!$Q:$R, 2)
      )
    )
)</f>
        <v>282111.0086</v>
      </c>
      <c r="AB901" s="65">
        <f t="shared" si="13"/>
        <v>4055545.885</v>
      </c>
      <c r="AC901" s="66">
        <f t="array" ref="AC901">IFS(B901&lt;66, XLOOKUP(year(A901),Lookup!$K$13:$K1000,Lookup!$L$13:$L1000,"missing",,1),B901&gt;65,XLOOKUP(questions!$C$5,Lookup!$K$13:$K1000,Lookup!$L$13:$L1000,"missing",,1))</f>
        <v>393675.3633</v>
      </c>
      <c r="AD901" s="66">
        <f t="array" ref="AD901">IFS(B901&lt;66, XLOOKUP(year(A901),Lookup!$K$13:$K1000,Lookup!$M$13:$M1000,"missing",,1),B901&gt;65, XLOOKUP(questions!$C$5,Lookup!$K$13:$K1000,Lookup!$M$13:$M1000,"missing",,1))</f>
        <v>787350.7266</v>
      </c>
      <c r="AE901" s="66">
        <f t="array" ref="AE901">IFS(B901&lt;66, XLOOKUP(year(A901),Lookup!$K$13:$K1000,Lookup!$N$13:$N1000,"missing",,1),B901&gt;65,XLOOKUP(questions!$C$5,Lookup!$K$13:$K1000,Lookup!$N$13:$N1000,"missing",,1))</f>
        <v>1574701.453</v>
      </c>
      <c r="AF901" s="37"/>
      <c r="AG901" s="37"/>
      <c r="AH901" s="37"/>
      <c r="AI901" s="37"/>
      <c r="AJ901" s="37"/>
      <c r="AK901" s="37"/>
      <c r="AL901" s="37"/>
      <c r="AM901" s="37"/>
      <c r="AN901" s="37"/>
      <c r="AO901" s="37"/>
      <c r="AP901" s="37"/>
      <c r="AQ901" s="37"/>
    </row>
    <row r="902">
      <c r="A902" s="55">
        <f t="shared" si="7"/>
        <v>73474</v>
      </c>
      <c r="B902" s="56">
        <f>round(YEARFRAC(EOMONTH(questions!$C$3, 0),A902,1),2)</f>
        <v>102.25</v>
      </c>
      <c r="C902" s="58">
        <f>IF(B902&lt;questions!$C$6,if(MONTH(A902)=1,C901*(1+questions!$C$12),C901),0)</f>
        <v>0</v>
      </c>
      <c r="D902" s="58">
        <f>IF(MONTH(A902)=12,C902*questions!$C$11,0)</f>
        <v>0</v>
      </c>
      <c r="E902" s="71">
        <f t="shared" si="2"/>
        <v>0</v>
      </c>
      <c r="F902" s="71">
        <f t="shared" si="3"/>
        <v>0</v>
      </c>
      <c r="G902" s="61">
        <f t="array" ref="G902">if(YEAR(A902)=2025,XLOOKUP(B902,Lookup!$A$3:$A$7,Lookup!$D$3:$D$7,,1)*SUM(E902:F902), XLOOKUP(B902,Lookup!$A$14:$A$18,Lookup!$D$14:$D$18,,1)*SUM(E902:F902))</f>
        <v>0</v>
      </c>
      <c r="H902" s="61">
        <f t="array" ref="H902">if(YEAR(A902)=2025,XLOOKUP(B902,Lookup!$F$3:$F$10,Lookup!$G$3:$G$10,,1)*G902, XLOOKUP(B902,Lookup!$F$14:$F$21,Lookup!$G$14:$G$21,,1)*G902)</f>
        <v>0</v>
      </c>
      <c r="I902" s="61">
        <f t="array" ref="I902">if(B902&lt;55, if(YEAR(A902)=2025,XLOOKUP(B902,Lookup!$F$3:$F$10,Lookup!$H$3:$H$10,,1)*G902, XLOOKUP(B902,Lookup!$F$14:$F$21,Lookup!$H$14:$H$21,,1)*G902),0)</f>
        <v>0</v>
      </c>
      <c r="J902" s="61">
        <f t="array" ref="J902">if(YEAR(A902)=2025,XLOOKUP(B902,Lookup!$F$3:$F$10,Lookup!$I$3:$I$10,,1)*G902, XLOOKUP(B902,Lookup!$F$14:$F$21,Lookup!$I$14:$I$21,,1)*G902)</f>
        <v>0</v>
      </c>
      <c r="K902" s="61">
        <f t="array" ref="K902">if(B902&gt;54, if(YEAR(A902)=2025,XLOOKUP(B902,Lookup!$F$3:$F$10,Lookup!$H$3:$H$10,,1)*G902, XLOOKUP(B902,Lookup!$F$14:$F$21,Lookup!$H$14:$H$21,,1)*G902),0)</f>
        <v>0</v>
      </c>
      <c r="L902" s="62">
        <f>IF(and(A902&lt;questions!$C$19,questions!$C$18="yes"),questions!$C$20,0)</f>
        <v>0</v>
      </c>
      <c r="M902" s="63">
        <f>(Y901+H902)*Lookup!A$26/12</f>
        <v>5139.108075</v>
      </c>
      <c r="N902" s="63">
        <f>if(B902&lt;55, (Z901+I902)*Lookup!B$26/12, (AB901+K902)*Lookup!B$26/12)</f>
        <v>13518.48628</v>
      </c>
      <c r="O902" s="63">
        <f>(AA901+J902)*Lookup!C$26/12</f>
        <v>940.3700287</v>
      </c>
      <c r="P902" s="63">
        <f t="shared" si="8"/>
        <v>10278.21615</v>
      </c>
      <c r="Q902" s="63">
        <f t="shared" si="4"/>
        <v>27036.97257</v>
      </c>
      <c r="R902" s="63">
        <f t="shared" si="5"/>
        <v>1880.740057</v>
      </c>
      <c r="S902" s="64">
        <f t="shared" si="9"/>
        <v>33.33333333</v>
      </c>
      <c r="T902" s="64">
        <f t="shared" si="10"/>
        <v>41.66666667</v>
      </c>
      <c r="U902" s="64">
        <f t="shared" si="11"/>
        <v>0</v>
      </c>
      <c r="V902" s="64">
        <f t="shared" ref="V902:X902" si="910">IF(year($A902)=year($A901), V901+S902, S902)</f>
        <v>66.66666667</v>
      </c>
      <c r="W902" s="64">
        <f t="shared" si="910"/>
        <v>83.33333333</v>
      </c>
      <c r="X902" s="64">
        <f t="shared" si="910"/>
        <v>0</v>
      </c>
      <c r="Y902" s="65">
        <f>IFS(
  B902&lt;55,
    MAX(
      Y901 + IF(MONTH(A902)=12, P902+V902, 0) + H902 - L902
      + MAX(0,
          IF(AA901 &gt;= VLOOKUP(YEAR(A902), Lookup!$Q:$R, 2),
            Z901 + IF(MONTH(A902)=12, Q902+W902, 0) + I902
              + AA901 + IF(MONTH(A902)=12, R902+X902, 0)
              - VLOOKUP(YEAR(A902), Lookup!$Q:$R, 2) + J902,
            Z901 + IF(MONTH(A902)=12, Q902+W902, 0) + I902
          ) - VLOOKUP(YEAR(A902), Lookup!$K:$M, 3)
        ),
    0),
  B902=55,
    IF(Z901&gt;=AD902,
      MAX(Y901 + IF(MONTH(A902)=12, P902+V902, 0) + H902 - L902, 0),
      MAX(MAX(0, Y901-(AD902-Z901)) + IF(MONTH(A902)=12, P902+V902, 0) + H902 - L902, 0)
    ),
  B902&gt;55,
    IF(AB901&gt;=$AH$7,
      MAX(Y901 + IF(MONTH(A902)=12, P902+V902, 0) + H902 - L902 + K902 + Z901, 0),
      MAX(Y901 + IF(MONTH(A902)=12, P902+V902, 0) + H902 - L902, 0)
    )
)</f>
        <v>2466771.876</v>
      </c>
      <c r="Z902" s="65">
        <f>IFS(
  B902&lt;55,
    MIN(
      IF(AA901 &gt;= VLOOKUP(YEAR(A902), Lookup!$Q:$R, 2),
        Z901 + IF(MONTH(A902)=12, Q902+W902, 0) + I902
          + AA901 + IF(MONTH(A902)=12, R902+X902, 0) - VLOOKUP(YEAR(A902), Lookup!$Q:$R, 2) + J902,
        Z901 + IF(MONTH(A902)=12, Q902+W902, 0) + I902
      ),
      VLOOKUP(YEAR(A902), Lookup!$K:$M, 3)
    ),
  B902=55,
    IF(Z901 &gt;= AD902, Z901 - AD902, 0),
  B902&gt;55, 0
)</f>
        <v>0</v>
      </c>
      <c r="AA902" s="65">
        <f>IFS(
  B902&lt;65,
    IF(AA901+J902 &lt; VLOOKUP(YEAR(A902), Lookup!$Q:$R, 2),
      AA901 + IF(MONTH(A902)=12, R901+X901, 0) + J902,
      MIN(
        AA901 + IF(MONTH(A902)=12, R901+X901, 0) + J902 ,
        VLOOKUP(YEAR(A902), Lookup!$Q:$R, 2)
      )
    ),
  B902&gt;=65,
    IF(AA901+J902 &lt; VLOOKUP(questions!$C$5, Lookup!$Q:$R, 2),
      AA901 + IF(MONTH(A902)=12, R901+X901, 0) + J902 ,
      MIN(
        AA901 + IF(MONTH(A902)=12, R901+X901, 0) + J902,
        VLOOKUP(questions!$C$5, Lookup!$Q:$R, 2)
      )
    )
)</f>
        <v>282111.0086</v>
      </c>
      <c r="AB902" s="65">
        <f t="shared" si="13"/>
        <v>4055545.885</v>
      </c>
      <c r="AC902" s="66">
        <f t="array" ref="AC902">IFS(B902&lt;66, XLOOKUP(year(A902),Lookup!$K$13:$K1000,Lookup!$L$13:$L1000,"missing",,1),B902&gt;65,XLOOKUP(questions!$C$5,Lookup!$K$13:$K1000,Lookup!$L$13:$L1000,"missing",,1))</f>
        <v>393675.3633</v>
      </c>
      <c r="AD902" s="66">
        <f t="array" ref="AD902">IFS(B902&lt;66, XLOOKUP(year(A902),Lookup!$K$13:$K1000,Lookup!$M$13:$M1000,"missing",,1),B902&gt;65, XLOOKUP(questions!$C$5,Lookup!$K$13:$K1000,Lookup!$M$13:$M1000,"missing",,1))</f>
        <v>787350.7266</v>
      </c>
      <c r="AE902" s="66">
        <f t="array" ref="AE902">IFS(B902&lt;66, XLOOKUP(year(A902),Lookup!$K$13:$K1000,Lookup!$N$13:$N1000,"missing",,1),B902&gt;65,XLOOKUP(questions!$C$5,Lookup!$K$13:$K1000,Lookup!$N$13:$N1000,"missing",,1))</f>
        <v>1574701.453</v>
      </c>
      <c r="AF902" s="37"/>
      <c r="AG902" s="37"/>
      <c r="AH902" s="37"/>
      <c r="AI902" s="37"/>
      <c r="AJ902" s="37"/>
      <c r="AK902" s="37"/>
      <c r="AL902" s="37"/>
      <c r="AM902" s="37"/>
      <c r="AN902" s="37"/>
      <c r="AO902" s="37"/>
      <c r="AP902" s="37"/>
      <c r="AQ902" s="37"/>
    </row>
    <row r="903">
      <c r="A903" s="55">
        <f t="shared" si="7"/>
        <v>73505</v>
      </c>
      <c r="B903" s="56">
        <f>round(YEARFRAC(EOMONTH(questions!$C$3, 0),A903,1),2)</f>
        <v>102.33</v>
      </c>
      <c r="C903" s="58">
        <f>IF(B903&lt;questions!$C$6,if(MONTH(A903)=1,C902*(1+questions!$C$12),C902),0)</f>
        <v>0</v>
      </c>
      <c r="D903" s="58">
        <f>IF(MONTH(A903)=12,C903*questions!$C$11,0)</f>
        <v>0</v>
      </c>
      <c r="E903" s="71">
        <f t="shared" si="2"/>
        <v>0</v>
      </c>
      <c r="F903" s="71">
        <f t="shared" si="3"/>
        <v>0</v>
      </c>
      <c r="G903" s="61">
        <f t="array" ref="G903">if(YEAR(A903)=2025,XLOOKUP(B903,Lookup!$A$3:$A$7,Lookup!$D$3:$D$7,,1)*SUM(E903:F903), XLOOKUP(B903,Lookup!$A$14:$A$18,Lookup!$D$14:$D$18,,1)*SUM(E903:F903))</f>
        <v>0</v>
      </c>
      <c r="H903" s="61">
        <f t="array" ref="H903">if(YEAR(A903)=2025,XLOOKUP(B903,Lookup!$F$3:$F$10,Lookup!$G$3:$G$10,,1)*G903, XLOOKUP(B903,Lookup!$F$14:$F$21,Lookup!$G$14:$G$21,,1)*G903)</f>
        <v>0</v>
      </c>
      <c r="I903" s="61">
        <f t="array" ref="I903">if(B903&lt;55, if(YEAR(A903)=2025,XLOOKUP(B903,Lookup!$F$3:$F$10,Lookup!$H$3:$H$10,,1)*G903, XLOOKUP(B903,Lookup!$F$14:$F$21,Lookup!$H$14:$H$21,,1)*G903),0)</f>
        <v>0</v>
      </c>
      <c r="J903" s="61">
        <f t="array" ref="J903">if(YEAR(A903)=2025,XLOOKUP(B903,Lookup!$F$3:$F$10,Lookup!$I$3:$I$10,,1)*G903, XLOOKUP(B903,Lookup!$F$14:$F$21,Lookup!$I$14:$I$21,,1)*G903)</f>
        <v>0</v>
      </c>
      <c r="K903" s="61">
        <f t="array" ref="K903">if(B903&gt;54, if(YEAR(A903)=2025,XLOOKUP(B903,Lookup!$F$3:$F$10,Lookup!$H$3:$H$10,,1)*G903, XLOOKUP(B903,Lookup!$F$14:$F$21,Lookup!$H$14:$H$21,,1)*G903),0)</f>
        <v>0</v>
      </c>
      <c r="L903" s="62">
        <f>IF(and(A903&lt;questions!$C$19,questions!$C$18="yes"),questions!$C$20,0)</f>
        <v>0</v>
      </c>
      <c r="M903" s="63">
        <f>(Y902+H903)*Lookup!A$26/12</f>
        <v>5139.108075</v>
      </c>
      <c r="N903" s="63">
        <f>if(B903&lt;55, (Z902+I903)*Lookup!B$26/12, (AB902+K903)*Lookup!B$26/12)</f>
        <v>13518.48628</v>
      </c>
      <c r="O903" s="63">
        <f>(AA902+J903)*Lookup!C$26/12</f>
        <v>940.3700287</v>
      </c>
      <c r="P903" s="63">
        <f t="shared" si="8"/>
        <v>15417.32422</v>
      </c>
      <c r="Q903" s="63">
        <f t="shared" si="4"/>
        <v>40555.45885</v>
      </c>
      <c r="R903" s="63">
        <f t="shared" si="5"/>
        <v>2821.110086</v>
      </c>
      <c r="S903" s="64">
        <f t="shared" si="9"/>
        <v>33.33333333</v>
      </c>
      <c r="T903" s="64">
        <f t="shared" si="10"/>
        <v>41.66666667</v>
      </c>
      <c r="U903" s="64">
        <f t="shared" si="11"/>
        <v>0</v>
      </c>
      <c r="V903" s="64">
        <f t="shared" ref="V903:X903" si="911">IF(year($A903)=year($A902), V902+S903, S903)</f>
        <v>100</v>
      </c>
      <c r="W903" s="64">
        <f t="shared" si="911"/>
        <v>125</v>
      </c>
      <c r="X903" s="64">
        <f t="shared" si="911"/>
        <v>0</v>
      </c>
      <c r="Y903" s="65">
        <f>IFS(
  B903&lt;55,
    MAX(
      Y902 + IF(MONTH(A903)=12, P903+V903, 0) + H903 - L903
      + MAX(0,
          IF(AA902 &gt;= VLOOKUP(YEAR(A903), Lookup!$Q:$R, 2),
            Z902 + IF(MONTH(A903)=12, Q903+W903, 0) + I903
              + AA902 + IF(MONTH(A903)=12, R903+X903, 0)
              - VLOOKUP(YEAR(A903), Lookup!$Q:$R, 2) + J903,
            Z902 + IF(MONTH(A903)=12, Q903+W903, 0) + I903
          ) - VLOOKUP(YEAR(A903), Lookup!$K:$M, 3)
        ),
    0),
  B903=55,
    IF(Z902&gt;=AD903,
      MAX(Y902 + IF(MONTH(A903)=12, P903+V903, 0) + H903 - L903, 0),
      MAX(MAX(0, Y902-(AD903-Z902)) + IF(MONTH(A903)=12, P903+V903, 0) + H903 - L903, 0)
    ),
  B903&gt;55,
    IF(AB902&gt;=$AH$7,
      MAX(Y902 + IF(MONTH(A903)=12, P903+V903, 0) + H903 - L903 + K903 + Z902, 0),
      MAX(Y902 + IF(MONTH(A903)=12, P903+V903, 0) + H903 - L903, 0)
    )
)</f>
        <v>2466771.876</v>
      </c>
      <c r="Z903" s="65">
        <f>IFS(
  B903&lt;55,
    MIN(
      IF(AA902 &gt;= VLOOKUP(YEAR(A903), Lookup!$Q:$R, 2),
        Z902 + IF(MONTH(A903)=12, Q903+W903, 0) + I903
          + AA902 + IF(MONTH(A903)=12, R903+X903, 0) - VLOOKUP(YEAR(A903), Lookup!$Q:$R, 2) + J903,
        Z902 + IF(MONTH(A903)=12, Q903+W903, 0) + I903
      ),
      VLOOKUP(YEAR(A903), Lookup!$K:$M, 3)
    ),
  B903=55,
    IF(Z902 &gt;= AD903, Z902 - AD903, 0),
  B903&gt;55, 0
)</f>
        <v>0</v>
      </c>
      <c r="AA903" s="65">
        <f>IFS(
  B903&lt;65,
    IF(AA902+J903 &lt; VLOOKUP(YEAR(A903), Lookup!$Q:$R, 2),
      AA902 + IF(MONTH(A903)=12, R902+X902, 0) + J903,
      MIN(
        AA902 + IF(MONTH(A903)=12, R902+X902, 0) + J903 ,
        VLOOKUP(YEAR(A903), Lookup!$Q:$R, 2)
      )
    ),
  B903&gt;=65,
    IF(AA902+J903 &lt; VLOOKUP(questions!$C$5, Lookup!$Q:$R, 2),
      AA902 + IF(MONTH(A903)=12, R902+X902, 0) + J903 ,
      MIN(
        AA902 + IF(MONTH(A903)=12, R902+X902, 0) + J903,
        VLOOKUP(questions!$C$5, Lookup!$Q:$R, 2)
      )
    )
)</f>
        <v>282111.0086</v>
      </c>
      <c r="AB903" s="65">
        <f t="shared" si="13"/>
        <v>4055545.885</v>
      </c>
      <c r="AC903" s="66">
        <f t="array" ref="AC903">IFS(B903&lt;66, XLOOKUP(year(A903),Lookup!$K$13:$K1000,Lookup!$L$13:$L1000,"missing",,1),B903&gt;65,XLOOKUP(questions!$C$5,Lookup!$K$13:$K1000,Lookup!$L$13:$L1000,"missing",,1))</f>
        <v>393675.3633</v>
      </c>
      <c r="AD903" s="66">
        <f t="array" ref="AD903">IFS(B903&lt;66, XLOOKUP(year(A903),Lookup!$K$13:$K1000,Lookup!$M$13:$M1000,"missing",,1),B903&gt;65, XLOOKUP(questions!$C$5,Lookup!$K$13:$K1000,Lookup!$M$13:$M1000,"missing",,1))</f>
        <v>787350.7266</v>
      </c>
      <c r="AE903" s="66">
        <f t="array" ref="AE903">IFS(B903&lt;66, XLOOKUP(year(A903),Lookup!$K$13:$K1000,Lookup!$N$13:$N1000,"missing",,1),B903&gt;65,XLOOKUP(questions!$C$5,Lookup!$K$13:$K1000,Lookup!$N$13:$N1000,"missing",,1))</f>
        <v>1574701.453</v>
      </c>
      <c r="AF903" s="37"/>
      <c r="AG903" s="37"/>
      <c r="AH903" s="37"/>
      <c r="AI903" s="37"/>
      <c r="AJ903" s="37"/>
      <c r="AK903" s="37"/>
      <c r="AL903" s="37"/>
      <c r="AM903" s="37"/>
      <c r="AN903" s="37"/>
      <c r="AO903" s="37"/>
      <c r="AP903" s="37"/>
      <c r="AQ903" s="37"/>
    </row>
    <row r="904">
      <c r="A904" s="55">
        <f t="shared" si="7"/>
        <v>73535</v>
      </c>
      <c r="B904" s="56">
        <f>round(YEARFRAC(EOMONTH(questions!$C$3, 0),A904,1),2)</f>
        <v>102.41</v>
      </c>
      <c r="C904" s="58">
        <f>IF(B904&lt;questions!$C$6,if(MONTH(A904)=1,C903*(1+questions!$C$12),C903),0)</f>
        <v>0</v>
      </c>
      <c r="D904" s="58">
        <f>IF(MONTH(A904)=12,C904*questions!$C$11,0)</f>
        <v>0</v>
      </c>
      <c r="E904" s="71">
        <f t="shared" si="2"/>
        <v>0</v>
      </c>
      <c r="F904" s="71">
        <f t="shared" si="3"/>
        <v>0</v>
      </c>
      <c r="G904" s="61">
        <f t="array" ref="G904">if(YEAR(A904)=2025,XLOOKUP(B904,Lookup!$A$3:$A$7,Lookup!$D$3:$D$7,,1)*SUM(E904:F904), XLOOKUP(B904,Lookup!$A$14:$A$18,Lookup!$D$14:$D$18,,1)*SUM(E904:F904))</f>
        <v>0</v>
      </c>
      <c r="H904" s="61">
        <f t="array" ref="H904">if(YEAR(A904)=2025,XLOOKUP(B904,Lookup!$F$3:$F$10,Lookup!$G$3:$G$10,,1)*G904, XLOOKUP(B904,Lookup!$F$14:$F$21,Lookup!$G$14:$G$21,,1)*G904)</f>
        <v>0</v>
      </c>
      <c r="I904" s="61">
        <f t="array" ref="I904">if(B904&lt;55, if(YEAR(A904)=2025,XLOOKUP(B904,Lookup!$F$3:$F$10,Lookup!$H$3:$H$10,,1)*G904, XLOOKUP(B904,Lookup!$F$14:$F$21,Lookup!$H$14:$H$21,,1)*G904),0)</f>
        <v>0</v>
      </c>
      <c r="J904" s="61">
        <f t="array" ref="J904">if(YEAR(A904)=2025,XLOOKUP(B904,Lookup!$F$3:$F$10,Lookup!$I$3:$I$10,,1)*G904, XLOOKUP(B904,Lookup!$F$14:$F$21,Lookup!$I$14:$I$21,,1)*G904)</f>
        <v>0</v>
      </c>
      <c r="K904" s="61">
        <f t="array" ref="K904">if(B904&gt;54, if(YEAR(A904)=2025,XLOOKUP(B904,Lookup!$F$3:$F$10,Lookup!$H$3:$H$10,,1)*G904, XLOOKUP(B904,Lookup!$F$14:$F$21,Lookup!$H$14:$H$21,,1)*G904),0)</f>
        <v>0</v>
      </c>
      <c r="L904" s="62">
        <f>IF(and(A904&lt;questions!$C$19,questions!$C$18="yes"),questions!$C$20,0)</f>
        <v>0</v>
      </c>
      <c r="M904" s="63">
        <f>(Y903+H904)*Lookup!A$26/12</f>
        <v>5139.108075</v>
      </c>
      <c r="N904" s="63">
        <f>if(B904&lt;55, (Z903+I904)*Lookup!B$26/12, (AB903+K904)*Lookup!B$26/12)</f>
        <v>13518.48628</v>
      </c>
      <c r="O904" s="63">
        <f>(AA903+J904)*Lookup!C$26/12</f>
        <v>940.3700287</v>
      </c>
      <c r="P904" s="63">
        <f t="shared" si="8"/>
        <v>20556.4323</v>
      </c>
      <c r="Q904" s="63">
        <f t="shared" si="4"/>
        <v>54073.94514</v>
      </c>
      <c r="R904" s="63">
        <f t="shared" si="5"/>
        <v>3761.480115</v>
      </c>
      <c r="S904" s="64">
        <f t="shared" si="9"/>
        <v>33.33333333</v>
      </c>
      <c r="T904" s="64">
        <f t="shared" si="10"/>
        <v>41.66666667</v>
      </c>
      <c r="U904" s="64">
        <f t="shared" si="11"/>
        <v>0</v>
      </c>
      <c r="V904" s="64">
        <f t="shared" ref="V904:X904" si="912">IF(year($A904)=year($A903), V903+S904, S904)</f>
        <v>133.3333333</v>
      </c>
      <c r="W904" s="64">
        <f t="shared" si="912"/>
        <v>166.6666667</v>
      </c>
      <c r="X904" s="64">
        <f t="shared" si="912"/>
        <v>0</v>
      </c>
      <c r="Y904" s="65">
        <f>IFS(
  B904&lt;55,
    MAX(
      Y903 + IF(MONTH(A904)=12, P904+V904, 0) + H904 - L904
      + MAX(0,
          IF(AA903 &gt;= VLOOKUP(YEAR(A904), Lookup!$Q:$R, 2),
            Z903 + IF(MONTH(A904)=12, Q904+W904, 0) + I904
              + AA903 + IF(MONTH(A904)=12, R904+X904, 0)
              - VLOOKUP(YEAR(A904), Lookup!$Q:$R, 2) + J904,
            Z903 + IF(MONTH(A904)=12, Q904+W904, 0) + I904
          ) - VLOOKUP(YEAR(A904), Lookup!$K:$M, 3)
        ),
    0),
  B904=55,
    IF(Z903&gt;=AD904,
      MAX(Y903 + IF(MONTH(A904)=12, P904+V904, 0) + H904 - L904, 0),
      MAX(MAX(0, Y903-(AD904-Z903)) + IF(MONTH(A904)=12, P904+V904, 0) + H904 - L904, 0)
    ),
  B904&gt;55,
    IF(AB903&gt;=$AH$7,
      MAX(Y903 + IF(MONTH(A904)=12, P904+V904, 0) + H904 - L904 + K904 + Z903, 0),
      MAX(Y903 + IF(MONTH(A904)=12, P904+V904, 0) + H904 - L904, 0)
    )
)</f>
        <v>2466771.876</v>
      </c>
      <c r="Z904" s="65">
        <f>IFS(
  B904&lt;55,
    MIN(
      IF(AA903 &gt;= VLOOKUP(YEAR(A904), Lookup!$Q:$R, 2),
        Z903 + IF(MONTH(A904)=12, Q904+W904, 0) + I904
          + AA903 + IF(MONTH(A904)=12, R904+X904, 0) - VLOOKUP(YEAR(A904), Lookup!$Q:$R, 2) + J904,
        Z903 + IF(MONTH(A904)=12, Q904+W904, 0) + I904
      ),
      VLOOKUP(YEAR(A904), Lookup!$K:$M, 3)
    ),
  B904=55,
    IF(Z903 &gt;= AD904, Z903 - AD904, 0),
  B904&gt;55, 0
)</f>
        <v>0</v>
      </c>
      <c r="AA904" s="65">
        <f>IFS(
  B904&lt;65,
    IF(AA903+J904 &lt; VLOOKUP(YEAR(A904), Lookup!$Q:$R, 2),
      AA903 + IF(MONTH(A904)=12, R903+X903, 0) + J904,
      MIN(
        AA903 + IF(MONTH(A904)=12, R903+X903, 0) + J904 ,
        VLOOKUP(YEAR(A904), Lookup!$Q:$R, 2)
      )
    ),
  B904&gt;=65,
    IF(AA903+J904 &lt; VLOOKUP(questions!$C$5, Lookup!$Q:$R, 2),
      AA903 + IF(MONTH(A904)=12, R903+X903, 0) + J904 ,
      MIN(
        AA903 + IF(MONTH(A904)=12, R903+X903, 0) + J904,
        VLOOKUP(questions!$C$5, Lookup!$Q:$R, 2)
      )
    )
)</f>
        <v>282111.0086</v>
      </c>
      <c r="AB904" s="65">
        <f t="shared" si="13"/>
        <v>4055545.885</v>
      </c>
      <c r="AC904" s="66">
        <f t="array" ref="AC904">IFS(B904&lt;66, XLOOKUP(year(A904),Lookup!$K$13:$K1000,Lookup!$L$13:$L1000,"missing",,1),B904&gt;65,XLOOKUP(questions!$C$5,Lookup!$K$13:$K1000,Lookup!$L$13:$L1000,"missing",,1))</f>
        <v>393675.3633</v>
      </c>
      <c r="AD904" s="66">
        <f t="array" ref="AD904">IFS(B904&lt;66, XLOOKUP(year(A904),Lookup!$K$13:$K1000,Lookup!$M$13:$M1000,"missing",,1),B904&gt;65, XLOOKUP(questions!$C$5,Lookup!$K$13:$K1000,Lookup!$M$13:$M1000,"missing",,1))</f>
        <v>787350.7266</v>
      </c>
      <c r="AE904" s="66">
        <f t="array" ref="AE904">IFS(B904&lt;66, XLOOKUP(year(A904),Lookup!$K$13:$K1000,Lookup!$N$13:$N1000,"missing",,1),B904&gt;65,XLOOKUP(questions!$C$5,Lookup!$K$13:$K1000,Lookup!$N$13:$N1000,"missing",,1))</f>
        <v>1574701.453</v>
      </c>
      <c r="AF904" s="37"/>
      <c r="AG904" s="37"/>
      <c r="AH904" s="37"/>
      <c r="AI904" s="37"/>
      <c r="AJ904" s="37"/>
      <c r="AK904" s="37"/>
      <c r="AL904" s="37"/>
      <c r="AM904" s="37"/>
      <c r="AN904" s="37"/>
      <c r="AO904" s="37"/>
      <c r="AP904" s="37"/>
      <c r="AQ904" s="37"/>
    </row>
    <row r="905">
      <c r="A905" s="55">
        <f t="shared" si="7"/>
        <v>73566</v>
      </c>
      <c r="B905" s="56">
        <f>round(YEARFRAC(EOMONTH(questions!$C$3, 0),A905,1),2)</f>
        <v>102.5</v>
      </c>
      <c r="C905" s="58">
        <f>IF(B905&lt;questions!$C$6,if(MONTH(A905)=1,C904*(1+questions!$C$12),C904),0)</f>
        <v>0</v>
      </c>
      <c r="D905" s="58">
        <f>IF(MONTH(A905)=12,C905*questions!$C$11,0)</f>
        <v>0</v>
      </c>
      <c r="E905" s="71">
        <f t="shared" si="2"/>
        <v>0</v>
      </c>
      <c r="F905" s="71">
        <f t="shared" si="3"/>
        <v>0</v>
      </c>
      <c r="G905" s="61">
        <f t="array" ref="G905">if(YEAR(A905)=2025,XLOOKUP(B905,Lookup!$A$3:$A$7,Lookup!$D$3:$D$7,,1)*SUM(E905:F905), XLOOKUP(B905,Lookup!$A$14:$A$18,Lookup!$D$14:$D$18,,1)*SUM(E905:F905))</f>
        <v>0</v>
      </c>
      <c r="H905" s="61">
        <f t="array" ref="H905">if(YEAR(A905)=2025,XLOOKUP(B905,Lookup!$F$3:$F$10,Lookup!$G$3:$G$10,,1)*G905, XLOOKUP(B905,Lookup!$F$14:$F$21,Lookup!$G$14:$G$21,,1)*G905)</f>
        <v>0</v>
      </c>
      <c r="I905" s="61">
        <f t="array" ref="I905">if(B905&lt;55, if(YEAR(A905)=2025,XLOOKUP(B905,Lookup!$F$3:$F$10,Lookup!$H$3:$H$10,,1)*G905, XLOOKUP(B905,Lookup!$F$14:$F$21,Lookup!$H$14:$H$21,,1)*G905),0)</f>
        <v>0</v>
      </c>
      <c r="J905" s="61">
        <f t="array" ref="J905">if(YEAR(A905)=2025,XLOOKUP(B905,Lookup!$F$3:$F$10,Lookup!$I$3:$I$10,,1)*G905, XLOOKUP(B905,Lookup!$F$14:$F$21,Lookup!$I$14:$I$21,,1)*G905)</f>
        <v>0</v>
      </c>
      <c r="K905" s="61">
        <f t="array" ref="K905">if(B905&gt;54, if(YEAR(A905)=2025,XLOOKUP(B905,Lookup!$F$3:$F$10,Lookup!$H$3:$H$10,,1)*G905, XLOOKUP(B905,Lookup!$F$14:$F$21,Lookup!$H$14:$H$21,,1)*G905),0)</f>
        <v>0</v>
      </c>
      <c r="L905" s="62">
        <f>IF(and(A905&lt;questions!$C$19,questions!$C$18="yes"),questions!$C$20,0)</f>
        <v>0</v>
      </c>
      <c r="M905" s="63">
        <f>(Y904+H905)*Lookup!A$26/12</f>
        <v>5139.108075</v>
      </c>
      <c r="N905" s="63">
        <f>if(B905&lt;55, (Z904+I905)*Lookup!B$26/12, (AB904+K905)*Lookup!B$26/12)</f>
        <v>13518.48628</v>
      </c>
      <c r="O905" s="63">
        <f>(AA904+J905)*Lookup!C$26/12</f>
        <v>940.3700287</v>
      </c>
      <c r="P905" s="63">
        <f t="shared" si="8"/>
        <v>25695.54037</v>
      </c>
      <c r="Q905" s="63">
        <f t="shared" si="4"/>
        <v>67592.43142</v>
      </c>
      <c r="R905" s="63">
        <f t="shared" si="5"/>
        <v>4701.850143</v>
      </c>
      <c r="S905" s="64">
        <f t="shared" si="9"/>
        <v>33.33333333</v>
      </c>
      <c r="T905" s="64">
        <f t="shared" si="10"/>
        <v>41.66666667</v>
      </c>
      <c r="U905" s="64">
        <f t="shared" si="11"/>
        <v>0</v>
      </c>
      <c r="V905" s="64">
        <f t="shared" ref="V905:X905" si="913">IF(year($A905)=year($A904), V904+S905, S905)</f>
        <v>166.6666667</v>
      </c>
      <c r="W905" s="64">
        <f t="shared" si="913"/>
        <v>208.3333333</v>
      </c>
      <c r="X905" s="64">
        <f t="shared" si="913"/>
        <v>0</v>
      </c>
      <c r="Y905" s="65">
        <f>IFS(
  B905&lt;55,
    MAX(
      Y904 + IF(MONTH(A905)=12, P905+V905, 0) + H905 - L905
      + MAX(0,
          IF(AA904 &gt;= VLOOKUP(YEAR(A905), Lookup!$Q:$R, 2),
            Z904 + IF(MONTH(A905)=12, Q905+W905, 0) + I905
              + AA904 + IF(MONTH(A905)=12, R905+X905, 0)
              - VLOOKUP(YEAR(A905), Lookup!$Q:$R, 2) + J905,
            Z904 + IF(MONTH(A905)=12, Q905+W905, 0) + I905
          ) - VLOOKUP(YEAR(A905), Lookup!$K:$M, 3)
        ),
    0),
  B905=55,
    IF(Z904&gt;=AD905,
      MAX(Y904 + IF(MONTH(A905)=12, P905+V905, 0) + H905 - L905, 0),
      MAX(MAX(0, Y904-(AD905-Z904)) + IF(MONTH(A905)=12, P905+V905, 0) + H905 - L905, 0)
    ),
  B905&gt;55,
    IF(AB904&gt;=$AH$7,
      MAX(Y904 + IF(MONTH(A905)=12, P905+V905, 0) + H905 - L905 + K905 + Z904, 0),
      MAX(Y904 + IF(MONTH(A905)=12, P905+V905, 0) + H905 - L905, 0)
    )
)</f>
        <v>2466771.876</v>
      </c>
      <c r="Z905" s="65">
        <f>IFS(
  B905&lt;55,
    MIN(
      IF(AA904 &gt;= VLOOKUP(YEAR(A905), Lookup!$Q:$R, 2),
        Z904 + IF(MONTH(A905)=12, Q905+W905, 0) + I905
          + AA904 + IF(MONTH(A905)=12, R905+X905, 0) - VLOOKUP(YEAR(A905), Lookup!$Q:$R, 2) + J905,
        Z904 + IF(MONTH(A905)=12, Q905+W905, 0) + I905
      ),
      VLOOKUP(YEAR(A905), Lookup!$K:$M, 3)
    ),
  B905=55,
    IF(Z904 &gt;= AD905, Z904 - AD905, 0),
  B905&gt;55, 0
)</f>
        <v>0</v>
      </c>
      <c r="AA905" s="65">
        <f>IFS(
  B905&lt;65,
    IF(AA904+J905 &lt; VLOOKUP(YEAR(A905), Lookup!$Q:$R, 2),
      AA904 + IF(MONTH(A905)=12, R904+X904, 0) + J905,
      MIN(
        AA904 + IF(MONTH(A905)=12, R904+X904, 0) + J905 ,
        VLOOKUP(YEAR(A905), Lookup!$Q:$R, 2)
      )
    ),
  B905&gt;=65,
    IF(AA904+J905 &lt; VLOOKUP(questions!$C$5, Lookup!$Q:$R, 2),
      AA904 + IF(MONTH(A905)=12, R904+X904, 0) + J905 ,
      MIN(
        AA904 + IF(MONTH(A905)=12, R904+X904, 0) + J905,
        VLOOKUP(questions!$C$5, Lookup!$Q:$R, 2)
      )
    )
)</f>
        <v>282111.0086</v>
      </c>
      <c r="AB905" s="65">
        <f t="shared" si="13"/>
        <v>4055545.885</v>
      </c>
      <c r="AC905" s="66">
        <f t="array" ref="AC905">IFS(B905&lt;66, XLOOKUP(year(A905),Lookup!$K$13:$K1000,Lookup!$L$13:$L1000,"missing",,1),B905&gt;65,XLOOKUP(questions!$C$5,Lookup!$K$13:$K1000,Lookup!$L$13:$L1000,"missing",,1))</f>
        <v>393675.3633</v>
      </c>
      <c r="AD905" s="66">
        <f t="array" ref="AD905">IFS(B905&lt;66, XLOOKUP(year(A905),Lookup!$K$13:$K1000,Lookup!$M$13:$M1000,"missing",,1),B905&gt;65, XLOOKUP(questions!$C$5,Lookup!$K$13:$K1000,Lookup!$M$13:$M1000,"missing",,1))</f>
        <v>787350.7266</v>
      </c>
      <c r="AE905" s="66">
        <f t="array" ref="AE905">IFS(B905&lt;66, XLOOKUP(year(A905),Lookup!$K$13:$K1000,Lookup!$N$13:$N1000,"missing",,1),B905&gt;65,XLOOKUP(questions!$C$5,Lookup!$K$13:$K1000,Lookup!$N$13:$N1000,"missing",,1))</f>
        <v>1574701.453</v>
      </c>
      <c r="AF905" s="37"/>
      <c r="AG905" s="37"/>
      <c r="AH905" s="37"/>
      <c r="AI905" s="37"/>
      <c r="AJ905" s="37"/>
      <c r="AK905" s="37"/>
      <c r="AL905" s="37"/>
      <c r="AM905" s="37"/>
      <c r="AN905" s="37"/>
      <c r="AO905" s="37"/>
      <c r="AP905" s="37"/>
      <c r="AQ905" s="37"/>
    </row>
    <row r="906">
      <c r="A906" s="55">
        <f t="shared" si="7"/>
        <v>73596</v>
      </c>
      <c r="B906" s="56">
        <f>round(YEARFRAC(EOMONTH(questions!$C$3, 0),A906,1),2)</f>
        <v>102.58</v>
      </c>
      <c r="C906" s="58">
        <f>IF(B906&lt;questions!$C$6,if(MONTH(A906)=1,C905*(1+questions!$C$12),C905),0)</f>
        <v>0</v>
      </c>
      <c r="D906" s="58">
        <f>IF(MONTH(A906)=12,C906*questions!$C$11,0)</f>
        <v>0</v>
      </c>
      <c r="E906" s="71">
        <f t="shared" si="2"/>
        <v>0</v>
      </c>
      <c r="F906" s="71">
        <f t="shared" si="3"/>
        <v>0</v>
      </c>
      <c r="G906" s="61">
        <f t="array" ref="G906">if(YEAR(A906)=2025,XLOOKUP(B906,Lookup!$A$3:$A$7,Lookup!$D$3:$D$7,,1)*SUM(E906:F906), XLOOKUP(B906,Lookup!$A$14:$A$18,Lookup!$D$14:$D$18,,1)*SUM(E906:F906))</f>
        <v>0</v>
      </c>
      <c r="H906" s="61">
        <f t="array" ref="H906">if(YEAR(A906)=2025,XLOOKUP(B906,Lookup!$F$3:$F$10,Lookup!$G$3:$G$10,,1)*G906, XLOOKUP(B906,Lookup!$F$14:$F$21,Lookup!$G$14:$G$21,,1)*G906)</f>
        <v>0</v>
      </c>
      <c r="I906" s="61">
        <f t="array" ref="I906">if(B906&lt;55, if(YEAR(A906)=2025,XLOOKUP(B906,Lookup!$F$3:$F$10,Lookup!$H$3:$H$10,,1)*G906, XLOOKUP(B906,Lookup!$F$14:$F$21,Lookup!$H$14:$H$21,,1)*G906),0)</f>
        <v>0</v>
      </c>
      <c r="J906" s="61">
        <f t="array" ref="J906">if(YEAR(A906)=2025,XLOOKUP(B906,Lookup!$F$3:$F$10,Lookup!$I$3:$I$10,,1)*G906, XLOOKUP(B906,Lookup!$F$14:$F$21,Lookup!$I$14:$I$21,,1)*G906)</f>
        <v>0</v>
      </c>
      <c r="K906" s="61">
        <f t="array" ref="K906">if(B906&gt;54, if(YEAR(A906)=2025,XLOOKUP(B906,Lookup!$F$3:$F$10,Lookup!$H$3:$H$10,,1)*G906, XLOOKUP(B906,Lookup!$F$14:$F$21,Lookup!$H$14:$H$21,,1)*G906),0)</f>
        <v>0</v>
      </c>
      <c r="L906" s="62">
        <f>IF(and(A906&lt;questions!$C$19,questions!$C$18="yes"),questions!$C$20,0)</f>
        <v>0</v>
      </c>
      <c r="M906" s="63">
        <f>(Y905+H906)*Lookup!A$26/12</f>
        <v>5139.108075</v>
      </c>
      <c r="N906" s="63">
        <f>if(B906&lt;55, (Z905+I906)*Lookup!B$26/12, (AB905+K906)*Lookup!B$26/12)</f>
        <v>13518.48628</v>
      </c>
      <c r="O906" s="63">
        <f>(AA905+J906)*Lookup!C$26/12</f>
        <v>940.3700287</v>
      </c>
      <c r="P906" s="63">
        <f t="shared" si="8"/>
        <v>30834.64845</v>
      </c>
      <c r="Q906" s="63">
        <f t="shared" si="4"/>
        <v>81110.91771</v>
      </c>
      <c r="R906" s="63">
        <f t="shared" si="5"/>
        <v>5642.220172</v>
      </c>
      <c r="S906" s="64">
        <f t="shared" si="9"/>
        <v>33.33333333</v>
      </c>
      <c r="T906" s="64">
        <f t="shared" si="10"/>
        <v>41.66666667</v>
      </c>
      <c r="U906" s="64">
        <f t="shared" si="11"/>
        <v>0</v>
      </c>
      <c r="V906" s="64">
        <f t="shared" ref="V906:X906" si="914">IF(year($A906)=year($A905), V905+S906, S906)</f>
        <v>200</v>
      </c>
      <c r="W906" s="64">
        <f t="shared" si="914"/>
        <v>250</v>
      </c>
      <c r="X906" s="64">
        <f t="shared" si="914"/>
        <v>0</v>
      </c>
      <c r="Y906" s="65">
        <f>IFS(
  B906&lt;55,
    MAX(
      Y905 + IF(MONTH(A906)=12, P906+V906, 0) + H906 - L906
      + MAX(0,
          IF(AA905 &gt;= VLOOKUP(YEAR(A906), Lookup!$Q:$R, 2),
            Z905 + IF(MONTH(A906)=12, Q906+W906, 0) + I906
              + AA905 + IF(MONTH(A906)=12, R906+X906, 0)
              - VLOOKUP(YEAR(A906), Lookup!$Q:$R, 2) + J906,
            Z905 + IF(MONTH(A906)=12, Q906+W906, 0) + I906
          ) - VLOOKUP(YEAR(A906), Lookup!$K:$M, 3)
        ),
    0),
  B906=55,
    IF(Z905&gt;=AD906,
      MAX(Y905 + IF(MONTH(A906)=12, P906+V906, 0) + H906 - L906, 0),
      MAX(MAX(0, Y905-(AD906-Z905)) + IF(MONTH(A906)=12, P906+V906, 0) + H906 - L906, 0)
    ),
  B906&gt;55,
    IF(AB905&gt;=$AH$7,
      MAX(Y905 + IF(MONTH(A906)=12, P906+V906, 0) + H906 - L906 + K906 + Z905, 0),
      MAX(Y905 + IF(MONTH(A906)=12, P906+V906, 0) + H906 - L906, 0)
    )
)</f>
        <v>2466771.876</v>
      </c>
      <c r="Z906" s="65">
        <f>IFS(
  B906&lt;55,
    MIN(
      IF(AA905 &gt;= VLOOKUP(YEAR(A906), Lookup!$Q:$R, 2),
        Z905 + IF(MONTH(A906)=12, Q906+W906, 0) + I906
          + AA905 + IF(MONTH(A906)=12, R906+X906, 0) - VLOOKUP(YEAR(A906), Lookup!$Q:$R, 2) + J906,
        Z905 + IF(MONTH(A906)=12, Q906+W906, 0) + I906
      ),
      VLOOKUP(YEAR(A906), Lookup!$K:$M, 3)
    ),
  B906=55,
    IF(Z905 &gt;= AD906, Z905 - AD906, 0),
  B906&gt;55, 0
)</f>
        <v>0</v>
      </c>
      <c r="AA906" s="65">
        <f>IFS(
  B906&lt;65,
    IF(AA905+J906 &lt; VLOOKUP(YEAR(A906), Lookup!$Q:$R, 2),
      AA905 + IF(MONTH(A906)=12, R905+X905, 0) + J906,
      MIN(
        AA905 + IF(MONTH(A906)=12, R905+X905, 0) + J906 ,
        VLOOKUP(YEAR(A906), Lookup!$Q:$R, 2)
      )
    ),
  B906&gt;=65,
    IF(AA905+J906 &lt; VLOOKUP(questions!$C$5, Lookup!$Q:$R, 2),
      AA905 + IF(MONTH(A906)=12, R905+X905, 0) + J906 ,
      MIN(
        AA905 + IF(MONTH(A906)=12, R905+X905, 0) + J906,
        VLOOKUP(questions!$C$5, Lookup!$Q:$R, 2)
      )
    )
)</f>
        <v>282111.0086</v>
      </c>
      <c r="AB906" s="65">
        <f t="shared" si="13"/>
        <v>4055545.885</v>
      </c>
      <c r="AC906" s="66">
        <f t="array" ref="AC906">IFS(B906&lt;66, XLOOKUP(year(A906),Lookup!$K$13:$K1000,Lookup!$L$13:$L1000,"missing",,1),B906&gt;65,XLOOKUP(questions!$C$5,Lookup!$K$13:$K1000,Lookup!$L$13:$L1000,"missing",,1))</f>
        <v>393675.3633</v>
      </c>
      <c r="AD906" s="66">
        <f t="array" ref="AD906">IFS(B906&lt;66, XLOOKUP(year(A906),Lookup!$K$13:$K1000,Lookup!$M$13:$M1000,"missing",,1),B906&gt;65, XLOOKUP(questions!$C$5,Lookup!$K$13:$K1000,Lookup!$M$13:$M1000,"missing",,1))</f>
        <v>787350.7266</v>
      </c>
      <c r="AE906" s="66">
        <f t="array" ref="AE906">IFS(B906&lt;66, XLOOKUP(year(A906),Lookup!$K$13:$K1000,Lookup!$N$13:$N1000,"missing",,1),B906&gt;65,XLOOKUP(questions!$C$5,Lookup!$K$13:$K1000,Lookup!$N$13:$N1000,"missing",,1))</f>
        <v>1574701.453</v>
      </c>
      <c r="AF906" s="37"/>
      <c r="AG906" s="37"/>
      <c r="AH906" s="37"/>
      <c r="AI906" s="37"/>
      <c r="AJ906" s="37"/>
      <c r="AK906" s="37"/>
      <c r="AL906" s="37"/>
      <c r="AM906" s="37"/>
      <c r="AN906" s="37"/>
      <c r="AO906" s="37"/>
      <c r="AP906" s="37"/>
      <c r="AQ906" s="37"/>
    </row>
    <row r="907">
      <c r="A907" s="55">
        <f t="shared" si="7"/>
        <v>73627</v>
      </c>
      <c r="B907" s="56">
        <f>round(YEARFRAC(EOMONTH(questions!$C$3, 0),A907,1),2)</f>
        <v>102.67</v>
      </c>
      <c r="C907" s="58">
        <f>IF(B907&lt;questions!$C$6,if(MONTH(A907)=1,C906*(1+questions!$C$12),C906),0)</f>
        <v>0</v>
      </c>
      <c r="D907" s="58">
        <f>IF(MONTH(A907)=12,C907*questions!$C$11,0)</f>
        <v>0</v>
      </c>
      <c r="E907" s="71">
        <f t="shared" si="2"/>
        <v>0</v>
      </c>
      <c r="F907" s="71">
        <f t="shared" si="3"/>
        <v>0</v>
      </c>
      <c r="G907" s="61">
        <f t="array" ref="G907">if(YEAR(A907)=2025,XLOOKUP(B907,Lookup!$A$3:$A$7,Lookup!$D$3:$D$7,,1)*SUM(E907:F907), XLOOKUP(B907,Lookup!$A$14:$A$18,Lookup!$D$14:$D$18,,1)*SUM(E907:F907))</f>
        <v>0</v>
      </c>
      <c r="H907" s="61">
        <f t="array" ref="H907">if(YEAR(A907)=2025,XLOOKUP(B907,Lookup!$F$3:$F$10,Lookup!$G$3:$G$10,,1)*G907, XLOOKUP(B907,Lookup!$F$14:$F$21,Lookup!$G$14:$G$21,,1)*G907)</f>
        <v>0</v>
      </c>
      <c r="I907" s="61">
        <f t="array" ref="I907">if(B907&lt;55, if(YEAR(A907)=2025,XLOOKUP(B907,Lookup!$F$3:$F$10,Lookup!$H$3:$H$10,,1)*G907, XLOOKUP(B907,Lookup!$F$14:$F$21,Lookup!$H$14:$H$21,,1)*G907),0)</f>
        <v>0</v>
      </c>
      <c r="J907" s="61">
        <f t="array" ref="J907">if(YEAR(A907)=2025,XLOOKUP(B907,Lookup!$F$3:$F$10,Lookup!$I$3:$I$10,,1)*G907, XLOOKUP(B907,Lookup!$F$14:$F$21,Lookup!$I$14:$I$21,,1)*G907)</f>
        <v>0</v>
      </c>
      <c r="K907" s="61">
        <f t="array" ref="K907">if(B907&gt;54, if(YEAR(A907)=2025,XLOOKUP(B907,Lookup!$F$3:$F$10,Lookup!$H$3:$H$10,,1)*G907, XLOOKUP(B907,Lookup!$F$14:$F$21,Lookup!$H$14:$H$21,,1)*G907),0)</f>
        <v>0</v>
      </c>
      <c r="L907" s="62">
        <f>IF(and(A907&lt;questions!$C$19,questions!$C$18="yes"),questions!$C$20,0)</f>
        <v>0</v>
      </c>
      <c r="M907" s="63">
        <f>(Y906+H907)*Lookup!A$26/12</f>
        <v>5139.108075</v>
      </c>
      <c r="N907" s="63">
        <f>if(B907&lt;55, (Z906+I907)*Lookup!B$26/12, (AB906+K907)*Lookup!B$26/12)</f>
        <v>13518.48628</v>
      </c>
      <c r="O907" s="63">
        <f>(AA906+J907)*Lookup!C$26/12</f>
        <v>940.3700287</v>
      </c>
      <c r="P907" s="63">
        <f t="shared" si="8"/>
        <v>35973.75652</v>
      </c>
      <c r="Q907" s="63">
        <f t="shared" si="4"/>
        <v>94629.40399</v>
      </c>
      <c r="R907" s="63">
        <f t="shared" si="5"/>
        <v>6582.590201</v>
      </c>
      <c r="S907" s="64">
        <f t="shared" si="9"/>
        <v>33.33333333</v>
      </c>
      <c r="T907" s="64">
        <f t="shared" si="10"/>
        <v>41.66666667</v>
      </c>
      <c r="U907" s="64">
        <f t="shared" si="11"/>
        <v>0</v>
      </c>
      <c r="V907" s="64">
        <f t="shared" ref="V907:X907" si="915">IF(year($A907)=year($A906), V906+S907, S907)</f>
        <v>233.3333333</v>
      </c>
      <c r="W907" s="64">
        <f t="shared" si="915"/>
        <v>291.6666667</v>
      </c>
      <c r="X907" s="64">
        <f t="shared" si="915"/>
        <v>0</v>
      </c>
      <c r="Y907" s="65">
        <f>IFS(
  B907&lt;55,
    MAX(
      Y906 + IF(MONTH(A907)=12, P907+V907, 0) + H907 - L907
      + MAX(0,
          IF(AA906 &gt;= VLOOKUP(YEAR(A907), Lookup!$Q:$R, 2),
            Z906 + IF(MONTH(A907)=12, Q907+W907, 0) + I907
              + AA906 + IF(MONTH(A907)=12, R907+X907, 0)
              - VLOOKUP(YEAR(A907), Lookup!$Q:$R, 2) + J907,
            Z906 + IF(MONTH(A907)=12, Q907+W907, 0) + I907
          ) - VLOOKUP(YEAR(A907), Lookup!$K:$M, 3)
        ),
    0),
  B907=55,
    IF(Z906&gt;=AD907,
      MAX(Y906 + IF(MONTH(A907)=12, P907+V907, 0) + H907 - L907, 0),
      MAX(MAX(0, Y906-(AD907-Z906)) + IF(MONTH(A907)=12, P907+V907, 0) + H907 - L907, 0)
    ),
  B907&gt;55,
    IF(AB906&gt;=$AH$7,
      MAX(Y906 + IF(MONTH(A907)=12, P907+V907, 0) + H907 - L907 + K907 + Z906, 0),
      MAX(Y906 + IF(MONTH(A907)=12, P907+V907, 0) + H907 - L907, 0)
    )
)</f>
        <v>2466771.876</v>
      </c>
      <c r="Z907" s="65">
        <f>IFS(
  B907&lt;55,
    MIN(
      IF(AA906 &gt;= VLOOKUP(YEAR(A907), Lookup!$Q:$R, 2),
        Z906 + IF(MONTH(A907)=12, Q907+W907, 0) + I907
          + AA906 + IF(MONTH(A907)=12, R907+X907, 0) - VLOOKUP(YEAR(A907), Lookup!$Q:$R, 2) + J907,
        Z906 + IF(MONTH(A907)=12, Q907+W907, 0) + I907
      ),
      VLOOKUP(YEAR(A907), Lookup!$K:$M, 3)
    ),
  B907=55,
    IF(Z906 &gt;= AD907, Z906 - AD907, 0),
  B907&gt;55, 0
)</f>
        <v>0</v>
      </c>
      <c r="AA907" s="65">
        <f>IFS(
  B907&lt;65,
    IF(AA906+J907 &lt; VLOOKUP(YEAR(A907), Lookup!$Q:$R, 2),
      AA906 + IF(MONTH(A907)=12, R906+X906, 0) + J907,
      MIN(
        AA906 + IF(MONTH(A907)=12, R906+X906, 0) + J907 ,
        VLOOKUP(YEAR(A907), Lookup!$Q:$R, 2)
      )
    ),
  B907&gt;=65,
    IF(AA906+J907 &lt; VLOOKUP(questions!$C$5, Lookup!$Q:$R, 2),
      AA906 + IF(MONTH(A907)=12, R906+X906, 0) + J907 ,
      MIN(
        AA906 + IF(MONTH(A907)=12, R906+X906, 0) + J907,
        VLOOKUP(questions!$C$5, Lookup!$Q:$R, 2)
      )
    )
)</f>
        <v>282111.0086</v>
      </c>
      <c r="AB907" s="65">
        <f t="shared" si="13"/>
        <v>4055545.885</v>
      </c>
      <c r="AC907" s="66">
        <f t="array" ref="AC907">IFS(B907&lt;66, XLOOKUP(year(A907),Lookup!$K$13:$K1000,Lookup!$L$13:$L1000,"missing",,1),B907&gt;65,XLOOKUP(questions!$C$5,Lookup!$K$13:$K1000,Lookup!$L$13:$L1000,"missing",,1))</f>
        <v>393675.3633</v>
      </c>
      <c r="AD907" s="66">
        <f t="array" ref="AD907">IFS(B907&lt;66, XLOOKUP(year(A907),Lookup!$K$13:$K1000,Lookup!$M$13:$M1000,"missing",,1),B907&gt;65, XLOOKUP(questions!$C$5,Lookup!$K$13:$K1000,Lookup!$M$13:$M1000,"missing",,1))</f>
        <v>787350.7266</v>
      </c>
      <c r="AE907" s="66">
        <f t="array" ref="AE907">IFS(B907&lt;66, XLOOKUP(year(A907),Lookup!$K$13:$K1000,Lookup!$N$13:$N1000,"missing",,1),B907&gt;65,XLOOKUP(questions!$C$5,Lookup!$K$13:$K1000,Lookup!$N$13:$N1000,"missing",,1))</f>
        <v>1574701.453</v>
      </c>
      <c r="AF907" s="37"/>
      <c r="AG907" s="37"/>
      <c r="AH907" s="37"/>
      <c r="AI907" s="37"/>
      <c r="AJ907" s="37"/>
      <c r="AK907" s="37"/>
      <c r="AL907" s="37"/>
      <c r="AM907" s="37"/>
      <c r="AN907" s="37"/>
      <c r="AO907" s="37"/>
      <c r="AP907" s="37"/>
      <c r="AQ907" s="37"/>
    </row>
    <row r="908">
      <c r="A908" s="55">
        <f t="shared" si="7"/>
        <v>73658</v>
      </c>
      <c r="B908" s="56">
        <f>round(YEARFRAC(EOMONTH(questions!$C$3, 0),A908,1),2)</f>
        <v>102.75</v>
      </c>
      <c r="C908" s="58">
        <f>IF(B908&lt;questions!$C$6,if(MONTH(A908)=1,C907*(1+questions!$C$12),C907),0)</f>
        <v>0</v>
      </c>
      <c r="D908" s="58">
        <f>IF(MONTH(A908)=12,C908*questions!$C$11,0)</f>
        <v>0</v>
      </c>
      <c r="E908" s="71">
        <f t="shared" si="2"/>
        <v>0</v>
      </c>
      <c r="F908" s="71">
        <f t="shared" si="3"/>
        <v>0</v>
      </c>
      <c r="G908" s="61">
        <f t="array" ref="G908">if(YEAR(A908)=2025,XLOOKUP(B908,Lookup!$A$3:$A$7,Lookup!$D$3:$D$7,,1)*SUM(E908:F908), XLOOKUP(B908,Lookup!$A$14:$A$18,Lookup!$D$14:$D$18,,1)*SUM(E908:F908))</f>
        <v>0</v>
      </c>
      <c r="H908" s="61">
        <f t="array" ref="H908">if(YEAR(A908)=2025,XLOOKUP(B908,Lookup!$F$3:$F$10,Lookup!$G$3:$G$10,,1)*G908, XLOOKUP(B908,Lookup!$F$14:$F$21,Lookup!$G$14:$G$21,,1)*G908)</f>
        <v>0</v>
      </c>
      <c r="I908" s="61">
        <f t="array" ref="I908">if(B908&lt;55, if(YEAR(A908)=2025,XLOOKUP(B908,Lookup!$F$3:$F$10,Lookup!$H$3:$H$10,,1)*G908, XLOOKUP(B908,Lookup!$F$14:$F$21,Lookup!$H$14:$H$21,,1)*G908),0)</f>
        <v>0</v>
      </c>
      <c r="J908" s="61">
        <f t="array" ref="J908">if(YEAR(A908)=2025,XLOOKUP(B908,Lookup!$F$3:$F$10,Lookup!$I$3:$I$10,,1)*G908, XLOOKUP(B908,Lookup!$F$14:$F$21,Lookup!$I$14:$I$21,,1)*G908)</f>
        <v>0</v>
      </c>
      <c r="K908" s="61">
        <f t="array" ref="K908">if(B908&gt;54, if(YEAR(A908)=2025,XLOOKUP(B908,Lookup!$F$3:$F$10,Lookup!$H$3:$H$10,,1)*G908, XLOOKUP(B908,Lookup!$F$14:$F$21,Lookup!$H$14:$H$21,,1)*G908),0)</f>
        <v>0</v>
      </c>
      <c r="L908" s="62">
        <f>IF(and(A908&lt;questions!$C$19,questions!$C$18="yes"),questions!$C$20,0)</f>
        <v>0</v>
      </c>
      <c r="M908" s="63">
        <f>(Y907+H908)*Lookup!A$26/12</f>
        <v>5139.108075</v>
      </c>
      <c r="N908" s="63">
        <f>if(B908&lt;55, (Z907+I908)*Lookup!B$26/12, (AB907+K908)*Lookup!B$26/12)</f>
        <v>13518.48628</v>
      </c>
      <c r="O908" s="63">
        <f>(AA907+J908)*Lookup!C$26/12</f>
        <v>940.3700287</v>
      </c>
      <c r="P908" s="63">
        <f t="shared" si="8"/>
        <v>41112.8646</v>
      </c>
      <c r="Q908" s="63">
        <f t="shared" si="4"/>
        <v>108147.8903</v>
      </c>
      <c r="R908" s="63">
        <f t="shared" si="5"/>
        <v>7522.960229</v>
      </c>
      <c r="S908" s="64">
        <f t="shared" si="9"/>
        <v>33.33333333</v>
      </c>
      <c r="T908" s="64">
        <f t="shared" si="10"/>
        <v>41.66666667</v>
      </c>
      <c r="U908" s="64">
        <f t="shared" si="11"/>
        <v>0</v>
      </c>
      <c r="V908" s="64">
        <f t="shared" ref="V908:X908" si="916">IF(year($A908)=year($A907), V907+S908, S908)</f>
        <v>266.6666667</v>
      </c>
      <c r="W908" s="64">
        <f t="shared" si="916"/>
        <v>333.3333333</v>
      </c>
      <c r="X908" s="64">
        <f t="shared" si="916"/>
        <v>0</v>
      </c>
      <c r="Y908" s="65">
        <f>IFS(
  B908&lt;55,
    MAX(
      Y907 + IF(MONTH(A908)=12, P908+V908, 0) + H908 - L908
      + MAX(0,
          IF(AA907 &gt;= VLOOKUP(YEAR(A908), Lookup!$Q:$R, 2),
            Z907 + IF(MONTH(A908)=12, Q908+W908, 0) + I908
              + AA907 + IF(MONTH(A908)=12, R908+X908, 0)
              - VLOOKUP(YEAR(A908), Lookup!$Q:$R, 2) + J908,
            Z907 + IF(MONTH(A908)=12, Q908+W908, 0) + I908
          ) - VLOOKUP(YEAR(A908), Lookup!$K:$M, 3)
        ),
    0),
  B908=55,
    IF(Z907&gt;=AD908,
      MAX(Y907 + IF(MONTH(A908)=12, P908+V908, 0) + H908 - L908, 0),
      MAX(MAX(0, Y907-(AD908-Z907)) + IF(MONTH(A908)=12, P908+V908, 0) + H908 - L908, 0)
    ),
  B908&gt;55,
    IF(AB907&gt;=$AH$7,
      MAX(Y907 + IF(MONTH(A908)=12, P908+V908, 0) + H908 - L908 + K908 + Z907, 0),
      MAX(Y907 + IF(MONTH(A908)=12, P908+V908, 0) + H908 - L908, 0)
    )
)</f>
        <v>2466771.876</v>
      </c>
      <c r="Z908" s="65">
        <f>IFS(
  B908&lt;55,
    MIN(
      IF(AA907 &gt;= VLOOKUP(YEAR(A908), Lookup!$Q:$R, 2),
        Z907 + IF(MONTH(A908)=12, Q908+W908, 0) + I908
          + AA907 + IF(MONTH(A908)=12, R908+X908, 0) - VLOOKUP(YEAR(A908), Lookup!$Q:$R, 2) + J908,
        Z907 + IF(MONTH(A908)=12, Q908+W908, 0) + I908
      ),
      VLOOKUP(YEAR(A908), Lookup!$K:$M, 3)
    ),
  B908=55,
    IF(Z907 &gt;= AD908, Z907 - AD908, 0),
  B908&gt;55, 0
)</f>
        <v>0</v>
      </c>
      <c r="AA908" s="65">
        <f>IFS(
  B908&lt;65,
    IF(AA907+J908 &lt; VLOOKUP(YEAR(A908), Lookup!$Q:$R, 2),
      AA907 + IF(MONTH(A908)=12, R907+X907, 0) + J908,
      MIN(
        AA907 + IF(MONTH(A908)=12, R907+X907, 0) + J908 ,
        VLOOKUP(YEAR(A908), Lookup!$Q:$R, 2)
      )
    ),
  B908&gt;=65,
    IF(AA907+J908 &lt; VLOOKUP(questions!$C$5, Lookup!$Q:$R, 2),
      AA907 + IF(MONTH(A908)=12, R907+X907, 0) + J908 ,
      MIN(
        AA907 + IF(MONTH(A908)=12, R907+X907, 0) + J908,
        VLOOKUP(questions!$C$5, Lookup!$Q:$R, 2)
      )
    )
)</f>
        <v>282111.0086</v>
      </c>
      <c r="AB908" s="65">
        <f t="shared" si="13"/>
        <v>4055545.885</v>
      </c>
      <c r="AC908" s="66">
        <f t="array" ref="AC908">IFS(B908&lt;66, XLOOKUP(year(A908),Lookup!$K$13:$K1000,Lookup!$L$13:$L1000,"missing",,1),B908&gt;65,XLOOKUP(questions!$C$5,Lookup!$K$13:$K1000,Lookup!$L$13:$L1000,"missing",,1))</f>
        <v>393675.3633</v>
      </c>
      <c r="AD908" s="66">
        <f t="array" ref="AD908">IFS(B908&lt;66, XLOOKUP(year(A908),Lookup!$K$13:$K1000,Lookup!$M$13:$M1000,"missing",,1),B908&gt;65, XLOOKUP(questions!$C$5,Lookup!$K$13:$K1000,Lookup!$M$13:$M1000,"missing",,1))</f>
        <v>787350.7266</v>
      </c>
      <c r="AE908" s="66">
        <f t="array" ref="AE908">IFS(B908&lt;66, XLOOKUP(year(A908),Lookup!$K$13:$K1000,Lookup!$N$13:$N1000,"missing",,1),B908&gt;65,XLOOKUP(questions!$C$5,Lookup!$K$13:$K1000,Lookup!$N$13:$N1000,"missing",,1))</f>
        <v>1574701.453</v>
      </c>
      <c r="AF908" s="37"/>
      <c r="AG908" s="37"/>
      <c r="AH908" s="37"/>
      <c r="AI908" s="37"/>
      <c r="AJ908" s="37"/>
      <c r="AK908" s="37"/>
      <c r="AL908" s="37"/>
      <c r="AM908" s="37"/>
      <c r="AN908" s="37"/>
      <c r="AO908" s="37"/>
      <c r="AP908" s="37"/>
      <c r="AQ908" s="37"/>
    </row>
    <row r="909">
      <c r="A909" s="55">
        <f t="shared" si="7"/>
        <v>73688</v>
      </c>
      <c r="B909" s="56">
        <f>round(YEARFRAC(EOMONTH(questions!$C$3, 0),A909,1),2)</f>
        <v>102.83</v>
      </c>
      <c r="C909" s="58">
        <f>IF(B909&lt;questions!$C$6,if(MONTH(A909)=1,C908*(1+questions!$C$12),C908),0)</f>
        <v>0</v>
      </c>
      <c r="D909" s="58">
        <f>IF(MONTH(A909)=12,C909*questions!$C$11,0)</f>
        <v>0</v>
      </c>
      <c r="E909" s="71">
        <f t="shared" si="2"/>
        <v>0</v>
      </c>
      <c r="F909" s="71">
        <f t="shared" si="3"/>
        <v>0</v>
      </c>
      <c r="G909" s="61">
        <f t="array" ref="G909">if(YEAR(A909)=2025,XLOOKUP(B909,Lookup!$A$3:$A$7,Lookup!$D$3:$D$7,,1)*SUM(E909:F909), XLOOKUP(B909,Lookup!$A$14:$A$18,Lookup!$D$14:$D$18,,1)*SUM(E909:F909))</f>
        <v>0</v>
      </c>
      <c r="H909" s="61">
        <f t="array" ref="H909">if(YEAR(A909)=2025,XLOOKUP(B909,Lookup!$F$3:$F$10,Lookup!$G$3:$G$10,,1)*G909, XLOOKUP(B909,Lookup!$F$14:$F$21,Lookup!$G$14:$G$21,,1)*G909)</f>
        <v>0</v>
      </c>
      <c r="I909" s="61">
        <f t="array" ref="I909">if(B909&lt;55, if(YEAR(A909)=2025,XLOOKUP(B909,Lookup!$F$3:$F$10,Lookup!$H$3:$H$10,,1)*G909, XLOOKUP(B909,Lookup!$F$14:$F$21,Lookup!$H$14:$H$21,,1)*G909),0)</f>
        <v>0</v>
      </c>
      <c r="J909" s="61">
        <f t="array" ref="J909">if(YEAR(A909)=2025,XLOOKUP(B909,Lookup!$F$3:$F$10,Lookup!$I$3:$I$10,,1)*G909, XLOOKUP(B909,Lookup!$F$14:$F$21,Lookup!$I$14:$I$21,,1)*G909)</f>
        <v>0</v>
      </c>
      <c r="K909" s="61">
        <f t="array" ref="K909">if(B909&gt;54, if(YEAR(A909)=2025,XLOOKUP(B909,Lookup!$F$3:$F$10,Lookup!$H$3:$H$10,,1)*G909, XLOOKUP(B909,Lookup!$F$14:$F$21,Lookup!$H$14:$H$21,,1)*G909),0)</f>
        <v>0</v>
      </c>
      <c r="L909" s="62">
        <f>IF(and(A909&lt;questions!$C$19,questions!$C$18="yes"),questions!$C$20,0)</f>
        <v>0</v>
      </c>
      <c r="M909" s="63">
        <f>(Y908+H909)*Lookup!A$26/12</f>
        <v>5139.108075</v>
      </c>
      <c r="N909" s="63">
        <f>if(B909&lt;55, (Z908+I909)*Lookup!B$26/12, (AB908+K909)*Lookup!B$26/12)</f>
        <v>13518.48628</v>
      </c>
      <c r="O909" s="63">
        <f>(AA908+J909)*Lookup!C$26/12</f>
        <v>940.3700287</v>
      </c>
      <c r="P909" s="63">
        <f t="shared" si="8"/>
        <v>46251.97267</v>
      </c>
      <c r="Q909" s="63">
        <f t="shared" si="4"/>
        <v>121666.3766</v>
      </c>
      <c r="R909" s="63">
        <f t="shared" si="5"/>
        <v>8463.330258</v>
      </c>
      <c r="S909" s="64">
        <f t="shared" si="9"/>
        <v>33.33333333</v>
      </c>
      <c r="T909" s="64">
        <f t="shared" si="10"/>
        <v>41.66666667</v>
      </c>
      <c r="U909" s="64">
        <f t="shared" si="11"/>
        <v>0</v>
      </c>
      <c r="V909" s="64">
        <f t="shared" ref="V909:X909" si="917">IF(year($A909)=year($A908), V908+S909, S909)</f>
        <v>300</v>
      </c>
      <c r="W909" s="64">
        <f t="shared" si="917"/>
        <v>375</v>
      </c>
      <c r="X909" s="64">
        <f t="shared" si="917"/>
        <v>0</v>
      </c>
      <c r="Y909" s="65">
        <f>IFS(
  B909&lt;55,
    MAX(
      Y908 + IF(MONTH(A909)=12, P909+V909, 0) + H909 - L909
      + MAX(0,
          IF(AA908 &gt;= VLOOKUP(YEAR(A909), Lookup!$Q:$R, 2),
            Z908 + IF(MONTH(A909)=12, Q909+W909, 0) + I909
              + AA908 + IF(MONTH(A909)=12, R909+X909, 0)
              - VLOOKUP(YEAR(A909), Lookup!$Q:$R, 2) + J909,
            Z908 + IF(MONTH(A909)=12, Q909+W909, 0) + I909
          ) - VLOOKUP(YEAR(A909), Lookup!$K:$M, 3)
        ),
    0),
  B909=55,
    IF(Z908&gt;=AD909,
      MAX(Y908 + IF(MONTH(A909)=12, P909+V909, 0) + H909 - L909, 0),
      MAX(MAX(0, Y908-(AD909-Z908)) + IF(MONTH(A909)=12, P909+V909, 0) + H909 - L909, 0)
    ),
  B909&gt;55,
    IF(AB908&gt;=$AH$7,
      MAX(Y908 + IF(MONTH(A909)=12, P909+V909, 0) + H909 - L909 + K909 + Z908, 0),
      MAX(Y908 + IF(MONTH(A909)=12, P909+V909, 0) + H909 - L909, 0)
    )
)</f>
        <v>2466771.876</v>
      </c>
      <c r="Z909" s="65">
        <f>IFS(
  B909&lt;55,
    MIN(
      IF(AA908 &gt;= VLOOKUP(YEAR(A909), Lookup!$Q:$R, 2),
        Z908 + IF(MONTH(A909)=12, Q909+W909, 0) + I909
          + AA908 + IF(MONTH(A909)=12, R909+X909, 0) - VLOOKUP(YEAR(A909), Lookup!$Q:$R, 2) + J909,
        Z908 + IF(MONTH(A909)=12, Q909+W909, 0) + I909
      ),
      VLOOKUP(YEAR(A909), Lookup!$K:$M, 3)
    ),
  B909=55,
    IF(Z908 &gt;= AD909, Z908 - AD909, 0),
  B909&gt;55, 0
)</f>
        <v>0</v>
      </c>
      <c r="AA909" s="65">
        <f>IFS(
  B909&lt;65,
    IF(AA908+J909 &lt; VLOOKUP(YEAR(A909), Lookup!$Q:$R, 2),
      AA908 + IF(MONTH(A909)=12, R908+X908, 0) + J909,
      MIN(
        AA908 + IF(MONTH(A909)=12, R908+X908, 0) + J909 ,
        VLOOKUP(YEAR(A909), Lookup!$Q:$R, 2)
      )
    ),
  B909&gt;=65,
    IF(AA908+J909 &lt; VLOOKUP(questions!$C$5, Lookup!$Q:$R, 2),
      AA908 + IF(MONTH(A909)=12, R908+X908, 0) + J909 ,
      MIN(
        AA908 + IF(MONTH(A909)=12, R908+X908, 0) + J909,
        VLOOKUP(questions!$C$5, Lookup!$Q:$R, 2)
      )
    )
)</f>
        <v>282111.0086</v>
      </c>
      <c r="AB909" s="65">
        <f t="shared" si="13"/>
        <v>4055545.885</v>
      </c>
      <c r="AC909" s="66">
        <f t="array" ref="AC909">IFS(B909&lt;66, XLOOKUP(year(A909),Lookup!$K$13:$K1000,Lookup!$L$13:$L1000,"missing",,1),B909&gt;65,XLOOKUP(questions!$C$5,Lookup!$K$13:$K1000,Lookup!$L$13:$L1000,"missing",,1))</f>
        <v>393675.3633</v>
      </c>
      <c r="AD909" s="66">
        <f t="array" ref="AD909">IFS(B909&lt;66, XLOOKUP(year(A909),Lookup!$K$13:$K1000,Lookup!$M$13:$M1000,"missing",,1),B909&gt;65, XLOOKUP(questions!$C$5,Lookup!$K$13:$K1000,Lookup!$M$13:$M1000,"missing",,1))</f>
        <v>787350.7266</v>
      </c>
      <c r="AE909" s="66">
        <f t="array" ref="AE909">IFS(B909&lt;66, XLOOKUP(year(A909),Lookup!$K$13:$K1000,Lookup!$N$13:$N1000,"missing",,1),B909&gt;65,XLOOKUP(questions!$C$5,Lookup!$K$13:$K1000,Lookup!$N$13:$N1000,"missing",,1))</f>
        <v>1574701.453</v>
      </c>
      <c r="AF909" s="37"/>
      <c r="AG909" s="37"/>
      <c r="AH909" s="37"/>
      <c r="AI909" s="37"/>
      <c r="AJ909" s="37"/>
      <c r="AK909" s="37"/>
      <c r="AL909" s="37"/>
      <c r="AM909" s="37"/>
      <c r="AN909" s="37"/>
      <c r="AO909" s="37"/>
      <c r="AP909" s="37"/>
      <c r="AQ909" s="37"/>
    </row>
    <row r="910">
      <c r="A910" s="55">
        <f t="shared" si="7"/>
        <v>73719</v>
      </c>
      <c r="B910" s="56">
        <f>round(YEARFRAC(EOMONTH(questions!$C$3, 0),A910,1),2)</f>
        <v>102.92</v>
      </c>
      <c r="C910" s="58">
        <f>IF(B910&lt;questions!$C$6,if(MONTH(A910)=1,C909*(1+questions!$C$12),C909),0)</f>
        <v>0</v>
      </c>
      <c r="D910" s="58">
        <f>IF(MONTH(A910)=12,C910*questions!$C$11,0)</f>
        <v>0</v>
      </c>
      <c r="E910" s="71">
        <f t="shared" si="2"/>
        <v>0</v>
      </c>
      <c r="F910" s="71">
        <f t="shared" si="3"/>
        <v>0</v>
      </c>
      <c r="G910" s="61">
        <f t="array" ref="G910">if(YEAR(A910)=2025,XLOOKUP(B910,Lookup!$A$3:$A$7,Lookup!$D$3:$D$7,,1)*SUM(E910:F910), XLOOKUP(B910,Lookup!$A$14:$A$18,Lookup!$D$14:$D$18,,1)*SUM(E910:F910))</f>
        <v>0</v>
      </c>
      <c r="H910" s="61">
        <f t="array" ref="H910">if(YEAR(A910)=2025,XLOOKUP(B910,Lookup!$F$3:$F$10,Lookup!$G$3:$G$10,,1)*G910, XLOOKUP(B910,Lookup!$F$14:$F$21,Lookup!$G$14:$G$21,,1)*G910)</f>
        <v>0</v>
      </c>
      <c r="I910" s="61">
        <f t="array" ref="I910">if(B910&lt;55, if(YEAR(A910)=2025,XLOOKUP(B910,Lookup!$F$3:$F$10,Lookup!$H$3:$H$10,,1)*G910, XLOOKUP(B910,Lookup!$F$14:$F$21,Lookup!$H$14:$H$21,,1)*G910),0)</f>
        <v>0</v>
      </c>
      <c r="J910" s="61">
        <f t="array" ref="J910">if(YEAR(A910)=2025,XLOOKUP(B910,Lookup!$F$3:$F$10,Lookup!$I$3:$I$10,,1)*G910, XLOOKUP(B910,Lookup!$F$14:$F$21,Lookup!$I$14:$I$21,,1)*G910)</f>
        <v>0</v>
      </c>
      <c r="K910" s="61">
        <f t="array" ref="K910">if(B910&gt;54, if(YEAR(A910)=2025,XLOOKUP(B910,Lookup!$F$3:$F$10,Lookup!$H$3:$H$10,,1)*G910, XLOOKUP(B910,Lookup!$F$14:$F$21,Lookup!$H$14:$H$21,,1)*G910),0)</f>
        <v>0</v>
      </c>
      <c r="L910" s="62">
        <f>IF(and(A910&lt;questions!$C$19,questions!$C$18="yes"),questions!$C$20,0)</f>
        <v>0</v>
      </c>
      <c r="M910" s="63">
        <f>(Y909+H910)*Lookup!A$26/12</f>
        <v>5139.108075</v>
      </c>
      <c r="N910" s="63">
        <f>if(B910&lt;55, (Z909+I910)*Lookup!B$26/12, (AB909+K910)*Lookup!B$26/12)</f>
        <v>13518.48628</v>
      </c>
      <c r="O910" s="63">
        <f>(AA909+J910)*Lookup!C$26/12</f>
        <v>940.3700287</v>
      </c>
      <c r="P910" s="63">
        <f t="shared" si="8"/>
        <v>51391.08075</v>
      </c>
      <c r="Q910" s="63">
        <f t="shared" si="4"/>
        <v>135184.8628</v>
      </c>
      <c r="R910" s="63">
        <f t="shared" si="5"/>
        <v>9403.700287</v>
      </c>
      <c r="S910" s="64">
        <f t="shared" si="9"/>
        <v>33.33333333</v>
      </c>
      <c r="T910" s="64">
        <f t="shared" si="10"/>
        <v>41.66666667</v>
      </c>
      <c r="U910" s="64">
        <f t="shared" si="11"/>
        <v>0</v>
      </c>
      <c r="V910" s="64">
        <f t="shared" ref="V910:X910" si="918">IF(year($A910)=year($A909), V909+S910, S910)</f>
        <v>333.3333333</v>
      </c>
      <c r="W910" s="64">
        <f t="shared" si="918"/>
        <v>416.6666667</v>
      </c>
      <c r="X910" s="64">
        <f t="shared" si="918"/>
        <v>0</v>
      </c>
      <c r="Y910" s="65">
        <f>IFS(
  B910&lt;55,
    MAX(
      Y909 + IF(MONTH(A910)=12, P910+V910, 0) + H910 - L910
      + MAX(0,
          IF(AA909 &gt;= VLOOKUP(YEAR(A910), Lookup!$Q:$R, 2),
            Z909 + IF(MONTH(A910)=12, Q910+W910, 0) + I910
              + AA909 + IF(MONTH(A910)=12, R910+X910, 0)
              - VLOOKUP(YEAR(A910), Lookup!$Q:$R, 2) + J910,
            Z909 + IF(MONTH(A910)=12, Q910+W910, 0) + I910
          ) - VLOOKUP(YEAR(A910), Lookup!$K:$M, 3)
        ),
    0),
  B910=55,
    IF(Z909&gt;=AD910,
      MAX(Y909 + IF(MONTH(A910)=12, P910+V910, 0) + H910 - L910, 0),
      MAX(MAX(0, Y909-(AD910-Z909)) + IF(MONTH(A910)=12, P910+V910, 0) + H910 - L910, 0)
    ),
  B910&gt;55,
    IF(AB909&gt;=$AH$7,
      MAX(Y909 + IF(MONTH(A910)=12, P910+V910, 0) + H910 - L910 + K910 + Z909, 0),
      MAX(Y909 + IF(MONTH(A910)=12, P910+V910, 0) + H910 - L910, 0)
    )
)</f>
        <v>2466771.876</v>
      </c>
      <c r="Z910" s="65">
        <f>IFS(
  B910&lt;55,
    MIN(
      IF(AA909 &gt;= VLOOKUP(YEAR(A910), Lookup!$Q:$R, 2),
        Z909 + IF(MONTH(A910)=12, Q910+W910, 0) + I910
          + AA909 + IF(MONTH(A910)=12, R910+X910, 0) - VLOOKUP(YEAR(A910), Lookup!$Q:$R, 2) + J910,
        Z909 + IF(MONTH(A910)=12, Q910+W910, 0) + I910
      ),
      VLOOKUP(YEAR(A910), Lookup!$K:$M, 3)
    ),
  B910=55,
    IF(Z909 &gt;= AD910, Z909 - AD910, 0),
  B910&gt;55, 0
)</f>
        <v>0</v>
      </c>
      <c r="AA910" s="65">
        <f>IFS(
  B910&lt;65,
    IF(AA909+J910 &lt; VLOOKUP(YEAR(A910), Lookup!$Q:$R, 2),
      AA909 + IF(MONTH(A910)=12, R909+X909, 0) + J910,
      MIN(
        AA909 + IF(MONTH(A910)=12, R909+X909, 0) + J910 ,
        VLOOKUP(YEAR(A910), Lookup!$Q:$R, 2)
      )
    ),
  B910&gt;=65,
    IF(AA909+J910 &lt; VLOOKUP(questions!$C$5, Lookup!$Q:$R, 2),
      AA909 + IF(MONTH(A910)=12, R909+X909, 0) + J910 ,
      MIN(
        AA909 + IF(MONTH(A910)=12, R909+X909, 0) + J910,
        VLOOKUP(questions!$C$5, Lookup!$Q:$R, 2)
      )
    )
)</f>
        <v>282111.0086</v>
      </c>
      <c r="AB910" s="65">
        <f t="shared" si="13"/>
        <v>4055545.885</v>
      </c>
      <c r="AC910" s="66">
        <f t="array" ref="AC910">IFS(B910&lt;66, XLOOKUP(year(A910),Lookup!$K$13:$K1000,Lookup!$L$13:$L1000,"missing",,1),B910&gt;65,XLOOKUP(questions!$C$5,Lookup!$K$13:$K1000,Lookup!$L$13:$L1000,"missing",,1))</f>
        <v>393675.3633</v>
      </c>
      <c r="AD910" s="66">
        <f t="array" ref="AD910">IFS(B910&lt;66, XLOOKUP(year(A910),Lookup!$K$13:$K1000,Lookup!$M$13:$M1000,"missing",,1),B910&gt;65, XLOOKUP(questions!$C$5,Lookup!$K$13:$K1000,Lookup!$M$13:$M1000,"missing",,1))</f>
        <v>787350.7266</v>
      </c>
      <c r="AE910" s="66">
        <f t="array" ref="AE910">IFS(B910&lt;66, XLOOKUP(year(A910),Lookup!$K$13:$K1000,Lookup!$N$13:$N1000,"missing",,1),B910&gt;65,XLOOKUP(questions!$C$5,Lookup!$K$13:$K1000,Lookup!$N$13:$N1000,"missing",,1))</f>
        <v>1574701.453</v>
      </c>
      <c r="AF910" s="37"/>
      <c r="AG910" s="37"/>
      <c r="AH910" s="37"/>
      <c r="AI910" s="37"/>
      <c r="AJ910" s="37"/>
      <c r="AK910" s="37"/>
      <c r="AL910" s="37"/>
      <c r="AM910" s="37"/>
      <c r="AN910" s="37"/>
      <c r="AO910" s="37"/>
      <c r="AP910" s="37"/>
      <c r="AQ910" s="37"/>
    </row>
    <row r="911">
      <c r="A911" s="55">
        <f t="shared" si="7"/>
        <v>73749</v>
      </c>
      <c r="B911" s="56">
        <f>round(YEARFRAC(EOMONTH(questions!$C$3, 0),A911,1),2)</f>
        <v>103</v>
      </c>
      <c r="C911" s="58">
        <f>IF(B911&lt;questions!$C$6,if(MONTH(A911)=1,C910*(1+questions!$C$12),C910),0)</f>
        <v>0</v>
      </c>
      <c r="D911" s="58">
        <f>IF(MONTH(A911)=12,C911*questions!$C$11,0)</f>
        <v>0</v>
      </c>
      <c r="E911" s="71">
        <f t="shared" si="2"/>
        <v>0</v>
      </c>
      <c r="F911" s="71">
        <f t="shared" si="3"/>
        <v>0</v>
      </c>
      <c r="G911" s="61">
        <f t="array" ref="G911">if(YEAR(A911)=2025,XLOOKUP(B911,Lookup!$A$3:$A$7,Lookup!$D$3:$D$7,,1)*SUM(E911:F911), XLOOKUP(B911,Lookup!$A$14:$A$18,Lookup!$D$14:$D$18,,1)*SUM(E911:F911))</f>
        <v>0</v>
      </c>
      <c r="H911" s="61">
        <f t="array" ref="H911">if(YEAR(A911)=2025,XLOOKUP(B911,Lookup!$F$3:$F$10,Lookup!$G$3:$G$10,,1)*G911, XLOOKUP(B911,Lookup!$F$14:$F$21,Lookup!$G$14:$G$21,,1)*G911)</f>
        <v>0</v>
      </c>
      <c r="I911" s="61">
        <f t="array" ref="I911">if(B911&lt;55, if(YEAR(A911)=2025,XLOOKUP(B911,Lookup!$F$3:$F$10,Lookup!$H$3:$H$10,,1)*G911, XLOOKUP(B911,Lookup!$F$14:$F$21,Lookup!$H$14:$H$21,,1)*G911),0)</f>
        <v>0</v>
      </c>
      <c r="J911" s="61">
        <f t="array" ref="J911">if(YEAR(A911)=2025,XLOOKUP(B911,Lookup!$F$3:$F$10,Lookup!$I$3:$I$10,,1)*G911, XLOOKUP(B911,Lookup!$F$14:$F$21,Lookup!$I$14:$I$21,,1)*G911)</f>
        <v>0</v>
      </c>
      <c r="K911" s="61">
        <f t="array" ref="K911">if(B911&gt;54, if(YEAR(A911)=2025,XLOOKUP(B911,Lookup!$F$3:$F$10,Lookup!$H$3:$H$10,,1)*G911, XLOOKUP(B911,Lookup!$F$14:$F$21,Lookup!$H$14:$H$21,,1)*G911),0)</f>
        <v>0</v>
      </c>
      <c r="L911" s="62">
        <f>IF(and(A911&lt;questions!$C$19,questions!$C$18="yes"),questions!$C$20,0)</f>
        <v>0</v>
      </c>
      <c r="M911" s="63">
        <f>(Y910+H911)*Lookup!A$26/12</f>
        <v>5139.108075</v>
      </c>
      <c r="N911" s="63">
        <f>if(B911&lt;55, (Z910+I911)*Lookup!B$26/12, (AB910+K911)*Lookup!B$26/12)</f>
        <v>13518.48628</v>
      </c>
      <c r="O911" s="63">
        <f>(AA910+J911)*Lookup!C$26/12</f>
        <v>940.3700287</v>
      </c>
      <c r="P911" s="63">
        <f t="shared" si="8"/>
        <v>56530.18882</v>
      </c>
      <c r="Q911" s="63">
        <f t="shared" si="4"/>
        <v>148703.3491</v>
      </c>
      <c r="R911" s="63">
        <f t="shared" si="5"/>
        <v>10344.07032</v>
      </c>
      <c r="S911" s="64">
        <f t="shared" si="9"/>
        <v>33.33333333</v>
      </c>
      <c r="T911" s="64">
        <f t="shared" si="10"/>
        <v>41.66666667</v>
      </c>
      <c r="U911" s="64">
        <f t="shared" si="11"/>
        <v>0</v>
      </c>
      <c r="V911" s="64">
        <f t="shared" ref="V911:X911" si="919">IF(year($A911)=year($A910), V910+S911, S911)</f>
        <v>366.6666667</v>
      </c>
      <c r="W911" s="64">
        <f t="shared" si="919"/>
        <v>458.3333333</v>
      </c>
      <c r="X911" s="64">
        <f t="shared" si="919"/>
        <v>0</v>
      </c>
      <c r="Y911" s="65">
        <f>IFS(
  B911&lt;55,
    MAX(
      Y910 + IF(MONTH(A911)=12, P911+V911, 0) + H911 - L911
      + MAX(0,
          IF(AA910 &gt;= VLOOKUP(YEAR(A911), Lookup!$Q:$R, 2),
            Z910 + IF(MONTH(A911)=12, Q911+W911, 0) + I911
              + AA910 + IF(MONTH(A911)=12, R911+X911, 0)
              - VLOOKUP(YEAR(A911), Lookup!$Q:$R, 2) + J911,
            Z910 + IF(MONTH(A911)=12, Q911+W911, 0) + I911
          ) - VLOOKUP(YEAR(A911), Lookup!$K:$M, 3)
        ),
    0),
  B911=55,
    IF(Z910&gt;=AD911,
      MAX(Y910 + IF(MONTH(A911)=12, P911+V911, 0) + H911 - L911, 0),
      MAX(MAX(0, Y910-(AD911-Z910)) + IF(MONTH(A911)=12, P911+V911, 0) + H911 - L911, 0)
    ),
  B911&gt;55,
    IF(AB910&gt;=$AH$7,
      MAX(Y910 + IF(MONTH(A911)=12, P911+V911, 0) + H911 - L911 + K911 + Z910, 0),
      MAX(Y910 + IF(MONTH(A911)=12, P911+V911, 0) + H911 - L911, 0)
    )
)</f>
        <v>2466771.876</v>
      </c>
      <c r="Z911" s="65">
        <f>IFS(
  B911&lt;55,
    MIN(
      IF(AA910 &gt;= VLOOKUP(YEAR(A911), Lookup!$Q:$R, 2),
        Z910 + IF(MONTH(A911)=12, Q911+W911, 0) + I911
          + AA910 + IF(MONTH(A911)=12, R911+X911, 0) - VLOOKUP(YEAR(A911), Lookup!$Q:$R, 2) + J911,
        Z910 + IF(MONTH(A911)=12, Q911+W911, 0) + I911
      ),
      VLOOKUP(YEAR(A911), Lookup!$K:$M, 3)
    ),
  B911=55,
    IF(Z910 &gt;= AD911, Z910 - AD911, 0),
  B911&gt;55, 0
)</f>
        <v>0</v>
      </c>
      <c r="AA911" s="65">
        <f>IFS(
  B911&lt;65,
    IF(AA910+J911 &lt; VLOOKUP(YEAR(A911), Lookup!$Q:$R, 2),
      AA910 + IF(MONTH(A911)=12, R910+X910, 0) + J911,
      MIN(
        AA910 + IF(MONTH(A911)=12, R910+X910, 0) + J911 ,
        VLOOKUP(YEAR(A911), Lookup!$Q:$R, 2)
      )
    ),
  B911&gt;=65,
    IF(AA910+J911 &lt; VLOOKUP(questions!$C$5, Lookup!$Q:$R, 2),
      AA910 + IF(MONTH(A911)=12, R910+X910, 0) + J911 ,
      MIN(
        AA910 + IF(MONTH(A911)=12, R910+X910, 0) + J911,
        VLOOKUP(questions!$C$5, Lookup!$Q:$R, 2)
      )
    )
)</f>
        <v>282111.0086</v>
      </c>
      <c r="AB911" s="65">
        <f t="shared" si="13"/>
        <v>4055545.885</v>
      </c>
      <c r="AC911" s="66">
        <f t="array" ref="AC911">IFS(B911&lt;66, XLOOKUP(year(A911),Lookup!$K$13:$K1000,Lookup!$L$13:$L1000,"missing",,1),B911&gt;65,XLOOKUP(questions!$C$5,Lookup!$K$13:$K1000,Lookup!$L$13:$L1000,"missing",,1))</f>
        <v>393675.3633</v>
      </c>
      <c r="AD911" s="66">
        <f t="array" ref="AD911">IFS(B911&lt;66, XLOOKUP(year(A911),Lookup!$K$13:$K1000,Lookup!$M$13:$M1000,"missing",,1),B911&gt;65, XLOOKUP(questions!$C$5,Lookup!$K$13:$K1000,Lookup!$M$13:$M1000,"missing",,1))</f>
        <v>787350.7266</v>
      </c>
      <c r="AE911" s="66">
        <f t="array" ref="AE911">IFS(B911&lt;66, XLOOKUP(year(A911),Lookup!$K$13:$K1000,Lookup!$N$13:$N1000,"missing",,1),B911&gt;65,XLOOKUP(questions!$C$5,Lookup!$K$13:$K1000,Lookup!$N$13:$N1000,"missing",,1))</f>
        <v>1574701.453</v>
      </c>
      <c r="AF911" s="37"/>
      <c r="AG911" s="37"/>
      <c r="AH911" s="37"/>
      <c r="AI911" s="37"/>
      <c r="AJ911" s="37"/>
      <c r="AK911" s="37"/>
      <c r="AL911" s="37"/>
      <c r="AM911" s="37"/>
      <c r="AN911" s="37"/>
      <c r="AO911" s="37"/>
      <c r="AP911" s="37"/>
      <c r="AQ911" s="37"/>
    </row>
    <row r="912">
      <c r="A912" s="55">
        <f t="shared" si="7"/>
        <v>73780</v>
      </c>
      <c r="B912" s="56">
        <f>round(YEARFRAC(EOMONTH(questions!$C$3, 0),A912,1),2)</f>
        <v>103.08</v>
      </c>
      <c r="C912" s="58">
        <f>IF(B912&lt;questions!$C$6,if(MONTH(A912)=1,C911*(1+questions!$C$12),C911),0)</f>
        <v>0</v>
      </c>
      <c r="D912" s="58">
        <f>IF(MONTH(A912)=12,C912*questions!$C$11,0)</f>
        <v>0</v>
      </c>
      <c r="E912" s="71">
        <f t="shared" si="2"/>
        <v>0</v>
      </c>
      <c r="F912" s="71">
        <f t="shared" si="3"/>
        <v>0</v>
      </c>
      <c r="G912" s="61">
        <f t="array" ref="G912">if(YEAR(A912)=2025,XLOOKUP(B912,Lookup!$A$3:$A$7,Lookup!$D$3:$D$7,,1)*SUM(E912:F912), XLOOKUP(B912,Lookup!$A$14:$A$18,Lookup!$D$14:$D$18,,1)*SUM(E912:F912))</f>
        <v>0</v>
      </c>
      <c r="H912" s="61">
        <f t="array" ref="H912">if(YEAR(A912)=2025,XLOOKUP(B912,Lookup!$F$3:$F$10,Lookup!$G$3:$G$10,,1)*G912, XLOOKUP(B912,Lookup!$F$14:$F$21,Lookup!$G$14:$G$21,,1)*G912)</f>
        <v>0</v>
      </c>
      <c r="I912" s="61">
        <f t="array" ref="I912">if(B912&lt;55, if(YEAR(A912)=2025,XLOOKUP(B912,Lookup!$F$3:$F$10,Lookup!$H$3:$H$10,,1)*G912, XLOOKUP(B912,Lookup!$F$14:$F$21,Lookup!$H$14:$H$21,,1)*G912),0)</f>
        <v>0</v>
      </c>
      <c r="J912" s="61">
        <f t="array" ref="J912">if(YEAR(A912)=2025,XLOOKUP(B912,Lookup!$F$3:$F$10,Lookup!$I$3:$I$10,,1)*G912, XLOOKUP(B912,Lookup!$F$14:$F$21,Lookup!$I$14:$I$21,,1)*G912)</f>
        <v>0</v>
      </c>
      <c r="K912" s="61">
        <f t="array" ref="K912">if(B912&gt;54, if(YEAR(A912)=2025,XLOOKUP(B912,Lookup!$F$3:$F$10,Lookup!$H$3:$H$10,,1)*G912, XLOOKUP(B912,Lookup!$F$14:$F$21,Lookup!$H$14:$H$21,,1)*G912),0)</f>
        <v>0</v>
      </c>
      <c r="L912" s="62">
        <f>IF(and(A912&lt;questions!$C$19,questions!$C$18="yes"),questions!$C$20,0)</f>
        <v>0</v>
      </c>
      <c r="M912" s="63">
        <f>(Y911+H912)*Lookup!A$26/12</f>
        <v>5139.108075</v>
      </c>
      <c r="N912" s="63">
        <f>if(B912&lt;55, (Z911+I912)*Lookup!B$26/12, (AB911+K912)*Lookup!B$26/12)</f>
        <v>13518.48628</v>
      </c>
      <c r="O912" s="63">
        <f>(AA911+J912)*Lookup!C$26/12</f>
        <v>940.3700287</v>
      </c>
      <c r="P912" s="63">
        <f t="shared" si="8"/>
        <v>61669.2969</v>
      </c>
      <c r="Q912" s="63">
        <f t="shared" si="4"/>
        <v>162221.8354</v>
      </c>
      <c r="R912" s="63">
        <f t="shared" si="5"/>
        <v>11284.44034</v>
      </c>
      <c r="S912" s="64">
        <f t="shared" si="9"/>
        <v>33.33333333</v>
      </c>
      <c r="T912" s="64">
        <f t="shared" si="10"/>
        <v>41.66666667</v>
      </c>
      <c r="U912" s="64">
        <f t="shared" si="11"/>
        <v>0</v>
      </c>
      <c r="V912" s="64">
        <f t="shared" ref="V912:X912" si="920">IF(year($A912)=year($A911), V911+S912, S912)</f>
        <v>400</v>
      </c>
      <c r="W912" s="64">
        <f t="shared" si="920"/>
        <v>500</v>
      </c>
      <c r="X912" s="64">
        <f t="shared" si="920"/>
        <v>0</v>
      </c>
      <c r="Y912" s="65">
        <f>IFS(
  B912&lt;55,
    MAX(
      Y911 + IF(MONTH(A912)=12, P912+V912, 0) + H912 - L912
      + MAX(0,
          IF(AA911 &gt;= VLOOKUP(YEAR(A912), Lookup!$Q:$R, 2),
            Z911 + IF(MONTH(A912)=12, Q912+W912, 0) + I912
              + AA911 + IF(MONTH(A912)=12, R912+X912, 0)
              - VLOOKUP(YEAR(A912), Lookup!$Q:$R, 2) + J912,
            Z911 + IF(MONTH(A912)=12, Q912+W912, 0) + I912
          ) - VLOOKUP(YEAR(A912), Lookup!$K:$M, 3)
        ),
    0),
  B912=55,
    IF(Z911&gt;=AD912,
      MAX(Y911 + IF(MONTH(A912)=12, P912+V912, 0) + H912 - L912, 0),
      MAX(MAX(0, Y911-(AD912-Z911)) + IF(MONTH(A912)=12, P912+V912, 0) + H912 - L912, 0)
    ),
  B912&gt;55,
    IF(AB911&gt;=$AH$7,
      MAX(Y911 + IF(MONTH(A912)=12, P912+V912, 0) + H912 - L912 + K912 + Z911, 0),
      MAX(Y911 + IF(MONTH(A912)=12, P912+V912, 0) + H912 - L912, 0)
    )
)</f>
        <v>2528841.173</v>
      </c>
      <c r="Z912" s="65">
        <f>IFS(
  B912&lt;55,
    MIN(
      IF(AA911 &gt;= VLOOKUP(YEAR(A912), Lookup!$Q:$R, 2),
        Z911 + IF(MONTH(A912)=12, Q912+W912, 0) + I912
          + AA911 + IF(MONTH(A912)=12, R912+X912, 0) - VLOOKUP(YEAR(A912), Lookup!$Q:$R, 2) + J912,
        Z911 + IF(MONTH(A912)=12, Q912+W912, 0) + I912
      ),
      VLOOKUP(YEAR(A912), Lookup!$K:$M, 3)
    ),
  B912=55,
    IF(Z911 &gt;= AD912, Z911 - AD912, 0),
  B912&gt;55, 0
)</f>
        <v>0</v>
      </c>
      <c r="AA912" s="65">
        <f>IFS(
  B912&lt;65,
    IF(AA911+J912 &lt; VLOOKUP(YEAR(A912), Lookup!$Q:$R, 2),
      AA911 + IF(MONTH(A912)=12, R911+X911, 0) + J912,
      MIN(
        AA911 + IF(MONTH(A912)=12, R911+X911, 0) + J912 ,
        VLOOKUP(YEAR(A912), Lookup!$Q:$R, 2)
      )
    ),
  B912&gt;=65,
    IF(AA911+J912 &lt; VLOOKUP(questions!$C$5, Lookup!$Q:$R, 2),
      AA911 + IF(MONTH(A912)=12, R911+X911, 0) + J912 ,
      MIN(
        AA911 + IF(MONTH(A912)=12, R911+X911, 0) + J912,
        VLOOKUP(questions!$C$5, Lookup!$Q:$R, 2)
      )
    )
)</f>
        <v>282111.0086</v>
      </c>
      <c r="AB912" s="65">
        <f t="shared" si="13"/>
        <v>4218267.721</v>
      </c>
      <c r="AC912" s="66">
        <f t="array" ref="AC912">IFS(B912&lt;66, XLOOKUP(year(A912),Lookup!$K$13:$K1000,Lookup!$L$13:$L1000,"missing",,1),B912&gt;65,XLOOKUP(questions!$C$5,Lookup!$K$13:$K1000,Lookup!$L$13:$L1000,"missing",,1))</f>
        <v>393675.3633</v>
      </c>
      <c r="AD912" s="66">
        <f t="array" ref="AD912">IFS(B912&lt;66, XLOOKUP(year(A912),Lookup!$K$13:$K1000,Lookup!$M$13:$M1000,"missing",,1),B912&gt;65, XLOOKUP(questions!$C$5,Lookup!$K$13:$K1000,Lookup!$M$13:$M1000,"missing",,1))</f>
        <v>787350.7266</v>
      </c>
      <c r="AE912" s="66">
        <f t="array" ref="AE912">IFS(B912&lt;66, XLOOKUP(year(A912),Lookup!$K$13:$K1000,Lookup!$N$13:$N1000,"missing",,1),B912&gt;65,XLOOKUP(questions!$C$5,Lookup!$K$13:$K1000,Lookup!$N$13:$N1000,"missing",,1))</f>
        <v>1574701.453</v>
      </c>
      <c r="AF912" s="37"/>
      <c r="AG912" s="37"/>
      <c r="AH912" s="37"/>
      <c r="AI912" s="37"/>
      <c r="AJ912" s="37"/>
      <c r="AK912" s="37"/>
      <c r="AL912" s="37"/>
      <c r="AM912" s="37"/>
      <c r="AN912" s="37"/>
      <c r="AO912" s="37"/>
      <c r="AP912" s="37"/>
      <c r="AQ912" s="37"/>
    </row>
    <row r="913">
      <c r="A913" s="55">
        <f t="shared" si="7"/>
        <v>73811</v>
      </c>
      <c r="B913" s="56">
        <f>round(YEARFRAC(EOMONTH(questions!$C$3, 0),A913,1),2)</f>
        <v>103.17</v>
      </c>
      <c r="C913" s="58">
        <f>IF(B913&lt;questions!$C$6,if(MONTH(A913)=1,C912*(1+questions!$C$12),C912),0)</f>
        <v>0</v>
      </c>
      <c r="D913" s="58">
        <f>IF(MONTH(A913)=12,C913*questions!$C$11,0)</f>
        <v>0</v>
      </c>
      <c r="E913" s="71">
        <f t="shared" si="2"/>
        <v>0</v>
      </c>
      <c r="F913" s="71">
        <f t="shared" si="3"/>
        <v>0</v>
      </c>
      <c r="G913" s="61">
        <f t="array" ref="G913">if(YEAR(A913)=2025,XLOOKUP(B913,Lookup!$A$3:$A$7,Lookup!$D$3:$D$7,,1)*SUM(E913:F913), XLOOKUP(B913,Lookup!$A$14:$A$18,Lookup!$D$14:$D$18,,1)*SUM(E913:F913))</f>
        <v>0</v>
      </c>
      <c r="H913" s="61">
        <f t="array" ref="H913">if(YEAR(A913)=2025,XLOOKUP(B913,Lookup!$F$3:$F$10,Lookup!$G$3:$G$10,,1)*G913, XLOOKUP(B913,Lookup!$F$14:$F$21,Lookup!$G$14:$G$21,,1)*G913)</f>
        <v>0</v>
      </c>
      <c r="I913" s="61">
        <f t="array" ref="I913">if(B913&lt;55, if(YEAR(A913)=2025,XLOOKUP(B913,Lookup!$F$3:$F$10,Lookup!$H$3:$H$10,,1)*G913, XLOOKUP(B913,Lookup!$F$14:$F$21,Lookup!$H$14:$H$21,,1)*G913),0)</f>
        <v>0</v>
      </c>
      <c r="J913" s="61">
        <f t="array" ref="J913">if(YEAR(A913)=2025,XLOOKUP(B913,Lookup!$F$3:$F$10,Lookup!$I$3:$I$10,,1)*G913, XLOOKUP(B913,Lookup!$F$14:$F$21,Lookup!$I$14:$I$21,,1)*G913)</f>
        <v>0</v>
      </c>
      <c r="K913" s="61">
        <f t="array" ref="K913">if(B913&gt;54, if(YEAR(A913)=2025,XLOOKUP(B913,Lookup!$F$3:$F$10,Lookup!$H$3:$H$10,,1)*G913, XLOOKUP(B913,Lookup!$F$14:$F$21,Lookup!$H$14:$H$21,,1)*G913),0)</f>
        <v>0</v>
      </c>
      <c r="L913" s="62">
        <f>IF(and(A913&lt;questions!$C$19,questions!$C$18="yes"),questions!$C$20,0)</f>
        <v>0</v>
      </c>
      <c r="M913" s="63">
        <f>(Y912+H913)*Lookup!A$26/12</f>
        <v>5268.41911</v>
      </c>
      <c r="N913" s="63">
        <f>if(B913&lt;55, (Z912+I913)*Lookup!B$26/12, (AB912+K913)*Lookup!B$26/12)</f>
        <v>14060.8924</v>
      </c>
      <c r="O913" s="63">
        <f>(AA912+J913)*Lookup!C$26/12</f>
        <v>940.3700287</v>
      </c>
      <c r="P913" s="63">
        <f t="shared" si="8"/>
        <v>5268.41911</v>
      </c>
      <c r="Q913" s="63">
        <f t="shared" si="4"/>
        <v>14060.8924</v>
      </c>
      <c r="R913" s="63">
        <f t="shared" si="5"/>
        <v>940.3700287</v>
      </c>
      <c r="S913" s="64">
        <f t="shared" si="9"/>
        <v>33.33333333</v>
      </c>
      <c r="T913" s="64">
        <f t="shared" si="10"/>
        <v>41.66666667</v>
      </c>
      <c r="U913" s="64">
        <f t="shared" si="11"/>
        <v>0</v>
      </c>
      <c r="V913" s="64">
        <f t="shared" ref="V913:X913" si="921">IF(year($A913)=year($A912), V912+S913, S913)</f>
        <v>33.33333333</v>
      </c>
      <c r="W913" s="64">
        <f t="shared" si="921"/>
        <v>41.66666667</v>
      </c>
      <c r="X913" s="64">
        <f t="shared" si="921"/>
        <v>0</v>
      </c>
      <c r="Y913" s="65">
        <f>IFS(
  B913&lt;55,
    MAX(
      Y912 + IF(MONTH(A913)=12, P913+V913, 0) + H913 - L913
      + MAX(0,
          IF(AA912 &gt;= VLOOKUP(YEAR(A913), Lookup!$Q:$R, 2),
            Z912 + IF(MONTH(A913)=12, Q913+W913, 0) + I913
              + AA912 + IF(MONTH(A913)=12, R913+X913, 0)
              - VLOOKUP(YEAR(A913), Lookup!$Q:$R, 2) + J913,
            Z912 + IF(MONTH(A913)=12, Q913+W913, 0) + I913
          ) - VLOOKUP(YEAR(A913), Lookup!$K:$M, 3)
        ),
    0),
  B913=55,
    IF(Z912&gt;=AD913,
      MAX(Y912 + IF(MONTH(A913)=12, P913+V913, 0) + H913 - L913, 0),
      MAX(MAX(0, Y912-(AD913-Z912)) + IF(MONTH(A913)=12, P913+V913, 0) + H913 - L913, 0)
    ),
  B913&gt;55,
    IF(AB912&gt;=$AH$7,
      MAX(Y912 + IF(MONTH(A913)=12, P913+V913, 0) + H913 - L913 + K913 + Z912, 0),
      MAX(Y912 + IF(MONTH(A913)=12, P913+V913, 0) + H913 - L913, 0)
    )
)</f>
        <v>2528841.173</v>
      </c>
      <c r="Z913" s="65">
        <f>IFS(
  B913&lt;55,
    MIN(
      IF(AA912 &gt;= VLOOKUP(YEAR(A913), Lookup!$Q:$R, 2),
        Z912 + IF(MONTH(A913)=12, Q913+W913, 0) + I913
          + AA912 + IF(MONTH(A913)=12, R913+X913, 0) - VLOOKUP(YEAR(A913), Lookup!$Q:$R, 2) + J913,
        Z912 + IF(MONTH(A913)=12, Q913+W913, 0) + I913
      ),
      VLOOKUP(YEAR(A913), Lookup!$K:$M, 3)
    ),
  B913=55,
    IF(Z912 &gt;= AD913, Z912 - AD913, 0),
  B913&gt;55, 0
)</f>
        <v>0</v>
      </c>
      <c r="AA913" s="65">
        <f>IFS(
  B913&lt;65,
    IF(AA912+J913 &lt; VLOOKUP(YEAR(A913), Lookup!$Q:$R, 2),
      AA912 + IF(MONTH(A913)=12, R912+X912, 0) + J913,
      MIN(
        AA912 + IF(MONTH(A913)=12, R912+X912, 0) + J913 ,
        VLOOKUP(YEAR(A913), Lookup!$Q:$R, 2)
      )
    ),
  B913&gt;=65,
    IF(AA912+J913 &lt; VLOOKUP(questions!$C$5, Lookup!$Q:$R, 2),
      AA912 + IF(MONTH(A913)=12, R912+X912, 0) + J913 ,
      MIN(
        AA912 + IF(MONTH(A913)=12, R912+X912, 0) + J913,
        VLOOKUP(questions!$C$5, Lookup!$Q:$R, 2)
      )
    )
)</f>
        <v>282111.0086</v>
      </c>
      <c r="AB913" s="65">
        <f t="shared" si="13"/>
        <v>4218267.721</v>
      </c>
      <c r="AC913" s="66">
        <f t="array" ref="AC913">IFS(B913&lt;66, XLOOKUP(year(A913),Lookup!$K$13:$K1000,Lookup!$L$13:$L1000,"missing",,1),B913&gt;65,XLOOKUP(questions!$C$5,Lookup!$K$13:$K1000,Lookup!$L$13:$L1000,"missing",,1))</f>
        <v>393675.3633</v>
      </c>
      <c r="AD913" s="66">
        <f t="array" ref="AD913">IFS(B913&lt;66, XLOOKUP(year(A913),Lookup!$K$13:$K1000,Lookup!$M$13:$M1000,"missing",,1),B913&gt;65, XLOOKUP(questions!$C$5,Lookup!$K$13:$K1000,Lookup!$M$13:$M1000,"missing",,1))</f>
        <v>787350.7266</v>
      </c>
      <c r="AE913" s="66">
        <f t="array" ref="AE913">IFS(B913&lt;66, XLOOKUP(year(A913),Lookup!$K$13:$K1000,Lookup!$N$13:$N1000,"missing",,1),B913&gt;65,XLOOKUP(questions!$C$5,Lookup!$K$13:$K1000,Lookup!$N$13:$N1000,"missing",,1))</f>
        <v>1574701.453</v>
      </c>
      <c r="AF913" s="37"/>
      <c r="AG913" s="37"/>
      <c r="AH913" s="37"/>
      <c r="AI913" s="37"/>
      <c r="AJ913" s="37"/>
      <c r="AK913" s="37"/>
      <c r="AL913" s="37"/>
      <c r="AM913" s="37"/>
      <c r="AN913" s="37"/>
      <c r="AO913" s="37"/>
      <c r="AP913" s="37"/>
      <c r="AQ913" s="37"/>
    </row>
    <row r="914">
      <c r="A914" s="55">
        <f t="shared" si="7"/>
        <v>73839</v>
      </c>
      <c r="B914" s="56">
        <f>round(YEARFRAC(EOMONTH(questions!$C$3, 0),A914,1),2)</f>
        <v>103.25</v>
      </c>
      <c r="C914" s="58">
        <f>IF(B914&lt;questions!$C$6,if(MONTH(A914)=1,C913*(1+questions!$C$12),C913),0)</f>
        <v>0</v>
      </c>
      <c r="D914" s="58">
        <f>IF(MONTH(A914)=12,C914*questions!$C$11,0)</f>
        <v>0</v>
      </c>
      <c r="E914" s="71">
        <f t="shared" si="2"/>
        <v>0</v>
      </c>
      <c r="F914" s="71">
        <f t="shared" si="3"/>
        <v>0</v>
      </c>
      <c r="G914" s="61">
        <f t="array" ref="G914">if(YEAR(A914)=2025,XLOOKUP(B914,Lookup!$A$3:$A$7,Lookup!$D$3:$D$7,,1)*SUM(E914:F914), XLOOKUP(B914,Lookup!$A$14:$A$18,Lookup!$D$14:$D$18,,1)*SUM(E914:F914))</f>
        <v>0</v>
      </c>
      <c r="H914" s="61">
        <f t="array" ref="H914">if(YEAR(A914)=2025,XLOOKUP(B914,Lookup!$F$3:$F$10,Lookup!$G$3:$G$10,,1)*G914, XLOOKUP(B914,Lookup!$F$14:$F$21,Lookup!$G$14:$G$21,,1)*G914)</f>
        <v>0</v>
      </c>
      <c r="I914" s="61">
        <f t="array" ref="I914">if(B914&lt;55, if(YEAR(A914)=2025,XLOOKUP(B914,Lookup!$F$3:$F$10,Lookup!$H$3:$H$10,,1)*G914, XLOOKUP(B914,Lookup!$F$14:$F$21,Lookup!$H$14:$H$21,,1)*G914),0)</f>
        <v>0</v>
      </c>
      <c r="J914" s="61">
        <f t="array" ref="J914">if(YEAR(A914)=2025,XLOOKUP(B914,Lookup!$F$3:$F$10,Lookup!$I$3:$I$10,,1)*G914, XLOOKUP(B914,Lookup!$F$14:$F$21,Lookup!$I$14:$I$21,,1)*G914)</f>
        <v>0</v>
      </c>
      <c r="K914" s="61">
        <f t="array" ref="K914">if(B914&gt;54, if(YEAR(A914)=2025,XLOOKUP(B914,Lookup!$F$3:$F$10,Lookup!$H$3:$H$10,,1)*G914, XLOOKUP(B914,Lookup!$F$14:$F$21,Lookup!$H$14:$H$21,,1)*G914),0)</f>
        <v>0</v>
      </c>
      <c r="L914" s="62">
        <f>IF(and(A914&lt;questions!$C$19,questions!$C$18="yes"),questions!$C$20,0)</f>
        <v>0</v>
      </c>
      <c r="M914" s="63">
        <f>(Y913+H914)*Lookup!A$26/12</f>
        <v>5268.41911</v>
      </c>
      <c r="N914" s="63">
        <f>if(B914&lt;55, (Z913+I914)*Lookup!B$26/12, (AB913+K914)*Lookup!B$26/12)</f>
        <v>14060.8924</v>
      </c>
      <c r="O914" s="63">
        <f>(AA913+J914)*Lookup!C$26/12</f>
        <v>940.3700287</v>
      </c>
      <c r="P914" s="63">
        <f t="shared" si="8"/>
        <v>10536.83822</v>
      </c>
      <c r="Q914" s="63">
        <f t="shared" si="4"/>
        <v>28121.7848</v>
      </c>
      <c r="R914" s="63">
        <f t="shared" si="5"/>
        <v>1880.740057</v>
      </c>
      <c r="S914" s="64">
        <f t="shared" si="9"/>
        <v>33.33333333</v>
      </c>
      <c r="T914" s="64">
        <f t="shared" si="10"/>
        <v>41.66666667</v>
      </c>
      <c r="U914" s="64">
        <f t="shared" si="11"/>
        <v>0</v>
      </c>
      <c r="V914" s="64">
        <f t="shared" ref="V914:X914" si="922">IF(year($A914)=year($A913), V913+S914, S914)</f>
        <v>66.66666667</v>
      </c>
      <c r="W914" s="64">
        <f t="shared" si="922"/>
        <v>83.33333333</v>
      </c>
      <c r="X914" s="64">
        <f t="shared" si="922"/>
        <v>0</v>
      </c>
      <c r="Y914" s="65">
        <f>IFS(
  B914&lt;55,
    MAX(
      Y913 + IF(MONTH(A914)=12, P914+V914, 0) + H914 - L914
      + MAX(0,
          IF(AA913 &gt;= VLOOKUP(YEAR(A914), Lookup!$Q:$R, 2),
            Z913 + IF(MONTH(A914)=12, Q914+W914, 0) + I914
              + AA913 + IF(MONTH(A914)=12, R914+X914, 0)
              - VLOOKUP(YEAR(A914), Lookup!$Q:$R, 2) + J914,
            Z913 + IF(MONTH(A914)=12, Q914+W914, 0) + I914
          ) - VLOOKUP(YEAR(A914), Lookup!$K:$M, 3)
        ),
    0),
  B914=55,
    IF(Z913&gt;=AD914,
      MAX(Y913 + IF(MONTH(A914)=12, P914+V914, 0) + H914 - L914, 0),
      MAX(MAX(0, Y913-(AD914-Z913)) + IF(MONTH(A914)=12, P914+V914, 0) + H914 - L914, 0)
    ),
  B914&gt;55,
    IF(AB913&gt;=$AH$7,
      MAX(Y913 + IF(MONTH(A914)=12, P914+V914, 0) + H914 - L914 + K914 + Z913, 0),
      MAX(Y913 + IF(MONTH(A914)=12, P914+V914, 0) + H914 - L914, 0)
    )
)</f>
        <v>2528841.173</v>
      </c>
      <c r="Z914" s="65">
        <f>IFS(
  B914&lt;55,
    MIN(
      IF(AA913 &gt;= VLOOKUP(YEAR(A914), Lookup!$Q:$R, 2),
        Z913 + IF(MONTH(A914)=12, Q914+W914, 0) + I914
          + AA913 + IF(MONTH(A914)=12, R914+X914, 0) - VLOOKUP(YEAR(A914), Lookup!$Q:$R, 2) + J914,
        Z913 + IF(MONTH(A914)=12, Q914+W914, 0) + I914
      ),
      VLOOKUP(YEAR(A914), Lookup!$K:$M, 3)
    ),
  B914=55,
    IF(Z913 &gt;= AD914, Z913 - AD914, 0),
  B914&gt;55, 0
)</f>
        <v>0</v>
      </c>
      <c r="AA914" s="65">
        <f>IFS(
  B914&lt;65,
    IF(AA913+J914 &lt; VLOOKUP(YEAR(A914), Lookup!$Q:$R, 2),
      AA913 + IF(MONTH(A914)=12, R913+X913, 0) + J914,
      MIN(
        AA913 + IF(MONTH(A914)=12, R913+X913, 0) + J914 ,
        VLOOKUP(YEAR(A914), Lookup!$Q:$R, 2)
      )
    ),
  B914&gt;=65,
    IF(AA913+J914 &lt; VLOOKUP(questions!$C$5, Lookup!$Q:$R, 2),
      AA913 + IF(MONTH(A914)=12, R913+X913, 0) + J914 ,
      MIN(
        AA913 + IF(MONTH(A914)=12, R913+X913, 0) + J914,
        VLOOKUP(questions!$C$5, Lookup!$Q:$R, 2)
      )
    )
)</f>
        <v>282111.0086</v>
      </c>
      <c r="AB914" s="65">
        <f t="shared" si="13"/>
        <v>4218267.721</v>
      </c>
      <c r="AC914" s="66">
        <f t="array" ref="AC914">IFS(B914&lt;66, XLOOKUP(year(A914),Lookup!$K$13:$K1000,Lookup!$L$13:$L1000,"missing",,1),B914&gt;65,XLOOKUP(questions!$C$5,Lookup!$K$13:$K1000,Lookup!$L$13:$L1000,"missing",,1))</f>
        <v>393675.3633</v>
      </c>
      <c r="AD914" s="66">
        <f t="array" ref="AD914">IFS(B914&lt;66, XLOOKUP(year(A914),Lookup!$K$13:$K1000,Lookup!$M$13:$M1000,"missing",,1),B914&gt;65, XLOOKUP(questions!$C$5,Lookup!$K$13:$K1000,Lookup!$M$13:$M1000,"missing",,1))</f>
        <v>787350.7266</v>
      </c>
      <c r="AE914" s="66">
        <f t="array" ref="AE914">IFS(B914&lt;66, XLOOKUP(year(A914),Lookup!$K$13:$K1000,Lookup!$N$13:$N1000,"missing",,1),B914&gt;65,XLOOKUP(questions!$C$5,Lookup!$K$13:$K1000,Lookup!$N$13:$N1000,"missing",,1))</f>
        <v>1574701.453</v>
      </c>
      <c r="AF914" s="37"/>
      <c r="AG914" s="37"/>
      <c r="AH914" s="37"/>
      <c r="AI914" s="37"/>
      <c r="AJ914" s="37"/>
      <c r="AK914" s="37"/>
      <c r="AL914" s="37"/>
      <c r="AM914" s="37"/>
      <c r="AN914" s="37"/>
      <c r="AO914" s="37"/>
      <c r="AP914" s="37"/>
      <c r="AQ914" s="37"/>
    </row>
    <row r="915">
      <c r="A915" s="55">
        <f t="shared" si="7"/>
        <v>73870</v>
      </c>
      <c r="B915" s="56">
        <f>round(YEARFRAC(EOMONTH(questions!$C$3, 0),A915,1),2)</f>
        <v>103.33</v>
      </c>
      <c r="C915" s="58">
        <f>IF(B915&lt;questions!$C$6,if(MONTH(A915)=1,C914*(1+questions!$C$12),C914),0)</f>
        <v>0</v>
      </c>
      <c r="D915" s="58">
        <f>IF(MONTH(A915)=12,C915*questions!$C$11,0)</f>
        <v>0</v>
      </c>
      <c r="E915" s="71">
        <f t="shared" si="2"/>
        <v>0</v>
      </c>
      <c r="F915" s="71">
        <f t="shared" si="3"/>
        <v>0</v>
      </c>
      <c r="G915" s="61">
        <f t="array" ref="G915">if(YEAR(A915)=2025,XLOOKUP(B915,Lookup!$A$3:$A$7,Lookup!$D$3:$D$7,,1)*SUM(E915:F915), XLOOKUP(B915,Lookup!$A$14:$A$18,Lookup!$D$14:$D$18,,1)*SUM(E915:F915))</f>
        <v>0</v>
      </c>
      <c r="H915" s="61">
        <f t="array" ref="H915">if(YEAR(A915)=2025,XLOOKUP(B915,Lookup!$F$3:$F$10,Lookup!$G$3:$G$10,,1)*G915, XLOOKUP(B915,Lookup!$F$14:$F$21,Lookup!$G$14:$G$21,,1)*G915)</f>
        <v>0</v>
      </c>
      <c r="I915" s="61">
        <f t="array" ref="I915">if(B915&lt;55, if(YEAR(A915)=2025,XLOOKUP(B915,Lookup!$F$3:$F$10,Lookup!$H$3:$H$10,,1)*G915, XLOOKUP(B915,Lookup!$F$14:$F$21,Lookup!$H$14:$H$21,,1)*G915),0)</f>
        <v>0</v>
      </c>
      <c r="J915" s="61">
        <f t="array" ref="J915">if(YEAR(A915)=2025,XLOOKUP(B915,Lookup!$F$3:$F$10,Lookup!$I$3:$I$10,,1)*G915, XLOOKUP(B915,Lookup!$F$14:$F$21,Lookup!$I$14:$I$21,,1)*G915)</f>
        <v>0</v>
      </c>
      <c r="K915" s="61">
        <f t="array" ref="K915">if(B915&gt;54, if(YEAR(A915)=2025,XLOOKUP(B915,Lookup!$F$3:$F$10,Lookup!$H$3:$H$10,,1)*G915, XLOOKUP(B915,Lookup!$F$14:$F$21,Lookup!$H$14:$H$21,,1)*G915),0)</f>
        <v>0</v>
      </c>
      <c r="L915" s="62">
        <f>IF(and(A915&lt;questions!$C$19,questions!$C$18="yes"),questions!$C$20,0)</f>
        <v>0</v>
      </c>
      <c r="M915" s="63">
        <f>(Y914+H915)*Lookup!A$26/12</f>
        <v>5268.41911</v>
      </c>
      <c r="N915" s="63">
        <f>if(B915&lt;55, (Z914+I915)*Lookup!B$26/12, (AB914+K915)*Lookup!B$26/12)</f>
        <v>14060.8924</v>
      </c>
      <c r="O915" s="63">
        <f>(AA914+J915)*Lookup!C$26/12</f>
        <v>940.3700287</v>
      </c>
      <c r="P915" s="63">
        <f t="shared" si="8"/>
        <v>15805.25733</v>
      </c>
      <c r="Q915" s="63">
        <f t="shared" si="4"/>
        <v>42182.67721</v>
      </c>
      <c r="R915" s="63">
        <f t="shared" si="5"/>
        <v>2821.110086</v>
      </c>
      <c r="S915" s="64">
        <f t="shared" si="9"/>
        <v>33.33333333</v>
      </c>
      <c r="T915" s="64">
        <f t="shared" si="10"/>
        <v>41.66666667</v>
      </c>
      <c r="U915" s="64">
        <f t="shared" si="11"/>
        <v>0</v>
      </c>
      <c r="V915" s="64">
        <f t="shared" ref="V915:X915" si="923">IF(year($A915)=year($A914), V914+S915, S915)</f>
        <v>100</v>
      </c>
      <c r="W915" s="64">
        <f t="shared" si="923"/>
        <v>125</v>
      </c>
      <c r="X915" s="64">
        <f t="shared" si="923"/>
        <v>0</v>
      </c>
      <c r="Y915" s="65">
        <f>IFS(
  B915&lt;55,
    MAX(
      Y914 + IF(MONTH(A915)=12, P915+V915, 0) + H915 - L915
      + MAX(0,
          IF(AA914 &gt;= VLOOKUP(YEAR(A915), Lookup!$Q:$R, 2),
            Z914 + IF(MONTH(A915)=12, Q915+W915, 0) + I915
              + AA914 + IF(MONTH(A915)=12, R915+X915, 0)
              - VLOOKUP(YEAR(A915), Lookup!$Q:$R, 2) + J915,
            Z914 + IF(MONTH(A915)=12, Q915+W915, 0) + I915
          ) - VLOOKUP(YEAR(A915), Lookup!$K:$M, 3)
        ),
    0),
  B915=55,
    IF(Z914&gt;=AD915,
      MAX(Y914 + IF(MONTH(A915)=12, P915+V915, 0) + H915 - L915, 0),
      MAX(MAX(0, Y914-(AD915-Z914)) + IF(MONTH(A915)=12, P915+V915, 0) + H915 - L915, 0)
    ),
  B915&gt;55,
    IF(AB914&gt;=$AH$7,
      MAX(Y914 + IF(MONTH(A915)=12, P915+V915, 0) + H915 - L915 + K915 + Z914, 0),
      MAX(Y914 + IF(MONTH(A915)=12, P915+V915, 0) + H915 - L915, 0)
    )
)</f>
        <v>2528841.173</v>
      </c>
      <c r="Z915" s="65">
        <f>IFS(
  B915&lt;55,
    MIN(
      IF(AA914 &gt;= VLOOKUP(YEAR(A915), Lookup!$Q:$R, 2),
        Z914 + IF(MONTH(A915)=12, Q915+W915, 0) + I915
          + AA914 + IF(MONTH(A915)=12, R915+X915, 0) - VLOOKUP(YEAR(A915), Lookup!$Q:$R, 2) + J915,
        Z914 + IF(MONTH(A915)=12, Q915+W915, 0) + I915
      ),
      VLOOKUP(YEAR(A915), Lookup!$K:$M, 3)
    ),
  B915=55,
    IF(Z914 &gt;= AD915, Z914 - AD915, 0),
  B915&gt;55, 0
)</f>
        <v>0</v>
      </c>
      <c r="AA915" s="65">
        <f>IFS(
  B915&lt;65,
    IF(AA914+J915 &lt; VLOOKUP(YEAR(A915), Lookup!$Q:$R, 2),
      AA914 + IF(MONTH(A915)=12, R914+X914, 0) + J915,
      MIN(
        AA914 + IF(MONTH(A915)=12, R914+X914, 0) + J915 ,
        VLOOKUP(YEAR(A915), Lookup!$Q:$R, 2)
      )
    ),
  B915&gt;=65,
    IF(AA914+J915 &lt; VLOOKUP(questions!$C$5, Lookup!$Q:$R, 2),
      AA914 + IF(MONTH(A915)=12, R914+X914, 0) + J915 ,
      MIN(
        AA914 + IF(MONTH(A915)=12, R914+X914, 0) + J915,
        VLOOKUP(questions!$C$5, Lookup!$Q:$R, 2)
      )
    )
)</f>
        <v>282111.0086</v>
      </c>
      <c r="AB915" s="65">
        <f t="shared" si="13"/>
        <v>4218267.721</v>
      </c>
      <c r="AC915" s="66">
        <f t="array" ref="AC915">IFS(B915&lt;66, XLOOKUP(year(A915),Lookup!$K$13:$K1000,Lookup!$L$13:$L1000,"missing",,1),B915&gt;65,XLOOKUP(questions!$C$5,Lookup!$K$13:$K1000,Lookup!$L$13:$L1000,"missing",,1))</f>
        <v>393675.3633</v>
      </c>
      <c r="AD915" s="66">
        <f t="array" ref="AD915">IFS(B915&lt;66, XLOOKUP(year(A915),Lookup!$K$13:$K1000,Lookup!$M$13:$M1000,"missing",,1),B915&gt;65, XLOOKUP(questions!$C$5,Lookup!$K$13:$K1000,Lookup!$M$13:$M1000,"missing",,1))</f>
        <v>787350.7266</v>
      </c>
      <c r="AE915" s="66">
        <f t="array" ref="AE915">IFS(B915&lt;66, XLOOKUP(year(A915),Lookup!$K$13:$K1000,Lookup!$N$13:$N1000,"missing",,1),B915&gt;65,XLOOKUP(questions!$C$5,Lookup!$K$13:$K1000,Lookup!$N$13:$N1000,"missing",,1))</f>
        <v>1574701.453</v>
      </c>
      <c r="AF915" s="37"/>
      <c r="AG915" s="37"/>
      <c r="AH915" s="37"/>
      <c r="AI915" s="37"/>
      <c r="AJ915" s="37"/>
      <c r="AK915" s="37"/>
      <c r="AL915" s="37"/>
      <c r="AM915" s="37"/>
      <c r="AN915" s="37"/>
      <c r="AO915" s="37"/>
      <c r="AP915" s="37"/>
      <c r="AQ915" s="37"/>
    </row>
    <row r="916">
      <c r="A916" s="55">
        <f t="shared" si="7"/>
        <v>73900</v>
      </c>
      <c r="B916" s="56">
        <f>round(YEARFRAC(EOMONTH(questions!$C$3, 0),A916,1),2)</f>
        <v>103.41</v>
      </c>
      <c r="C916" s="58">
        <f>IF(B916&lt;questions!$C$6,if(MONTH(A916)=1,C915*(1+questions!$C$12),C915),0)</f>
        <v>0</v>
      </c>
      <c r="D916" s="58">
        <f>IF(MONTH(A916)=12,C916*questions!$C$11,0)</f>
        <v>0</v>
      </c>
      <c r="E916" s="71">
        <f t="shared" si="2"/>
        <v>0</v>
      </c>
      <c r="F916" s="71">
        <f t="shared" si="3"/>
        <v>0</v>
      </c>
      <c r="G916" s="61">
        <f t="array" ref="G916">if(YEAR(A916)=2025,XLOOKUP(B916,Lookup!$A$3:$A$7,Lookup!$D$3:$D$7,,1)*SUM(E916:F916), XLOOKUP(B916,Lookup!$A$14:$A$18,Lookup!$D$14:$D$18,,1)*SUM(E916:F916))</f>
        <v>0</v>
      </c>
      <c r="H916" s="61">
        <f t="array" ref="H916">if(YEAR(A916)=2025,XLOOKUP(B916,Lookup!$F$3:$F$10,Lookup!$G$3:$G$10,,1)*G916, XLOOKUP(B916,Lookup!$F$14:$F$21,Lookup!$G$14:$G$21,,1)*G916)</f>
        <v>0</v>
      </c>
      <c r="I916" s="61">
        <f t="array" ref="I916">if(B916&lt;55, if(YEAR(A916)=2025,XLOOKUP(B916,Lookup!$F$3:$F$10,Lookup!$H$3:$H$10,,1)*G916, XLOOKUP(B916,Lookup!$F$14:$F$21,Lookup!$H$14:$H$21,,1)*G916),0)</f>
        <v>0</v>
      </c>
      <c r="J916" s="61">
        <f t="array" ref="J916">if(YEAR(A916)=2025,XLOOKUP(B916,Lookup!$F$3:$F$10,Lookup!$I$3:$I$10,,1)*G916, XLOOKUP(B916,Lookup!$F$14:$F$21,Lookup!$I$14:$I$21,,1)*G916)</f>
        <v>0</v>
      </c>
      <c r="K916" s="61">
        <f t="array" ref="K916">if(B916&gt;54, if(YEAR(A916)=2025,XLOOKUP(B916,Lookup!$F$3:$F$10,Lookup!$H$3:$H$10,,1)*G916, XLOOKUP(B916,Lookup!$F$14:$F$21,Lookup!$H$14:$H$21,,1)*G916),0)</f>
        <v>0</v>
      </c>
      <c r="L916" s="62">
        <f>IF(and(A916&lt;questions!$C$19,questions!$C$18="yes"),questions!$C$20,0)</f>
        <v>0</v>
      </c>
      <c r="M916" s="63">
        <f>(Y915+H916)*Lookup!A$26/12</f>
        <v>5268.41911</v>
      </c>
      <c r="N916" s="63">
        <f>if(B916&lt;55, (Z915+I916)*Lookup!B$26/12, (AB915+K916)*Lookup!B$26/12)</f>
        <v>14060.8924</v>
      </c>
      <c r="O916" s="63">
        <f>(AA915+J916)*Lookup!C$26/12</f>
        <v>940.3700287</v>
      </c>
      <c r="P916" s="63">
        <f t="shared" si="8"/>
        <v>21073.67644</v>
      </c>
      <c r="Q916" s="63">
        <f t="shared" si="4"/>
        <v>56243.56961</v>
      </c>
      <c r="R916" s="63">
        <f t="shared" si="5"/>
        <v>3761.480115</v>
      </c>
      <c r="S916" s="64">
        <f t="shared" si="9"/>
        <v>33.33333333</v>
      </c>
      <c r="T916" s="64">
        <f t="shared" si="10"/>
        <v>41.66666667</v>
      </c>
      <c r="U916" s="64">
        <f t="shared" si="11"/>
        <v>0</v>
      </c>
      <c r="V916" s="64">
        <f t="shared" ref="V916:X916" si="924">IF(year($A916)=year($A915), V915+S916, S916)</f>
        <v>133.3333333</v>
      </c>
      <c r="W916" s="64">
        <f t="shared" si="924"/>
        <v>166.6666667</v>
      </c>
      <c r="X916" s="64">
        <f t="shared" si="924"/>
        <v>0</v>
      </c>
      <c r="Y916" s="65">
        <f>IFS(
  B916&lt;55,
    MAX(
      Y915 + IF(MONTH(A916)=12, P916+V916, 0) + H916 - L916
      + MAX(0,
          IF(AA915 &gt;= VLOOKUP(YEAR(A916), Lookup!$Q:$R, 2),
            Z915 + IF(MONTH(A916)=12, Q916+W916, 0) + I916
              + AA915 + IF(MONTH(A916)=12, R916+X916, 0)
              - VLOOKUP(YEAR(A916), Lookup!$Q:$R, 2) + J916,
            Z915 + IF(MONTH(A916)=12, Q916+W916, 0) + I916
          ) - VLOOKUP(YEAR(A916), Lookup!$K:$M, 3)
        ),
    0),
  B916=55,
    IF(Z915&gt;=AD916,
      MAX(Y915 + IF(MONTH(A916)=12, P916+V916, 0) + H916 - L916, 0),
      MAX(MAX(0, Y915-(AD916-Z915)) + IF(MONTH(A916)=12, P916+V916, 0) + H916 - L916, 0)
    ),
  B916&gt;55,
    IF(AB915&gt;=$AH$7,
      MAX(Y915 + IF(MONTH(A916)=12, P916+V916, 0) + H916 - L916 + K916 + Z915, 0),
      MAX(Y915 + IF(MONTH(A916)=12, P916+V916, 0) + H916 - L916, 0)
    )
)</f>
        <v>2528841.173</v>
      </c>
      <c r="Z916" s="65">
        <f>IFS(
  B916&lt;55,
    MIN(
      IF(AA915 &gt;= VLOOKUP(YEAR(A916), Lookup!$Q:$R, 2),
        Z915 + IF(MONTH(A916)=12, Q916+W916, 0) + I916
          + AA915 + IF(MONTH(A916)=12, R916+X916, 0) - VLOOKUP(YEAR(A916), Lookup!$Q:$R, 2) + J916,
        Z915 + IF(MONTH(A916)=12, Q916+W916, 0) + I916
      ),
      VLOOKUP(YEAR(A916), Lookup!$K:$M, 3)
    ),
  B916=55,
    IF(Z915 &gt;= AD916, Z915 - AD916, 0),
  B916&gt;55, 0
)</f>
        <v>0</v>
      </c>
      <c r="AA916" s="65">
        <f>IFS(
  B916&lt;65,
    IF(AA915+J916 &lt; VLOOKUP(YEAR(A916), Lookup!$Q:$R, 2),
      AA915 + IF(MONTH(A916)=12, R915+X915, 0) + J916,
      MIN(
        AA915 + IF(MONTH(A916)=12, R915+X915, 0) + J916 ,
        VLOOKUP(YEAR(A916), Lookup!$Q:$R, 2)
      )
    ),
  B916&gt;=65,
    IF(AA915+J916 &lt; VLOOKUP(questions!$C$5, Lookup!$Q:$R, 2),
      AA915 + IF(MONTH(A916)=12, R915+X915, 0) + J916 ,
      MIN(
        AA915 + IF(MONTH(A916)=12, R915+X915, 0) + J916,
        VLOOKUP(questions!$C$5, Lookup!$Q:$R, 2)
      )
    )
)</f>
        <v>282111.0086</v>
      </c>
      <c r="AB916" s="65">
        <f t="shared" si="13"/>
        <v>4218267.721</v>
      </c>
      <c r="AC916" s="66">
        <f t="array" ref="AC916">IFS(B916&lt;66, XLOOKUP(year(A916),Lookup!$K$13:$K1000,Lookup!$L$13:$L1000,"missing",,1),B916&gt;65,XLOOKUP(questions!$C$5,Lookup!$K$13:$K1000,Lookup!$L$13:$L1000,"missing",,1))</f>
        <v>393675.3633</v>
      </c>
      <c r="AD916" s="66">
        <f t="array" ref="AD916">IFS(B916&lt;66, XLOOKUP(year(A916),Lookup!$K$13:$K1000,Lookup!$M$13:$M1000,"missing",,1),B916&gt;65, XLOOKUP(questions!$C$5,Lookup!$K$13:$K1000,Lookup!$M$13:$M1000,"missing",,1))</f>
        <v>787350.7266</v>
      </c>
      <c r="AE916" s="66">
        <f t="array" ref="AE916">IFS(B916&lt;66, XLOOKUP(year(A916),Lookup!$K$13:$K1000,Lookup!$N$13:$N1000,"missing",,1),B916&gt;65,XLOOKUP(questions!$C$5,Lookup!$K$13:$K1000,Lookup!$N$13:$N1000,"missing",,1))</f>
        <v>1574701.453</v>
      </c>
      <c r="AF916" s="37"/>
      <c r="AG916" s="37"/>
      <c r="AH916" s="37"/>
      <c r="AI916" s="37"/>
      <c r="AJ916" s="37"/>
      <c r="AK916" s="37"/>
      <c r="AL916" s="37"/>
      <c r="AM916" s="37"/>
      <c r="AN916" s="37"/>
      <c r="AO916" s="37"/>
      <c r="AP916" s="37"/>
      <c r="AQ916" s="37"/>
    </row>
    <row r="917">
      <c r="A917" s="55">
        <f t="shared" si="7"/>
        <v>73931</v>
      </c>
      <c r="B917" s="56">
        <f>round(YEARFRAC(EOMONTH(questions!$C$3, 0),A917,1),2)</f>
        <v>103.5</v>
      </c>
      <c r="C917" s="58">
        <f>IF(B917&lt;questions!$C$6,if(MONTH(A917)=1,C916*(1+questions!$C$12),C916),0)</f>
        <v>0</v>
      </c>
      <c r="D917" s="58">
        <f>IF(MONTH(A917)=12,C917*questions!$C$11,0)</f>
        <v>0</v>
      </c>
      <c r="E917" s="71">
        <f t="shared" si="2"/>
        <v>0</v>
      </c>
      <c r="F917" s="71">
        <f t="shared" si="3"/>
        <v>0</v>
      </c>
      <c r="G917" s="61">
        <f t="array" ref="G917">if(YEAR(A917)=2025,XLOOKUP(B917,Lookup!$A$3:$A$7,Lookup!$D$3:$D$7,,1)*SUM(E917:F917), XLOOKUP(B917,Lookup!$A$14:$A$18,Lookup!$D$14:$D$18,,1)*SUM(E917:F917))</f>
        <v>0</v>
      </c>
      <c r="H917" s="61">
        <f t="array" ref="H917">if(YEAR(A917)=2025,XLOOKUP(B917,Lookup!$F$3:$F$10,Lookup!$G$3:$G$10,,1)*G917, XLOOKUP(B917,Lookup!$F$14:$F$21,Lookup!$G$14:$G$21,,1)*G917)</f>
        <v>0</v>
      </c>
      <c r="I917" s="61">
        <f t="array" ref="I917">if(B917&lt;55, if(YEAR(A917)=2025,XLOOKUP(B917,Lookup!$F$3:$F$10,Lookup!$H$3:$H$10,,1)*G917, XLOOKUP(B917,Lookup!$F$14:$F$21,Lookup!$H$14:$H$21,,1)*G917),0)</f>
        <v>0</v>
      </c>
      <c r="J917" s="61">
        <f t="array" ref="J917">if(YEAR(A917)=2025,XLOOKUP(B917,Lookup!$F$3:$F$10,Lookup!$I$3:$I$10,,1)*G917, XLOOKUP(B917,Lookup!$F$14:$F$21,Lookup!$I$14:$I$21,,1)*G917)</f>
        <v>0</v>
      </c>
      <c r="K917" s="61">
        <f t="array" ref="K917">if(B917&gt;54, if(YEAR(A917)=2025,XLOOKUP(B917,Lookup!$F$3:$F$10,Lookup!$H$3:$H$10,,1)*G917, XLOOKUP(B917,Lookup!$F$14:$F$21,Lookup!$H$14:$H$21,,1)*G917),0)</f>
        <v>0</v>
      </c>
      <c r="L917" s="62">
        <f>IF(and(A917&lt;questions!$C$19,questions!$C$18="yes"),questions!$C$20,0)</f>
        <v>0</v>
      </c>
      <c r="M917" s="63">
        <f>(Y916+H917)*Lookup!A$26/12</f>
        <v>5268.41911</v>
      </c>
      <c r="N917" s="63">
        <f>if(B917&lt;55, (Z916+I917)*Lookup!B$26/12, (AB916+K917)*Lookup!B$26/12)</f>
        <v>14060.8924</v>
      </c>
      <c r="O917" s="63">
        <f>(AA916+J917)*Lookup!C$26/12</f>
        <v>940.3700287</v>
      </c>
      <c r="P917" s="63">
        <f t="shared" si="8"/>
        <v>26342.09555</v>
      </c>
      <c r="Q917" s="63">
        <f t="shared" si="4"/>
        <v>70304.46201</v>
      </c>
      <c r="R917" s="63">
        <f t="shared" si="5"/>
        <v>4701.850143</v>
      </c>
      <c r="S917" s="64">
        <f t="shared" si="9"/>
        <v>33.33333333</v>
      </c>
      <c r="T917" s="64">
        <f t="shared" si="10"/>
        <v>41.66666667</v>
      </c>
      <c r="U917" s="64">
        <f t="shared" si="11"/>
        <v>0</v>
      </c>
      <c r="V917" s="64">
        <f t="shared" ref="V917:X917" si="925">IF(year($A917)=year($A916), V916+S917, S917)</f>
        <v>166.6666667</v>
      </c>
      <c r="W917" s="64">
        <f t="shared" si="925"/>
        <v>208.3333333</v>
      </c>
      <c r="X917" s="64">
        <f t="shared" si="925"/>
        <v>0</v>
      </c>
      <c r="Y917" s="65">
        <f>IFS(
  B917&lt;55,
    MAX(
      Y916 + IF(MONTH(A917)=12, P917+V917, 0) + H917 - L917
      + MAX(0,
          IF(AA916 &gt;= VLOOKUP(YEAR(A917), Lookup!$Q:$R, 2),
            Z916 + IF(MONTH(A917)=12, Q917+W917, 0) + I917
              + AA916 + IF(MONTH(A917)=12, R917+X917, 0)
              - VLOOKUP(YEAR(A917), Lookup!$Q:$R, 2) + J917,
            Z916 + IF(MONTH(A917)=12, Q917+W917, 0) + I917
          ) - VLOOKUP(YEAR(A917), Lookup!$K:$M, 3)
        ),
    0),
  B917=55,
    IF(Z916&gt;=AD917,
      MAX(Y916 + IF(MONTH(A917)=12, P917+V917, 0) + H917 - L917, 0),
      MAX(MAX(0, Y916-(AD917-Z916)) + IF(MONTH(A917)=12, P917+V917, 0) + H917 - L917, 0)
    ),
  B917&gt;55,
    IF(AB916&gt;=$AH$7,
      MAX(Y916 + IF(MONTH(A917)=12, P917+V917, 0) + H917 - L917 + K917 + Z916, 0),
      MAX(Y916 + IF(MONTH(A917)=12, P917+V917, 0) + H917 - L917, 0)
    )
)</f>
        <v>2528841.173</v>
      </c>
      <c r="Z917" s="65">
        <f>IFS(
  B917&lt;55,
    MIN(
      IF(AA916 &gt;= VLOOKUP(YEAR(A917), Lookup!$Q:$R, 2),
        Z916 + IF(MONTH(A917)=12, Q917+W917, 0) + I917
          + AA916 + IF(MONTH(A917)=12, R917+X917, 0) - VLOOKUP(YEAR(A917), Lookup!$Q:$R, 2) + J917,
        Z916 + IF(MONTH(A917)=12, Q917+W917, 0) + I917
      ),
      VLOOKUP(YEAR(A917), Lookup!$K:$M, 3)
    ),
  B917=55,
    IF(Z916 &gt;= AD917, Z916 - AD917, 0),
  B917&gt;55, 0
)</f>
        <v>0</v>
      </c>
      <c r="AA917" s="65">
        <f>IFS(
  B917&lt;65,
    IF(AA916+J917 &lt; VLOOKUP(YEAR(A917), Lookup!$Q:$R, 2),
      AA916 + IF(MONTH(A917)=12, R916+X916, 0) + J917,
      MIN(
        AA916 + IF(MONTH(A917)=12, R916+X916, 0) + J917 ,
        VLOOKUP(YEAR(A917), Lookup!$Q:$R, 2)
      )
    ),
  B917&gt;=65,
    IF(AA916+J917 &lt; VLOOKUP(questions!$C$5, Lookup!$Q:$R, 2),
      AA916 + IF(MONTH(A917)=12, R916+X916, 0) + J917 ,
      MIN(
        AA916 + IF(MONTH(A917)=12, R916+X916, 0) + J917,
        VLOOKUP(questions!$C$5, Lookup!$Q:$R, 2)
      )
    )
)</f>
        <v>282111.0086</v>
      </c>
      <c r="AB917" s="65">
        <f t="shared" si="13"/>
        <v>4218267.721</v>
      </c>
      <c r="AC917" s="66">
        <f t="array" ref="AC917">IFS(B917&lt;66, XLOOKUP(year(A917),Lookup!$K$13:$K1000,Lookup!$L$13:$L1000,"missing",,1),B917&gt;65,XLOOKUP(questions!$C$5,Lookup!$K$13:$K1000,Lookup!$L$13:$L1000,"missing",,1))</f>
        <v>393675.3633</v>
      </c>
      <c r="AD917" s="66">
        <f t="array" ref="AD917">IFS(B917&lt;66, XLOOKUP(year(A917),Lookup!$K$13:$K1000,Lookup!$M$13:$M1000,"missing",,1),B917&gt;65, XLOOKUP(questions!$C$5,Lookup!$K$13:$K1000,Lookup!$M$13:$M1000,"missing",,1))</f>
        <v>787350.7266</v>
      </c>
      <c r="AE917" s="66">
        <f t="array" ref="AE917">IFS(B917&lt;66, XLOOKUP(year(A917),Lookup!$K$13:$K1000,Lookup!$N$13:$N1000,"missing",,1),B917&gt;65,XLOOKUP(questions!$C$5,Lookup!$K$13:$K1000,Lookup!$N$13:$N1000,"missing",,1))</f>
        <v>1574701.453</v>
      </c>
      <c r="AF917" s="37"/>
      <c r="AG917" s="37"/>
      <c r="AH917" s="37"/>
      <c r="AI917" s="37"/>
      <c r="AJ917" s="37"/>
      <c r="AK917" s="37"/>
      <c r="AL917" s="37"/>
      <c r="AM917" s="37"/>
      <c r="AN917" s="37"/>
      <c r="AO917" s="37"/>
      <c r="AP917" s="37"/>
      <c r="AQ917" s="37"/>
    </row>
    <row r="918">
      <c r="A918" s="55">
        <f t="shared" si="7"/>
        <v>73961</v>
      </c>
      <c r="B918" s="56">
        <f>round(YEARFRAC(EOMONTH(questions!$C$3, 0),A918,1),2)</f>
        <v>103.58</v>
      </c>
      <c r="C918" s="58">
        <f>IF(B918&lt;questions!$C$6,if(MONTH(A918)=1,C917*(1+questions!$C$12),C917),0)</f>
        <v>0</v>
      </c>
      <c r="D918" s="58">
        <f>IF(MONTH(A918)=12,C918*questions!$C$11,0)</f>
        <v>0</v>
      </c>
      <c r="E918" s="71">
        <f t="shared" si="2"/>
        <v>0</v>
      </c>
      <c r="F918" s="71">
        <f t="shared" si="3"/>
        <v>0</v>
      </c>
      <c r="G918" s="61">
        <f t="array" ref="G918">if(YEAR(A918)=2025,XLOOKUP(B918,Lookup!$A$3:$A$7,Lookup!$D$3:$D$7,,1)*SUM(E918:F918), XLOOKUP(B918,Lookup!$A$14:$A$18,Lookup!$D$14:$D$18,,1)*SUM(E918:F918))</f>
        <v>0</v>
      </c>
      <c r="H918" s="61">
        <f t="array" ref="H918">if(YEAR(A918)=2025,XLOOKUP(B918,Lookup!$F$3:$F$10,Lookup!$G$3:$G$10,,1)*G918, XLOOKUP(B918,Lookup!$F$14:$F$21,Lookup!$G$14:$G$21,,1)*G918)</f>
        <v>0</v>
      </c>
      <c r="I918" s="61">
        <f t="array" ref="I918">if(B918&lt;55, if(YEAR(A918)=2025,XLOOKUP(B918,Lookup!$F$3:$F$10,Lookup!$H$3:$H$10,,1)*G918, XLOOKUP(B918,Lookup!$F$14:$F$21,Lookup!$H$14:$H$21,,1)*G918),0)</f>
        <v>0</v>
      </c>
      <c r="J918" s="61">
        <f t="array" ref="J918">if(YEAR(A918)=2025,XLOOKUP(B918,Lookup!$F$3:$F$10,Lookup!$I$3:$I$10,,1)*G918, XLOOKUP(B918,Lookup!$F$14:$F$21,Lookup!$I$14:$I$21,,1)*G918)</f>
        <v>0</v>
      </c>
      <c r="K918" s="61">
        <f t="array" ref="K918">if(B918&gt;54, if(YEAR(A918)=2025,XLOOKUP(B918,Lookup!$F$3:$F$10,Lookup!$H$3:$H$10,,1)*G918, XLOOKUP(B918,Lookup!$F$14:$F$21,Lookup!$H$14:$H$21,,1)*G918),0)</f>
        <v>0</v>
      </c>
      <c r="L918" s="62">
        <f>IF(and(A918&lt;questions!$C$19,questions!$C$18="yes"),questions!$C$20,0)</f>
        <v>0</v>
      </c>
      <c r="M918" s="63">
        <f>(Y917+H918)*Lookup!A$26/12</f>
        <v>5268.41911</v>
      </c>
      <c r="N918" s="63">
        <f>if(B918&lt;55, (Z917+I918)*Lookup!B$26/12, (AB917+K918)*Lookup!B$26/12)</f>
        <v>14060.8924</v>
      </c>
      <c r="O918" s="63">
        <f>(AA917+J918)*Lookup!C$26/12</f>
        <v>940.3700287</v>
      </c>
      <c r="P918" s="63">
        <f t="shared" si="8"/>
        <v>31610.51466</v>
      </c>
      <c r="Q918" s="63">
        <f t="shared" si="4"/>
        <v>84365.35441</v>
      </c>
      <c r="R918" s="63">
        <f t="shared" si="5"/>
        <v>5642.220172</v>
      </c>
      <c r="S918" s="64">
        <f t="shared" si="9"/>
        <v>33.33333333</v>
      </c>
      <c r="T918" s="64">
        <f t="shared" si="10"/>
        <v>41.66666667</v>
      </c>
      <c r="U918" s="64">
        <f t="shared" si="11"/>
        <v>0</v>
      </c>
      <c r="V918" s="64">
        <f t="shared" ref="V918:X918" si="926">IF(year($A918)=year($A917), V917+S918, S918)</f>
        <v>200</v>
      </c>
      <c r="W918" s="64">
        <f t="shared" si="926"/>
        <v>250</v>
      </c>
      <c r="X918" s="64">
        <f t="shared" si="926"/>
        <v>0</v>
      </c>
      <c r="Y918" s="65">
        <f>IFS(
  B918&lt;55,
    MAX(
      Y917 + IF(MONTH(A918)=12, P918+V918, 0) + H918 - L918
      + MAX(0,
          IF(AA917 &gt;= VLOOKUP(YEAR(A918), Lookup!$Q:$R, 2),
            Z917 + IF(MONTH(A918)=12, Q918+W918, 0) + I918
              + AA917 + IF(MONTH(A918)=12, R918+X918, 0)
              - VLOOKUP(YEAR(A918), Lookup!$Q:$R, 2) + J918,
            Z917 + IF(MONTH(A918)=12, Q918+W918, 0) + I918
          ) - VLOOKUP(YEAR(A918), Lookup!$K:$M, 3)
        ),
    0),
  B918=55,
    IF(Z917&gt;=AD918,
      MAX(Y917 + IF(MONTH(A918)=12, P918+V918, 0) + H918 - L918, 0),
      MAX(MAX(0, Y917-(AD918-Z917)) + IF(MONTH(A918)=12, P918+V918, 0) + H918 - L918, 0)
    ),
  B918&gt;55,
    IF(AB917&gt;=$AH$7,
      MAX(Y917 + IF(MONTH(A918)=12, P918+V918, 0) + H918 - L918 + K918 + Z917, 0),
      MAX(Y917 + IF(MONTH(A918)=12, P918+V918, 0) + H918 - L918, 0)
    )
)</f>
        <v>2528841.173</v>
      </c>
      <c r="Z918" s="65">
        <f>IFS(
  B918&lt;55,
    MIN(
      IF(AA917 &gt;= VLOOKUP(YEAR(A918), Lookup!$Q:$R, 2),
        Z917 + IF(MONTH(A918)=12, Q918+W918, 0) + I918
          + AA917 + IF(MONTH(A918)=12, R918+X918, 0) - VLOOKUP(YEAR(A918), Lookup!$Q:$R, 2) + J918,
        Z917 + IF(MONTH(A918)=12, Q918+W918, 0) + I918
      ),
      VLOOKUP(YEAR(A918), Lookup!$K:$M, 3)
    ),
  B918=55,
    IF(Z917 &gt;= AD918, Z917 - AD918, 0),
  B918&gt;55, 0
)</f>
        <v>0</v>
      </c>
      <c r="AA918" s="65">
        <f>IFS(
  B918&lt;65,
    IF(AA917+J918 &lt; VLOOKUP(YEAR(A918), Lookup!$Q:$R, 2),
      AA917 + IF(MONTH(A918)=12, R917+X917, 0) + J918,
      MIN(
        AA917 + IF(MONTH(A918)=12, R917+X917, 0) + J918 ,
        VLOOKUP(YEAR(A918), Lookup!$Q:$R, 2)
      )
    ),
  B918&gt;=65,
    IF(AA917+J918 &lt; VLOOKUP(questions!$C$5, Lookup!$Q:$R, 2),
      AA917 + IF(MONTH(A918)=12, R917+X917, 0) + J918 ,
      MIN(
        AA917 + IF(MONTH(A918)=12, R917+X917, 0) + J918,
        VLOOKUP(questions!$C$5, Lookup!$Q:$R, 2)
      )
    )
)</f>
        <v>282111.0086</v>
      </c>
      <c r="AB918" s="65">
        <f t="shared" si="13"/>
        <v>4218267.721</v>
      </c>
      <c r="AC918" s="66">
        <f t="array" ref="AC918">IFS(B918&lt;66, XLOOKUP(year(A918),Lookup!$K$13:$K1000,Lookup!$L$13:$L1000,"missing",,1),B918&gt;65,XLOOKUP(questions!$C$5,Lookup!$K$13:$K1000,Lookup!$L$13:$L1000,"missing",,1))</f>
        <v>393675.3633</v>
      </c>
      <c r="AD918" s="66">
        <f t="array" ref="AD918">IFS(B918&lt;66, XLOOKUP(year(A918),Lookup!$K$13:$K1000,Lookup!$M$13:$M1000,"missing",,1),B918&gt;65, XLOOKUP(questions!$C$5,Lookup!$K$13:$K1000,Lookup!$M$13:$M1000,"missing",,1))</f>
        <v>787350.7266</v>
      </c>
      <c r="AE918" s="66">
        <f t="array" ref="AE918">IFS(B918&lt;66, XLOOKUP(year(A918),Lookup!$K$13:$K1000,Lookup!$N$13:$N1000,"missing",,1),B918&gt;65,XLOOKUP(questions!$C$5,Lookup!$K$13:$K1000,Lookup!$N$13:$N1000,"missing",,1))</f>
        <v>1574701.453</v>
      </c>
      <c r="AF918" s="37"/>
      <c r="AG918" s="37"/>
      <c r="AH918" s="37"/>
      <c r="AI918" s="37"/>
      <c r="AJ918" s="37"/>
      <c r="AK918" s="37"/>
      <c r="AL918" s="37"/>
      <c r="AM918" s="37"/>
      <c r="AN918" s="37"/>
      <c r="AO918" s="37"/>
      <c r="AP918" s="37"/>
      <c r="AQ918" s="37"/>
    </row>
    <row r="919">
      <c r="A919" s="55">
        <f t="shared" si="7"/>
        <v>73992</v>
      </c>
      <c r="B919" s="56">
        <f>round(YEARFRAC(EOMONTH(questions!$C$3, 0),A919,1),2)</f>
        <v>103.67</v>
      </c>
      <c r="C919" s="58">
        <f>IF(B919&lt;questions!$C$6,if(MONTH(A919)=1,C918*(1+questions!$C$12),C918),0)</f>
        <v>0</v>
      </c>
      <c r="D919" s="58">
        <f>IF(MONTH(A919)=12,C919*questions!$C$11,0)</f>
        <v>0</v>
      </c>
      <c r="E919" s="71">
        <f t="shared" si="2"/>
        <v>0</v>
      </c>
      <c r="F919" s="71">
        <f t="shared" si="3"/>
        <v>0</v>
      </c>
      <c r="G919" s="61">
        <f t="array" ref="G919">if(YEAR(A919)=2025,XLOOKUP(B919,Lookup!$A$3:$A$7,Lookup!$D$3:$D$7,,1)*SUM(E919:F919), XLOOKUP(B919,Lookup!$A$14:$A$18,Lookup!$D$14:$D$18,,1)*SUM(E919:F919))</f>
        <v>0</v>
      </c>
      <c r="H919" s="61">
        <f t="array" ref="H919">if(YEAR(A919)=2025,XLOOKUP(B919,Lookup!$F$3:$F$10,Lookup!$G$3:$G$10,,1)*G919, XLOOKUP(B919,Lookup!$F$14:$F$21,Lookup!$G$14:$G$21,,1)*G919)</f>
        <v>0</v>
      </c>
      <c r="I919" s="61">
        <f t="array" ref="I919">if(B919&lt;55, if(YEAR(A919)=2025,XLOOKUP(B919,Lookup!$F$3:$F$10,Lookup!$H$3:$H$10,,1)*G919, XLOOKUP(B919,Lookup!$F$14:$F$21,Lookup!$H$14:$H$21,,1)*G919),0)</f>
        <v>0</v>
      </c>
      <c r="J919" s="61">
        <f t="array" ref="J919">if(YEAR(A919)=2025,XLOOKUP(B919,Lookup!$F$3:$F$10,Lookup!$I$3:$I$10,,1)*G919, XLOOKUP(B919,Lookup!$F$14:$F$21,Lookup!$I$14:$I$21,,1)*G919)</f>
        <v>0</v>
      </c>
      <c r="K919" s="61">
        <f t="array" ref="K919">if(B919&gt;54, if(YEAR(A919)=2025,XLOOKUP(B919,Lookup!$F$3:$F$10,Lookup!$H$3:$H$10,,1)*G919, XLOOKUP(B919,Lookup!$F$14:$F$21,Lookup!$H$14:$H$21,,1)*G919),0)</f>
        <v>0</v>
      </c>
      <c r="L919" s="62">
        <f>IF(and(A919&lt;questions!$C$19,questions!$C$18="yes"),questions!$C$20,0)</f>
        <v>0</v>
      </c>
      <c r="M919" s="63">
        <f>(Y918+H919)*Lookup!A$26/12</f>
        <v>5268.41911</v>
      </c>
      <c r="N919" s="63">
        <f>if(B919&lt;55, (Z918+I919)*Lookup!B$26/12, (AB918+K919)*Lookup!B$26/12)</f>
        <v>14060.8924</v>
      </c>
      <c r="O919" s="63">
        <f>(AA918+J919)*Lookup!C$26/12</f>
        <v>940.3700287</v>
      </c>
      <c r="P919" s="63">
        <f t="shared" si="8"/>
        <v>36878.93377</v>
      </c>
      <c r="Q919" s="63">
        <f t="shared" si="4"/>
        <v>98426.24682</v>
      </c>
      <c r="R919" s="63">
        <f t="shared" si="5"/>
        <v>6582.590201</v>
      </c>
      <c r="S919" s="64">
        <f t="shared" si="9"/>
        <v>33.33333333</v>
      </c>
      <c r="T919" s="64">
        <f t="shared" si="10"/>
        <v>41.66666667</v>
      </c>
      <c r="U919" s="64">
        <f t="shared" si="11"/>
        <v>0</v>
      </c>
      <c r="V919" s="64">
        <f t="shared" ref="V919:X919" si="927">IF(year($A919)=year($A918), V918+S919, S919)</f>
        <v>233.3333333</v>
      </c>
      <c r="W919" s="64">
        <f t="shared" si="927"/>
        <v>291.6666667</v>
      </c>
      <c r="X919" s="64">
        <f t="shared" si="927"/>
        <v>0</v>
      </c>
      <c r="Y919" s="65">
        <f>IFS(
  B919&lt;55,
    MAX(
      Y918 + IF(MONTH(A919)=12, P919+V919, 0) + H919 - L919
      + MAX(0,
          IF(AA918 &gt;= VLOOKUP(YEAR(A919), Lookup!$Q:$R, 2),
            Z918 + IF(MONTH(A919)=12, Q919+W919, 0) + I919
              + AA918 + IF(MONTH(A919)=12, R919+X919, 0)
              - VLOOKUP(YEAR(A919), Lookup!$Q:$R, 2) + J919,
            Z918 + IF(MONTH(A919)=12, Q919+W919, 0) + I919
          ) - VLOOKUP(YEAR(A919), Lookup!$K:$M, 3)
        ),
    0),
  B919=55,
    IF(Z918&gt;=AD919,
      MAX(Y918 + IF(MONTH(A919)=12, P919+V919, 0) + H919 - L919, 0),
      MAX(MAX(0, Y918-(AD919-Z918)) + IF(MONTH(A919)=12, P919+V919, 0) + H919 - L919, 0)
    ),
  B919&gt;55,
    IF(AB918&gt;=$AH$7,
      MAX(Y918 + IF(MONTH(A919)=12, P919+V919, 0) + H919 - L919 + K919 + Z918, 0),
      MAX(Y918 + IF(MONTH(A919)=12, P919+V919, 0) + H919 - L919, 0)
    )
)</f>
        <v>2528841.173</v>
      </c>
      <c r="Z919" s="65">
        <f>IFS(
  B919&lt;55,
    MIN(
      IF(AA918 &gt;= VLOOKUP(YEAR(A919), Lookup!$Q:$R, 2),
        Z918 + IF(MONTH(A919)=12, Q919+W919, 0) + I919
          + AA918 + IF(MONTH(A919)=12, R919+X919, 0) - VLOOKUP(YEAR(A919), Lookup!$Q:$R, 2) + J919,
        Z918 + IF(MONTH(A919)=12, Q919+W919, 0) + I919
      ),
      VLOOKUP(YEAR(A919), Lookup!$K:$M, 3)
    ),
  B919=55,
    IF(Z918 &gt;= AD919, Z918 - AD919, 0),
  B919&gt;55, 0
)</f>
        <v>0</v>
      </c>
      <c r="AA919" s="65">
        <f>IFS(
  B919&lt;65,
    IF(AA918+J919 &lt; VLOOKUP(YEAR(A919), Lookup!$Q:$R, 2),
      AA918 + IF(MONTH(A919)=12, R918+X918, 0) + J919,
      MIN(
        AA918 + IF(MONTH(A919)=12, R918+X918, 0) + J919 ,
        VLOOKUP(YEAR(A919), Lookup!$Q:$R, 2)
      )
    ),
  B919&gt;=65,
    IF(AA918+J919 &lt; VLOOKUP(questions!$C$5, Lookup!$Q:$R, 2),
      AA918 + IF(MONTH(A919)=12, R918+X918, 0) + J919 ,
      MIN(
        AA918 + IF(MONTH(A919)=12, R918+X918, 0) + J919,
        VLOOKUP(questions!$C$5, Lookup!$Q:$R, 2)
      )
    )
)</f>
        <v>282111.0086</v>
      </c>
      <c r="AB919" s="65">
        <f t="shared" si="13"/>
        <v>4218267.721</v>
      </c>
      <c r="AC919" s="66">
        <f t="array" ref="AC919">IFS(B919&lt;66, XLOOKUP(year(A919),Lookup!$K$13:$K1000,Lookup!$L$13:$L1000,"missing",,1),B919&gt;65,XLOOKUP(questions!$C$5,Lookup!$K$13:$K1000,Lookup!$L$13:$L1000,"missing",,1))</f>
        <v>393675.3633</v>
      </c>
      <c r="AD919" s="66">
        <f t="array" ref="AD919">IFS(B919&lt;66, XLOOKUP(year(A919),Lookup!$K$13:$K1000,Lookup!$M$13:$M1000,"missing",,1),B919&gt;65, XLOOKUP(questions!$C$5,Lookup!$K$13:$K1000,Lookup!$M$13:$M1000,"missing",,1))</f>
        <v>787350.7266</v>
      </c>
      <c r="AE919" s="66">
        <f t="array" ref="AE919">IFS(B919&lt;66, XLOOKUP(year(A919),Lookup!$K$13:$K1000,Lookup!$N$13:$N1000,"missing",,1),B919&gt;65,XLOOKUP(questions!$C$5,Lookup!$K$13:$K1000,Lookup!$N$13:$N1000,"missing",,1))</f>
        <v>1574701.453</v>
      </c>
      <c r="AF919" s="37"/>
      <c r="AG919" s="37"/>
      <c r="AH919" s="37"/>
      <c r="AI919" s="37"/>
      <c r="AJ919" s="37"/>
      <c r="AK919" s="37"/>
      <c r="AL919" s="37"/>
      <c r="AM919" s="37"/>
      <c r="AN919" s="37"/>
      <c r="AO919" s="37"/>
      <c r="AP919" s="37"/>
      <c r="AQ919" s="37"/>
    </row>
    <row r="920">
      <c r="A920" s="55">
        <f t="shared" si="7"/>
        <v>74023</v>
      </c>
      <c r="B920" s="56">
        <f>round(YEARFRAC(EOMONTH(questions!$C$3, 0),A920,1),2)</f>
        <v>103.75</v>
      </c>
      <c r="C920" s="58">
        <f>IF(B920&lt;questions!$C$6,if(MONTH(A920)=1,C919*(1+questions!$C$12),C919),0)</f>
        <v>0</v>
      </c>
      <c r="D920" s="58">
        <f>IF(MONTH(A920)=12,C920*questions!$C$11,0)</f>
        <v>0</v>
      </c>
      <c r="E920" s="71">
        <f t="shared" si="2"/>
        <v>0</v>
      </c>
      <c r="F920" s="71">
        <f t="shared" si="3"/>
        <v>0</v>
      </c>
      <c r="G920" s="61">
        <f t="array" ref="G920">if(YEAR(A920)=2025,XLOOKUP(B920,Lookup!$A$3:$A$7,Lookup!$D$3:$D$7,,1)*SUM(E920:F920), XLOOKUP(B920,Lookup!$A$14:$A$18,Lookup!$D$14:$D$18,,1)*SUM(E920:F920))</f>
        <v>0</v>
      </c>
      <c r="H920" s="61">
        <f t="array" ref="H920">if(YEAR(A920)=2025,XLOOKUP(B920,Lookup!$F$3:$F$10,Lookup!$G$3:$G$10,,1)*G920, XLOOKUP(B920,Lookup!$F$14:$F$21,Lookup!$G$14:$G$21,,1)*G920)</f>
        <v>0</v>
      </c>
      <c r="I920" s="61">
        <f t="array" ref="I920">if(B920&lt;55, if(YEAR(A920)=2025,XLOOKUP(B920,Lookup!$F$3:$F$10,Lookup!$H$3:$H$10,,1)*G920, XLOOKUP(B920,Lookup!$F$14:$F$21,Lookup!$H$14:$H$21,,1)*G920),0)</f>
        <v>0</v>
      </c>
      <c r="J920" s="61">
        <f t="array" ref="J920">if(YEAR(A920)=2025,XLOOKUP(B920,Lookup!$F$3:$F$10,Lookup!$I$3:$I$10,,1)*G920, XLOOKUP(B920,Lookup!$F$14:$F$21,Lookup!$I$14:$I$21,,1)*G920)</f>
        <v>0</v>
      </c>
      <c r="K920" s="61">
        <f t="array" ref="K920">if(B920&gt;54, if(YEAR(A920)=2025,XLOOKUP(B920,Lookup!$F$3:$F$10,Lookup!$H$3:$H$10,,1)*G920, XLOOKUP(B920,Lookup!$F$14:$F$21,Lookup!$H$14:$H$21,,1)*G920),0)</f>
        <v>0</v>
      </c>
      <c r="L920" s="62">
        <f>IF(and(A920&lt;questions!$C$19,questions!$C$18="yes"),questions!$C$20,0)</f>
        <v>0</v>
      </c>
      <c r="M920" s="63">
        <f>(Y919+H920)*Lookup!A$26/12</f>
        <v>5268.41911</v>
      </c>
      <c r="N920" s="63">
        <f>if(B920&lt;55, (Z919+I920)*Lookup!B$26/12, (AB919+K920)*Lookup!B$26/12)</f>
        <v>14060.8924</v>
      </c>
      <c r="O920" s="63">
        <f>(AA919+J920)*Lookup!C$26/12</f>
        <v>940.3700287</v>
      </c>
      <c r="P920" s="63">
        <f t="shared" si="8"/>
        <v>42147.35288</v>
      </c>
      <c r="Q920" s="63">
        <f t="shared" si="4"/>
        <v>112487.1392</v>
      </c>
      <c r="R920" s="63">
        <f t="shared" si="5"/>
        <v>7522.960229</v>
      </c>
      <c r="S920" s="64">
        <f t="shared" si="9"/>
        <v>33.33333333</v>
      </c>
      <c r="T920" s="64">
        <f t="shared" si="10"/>
        <v>41.66666667</v>
      </c>
      <c r="U920" s="64">
        <f t="shared" si="11"/>
        <v>0</v>
      </c>
      <c r="V920" s="64">
        <f t="shared" ref="V920:X920" si="928">IF(year($A920)=year($A919), V919+S920, S920)</f>
        <v>266.6666667</v>
      </c>
      <c r="W920" s="64">
        <f t="shared" si="928"/>
        <v>333.3333333</v>
      </c>
      <c r="X920" s="64">
        <f t="shared" si="928"/>
        <v>0</v>
      </c>
      <c r="Y920" s="65">
        <f>IFS(
  B920&lt;55,
    MAX(
      Y919 + IF(MONTH(A920)=12, P920+V920, 0) + H920 - L920
      + MAX(0,
          IF(AA919 &gt;= VLOOKUP(YEAR(A920), Lookup!$Q:$R, 2),
            Z919 + IF(MONTH(A920)=12, Q920+W920, 0) + I920
              + AA919 + IF(MONTH(A920)=12, R920+X920, 0)
              - VLOOKUP(YEAR(A920), Lookup!$Q:$R, 2) + J920,
            Z919 + IF(MONTH(A920)=12, Q920+W920, 0) + I920
          ) - VLOOKUP(YEAR(A920), Lookup!$K:$M, 3)
        ),
    0),
  B920=55,
    IF(Z919&gt;=AD920,
      MAX(Y919 + IF(MONTH(A920)=12, P920+V920, 0) + H920 - L920, 0),
      MAX(MAX(0, Y919-(AD920-Z919)) + IF(MONTH(A920)=12, P920+V920, 0) + H920 - L920, 0)
    ),
  B920&gt;55,
    IF(AB919&gt;=$AH$7,
      MAX(Y919 + IF(MONTH(A920)=12, P920+V920, 0) + H920 - L920 + K920 + Z919, 0),
      MAX(Y919 + IF(MONTH(A920)=12, P920+V920, 0) + H920 - L920, 0)
    )
)</f>
        <v>2528841.173</v>
      </c>
      <c r="Z920" s="65">
        <f>IFS(
  B920&lt;55,
    MIN(
      IF(AA919 &gt;= VLOOKUP(YEAR(A920), Lookup!$Q:$R, 2),
        Z919 + IF(MONTH(A920)=12, Q920+W920, 0) + I920
          + AA919 + IF(MONTH(A920)=12, R920+X920, 0) - VLOOKUP(YEAR(A920), Lookup!$Q:$R, 2) + J920,
        Z919 + IF(MONTH(A920)=12, Q920+W920, 0) + I920
      ),
      VLOOKUP(YEAR(A920), Lookup!$K:$M, 3)
    ),
  B920=55,
    IF(Z919 &gt;= AD920, Z919 - AD920, 0),
  B920&gt;55, 0
)</f>
        <v>0</v>
      </c>
      <c r="AA920" s="65">
        <f>IFS(
  B920&lt;65,
    IF(AA919+J920 &lt; VLOOKUP(YEAR(A920), Lookup!$Q:$R, 2),
      AA919 + IF(MONTH(A920)=12, R919+X919, 0) + J920,
      MIN(
        AA919 + IF(MONTH(A920)=12, R919+X919, 0) + J920 ,
        VLOOKUP(YEAR(A920), Lookup!$Q:$R, 2)
      )
    ),
  B920&gt;=65,
    IF(AA919+J920 &lt; VLOOKUP(questions!$C$5, Lookup!$Q:$R, 2),
      AA919 + IF(MONTH(A920)=12, R919+X919, 0) + J920 ,
      MIN(
        AA919 + IF(MONTH(A920)=12, R919+X919, 0) + J920,
        VLOOKUP(questions!$C$5, Lookup!$Q:$R, 2)
      )
    )
)</f>
        <v>282111.0086</v>
      </c>
      <c r="AB920" s="65">
        <f t="shared" si="13"/>
        <v>4218267.721</v>
      </c>
      <c r="AC920" s="66">
        <f t="array" ref="AC920">IFS(B920&lt;66, XLOOKUP(year(A920),Lookup!$K$13:$K1000,Lookup!$L$13:$L1000,"missing",,1),B920&gt;65,XLOOKUP(questions!$C$5,Lookup!$K$13:$K1000,Lookup!$L$13:$L1000,"missing",,1))</f>
        <v>393675.3633</v>
      </c>
      <c r="AD920" s="66">
        <f t="array" ref="AD920">IFS(B920&lt;66, XLOOKUP(year(A920),Lookup!$K$13:$K1000,Lookup!$M$13:$M1000,"missing",,1),B920&gt;65, XLOOKUP(questions!$C$5,Lookup!$K$13:$K1000,Lookup!$M$13:$M1000,"missing",,1))</f>
        <v>787350.7266</v>
      </c>
      <c r="AE920" s="66">
        <f t="array" ref="AE920">IFS(B920&lt;66, XLOOKUP(year(A920),Lookup!$K$13:$K1000,Lookup!$N$13:$N1000,"missing",,1),B920&gt;65,XLOOKUP(questions!$C$5,Lookup!$K$13:$K1000,Lookup!$N$13:$N1000,"missing",,1))</f>
        <v>1574701.453</v>
      </c>
      <c r="AF920" s="37"/>
      <c r="AG920" s="37"/>
      <c r="AH920" s="37"/>
      <c r="AI920" s="37"/>
      <c r="AJ920" s="37"/>
      <c r="AK920" s="37"/>
      <c r="AL920" s="37"/>
      <c r="AM920" s="37"/>
      <c r="AN920" s="37"/>
      <c r="AO920" s="37"/>
      <c r="AP920" s="37"/>
      <c r="AQ920" s="37"/>
    </row>
    <row r="921">
      <c r="A921" s="55">
        <f t="shared" si="7"/>
        <v>74053</v>
      </c>
      <c r="B921" s="56">
        <f>round(YEARFRAC(EOMONTH(questions!$C$3, 0),A921,1),2)</f>
        <v>103.83</v>
      </c>
      <c r="C921" s="58">
        <f>IF(B921&lt;questions!$C$6,if(MONTH(A921)=1,C920*(1+questions!$C$12),C920),0)</f>
        <v>0</v>
      </c>
      <c r="D921" s="58">
        <f>IF(MONTH(A921)=12,C921*questions!$C$11,0)</f>
        <v>0</v>
      </c>
      <c r="E921" s="71">
        <f t="shared" si="2"/>
        <v>0</v>
      </c>
      <c r="F921" s="71">
        <f t="shared" si="3"/>
        <v>0</v>
      </c>
      <c r="G921" s="61">
        <f t="array" ref="G921">if(YEAR(A921)=2025,XLOOKUP(B921,Lookup!$A$3:$A$7,Lookup!$D$3:$D$7,,1)*SUM(E921:F921), XLOOKUP(B921,Lookup!$A$14:$A$18,Lookup!$D$14:$D$18,,1)*SUM(E921:F921))</f>
        <v>0</v>
      </c>
      <c r="H921" s="61">
        <f t="array" ref="H921">if(YEAR(A921)=2025,XLOOKUP(B921,Lookup!$F$3:$F$10,Lookup!$G$3:$G$10,,1)*G921, XLOOKUP(B921,Lookup!$F$14:$F$21,Lookup!$G$14:$G$21,,1)*G921)</f>
        <v>0</v>
      </c>
      <c r="I921" s="61">
        <f t="array" ref="I921">if(B921&lt;55, if(YEAR(A921)=2025,XLOOKUP(B921,Lookup!$F$3:$F$10,Lookup!$H$3:$H$10,,1)*G921, XLOOKUP(B921,Lookup!$F$14:$F$21,Lookup!$H$14:$H$21,,1)*G921),0)</f>
        <v>0</v>
      </c>
      <c r="J921" s="61">
        <f t="array" ref="J921">if(YEAR(A921)=2025,XLOOKUP(B921,Lookup!$F$3:$F$10,Lookup!$I$3:$I$10,,1)*G921, XLOOKUP(B921,Lookup!$F$14:$F$21,Lookup!$I$14:$I$21,,1)*G921)</f>
        <v>0</v>
      </c>
      <c r="K921" s="61">
        <f t="array" ref="K921">if(B921&gt;54, if(YEAR(A921)=2025,XLOOKUP(B921,Lookup!$F$3:$F$10,Lookup!$H$3:$H$10,,1)*G921, XLOOKUP(B921,Lookup!$F$14:$F$21,Lookup!$H$14:$H$21,,1)*G921),0)</f>
        <v>0</v>
      </c>
      <c r="L921" s="62">
        <f>IF(and(A921&lt;questions!$C$19,questions!$C$18="yes"),questions!$C$20,0)</f>
        <v>0</v>
      </c>
      <c r="M921" s="63">
        <f>(Y920+H921)*Lookup!A$26/12</f>
        <v>5268.41911</v>
      </c>
      <c r="N921" s="63">
        <f>if(B921&lt;55, (Z920+I921)*Lookup!B$26/12, (AB920+K921)*Lookup!B$26/12)</f>
        <v>14060.8924</v>
      </c>
      <c r="O921" s="63">
        <f>(AA920+J921)*Lookup!C$26/12</f>
        <v>940.3700287</v>
      </c>
      <c r="P921" s="63">
        <f t="shared" si="8"/>
        <v>47415.77199</v>
      </c>
      <c r="Q921" s="63">
        <f t="shared" si="4"/>
        <v>126548.0316</v>
      </c>
      <c r="R921" s="63">
        <f t="shared" si="5"/>
        <v>8463.330258</v>
      </c>
      <c r="S921" s="64">
        <f t="shared" si="9"/>
        <v>33.33333333</v>
      </c>
      <c r="T921" s="64">
        <f t="shared" si="10"/>
        <v>41.66666667</v>
      </c>
      <c r="U921" s="64">
        <f t="shared" si="11"/>
        <v>0</v>
      </c>
      <c r="V921" s="64">
        <f t="shared" ref="V921:X921" si="929">IF(year($A921)=year($A920), V920+S921, S921)</f>
        <v>300</v>
      </c>
      <c r="W921" s="64">
        <f t="shared" si="929"/>
        <v>375</v>
      </c>
      <c r="X921" s="64">
        <f t="shared" si="929"/>
        <v>0</v>
      </c>
      <c r="Y921" s="65">
        <f>IFS(
  B921&lt;55,
    MAX(
      Y920 + IF(MONTH(A921)=12, P921+V921, 0) + H921 - L921
      + MAX(0,
          IF(AA920 &gt;= VLOOKUP(YEAR(A921), Lookup!$Q:$R, 2),
            Z920 + IF(MONTH(A921)=12, Q921+W921, 0) + I921
              + AA920 + IF(MONTH(A921)=12, R921+X921, 0)
              - VLOOKUP(YEAR(A921), Lookup!$Q:$R, 2) + J921,
            Z920 + IF(MONTH(A921)=12, Q921+W921, 0) + I921
          ) - VLOOKUP(YEAR(A921), Lookup!$K:$M, 3)
        ),
    0),
  B921=55,
    IF(Z920&gt;=AD921,
      MAX(Y920 + IF(MONTH(A921)=12, P921+V921, 0) + H921 - L921, 0),
      MAX(MAX(0, Y920-(AD921-Z920)) + IF(MONTH(A921)=12, P921+V921, 0) + H921 - L921, 0)
    ),
  B921&gt;55,
    IF(AB920&gt;=$AH$7,
      MAX(Y920 + IF(MONTH(A921)=12, P921+V921, 0) + H921 - L921 + K921 + Z920, 0),
      MAX(Y920 + IF(MONTH(A921)=12, P921+V921, 0) + H921 - L921, 0)
    )
)</f>
        <v>2528841.173</v>
      </c>
      <c r="Z921" s="65">
        <f>IFS(
  B921&lt;55,
    MIN(
      IF(AA920 &gt;= VLOOKUP(YEAR(A921), Lookup!$Q:$R, 2),
        Z920 + IF(MONTH(A921)=12, Q921+W921, 0) + I921
          + AA920 + IF(MONTH(A921)=12, R921+X921, 0) - VLOOKUP(YEAR(A921), Lookup!$Q:$R, 2) + J921,
        Z920 + IF(MONTH(A921)=12, Q921+W921, 0) + I921
      ),
      VLOOKUP(YEAR(A921), Lookup!$K:$M, 3)
    ),
  B921=55,
    IF(Z920 &gt;= AD921, Z920 - AD921, 0),
  B921&gt;55, 0
)</f>
        <v>0</v>
      </c>
      <c r="AA921" s="65">
        <f>IFS(
  B921&lt;65,
    IF(AA920+J921 &lt; VLOOKUP(YEAR(A921), Lookup!$Q:$R, 2),
      AA920 + IF(MONTH(A921)=12, R920+X920, 0) + J921,
      MIN(
        AA920 + IF(MONTH(A921)=12, R920+X920, 0) + J921 ,
        VLOOKUP(YEAR(A921), Lookup!$Q:$R, 2)
      )
    ),
  B921&gt;=65,
    IF(AA920+J921 &lt; VLOOKUP(questions!$C$5, Lookup!$Q:$R, 2),
      AA920 + IF(MONTH(A921)=12, R920+X920, 0) + J921 ,
      MIN(
        AA920 + IF(MONTH(A921)=12, R920+X920, 0) + J921,
        VLOOKUP(questions!$C$5, Lookup!$Q:$R, 2)
      )
    )
)</f>
        <v>282111.0086</v>
      </c>
      <c r="AB921" s="65">
        <f t="shared" si="13"/>
        <v>4218267.721</v>
      </c>
      <c r="AC921" s="66">
        <f t="array" ref="AC921">IFS(B921&lt;66, XLOOKUP(year(A921),Lookup!$K$13:$K1000,Lookup!$L$13:$L1000,"missing",,1),B921&gt;65,XLOOKUP(questions!$C$5,Lookup!$K$13:$K1000,Lookup!$L$13:$L1000,"missing",,1))</f>
        <v>393675.3633</v>
      </c>
      <c r="AD921" s="66">
        <f t="array" ref="AD921">IFS(B921&lt;66, XLOOKUP(year(A921),Lookup!$K$13:$K1000,Lookup!$M$13:$M1000,"missing",,1),B921&gt;65, XLOOKUP(questions!$C$5,Lookup!$K$13:$K1000,Lookup!$M$13:$M1000,"missing",,1))</f>
        <v>787350.7266</v>
      </c>
      <c r="AE921" s="66">
        <f t="array" ref="AE921">IFS(B921&lt;66, XLOOKUP(year(A921),Lookup!$K$13:$K1000,Lookup!$N$13:$N1000,"missing",,1),B921&gt;65,XLOOKUP(questions!$C$5,Lookup!$K$13:$K1000,Lookup!$N$13:$N1000,"missing",,1))</f>
        <v>1574701.453</v>
      </c>
      <c r="AF921" s="37"/>
      <c r="AG921" s="37"/>
      <c r="AH921" s="37"/>
      <c r="AI921" s="37"/>
      <c r="AJ921" s="37"/>
      <c r="AK921" s="37"/>
      <c r="AL921" s="37"/>
      <c r="AM921" s="37"/>
      <c r="AN921" s="37"/>
      <c r="AO921" s="37"/>
      <c r="AP921" s="37"/>
      <c r="AQ921" s="37"/>
    </row>
    <row r="922">
      <c r="A922" s="55">
        <f t="shared" si="7"/>
        <v>74084</v>
      </c>
      <c r="B922" s="56">
        <f>round(YEARFRAC(EOMONTH(questions!$C$3, 0),A922,1),2)</f>
        <v>103.92</v>
      </c>
      <c r="C922" s="58">
        <f>IF(B922&lt;questions!$C$6,if(MONTH(A922)=1,C921*(1+questions!$C$12),C921),0)</f>
        <v>0</v>
      </c>
      <c r="D922" s="58">
        <f>IF(MONTH(A922)=12,C922*questions!$C$11,0)</f>
        <v>0</v>
      </c>
      <c r="E922" s="71">
        <f t="shared" si="2"/>
        <v>0</v>
      </c>
      <c r="F922" s="71">
        <f t="shared" si="3"/>
        <v>0</v>
      </c>
      <c r="G922" s="61">
        <f t="array" ref="G922">if(YEAR(A922)=2025,XLOOKUP(B922,Lookup!$A$3:$A$7,Lookup!$D$3:$D$7,,1)*SUM(E922:F922), XLOOKUP(B922,Lookup!$A$14:$A$18,Lookup!$D$14:$D$18,,1)*SUM(E922:F922))</f>
        <v>0</v>
      </c>
      <c r="H922" s="61">
        <f t="array" ref="H922">if(YEAR(A922)=2025,XLOOKUP(B922,Lookup!$F$3:$F$10,Lookup!$G$3:$G$10,,1)*G922, XLOOKUP(B922,Lookup!$F$14:$F$21,Lookup!$G$14:$G$21,,1)*G922)</f>
        <v>0</v>
      </c>
      <c r="I922" s="61">
        <f t="array" ref="I922">if(B922&lt;55, if(YEAR(A922)=2025,XLOOKUP(B922,Lookup!$F$3:$F$10,Lookup!$H$3:$H$10,,1)*G922, XLOOKUP(B922,Lookup!$F$14:$F$21,Lookup!$H$14:$H$21,,1)*G922),0)</f>
        <v>0</v>
      </c>
      <c r="J922" s="61">
        <f t="array" ref="J922">if(YEAR(A922)=2025,XLOOKUP(B922,Lookup!$F$3:$F$10,Lookup!$I$3:$I$10,,1)*G922, XLOOKUP(B922,Lookup!$F$14:$F$21,Lookup!$I$14:$I$21,,1)*G922)</f>
        <v>0</v>
      </c>
      <c r="K922" s="61">
        <f t="array" ref="K922">if(B922&gt;54, if(YEAR(A922)=2025,XLOOKUP(B922,Lookup!$F$3:$F$10,Lookup!$H$3:$H$10,,1)*G922, XLOOKUP(B922,Lookup!$F$14:$F$21,Lookup!$H$14:$H$21,,1)*G922),0)</f>
        <v>0</v>
      </c>
      <c r="L922" s="62">
        <f>IF(and(A922&lt;questions!$C$19,questions!$C$18="yes"),questions!$C$20,0)</f>
        <v>0</v>
      </c>
      <c r="M922" s="63">
        <f>(Y921+H922)*Lookup!A$26/12</f>
        <v>5268.41911</v>
      </c>
      <c r="N922" s="63">
        <f>if(B922&lt;55, (Z921+I922)*Lookup!B$26/12, (AB921+K922)*Lookup!B$26/12)</f>
        <v>14060.8924</v>
      </c>
      <c r="O922" s="63">
        <f>(AA921+J922)*Lookup!C$26/12</f>
        <v>940.3700287</v>
      </c>
      <c r="P922" s="63">
        <f t="shared" si="8"/>
        <v>52684.1911</v>
      </c>
      <c r="Q922" s="63">
        <f t="shared" si="4"/>
        <v>140608.924</v>
      </c>
      <c r="R922" s="63">
        <f t="shared" si="5"/>
        <v>9403.700287</v>
      </c>
      <c r="S922" s="64">
        <f t="shared" si="9"/>
        <v>33.33333333</v>
      </c>
      <c r="T922" s="64">
        <f t="shared" si="10"/>
        <v>41.66666667</v>
      </c>
      <c r="U922" s="64">
        <f t="shared" si="11"/>
        <v>0</v>
      </c>
      <c r="V922" s="64">
        <f t="shared" ref="V922:X922" si="930">IF(year($A922)=year($A921), V921+S922, S922)</f>
        <v>333.3333333</v>
      </c>
      <c r="W922" s="64">
        <f t="shared" si="930"/>
        <v>416.6666667</v>
      </c>
      <c r="X922" s="64">
        <f t="shared" si="930"/>
        <v>0</v>
      </c>
      <c r="Y922" s="65">
        <f>IFS(
  B922&lt;55,
    MAX(
      Y921 + IF(MONTH(A922)=12, P922+V922, 0) + H922 - L922
      + MAX(0,
          IF(AA921 &gt;= VLOOKUP(YEAR(A922), Lookup!$Q:$R, 2),
            Z921 + IF(MONTH(A922)=12, Q922+W922, 0) + I922
              + AA921 + IF(MONTH(A922)=12, R922+X922, 0)
              - VLOOKUP(YEAR(A922), Lookup!$Q:$R, 2) + J922,
            Z921 + IF(MONTH(A922)=12, Q922+W922, 0) + I922
          ) - VLOOKUP(YEAR(A922), Lookup!$K:$M, 3)
        ),
    0),
  B922=55,
    IF(Z921&gt;=AD922,
      MAX(Y921 + IF(MONTH(A922)=12, P922+V922, 0) + H922 - L922, 0),
      MAX(MAX(0, Y921-(AD922-Z921)) + IF(MONTH(A922)=12, P922+V922, 0) + H922 - L922, 0)
    ),
  B922&gt;55,
    IF(AB921&gt;=$AH$7,
      MAX(Y921 + IF(MONTH(A922)=12, P922+V922, 0) + H922 - L922 + K922 + Z921, 0),
      MAX(Y921 + IF(MONTH(A922)=12, P922+V922, 0) + H922 - L922, 0)
    )
)</f>
        <v>2528841.173</v>
      </c>
      <c r="Z922" s="65">
        <f>IFS(
  B922&lt;55,
    MIN(
      IF(AA921 &gt;= VLOOKUP(YEAR(A922), Lookup!$Q:$R, 2),
        Z921 + IF(MONTH(A922)=12, Q922+W922, 0) + I922
          + AA921 + IF(MONTH(A922)=12, R922+X922, 0) - VLOOKUP(YEAR(A922), Lookup!$Q:$R, 2) + J922,
        Z921 + IF(MONTH(A922)=12, Q922+W922, 0) + I922
      ),
      VLOOKUP(YEAR(A922), Lookup!$K:$M, 3)
    ),
  B922=55,
    IF(Z921 &gt;= AD922, Z921 - AD922, 0),
  B922&gt;55, 0
)</f>
        <v>0</v>
      </c>
      <c r="AA922" s="65">
        <f>IFS(
  B922&lt;65,
    IF(AA921+J922 &lt; VLOOKUP(YEAR(A922), Lookup!$Q:$R, 2),
      AA921 + IF(MONTH(A922)=12, R921+X921, 0) + J922,
      MIN(
        AA921 + IF(MONTH(A922)=12, R921+X921, 0) + J922 ,
        VLOOKUP(YEAR(A922), Lookup!$Q:$R, 2)
      )
    ),
  B922&gt;=65,
    IF(AA921+J922 &lt; VLOOKUP(questions!$C$5, Lookup!$Q:$R, 2),
      AA921 + IF(MONTH(A922)=12, R921+X921, 0) + J922 ,
      MIN(
        AA921 + IF(MONTH(A922)=12, R921+X921, 0) + J922,
        VLOOKUP(questions!$C$5, Lookup!$Q:$R, 2)
      )
    )
)</f>
        <v>282111.0086</v>
      </c>
      <c r="AB922" s="65">
        <f t="shared" si="13"/>
        <v>4218267.721</v>
      </c>
      <c r="AC922" s="66">
        <f t="array" ref="AC922">IFS(B922&lt;66, XLOOKUP(year(A922),Lookup!$K$13:$K1000,Lookup!$L$13:$L1000,"missing",,1),B922&gt;65,XLOOKUP(questions!$C$5,Lookup!$K$13:$K1000,Lookup!$L$13:$L1000,"missing",,1))</f>
        <v>393675.3633</v>
      </c>
      <c r="AD922" s="66">
        <f t="array" ref="AD922">IFS(B922&lt;66, XLOOKUP(year(A922),Lookup!$K$13:$K1000,Lookup!$M$13:$M1000,"missing",,1),B922&gt;65, XLOOKUP(questions!$C$5,Lookup!$K$13:$K1000,Lookup!$M$13:$M1000,"missing",,1))</f>
        <v>787350.7266</v>
      </c>
      <c r="AE922" s="66">
        <f t="array" ref="AE922">IFS(B922&lt;66, XLOOKUP(year(A922),Lookup!$K$13:$K1000,Lookup!$N$13:$N1000,"missing",,1),B922&gt;65,XLOOKUP(questions!$C$5,Lookup!$K$13:$K1000,Lookup!$N$13:$N1000,"missing",,1))</f>
        <v>1574701.453</v>
      </c>
      <c r="AF922" s="37"/>
      <c r="AG922" s="37"/>
      <c r="AH922" s="37"/>
      <c r="AI922" s="37"/>
      <c r="AJ922" s="37"/>
      <c r="AK922" s="37"/>
      <c r="AL922" s="37"/>
      <c r="AM922" s="37"/>
      <c r="AN922" s="37"/>
      <c r="AO922" s="37"/>
      <c r="AP922" s="37"/>
      <c r="AQ922" s="37"/>
    </row>
    <row r="923">
      <c r="A923" s="55">
        <f t="shared" si="7"/>
        <v>74114</v>
      </c>
      <c r="B923" s="56">
        <f>round(YEARFRAC(EOMONTH(questions!$C$3, 0),A923,1),2)</f>
        <v>104</v>
      </c>
      <c r="C923" s="58">
        <f>IF(B923&lt;questions!$C$6,if(MONTH(A923)=1,C922*(1+questions!$C$12),C922),0)</f>
        <v>0</v>
      </c>
      <c r="D923" s="58">
        <f>IF(MONTH(A923)=12,C923*questions!$C$11,0)</f>
        <v>0</v>
      </c>
      <c r="E923" s="71">
        <f t="shared" si="2"/>
        <v>0</v>
      </c>
      <c r="F923" s="71">
        <f t="shared" si="3"/>
        <v>0</v>
      </c>
      <c r="G923" s="61">
        <f t="array" ref="G923">if(YEAR(A923)=2025,XLOOKUP(B923,Lookup!$A$3:$A$7,Lookup!$D$3:$D$7,,1)*SUM(E923:F923), XLOOKUP(B923,Lookup!$A$14:$A$18,Lookup!$D$14:$D$18,,1)*SUM(E923:F923))</f>
        <v>0</v>
      </c>
      <c r="H923" s="61">
        <f t="array" ref="H923">if(YEAR(A923)=2025,XLOOKUP(B923,Lookup!$F$3:$F$10,Lookup!$G$3:$G$10,,1)*G923, XLOOKUP(B923,Lookup!$F$14:$F$21,Lookup!$G$14:$G$21,,1)*G923)</f>
        <v>0</v>
      </c>
      <c r="I923" s="61">
        <f t="array" ref="I923">if(B923&lt;55, if(YEAR(A923)=2025,XLOOKUP(B923,Lookup!$F$3:$F$10,Lookup!$H$3:$H$10,,1)*G923, XLOOKUP(B923,Lookup!$F$14:$F$21,Lookup!$H$14:$H$21,,1)*G923),0)</f>
        <v>0</v>
      </c>
      <c r="J923" s="61">
        <f t="array" ref="J923">if(YEAR(A923)=2025,XLOOKUP(B923,Lookup!$F$3:$F$10,Lookup!$I$3:$I$10,,1)*G923, XLOOKUP(B923,Lookup!$F$14:$F$21,Lookup!$I$14:$I$21,,1)*G923)</f>
        <v>0</v>
      </c>
      <c r="K923" s="61">
        <f t="array" ref="K923">if(B923&gt;54, if(YEAR(A923)=2025,XLOOKUP(B923,Lookup!$F$3:$F$10,Lookup!$H$3:$H$10,,1)*G923, XLOOKUP(B923,Lookup!$F$14:$F$21,Lookup!$H$14:$H$21,,1)*G923),0)</f>
        <v>0</v>
      </c>
      <c r="L923" s="62">
        <f>IF(and(A923&lt;questions!$C$19,questions!$C$18="yes"),questions!$C$20,0)</f>
        <v>0</v>
      </c>
      <c r="M923" s="63">
        <f>(Y922+H923)*Lookup!A$26/12</f>
        <v>5268.41911</v>
      </c>
      <c r="N923" s="63">
        <f>if(B923&lt;55, (Z922+I923)*Lookup!B$26/12, (AB922+K923)*Lookup!B$26/12)</f>
        <v>14060.8924</v>
      </c>
      <c r="O923" s="63">
        <f>(AA922+J923)*Lookup!C$26/12</f>
        <v>940.3700287</v>
      </c>
      <c r="P923" s="63">
        <f t="shared" si="8"/>
        <v>57952.61021</v>
      </c>
      <c r="Q923" s="63">
        <f t="shared" si="4"/>
        <v>154669.8164</v>
      </c>
      <c r="R923" s="63">
        <f t="shared" si="5"/>
        <v>10344.07032</v>
      </c>
      <c r="S923" s="64">
        <f t="shared" si="9"/>
        <v>33.33333333</v>
      </c>
      <c r="T923" s="64">
        <f t="shared" si="10"/>
        <v>41.66666667</v>
      </c>
      <c r="U923" s="64">
        <f t="shared" si="11"/>
        <v>0</v>
      </c>
      <c r="V923" s="64">
        <f t="shared" ref="V923:X923" si="931">IF(year($A923)=year($A922), V922+S923, S923)</f>
        <v>366.6666667</v>
      </c>
      <c r="W923" s="64">
        <f t="shared" si="931"/>
        <v>458.3333333</v>
      </c>
      <c r="X923" s="64">
        <f t="shared" si="931"/>
        <v>0</v>
      </c>
      <c r="Y923" s="65">
        <f>IFS(
  B923&lt;55,
    MAX(
      Y922 + IF(MONTH(A923)=12, P923+V923, 0) + H923 - L923
      + MAX(0,
          IF(AA922 &gt;= VLOOKUP(YEAR(A923), Lookup!$Q:$R, 2),
            Z922 + IF(MONTH(A923)=12, Q923+W923, 0) + I923
              + AA922 + IF(MONTH(A923)=12, R923+X923, 0)
              - VLOOKUP(YEAR(A923), Lookup!$Q:$R, 2) + J923,
            Z922 + IF(MONTH(A923)=12, Q923+W923, 0) + I923
          ) - VLOOKUP(YEAR(A923), Lookup!$K:$M, 3)
        ),
    0),
  B923=55,
    IF(Z922&gt;=AD923,
      MAX(Y922 + IF(MONTH(A923)=12, P923+V923, 0) + H923 - L923, 0),
      MAX(MAX(0, Y922-(AD923-Z922)) + IF(MONTH(A923)=12, P923+V923, 0) + H923 - L923, 0)
    ),
  B923&gt;55,
    IF(AB922&gt;=$AH$7,
      MAX(Y922 + IF(MONTH(A923)=12, P923+V923, 0) + H923 - L923 + K923 + Z922, 0),
      MAX(Y922 + IF(MONTH(A923)=12, P923+V923, 0) + H923 - L923, 0)
    )
)</f>
        <v>2528841.173</v>
      </c>
      <c r="Z923" s="65">
        <f>IFS(
  B923&lt;55,
    MIN(
      IF(AA922 &gt;= VLOOKUP(YEAR(A923), Lookup!$Q:$R, 2),
        Z922 + IF(MONTH(A923)=12, Q923+W923, 0) + I923
          + AA922 + IF(MONTH(A923)=12, R923+X923, 0) - VLOOKUP(YEAR(A923), Lookup!$Q:$R, 2) + J923,
        Z922 + IF(MONTH(A923)=12, Q923+W923, 0) + I923
      ),
      VLOOKUP(YEAR(A923), Lookup!$K:$M, 3)
    ),
  B923=55,
    IF(Z922 &gt;= AD923, Z922 - AD923, 0),
  B923&gt;55, 0
)</f>
        <v>0</v>
      </c>
      <c r="AA923" s="65">
        <f>IFS(
  B923&lt;65,
    IF(AA922+J923 &lt; VLOOKUP(YEAR(A923), Lookup!$Q:$R, 2),
      AA922 + IF(MONTH(A923)=12, R922+X922, 0) + J923,
      MIN(
        AA922 + IF(MONTH(A923)=12, R922+X922, 0) + J923 ,
        VLOOKUP(YEAR(A923), Lookup!$Q:$R, 2)
      )
    ),
  B923&gt;=65,
    IF(AA922+J923 &lt; VLOOKUP(questions!$C$5, Lookup!$Q:$R, 2),
      AA922 + IF(MONTH(A923)=12, R922+X922, 0) + J923 ,
      MIN(
        AA922 + IF(MONTH(A923)=12, R922+X922, 0) + J923,
        VLOOKUP(questions!$C$5, Lookup!$Q:$R, 2)
      )
    )
)</f>
        <v>282111.0086</v>
      </c>
      <c r="AB923" s="65">
        <f t="shared" si="13"/>
        <v>4218267.721</v>
      </c>
      <c r="AC923" s="66">
        <f t="array" ref="AC923">IFS(B923&lt;66, XLOOKUP(year(A923),Lookup!$K$13:$K1000,Lookup!$L$13:$L1000,"missing",,1),B923&gt;65,XLOOKUP(questions!$C$5,Lookup!$K$13:$K1000,Lookup!$L$13:$L1000,"missing",,1))</f>
        <v>393675.3633</v>
      </c>
      <c r="AD923" s="66">
        <f t="array" ref="AD923">IFS(B923&lt;66, XLOOKUP(year(A923),Lookup!$K$13:$K1000,Lookup!$M$13:$M1000,"missing",,1),B923&gt;65, XLOOKUP(questions!$C$5,Lookup!$K$13:$K1000,Lookup!$M$13:$M1000,"missing",,1))</f>
        <v>787350.7266</v>
      </c>
      <c r="AE923" s="66">
        <f t="array" ref="AE923">IFS(B923&lt;66, XLOOKUP(year(A923),Lookup!$K$13:$K1000,Lookup!$N$13:$N1000,"missing",,1),B923&gt;65,XLOOKUP(questions!$C$5,Lookup!$K$13:$K1000,Lookup!$N$13:$N1000,"missing",,1))</f>
        <v>1574701.453</v>
      </c>
      <c r="AF923" s="37"/>
      <c r="AG923" s="37"/>
      <c r="AH923" s="37"/>
      <c r="AI923" s="37"/>
      <c r="AJ923" s="37"/>
      <c r="AK923" s="37"/>
      <c r="AL923" s="37"/>
      <c r="AM923" s="37"/>
      <c r="AN923" s="37"/>
      <c r="AO923" s="37"/>
      <c r="AP923" s="37"/>
      <c r="AQ923" s="37"/>
    </row>
    <row r="924">
      <c r="A924" s="55">
        <f t="shared" si="7"/>
        <v>74145</v>
      </c>
      <c r="B924" s="56">
        <f>round(YEARFRAC(EOMONTH(questions!$C$3, 0),A924,1),2)</f>
        <v>104.08</v>
      </c>
      <c r="C924" s="58">
        <f>IF(B924&lt;questions!$C$6,if(MONTH(A924)=1,C923*(1+questions!$C$12),C923),0)</f>
        <v>0</v>
      </c>
      <c r="D924" s="58">
        <f>IF(MONTH(A924)=12,C924*questions!$C$11,0)</f>
        <v>0</v>
      </c>
      <c r="E924" s="71">
        <f t="shared" si="2"/>
        <v>0</v>
      </c>
      <c r="F924" s="71">
        <f t="shared" si="3"/>
        <v>0</v>
      </c>
      <c r="G924" s="61">
        <f t="array" ref="G924">if(YEAR(A924)=2025,XLOOKUP(B924,Lookup!$A$3:$A$7,Lookup!$D$3:$D$7,,1)*SUM(E924:F924), XLOOKUP(B924,Lookup!$A$14:$A$18,Lookup!$D$14:$D$18,,1)*SUM(E924:F924))</f>
        <v>0</v>
      </c>
      <c r="H924" s="61">
        <f t="array" ref="H924">if(YEAR(A924)=2025,XLOOKUP(B924,Lookup!$F$3:$F$10,Lookup!$G$3:$G$10,,1)*G924, XLOOKUP(B924,Lookup!$F$14:$F$21,Lookup!$G$14:$G$21,,1)*G924)</f>
        <v>0</v>
      </c>
      <c r="I924" s="61">
        <f t="array" ref="I924">if(B924&lt;55, if(YEAR(A924)=2025,XLOOKUP(B924,Lookup!$F$3:$F$10,Lookup!$H$3:$H$10,,1)*G924, XLOOKUP(B924,Lookup!$F$14:$F$21,Lookup!$H$14:$H$21,,1)*G924),0)</f>
        <v>0</v>
      </c>
      <c r="J924" s="61">
        <f t="array" ref="J924">if(YEAR(A924)=2025,XLOOKUP(B924,Lookup!$F$3:$F$10,Lookup!$I$3:$I$10,,1)*G924, XLOOKUP(B924,Lookup!$F$14:$F$21,Lookup!$I$14:$I$21,,1)*G924)</f>
        <v>0</v>
      </c>
      <c r="K924" s="61">
        <f t="array" ref="K924">if(B924&gt;54, if(YEAR(A924)=2025,XLOOKUP(B924,Lookup!$F$3:$F$10,Lookup!$H$3:$H$10,,1)*G924, XLOOKUP(B924,Lookup!$F$14:$F$21,Lookup!$H$14:$H$21,,1)*G924),0)</f>
        <v>0</v>
      </c>
      <c r="L924" s="62">
        <f>IF(and(A924&lt;questions!$C$19,questions!$C$18="yes"),questions!$C$20,0)</f>
        <v>0</v>
      </c>
      <c r="M924" s="63">
        <f>(Y923+H924)*Lookup!A$26/12</f>
        <v>5268.41911</v>
      </c>
      <c r="N924" s="63">
        <f>if(B924&lt;55, (Z923+I924)*Lookup!B$26/12, (AB923+K924)*Lookup!B$26/12)</f>
        <v>14060.8924</v>
      </c>
      <c r="O924" s="63">
        <f>(AA923+J924)*Lookup!C$26/12</f>
        <v>940.3700287</v>
      </c>
      <c r="P924" s="63">
        <f t="shared" si="8"/>
        <v>63221.02932</v>
      </c>
      <c r="Q924" s="63">
        <f t="shared" si="4"/>
        <v>168730.7088</v>
      </c>
      <c r="R924" s="63">
        <f t="shared" si="5"/>
        <v>11284.44034</v>
      </c>
      <c r="S924" s="64">
        <f t="shared" si="9"/>
        <v>33.33333333</v>
      </c>
      <c r="T924" s="64">
        <f t="shared" si="10"/>
        <v>41.66666667</v>
      </c>
      <c r="U924" s="64">
        <f t="shared" si="11"/>
        <v>0</v>
      </c>
      <c r="V924" s="64">
        <f t="shared" ref="V924:X924" si="932">IF(year($A924)=year($A923), V923+S924, S924)</f>
        <v>400</v>
      </c>
      <c r="W924" s="64">
        <f t="shared" si="932"/>
        <v>500</v>
      </c>
      <c r="X924" s="64">
        <f t="shared" si="932"/>
        <v>0</v>
      </c>
      <c r="Y924" s="65">
        <f>IFS(
  B924&lt;55,
    MAX(
      Y923 + IF(MONTH(A924)=12, P924+V924, 0) + H924 - L924
      + MAX(0,
          IF(AA923 &gt;= VLOOKUP(YEAR(A924), Lookup!$Q:$R, 2),
            Z923 + IF(MONTH(A924)=12, Q924+W924, 0) + I924
              + AA923 + IF(MONTH(A924)=12, R924+X924, 0)
              - VLOOKUP(YEAR(A924), Lookup!$Q:$R, 2) + J924,
            Z923 + IF(MONTH(A924)=12, Q924+W924, 0) + I924
          ) - VLOOKUP(YEAR(A924), Lookup!$K:$M, 3)
        ),
    0),
  B924=55,
    IF(Z923&gt;=AD924,
      MAX(Y923 + IF(MONTH(A924)=12, P924+V924, 0) + H924 - L924, 0),
      MAX(MAX(0, Y923-(AD924-Z923)) + IF(MONTH(A924)=12, P924+V924, 0) + H924 - L924, 0)
    ),
  B924&gt;55,
    IF(AB923&gt;=$AH$7,
      MAX(Y923 + IF(MONTH(A924)=12, P924+V924, 0) + H924 - L924 + K924 + Z923, 0),
      MAX(Y923 + IF(MONTH(A924)=12, P924+V924, 0) + H924 - L924, 0)
    )
)</f>
        <v>2592462.202</v>
      </c>
      <c r="Z924" s="65">
        <f>IFS(
  B924&lt;55,
    MIN(
      IF(AA923 &gt;= VLOOKUP(YEAR(A924), Lookup!$Q:$R, 2),
        Z923 + IF(MONTH(A924)=12, Q924+W924, 0) + I924
          + AA923 + IF(MONTH(A924)=12, R924+X924, 0) - VLOOKUP(YEAR(A924), Lookup!$Q:$R, 2) + J924,
        Z923 + IF(MONTH(A924)=12, Q924+W924, 0) + I924
      ),
      VLOOKUP(YEAR(A924), Lookup!$K:$M, 3)
    ),
  B924=55,
    IF(Z923 &gt;= AD924, Z923 - AD924, 0),
  B924&gt;55, 0
)</f>
        <v>0</v>
      </c>
      <c r="AA924" s="65">
        <f>IFS(
  B924&lt;65,
    IF(AA923+J924 &lt; VLOOKUP(YEAR(A924), Lookup!$Q:$R, 2),
      AA923 + IF(MONTH(A924)=12, R923+X923, 0) + J924,
      MIN(
        AA923 + IF(MONTH(A924)=12, R923+X923, 0) + J924 ,
        VLOOKUP(YEAR(A924), Lookup!$Q:$R, 2)
      )
    ),
  B924&gt;=65,
    IF(AA923+J924 &lt; VLOOKUP(questions!$C$5, Lookup!$Q:$R, 2),
      AA923 + IF(MONTH(A924)=12, R923+X923, 0) + J924 ,
      MIN(
        AA923 + IF(MONTH(A924)=12, R923+X923, 0) + J924,
        VLOOKUP(questions!$C$5, Lookup!$Q:$R, 2)
      )
    )
)</f>
        <v>282111.0086</v>
      </c>
      <c r="AB924" s="65">
        <f t="shared" si="13"/>
        <v>4387498.43</v>
      </c>
      <c r="AC924" s="66">
        <f t="array" ref="AC924">IFS(B924&lt;66, XLOOKUP(year(A924),Lookup!$K$13:$K1000,Lookup!$L$13:$L1000,"missing",,1),B924&gt;65,XLOOKUP(questions!$C$5,Lookup!$K$13:$K1000,Lookup!$L$13:$L1000,"missing",,1))</f>
        <v>393675.3633</v>
      </c>
      <c r="AD924" s="66">
        <f t="array" ref="AD924">IFS(B924&lt;66, XLOOKUP(year(A924),Lookup!$K$13:$K1000,Lookup!$M$13:$M1000,"missing",,1),B924&gt;65, XLOOKUP(questions!$C$5,Lookup!$K$13:$K1000,Lookup!$M$13:$M1000,"missing",,1))</f>
        <v>787350.7266</v>
      </c>
      <c r="AE924" s="66">
        <f t="array" ref="AE924">IFS(B924&lt;66, XLOOKUP(year(A924),Lookup!$K$13:$K1000,Lookup!$N$13:$N1000,"missing",,1),B924&gt;65,XLOOKUP(questions!$C$5,Lookup!$K$13:$K1000,Lookup!$N$13:$N1000,"missing",,1))</f>
        <v>1574701.453</v>
      </c>
      <c r="AF924" s="37"/>
      <c r="AG924" s="37"/>
      <c r="AH924" s="37"/>
      <c r="AI924" s="37"/>
      <c r="AJ924" s="37"/>
      <c r="AK924" s="37"/>
      <c r="AL924" s="37"/>
      <c r="AM924" s="37"/>
      <c r="AN924" s="37"/>
      <c r="AO924" s="37"/>
      <c r="AP924" s="37"/>
      <c r="AQ924" s="37"/>
    </row>
    <row r="925">
      <c r="A925" s="55">
        <f t="shared" si="7"/>
        <v>74176</v>
      </c>
      <c r="B925" s="56">
        <f>round(YEARFRAC(EOMONTH(questions!$C$3, 0),A925,1),2)</f>
        <v>104.17</v>
      </c>
      <c r="C925" s="58">
        <f>IF(B925&lt;questions!$C$6,if(MONTH(A925)=1,C924*(1+questions!$C$12),C924),0)</f>
        <v>0</v>
      </c>
      <c r="D925" s="58">
        <f>IF(MONTH(A925)=12,C925*questions!$C$11,0)</f>
        <v>0</v>
      </c>
      <c r="E925" s="71">
        <f t="shared" si="2"/>
        <v>0</v>
      </c>
      <c r="F925" s="71">
        <f t="shared" si="3"/>
        <v>0</v>
      </c>
      <c r="G925" s="61">
        <f t="array" ref="G925">if(YEAR(A925)=2025,XLOOKUP(B925,Lookup!$A$3:$A$7,Lookup!$D$3:$D$7,,1)*SUM(E925:F925), XLOOKUP(B925,Lookup!$A$14:$A$18,Lookup!$D$14:$D$18,,1)*SUM(E925:F925))</f>
        <v>0</v>
      </c>
      <c r="H925" s="61">
        <f t="array" ref="H925">if(YEAR(A925)=2025,XLOOKUP(B925,Lookup!$F$3:$F$10,Lookup!$G$3:$G$10,,1)*G925, XLOOKUP(B925,Lookup!$F$14:$F$21,Lookup!$G$14:$G$21,,1)*G925)</f>
        <v>0</v>
      </c>
      <c r="I925" s="61">
        <f t="array" ref="I925">if(B925&lt;55, if(YEAR(A925)=2025,XLOOKUP(B925,Lookup!$F$3:$F$10,Lookup!$H$3:$H$10,,1)*G925, XLOOKUP(B925,Lookup!$F$14:$F$21,Lookup!$H$14:$H$21,,1)*G925),0)</f>
        <v>0</v>
      </c>
      <c r="J925" s="61">
        <f t="array" ref="J925">if(YEAR(A925)=2025,XLOOKUP(B925,Lookup!$F$3:$F$10,Lookup!$I$3:$I$10,,1)*G925, XLOOKUP(B925,Lookup!$F$14:$F$21,Lookup!$I$14:$I$21,,1)*G925)</f>
        <v>0</v>
      </c>
      <c r="K925" s="61">
        <f t="array" ref="K925">if(B925&gt;54, if(YEAR(A925)=2025,XLOOKUP(B925,Lookup!$F$3:$F$10,Lookup!$H$3:$H$10,,1)*G925, XLOOKUP(B925,Lookup!$F$14:$F$21,Lookup!$H$14:$H$21,,1)*G925),0)</f>
        <v>0</v>
      </c>
      <c r="L925" s="62">
        <f>IF(and(A925&lt;questions!$C$19,questions!$C$18="yes"),questions!$C$20,0)</f>
        <v>0</v>
      </c>
      <c r="M925" s="63">
        <f>(Y924+H925)*Lookup!A$26/12</f>
        <v>5400.962921</v>
      </c>
      <c r="N925" s="63">
        <f>if(B925&lt;55, (Z924+I925)*Lookup!B$26/12, (AB924+K925)*Lookup!B$26/12)</f>
        <v>14624.99477</v>
      </c>
      <c r="O925" s="63">
        <f>(AA924+J925)*Lookup!C$26/12</f>
        <v>940.3700287</v>
      </c>
      <c r="P925" s="63">
        <f t="shared" si="8"/>
        <v>5400.962921</v>
      </c>
      <c r="Q925" s="63">
        <f t="shared" si="4"/>
        <v>14624.99477</v>
      </c>
      <c r="R925" s="63">
        <f t="shared" si="5"/>
        <v>940.3700287</v>
      </c>
      <c r="S925" s="64">
        <f t="shared" si="9"/>
        <v>33.33333333</v>
      </c>
      <c r="T925" s="64">
        <f t="shared" si="10"/>
        <v>41.66666667</v>
      </c>
      <c r="U925" s="64">
        <f t="shared" si="11"/>
        <v>0</v>
      </c>
      <c r="V925" s="64">
        <f t="shared" ref="V925:X925" si="933">IF(year($A925)=year($A924), V924+S925, S925)</f>
        <v>33.33333333</v>
      </c>
      <c r="W925" s="64">
        <f t="shared" si="933"/>
        <v>41.66666667</v>
      </c>
      <c r="X925" s="64">
        <f t="shared" si="933"/>
        <v>0</v>
      </c>
      <c r="Y925" s="65">
        <f>IFS(
  B925&lt;55,
    MAX(
      Y924 + IF(MONTH(A925)=12, P925+V925, 0) + H925 - L925
      + MAX(0,
          IF(AA924 &gt;= VLOOKUP(YEAR(A925), Lookup!$Q:$R, 2),
            Z924 + IF(MONTH(A925)=12, Q925+W925, 0) + I925
              + AA924 + IF(MONTH(A925)=12, R925+X925, 0)
              - VLOOKUP(YEAR(A925), Lookup!$Q:$R, 2) + J925,
            Z924 + IF(MONTH(A925)=12, Q925+W925, 0) + I925
          ) - VLOOKUP(YEAR(A925), Lookup!$K:$M, 3)
        ),
    0),
  B925=55,
    IF(Z924&gt;=AD925,
      MAX(Y924 + IF(MONTH(A925)=12, P925+V925, 0) + H925 - L925, 0),
      MAX(MAX(0, Y924-(AD925-Z924)) + IF(MONTH(A925)=12, P925+V925, 0) + H925 - L925, 0)
    ),
  B925&gt;55,
    IF(AB924&gt;=$AH$7,
      MAX(Y924 + IF(MONTH(A925)=12, P925+V925, 0) + H925 - L925 + K925 + Z924, 0),
      MAX(Y924 + IF(MONTH(A925)=12, P925+V925, 0) + H925 - L925, 0)
    )
)</f>
        <v>2592462.202</v>
      </c>
      <c r="Z925" s="65">
        <f>IFS(
  B925&lt;55,
    MIN(
      IF(AA924 &gt;= VLOOKUP(YEAR(A925), Lookup!$Q:$R, 2),
        Z924 + IF(MONTH(A925)=12, Q925+W925, 0) + I925
          + AA924 + IF(MONTH(A925)=12, R925+X925, 0) - VLOOKUP(YEAR(A925), Lookup!$Q:$R, 2) + J925,
        Z924 + IF(MONTH(A925)=12, Q925+W925, 0) + I925
      ),
      VLOOKUP(YEAR(A925), Lookup!$K:$M, 3)
    ),
  B925=55,
    IF(Z924 &gt;= AD925, Z924 - AD925, 0),
  B925&gt;55, 0
)</f>
        <v>0</v>
      </c>
      <c r="AA925" s="65">
        <f>IFS(
  B925&lt;65,
    IF(AA924+J925 &lt; VLOOKUP(YEAR(A925), Lookup!$Q:$R, 2),
      AA924 + IF(MONTH(A925)=12, R924+X924, 0) + J925,
      MIN(
        AA924 + IF(MONTH(A925)=12, R924+X924, 0) + J925 ,
        VLOOKUP(YEAR(A925), Lookup!$Q:$R, 2)
      )
    ),
  B925&gt;=65,
    IF(AA924+J925 &lt; VLOOKUP(questions!$C$5, Lookup!$Q:$R, 2),
      AA924 + IF(MONTH(A925)=12, R924+X924, 0) + J925 ,
      MIN(
        AA924 + IF(MONTH(A925)=12, R924+X924, 0) + J925,
        VLOOKUP(questions!$C$5, Lookup!$Q:$R, 2)
      )
    )
)</f>
        <v>282111.0086</v>
      </c>
      <c r="AB925" s="65">
        <f t="shared" si="13"/>
        <v>4387498.43</v>
      </c>
      <c r="AC925" s="66">
        <f t="array" ref="AC925">IFS(B925&lt;66, XLOOKUP(year(A925),Lookup!$K$13:$K1000,Lookup!$L$13:$L1000,"missing",,1),B925&gt;65,XLOOKUP(questions!$C$5,Lookup!$K$13:$K1000,Lookup!$L$13:$L1000,"missing",,1))</f>
        <v>393675.3633</v>
      </c>
      <c r="AD925" s="66">
        <f t="array" ref="AD925">IFS(B925&lt;66, XLOOKUP(year(A925),Lookup!$K$13:$K1000,Lookup!$M$13:$M1000,"missing",,1),B925&gt;65, XLOOKUP(questions!$C$5,Lookup!$K$13:$K1000,Lookup!$M$13:$M1000,"missing",,1))</f>
        <v>787350.7266</v>
      </c>
      <c r="AE925" s="66">
        <f t="array" ref="AE925">IFS(B925&lt;66, XLOOKUP(year(A925),Lookup!$K$13:$K1000,Lookup!$N$13:$N1000,"missing",,1),B925&gt;65,XLOOKUP(questions!$C$5,Lookup!$K$13:$K1000,Lookup!$N$13:$N1000,"missing",,1))</f>
        <v>1574701.453</v>
      </c>
      <c r="AF925" s="37"/>
      <c r="AG925" s="37"/>
      <c r="AH925" s="37"/>
      <c r="AI925" s="37"/>
      <c r="AJ925" s="37"/>
      <c r="AK925" s="37"/>
      <c r="AL925" s="37"/>
      <c r="AM925" s="37"/>
      <c r="AN925" s="37"/>
      <c r="AO925" s="37"/>
      <c r="AP925" s="37"/>
      <c r="AQ925" s="37"/>
    </row>
    <row r="926">
      <c r="A926" s="55">
        <f t="shared" si="7"/>
        <v>74204</v>
      </c>
      <c r="B926" s="56">
        <f>round(YEARFRAC(EOMONTH(questions!$C$3, 0),A926,1),2)</f>
        <v>104.25</v>
      </c>
      <c r="C926" s="58">
        <f>IF(B926&lt;questions!$C$6,if(MONTH(A926)=1,C925*(1+questions!$C$12),C925),0)</f>
        <v>0</v>
      </c>
      <c r="D926" s="58">
        <f>IF(MONTH(A926)=12,C926*questions!$C$11,0)</f>
        <v>0</v>
      </c>
      <c r="E926" s="71">
        <f t="shared" si="2"/>
        <v>0</v>
      </c>
      <c r="F926" s="71">
        <f t="shared" si="3"/>
        <v>0</v>
      </c>
      <c r="G926" s="61">
        <f t="array" ref="G926">if(YEAR(A926)=2025,XLOOKUP(B926,Lookup!$A$3:$A$7,Lookup!$D$3:$D$7,,1)*SUM(E926:F926), XLOOKUP(B926,Lookup!$A$14:$A$18,Lookup!$D$14:$D$18,,1)*SUM(E926:F926))</f>
        <v>0</v>
      </c>
      <c r="H926" s="61">
        <f t="array" ref="H926">if(YEAR(A926)=2025,XLOOKUP(B926,Lookup!$F$3:$F$10,Lookup!$G$3:$G$10,,1)*G926, XLOOKUP(B926,Lookup!$F$14:$F$21,Lookup!$G$14:$G$21,,1)*G926)</f>
        <v>0</v>
      </c>
      <c r="I926" s="61">
        <f t="array" ref="I926">if(B926&lt;55, if(YEAR(A926)=2025,XLOOKUP(B926,Lookup!$F$3:$F$10,Lookup!$H$3:$H$10,,1)*G926, XLOOKUP(B926,Lookup!$F$14:$F$21,Lookup!$H$14:$H$21,,1)*G926),0)</f>
        <v>0</v>
      </c>
      <c r="J926" s="61">
        <f t="array" ref="J926">if(YEAR(A926)=2025,XLOOKUP(B926,Lookup!$F$3:$F$10,Lookup!$I$3:$I$10,,1)*G926, XLOOKUP(B926,Lookup!$F$14:$F$21,Lookup!$I$14:$I$21,,1)*G926)</f>
        <v>0</v>
      </c>
      <c r="K926" s="61">
        <f t="array" ref="K926">if(B926&gt;54, if(YEAR(A926)=2025,XLOOKUP(B926,Lookup!$F$3:$F$10,Lookup!$H$3:$H$10,,1)*G926, XLOOKUP(B926,Lookup!$F$14:$F$21,Lookup!$H$14:$H$21,,1)*G926),0)</f>
        <v>0</v>
      </c>
      <c r="L926" s="62">
        <f>IF(and(A926&lt;questions!$C$19,questions!$C$18="yes"),questions!$C$20,0)</f>
        <v>0</v>
      </c>
      <c r="M926" s="63">
        <f>(Y925+H926)*Lookup!A$26/12</f>
        <v>5400.962921</v>
      </c>
      <c r="N926" s="63">
        <f>if(B926&lt;55, (Z925+I926)*Lookup!B$26/12, (AB925+K926)*Lookup!B$26/12)</f>
        <v>14624.99477</v>
      </c>
      <c r="O926" s="63">
        <f>(AA925+J926)*Lookup!C$26/12</f>
        <v>940.3700287</v>
      </c>
      <c r="P926" s="63">
        <f t="shared" si="8"/>
        <v>10801.92584</v>
      </c>
      <c r="Q926" s="63">
        <f t="shared" si="4"/>
        <v>29249.98953</v>
      </c>
      <c r="R926" s="63">
        <f t="shared" si="5"/>
        <v>1880.740057</v>
      </c>
      <c r="S926" s="64">
        <f t="shared" si="9"/>
        <v>33.33333333</v>
      </c>
      <c r="T926" s="64">
        <f t="shared" si="10"/>
        <v>41.66666667</v>
      </c>
      <c r="U926" s="64">
        <f t="shared" si="11"/>
        <v>0</v>
      </c>
      <c r="V926" s="64">
        <f t="shared" ref="V926:X926" si="934">IF(year($A926)=year($A925), V925+S926, S926)</f>
        <v>66.66666667</v>
      </c>
      <c r="W926" s="64">
        <f t="shared" si="934"/>
        <v>83.33333333</v>
      </c>
      <c r="X926" s="64">
        <f t="shared" si="934"/>
        <v>0</v>
      </c>
      <c r="Y926" s="65">
        <f>IFS(
  B926&lt;55,
    MAX(
      Y925 + IF(MONTH(A926)=12, P926+V926, 0) + H926 - L926
      + MAX(0,
          IF(AA925 &gt;= VLOOKUP(YEAR(A926), Lookup!$Q:$R, 2),
            Z925 + IF(MONTH(A926)=12, Q926+W926, 0) + I926
              + AA925 + IF(MONTH(A926)=12, R926+X926, 0)
              - VLOOKUP(YEAR(A926), Lookup!$Q:$R, 2) + J926,
            Z925 + IF(MONTH(A926)=12, Q926+W926, 0) + I926
          ) - VLOOKUP(YEAR(A926), Lookup!$K:$M, 3)
        ),
    0),
  B926=55,
    IF(Z925&gt;=AD926,
      MAX(Y925 + IF(MONTH(A926)=12, P926+V926, 0) + H926 - L926, 0),
      MAX(MAX(0, Y925-(AD926-Z925)) + IF(MONTH(A926)=12, P926+V926, 0) + H926 - L926, 0)
    ),
  B926&gt;55,
    IF(AB925&gt;=$AH$7,
      MAX(Y925 + IF(MONTH(A926)=12, P926+V926, 0) + H926 - L926 + K926 + Z925, 0),
      MAX(Y925 + IF(MONTH(A926)=12, P926+V926, 0) + H926 - L926, 0)
    )
)</f>
        <v>2592462.202</v>
      </c>
      <c r="Z926" s="65">
        <f>IFS(
  B926&lt;55,
    MIN(
      IF(AA925 &gt;= VLOOKUP(YEAR(A926), Lookup!$Q:$R, 2),
        Z925 + IF(MONTH(A926)=12, Q926+W926, 0) + I926
          + AA925 + IF(MONTH(A926)=12, R926+X926, 0) - VLOOKUP(YEAR(A926), Lookup!$Q:$R, 2) + J926,
        Z925 + IF(MONTH(A926)=12, Q926+W926, 0) + I926
      ),
      VLOOKUP(YEAR(A926), Lookup!$K:$M, 3)
    ),
  B926=55,
    IF(Z925 &gt;= AD926, Z925 - AD926, 0),
  B926&gt;55, 0
)</f>
        <v>0</v>
      </c>
      <c r="AA926" s="65">
        <f>IFS(
  B926&lt;65,
    IF(AA925+J926 &lt; VLOOKUP(YEAR(A926), Lookup!$Q:$R, 2),
      AA925 + IF(MONTH(A926)=12, R925+X925, 0) + J926,
      MIN(
        AA925 + IF(MONTH(A926)=12, R925+X925, 0) + J926 ,
        VLOOKUP(YEAR(A926), Lookup!$Q:$R, 2)
      )
    ),
  B926&gt;=65,
    IF(AA925+J926 &lt; VLOOKUP(questions!$C$5, Lookup!$Q:$R, 2),
      AA925 + IF(MONTH(A926)=12, R925+X925, 0) + J926 ,
      MIN(
        AA925 + IF(MONTH(A926)=12, R925+X925, 0) + J926,
        VLOOKUP(questions!$C$5, Lookup!$Q:$R, 2)
      )
    )
)</f>
        <v>282111.0086</v>
      </c>
      <c r="AB926" s="65">
        <f t="shared" si="13"/>
        <v>4387498.43</v>
      </c>
      <c r="AC926" s="66">
        <f t="array" ref="AC926">IFS(B926&lt;66, XLOOKUP(year(A926),Lookup!$K$13:$K1000,Lookup!$L$13:$L1000,"missing",,1),B926&gt;65,XLOOKUP(questions!$C$5,Lookup!$K$13:$K1000,Lookup!$L$13:$L1000,"missing",,1))</f>
        <v>393675.3633</v>
      </c>
      <c r="AD926" s="66">
        <f t="array" ref="AD926">IFS(B926&lt;66, XLOOKUP(year(A926),Lookup!$K$13:$K1000,Lookup!$M$13:$M1000,"missing",,1),B926&gt;65, XLOOKUP(questions!$C$5,Lookup!$K$13:$K1000,Lookup!$M$13:$M1000,"missing",,1))</f>
        <v>787350.7266</v>
      </c>
      <c r="AE926" s="66">
        <f t="array" ref="AE926">IFS(B926&lt;66, XLOOKUP(year(A926),Lookup!$K$13:$K1000,Lookup!$N$13:$N1000,"missing",,1),B926&gt;65,XLOOKUP(questions!$C$5,Lookup!$K$13:$K1000,Lookup!$N$13:$N1000,"missing",,1))</f>
        <v>1574701.453</v>
      </c>
      <c r="AF926" s="37"/>
      <c r="AG926" s="37"/>
      <c r="AH926" s="37"/>
      <c r="AI926" s="37"/>
      <c r="AJ926" s="37"/>
      <c r="AK926" s="37"/>
      <c r="AL926" s="37"/>
      <c r="AM926" s="37"/>
      <c r="AN926" s="37"/>
      <c r="AO926" s="37"/>
      <c r="AP926" s="37"/>
      <c r="AQ926" s="37"/>
    </row>
    <row r="927">
      <c r="A927" s="55">
        <f t="shared" si="7"/>
        <v>74235</v>
      </c>
      <c r="B927" s="56">
        <f>round(YEARFRAC(EOMONTH(questions!$C$3, 0),A927,1),2)</f>
        <v>104.33</v>
      </c>
      <c r="C927" s="58">
        <f>IF(B927&lt;questions!$C$6,if(MONTH(A927)=1,C926*(1+questions!$C$12),C926),0)</f>
        <v>0</v>
      </c>
      <c r="D927" s="58">
        <f>IF(MONTH(A927)=12,C927*questions!$C$11,0)</f>
        <v>0</v>
      </c>
      <c r="E927" s="71">
        <f t="shared" si="2"/>
        <v>0</v>
      </c>
      <c r="F927" s="71">
        <f t="shared" si="3"/>
        <v>0</v>
      </c>
      <c r="G927" s="61">
        <f t="array" ref="G927">if(YEAR(A927)=2025,XLOOKUP(B927,Lookup!$A$3:$A$7,Lookup!$D$3:$D$7,,1)*SUM(E927:F927), XLOOKUP(B927,Lookup!$A$14:$A$18,Lookup!$D$14:$D$18,,1)*SUM(E927:F927))</f>
        <v>0</v>
      </c>
      <c r="H927" s="61">
        <f t="array" ref="H927">if(YEAR(A927)=2025,XLOOKUP(B927,Lookup!$F$3:$F$10,Lookup!$G$3:$G$10,,1)*G927, XLOOKUP(B927,Lookup!$F$14:$F$21,Lookup!$G$14:$G$21,,1)*G927)</f>
        <v>0</v>
      </c>
      <c r="I927" s="61">
        <f t="array" ref="I927">if(B927&lt;55, if(YEAR(A927)=2025,XLOOKUP(B927,Lookup!$F$3:$F$10,Lookup!$H$3:$H$10,,1)*G927, XLOOKUP(B927,Lookup!$F$14:$F$21,Lookup!$H$14:$H$21,,1)*G927),0)</f>
        <v>0</v>
      </c>
      <c r="J927" s="61">
        <f t="array" ref="J927">if(YEAR(A927)=2025,XLOOKUP(B927,Lookup!$F$3:$F$10,Lookup!$I$3:$I$10,,1)*G927, XLOOKUP(B927,Lookup!$F$14:$F$21,Lookup!$I$14:$I$21,,1)*G927)</f>
        <v>0</v>
      </c>
      <c r="K927" s="61">
        <f t="array" ref="K927">if(B927&gt;54, if(YEAR(A927)=2025,XLOOKUP(B927,Lookup!$F$3:$F$10,Lookup!$H$3:$H$10,,1)*G927, XLOOKUP(B927,Lookup!$F$14:$F$21,Lookup!$H$14:$H$21,,1)*G927),0)</f>
        <v>0</v>
      </c>
      <c r="L927" s="62">
        <f>IF(and(A927&lt;questions!$C$19,questions!$C$18="yes"),questions!$C$20,0)</f>
        <v>0</v>
      </c>
      <c r="M927" s="63">
        <f>(Y926+H927)*Lookup!A$26/12</f>
        <v>5400.962921</v>
      </c>
      <c r="N927" s="63">
        <f>if(B927&lt;55, (Z926+I927)*Lookup!B$26/12, (AB926+K927)*Lookup!B$26/12)</f>
        <v>14624.99477</v>
      </c>
      <c r="O927" s="63">
        <f>(AA926+J927)*Lookup!C$26/12</f>
        <v>940.3700287</v>
      </c>
      <c r="P927" s="63">
        <f t="shared" si="8"/>
        <v>16202.88876</v>
      </c>
      <c r="Q927" s="63">
        <f t="shared" si="4"/>
        <v>43874.9843</v>
      </c>
      <c r="R927" s="63">
        <f t="shared" si="5"/>
        <v>2821.110086</v>
      </c>
      <c r="S927" s="64">
        <f t="shared" si="9"/>
        <v>33.33333333</v>
      </c>
      <c r="T927" s="64">
        <f t="shared" si="10"/>
        <v>41.66666667</v>
      </c>
      <c r="U927" s="64">
        <f t="shared" si="11"/>
        <v>0</v>
      </c>
      <c r="V927" s="64">
        <f t="shared" ref="V927:X927" si="935">IF(year($A927)=year($A926), V926+S927, S927)</f>
        <v>100</v>
      </c>
      <c r="W927" s="64">
        <f t="shared" si="935"/>
        <v>125</v>
      </c>
      <c r="X927" s="64">
        <f t="shared" si="935"/>
        <v>0</v>
      </c>
      <c r="Y927" s="65">
        <f>IFS(
  B927&lt;55,
    MAX(
      Y926 + IF(MONTH(A927)=12, P927+V927, 0) + H927 - L927
      + MAX(0,
          IF(AA926 &gt;= VLOOKUP(YEAR(A927), Lookup!$Q:$R, 2),
            Z926 + IF(MONTH(A927)=12, Q927+W927, 0) + I927
              + AA926 + IF(MONTH(A927)=12, R927+X927, 0)
              - VLOOKUP(YEAR(A927), Lookup!$Q:$R, 2) + J927,
            Z926 + IF(MONTH(A927)=12, Q927+W927, 0) + I927
          ) - VLOOKUP(YEAR(A927), Lookup!$K:$M, 3)
        ),
    0),
  B927=55,
    IF(Z926&gt;=AD927,
      MAX(Y926 + IF(MONTH(A927)=12, P927+V927, 0) + H927 - L927, 0),
      MAX(MAX(0, Y926-(AD927-Z926)) + IF(MONTH(A927)=12, P927+V927, 0) + H927 - L927, 0)
    ),
  B927&gt;55,
    IF(AB926&gt;=$AH$7,
      MAX(Y926 + IF(MONTH(A927)=12, P927+V927, 0) + H927 - L927 + K927 + Z926, 0),
      MAX(Y926 + IF(MONTH(A927)=12, P927+V927, 0) + H927 - L927, 0)
    )
)</f>
        <v>2592462.202</v>
      </c>
      <c r="Z927" s="65">
        <f>IFS(
  B927&lt;55,
    MIN(
      IF(AA926 &gt;= VLOOKUP(YEAR(A927), Lookup!$Q:$R, 2),
        Z926 + IF(MONTH(A927)=12, Q927+W927, 0) + I927
          + AA926 + IF(MONTH(A927)=12, R927+X927, 0) - VLOOKUP(YEAR(A927), Lookup!$Q:$R, 2) + J927,
        Z926 + IF(MONTH(A927)=12, Q927+W927, 0) + I927
      ),
      VLOOKUP(YEAR(A927), Lookup!$K:$M, 3)
    ),
  B927=55,
    IF(Z926 &gt;= AD927, Z926 - AD927, 0),
  B927&gt;55, 0
)</f>
        <v>0</v>
      </c>
      <c r="AA927" s="65">
        <f>IFS(
  B927&lt;65,
    IF(AA926+J927 &lt; VLOOKUP(YEAR(A927), Lookup!$Q:$R, 2),
      AA926 + IF(MONTH(A927)=12, R926+X926, 0) + J927,
      MIN(
        AA926 + IF(MONTH(A927)=12, R926+X926, 0) + J927 ,
        VLOOKUP(YEAR(A927), Lookup!$Q:$R, 2)
      )
    ),
  B927&gt;=65,
    IF(AA926+J927 &lt; VLOOKUP(questions!$C$5, Lookup!$Q:$R, 2),
      AA926 + IF(MONTH(A927)=12, R926+X926, 0) + J927 ,
      MIN(
        AA926 + IF(MONTH(A927)=12, R926+X926, 0) + J927,
        VLOOKUP(questions!$C$5, Lookup!$Q:$R, 2)
      )
    )
)</f>
        <v>282111.0086</v>
      </c>
      <c r="AB927" s="65">
        <f t="shared" si="13"/>
        <v>4387498.43</v>
      </c>
      <c r="AC927" s="66">
        <f t="array" ref="AC927">IFS(B927&lt;66, XLOOKUP(year(A927),Lookup!$K$13:$K1000,Lookup!$L$13:$L1000,"missing",,1),B927&gt;65,XLOOKUP(questions!$C$5,Lookup!$K$13:$K1000,Lookup!$L$13:$L1000,"missing",,1))</f>
        <v>393675.3633</v>
      </c>
      <c r="AD927" s="66">
        <f t="array" ref="AD927">IFS(B927&lt;66, XLOOKUP(year(A927),Lookup!$K$13:$K1000,Lookup!$M$13:$M1000,"missing",,1),B927&gt;65, XLOOKUP(questions!$C$5,Lookup!$K$13:$K1000,Lookup!$M$13:$M1000,"missing",,1))</f>
        <v>787350.7266</v>
      </c>
      <c r="AE927" s="66">
        <f t="array" ref="AE927">IFS(B927&lt;66, XLOOKUP(year(A927),Lookup!$K$13:$K1000,Lookup!$N$13:$N1000,"missing",,1),B927&gt;65,XLOOKUP(questions!$C$5,Lookup!$K$13:$K1000,Lookup!$N$13:$N1000,"missing",,1))</f>
        <v>1574701.453</v>
      </c>
      <c r="AF927" s="37"/>
      <c r="AG927" s="37"/>
      <c r="AH927" s="37"/>
      <c r="AI927" s="37"/>
      <c r="AJ927" s="37"/>
      <c r="AK927" s="37"/>
      <c r="AL927" s="37"/>
      <c r="AM927" s="37"/>
      <c r="AN927" s="37"/>
      <c r="AO927" s="37"/>
      <c r="AP927" s="37"/>
      <c r="AQ927" s="37"/>
    </row>
    <row r="928">
      <c r="A928" s="55">
        <f t="shared" si="7"/>
        <v>74265</v>
      </c>
      <c r="B928" s="56">
        <f>round(YEARFRAC(EOMONTH(questions!$C$3, 0),A928,1),2)</f>
        <v>104.41</v>
      </c>
      <c r="C928" s="58">
        <f>IF(B928&lt;questions!$C$6,if(MONTH(A928)=1,C927*(1+questions!$C$12),C927),0)</f>
        <v>0</v>
      </c>
      <c r="D928" s="58">
        <f>IF(MONTH(A928)=12,C928*questions!$C$11,0)</f>
        <v>0</v>
      </c>
      <c r="E928" s="71">
        <f t="shared" si="2"/>
        <v>0</v>
      </c>
      <c r="F928" s="71">
        <f t="shared" si="3"/>
        <v>0</v>
      </c>
      <c r="G928" s="61">
        <f t="array" ref="G928">if(YEAR(A928)=2025,XLOOKUP(B928,Lookup!$A$3:$A$7,Lookup!$D$3:$D$7,,1)*SUM(E928:F928), XLOOKUP(B928,Lookup!$A$14:$A$18,Lookup!$D$14:$D$18,,1)*SUM(E928:F928))</f>
        <v>0</v>
      </c>
      <c r="H928" s="61">
        <f t="array" ref="H928">if(YEAR(A928)=2025,XLOOKUP(B928,Lookup!$F$3:$F$10,Lookup!$G$3:$G$10,,1)*G928, XLOOKUP(B928,Lookup!$F$14:$F$21,Lookup!$G$14:$G$21,,1)*G928)</f>
        <v>0</v>
      </c>
      <c r="I928" s="61">
        <f t="array" ref="I928">if(B928&lt;55, if(YEAR(A928)=2025,XLOOKUP(B928,Lookup!$F$3:$F$10,Lookup!$H$3:$H$10,,1)*G928, XLOOKUP(B928,Lookup!$F$14:$F$21,Lookup!$H$14:$H$21,,1)*G928),0)</f>
        <v>0</v>
      </c>
      <c r="J928" s="61">
        <f t="array" ref="J928">if(YEAR(A928)=2025,XLOOKUP(B928,Lookup!$F$3:$F$10,Lookup!$I$3:$I$10,,1)*G928, XLOOKUP(B928,Lookup!$F$14:$F$21,Lookup!$I$14:$I$21,,1)*G928)</f>
        <v>0</v>
      </c>
      <c r="K928" s="61">
        <f t="array" ref="K928">if(B928&gt;54, if(YEAR(A928)=2025,XLOOKUP(B928,Lookup!$F$3:$F$10,Lookup!$H$3:$H$10,,1)*G928, XLOOKUP(B928,Lookup!$F$14:$F$21,Lookup!$H$14:$H$21,,1)*G928),0)</f>
        <v>0</v>
      </c>
      <c r="L928" s="62">
        <f>IF(and(A928&lt;questions!$C$19,questions!$C$18="yes"),questions!$C$20,0)</f>
        <v>0</v>
      </c>
      <c r="M928" s="63">
        <f>(Y927+H928)*Lookup!A$26/12</f>
        <v>5400.962921</v>
      </c>
      <c r="N928" s="63">
        <f>if(B928&lt;55, (Z927+I928)*Lookup!B$26/12, (AB927+K928)*Lookup!B$26/12)</f>
        <v>14624.99477</v>
      </c>
      <c r="O928" s="63">
        <f>(AA927+J928)*Lookup!C$26/12</f>
        <v>940.3700287</v>
      </c>
      <c r="P928" s="63">
        <f t="shared" si="8"/>
        <v>21603.85168</v>
      </c>
      <c r="Q928" s="63">
        <f t="shared" si="4"/>
        <v>58499.97906</v>
      </c>
      <c r="R928" s="63">
        <f t="shared" si="5"/>
        <v>3761.480115</v>
      </c>
      <c r="S928" s="64">
        <f t="shared" si="9"/>
        <v>33.33333333</v>
      </c>
      <c r="T928" s="64">
        <f t="shared" si="10"/>
        <v>41.66666667</v>
      </c>
      <c r="U928" s="64">
        <f t="shared" si="11"/>
        <v>0</v>
      </c>
      <c r="V928" s="64">
        <f t="shared" ref="V928:X928" si="936">IF(year($A928)=year($A927), V927+S928, S928)</f>
        <v>133.3333333</v>
      </c>
      <c r="W928" s="64">
        <f t="shared" si="936"/>
        <v>166.6666667</v>
      </c>
      <c r="X928" s="64">
        <f t="shared" si="936"/>
        <v>0</v>
      </c>
      <c r="Y928" s="65">
        <f>IFS(
  B928&lt;55,
    MAX(
      Y927 + IF(MONTH(A928)=12, P928+V928, 0) + H928 - L928
      + MAX(0,
          IF(AA927 &gt;= VLOOKUP(YEAR(A928), Lookup!$Q:$R, 2),
            Z927 + IF(MONTH(A928)=12, Q928+W928, 0) + I928
              + AA927 + IF(MONTH(A928)=12, R928+X928, 0)
              - VLOOKUP(YEAR(A928), Lookup!$Q:$R, 2) + J928,
            Z927 + IF(MONTH(A928)=12, Q928+W928, 0) + I928
          ) - VLOOKUP(YEAR(A928), Lookup!$K:$M, 3)
        ),
    0),
  B928=55,
    IF(Z927&gt;=AD928,
      MAX(Y927 + IF(MONTH(A928)=12, P928+V928, 0) + H928 - L928, 0),
      MAX(MAX(0, Y927-(AD928-Z927)) + IF(MONTH(A928)=12, P928+V928, 0) + H928 - L928, 0)
    ),
  B928&gt;55,
    IF(AB927&gt;=$AH$7,
      MAX(Y927 + IF(MONTH(A928)=12, P928+V928, 0) + H928 - L928 + K928 + Z927, 0),
      MAX(Y927 + IF(MONTH(A928)=12, P928+V928, 0) + H928 - L928, 0)
    )
)</f>
        <v>2592462.202</v>
      </c>
      <c r="Z928" s="65">
        <f>IFS(
  B928&lt;55,
    MIN(
      IF(AA927 &gt;= VLOOKUP(YEAR(A928), Lookup!$Q:$R, 2),
        Z927 + IF(MONTH(A928)=12, Q928+W928, 0) + I928
          + AA927 + IF(MONTH(A928)=12, R928+X928, 0) - VLOOKUP(YEAR(A928), Lookup!$Q:$R, 2) + J928,
        Z927 + IF(MONTH(A928)=12, Q928+W928, 0) + I928
      ),
      VLOOKUP(YEAR(A928), Lookup!$K:$M, 3)
    ),
  B928=55,
    IF(Z927 &gt;= AD928, Z927 - AD928, 0),
  B928&gt;55, 0
)</f>
        <v>0</v>
      </c>
      <c r="AA928" s="65">
        <f>IFS(
  B928&lt;65,
    IF(AA927+J928 &lt; VLOOKUP(YEAR(A928), Lookup!$Q:$R, 2),
      AA927 + IF(MONTH(A928)=12, R927+X927, 0) + J928,
      MIN(
        AA927 + IF(MONTH(A928)=12, R927+X927, 0) + J928 ,
        VLOOKUP(YEAR(A928), Lookup!$Q:$R, 2)
      )
    ),
  B928&gt;=65,
    IF(AA927+J928 &lt; VLOOKUP(questions!$C$5, Lookup!$Q:$R, 2),
      AA927 + IF(MONTH(A928)=12, R927+X927, 0) + J928 ,
      MIN(
        AA927 + IF(MONTH(A928)=12, R927+X927, 0) + J928,
        VLOOKUP(questions!$C$5, Lookup!$Q:$R, 2)
      )
    )
)</f>
        <v>282111.0086</v>
      </c>
      <c r="AB928" s="65">
        <f t="shared" si="13"/>
        <v>4387498.43</v>
      </c>
      <c r="AC928" s="66">
        <f t="array" ref="AC928">IFS(B928&lt;66, XLOOKUP(year(A928),Lookup!$K$13:$K1000,Lookup!$L$13:$L1000,"missing",,1),B928&gt;65,XLOOKUP(questions!$C$5,Lookup!$K$13:$K1000,Lookup!$L$13:$L1000,"missing",,1))</f>
        <v>393675.3633</v>
      </c>
      <c r="AD928" s="66">
        <f t="array" ref="AD928">IFS(B928&lt;66, XLOOKUP(year(A928),Lookup!$K$13:$K1000,Lookup!$M$13:$M1000,"missing",,1),B928&gt;65, XLOOKUP(questions!$C$5,Lookup!$K$13:$K1000,Lookup!$M$13:$M1000,"missing",,1))</f>
        <v>787350.7266</v>
      </c>
      <c r="AE928" s="66">
        <f t="array" ref="AE928">IFS(B928&lt;66, XLOOKUP(year(A928),Lookup!$K$13:$K1000,Lookup!$N$13:$N1000,"missing",,1),B928&gt;65,XLOOKUP(questions!$C$5,Lookup!$K$13:$K1000,Lookup!$N$13:$N1000,"missing",,1))</f>
        <v>1574701.453</v>
      </c>
      <c r="AF928" s="37"/>
      <c r="AG928" s="37"/>
      <c r="AH928" s="37"/>
      <c r="AI928" s="37"/>
      <c r="AJ928" s="37"/>
      <c r="AK928" s="37"/>
      <c r="AL928" s="37"/>
      <c r="AM928" s="37"/>
      <c r="AN928" s="37"/>
      <c r="AO928" s="37"/>
      <c r="AP928" s="37"/>
      <c r="AQ928" s="37"/>
    </row>
    <row r="929">
      <c r="A929" s="55">
        <f t="shared" si="7"/>
        <v>74296</v>
      </c>
      <c r="B929" s="56">
        <f>round(YEARFRAC(EOMONTH(questions!$C$3, 0),A929,1),2)</f>
        <v>104.5</v>
      </c>
      <c r="C929" s="58">
        <f>IF(B929&lt;questions!$C$6,if(MONTH(A929)=1,C928*(1+questions!$C$12),C928),0)</f>
        <v>0</v>
      </c>
      <c r="D929" s="58">
        <f>IF(MONTH(A929)=12,C929*questions!$C$11,0)</f>
        <v>0</v>
      </c>
      <c r="E929" s="71">
        <f t="shared" si="2"/>
        <v>0</v>
      </c>
      <c r="F929" s="71">
        <f t="shared" si="3"/>
        <v>0</v>
      </c>
      <c r="G929" s="61">
        <f t="array" ref="G929">if(YEAR(A929)=2025,XLOOKUP(B929,Lookup!$A$3:$A$7,Lookup!$D$3:$D$7,,1)*SUM(E929:F929), XLOOKUP(B929,Lookup!$A$14:$A$18,Lookup!$D$14:$D$18,,1)*SUM(E929:F929))</f>
        <v>0</v>
      </c>
      <c r="H929" s="61">
        <f t="array" ref="H929">if(YEAR(A929)=2025,XLOOKUP(B929,Lookup!$F$3:$F$10,Lookup!$G$3:$G$10,,1)*G929, XLOOKUP(B929,Lookup!$F$14:$F$21,Lookup!$G$14:$G$21,,1)*G929)</f>
        <v>0</v>
      </c>
      <c r="I929" s="61">
        <f t="array" ref="I929">if(B929&lt;55, if(YEAR(A929)=2025,XLOOKUP(B929,Lookup!$F$3:$F$10,Lookup!$H$3:$H$10,,1)*G929, XLOOKUP(B929,Lookup!$F$14:$F$21,Lookup!$H$14:$H$21,,1)*G929),0)</f>
        <v>0</v>
      </c>
      <c r="J929" s="61">
        <f t="array" ref="J929">if(YEAR(A929)=2025,XLOOKUP(B929,Lookup!$F$3:$F$10,Lookup!$I$3:$I$10,,1)*G929, XLOOKUP(B929,Lookup!$F$14:$F$21,Lookup!$I$14:$I$21,,1)*G929)</f>
        <v>0</v>
      </c>
      <c r="K929" s="61">
        <f t="array" ref="K929">if(B929&gt;54, if(YEAR(A929)=2025,XLOOKUP(B929,Lookup!$F$3:$F$10,Lookup!$H$3:$H$10,,1)*G929, XLOOKUP(B929,Lookup!$F$14:$F$21,Lookup!$H$14:$H$21,,1)*G929),0)</f>
        <v>0</v>
      </c>
      <c r="L929" s="62">
        <f>IF(and(A929&lt;questions!$C$19,questions!$C$18="yes"),questions!$C$20,0)</f>
        <v>0</v>
      </c>
      <c r="M929" s="63">
        <f>(Y928+H929)*Lookup!A$26/12</f>
        <v>5400.962921</v>
      </c>
      <c r="N929" s="63">
        <f>if(B929&lt;55, (Z928+I929)*Lookup!B$26/12, (AB928+K929)*Lookup!B$26/12)</f>
        <v>14624.99477</v>
      </c>
      <c r="O929" s="63">
        <f>(AA928+J929)*Lookup!C$26/12</f>
        <v>940.3700287</v>
      </c>
      <c r="P929" s="63">
        <f t="shared" si="8"/>
        <v>27004.81461</v>
      </c>
      <c r="Q929" s="63">
        <f t="shared" si="4"/>
        <v>73124.97383</v>
      </c>
      <c r="R929" s="63">
        <f t="shared" si="5"/>
        <v>4701.850143</v>
      </c>
      <c r="S929" s="64">
        <f t="shared" si="9"/>
        <v>33.33333333</v>
      </c>
      <c r="T929" s="64">
        <f t="shared" si="10"/>
        <v>41.66666667</v>
      </c>
      <c r="U929" s="64">
        <f t="shared" si="11"/>
        <v>0</v>
      </c>
      <c r="V929" s="64">
        <f t="shared" ref="V929:X929" si="937">IF(year($A929)=year($A928), V928+S929, S929)</f>
        <v>166.6666667</v>
      </c>
      <c r="W929" s="64">
        <f t="shared" si="937"/>
        <v>208.3333333</v>
      </c>
      <c r="X929" s="64">
        <f t="shared" si="937"/>
        <v>0</v>
      </c>
      <c r="Y929" s="65">
        <f>IFS(
  B929&lt;55,
    MAX(
      Y928 + IF(MONTH(A929)=12, P929+V929, 0) + H929 - L929
      + MAX(0,
          IF(AA928 &gt;= VLOOKUP(YEAR(A929), Lookup!$Q:$R, 2),
            Z928 + IF(MONTH(A929)=12, Q929+W929, 0) + I929
              + AA928 + IF(MONTH(A929)=12, R929+X929, 0)
              - VLOOKUP(YEAR(A929), Lookup!$Q:$R, 2) + J929,
            Z928 + IF(MONTH(A929)=12, Q929+W929, 0) + I929
          ) - VLOOKUP(YEAR(A929), Lookup!$K:$M, 3)
        ),
    0),
  B929=55,
    IF(Z928&gt;=AD929,
      MAX(Y928 + IF(MONTH(A929)=12, P929+V929, 0) + H929 - L929, 0),
      MAX(MAX(0, Y928-(AD929-Z928)) + IF(MONTH(A929)=12, P929+V929, 0) + H929 - L929, 0)
    ),
  B929&gt;55,
    IF(AB928&gt;=$AH$7,
      MAX(Y928 + IF(MONTH(A929)=12, P929+V929, 0) + H929 - L929 + K929 + Z928, 0),
      MAX(Y928 + IF(MONTH(A929)=12, P929+V929, 0) + H929 - L929, 0)
    )
)</f>
        <v>2592462.202</v>
      </c>
      <c r="Z929" s="65">
        <f>IFS(
  B929&lt;55,
    MIN(
      IF(AA928 &gt;= VLOOKUP(YEAR(A929), Lookup!$Q:$R, 2),
        Z928 + IF(MONTH(A929)=12, Q929+W929, 0) + I929
          + AA928 + IF(MONTH(A929)=12, R929+X929, 0) - VLOOKUP(YEAR(A929), Lookup!$Q:$R, 2) + J929,
        Z928 + IF(MONTH(A929)=12, Q929+W929, 0) + I929
      ),
      VLOOKUP(YEAR(A929), Lookup!$K:$M, 3)
    ),
  B929=55,
    IF(Z928 &gt;= AD929, Z928 - AD929, 0),
  B929&gt;55, 0
)</f>
        <v>0</v>
      </c>
      <c r="AA929" s="65">
        <f>IFS(
  B929&lt;65,
    IF(AA928+J929 &lt; VLOOKUP(YEAR(A929), Lookup!$Q:$R, 2),
      AA928 + IF(MONTH(A929)=12, R928+X928, 0) + J929,
      MIN(
        AA928 + IF(MONTH(A929)=12, R928+X928, 0) + J929 ,
        VLOOKUP(YEAR(A929), Lookup!$Q:$R, 2)
      )
    ),
  B929&gt;=65,
    IF(AA928+J929 &lt; VLOOKUP(questions!$C$5, Lookup!$Q:$R, 2),
      AA928 + IF(MONTH(A929)=12, R928+X928, 0) + J929 ,
      MIN(
        AA928 + IF(MONTH(A929)=12, R928+X928, 0) + J929,
        VLOOKUP(questions!$C$5, Lookup!$Q:$R, 2)
      )
    )
)</f>
        <v>282111.0086</v>
      </c>
      <c r="AB929" s="65">
        <f t="shared" si="13"/>
        <v>4387498.43</v>
      </c>
      <c r="AC929" s="66">
        <f t="array" ref="AC929">IFS(B929&lt;66, XLOOKUP(year(A929),Lookup!$K$13:$K1000,Lookup!$L$13:$L1000,"missing",,1),B929&gt;65,XLOOKUP(questions!$C$5,Lookup!$K$13:$K1000,Lookup!$L$13:$L1000,"missing",,1))</f>
        <v>393675.3633</v>
      </c>
      <c r="AD929" s="66">
        <f t="array" ref="AD929">IFS(B929&lt;66, XLOOKUP(year(A929),Lookup!$K$13:$K1000,Lookup!$M$13:$M1000,"missing",,1),B929&gt;65, XLOOKUP(questions!$C$5,Lookup!$K$13:$K1000,Lookup!$M$13:$M1000,"missing",,1))</f>
        <v>787350.7266</v>
      </c>
      <c r="AE929" s="66">
        <f t="array" ref="AE929">IFS(B929&lt;66, XLOOKUP(year(A929),Lookup!$K$13:$K1000,Lookup!$N$13:$N1000,"missing",,1),B929&gt;65,XLOOKUP(questions!$C$5,Lookup!$K$13:$K1000,Lookup!$N$13:$N1000,"missing",,1))</f>
        <v>1574701.453</v>
      </c>
      <c r="AF929" s="37"/>
      <c r="AG929" s="37"/>
      <c r="AH929" s="37"/>
      <c r="AI929" s="37"/>
      <c r="AJ929" s="37"/>
      <c r="AK929" s="37"/>
      <c r="AL929" s="37"/>
      <c r="AM929" s="37"/>
      <c r="AN929" s="37"/>
      <c r="AO929" s="37"/>
      <c r="AP929" s="37"/>
      <c r="AQ929" s="37"/>
    </row>
    <row r="930">
      <c r="A930" s="55">
        <f t="shared" si="7"/>
        <v>74326</v>
      </c>
      <c r="B930" s="56">
        <f>round(YEARFRAC(EOMONTH(questions!$C$3, 0),A930,1),2)</f>
        <v>104.58</v>
      </c>
      <c r="C930" s="58">
        <f>IF(B930&lt;questions!$C$6,if(MONTH(A930)=1,C929*(1+questions!$C$12),C929),0)</f>
        <v>0</v>
      </c>
      <c r="D930" s="58">
        <f>IF(MONTH(A930)=12,C930*questions!$C$11,0)</f>
        <v>0</v>
      </c>
      <c r="E930" s="71">
        <f t="shared" si="2"/>
        <v>0</v>
      </c>
      <c r="F930" s="71">
        <f t="shared" si="3"/>
        <v>0</v>
      </c>
      <c r="G930" s="61">
        <f t="array" ref="G930">if(YEAR(A930)=2025,XLOOKUP(B930,Lookup!$A$3:$A$7,Lookup!$D$3:$D$7,,1)*SUM(E930:F930), XLOOKUP(B930,Lookup!$A$14:$A$18,Lookup!$D$14:$D$18,,1)*SUM(E930:F930))</f>
        <v>0</v>
      </c>
      <c r="H930" s="61">
        <f t="array" ref="H930">if(YEAR(A930)=2025,XLOOKUP(B930,Lookup!$F$3:$F$10,Lookup!$G$3:$G$10,,1)*G930, XLOOKUP(B930,Lookup!$F$14:$F$21,Lookup!$G$14:$G$21,,1)*G930)</f>
        <v>0</v>
      </c>
      <c r="I930" s="61">
        <f t="array" ref="I930">if(B930&lt;55, if(YEAR(A930)=2025,XLOOKUP(B930,Lookup!$F$3:$F$10,Lookup!$H$3:$H$10,,1)*G930, XLOOKUP(B930,Lookup!$F$14:$F$21,Lookup!$H$14:$H$21,,1)*G930),0)</f>
        <v>0</v>
      </c>
      <c r="J930" s="61">
        <f t="array" ref="J930">if(YEAR(A930)=2025,XLOOKUP(B930,Lookup!$F$3:$F$10,Lookup!$I$3:$I$10,,1)*G930, XLOOKUP(B930,Lookup!$F$14:$F$21,Lookup!$I$14:$I$21,,1)*G930)</f>
        <v>0</v>
      </c>
      <c r="K930" s="61">
        <f t="array" ref="K930">if(B930&gt;54, if(YEAR(A930)=2025,XLOOKUP(B930,Lookup!$F$3:$F$10,Lookup!$H$3:$H$10,,1)*G930, XLOOKUP(B930,Lookup!$F$14:$F$21,Lookup!$H$14:$H$21,,1)*G930),0)</f>
        <v>0</v>
      </c>
      <c r="L930" s="62">
        <f>IF(and(A930&lt;questions!$C$19,questions!$C$18="yes"),questions!$C$20,0)</f>
        <v>0</v>
      </c>
      <c r="M930" s="63">
        <f>(Y929+H930)*Lookup!A$26/12</f>
        <v>5400.962921</v>
      </c>
      <c r="N930" s="63">
        <f>if(B930&lt;55, (Z929+I930)*Lookup!B$26/12, (AB929+K930)*Lookup!B$26/12)</f>
        <v>14624.99477</v>
      </c>
      <c r="O930" s="63">
        <f>(AA929+J930)*Lookup!C$26/12</f>
        <v>940.3700287</v>
      </c>
      <c r="P930" s="63">
        <f t="shared" si="8"/>
        <v>32405.77753</v>
      </c>
      <c r="Q930" s="63">
        <f t="shared" si="4"/>
        <v>87749.96859</v>
      </c>
      <c r="R930" s="63">
        <f t="shared" si="5"/>
        <v>5642.220172</v>
      </c>
      <c r="S930" s="64">
        <f t="shared" si="9"/>
        <v>33.33333333</v>
      </c>
      <c r="T930" s="64">
        <f t="shared" si="10"/>
        <v>41.66666667</v>
      </c>
      <c r="U930" s="64">
        <f t="shared" si="11"/>
        <v>0</v>
      </c>
      <c r="V930" s="64">
        <f t="shared" ref="V930:X930" si="938">IF(year($A930)=year($A929), V929+S930, S930)</f>
        <v>200</v>
      </c>
      <c r="W930" s="64">
        <f t="shared" si="938"/>
        <v>250</v>
      </c>
      <c r="X930" s="64">
        <f t="shared" si="938"/>
        <v>0</v>
      </c>
      <c r="Y930" s="65">
        <f>IFS(
  B930&lt;55,
    MAX(
      Y929 + IF(MONTH(A930)=12, P930+V930, 0) + H930 - L930
      + MAX(0,
          IF(AA929 &gt;= VLOOKUP(YEAR(A930), Lookup!$Q:$R, 2),
            Z929 + IF(MONTH(A930)=12, Q930+W930, 0) + I930
              + AA929 + IF(MONTH(A930)=12, R930+X930, 0)
              - VLOOKUP(YEAR(A930), Lookup!$Q:$R, 2) + J930,
            Z929 + IF(MONTH(A930)=12, Q930+W930, 0) + I930
          ) - VLOOKUP(YEAR(A930), Lookup!$K:$M, 3)
        ),
    0),
  B930=55,
    IF(Z929&gt;=AD930,
      MAX(Y929 + IF(MONTH(A930)=12, P930+V930, 0) + H930 - L930, 0),
      MAX(MAX(0, Y929-(AD930-Z929)) + IF(MONTH(A930)=12, P930+V930, 0) + H930 - L930, 0)
    ),
  B930&gt;55,
    IF(AB929&gt;=$AH$7,
      MAX(Y929 + IF(MONTH(A930)=12, P930+V930, 0) + H930 - L930 + K930 + Z929, 0),
      MAX(Y929 + IF(MONTH(A930)=12, P930+V930, 0) + H930 - L930, 0)
    )
)</f>
        <v>2592462.202</v>
      </c>
      <c r="Z930" s="65">
        <f>IFS(
  B930&lt;55,
    MIN(
      IF(AA929 &gt;= VLOOKUP(YEAR(A930), Lookup!$Q:$R, 2),
        Z929 + IF(MONTH(A930)=12, Q930+W930, 0) + I930
          + AA929 + IF(MONTH(A930)=12, R930+X930, 0) - VLOOKUP(YEAR(A930), Lookup!$Q:$R, 2) + J930,
        Z929 + IF(MONTH(A930)=12, Q930+W930, 0) + I930
      ),
      VLOOKUP(YEAR(A930), Lookup!$K:$M, 3)
    ),
  B930=55,
    IF(Z929 &gt;= AD930, Z929 - AD930, 0),
  B930&gt;55, 0
)</f>
        <v>0</v>
      </c>
      <c r="AA930" s="65">
        <f>IFS(
  B930&lt;65,
    IF(AA929+J930 &lt; VLOOKUP(YEAR(A930), Lookup!$Q:$R, 2),
      AA929 + IF(MONTH(A930)=12, R929+X929, 0) + J930,
      MIN(
        AA929 + IF(MONTH(A930)=12, R929+X929, 0) + J930 ,
        VLOOKUP(YEAR(A930), Lookup!$Q:$R, 2)
      )
    ),
  B930&gt;=65,
    IF(AA929+J930 &lt; VLOOKUP(questions!$C$5, Lookup!$Q:$R, 2),
      AA929 + IF(MONTH(A930)=12, R929+X929, 0) + J930 ,
      MIN(
        AA929 + IF(MONTH(A930)=12, R929+X929, 0) + J930,
        VLOOKUP(questions!$C$5, Lookup!$Q:$R, 2)
      )
    )
)</f>
        <v>282111.0086</v>
      </c>
      <c r="AB930" s="65">
        <f t="shared" si="13"/>
        <v>4387498.43</v>
      </c>
      <c r="AC930" s="66">
        <f t="array" ref="AC930">IFS(B930&lt;66, XLOOKUP(year(A930),Lookup!$K$13:$K1000,Lookup!$L$13:$L1000,"missing",,1),B930&gt;65,XLOOKUP(questions!$C$5,Lookup!$K$13:$K1000,Lookup!$L$13:$L1000,"missing",,1))</f>
        <v>393675.3633</v>
      </c>
      <c r="AD930" s="66">
        <f t="array" ref="AD930">IFS(B930&lt;66, XLOOKUP(year(A930),Lookup!$K$13:$K1000,Lookup!$M$13:$M1000,"missing",,1),B930&gt;65, XLOOKUP(questions!$C$5,Lookup!$K$13:$K1000,Lookup!$M$13:$M1000,"missing",,1))</f>
        <v>787350.7266</v>
      </c>
      <c r="AE930" s="66">
        <f t="array" ref="AE930">IFS(B930&lt;66, XLOOKUP(year(A930),Lookup!$K$13:$K1000,Lookup!$N$13:$N1000,"missing",,1),B930&gt;65,XLOOKUP(questions!$C$5,Lookup!$K$13:$K1000,Lookup!$N$13:$N1000,"missing",,1))</f>
        <v>1574701.453</v>
      </c>
      <c r="AF930" s="37"/>
      <c r="AG930" s="37"/>
      <c r="AH930" s="37"/>
      <c r="AI930" s="37"/>
      <c r="AJ930" s="37"/>
      <c r="AK930" s="37"/>
      <c r="AL930" s="37"/>
      <c r="AM930" s="37"/>
      <c r="AN930" s="37"/>
      <c r="AO930" s="37"/>
      <c r="AP930" s="37"/>
      <c r="AQ930" s="37"/>
    </row>
    <row r="931">
      <c r="A931" s="55">
        <f t="shared" si="7"/>
        <v>74357</v>
      </c>
      <c r="B931" s="56">
        <f>round(YEARFRAC(EOMONTH(questions!$C$3, 0),A931,1),2)</f>
        <v>104.67</v>
      </c>
      <c r="C931" s="58">
        <f>IF(B931&lt;questions!$C$6,if(MONTH(A931)=1,C930*(1+questions!$C$12),C930),0)</f>
        <v>0</v>
      </c>
      <c r="D931" s="58">
        <f>IF(MONTH(A931)=12,C931*questions!$C$11,0)</f>
        <v>0</v>
      </c>
      <c r="E931" s="71">
        <f t="shared" si="2"/>
        <v>0</v>
      </c>
      <c r="F931" s="71">
        <f t="shared" si="3"/>
        <v>0</v>
      </c>
      <c r="G931" s="61">
        <f t="array" ref="G931">if(YEAR(A931)=2025,XLOOKUP(B931,Lookup!$A$3:$A$7,Lookup!$D$3:$D$7,,1)*SUM(E931:F931), XLOOKUP(B931,Lookup!$A$14:$A$18,Lookup!$D$14:$D$18,,1)*SUM(E931:F931))</f>
        <v>0</v>
      </c>
      <c r="H931" s="61">
        <f t="array" ref="H931">if(YEAR(A931)=2025,XLOOKUP(B931,Lookup!$F$3:$F$10,Lookup!$G$3:$G$10,,1)*G931, XLOOKUP(B931,Lookup!$F$14:$F$21,Lookup!$G$14:$G$21,,1)*G931)</f>
        <v>0</v>
      </c>
      <c r="I931" s="61">
        <f t="array" ref="I931">if(B931&lt;55, if(YEAR(A931)=2025,XLOOKUP(B931,Lookup!$F$3:$F$10,Lookup!$H$3:$H$10,,1)*G931, XLOOKUP(B931,Lookup!$F$14:$F$21,Lookup!$H$14:$H$21,,1)*G931),0)</f>
        <v>0</v>
      </c>
      <c r="J931" s="61">
        <f t="array" ref="J931">if(YEAR(A931)=2025,XLOOKUP(B931,Lookup!$F$3:$F$10,Lookup!$I$3:$I$10,,1)*G931, XLOOKUP(B931,Lookup!$F$14:$F$21,Lookup!$I$14:$I$21,,1)*G931)</f>
        <v>0</v>
      </c>
      <c r="K931" s="61">
        <f t="array" ref="K931">if(B931&gt;54, if(YEAR(A931)=2025,XLOOKUP(B931,Lookup!$F$3:$F$10,Lookup!$H$3:$H$10,,1)*G931, XLOOKUP(B931,Lookup!$F$14:$F$21,Lookup!$H$14:$H$21,,1)*G931),0)</f>
        <v>0</v>
      </c>
      <c r="L931" s="62">
        <f>IF(and(A931&lt;questions!$C$19,questions!$C$18="yes"),questions!$C$20,0)</f>
        <v>0</v>
      </c>
      <c r="M931" s="63">
        <f>(Y930+H931)*Lookup!A$26/12</f>
        <v>5400.962921</v>
      </c>
      <c r="N931" s="63">
        <f>if(B931&lt;55, (Z930+I931)*Lookup!B$26/12, (AB930+K931)*Lookup!B$26/12)</f>
        <v>14624.99477</v>
      </c>
      <c r="O931" s="63">
        <f>(AA930+J931)*Lookup!C$26/12</f>
        <v>940.3700287</v>
      </c>
      <c r="P931" s="63">
        <f t="shared" si="8"/>
        <v>37806.74045</v>
      </c>
      <c r="Q931" s="63">
        <f t="shared" si="4"/>
        <v>102374.9634</v>
      </c>
      <c r="R931" s="63">
        <f t="shared" si="5"/>
        <v>6582.590201</v>
      </c>
      <c r="S931" s="64">
        <f t="shared" si="9"/>
        <v>33.33333333</v>
      </c>
      <c r="T931" s="64">
        <f t="shared" si="10"/>
        <v>41.66666667</v>
      </c>
      <c r="U931" s="64">
        <f t="shared" si="11"/>
        <v>0</v>
      </c>
      <c r="V931" s="64">
        <f t="shared" ref="V931:X931" si="939">IF(year($A931)=year($A930), V930+S931, S931)</f>
        <v>233.3333333</v>
      </c>
      <c r="W931" s="64">
        <f t="shared" si="939"/>
        <v>291.6666667</v>
      </c>
      <c r="X931" s="64">
        <f t="shared" si="939"/>
        <v>0</v>
      </c>
      <c r="Y931" s="65">
        <f>IFS(
  B931&lt;55,
    MAX(
      Y930 + IF(MONTH(A931)=12, P931+V931, 0) + H931 - L931
      + MAX(0,
          IF(AA930 &gt;= VLOOKUP(YEAR(A931), Lookup!$Q:$R, 2),
            Z930 + IF(MONTH(A931)=12, Q931+W931, 0) + I931
              + AA930 + IF(MONTH(A931)=12, R931+X931, 0)
              - VLOOKUP(YEAR(A931), Lookup!$Q:$R, 2) + J931,
            Z930 + IF(MONTH(A931)=12, Q931+W931, 0) + I931
          ) - VLOOKUP(YEAR(A931), Lookup!$K:$M, 3)
        ),
    0),
  B931=55,
    IF(Z930&gt;=AD931,
      MAX(Y930 + IF(MONTH(A931)=12, P931+V931, 0) + H931 - L931, 0),
      MAX(MAX(0, Y930-(AD931-Z930)) + IF(MONTH(A931)=12, P931+V931, 0) + H931 - L931, 0)
    ),
  B931&gt;55,
    IF(AB930&gt;=$AH$7,
      MAX(Y930 + IF(MONTH(A931)=12, P931+V931, 0) + H931 - L931 + K931 + Z930, 0),
      MAX(Y930 + IF(MONTH(A931)=12, P931+V931, 0) + H931 - L931, 0)
    )
)</f>
        <v>2592462.202</v>
      </c>
      <c r="Z931" s="65">
        <f>IFS(
  B931&lt;55,
    MIN(
      IF(AA930 &gt;= VLOOKUP(YEAR(A931), Lookup!$Q:$R, 2),
        Z930 + IF(MONTH(A931)=12, Q931+W931, 0) + I931
          + AA930 + IF(MONTH(A931)=12, R931+X931, 0) - VLOOKUP(YEAR(A931), Lookup!$Q:$R, 2) + J931,
        Z930 + IF(MONTH(A931)=12, Q931+W931, 0) + I931
      ),
      VLOOKUP(YEAR(A931), Lookup!$K:$M, 3)
    ),
  B931=55,
    IF(Z930 &gt;= AD931, Z930 - AD931, 0),
  B931&gt;55, 0
)</f>
        <v>0</v>
      </c>
      <c r="AA931" s="65">
        <f>IFS(
  B931&lt;65,
    IF(AA930+J931 &lt; VLOOKUP(YEAR(A931), Lookup!$Q:$R, 2),
      AA930 + IF(MONTH(A931)=12, R930+X930, 0) + J931,
      MIN(
        AA930 + IF(MONTH(A931)=12, R930+X930, 0) + J931 ,
        VLOOKUP(YEAR(A931), Lookup!$Q:$R, 2)
      )
    ),
  B931&gt;=65,
    IF(AA930+J931 &lt; VLOOKUP(questions!$C$5, Lookup!$Q:$R, 2),
      AA930 + IF(MONTH(A931)=12, R930+X930, 0) + J931 ,
      MIN(
        AA930 + IF(MONTH(A931)=12, R930+X930, 0) + J931,
        VLOOKUP(questions!$C$5, Lookup!$Q:$R, 2)
      )
    )
)</f>
        <v>282111.0086</v>
      </c>
      <c r="AB931" s="65">
        <f t="shared" si="13"/>
        <v>4387498.43</v>
      </c>
      <c r="AC931" s="66">
        <f t="array" ref="AC931">IFS(B931&lt;66, XLOOKUP(year(A931),Lookup!$K$13:$K1000,Lookup!$L$13:$L1000,"missing",,1),B931&gt;65,XLOOKUP(questions!$C$5,Lookup!$K$13:$K1000,Lookup!$L$13:$L1000,"missing",,1))</f>
        <v>393675.3633</v>
      </c>
      <c r="AD931" s="66">
        <f t="array" ref="AD931">IFS(B931&lt;66, XLOOKUP(year(A931),Lookup!$K$13:$K1000,Lookup!$M$13:$M1000,"missing",,1),B931&gt;65, XLOOKUP(questions!$C$5,Lookup!$K$13:$K1000,Lookup!$M$13:$M1000,"missing",,1))</f>
        <v>787350.7266</v>
      </c>
      <c r="AE931" s="66">
        <f t="array" ref="AE931">IFS(B931&lt;66, XLOOKUP(year(A931),Lookup!$K$13:$K1000,Lookup!$N$13:$N1000,"missing",,1),B931&gt;65,XLOOKUP(questions!$C$5,Lookup!$K$13:$K1000,Lookup!$N$13:$N1000,"missing",,1))</f>
        <v>1574701.453</v>
      </c>
      <c r="AF931" s="37"/>
      <c r="AG931" s="37"/>
      <c r="AH931" s="37"/>
      <c r="AI931" s="37"/>
      <c r="AJ931" s="37"/>
      <c r="AK931" s="37"/>
      <c r="AL931" s="37"/>
      <c r="AM931" s="37"/>
      <c r="AN931" s="37"/>
      <c r="AO931" s="37"/>
      <c r="AP931" s="37"/>
      <c r="AQ931" s="37"/>
    </row>
    <row r="932">
      <c r="A932" s="55">
        <f t="shared" si="7"/>
        <v>74388</v>
      </c>
      <c r="B932" s="56">
        <f>round(YEARFRAC(EOMONTH(questions!$C$3, 0),A932,1),2)</f>
        <v>104.75</v>
      </c>
      <c r="C932" s="58">
        <f>IF(B932&lt;questions!$C$6,if(MONTH(A932)=1,C931*(1+questions!$C$12),C931),0)</f>
        <v>0</v>
      </c>
      <c r="D932" s="58">
        <f>IF(MONTH(A932)=12,C932*questions!$C$11,0)</f>
        <v>0</v>
      </c>
      <c r="E932" s="71">
        <f t="shared" si="2"/>
        <v>0</v>
      </c>
      <c r="F932" s="71">
        <f t="shared" si="3"/>
        <v>0</v>
      </c>
      <c r="G932" s="61">
        <f t="array" ref="G932">if(YEAR(A932)=2025,XLOOKUP(B932,Lookup!$A$3:$A$7,Lookup!$D$3:$D$7,,1)*SUM(E932:F932), XLOOKUP(B932,Lookup!$A$14:$A$18,Lookup!$D$14:$D$18,,1)*SUM(E932:F932))</f>
        <v>0</v>
      </c>
      <c r="H932" s="61">
        <f t="array" ref="H932">if(YEAR(A932)=2025,XLOOKUP(B932,Lookup!$F$3:$F$10,Lookup!$G$3:$G$10,,1)*G932, XLOOKUP(B932,Lookup!$F$14:$F$21,Lookup!$G$14:$G$21,,1)*G932)</f>
        <v>0</v>
      </c>
      <c r="I932" s="61">
        <f t="array" ref="I932">if(B932&lt;55, if(YEAR(A932)=2025,XLOOKUP(B932,Lookup!$F$3:$F$10,Lookup!$H$3:$H$10,,1)*G932, XLOOKUP(B932,Lookup!$F$14:$F$21,Lookup!$H$14:$H$21,,1)*G932),0)</f>
        <v>0</v>
      </c>
      <c r="J932" s="61">
        <f t="array" ref="J932">if(YEAR(A932)=2025,XLOOKUP(B932,Lookup!$F$3:$F$10,Lookup!$I$3:$I$10,,1)*G932, XLOOKUP(B932,Lookup!$F$14:$F$21,Lookup!$I$14:$I$21,,1)*G932)</f>
        <v>0</v>
      </c>
      <c r="K932" s="61">
        <f t="array" ref="K932">if(B932&gt;54, if(YEAR(A932)=2025,XLOOKUP(B932,Lookup!$F$3:$F$10,Lookup!$H$3:$H$10,,1)*G932, XLOOKUP(B932,Lookup!$F$14:$F$21,Lookup!$H$14:$H$21,,1)*G932),0)</f>
        <v>0</v>
      </c>
      <c r="L932" s="62">
        <f>IF(and(A932&lt;questions!$C$19,questions!$C$18="yes"),questions!$C$20,0)</f>
        <v>0</v>
      </c>
      <c r="M932" s="63">
        <f>(Y931+H932)*Lookup!A$26/12</f>
        <v>5400.962921</v>
      </c>
      <c r="N932" s="63">
        <f>if(B932&lt;55, (Z931+I932)*Lookup!B$26/12, (AB931+K932)*Lookup!B$26/12)</f>
        <v>14624.99477</v>
      </c>
      <c r="O932" s="63">
        <f>(AA931+J932)*Lookup!C$26/12</f>
        <v>940.3700287</v>
      </c>
      <c r="P932" s="63">
        <f t="shared" si="8"/>
        <v>43207.70337</v>
      </c>
      <c r="Q932" s="63">
        <f t="shared" si="4"/>
        <v>116999.9581</v>
      </c>
      <c r="R932" s="63">
        <f t="shared" si="5"/>
        <v>7522.960229</v>
      </c>
      <c r="S932" s="64">
        <f t="shared" si="9"/>
        <v>33.33333333</v>
      </c>
      <c r="T932" s="64">
        <f t="shared" si="10"/>
        <v>41.66666667</v>
      </c>
      <c r="U932" s="64">
        <f t="shared" si="11"/>
        <v>0</v>
      </c>
      <c r="V932" s="64">
        <f t="shared" ref="V932:X932" si="940">IF(year($A932)=year($A931), V931+S932, S932)</f>
        <v>266.6666667</v>
      </c>
      <c r="W932" s="64">
        <f t="shared" si="940"/>
        <v>333.3333333</v>
      </c>
      <c r="X932" s="64">
        <f t="shared" si="940"/>
        <v>0</v>
      </c>
      <c r="Y932" s="65">
        <f>IFS(
  B932&lt;55,
    MAX(
      Y931 + IF(MONTH(A932)=12, P932+V932, 0) + H932 - L932
      + MAX(0,
          IF(AA931 &gt;= VLOOKUP(YEAR(A932), Lookup!$Q:$R, 2),
            Z931 + IF(MONTH(A932)=12, Q932+W932, 0) + I932
              + AA931 + IF(MONTH(A932)=12, R932+X932, 0)
              - VLOOKUP(YEAR(A932), Lookup!$Q:$R, 2) + J932,
            Z931 + IF(MONTH(A932)=12, Q932+W932, 0) + I932
          ) - VLOOKUP(YEAR(A932), Lookup!$K:$M, 3)
        ),
    0),
  B932=55,
    IF(Z931&gt;=AD932,
      MAX(Y931 + IF(MONTH(A932)=12, P932+V932, 0) + H932 - L932, 0),
      MAX(MAX(0, Y931-(AD932-Z931)) + IF(MONTH(A932)=12, P932+V932, 0) + H932 - L932, 0)
    ),
  B932&gt;55,
    IF(AB931&gt;=$AH$7,
      MAX(Y931 + IF(MONTH(A932)=12, P932+V932, 0) + H932 - L932 + K932 + Z931, 0),
      MAX(Y931 + IF(MONTH(A932)=12, P932+V932, 0) + H932 - L932, 0)
    )
)</f>
        <v>2592462.202</v>
      </c>
      <c r="Z932" s="65">
        <f>IFS(
  B932&lt;55,
    MIN(
      IF(AA931 &gt;= VLOOKUP(YEAR(A932), Lookup!$Q:$R, 2),
        Z931 + IF(MONTH(A932)=12, Q932+W932, 0) + I932
          + AA931 + IF(MONTH(A932)=12, R932+X932, 0) - VLOOKUP(YEAR(A932), Lookup!$Q:$R, 2) + J932,
        Z931 + IF(MONTH(A932)=12, Q932+W932, 0) + I932
      ),
      VLOOKUP(YEAR(A932), Lookup!$K:$M, 3)
    ),
  B932=55,
    IF(Z931 &gt;= AD932, Z931 - AD932, 0),
  B932&gt;55, 0
)</f>
        <v>0</v>
      </c>
      <c r="AA932" s="65">
        <f>IFS(
  B932&lt;65,
    IF(AA931+J932 &lt; VLOOKUP(YEAR(A932), Lookup!$Q:$R, 2),
      AA931 + IF(MONTH(A932)=12, R931+X931, 0) + J932,
      MIN(
        AA931 + IF(MONTH(A932)=12, R931+X931, 0) + J932 ,
        VLOOKUP(YEAR(A932), Lookup!$Q:$R, 2)
      )
    ),
  B932&gt;=65,
    IF(AA931+J932 &lt; VLOOKUP(questions!$C$5, Lookup!$Q:$R, 2),
      AA931 + IF(MONTH(A932)=12, R931+X931, 0) + J932 ,
      MIN(
        AA931 + IF(MONTH(A932)=12, R931+X931, 0) + J932,
        VLOOKUP(questions!$C$5, Lookup!$Q:$R, 2)
      )
    )
)</f>
        <v>282111.0086</v>
      </c>
      <c r="AB932" s="65">
        <f t="shared" si="13"/>
        <v>4387498.43</v>
      </c>
      <c r="AC932" s="66">
        <f t="array" ref="AC932">IFS(B932&lt;66, XLOOKUP(year(A932),Lookup!$K$13:$K1000,Lookup!$L$13:$L1000,"missing",,1),B932&gt;65,XLOOKUP(questions!$C$5,Lookup!$K$13:$K1000,Lookup!$L$13:$L1000,"missing",,1))</f>
        <v>393675.3633</v>
      </c>
      <c r="AD932" s="66">
        <f t="array" ref="AD932">IFS(B932&lt;66, XLOOKUP(year(A932),Lookup!$K$13:$K1000,Lookup!$M$13:$M1000,"missing",,1),B932&gt;65, XLOOKUP(questions!$C$5,Lookup!$K$13:$K1000,Lookup!$M$13:$M1000,"missing",,1))</f>
        <v>787350.7266</v>
      </c>
      <c r="AE932" s="66">
        <f t="array" ref="AE932">IFS(B932&lt;66, XLOOKUP(year(A932),Lookup!$K$13:$K1000,Lookup!$N$13:$N1000,"missing",,1),B932&gt;65,XLOOKUP(questions!$C$5,Lookup!$K$13:$K1000,Lookup!$N$13:$N1000,"missing",,1))</f>
        <v>1574701.453</v>
      </c>
      <c r="AF932" s="37"/>
      <c r="AG932" s="37"/>
      <c r="AH932" s="37"/>
      <c r="AI932" s="37"/>
      <c r="AJ932" s="37"/>
      <c r="AK932" s="37"/>
      <c r="AL932" s="37"/>
      <c r="AM932" s="37"/>
      <c r="AN932" s="37"/>
      <c r="AO932" s="37"/>
      <c r="AP932" s="37"/>
      <c r="AQ932" s="37"/>
    </row>
    <row r="933">
      <c r="A933" s="55">
        <f t="shared" si="7"/>
        <v>74418</v>
      </c>
      <c r="B933" s="56">
        <f>round(YEARFRAC(EOMONTH(questions!$C$3, 0),A933,1),2)</f>
        <v>104.83</v>
      </c>
      <c r="C933" s="58">
        <f>IF(B933&lt;questions!$C$6,if(MONTH(A933)=1,C932*(1+questions!$C$12),C932),0)</f>
        <v>0</v>
      </c>
      <c r="D933" s="58">
        <f>IF(MONTH(A933)=12,C933*questions!$C$11,0)</f>
        <v>0</v>
      </c>
      <c r="E933" s="71">
        <f t="shared" si="2"/>
        <v>0</v>
      </c>
      <c r="F933" s="71">
        <f t="shared" si="3"/>
        <v>0</v>
      </c>
      <c r="G933" s="61">
        <f t="array" ref="G933">if(YEAR(A933)=2025,XLOOKUP(B933,Lookup!$A$3:$A$7,Lookup!$D$3:$D$7,,1)*SUM(E933:F933), XLOOKUP(B933,Lookup!$A$14:$A$18,Lookup!$D$14:$D$18,,1)*SUM(E933:F933))</f>
        <v>0</v>
      </c>
      <c r="H933" s="61">
        <f t="array" ref="H933">if(YEAR(A933)=2025,XLOOKUP(B933,Lookup!$F$3:$F$10,Lookup!$G$3:$G$10,,1)*G933, XLOOKUP(B933,Lookup!$F$14:$F$21,Lookup!$G$14:$G$21,,1)*G933)</f>
        <v>0</v>
      </c>
      <c r="I933" s="61">
        <f t="array" ref="I933">if(B933&lt;55, if(YEAR(A933)=2025,XLOOKUP(B933,Lookup!$F$3:$F$10,Lookup!$H$3:$H$10,,1)*G933, XLOOKUP(B933,Lookup!$F$14:$F$21,Lookup!$H$14:$H$21,,1)*G933),0)</f>
        <v>0</v>
      </c>
      <c r="J933" s="61">
        <f t="array" ref="J933">if(YEAR(A933)=2025,XLOOKUP(B933,Lookup!$F$3:$F$10,Lookup!$I$3:$I$10,,1)*G933, XLOOKUP(B933,Lookup!$F$14:$F$21,Lookup!$I$14:$I$21,,1)*G933)</f>
        <v>0</v>
      </c>
      <c r="K933" s="61">
        <f t="array" ref="K933">if(B933&gt;54, if(YEAR(A933)=2025,XLOOKUP(B933,Lookup!$F$3:$F$10,Lookup!$H$3:$H$10,,1)*G933, XLOOKUP(B933,Lookup!$F$14:$F$21,Lookup!$H$14:$H$21,,1)*G933),0)</f>
        <v>0</v>
      </c>
      <c r="L933" s="62">
        <f>IF(and(A933&lt;questions!$C$19,questions!$C$18="yes"),questions!$C$20,0)</f>
        <v>0</v>
      </c>
      <c r="M933" s="63">
        <f>(Y932+H933)*Lookup!A$26/12</f>
        <v>5400.962921</v>
      </c>
      <c r="N933" s="63">
        <f>if(B933&lt;55, (Z932+I933)*Lookup!B$26/12, (AB932+K933)*Lookup!B$26/12)</f>
        <v>14624.99477</v>
      </c>
      <c r="O933" s="63">
        <f>(AA932+J933)*Lookup!C$26/12</f>
        <v>940.3700287</v>
      </c>
      <c r="P933" s="63">
        <f t="shared" si="8"/>
        <v>48608.66629</v>
      </c>
      <c r="Q933" s="63">
        <f t="shared" si="4"/>
        <v>131624.9529</v>
      </c>
      <c r="R933" s="63">
        <f t="shared" si="5"/>
        <v>8463.330258</v>
      </c>
      <c r="S933" s="64">
        <f t="shared" si="9"/>
        <v>33.33333333</v>
      </c>
      <c r="T933" s="64">
        <f t="shared" si="10"/>
        <v>41.66666667</v>
      </c>
      <c r="U933" s="64">
        <f t="shared" si="11"/>
        <v>0</v>
      </c>
      <c r="V933" s="64">
        <f t="shared" ref="V933:X933" si="941">IF(year($A933)=year($A932), V932+S933, S933)</f>
        <v>300</v>
      </c>
      <c r="W933" s="64">
        <f t="shared" si="941"/>
        <v>375</v>
      </c>
      <c r="X933" s="64">
        <f t="shared" si="941"/>
        <v>0</v>
      </c>
      <c r="Y933" s="65">
        <f>IFS(
  B933&lt;55,
    MAX(
      Y932 + IF(MONTH(A933)=12, P933+V933, 0) + H933 - L933
      + MAX(0,
          IF(AA932 &gt;= VLOOKUP(YEAR(A933), Lookup!$Q:$R, 2),
            Z932 + IF(MONTH(A933)=12, Q933+W933, 0) + I933
              + AA932 + IF(MONTH(A933)=12, R933+X933, 0)
              - VLOOKUP(YEAR(A933), Lookup!$Q:$R, 2) + J933,
            Z932 + IF(MONTH(A933)=12, Q933+W933, 0) + I933
          ) - VLOOKUP(YEAR(A933), Lookup!$K:$M, 3)
        ),
    0),
  B933=55,
    IF(Z932&gt;=AD933,
      MAX(Y932 + IF(MONTH(A933)=12, P933+V933, 0) + H933 - L933, 0),
      MAX(MAX(0, Y932-(AD933-Z932)) + IF(MONTH(A933)=12, P933+V933, 0) + H933 - L933, 0)
    ),
  B933&gt;55,
    IF(AB932&gt;=$AH$7,
      MAX(Y932 + IF(MONTH(A933)=12, P933+V933, 0) + H933 - L933 + K933 + Z932, 0),
      MAX(Y932 + IF(MONTH(A933)=12, P933+V933, 0) + H933 - L933, 0)
    )
)</f>
        <v>2592462.202</v>
      </c>
      <c r="Z933" s="65">
        <f>IFS(
  B933&lt;55,
    MIN(
      IF(AA932 &gt;= VLOOKUP(YEAR(A933), Lookup!$Q:$R, 2),
        Z932 + IF(MONTH(A933)=12, Q933+W933, 0) + I933
          + AA932 + IF(MONTH(A933)=12, R933+X933, 0) - VLOOKUP(YEAR(A933), Lookup!$Q:$R, 2) + J933,
        Z932 + IF(MONTH(A933)=12, Q933+W933, 0) + I933
      ),
      VLOOKUP(YEAR(A933), Lookup!$K:$M, 3)
    ),
  B933=55,
    IF(Z932 &gt;= AD933, Z932 - AD933, 0),
  B933&gt;55, 0
)</f>
        <v>0</v>
      </c>
      <c r="AA933" s="65">
        <f>IFS(
  B933&lt;65,
    IF(AA932+J933 &lt; VLOOKUP(YEAR(A933), Lookup!$Q:$R, 2),
      AA932 + IF(MONTH(A933)=12, R932+X932, 0) + J933,
      MIN(
        AA932 + IF(MONTH(A933)=12, R932+X932, 0) + J933 ,
        VLOOKUP(YEAR(A933), Lookup!$Q:$R, 2)
      )
    ),
  B933&gt;=65,
    IF(AA932+J933 &lt; VLOOKUP(questions!$C$5, Lookup!$Q:$R, 2),
      AA932 + IF(MONTH(A933)=12, R932+X932, 0) + J933 ,
      MIN(
        AA932 + IF(MONTH(A933)=12, R932+X932, 0) + J933,
        VLOOKUP(questions!$C$5, Lookup!$Q:$R, 2)
      )
    )
)</f>
        <v>282111.0086</v>
      </c>
      <c r="AB933" s="65">
        <f t="shared" si="13"/>
        <v>4387498.43</v>
      </c>
      <c r="AC933" s="66">
        <f t="array" ref="AC933">IFS(B933&lt;66, XLOOKUP(year(A933),Lookup!$K$13:$K1000,Lookup!$L$13:$L1000,"missing",,1),B933&gt;65,XLOOKUP(questions!$C$5,Lookup!$K$13:$K1000,Lookup!$L$13:$L1000,"missing",,1))</f>
        <v>393675.3633</v>
      </c>
      <c r="AD933" s="66">
        <f t="array" ref="AD933">IFS(B933&lt;66, XLOOKUP(year(A933),Lookup!$K$13:$K1000,Lookup!$M$13:$M1000,"missing",,1),B933&gt;65, XLOOKUP(questions!$C$5,Lookup!$K$13:$K1000,Lookup!$M$13:$M1000,"missing",,1))</f>
        <v>787350.7266</v>
      </c>
      <c r="AE933" s="66">
        <f t="array" ref="AE933">IFS(B933&lt;66, XLOOKUP(year(A933),Lookup!$K$13:$K1000,Lookup!$N$13:$N1000,"missing",,1),B933&gt;65,XLOOKUP(questions!$C$5,Lookup!$K$13:$K1000,Lookup!$N$13:$N1000,"missing",,1))</f>
        <v>1574701.453</v>
      </c>
      <c r="AF933" s="37"/>
      <c r="AG933" s="37"/>
      <c r="AH933" s="37"/>
      <c r="AI933" s="37"/>
      <c r="AJ933" s="37"/>
      <c r="AK933" s="37"/>
      <c r="AL933" s="37"/>
      <c r="AM933" s="37"/>
      <c r="AN933" s="37"/>
      <c r="AO933" s="37"/>
      <c r="AP933" s="37"/>
      <c r="AQ933" s="37"/>
    </row>
    <row r="934">
      <c r="A934" s="55">
        <f t="shared" si="7"/>
        <v>74449</v>
      </c>
      <c r="B934" s="56">
        <f>round(YEARFRAC(EOMONTH(questions!$C$3, 0),A934,1),2)</f>
        <v>104.92</v>
      </c>
      <c r="C934" s="58">
        <f>IF(B934&lt;questions!$C$6,if(MONTH(A934)=1,C933*(1+questions!$C$12),C933),0)</f>
        <v>0</v>
      </c>
      <c r="D934" s="58">
        <f>IF(MONTH(A934)=12,C934*questions!$C$11,0)</f>
        <v>0</v>
      </c>
      <c r="E934" s="71">
        <f t="shared" si="2"/>
        <v>0</v>
      </c>
      <c r="F934" s="71">
        <f t="shared" si="3"/>
        <v>0</v>
      </c>
      <c r="G934" s="61">
        <f t="array" ref="G934">if(YEAR(A934)=2025,XLOOKUP(B934,Lookup!$A$3:$A$7,Lookup!$D$3:$D$7,,1)*SUM(E934:F934), XLOOKUP(B934,Lookup!$A$14:$A$18,Lookup!$D$14:$D$18,,1)*SUM(E934:F934))</f>
        <v>0</v>
      </c>
      <c r="H934" s="61">
        <f t="array" ref="H934">if(YEAR(A934)=2025,XLOOKUP(B934,Lookup!$F$3:$F$10,Lookup!$G$3:$G$10,,1)*G934, XLOOKUP(B934,Lookup!$F$14:$F$21,Lookup!$G$14:$G$21,,1)*G934)</f>
        <v>0</v>
      </c>
      <c r="I934" s="61">
        <f t="array" ref="I934">if(B934&lt;55, if(YEAR(A934)=2025,XLOOKUP(B934,Lookup!$F$3:$F$10,Lookup!$H$3:$H$10,,1)*G934, XLOOKUP(B934,Lookup!$F$14:$F$21,Lookup!$H$14:$H$21,,1)*G934),0)</f>
        <v>0</v>
      </c>
      <c r="J934" s="61">
        <f t="array" ref="J934">if(YEAR(A934)=2025,XLOOKUP(B934,Lookup!$F$3:$F$10,Lookup!$I$3:$I$10,,1)*G934, XLOOKUP(B934,Lookup!$F$14:$F$21,Lookup!$I$14:$I$21,,1)*G934)</f>
        <v>0</v>
      </c>
      <c r="K934" s="61">
        <f t="array" ref="K934">if(B934&gt;54, if(YEAR(A934)=2025,XLOOKUP(B934,Lookup!$F$3:$F$10,Lookup!$H$3:$H$10,,1)*G934, XLOOKUP(B934,Lookup!$F$14:$F$21,Lookup!$H$14:$H$21,,1)*G934),0)</f>
        <v>0</v>
      </c>
      <c r="L934" s="62">
        <f>IF(and(A934&lt;questions!$C$19,questions!$C$18="yes"),questions!$C$20,0)</f>
        <v>0</v>
      </c>
      <c r="M934" s="63">
        <f>(Y933+H934)*Lookup!A$26/12</f>
        <v>5400.962921</v>
      </c>
      <c r="N934" s="63">
        <f>if(B934&lt;55, (Z933+I934)*Lookup!B$26/12, (AB933+K934)*Lookup!B$26/12)</f>
        <v>14624.99477</v>
      </c>
      <c r="O934" s="63">
        <f>(AA933+J934)*Lookup!C$26/12</f>
        <v>940.3700287</v>
      </c>
      <c r="P934" s="63">
        <f t="shared" si="8"/>
        <v>54009.62921</v>
      </c>
      <c r="Q934" s="63">
        <f t="shared" si="4"/>
        <v>146249.9477</v>
      </c>
      <c r="R934" s="63">
        <f t="shared" si="5"/>
        <v>9403.700287</v>
      </c>
      <c r="S934" s="64">
        <f t="shared" si="9"/>
        <v>33.33333333</v>
      </c>
      <c r="T934" s="64">
        <f t="shared" si="10"/>
        <v>41.66666667</v>
      </c>
      <c r="U934" s="64">
        <f t="shared" si="11"/>
        <v>0</v>
      </c>
      <c r="V934" s="64">
        <f t="shared" ref="V934:X934" si="942">IF(year($A934)=year($A933), V933+S934, S934)</f>
        <v>333.3333333</v>
      </c>
      <c r="W934" s="64">
        <f t="shared" si="942"/>
        <v>416.6666667</v>
      </c>
      <c r="X934" s="64">
        <f t="shared" si="942"/>
        <v>0</v>
      </c>
      <c r="Y934" s="65">
        <f>IFS(
  B934&lt;55,
    MAX(
      Y933 + IF(MONTH(A934)=12, P934+V934, 0) + H934 - L934
      + MAX(0,
          IF(AA933 &gt;= VLOOKUP(YEAR(A934), Lookup!$Q:$R, 2),
            Z933 + IF(MONTH(A934)=12, Q934+W934, 0) + I934
              + AA933 + IF(MONTH(A934)=12, R934+X934, 0)
              - VLOOKUP(YEAR(A934), Lookup!$Q:$R, 2) + J934,
            Z933 + IF(MONTH(A934)=12, Q934+W934, 0) + I934
          ) - VLOOKUP(YEAR(A934), Lookup!$K:$M, 3)
        ),
    0),
  B934=55,
    IF(Z933&gt;=AD934,
      MAX(Y933 + IF(MONTH(A934)=12, P934+V934, 0) + H934 - L934, 0),
      MAX(MAX(0, Y933-(AD934-Z933)) + IF(MONTH(A934)=12, P934+V934, 0) + H934 - L934, 0)
    ),
  B934&gt;55,
    IF(AB933&gt;=$AH$7,
      MAX(Y933 + IF(MONTH(A934)=12, P934+V934, 0) + H934 - L934 + K934 + Z933, 0),
      MAX(Y933 + IF(MONTH(A934)=12, P934+V934, 0) + H934 - L934, 0)
    )
)</f>
        <v>2592462.202</v>
      </c>
      <c r="Z934" s="65">
        <f>IFS(
  B934&lt;55,
    MIN(
      IF(AA933 &gt;= VLOOKUP(YEAR(A934), Lookup!$Q:$R, 2),
        Z933 + IF(MONTH(A934)=12, Q934+W934, 0) + I934
          + AA933 + IF(MONTH(A934)=12, R934+X934, 0) - VLOOKUP(YEAR(A934), Lookup!$Q:$R, 2) + J934,
        Z933 + IF(MONTH(A934)=12, Q934+W934, 0) + I934
      ),
      VLOOKUP(YEAR(A934), Lookup!$K:$M, 3)
    ),
  B934=55,
    IF(Z933 &gt;= AD934, Z933 - AD934, 0),
  B934&gt;55, 0
)</f>
        <v>0</v>
      </c>
      <c r="AA934" s="65">
        <f>IFS(
  B934&lt;65,
    IF(AA933+J934 &lt; VLOOKUP(YEAR(A934), Lookup!$Q:$R, 2),
      AA933 + IF(MONTH(A934)=12, R933+X933, 0) + J934,
      MIN(
        AA933 + IF(MONTH(A934)=12, R933+X933, 0) + J934 ,
        VLOOKUP(YEAR(A934), Lookup!$Q:$R, 2)
      )
    ),
  B934&gt;=65,
    IF(AA933+J934 &lt; VLOOKUP(questions!$C$5, Lookup!$Q:$R, 2),
      AA933 + IF(MONTH(A934)=12, R933+X933, 0) + J934 ,
      MIN(
        AA933 + IF(MONTH(A934)=12, R933+X933, 0) + J934,
        VLOOKUP(questions!$C$5, Lookup!$Q:$R, 2)
      )
    )
)</f>
        <v>282111.0086</v>
      </c>
      <c r="AB934" s="65">
        <f t="shared" si="13"/>
        <v>4387498.43</v>
      </c>
      <c r="AC934" s="66">
        <f t="array" ref="AC934">IFS(B934&lt;66, XLOOKUP(year(A934),Lookup!$K$13:$K1000,Lookup!$L$13:$L1000,"missing",,1),B934&gt;65,XLOOKUP(questions!$C$5,Lookup!$K$13:$K1000,Lookup!$L$13:$L1000,"missing",,1))</f>
        <v>393675.3633</v>
      </c>
      <c r="AD934" s="66">
        <f t="array" ref="AD934">IFS(B934&lt;66, XLOOKUP(year(A934),Lookup!$K$13:$K1000,Lookup!$M$13:$M1000,"missing",,1),B934&gt;65, XLOOKUP(questions!$C$5,Lookup!$K$13:$K1000,Lookup!$M$13:$M1000,"missing",,1))</f>
        <v>787350.7266</v>
      </c>
      <c r="AE934" s="66">
        <f t="array" ref="AE934">IFS(B934&lt;66, XLOOKUP(year(A934),Lookup!$K$13:$K1000,Lookup!$N$13:$N1000,"missing",,1),B934&gt;65,XLOOKUP(questions!$C$5,Lookup!$K$13:$K1000,Lookup!$N$13:$N1000,"missing",,1))</f>
        <v>1574701.453</v>
      </c>
      <c r="AF934" s="37"/>
      <c r="AG934" s="37"/>
      <c r="AH934" s="37"/>
      <c r="AI934" s="37"/>
      <c r="AJ934" s="37"/>
      <c r="AK934" s="37"/>
      <c r="AL934" s="37"/>
      <c r="AM934" s="37"/>
      <c r="AN934" s="37"/>
      <c r="AO934" s="37"/>
      <c r="AP934" s="37"/>
      <c r="AQ934" s="37"/>
    </row>
    <row r="935">
      <c r="A935" s="55">
        <f t="shared" si="7"/>
        <v>74479</v>
      </c>
      <c r="B935" s="56">
        <f>round(YEARFRAC(EOMONTH(questions!$C$3, 0),A935,1),2)</f>
        <v>105</v>
      </c>
      <c r="C935" s="58">
        <f>IF(B935&lt;questions!$C$6,if(MONTH(A935)=1,C934*(1+questions!$C$12),C934),0)</f>
        <v>0</v>
      </c>
      <c r="D935" s="58">
        <f>IF(MONTH(A935)=12,C935*questions!$C$11,0)</f>
        <v>0</v>
      </c>
      <c r="E935" s="71">
        <f t="shared" si="2"/>
        <v>0</v>
      </c>
      <c r="F935" s="71">
        <f t="shared" si="3"/>
        <v>0</v>
      </c>
      <c r="G935" s="61">
        <f t="array" ref="G935">if(YEAR(A935)=2025,XLOOKUP(B935,Lookup!$A$3:$A$7,Lookup!$D$3:$D$7,,1)*SUM(E935:F935), XLOOKUP(B935,Lookup!$A$14:$A$18,Lookup!$D$14:$D$18,,1)*SUM(E935:F935))</f>
        <v>0</v>
      </c>
      <c r="H935" s="61">
        <f t="array" ref="H935">if(YEAR(A935)=2025,XLOOKUP(B935,Lookup!$F$3:$F$10,Lookup!$G$3:$G$10,,1)*G935, XLOOKUP(B935,Lookup!$F$14:$F$21,Lookup!$G$14:$G$21,,1)*G935)</f>
        <v>0</v>
      </c>
      <c r="I935" s="61">
        <f t="array" ref="I935">if(B935&lt;55, if(YEAR(A935)=2025,XLOOKUP(B935,Lookup!$F$3:$F$10,Lookup!$H$3:$H$10,,1)*G935, XLOOKUP(B935,Lookup!$F$14:$F$21,Lookup!$H$14:$H$21,,1)*G935),0)</f>
        <v>0</v>
      </c>
      <c r="J935" s="61">
        <f t="array" ref="J935">if(YEAR(A935)=2025,XLOOKUP(B935,Lookup!$F$3:$F$10,Lookup!$I$3:$I$10,,1)*G935, XLOOKUP(B935,Lookup!$F$14:$F$21,Lookup!$I$14:$I$21,,1)*G935)</f>
        <v>0</v>
      </c>
      <c r="K935" s="61">
        <f t="array" ref="K935">if(B935&gt;54, if(YEAR(A935)=2025,XLOOKUP(B935,Lookup!$F$3:$F$10,Lookup!$H$3:$H$10,,1)*G935, XLOOKUP(B935,Lookup!$F$14:$F$21,Lookup!$H$14:$H$21,,1)*G935),0)</f>
        <v>0</v>
      </c>
      <c r="L935" s="62">
        <f>IF(and(A935&lt;questions!$C$19,questions!$C$18="yes"),questions!$C$20,0)</f>
        <v>0</v>
      </c>
      <c r="M935" s="63">
        <f>(Y934+H935)*Lookup!A$26/12</f>
        <v>5400.962921</v>
      </c>
      <c r="N935" s="63">
        <f>if(B935&lt;55, (Z934+I935)*Lookup!B$26/12, (AB934+K935)*Lookup!B$26/12)</f>
        <v>14624.99477</v>
      </c>
      <c r="O935" s="63">
        <f>(AA934+J935)*Lookup!C$26/12</f>
        <v>940.3700287</v>
      </c>
      <c r="P935" s="63">
        <f t="shared" si="8"/>
        <v>59410.59213</v>
      </c>
      <c r="Q935" s="63">
        <f t="shared" si="4"/>
        <v>160874.9424</v>
      </c>
      <c r="R935" s="63">
        <f t="shared" si="5"/>
        <v>10344.07032</v>
      </c>
      <c r="S935" s="64">
        <f t="shared" si="9"/>
        <v>33.33333333</v>
      </c>
      <c r="T935" s="64">
        <f t="shared" si="10"/>
        <v>41.66666667</v>
      </c>
      <c r="U935" s="64">
        <f t="shared" si="11"/>
        <v>0</v>
      </c>
      <c r="V935" s="64">
        <f t="shared" ref="V935:X935" si="943">IF(year($A935)=year($A934), V934+S935, S935)</f>
        <v>366.6666667</v>
      </c>
      <c r="W935" s="64">
        <f t="shared" si="943"/>
        <v>458.3333333</v>
      </c>
      <c r="X935" s="64">
        <f t="shared" si="943"/>
        <v>0</v>
      </c>
      <c r="Y935" s="65">
        <f>IFS(
  B935&lt;55,
    MAX(
      Y934 + IF(MONTH(A935)=12, P935+V935, 0) + H935 - L935
      + MAX(0,
          IF(AA934 &gt;= VLOOKUP(YEAR(A935), Lookup!$Q:$R, 2),
            Z934 + IF(MONTH(A935)=12, Q935+W935, 0) + I935
              + AA934 + IF(MONTH(A935)=12, R935+X935, 0)
              - VLOOKUP(YEAR(A935), Lookup!$Q:$R, 2) + J935,
            Z934 + IF(MONTH(A935)=12, Q935+W935, 0) + I935
          ) - VLOOKUP(YEAR(A935), Lookup!$K:$M, 3)
        ),
    0),
  B935=55,
    IF(Z934&gt;=AD935,
      MAX(Y934 + IF(MONTH(A935)=12, P935+V935, 0) + H935 - L935, 0),
      MAX(MAX(0, Y934-(AD935-Z934)) + IF(MONTH(A935)=12, P935+V935, 0) + H935 - L935, 0)
    ),
  B935&gt;55,
    IF(AB934&gt;=$AH$7,
      MAX(Y934 + IF(MONTH(A935)=12, P935+V935, 0) + H935 - L935 + K935 + Z934, 0),
      MAX(Y934 + IF(MONTH(A935)=12, P935+V935, 0) + H935 - L935, 0)
    )
)</f>
        <v>2592462.202</v>
      </c>
      <c r="Z935" s="65">
        <f>IFS(
  B935&lt;55,
    MIN(
      IF(AA934 &gt;= VLOOKUP(YEAR(A935), Lookup!$Q:$R, 2),
        Z934 + IF(MONTH(A935)=12, Q935+W935, 0) + I935
          + AA934 + IF(MONTH(A935)=12, R935+X935, 0) - VLOOKUP(YEAR(A935), Lookup!$Q:$R, 2) + J935,
        Z934 + IF(MONTH(A935)=12, Q935+W935, 0) + I935
      ),
      VLOOKUP(YEAR(A935), Lookup!$K:$M, 3)
    ),
  B935=55,
    IF(Z934 &gt;= AD935, Z934 - AD935, 0),
  B935&gt;55, 0
)</f>
        <v>0</v>
      </c>
      <c r="AA935" s="65">
        <f>IFS(
  B935&lt;65,
    IF(AA934+J935 &lt; VLOOKUP(YEAR(A935), Lookup!$Q:$R, 2),
      AA934 + IF(MONTH(A935)=12, R934+X934, 0) + J935,
      MIN(
        AA934 + IF(MONTH(A935)=12, R934+X934, 0) + J935 ,
        VLOOKUP(YEAR(A935), Lookup!$Q:$R, 2)
      )
    ),
  B935&gt;=65,
    IF(AA934+J935 &lt; VLOOKUP(questions!$C$5, Lookup!$Q:$R, 2),
      AA934 + IF(MONTH(A935)=12, R934+X934, 0) + J935 ,
      MIN(
        AA934 + IF(MONTH(A935)=12, R934+X934, 0) + J935,
        VLOOKUP(questions!$C$5, Lookup!$Q:$R, 2)
      )
    )
)</f>
        <v>282111.0086</v>
      </c>
      <c r="AB935" s="65">
        <f t="shared" si="13"/>
        <v>4387498.43</v>
      </c>
      <c r="AC935" s="66">
        <f t="array" ref="AC935">IFS(B935&lt;66, XLOOKUP(year(A935),Lookup!$K$13:$K1000,Lookup!$L$13:$L1000,"missing",,1),B935&gt;65,XLOOKUP(questions!$C$5,Lookup!$K$13:$K1000,Lookup!$L$13:$L1000,"missing",,1))</f>
        <v>393675.3633</v>
      </c>
      <c r="AD935" s="66">
        <f t="array" ref="AD935">IFS(B935&lt;66, XLOOKUP(year(A935),Lookup!$K$13:$K1000,Lookup!$M$13:$M1000,"missing",,1),B935&gt;65, XLOOKUP(questions!$C$5,Lookup!$K$13:$K1000,Lookup!$M$13:$M1000,"missing",,1))</f>
        <v>787350.7266</v>
      </c>
      <c r="AE935" s="66">
        <f t="array" ref="AE935">IFS(B935&lt;66, XLOOKUP(year(A935),Lookup!$K$13:$K1000,Lookup!$N$13:$N1000,"missing",,1),B935&gt;65,XLOOKUP(questions!$C$5,Lookup!$K$13:$K1000,Lookup!$N$13:$N1000,"missing",,1))</f>
        <v>1574701.453</v>
      </c>
      <c r="AF935" s="37"/>
      <c r="AG935" s="37"/>
      <c r="AH935" s="37"/>
      <c r="AI935" s="37"/>
      <c r="AJ935" s="37"/>
      <c r="AK935" s="37"/>
      <c r="AL935" s="37"/>
      <c r="AM935" s="37"/>
      <c r="AN935" s="37"/>
      <c r="AO935" s="37"/>
      <c r="AP935" s="37"/>
      <c r="AQ935" s="37"/>
    </row>
    <row r="936">
      <c r="A936" s="55">
        <f t="shared" si="7"/>
        <v>74510</v>
      </c>
      <c r="B936" s="56">
        <f>round(YEARFRAC(EOMONTH(questions!$C$3, 0),A936,1),2)</f>
        <v>105.08</v>
      </c>
      <c r="C936" s="58">
        <f>IF(B936&lt;questions!$C$6,if(MONTH(A936)=1,C935*(1+questions!$C$12),C935),0)</f>
        <v>0</v>
      </c>
      <c r="D936" s="58">
        <f>IF(MONTH(A936)=12,C936*questions!$C$11,0)</f>
        <v>0</v>
      </c>
      <c r="E936" s="71">
        <f t="shared" si="2"/>
        <v>0</v>
      </c>
      <c r="F936" s="71">
        <f t="shared" si="3"/>
        <v>0</v>
      </c>
      <c r="G936" s="61">
        <f t="array" ref="G936">if(YEAR(A936)=2025,XLOOKUP(B936,Lookup!$A$3:$A$7,Lookup!$D$3:$D$7,,1)*SUM(E936:F936), XLOOKUP(B936,Lookup!$A$14:$A$18,Lookup!$D$14:$D$18,,1)*SUM(E936:F936))</f>
        <v>0</v>
      </c>
      <c r="H936" s="61">
        <f t="array" ref="H936">if(YEAR(A936)=2025,XLOOKUP(B936,Lookup!$F$3:$F$10,Lookup!$G$3:$G$10,,1)*G936, XLOOKUP(B936,Lookup!$F$14:$F$21,Lookup!$G$14:$G$21,,1)*G936)</f>
        <v>0</v>
      </c>
      <c r="I936" s="61">
        <f t="array" ref="I936">if(B936&lt;55, if(YEAR(A936)=2025,XLOOKUP(B936,Lookup!$F$3:$F$10,Lookup!$H$3:$H$10,,1)*G936, XLOOKUP(B936,Lookup!$F$14:$F$21,Lookup!$H$14:$H$21,,1)*G936),0)</f>
        <v>0</v>
      </c>
      <c r="J936" s="61">
        <f t="array" ref="J936">if(YEAR(A936)=2025,XLOOKUP(B936,Lookup!$F$3:$F$10,Lookup!$I$3:$I$10,,1)*G936, XLOOKUP(B936,Lookup!$F$14:$F$21,Lookup!$I$14:$I$21,,1)*G936)</f>
        <v>0</v>
      </c>
      <c r="K936" s="61">
        <f t="array" ref="K936">if(B936&gt;54, if(YEAR(A936)=2025,XLOOKUP(B936,Lookup!$F$3:$F$10,Lookup!$H$3:$H$10,,1)*G936, XLOOKUP(B936,Lookup!$F$14:$F$21,Lookup!$H$14:$H$21,,1)*G936),0)</f>
        <v>0</v>
      </c>
      <c r="L936" s="62">
        <f>IF(and(A936&lt;questions!$C$19,questions!$C$18="yes"),questions!$C$20,0)</f>
        <v>0</v>
      </c>
      <c r="M936" s="63">
        <f>(Y935+H936)*Lookup!A$26/12</f>
        <v>5400.962921</v>
      </c>
      <c r="N936" s="63">
        <f>if(B936&lt;55, (Z935+I936)*Lookup!B$26/12, (AB935+K936)*Lookup!B$26/12)</f>
        <v>14624.99477</v>
      </c>
      <c r="O936" s="63">
        <f>(AA935+J936)*Lookup!C$26/12</f>
        <v>940.3700287</v>
      </c>
      <c r="P936" s="63">
        <f t="shared" si="8"/>
        <v>64811.55505</v>
      </c>
      <c r="Q936" s="63">
        <f t="shared" si="4"/>
        <v>175499.9372</v>
      </c>
      <c r="R936" s="63">
        <f t="shared" si="5"/>
        <v>11284.44034</v>
      </c>
      <c r="S936" s="64">
        <f t="shared" si="9"/>
        <v>33.33333333</v>
      </c>
      <c r="T936" s="64">
        <f t="shared" si="10"/>
        <v>41.66666667</v>
      </c>
      <c r="U936" s="64">
        <f t="shared" si="11"/>
        <v>0</v>
      </c>
      <c r="V936" s="64">
        <f t="shared" ref="V936:X936" si="944">IF(year($A936)=year($A935), V935+S936, S936)</f>
        <v>400</v>
      </c>
      <c r="W936" s="64">
        <f t="shared" si="944"/>
        <v>500</v>
      </c>
      <c r="X936" s="64">
        <f t="shared" si="944"/>
        <v>0</v>
      </c>
      <c r="Y936" s="65">
        <f>IFS(
  B936&lt;55,
    MAX(
      Y935 + IF(MONTH(A936)=12, P936+V936, 0) + H936 - L936
      + MAX(0,
          IF(AA935 &gt;= VLOOKUP(YEAR(A936), Lookup!$Q:$R, 2),
            Z935 + IF(MONTH(A936)=12, Q936+W936, 0) + I936
              + AA935 + IF(MONTH(A936)=12, R936+X936, 0)
              - VLOOKUP(YEAR(A936), Lookup!$Q:$R, 2) + J936,
            Z935 + IF(MONTH(A936)=12, Q936+W936, 0) + I936
          ) - VLOOKUP(YEAR(A936), Lookup!$K:$M, 3)
        ),
    0),
  B936=55,
    IF(Z935&gt;=AD936,
      MAX(Y935 + IF(MONTH(A936)=12, P936+V936, 0) + H936 - L936, 0),
      MAX(MAX(0, Y935-(AD936-Z935)) + IF(MONTH(A936)=12, P936+V936, 0) + H936 - L936, 0)
    ),
  B936&gt;55,
    IF(AB935&gt;=$AH$7,
      MAX(Y935 + IF(MONTH(A936)=12, P936+V936, 0) + H936 - L936 + K936 + Z935, 0),
      MAX(Y935 + IF(MONTH(A936)=12, P936+V936, 0) + H936 - L936, 0)
    )
)</f>
        <v>2657673.757</v>
      </c>
      <c r="Z936" s="65">
        <f>IFS(
  B936&lt;55,
    MIN(
      IF(AA935 &gt;= VLOOKUP(YEAR(A936), Lookup!$Q:$R, 2),
        Z935 + IF(MONTH(A936)=12, Q936+W936, 0) + I936
          + AA935 + IF(MONTH(A936)=12, R936+X936, 0) - VLOOKUP(YEAR(A936), Lookup!$Q:$R, 2) + J936,
        Z935 + IF(MONTH(A936)=12, Q936+W936, 0) + I936
      ),
      VLOOKUP(YEAR(A936), Lookup!$K:$M, 3)
    ),
  B936=55,
    IF(Z935 &gt;= AD936, Z935 - AD936, 0),
  B936&gt;55, 0
)</f>
        <v>0</v>
      </c>
      <c r="AA936" s="65">
        <f>IFS(
  B936&lt;65,
    IF(AA935+J936 &lt; VLOOKUP(YEAR(A936), Lookup!$Q:$R, 2),
      AA935 + IF(MONTH(A936)=12, R935+X935, 0) + J936,
      MIN(
        AA935 + IF(MONTH(A936)=12, R935+X935, 0) + J936 ,
        VLOOKUP(YEAR(A936), Lookup!$Q:$R, 2)
      )
    ),
  B936&gt;=65,
    IF(AA935+J936 &lt; VLOOKUP(questions!$C$5, Lookup!$Q:$R, 2),
      AA935 + IF(MONTH(A936)=12, R935+X935, 0) + J936 ,
      MIN(
        AA935 + IF(MONTH(A936)=12, R935+X935, 0) + J936,
        VLOOKUP(questions!$C$5, Lookup!$Q:$R, 2)
      )
    )
)</f>
        <v>282111.0086</v>
      </c>
      <c r="AB936" s="65">
        <f t="shared" si="13"/>
        <v>4563498.367</v>
      </c>
      <c r="AC936" s="66">
        <f t="array" ref="AC936">IFS(B936&lt;66, XLOOKUP(year(A936),Lookup!$K$13:$K1000,Lookup!$L$13:$L1000,"missing",,1),B936&gt;65,XLOOKUP(questions!$C$5,Lookup!$K$13:$K1000,Lookup!$L$13:$L1000,"missing",,1))</f>
        <v>393675.3633</v>
      </c>
      <c r="AD936" s="66">
        <f t="array" ref="AD936">IFS(B936&lt;66, XLOOKUP(year(A936),Lookup!$K$13:$K1000,Lookup!$M$13:$M1000,"missing",,1),B936&gt;65, XLOOKUP(questions!$C$5,Lookup!$K$13:$K1000,Lookup!$M$13:$M1000,"missing",,1))</f>
        <v>787350.7266</v>
      </c>
      <c r="AE936" s="66">
        <f t="array" ref="AE936">IFS(B936&lt;66, XLOOKUP(year(A936),Lookup!$K$13:$K1000,Lookup!$N$13:$N1000,"missing",,1),B936&gt;65,XLOOKUP(questions!$C$5,Lookup!$K$13:$K1000,Lookup!$N$13:$N1000,"missing",,1))</f>
        <v>1574701.453</v>
      </c>
      <c r="AF936" s="37"/>
      <c r="AG936" s="37"/>
      <c r="AH936" s="37"/>
      <c r="AI936" s="37"/>
      <c r="AJ936" s="37"/>
      <c r="AK936" s="37"/>
      <c r="AL936" s="37"/>
      <c r="AM936" s="37"/>
      <c r="AN936" s="37"/>
      <c r="AO936" s="37"/>
      <c r="AP936" s="37"/>
      <c r="AQ936" s="37"/>
    </row>
    <row r="937">
      <c r="A937" s="55">
        <f t="shared" si="7"/>
        <v>74541</v>
      </c>
      <c r="B937" s="56">
        <f>round(YEARFRAC(EOMONTH(questions!$C$3, 0),A937,1),2)</f>
        <v>105.17</v>
      </c>
      <c r="C937" s="58">
        <f>IF(B937&lt;questions!$C$6,if(MONTH(A937)=1,C936*(1+questions!$C$12),C936),0)</f>
        <v>0</v>
      </c>
      <c r="D937" s="58">
        <f>IF(MONTH(A937)=12,C937*questions!$C$11,0)</f>
        <v>0</v>
      </c>
      <c r="E937" s="71">
        <f t="shared" si="2"/>
        <v>0</v>
      </c>
      <c r="F937" s="71">
        <f t="shared" si="3"/>
        <v>0</v>
      </c>
      <c r="G937" s="61">
        <f t="array" ref="G937">if(YEAR(A937)=2025,XLOOKUP(B937,Lookup!$A$3:$A$7,Lookup!$D$3:$D$7,,1)*SUM(E937:F937), XLOOKUP(B937,Lookup!$A$14:$A$18,Lookup!$D$14:$D$18,,1)*SUM(E937:F937))</f>
        <v>0</v>
      </c>
      <c r="H937" s="61">
        <f t="array" ref="H937">if(YEAR(A937)=2025,XLOOKUP(B937,Lookup!$F$3:$F$10,Lookup!$G$3:$G$10,,1)*G937, XLOOKUP(B937,Lookup!$F$14:$F$21,Lookup!$G$14:$G$21,,1)*G937)</f>
        <v>0</v>
      </c>
      <c r="I937" s="61">
        <f t="array" ref="I937">if(B937&lt;55, if(YEAR(A937)=2025,XLOOKUP(B937,Lookup!$F$3:$F$10,Lookup!$H$3:$H$10,,1)*G937, XLOOKUP(B937,Lookup!$F$14:$F$21,Lookup!$H$14:$H$21,,1)*G937),0)</f>
        <v>0</v>
      </c>
      <c r="J937" s="61">
        <f t="array" ref="J937">if(YEAR(A937)=2025,XLOOKUP(B937,Lookup!$F$3:$F$10,Lookup!$I$3:$I$10,,1)*G937, XLOOKUP(B937,Lookup!$F$14:$F$21,Lookup!$I$14:$I$21,,1)*G937)</f>
        <v>0</v>
      </c>
      <c r="K937" s="61">
        <f t="array" ref="K937">if(B937&gt;54, if(YEAR(A937)=2025,XLOOKUP(B937,Lookup!$F$3:$F$10,Lookup!$H$3:$H$10,,1)*G937, XLOOKUP(B937,Lookup!$F$14:$F$21,Lookup!$H$14:$H$21,,1)*G937),0)</f>
        <v>0</v>
      </c>
      <c r="L937" s="62">
        <f>IF(and(A937&lt;questions!$C$19,questions!$C$18="yes"),questions!$C$20,0)</f>
        <v>0</v>
      </c>
      <c r="M937" s="63">
        <f>(Y936+H937)*Lookup!A$26/12</f>
        <v>5536.820328</v>
      </c>
      <c r="N937" s="63">
        <f>if(B937&lt;55, (Z936+I937)*Lookup!B$26/12, (AB936+K937)*Lookup!B$26/12)</f>
        <v>15211.66122</v>
      </c>
      <c r="O937" s="63">
        <f>(AA936+J937)*Lookup!C$26/12</f>
        <v>940.3700287</v>
      </c>
      <c r="P937" s="63">
        <f t="shared" si="8"/>
        <v>5536.820328</v>
      </c>
      <c r="Q937" s="63">
        <f t="shared" si="4"/>
        <v>15211.66122</v>
      </c>
      <c r="R937" s="63">
        <f t="shared" si="5"/>
        <v>940.3700287</v>
      </c>
      <c r="S937" s="64">
        <f t="shared" si="9"/>
        <v>33.33333333</v>
      </c>
      <c r="T937" s="64">
        <f t="shared" si="10"/>
        <v>41.66666667</v>
      </c>
      <c r="U937" s="64">
        <f t="shared" si="11"/>
        <v>0</v>
      </c>
      <c r="V937" s="64">
        <f t="shared" ref="V937:X937" si="945">IF(year($A937)=year($A936), V936+S937, S937)</f>
        <v>33.33333333</v>
      </c>
      <c r="W937" s="64">
        <f t="shared" si="945"/>
        <v>41.66666667</v>
      </c>
      <c r="X937" s="64">
        <f t="shared" si="945"/>
        <v>0</v>
      </c>
      <c r="Y937" s="65">
        <f>IFS(
  B937&lt;55,
    MAX(
      Y936 + IF(MONTH(A937)=12, P937+V937, 0) + H937 - L937
      + MAX(0,
          IF(AA936 &gt;= VLOOKUP(YEAR(A937), Lookup!$Q:$R, 2),
            Z936 + IF(MONTH(A937)=12, Q937+W937, 0) + I937
              + AA936 + IF(MONTH(A937)=12, R937+X937, 0)
              - VLOOKUP(YEAR(A937), Lookup!$Q:$R, 2) + J937,
            Z936 + IF(MONTH(A937)=12, Q937+W937, 0) + I937
          ) - VLOOKUP(YEAR(A937), Lookup!$K:$M, 3)
        ),
    0),
  B937=55,
    IF(Z936&gt;=AD937,
      MAX(Y936 + IF(MONTH(A937)=12, P937+V937, 0) + H937 - L937, 0),
      MAX(MAX(0, Y936-(AD937-Z936)) + IF(MONTH(A937)=12, P937+V937, 0) + H937 - L937, 0)
    ),
  B937&gt;55,
    IF(AB936&gt;=$AH$7,
      MAX(Y936 + IF(MONTH(A937)=12, P937+V937, 0) + H937 - L937 + K937 + Z936, 0),
      MAX(Y936 + IF(MONTH(A937)=12, P937+V937, 0) + H937 - L937, 0)
    )
)</f>
        <v>2657673.757</v>
      </c>
      <c r="Z937" s="65">
        <f>IFS(
  B937&lt;55,
    MIN(
      IF(AA936 &gt;= VLOOKUP(YEAR(A937), Lookup!$Q:$R, 2),
        Z936 + IF(MONTH(A937)=12, Q937+W937, 0) + I937
          + AA936 + IF(MONTH(A937)=12, R937+X937, 0) - VLOOKUP(YEAR(A937), Lookup!$Q:$R, 2) + J937,
        Z936 + IF(MONTH(A937)=12, Q937+W937, 0) + I937
      ),
      VLOOKUP(YEAR(A937), Lookup!$K:$M, 3)
    ),
  B937=55,
    IF(Z936 &gt;= AD937, Z936 - AD937, 0),
  B937&gt;55, 0
)</f>
        <v>0</v>
      </c>
      <c r="AA937" s="65">
        <f>IFS(
  B937&lt;65,
    IF(AA936+J937 &lt; VLOOKUP(YEAR(A937), Lookup!$Q:$R, 2),
      AA936 + IF(MONTH(A937)=12, R936+X936, 0) + J937,
      MIN(
        AA936 + IF(MONTH(A937)=12, R936+X936, 0) + J937 ,
        VLOOKUP(YEAR(A937), Lookup!$Q:$R, 2)
      )
    ),
  B937&gt;=65,
    IF(AA936+J937 &lt; VLOOKUP(questions!$C$5, Lookup!$Q:$R, 2),
      AA936 + IF(MONTH(A937)=12, R936+X936, 0) + J937 ,
      MIN(
        AA936 + IF(MONTH(A937)=12, R936+X936, 0) + J937,
        VLOOKUP(questions!$C$5, Lookup!$Q:$R, 2)
      )
    )
)</f>
        <v>282111.0086</v>
      </c>
      <c r="AB937" s="65">
        <f t="shared" si="13"/>
        <v>4563498.367</v>
      </c>
      <c r="AC937" s="66">
        <f t="array" ref="AC937">IFS(B937&lt;66, XLOOKUP(year(A937),Lookup!$K$13:$K1000,Lookup!$L$13:$L1000,"missing",,1),B937&gt;65,XLOOKUP(questions!$C$5,Lookup!$K$13:$K1000,Lookup!$L$13:$L1000,"missing",,1))</f>
        <v>393675.3633</v>
      </c>
      <c r="AD937" s="66">
        <f t="array" ref="AD937">IFS(B937&lt;66, XLOOKUP(year(A937),Lookup!$K$13:$K1000,Lookup!$M$13:$M1000,"missing",,1),B937&gt;65, XLOOKUP(questions!$C$5,Lookup!$K$13:$K1000,Lookup!$M$13:$M1000,"missing",,1))</f>
        <v>787350.7266</v>
      </c>
      <c r="AE937" s="66">
        <f t="array" ref="AE937">IFS(B937&lt;66, XLOOKUP(year(A937),Lookup!$K$13:$K1000,Lookup!$N$13:$N1000,"missing",,1),B937&gt;65,XLOOKUP(questions!$C$5,Lookup!$K$13:$K1000,Lookup!$N$13:$N1000,"missing",,1))</f>
        <v>1574701.453</v>
      </c>
      <c r="AF937" s="37"/>
      <c r="AG937" s="37"/>
      <c r="AH937" s="37"/>
      <c r="AI937" s="37"/>
      <c r="AJ937" s="37"/>
      <c r="AK937" s="37"/>
      <c r="AL937" s="37"/>
      <c r="AM937" s="37"/>
      <c r="AN937" s="37"/>
      <c r="AO937" s="37"/>
      <c r="AP937" s="37"/>
      <c r="AQ937" s="37"/>
    </row>
    <row r="938">
      <c r="A938" s="55">
        <f t="shared" si="7"/>
        <v>74570</v>
      </c>
      <c r="B938" s="56">
        <f>round(YEARFRAC(EOMONTH(questions!$C$3, 0),A938,1),2)</f>
        <v>105.25</v>
      </c>
      <c r="C938" s="58">
        <f>IF(B938&lt;questions!$C$6,if(MONTH(A938)=1,C937*(1+questions!$C$12),C937),0)</f>
        <v>0</v>
      </c>
      <c r="D938" s="58">
        <f>IF(MONTH(A938)=12,C938*questions!$C$11,0)</f>
        <v>0</v>
      </c>
      <c r="E938" s="71">
        <f t="shared" si="2"/>
        <v>0</v>
      </c>
      <c r="F938" s="71">
        <f t="shared" si="3"/>
        <v>0</v>
      </c>
      <c r="G938" s="61">
        <f t="array" ref="G938">if(YEAR(A938)=2025,XLOOKUP(B938,Lookup!$A$3:$A$7,Lookup!$D$3:$D$7,,1)*SUM(E938:F938), XLOOKUP(B938,Lookup!$A$14:$A$18,Lookup!$D$14:$D$18,,1)*SUM(E938:F938))</f>
        <v>0</v>
      </c>
      <c r="H938" s="61">
        <f t="array" ref="H938">if(YEAR(A938)=2025,XLOOKUP(B938,Lookup!$F$3:$F$10,Lookup!$G$3:$G$10,,1)*G938, XLOOKUP(B938,Lookup!$F$14:$F$21,Lookup!$G$14:$G$21,,1)*G938)</f>
        <v>0</v>
      </c>
      <c r="I938" s="61">
        <f t="array" ref="I938">if(B938&lt;55, if(YEAR(A938)=2025,XLOOKUP(B938,Lookup!$F$3:$F$10,Lookup!$H$3:$H$10,,1)*G938, XLOOKUP(B938,Lookup!$F$14:$F$21,Lookup!$H$14:$H$21,,1)*G938),0)</f>
        <v>0</v>
      </c>
      <c r="J938" s="61">
        <f t="array" ref="J938">if(YEAR(A938)=2025,XLOOKUP(B938,Lookup!$F$3:$F$10,Lookup!$I$3:$I$10,,1)*G938, XLOOKUP(B938,Lookup!$F$14:$F$21,Lookup!$I$14:$I$21,,1)*G938)</f>
        <v>0</v>
      </c>
      <c r="K938" s="61">
        <f t="array" ref="K938">if(B938&gt;54, if(YEAR(A938)=2025,XLOOKUP(B938,Lookup!$F$3:$F$10,Lookup!$H$3:$H$10,,1)*G938, XLOOKUP(B938,Lookup!$F$14:$F$21,Lookup!$H$14:$H$21,,1)*G938),0)</f>
        <v>0</v>
      </c>
      <c r="L938" s="62">
        <f>IF(and(A938&lt;questions!$C$19,questions!$C$18="yes"),questions!$C$20,0)</f>
        <v>0</v>
      </c>
      <c r="M938" s="63">
        <f>(Y937+H938)*Lookup!A$26/12</f>
        <v>5536.820328</v>
      </c>
      <c r="N938" s="63">
        <f>if(B938&lt;55, (Z937+I938)*Lookup!B$26/12, (AB937+K938)*Lookup!B$26/12)</f>
        <v>15211.66122</v>
      </c>
      <c r="O938" s="63">
        <f>(AA937+J938)*Lookup!C$26/12</f>
        <v>940.3700287</v>
      </c>
      <c r="P938" s="63">
        <f t="shared" si="8"/>
        <v>11073.64066</v>
      </c>
      <c r="Q938" s="63">
        <f t="shared" si="4"/>
        <v>30423.32244</v>
      </c>
      <c r="R938" s="63">
        <f t="shared" si="5"/>
        <v>1880.740057</v>
      </c>
      <c r="S938" s="64">
        <f t="shared" si="9"/>
        <v>33.33333333</v>
      </c>
      <c r="T938" s="64">
        <f t="shared" si="10"/>
        <v>41.66666667</v>
      </c>
      <c r="U938" s="64">
        <f t="shared" si="11"/>
        <v>0</v>
      </c>
      <c r="V938" s="64">
        <f t="shared" ref="V938:X938" si="946">IF(year($A938)=year($A937), V937+S938, S938)</f>
        <v>66.66666667</v>
      </c>
      <c r="W938" s="64">
        <f t="shared" si="946"/>
        <v>83.33333333</v>
      </c>
      <c r="X938" s="64">
        <f t="shared" si="946"/>
        <v>0</v>
      </c>
      <c r="Y938" s="65">
        <f>IFS(
  B938&lt;55,
    MAX(
      Y937 + IF(MONTH(A938)=12, P938+V938, 0) + H938 - L938
      + MAX(0,
          IF(AA937 &gt;= VLOOKUP(YEAR(A938), Lookup!$Q:$R, 2),
            Z937 + IF(MONTH(A938)=12, Q938+W938, 0) + I938
              + AA937 + IF(MONTH(A938)=12, R938+X938, 0)
              - VLOOKUP(YEAR(A938), Lookup!$Q:$R, 2) + J938,
            Z937 + IF(MONTH(A938)=12, Q938+W938, 0) + I938
          ) - VLOOKUP(YEAR(A938), Lookup!$K:$M, 3)
        ),
    0),
  B938=55,
    IF(Z937&gt;=AD938,
      MAX(Y937 + IF(MONTH(A938)=12, P938+V938, 0) + H938 - L938, 0),
      MAX(MAX(0, Y937-(AD938-Z937)) + IF(MONTH(A938)=12, P938+V938, 0) + H938 - L938, 0)
    ),
  B938&gt;55,
    IF(AB937&gt;=$AH$7,
      MAX(Y937 + IF(MONTH(A938)=12, P938+V938, 0) + H938 - L938 + K938 + Z937, 0),
      MAX(Y937 + IF(MONTH(A938)=12, P938+V938, 0) + H938 - L938, 0)
    )
)</f>
        <v>2657673.757</v>
      </c>
      <c r="Z938" s="65">
        <f>IFS(
  B938&lt;55,
    MIN(
      IF(AA937 &gt;= VLOOKUP(YEAR(A938), Lookup!$Q:$R, 2),
        Z937 + IF(MONTH(A938)=12, Q938+W938, 0) + I938
          + AA937 + IF(MONTH(A938)=12, R938+X938, 0) - VLOOKUP(YEAR(A938), Lookup!$Q:$R, 2) + J938,
        Z937 + IF(MONTH(A938)=12, Q938+W938, 0) + I938
      ),
      VLOOKUP(YEAR(A938), Lookup!$K:$M, 3)
    ),
  B938=55,
    IF(Z937 &gt;= AD938, Z937 - AD938, 0),
  B938&gt;55, 0
)</f>
        <v>0</v>
      </c>
      <c r="AA938" s="65">
        <f>IFS(
  B938&lt;65,
    IF(AA937+J938 &lt; VLOOKUP(YEAR(A938), Lookup!$Q:$R, 2),
      AA937 + IF(MONTH(A938)=12, R937+X937, 0) + J938,
      MIN(
        AA937 + IF(MONTH(A938)=12, R937+X937, 0) + J938 ,
        VLOOKUP(YEAR(A938), Lookup!$Q:$R, 2)
      )
    ),
  B938&gt;=65,
    IF(AA937+J938 &lt; VLOOKUP(questions!$C$5, Lookup!$Q:$R, 2),
      AA937 + IF(MONTH(A938)=12, R937+X937, 0) + J938 ,
      MIN(
        AA937 + IF(MONTH(A938)=12, R937+X937, 0) + J938,
        VLOOKUP(questions!$C$5, Lookup!$Q:$R, 2)
      )
    )
)</f>
        <v>282111.0086</v>
      </c>
      <c r="AB938" s="65">
        <f t="shared" si="13"/>
        <v>4563498.367</v>
      </c>
      <c r="AC938" s="66">
        <f t="array" ref="AC938">IFS(B938&lt;66, XLOOKUP(year(A938),Lookup!$K$13:$K1000,Lookup!$L$13:$L1000,"missing",,1),B938&gt;65,XLOOKUP(questions!$C$5,Lookup!$K$13:$K1000,Lookup!$L$13:$L1000,"missing",,1))</f>
        <v>393675.3633</v>
      </c>
      <c r="AD938" s="66">
        <f t="array" ref="AD938">IFS(B938&lt;66, XLOOKUP(year(A938),Lookup!$K$13:$K1000,Lookup!$M$13:$M1000,"missing",,1),B938&gt;65, XLOOKUP(questions!$C$5,Lookup!$K$13:$K1000,Lookup!$M$13:$M1000,"missing",,1))</f>
        <v>787350.7266</v>
      </c>
      <c r="AE938" s="66">
        <f t="array" ref="AE938">IFS(B938&lt;66, XLOOKUP(year(A938),Lookup!$K$13:$K1000,Lookup!$N$13:$N1000,"missing",,1),B938&gt;65,XLOOKUP(questions!$C$5,Lookup!$K$13:$K1000,Lookup!$N$13:$N1000,"missing",,1))</f>
        <v>1574701.453</v>
      </c>
      <c r="AF938" s="37"/>
      <c r="AG938" s="37"/>
      <c r="AH938" s="37"/>
      <c r="AI938" s="37"/>
      <c r="AJ938" s="37"/>
      <c r="AK938" s="37"/>
      <c r="AL938" s="37"/>
      <c r="AM938" s="37"/>
      <c r="AN938" s="37"/>
      <c r="AO938" s="37"/>
      <c r="AP938" s="37"/>
      <c r="AQ938" s="37"/>
    </row>
    <row r="939">
      <c r="A939" s="55">
        <f t="shared" si="7"/>
        <v>74601</v>
      </c>
      <c r="B939" s="56">
        <f>round(YEARFRAC(EOMONTH(questions!$C$3, 0),A939,1),2)</f>
        <v>105.33</v>
      </c>
      <c r="C939" s="58">
        <f>IF(B939&lt;questions!$C$6,if(MONTH(A939)=1,C938*(1+questions!$C$12),C938),0)</f>
        <v>0</v>
      </c>
      <c r="D939" s="58">
        <f>IF(MONTH(A939)=12,C939*questions!$C$11,0)</f>
        <v>0</v>
      </c>
      <c r="E939" s="71">
        <f t="shared" si="2"/>
        <v>0</v>
      </c>
      <c r="F939" s="71">
        <f t="shared" si="3"/>
        <v>0</v>
      </c>
      <c r="G939" s="61">
        <f t="array" ref="G939">if(YEAR(A939)=2025,XLOOKUP(B939,Lookup!$A$3:$A$7,Lookup!$D$3:$D$7,,1)*SUM(E939:F939), XLOOKUP(B939,Lookup!$A$14:$A$18,Lookup!$D$14:$D$18,,1)*SUM(E939:F939))</f>
        <v>0</v>
      </c>
      <c r="H939" s="61">
        <f t="array" ref="H939">if(YEAR(A939)=2025,XLOOKUP(B939,Lookup!$F$3:$F$10,Lookup!$G$3:$G$10,,1)*G939, XLOOKUP(B939,Lookup!$F$14:$F$21,Lookup!$G$14:$G$21,,1)*G939)</f>
        <v>0</v>
      </c>
      <c r="I939" s="61">
        <f t="array" ref="I939">if(B939&lt;55, if(YEAR(A939)=2025,XLOOKUP(B939,Lookup!$F$3:$F$10,Lookup!$H$3:$H$10,,1)*G939, XLOOKUP(B939,Lookup!$F$14:$F$21,Lookup!$H$14:$H$21,,1)*G939),0)</f>
        <v>0</v>
      </c>
      <c r="J939" s="61">
        <f t="array" ref="J939">if(YEAR(A939)=2025,XLOOKUP(B939,Lookup!$F$3:$F$10,Lookup!$I$3:$I$10,,1)*G939, XLOOKUP(B939,Lookup!$F$14:$F$21,Lookup!$I$14:$I$21,,1)*G939)</f>
        <v>0</v>
      </c>
      <c r="K939" s="61">
        <f t="array" ref="K939">if(B939&gt;54, if(YEAR(A939)=2025,XLOOKUP(B939,Lookup!$F$3:$F$10,Lookup!$H$3:$H$10,,1)*G939, XLOOKUP(B939,Lookup!$F$14:$F$21,Lookup!$H$14:$H$21,,1)*G939),0)</f>
        <v>0</v>
      </c>
      <c r="L939" s="62">
        <f>IF(and(A939&lt;questions!$C$19,questions!$C$18="yes"),questions!$C$20,0)</f>
        <v>0</v>
      </c>
      <c r="M939" s="63">
        <f>(Y938+H939)*Lookup!A$26/12</f>
        <v>5536.820328</v>
      </c>
      <c r="N939" s="63">
        <f>if(B939&lt;55, (Z938+I939)*Lookup!B$26/12, (AB938+K939)*Lookup!B$26/12)</f>
        <v>15211.66122</v>
      </c>
      <c r="O939" s="63">
        <f>(AA938+J939)*Lookup!C$26/12</f>
        <v>940.3700287</v>
      </c>
      <c r="P939" s="63">
        <f t="shared" si="8"/>
        <v>16610.46098</v>
      </c>
      <c r="Q939" s="63">
        <f t="shared" si="4"/>
        <v>45634.98367</v>
      </c>
      <c r="R939" s="63">
        <f t="shared" si="5"/>
        <v>2821.110086</v>
      </c>
      <c r="S939" s="64">
        <f t="shared" si="9"/>
        <v>33.33333333</v>
      </c>
      <c r="T939" s="64">
        <f t="shared" si="10"/>
        <v>41.66666667</v>
      </c>
      <c r="U939" s="64">
        <f t="shared" si="11"/>
        <v>0</v>
      </c>
      <c r="V939" s="64">
        <f t="shared" ref="V939:X939" si="947">IF(year($A939)=year($A938), V938+S939, S939)</f>
        <v>100</v>
      </c>
      <c r="W939" s="64">
        <f t="shared" si="947"/>
        <v>125</v>
      </c>
      <c r="X939" s="64">
        <f t="shared" si="947"/>
        <v>0</v>
      </c>
      <c r="Y939" s="65">
        <f>IFS(
  B939&lt;55,
    MAX(
      Y938 + IF(MONTH(A939)=12, P939+V939, 0) + H939 - L939
      + MAX(0,
          IF(AA938 &gt;= VLOOKUP(YEAR(A939), Lookup!$Q:$R, 2),
            Z938 + IF(MONTH(A939)=12, Q939+W939, 0) + I939
              + AA938 + IF(MONTH(A939)=12, R939+X939, 0)
              - VLOOKUP(YEAR(A939), Lookup!$Q:$R, 2) + J939,
            Z938 + IF(MONTH(A939)=12, Q939+W939, 0) + I939
          ) - VLOOKUP(YEAR(A939), Lookup!$K:$M, 3)
        ),
    0),
  B939=55,
    IF(Z938&gt;=AD939,
      MAX(Y938 + IF(MONTH(A939)=12, P939+V939, 0) + H939 - L939, 0),
      MAX(MAX(0, Y938-(AD939-Z938)) + IF(MONTH(A939)=12, P939+V939, 0) + H939 - L939, 0)
    ),
  B939&gt;55,
    IF(AB938&gt;=$AH$7,
      MAX(Y938 + IF(MONTH(A939)=12, P939+V939, 0) + H939 - L939 + K939 + Z938, 0),
      MAX(Y938 + IF(MONTH(A939)=12, P939+V939, 0) + H939 - L939, 0)
    )
)</f>
        <v>2657673.757</v>
      </c>
      <c r="Z939" s="65">
        <f>IFS(
  B939&lt;55,
    MIN(
      IF(AA938 &gt;= VLOOKUP(YEAR(A939), Lookup!$Q:$R, 2),
        Z938 + IF(MONTH(A939)=12, Q939+W939, 0) + I939
          + AA938 + IF(MONTH(A939)=12, R939+X939, 0) - VLOOKUP(YEAR(A939), Lookup!$Q:$R, 2) + J939,
        Z938 + IF(MONTH(A939)=12, Q939+W939, 0) + I939
      ),
      VLOOKUP(YEAR(A939), Lookup!$K:$M, 3)
    ),
  B939=55,
    IF(Z938 &gt;= AD939, Z938 - AD939, 0),
  B939&gt;55, 0
)</f>
        <v>0</v>
      </c>
      <c r="AA939" s="65">
        <f>IFS(
  B939&lt;65,
    IF(AA938+J939 &lt; VLOOKUP(YEAR(A939), Lookup!$Q:$R, 2),
      AA938 + IF(MONTH(A939)=12, R938+X938, 0) + J939,
      MIN(
        AA938 + IF(MONTH(A939)=12, R938+X938, 0) + J939 ,
        VLOOKUP(YEAR(A939), Lookup!$Q:$R, 2)
      )
    ),
  B939&gt;=65,
    IF(AA938+J939 &lt; VLOOKUP(questions!$C$5, Lookup!$Q:$R, 2),
      AA938 + IF(MONTH(A939)=12, R938+X938, 0) + J939 ,
      MIN(
        AA938 + IF(MONTH(A939)=12, R938+X938, 0) + J939,
        VLOOKUP(questions!$C$5, Lookup!$Q:$R, 2)
      )
    )
)</f>
        <v>282111.0086</v>
      </c>
      <c r="AB939" s="65">
        <f t="shared" si="13"/>
        <v>4563498.367</v>
      </c>
      <c r="AC939" s="66">
        <f t="array" ref="AC939">IFS(B939&lt;66, XLOOKUP(year(A939),Lookup!$K$13:$K1000,Lookup!$L$13:$L1000,"missing",,1),B939&gt;65,XLOOKUP(questions!$C$5,Lookup!$K$13:$K1000,Lookup!$L$13:$L1000,"missing",,1))</f>
        <v>393675.3633</v>
      </c>
      <c r="AD939" s="66">
        <f t="array" ref="AD939">IFS(B939&lt;66, XLOOKUP(year(A939),Lookup!$K$13:$K1000,Lookup!$M$13:$M1000,"missing",,1),B939&gt;65, XLOOKUP(questions!$C$5,Lookup!$K$13:$K1000,Lookup!$M$13:$M1000,"missing",,1))</f>
        <v>787350.7266</v>
      </c>
      <c r="AE939" s="66">
        <f t="array" ref="AE939">IFS(B939&lt;66, XLOOKUP(year(A939),Lookup!$K$13:$K1000,Lookup!$N$13:$N1000,"missing",,1),B939&gt;65,XLOOKUP(questions!$C$5,Lookup!$K$13:$K1000,Lookup!$N$13:$N1000,"missing",,1))</f>
        <v>1574701.453</v>
      </c>
      <c r="AF939" s="37"/>
      <c r="AG939" s="37"/>
      <c r="AH939" s="37"/>
      <c r="AI939" s="37"/>
      <c r="AJ939" s="37"/>
      <c r="AK939" s="37"/>
      <c r="AL939" s="37"/>
      <c r="AM939" s="37"/>
      <c r="AN939" s="37"/>
      <c r="AO939" s="37"/>
      <c r="AP939" s="37"/>
      <c r="AQ939" s="37"/>
    </row>
    <row r="940">
      <c r="A940" s="55">
        <f t="shared" si="7"/>
        <v>74631</v>
      </c>
      <c r="B940" s="56">
        <f>round(YEARFRAC(EOMONTH(questions!$C$3, 0),A940,1),2)</f>
        <v>105.42</v>
      </c>
      <c r="C940" s="58">
        <f>IF(B940&lt;questions!$C$6,if(MONTH(A940)=1,C939*(1+questions!$C$12),C939),0)</f>
        <v>0</v>
      </c>
      <c r="D940" s="58">
        <f>IF(MONTH(A940)=12,C940*questions!$C$11,0)</f>
        <v>0</v>
      </c>
      <c r="E940" s="71">
        <f t="shared" si="2"/>
        <v>0</v>
      </c>
      <c r="F940" s="71">
        <f t="shared" si="3"/>
        <v>0</v>
      </c>
      <c r="G940" s="61">
        <f t="array" ref="G940">if(YEAR(A940)=2025,XLOOKUP(B940,Lookup!$A$3:$A$7,Lookup!$D$3:$D$7,,1)*SUM(E940:F940), XLOOKUP(B940,Lookup!$A$14:$A$18,Lookup!$D$14:$D$18,,1)*SUM(E940:F940))</f>
        <v>0</v>
      </c>
      <c r="H940" s="61">
        <f t="array" ref="H940">if(YEAR(A940)=2025,XLOOKUP(B940,Lookup!$F$3:$F$10,Lookup!$G$3:$G$10,,1)*G940, XLOOKUP(B940,Lookup!$F$14:$F$21,Lookup!$G$14:$G$21,,1)*G940)</f>
        <v>0</v>
      </c>
      <c r="I940" s="61">
        <f t="array" ref="I940">if(B940&lt;55, if(YEAR(A940)=2025,XLOOKUP(B940,Lookup!$F$3:$F$10,Lookup!$H$3:$H$10,,1)*G940, XLOOKUP(B940,Lookup!$F$14:$F$21,Lookup!$H$14:$H$21,,1)*G940),0)</f>
        <v>0</v>
      </c>
      <c r="J940" s="61">
        <f t="array" ref="J940">if(YEAR(A940)=2025,XLOOKUP(B940,Lookup!$F$3:$F$10,Lookup!$I$3:$I$10,,1)*G940, XLOOKUP(B940,Lookup!$F$14:$F$21,Lookup!$I$14:$I$21,,1)*G940)</f>
        <v>0</v>
      </c>
      <c r="K940" s="61">
        <f t="array" ref="K940">if(B940&gt;54, if(YEAR(A940)=2025,XLOOKUP(B940,Lookup!$F$3:$F$10,Lookup!$H$3:$H$10,,1)*G940, XLOOKUP(B940,Lookup!$F$14:$F$21,Lookup!$H$14:$H$21,,1)*G940),0)</f>
        <v>0</v>
      </c>
      <c r="L940" s="62">
        <f>IF(and(A940&lt;questions!$C$19,questions!$C$18="yes"),questions!$C$20,0)</f>
        <v>0</v>
      </c>
      <c r="M940" s="63">
        <f>(Y939+H940)*Lookup!A$26/12</f>
        <v>5536.820328</v>
      </c>
      <c r="N940" s="63">
        <f>if(B940&lt;55, (Z939+I940)*Lookup!B$26/12, (AB939+K940)*Lookup!B$26/12)</f>
        <v>15211.66122</v>
      </c>
      <c r="O940" s="63">
        <f>(AA939+J940)*Lookup!C$26/12</f>
        <v>940.3700287</v>
      </c>
      <c r="P940" s="63">
        <f t="shared" si="8"/>
        <v>22147.28131</v>
      </c>
      <c r="Q940" s="63">
        <f t="shared" si="4"/>
        <v>60846.64489</v>
      </c>
      <c r="R940" s="63">
        <f t="shared" si="5"/>
        <v>3761.480115</v>
      </c>
      <c r="S940" s="64">
        <f t="shared" si="9"/>
        <v>33.33333333</v>
      </c>
      <c r="T940" s="64">
        <f t="shared" si="10"/>
        <v>41.66666667</v>
      </c>
      <c r="U940" s="64">
        <f t="shared" si="11"/>
        <v>0</v>
      </c>
      <c r="V940" s="64">
        <f t="shared" ref="V940:X940" si="948">IF(year($A940)=year($A939), V939+S940, S940)</f>
        <v>133.3333333</v>
      </c>
      <c r="W940" s="64">
        <f t="shared" si="948"/>
        <v>166.6666667</v>
      </c>
      <c r="X940" s="64">
        <f t="shared" si="948"/>
        <v>0</v>
      </c>
      <c r="Y940" s="65">
        <f>IFS(
  B940&lt;55,
    MAX(
      Y939 + IF(MONTH(A940)=12, P940+V940, 0) + H940 - L940
      + MAX(0,
          IF(AA939 &gt;= VLOOKUP(YEAR(A940), Lookup!$Q:$R, 2),
            Z939 + IF(MONTH(A940)=12, Q940+W940, 0) + I940
              + AA939 + IF(MONTH(A940)=12, R940+X940, 0)
              - VLOOKUP(YEAR(A940), Lookup!$Q:$R, 2) + J940,
            Z939 + IF(MONTH(A940)=12, Q940+W940, 0) + I940
          ) - VLOOKUP(YEAR(A940), Lookup!$K:$M, 3)
        ),
    0),
  B940=55,
    IF(Z939&gt;=AD940,
      MAX(Y939 + IF(MONTH(A940)=12, P940+V940, 0) + H940 - L940, 0),
      MAX(MAX(0, Y939-(AD940-Z939)) + IF(MONTH(A940)=12, P940+V940, 0) + H940 - L940, 0)
    ),
  B940&gt;55,
    IF(AB939&gt;=$AH$7,
      MAX(Y939 + IF(MONTH(A940)=12, P940+V940, 0) + H940 - L940 + K940 + Z939, 0),
      MAX(Y939 + IF(MONTH(A940)=12, P940+V940, 0) + H940 - L940, 0)
    )
)</f>
        <v>2657673.757</v>
      </c>
      <c r="Z940" s="65">
        <f>IFS(
  B940&lt;55,
    MIN(
      IF(AA939 &gt;= VLOOKUP(YEAR(A940), Lookup!$Q:$R, 2),
        Z939 + IF(MONTH(A940)=12, Q940+W940, 0) + I940
          + AA939 + IF(MONTH(A940)=12, R940+X940, 0) - VLOOKUP(YEAR(A940), Lookup!$Q:$R, 2) + J940,
        Z939 + IF(MONTH(A940)=12, Q940+W940, 0) + I940
      ),
      VLOOKUP(YEAR(A940), Lookup!$K:$M, 3)
    ),
  B940=55,
    IF(Z939 &gt;= AD940, Z939 - AD940, 0),
  B940&gt;55, 0
)</f>
        <v>0</v>
      </c>
      <c r="AA940" s="65">
        <f>IFS(
  B940&lt;65,
    IF(AA939+J940 &lt; VLOOKUP(YEAR(A940), Lookup!$Q:$R, 2),
      AA939 + IF(MONTH(A940)=12, R939+X939, 0) + J940,
      MIN(
        AA939 + IF(MONTH(A940)=12, R939+X939, 0) + J940 ,
        VLOOKUP(YEAR(A940), Lookup!$Q:$R, 2)
      )
    ),
  B940&gt;=65,
    IF(AA939+J940 &lt; VLOOKUP(questions!$C$5, Lookup!$Q:$R, 2),
      AA939 + IF(MONTH(A940)=12, R939+X939, 0) + J940 ,
      MIN(
        AA939 + IF(MONTH(A940)=12, R939+X939, 0) + J940,
        VLOOKUP(questions!$C$5, Lookup!$Q:$R, 2)
      )
    )
)</f>
        <v>282111.0086</v>
      </c>
      <c r="AB940" s="65">
        <f t="shared" si="13"/>
        <v>4563498.367</v>
      </c>
      <c r="AC940" s="66">
        <f t="array" ref="AC940">IFS(B940&lt;66, XLOOKUP(year(A940),Lookup!$K$13:$K1000,Lookup!$L$13:$L1000,"missing",,1),B940&gt;65,XLOOKUP(questions!$C$5,Lookup!$K$13:$K1000,Lookup!$L$13:$L1000,"missing",,1))</f>
        <v>393675.3633</v>
      </c>
      <c r="AD940" s="66">
        <f t="array" ref="AD940">IFS(B940&lt;66, XLOOKUP(year(A940),Lookup!$K$13:$K1000,Lookup!$M$13:$M1000,"missing",,1),B940&gt;65, XLOOKUP(questions!$C$5,Lookup!$K$13:$K1000,Lookup!$M$13:$M1000,"missing",,1))</f>
        <v>787350.7266</v>
      </c>
      <c r="AE940" s="66">
        <f t="array" ref="AE940">IFS(B940&lt;66, XLOOKUP(year(A940),Lookup!$K$13:$K1000,Lookup!$N$13:$N1000,"missing",,1),B940&gt;65,XLOOKUP(questions!$C$5,Lookup!$K$13:$K1000,Lookup!$N$13:$N1000,"missing",,1))</f>
        <v>1574701.453</v>
      </c>
      <c r="AF940" s="37"/>
      <c r="AG940" s="37"/>
      <c r="AH940" s="37"/>
      <c r="AI940" s="37"/>
      <c r="AJ940" s="37"/>
      <c r="AK940" s="37"/>
      <c r="AL940" s="37"/>
      <c r="AM940" s="37"/>
      <c r="AN940" s="37"/>
      <c r="AO940" s="37"/>
      <c r="AP940" s="37"/>
      <c r="AQ940" s="37"/>
    </row>
    <row r="941">
      <c r="A941" s="55">
        <f t="shared" si="7"/>
        <v>74662</v>
      </c>
      <c r="B941" s="56">
        <f>round(YEARFRAC(EOMONTH(questions!$C$3, 0),A941,1),2)</f>
        <v>105.5</v>
      </c>
      <c r="C941" s="58">
        <f>IF(B941&lt;questions!$C$6,if(MONTH(A941)=1,C940*(1+questions!$C$12),C940),0)</f>
        <v>0</v>
      </c>
      <c r="D941" s="58">
        <f>IF(MONTH(A941)=12,C941*questions!$C$11,0)</f>
        <v>0</v>
      </c>
      <c r="E941" s="71">
        <f t="shared" si="2"/>
        <v>0</v>
      </c>
      <c r="F941" s="71">
        <f t="shared" si="3"/>
        <v>0</v>
      </c>
      <c r="G941" s="61">
        <f t="array" ref="G941">if(YEAR(A941)=2025,XLOOKUP(B941,Lookup!$A$3:$A$7,Lookup!$D$3:$D$7,,1)*SUM(E941:F941), XLOOKUP(B941,Lookup!$A$14:$A$18,Lookup!$D$14:$D$18,,1)*SUM(E941:F941))</f>
        <v>0</v>
      </c>
      <c r="H941" s="61">
        <f t="array" ref="H941">if(YEAR(A941)=2025,XLOOKUP(B941,Lookup!$F$3:$F$10,Lookup!$G$3:$G$10,,1)*G941, XLOOKUP(B941,Lookup!$F$14:$F$21,Lookup!$G$14:$G$21,,1)*G941)</f>
        <v>0</v>
      </c>
      <c r="I941" s="61">
        <f t="array" ref="I941">if(B941&lt;55, if(YEAR(A941)=2025,XLOOKUP(B941,Lookup!$F$3:$F$10,Lookup!$H$3:$H$10,,1)*G941, XLOOKUP(B941,Lookup!$F$14:$F$21,Lookup!$H$14:$H$21,,1)*G941),0)</f>
        <v>0</v>
      </c>
      <c r="J941" s="61">
        <f t="array" ref="J941">if(YEAR(A941)=2025,XLOOKUP(B941,Lookup!$F$3:$F$10,Lookup!$I$3:$I$10,,1)*G941, XLOOKUP(B941,Lookup!$F$14:$F$21,Lookup!$I$14:$I$21,,1)*G941)</f>
        <v>0</v>
      </c>
      <c r="K941" s="61">
        <f t="array" ref="K941">if(B941&gt;54, if(YEAR(A941)=2025,XLOOKUP(B941,Lookup!$F$3:$F$10,Lookup!$H$3:$H$10,,1)*G941, XLOOKUP(B941,Lookup!$F$14:$F$21,Lookup!$H$14:$H$21,,1)*G941),0)</f>
        <v>0</v>
      </c>
      <c r="L941" s="62">
        <f>IF(and(A941&lt;questions!$C$19,questions!$C$18="yes"),questions!$C$20,0)</f>
        <v>0</v>
      </c>
      <c r="M941" s="63">
        <f>(Y940+H941)*Lookup!A$26/12</f>
        <v>5536.820328</v>
      </c>
      <c r="N941" s="63">
        <f>if(B941&lt;55, (Z940+I941)*Lookup!B$26/12, (AB940+K941)*Lookup!B$26/12)</f>
        <v>15211.66122</v>
      </c>
      <c r="O941" s="63">
        <f>(AA940+J941)*Lookup!C$26/12</f>
        <v>940.3700287</v>
      </c>
      <c r="P941" s="63">
        <f t="shared" si="8"/>
        <v>27684.10164</v>
      </c>
      <c r="Q941" s="63">
        <f t="shared" si="4"/>
        <v>76058.30611</v>
      </c>
      <c r="R941" s="63">
        <f t="shared" si="5"/>
        <v>4701.850143</v>
      </c>
      <c r="S941" s="64">
        <f t="shared" si="9"/>
        <v>33.33333333</v>
      </c>
      <c r="T941" s="64">
        <f t="shared" si="10"/>
        <v>41.66666667</v>
      </c>
      <c r="U941" s="64">
        <f t="shared" si="11"/>
        <v>0</v>
      </c>
      <c r="V941" s="64">
        <f t="shared" ref="V941:X941" si="949">IF(year($A941)=year($A940), V940+S941, S941)</f>
        <v>166.6666667</v>
      </c>
      <c r="W941" s="64">
        <f t="shared" si="949"/>
        <v>208.3333333</v>
      </c>
      <c r="X941" s="64">
        <f t="shared" si="949"/>
        <v>0</v>
      </c>
      <c r="Y941" s="65">
        <f>IFS(
  B941&lt;55,
    MAX(
      Y940 + IF(MONTH(A941)=12, P941+V941, 0) + H941 - L941
      + MAX(0,
          IF(AA940 &gt;= VLOOKUP(YEAR(A941), Lookup!$Q:$R, 2),
            Z940 + IF(MONTH(A941)=12, Q941+W941, 0) + I941
              + AA940 + IF(MONTH(A941)=12, R941+X941, 0)
              - VLOOKUP(YEAR(A941), Lookup!$Q:$R, 2) + J941,
            Z940 + IF(MONTH(A941)=12, Q941+W941, 0) + I941
          ) - VLOOKUP(YEAR(A941), Lookup!$K:$M, 3)
        ),
    0),
  B941=55,
    IF(Z940&gt;=AD941,
      MAX(Y940 + IF(MONTH(A941)=12, P941+V941, 0) + H941 - L941, 0),
      MAX(MAX(0, Y940-(AD941-Z940)) + IF(MONTH(A941)=12, P941+V941, 0) + H941 - L941, 0)
    ),
  B941&gt;55,
    IF(AB940&gt;=$AH$7,
      MAX(Y940 + IF(MONTH(A941)=12, P941+V941, 0) + H941 - L941 + K941 + Z940, 0),
      MAX(Y940 + IF(MONTH(A941)=12, P941+V941, 0) + H941 - L941, 0)
    )
)</f>
        <v>2657673.757</v>
      </c>
      <c r="Z941" s="65">
        <f>IFS(
  B941&lt;55,
    MIN(
      IF(AA940 &gt;= VLOOKUP(YEAR(A941), Lookup!$Q:$R, 2),
        Z940 + IF(MONTH(A941)=12, Q941+W941, 0) + I941
          + AA940 + IF(MONTH(A941)=12, R941+X941, 0) - VLOOKUP(YEAR(A941), Lookup!$Q:$R, 2) + J941,
        Z940 + IF(MONTH(A941)=12, Q941+W941, 0) + I941
      ),
      VLOOKUP(YEAR(A941), Lookup!$K:$M, 3)
    ),
  B941=55,
    IF(Z940 &gt;= AD941, Z940 - AD941, 0),
  B941&gt;55, 0
)</f>
        <v>0</v>
      </c>
      <c r="AA941" s="65">
        <f>IFS(
  B941&lt;65,
    IF(AA940+J941 &lt; VLOOKUP(YEAR(A941), Lookup!$Q:$R, 2),
      AA940 + IF(MONTH(A941)=12, R940+X940, 0) + J941,
      MIN(
        AA940 + IF(MONTH(A941)=12, R940+X940, 0) + J941 ,
        VLOOKUP(YEAR(A941), Lookup!$Q:$R, 2)
      )
    ),
  B941&gt;=65,
    IF(AA940+J941 &lt; VLOOKUP(questions!$C$5, Lookup!$Q:$R, 2),
      AA940 + IF(MONTH(A941)=12, R940+X940, 0) + J941 ,
      MIN(
        AA940 + IF(MONTH(A941)=12, R940+X940, 0) + J941,
        VLOOKUP(questions!$C$5, Lookup!$Q:$R, 2)
      )
    )
)</f>
        <v>282111.0086</v>
      </c>
      <c r="AB941" s="65">
        <f t="shared" si="13"/>
        <v>4563498.367</v>
      </c>
      <c r="AC941" s="66">
        <f t="array" ref="AC941">IFS(B941&lt;66, XLOOKUP(year(A941),Lookup!$K$13:$K1000,Lookup!$L$13:$L1000,"missing",,1),B941&gt;65,XLOOKUP(questions!$C$5,Lookup!$K$13:$K1000,Lookup!$L$13:$L1000,"missing",,1))</f>
        <v>393675.3633</v>
      </c>
      <c r="AD941" s="66">
        <f t="array" ref="AD941">IFS(B941&lt;66, XLOOKUP(year(A941),Lookup!$K$13:$K1000,Lookup!$M$13:$M1000,"missing",,1),B941&gt;65, XLOOKUP(questions!$C$5,Lookup!$K$13:$K1000,Lookup!$M$13:$M1000,"missing",,1))</f>
        <v>787350.7266</v>
      </c>
      <c r="AE941" s="66">
        <f t="array" ref="AE941">IFS(B941&lt;66, XLOOKUP(year(A941),Lookup!$K$13:$K1000,Lookup!$N$13:$N1000,"missing",,1),B941&gt;65,XLOOKUP(questions!$C$5,Lookup!$K$13:$K1000,Lookup!$N$13:$N1000,"missing",,1))</f>
        <v>1574701.453</v>
      </c>
      <c r="AF941" s="37"/>
      <c r="AG941" s="37"/>
      <c r="AH941" s="37"/>
      <c r="AI941" s="37"/>
      <c r="AJ941" s="37"/>
      <c r="AK941" s="37"/>
      <c r="AL941" s="37"/>
      <c r="AM941" s="37"/>
      <c r="AN941" s="37"/>
      <c r="AO941" s="37"/>
      <c r="AP941" s="37"/>
      <c r="AQ941" s="37"/>
    </row>
    <row r="942">
      <c r="A942" s="55">
        <f t="shared" si="7"/>
        <v>74692</v>
      </c>
      <c r="B942" s="56">
        <f>round(YEARFRAC(EOMONTH(questions!$C$3, 0),A942,1),2)</f>
        <v>105.58</v>
      </c>
      <c r="C942" s="58">
        <f>IF(B942&lt;questions!$C$6,if(MONTH(A942)=1,C941*(1+questions!$C$12),C941),0)</f>
        <v>0</v>
      </c>
      <c r="D942" s="58">
        <f>IF(MONTH(A942)=12,C942*questions!$C$11,0)</f>
        <v>0</v>
      </c>
      <c r="E942" s="71">
        <f t="shared" si="2"/>
        <v>0</v>
      </c>
      <c r="F942" s="71">
        <f t="shared" si="3"/>
        <v>0</v>
      </c>
      <c r="G942" s="61">
        <f t="array" ref="G942">if(YEAR(A942)=2025,XLOOKUP(B942,Lookup!$A$3:$A$7,Lookup!$D$3:$D$7,,1)*SUM(E942:F942), XLOOKUP(B942,Lookup!$A$14:$A$18,Lookup!$D$14:$D$18,,1)*SUM(E942:F942))</f>
        <v>0</v>
      </c>
      <c r="H942" s="61">
        <f t="array" ref="H942">if(YEAR(A942)=2025,XLOOKUP(B942,Lookup!$F$3:$F$10,Lookup!$G$3:$G$10,,1)*G942, XLOOKUP(B942,Lookup!$F$14:$F$21,Lookup!$G$14:$G$21,,1)*G942)</f>
        <v>0</v>
      </c>
      <c r="I942" s="61">
        <f t="array" ref="I942">if(B942&lt;55, if(YEAR(A942)=2025,XLOOKUP(B942,Lookup!$F$3:$F$10,Lookup!$H$3:$H$10,,1)*G942, XLOOKUP(B942,Lookup!$F$14:$F$21,Lookup!$H$14:$H$21,,1)*G942),0)</f>
        <v>0</v>
      </c>
      <c r="J942" s="61">
        <f t="array" ref="J942">if(YEAR(A942)=2025,XLOOKUP(B942,Lookup!$F$3:$F$10,Lookup!$I$3:$I$10,,1)*G942, XLOOKUP(B942,Lookup!$F$14:$F$21,Lookup!$I$14:$I$21,,1)*G942)</f>
        <v>0</v>
      </c>
      <c r="K942" s="61">
        <f t="array" ref="K942">if(B942&gt;54, if(YEAR(A942)=2025,XLOOKUP(B942,Lookup!$F$3:$F$10,Lookup!$H$3:$H$10,,1)*G942, XLOOKUP(B942,Lookup!$F$14:$F$21,Lookup!$H$14:$H$21,,1)*G942),0)</f>
        <v>0</v>
      </c>
      <c r="L942" s="62">
        <f>IF(and(A942&lt;questions!$C$19,questions!$C$18="yes"),questions!$C$20,0)</f>
        <v>0</v>
      </c>
      <c r="M942" s="63">
        <f>(Y941+H942)*Lookup!A$26/12</f>
        <v>5536.820328</v>
      </c>
      <c r="N942" s="63">
        <f>if(B942&lt;55, (Z941+I942)*Lookup!B$26/12, (AB941+K942)*Lookup!B$26/12)</f>
        <v>15211.66122</v>
      </c>
      <c r="O942" s="63">
        <f>(AA941+J942)*Lookup!C$26/12</f>
        <v>940.3700287</v>
      </c>
      <c r="P942" s="63">
        <f t="shared" si="8"/>
        <v>33220.92197</v>
      </c>
      <c r="Q942" s="63">
        <f t="shared" si="4"/>
        <v>91269.96733</v>
      </c>
      <c r="R942" s="63">
        <f t="shared" si="5"/>
        <v>5642.220172</v>
      </c>
      <c r="S942" s="64">
        <f t="shared" si="9"/>
        <v>33.33333333</v>
      </c>
      <c r="T942" s="64">
        <f t="shared" si="10"/>
        <v>41.66666667</v>
      </c>
      <c r="U942" s="64">
        <f t="shared" si="11"/>
        <v>0</v>
      </c>
      <c r="V942" s="64">
        <f t="shared" ref="V942:X942" si="950">IF(year($A942)=year($A941), V941+S942, S942)</f>
        <v>200</v>
      </c>
      <c r="W942" s="64">
        <f t="shared" si="950"/>
        <v>250</v>
      </c>
      <c r="X942" s="64">
        <f t="shared" si="950"/>
        <v>0</v>
      </c>
      <c r="Y942" s="65">
        <f>IFS(
  B942&lt;55,
    MAX(
      Y941 + IF(MONTH(A942)=12, P942+V942, 0) + H942 - L942
      + MAX(0,
          IF(AA941 &gt;= VLOOKUP(YEAR(A942), Lookup!$Q:$R, 2),
            Z941 + IF(MONTH(A942)=12, Q942+W942, 0) + I942
              + AA941 + IF(MONTH(A942)=12, R942+X942, 0)
              - VLOOKUP(YEAR(A942), Lookup!$Q:$R, 2) + J942,
            Z941 + IF(MONTH(A942)=12, Q942+W942, 0) + I942
          ) - VLOOKUP(YEAR(A942), Lookup!$K:$M, 3)
        ),
    0),
  B942=55,
    IF(Z941&gt;=AD942,
      MAX(Y941 + IF(MONTH(A942)=12, P942+V942, 0) + H942 - L942, 0),
      MAX(MAX(0, Y941-(AD942-Z941)) + IF(MONTH(A942)=12, P942+V942, 0) + H942 - L942, 0)
    ),
  B942&gt;55,
    IF(AB941&gt;=$AH$7,
      MAX(Y941 + IF(MONTH(A942)=12, P942+V942, 0) + H942 - L942 + K942 + Z941, 0),
      MAX(Y941 + IF(MONTH(A942)=12, P942+V942, 0) + H942 - L942, 0)
    )
)</f>
        <v>2657673.757</v>
      </c>
      <c r="Z942" s="65">
        <f>IFS(
  B942&lt;55,
    MIN(
      IF(AA941 &gt;= VLOOKUP(YEAR(A942), Lookup!$Q:$R, 2),
        Z941 + IF(MONTH(A942)=12, Q942+W942, 0) + I942
          + AA941 + IF(MONTH(A942)=12, R942+X942, 0) - VLOOKUP(YEAR(A942), Lookup!$Q:$R, 2) + J942,
        Z941 + IF(MONTH(A942)=12, Q942+W942, 0) + I942
      ),
      VLOOKUP(YEAR(A942), Lookup!$K:$M, 3)
    ),
  B942=55,
    IF(Z941 &gt;= AD942, Z941 - AD942, 0),
  B942&gt;55, 0
)</f>
        <v>0</v>
      </c>
      <c r="AA942" s="65">
        <f>IFS(
  B942&lt;65,
    IF(AA941+J942 &lt; VLOOKUP(YEAR(A942), Lookup!$Q:$R, 2),
      AA941 + IF(MONTH(A942)=12, R941+X941, 0) + J942,
      MIN(
        AA941 + IF(MONTH(A942)=12, R941+X941, 0) + J942 ,
        VLOOKUP(YEAR(A942), Lookup!$Q:$R, 2)
      )
    ),
  B942&gt;=65,
    IF(AA941+J942 &lt; VLOOKUP(questions!$C$5, Lookup!$Q:$R, 2),
      AA941 + IF(MONTH(A942)=12, R941+X941, 0) + J942 ,
      MIN(
        AA941 + IF(MONTH(A942)=12, R941+X941, 0) + J942,
        VLOOKUP(questions!$C$5, Lookup!$Q:$R, 2)
      )
    )
)</f>
        <v>282111.0086</v>
      </c>
      <c r="AB942" s="65">
        <f t="shared" si="13"/>
        <v>4563498.367</v>
      </c>
      <c r="AC942" s="66">
        <f t="array" ref="AC942">IFS(B942&lt;66, XLOOKUP(year(A942),Lookup!$K$13:$K1000,Lookup!$L$13:$L1000,"missing",,1),B942&gt;65,XLOOKUP(questions!$C$5,Lookup!$K$13:$K1000,Lookup!$L$13:$L1000,"missing",,1))</f>
        <v>393675.3633</v>
      </c>
      <c r="AD942" s="66">
        <f t="array" ref="AD942">IFS(B942&lt;66, XLOOKUP(year(A942),Lookup!$K$13:$K1000,Lookup!$M$13:$M1000,"missing",,1),B942&gt;65, XLOOKUP(questions!$C$5,Lookup!$K$13:$K1000,Lookup!$M$13:$M1000,"missing",,1))</f>
        <v>787350.7266</v>
      </c>
      <c r="AE942" s="66">
        <f t="array" ref="AE942">IFS(B942&lt;66, XLOOKUP(year(A942),Lookup!$K$13:$K1000,Lookup!$N$13:$N1000,"missing",,1),B942&gt;65,XLOOKUP(questions!$C$5,Lookup!$K$13:$K1000,Lookup!$N$13:$N1000,"missing",,1))</f>
        <v>1574701.453</v>
      </c>
      <c r="AF942" s="37"/>
      <c r="AG942" s="37"/>
      <c r="AH942" s="37"/>
      <c r="AI942" s="37"/>
      <c r="AJ942" s="37"/>
      <c r="AK942" s="37"/>
      <c r="AL942" s="37"/>
      <c r="AM942" s="37"/>
      <c r="AN942" s="37"/>
      <c r="AO942" s="37"/>
      <c r="AP942" s="37"/>
      <c r="AQ942" s="37"/>
    </row>
    <row r="943">
      <c r="A943" s="55">
        <f t="shared" si="7"/>
        <v>74723</v>
      </c>
      <c r="B943" s="56">
        <f>round(YEARFRAC(EOMONTH(questions!$C$3, 0),A943,1),2)</f>
        <v>105.67</v>
      </c>
      <c r="C943" s="58">
        <f>IF(B943&lt;questions!$C$6,if(MONTH(A943)=1,C942*(1+questions!$C$12),C942),0)</f>
        <v>0</v>
      </c>
      <c r="D943" s="58">
        <f>IF(MONTH(A943)=12,C943*questions!$C$11,0)</f>
        <v>0</v>
      </c>
      <c r="E943" s="71">
        <f t="shared" si="2"/>
        <v>0</v>
      </c>
      <c r="F943" s="71">
        <f t="shared" si="3"/>
        <v>0</v>
      </c>
      <c r="G943" s="61">
        <f t="array" ref="G943">if(YEAR(A943)=2025,XLOOKUP(B943,Lookup!$A$3:$A$7,Lookup!$D$3:$D$7,,1)*SUM(E943:F943), XLOOKUP(B943,Lookup!$A$14:$A$18,Lookup!$D$14:$D$18,,1)*SUM(E943:F943))</f>
        <v>0</v>
      </c>
      <c r="H943" s="61">
        <f t="array" ref="H943">if(YEAR(A943)=2025,XLOOKUP(B943,Lookup!$F$3:$F$10,Lookup!$G$3:$G$10,,1)*G943, XLOOKUP(B943,Lookup!$F$14:$F$21,Lookup!$G$14:$G$21,,1)*G943)</f>
        <v>0</v>
      </c>
      <c r="I943" s="61">
        <f t="array" ref="I943">if(B943&lt;55, if(YEAR(A943)=2025,XLOOKUP(B943,Lookup!$F$3:$F$10,Lookup!$H$3:$H$10,,1)*G943, XLOOKUP(B943,Lookup!$F$14:$F$21,Lookup!$H$14:$H$21,,1)*G943),0)</f>
        <v>0</v>
      </c>
      <c r="J943" s="61">
        <f t="array" ref="J943">if(YEAR(A943)=2025,XLOOKUP(B943,Lookup!$F$3:$F$10,Lookup!$I$3:$I$10,,1)*G943, XLOOKUP(B943,Lookup!$F$14:$F$21,Lookup!$I$14:$I$21,,1)*G943)</f>
        <v>0</v>
      </c>
      <c r="K943" s="61">
        <f t="array" ref="K943">if(B943&gt;54, if(YEAR(A943)=2025,XLOOKUP(B943,Lookup!$F$3:$F$10,Lookup!$H$3:$H$10,,1)*G943, XLOOKUP(B943,Lookup!$F$14:$F$21,Lookup!$H$14:$H$21,,1)*G943),0)</f>
        <v>0</v>
      </c>
      <c r="L943" s="62">
        <f>IF(and(A943&lt;questions!$C$19,questions!$C$18="yes"),questions!$C$20,0)</f>
        <v>0</v>
      </c>
      <c r="M943" s="63">
        <f>(Y942+H943)*Lookup!A$26/12</f>
        <v>5536.820328</v>
      </c>
      <c r="N943" s="63">
        <f>if(B943&lt;55, (Z942+I943)*Lookup!B$26/12, (AB942+K943)*Lookup!B$26/12)</f>
        <v>15211.66122</v>
      </c>
      <c r="O943" s="63">
        <f>(AA942+J943)*Lookup!C$26/12</f>
        <v>940.3700287</v>
      </c>
      <c r="P943" s="63">
        <f t="shared" si="8"/>
        <v>38757.74229</v>
      </c>
      <c r="Q943" s="63">
        <f t="shared" si="4"/>
        <v>106481.6286</v>
      </c>
      <c r="R943" s="63">
        <f t="shared" si="5"/>
        <v>6582.590201</v>
      </c>
      <c r="S943" s="64">
        <f t="shared" si="9"/>
        <v>33.33333333</v>
      </c>
      <c r="T943" s="64">
        <f t="shared" si="10"/>
        <v>41.66666667</v>
      </c>
      <c r="U943" s="64">
        <f t="shared" si="11"/>
        <v>0</v>
      </c>
      <c r="V943" s="64">
        <f t="shared" ref="V943:X943" si="951">IF(year($A943)=year($A942), V942+S943, S943)</f>
        <v>233.3333333</v>
      </c>
      <c r="W943" s="64">
        <f t="shared" si="951"/>
        <v>291.6666667</v>
      </c>
      <c r="X943" s="64">
        <f t="shared" si="951"/>
        <v>0</v>
      </c>
      <c r="Y943" s="65">
        <f>IFS(
  B943&lt;55,
    MAX(
      Y942 + IF(MONTH(A943)=12, P943+V943, 0) + H943 - L943
      + MAX(0,
          IF(AA942 &gt;= VLOOKUP(YEAR(A943), Lookup!$Q:$R, 2),
            Z942 + IF(MONTH(A943)=12, Q943+W943, 0) + I943
              + AA942 + IF(MONTH(A943)=12, R943+X943, 0)
              - VLOOKUP(YEAR(A943), Lookup!$Q:$R, 2) + J943,
            Z942 + IF(MONTH(A943)=12, Q943+W943, 0) + I943
          ) - VLOOKUP(YEAR(A943), Lookup!$K:$M, 3)
        ),
    0),
  B943=55,
    IF(Z942&gt;=AD943,
      MAX(Y942 + IF(MONTH(A943)=12, P943+V943, 0) + H943 - L943, 0),
      MAX(MAX(0, Y942-(AD943-Z942)) + IF(MONTH(A943)=12, P943+V943, 0) + H943 - L943, 0)
    ),
  B943&gt;55,
    IF(AB942&gt;=$AH$7,
      MAX(Y942 + IF(MONTH(A943)=12, P943+V943, 0) + H943 - L943 + K943 + Z942, 0),
      MAX(Y942 + IF(MONTH(A943)=12, P943+V943, 0) + H943 - L943, 0)
    )
)</f>
        <v>2657673.757</v>
      </c>
      <c r="Z943" s="65">
        <f>IFS(
  B943&lt;55,
    MIN(
      IF(AA942 &gt;= VLOOKUP(YEAR(A943), Lookup!$Q:$R, 2),
        Z942 + IF(MONTH(A943)=12, Q943+W943, 0) + I943
          + AA942 + IF(MONTH(A943)=12, R943+X943, 0) - VLOOKUP(YEAR(A943), Lookup!$Q:$R, 2) + J943,
        Z942 + IF(MONTH(A943)=12, Q943+W943, 0) + I943
      ),
      VLOOKUP(YEAR(A943), Lookup!$K:$M, 3)
    ),
  B943=55,
    IF(Z942 &gt;= AD943, Z942 - AD943, 0),
  B943&gt;55, 0
)</f>
        <v>0</v>
      </c>
      <c r="AA943" s="65">
        <f>IFS(
  B943&lt;65,
    IF(AA942+J943 &lt; VLOOKUP(YEAR(A943), Lookup!$Q:$R, 2),
      AA942 + IF(MONTH(A943)=12, R942+X942, 0) + J943,
      MIN(
        AA942 + IF(MONTH(A943)=12, R942+X942, 0) + J943 ,
        VLOOKUP(YEAR(A943), Lookup!$Q:$R, 2)
      )
    ),
  B943&gt;=65,
    IF(AA942+J943 &lt; VLOOKUP(questions!$C$5, Lookup!$Q:$R, 2),
      AA942 + IF(MONTH(A943)=12, R942+X942, 0) + J943 ,
      MIN(
        AA942 + IF(MONTH(A943)=12, R942+X942, 0) + J943,
        VLOOKUP(questions!$C$5, Lookup!$Q:$R, 2)
      )
    )
)</f>
        <v>282111.0086</v>
      </c>
      <c r="AB943" s="65">
        <f t="shared" si="13"/>
        <v>4563498.367</v>
      </c>
      <c r="AC943" s="66">
        <f t="array" ref="AC943">IFS(B943&lt;66, XLOOKUP(year(A943),Lookup!$K$13:$K1000,Lookup!$L$13:$L1000,"missing",,1),B943&gt;65,XLOOKUP(questions!$C$5,Lookup!$K$13:$K1000,Lookup!$L$13:$L1000,"missing",,1))</f>
        <v>393675.3633</v>
      </c>
      <c r="AD943" s="66">
        <f t="array" ref="AD943">IFS(B943&lt;66, XLOOKUP(year(A943),Lookup!$K$13:$K1000,Lookup!$M$13:$M1000,"missing",,1),B943&gt;65, XLOOKUP(questions!$C$5,Lookup!$K$13:$K1000,Lookup!$M$13:$M1000,"missing",,1))</f>
        <v>787350.7266</v>
      </c>
      <c r="AE943" s="66">
        <f t="array" ref="AE943">IFS(B943&lt;66, XLOOKUP(year(A943),Lookup!$K$13:$K1000,Lookup!$N$13:$N1000,"missing",,1),B943&gt;65,XLOOKUP(questions!$C$5,Lookup!$K$13:$K1000,Lookup!$N$13:$N1000,"missing",,1))</f>
        <v>1574701.453</v>
      </c>
      <c r="AF943" s="37"/>
      <c r="AG943" s="37"/>
      <c r="AH943" s="37"/>
      <c r="AI943" s="37"/>
      <c r="AJ943" s="37"/>
      <c r="AK943" s="37"/>
      <c r="AL943" s="37"/>
      <c r="AM943" s="37"/>
      <c r="AN943" s="37"/>
      <c r="AO943" s="37"/>
      <c r="AP943" s="37"/>
      <c r="AQ943" s="37"/>
    </row>
    <row r="944">
      <c r="A944" s="55">
        <f t="shared" si="7"/>
        <v>74754</v>
      </c>
      <c r="B944" s="56">
        <f>round(YEARFRAC(EOMONTH(questions!$C$3, 0),A944,1),2)</f>
        <v>105.75</v>
      </c>
      <c r="C944" s="58">
        <f>IF(B944&lt;questions!$C$6,if(MONTH(A944)=1,C943*(1+questions!$C$12),C943),0)</f>
        <v>0</v>
      </c>
      <c r="D944" s="58">
        <f>IF(MONTH(A944)=12,C944*questions!$C$11,0)</f>
        <v>0</v>
      </c>
      <c r="E944" s="71">
        <f t="shared" si="2"/>
        <v>0</v>
      </c>
      <c r="F944" s="71">
        <f t="shared" si="3"/>
        <v>0</v>
      </c>
      <c r="G944" s="61">
        <f t="array" ref="G944">if(YEAR(A944)=2025,XLOOKUP(B944,Lookup!$A$3:$A$7,Lookup!$D$3:$D$7,,1)*SUM(E944:F944), XLOOKUP(B944,Lookup!$A$14:$A$18,Lookup!$D$14:$D$18,,1)*SUM(E944:F944))</f>
        <v>0</v>
      </c>
      <c r="H944" s="61">
        <f t="array" ref="H944">if(YEAR(A944)=2025,XLOOKUP(B944,Lookup!$F$3:$F$10,Lookup!$G$3:$G$10,,1)*G944, XLOOKUP(B944,Lookup!$F$14:$F$21,Lookup!$G$14:$G$21,,1)*G944)</f>
        <v>0</v>
      </c>
      <c r="I944" s="61">
        <f t="array" ref="I944">if(B944&lt;55, if(YEAR(A944)=2025,XLOOKUP(B944,Lookup!$F$3:$F$10,Lookup!$H$3:$H$10,,1)*G944, XLOOKUP(B944,Lookup!$F$14:$F$21,Lookup!$H$14:$H$21,,1)*G944),0)</f>
        <v>0</v>
      </c>
      <c r="J944" s="61">
        <f t="array" ref="J944">if(YEAR(A944)=2025,XLOOKUP(B944,Lookup!$F$3:$F$10,Lookup!$I$3:$I$10,,1)*G944, XLOOKUP(B944,Lookup!$F$14:$F$21,Lookup!$I$14:$I$21,,1)*G944)</f>
        <v>0</v>
      </c>
      <c r="K944" s="61">
        <f t="array" ref="K944">if(B944&gt;54, if(YEAR(A944)=2025,XLOOKUP(B944,Lookup!$F$3:$F$10,Lookup!$H$3:$H$10,,1)*G944, XLOOKUP(B944,Lookup!$F$14:$F$21,Lookup!$H$14:$H$21,,1)*G944),0)</f>
        <v>0</v>
      </c>
      <c r="L944" s="62">
        <f>IF(and(A944&lt;questions!$C$19,questions!$C$18="yes"),questions!$C$20,0)</f>
        <v>0</v>
      </c>
      <c r="M944" s="63">
        <f>(Y943+H944)*Lookup!A$26/12</f>
        <v>5536.820328</v>
      </c>
      <c r="N944" s="63">
        <f>if(B944&lt;55, (Z943+I944)*Lookup!B$26/12, (AB943+K944)*Lookup!B$26/12)</f>
        <v>15211.66122</v>
      </c>
      <c r="O944" s="63">
        <f>(AA943+J944)*Lookup!C$26/12</f>
        <v>940.3700287</v>
      </c>
      <c r="P944" s="63">
        <f t="shared" si="8"/>
        <v>44294.56262</v>
      </c>
      <c r="Q944" s="63">
        <f t="shared" si="4"/>
        <v>121693.2898</v>
      </c>
      <c r="R944" s="63">
        <f t="shared" si="5"/>
        <v>7522.960229</v>
      </c>
      <c r="S944" s="64">
        <f t="shared" si="9"/>
        <v>33.33333333</v>
      </c>
      <c r="T944" s="64">
        <f t="shared" si="10"/>
        <v>41.66666667</v>
      </c>
      <c r="U944" s="64">
        <f t="shared" si="11"/>
        <v>0</v>
      </c>
      <c r="V944" s="64">
        <f t="shared" ref="V944:X944" si="952">IF(year($A944)=year($A943), V943+S944, S944)</f>
        <v>266.6666667</v>
      </c>
      <c r="W944" s="64">
        <f t="shared" si="952"/>
        <v>333.3333333</v>
      </c>
      <c r="X944" s="64">
        <f t="shared" si="952"/>
        <v>0</v>
      </c>
      <c r="Y944" s="65">
        <f>IFS(
  B944&lt;55,
    MAX(
      Y943 + IF(MONTH(A944)=12, P944+V944, 0) + H944 - L944
      + MAX(0,
          IF(AA943 &gt;= VLOOKUP(YEAR(A944), Lookup!$Q:$R, 2),
            Z943 + IF(MONTH(A944)=12, Q944+W944, 0) + I944
              + AA943 + IF(MONTH(A944)=12, R944+X944, 0)
              - VLOOKUP(YEAR(A944), Lookup!$Q:$R, 2) + J944,
            Z943 + IF(MONTH(A944)=12, Q944+W944, 0) + I944
          ) - VLOOKUP(YEAR(A944), Lookup!$K:$M, 3)
        ),
    0),
  B944=55,
    IF(Z943&gt;=AD944,
      MAX(Y943 + IF(MONTH(A944)=12, P944+V944, 0) + H944 - L944, 0),
      MAX(MAX(0, Y943-(AD944-Z943)) + IF(MONTH(A944)=12, P944+V944, 0) + H944 - L944, 0)
    ),
  B944&gt;55,
    IF(AB943&gt;=$AH$7,
      MAX(Y943 + IF(MONTH(A944)=12, P944+V944, 0) + H944 - L944 + K944 + Z943, 0),
      MAX(Y943 + IF(MONTH(A944)=12, P944+V944, 0) + H944 - L944, 0)
    )
)</f>
        <v>2657673.757</v>
      </c>
      <c r="Z944" s="65">
        <f>IFS(
  B944&lt;55,
    MIN(
      IF(AA943 &gt;= VLOOKUP(YEAR(A944), Lookup!$Q:$R, 2),
        Z943 + IF(MONTH(A944)=12, Q944+W944, 0) + I944
          + AA943 + IF(MONTH(A944)=12, R944+X944, 0) - VLOOKUP(YEAR(A944), Lookup!$Q:$R, 2) + J944,
        Z943 + IF(MONTH(A944)=12, Q944+W944, 0) + I944
      ),
      VLOOKUP(YEAR(A944), Lookup!$K:$M, 3)
    ),
  B944=55,
    IF(Z943 &gt;= AD944, Z943 - AD944, 0),
  B944&gt;55, 0
)</f>
        <v>0</v>
      </c>
      <c r="AA944" s="65">
        <f>IFS(
  B944&lt;65,
    IF(AA943+J944 &lt; VLOOKUP(YEAR(A944), Lookup!$Q:$R, 2),
      AA943 + IF(MONTH(A944)=12, R943+X943, 0) + J944,
      MIN(
        AA943 + IF(MONTH(A944)=12, R943+X943, 0) + J944 ,
        VLOOKUP(YEAR(A944), Lookup!$Q:$R, 2)
      )
    ),
  B944&gt;=65,
    IF(AA943+J944 &lt; VLOOKUP(questions!$C$5, Lookup!$Q:$R, 2),
      AA943 + IF(MONTH(A944)=12, R943+X943, 0) + J944 ,
      MIN(
        AA943 + IF(MONTH(A944)=12, R943+X943, 0) + J944,
        VLOOKUP(questions!$C$5, Lookup!$Q:$R, 2)
      )
    )
)</f>
        <v>282111.0086</v>
      </c>
      <c r="AB944" s="65">
        <f t="shared" si="13"/>
        <v>4563498.367</v>
      </c>
      <c r="AC944" s="66">
        <f t="array" ref="AC944">IFS(B944&lt;66, XLOOKUP(year(A944),Lookup!$K$13:$K1000,Lookup!$L$13:$L1000,"missing",,1),B944&gt;65,XLOOKUP(questions!$C$5,Lookup!$K$13:$K1000,Lookup!$L$13:$L1000,"missing",,1))</f>
        <v>393675.3633</v>
      </c>
      <c r="AD944" s="66">
        <f t="array" ref="AD944">IFS(B944&lt;66, XLOOKUP(year(A944),Lookup!$K$13:$K1000,Lookup!$M$13:$M1000,"missing",,1),B944&gt;65, XLOOKUP(questions!$C$5,Lookup!$K$13:$K1000,Lookup!$M$13:$M1000,"missing",,1))</f>
        <v>787350.7266</v>
      </c>
      <c r="AE944" s="66">
        <f t="array" ref="AE944">IFS(B944&lt;66, XLOOKUP(year(A944),Lookup!$K$13:$K1000,Lookup!$N$13:$N1000,"missing",,1),B944&gt;65,XLOOKUP(questions!$C$5,Lookup!$K$13:$K1000,Lookup!$N$13:$N1000,"missing",,1))</f>
        <v>1574701.453</v>
      </c>
      <c r="AF944" s="37"/>
      <c r="AG944" s="37"/>
      <c r="AH944" s="37"/>
      <c r="AI944" s="37"/>
      <c r="AJ944" s="37"/>
      <c r="AK944" s="37"/>
      <c r="AL944" s="37"/>
      <c r="AM944" s="37"/>
      <c r="AN944" s="37"/>
      <c r="AO944" s="37"/>
      <c r="AP944" s="37"/>
      <c r="AQ944" s="37"/>
    </row>
    <row r="945">
      <c r="A945" s="55">
        <f t="shared" si="7"/>
        <v>74784</v>
      </c>
      <c r="B945" s="56">
        <f>round(YEARFRAC(EOMONTH(questions!$C$3, 0),A945,1),2)</f>
        <v>105.83</v>
      </c>
      <c r="C945" s="58">
        <f>IF(B945&lt;questions!$C$6,if(MONTH(A945)=1,C944*(1+questions!$C$12),C944),0)</f>
        <v>0</v>
      </c>
      <c r="D945" s="58">
        <f>IF(MONTH(A945)=12,C945*questions!$C$11,0)</f>
        <v>0</v>
      </c>
      <c r="E945" s="71">
        <f t="shared" si="2"/>
        <v>0</v>
      </c>
      <c r="F945" s="71">
        <f t="shared" si="3"/>
        <v>0</v>
      </c>
      <c r="G945" s="61">
        <f t="array" ref="G945">if(YEAR(A945)=2025,XLOOKUP(B945,Lookup!$A$3:$A$7,Lookup!$D$3:$D$7,,1)*SUM(E945:F945), XLOOKUP(B945,Lookup!$A$14:$A$18,Lookup!$D$14:$D$18,,1)*SUM(E945:F945))</f>
        <v>0</v>
      </c>
      <c r="H945" s="61">
        <f t="array" ref="H945">if(YEAR(A945)=2025,XLOOKUP(B945,Lookup!$F$3:$F$10,Lookup!$G$3:$G$10,,1)*G945, XLOOKUP(B945,Lookup!$F$14:$F$21,Lookup!$G$14:$G$21,,1)*G945)</f>
        <v>0</v>
      </c>
      <c r="I945" s="61">
        <f t="array" ref="I945">if(B945&lt;55, if(YEAR(A945)=2025,XLOOKUP(B945,Lookup!$F$3:$F$10,Lookup!$H$3:$H$10,,1)*G945, XLOOKUP(B945,Lookup!$F$14:$F$21,Lookup!$H$14:$H$21,,1)*G945),0)</f>
        <v>0</v>
      </c>
      <c r="J945" s="61">
        <f t="array" ref="J945">if(YEAR(A945)=2025,XLOOKUP(B945,Lookup!$F$3:$F$10,Lookup!$I$3:$I$10,,1)*G945, XLOOKUP(B945,Lookup!$F$14:$F$21,Lookup!$I$14:$I$21,,1)*G945)</f>
        <v>0</v>
      </c>
      <c r="K945" s="61">
        <f t="array" ref="K945">if(B945&gt;54, if(YEAR(A945)=2025,XLOOKUP(B945,Lookup!$F$3:$F$10,Lookup!$H$3:$H$10,,1)*G945, XLOOKUP(B945,Lookup!$F$14:$F$21,Lookup!$H$14:$H$21,,1)*G945),0)</f>
        <v>0</v>
      </c>
      <c r="L945" s="62">
        <f>IF(and(A945&lt;questions!$C$19,questions!$C$18="yes"),questions!$C$20,0)</f>
        <v>0</v>
      </c>
      <c r="M945" s="63">
        <f>(Y944+H945)*Lookup!A$26/12</f>
        <v>5536.820328</v>
      </c>
      <c r="N945" s="63">
        <f>if(B945&lt;55, (Z944+I945)*Lookup!B$26/12, (AB944+K945)*Lookup!B$26/12)</f>
        <v>15211.66122</v>
      </c>
      <c r="O945" s="63">
        <f>(AA944+J945)*Lookup!C$26/12</f>
        <v>940.3700287</v>
      </c>
      <c r="P945" s="63">
        <f t="shared" si="8"/>
        <v>49831.38295</v>
      </c>
      <c r="Q945" s="63">
        <f t="shared" si="4"/>
        <v>136904.951</v>
      </c>
      <c r="R945" s="63">
        <f t="shared" si="5"/>
        <v>8463.330258</v>
      </c>
      <c r="S945" s="64">
        <f t="shared" si="9"/>
        <v>33.33333333</v>
      </c>
      <c r="T945" s="64">
        <f t="shared" si="10"/>
        <v>41.66666667</v>
      </c>
      <c r="U945" s="64">
        <f t="shared" si="11"/>
        <v>0</v>
      </c>
      <c r="V945" s="64">
        <f t="shared" ref="V945:X945" si="953">IF(year($A945)=year($A944), V944+S945, S945)</f>
        <v>300</v>
      </c>
      <c r="W945" s="64">
        <f t="shared" si="953"/>
        <v>375</v>
      </c>
      <c r="X945" s="64">
        <f t="shared" si="953"/>
        <v>0</v>
      </c>
      <c r="Y945" s="65">
        <f>IFS(
  B945&lt;55,
    MAX(
      Y944 + IF(MONTH(A945)=12, P945+V945, 0) + H945 - L945
      + MAX(0,
          IF(AA944 &gt;= VLOOKUP(YEAR(A945), Lookup!$Q:$R, 2),
            Z944 + IF(MONTH(A945)=12, Q945+W945, 0) + I945
              + AA944 + IF(MONTH(A945)=12, R945+X945, 0)
              - VLOOKUP(YEAR(A945), Lookup!$Q:$R, 2) + J945,
            Z944 + IF(MONTH(A945)=12, Q945+W945, 0) + I945
          ) - VLOOKUP(YEAR(A945), Lookup!$K:$M, 3)
        ),
    0),
  B945=55,
    IF(Z944&gt;=AD945,
      MAX(Y944 + IF(MONTH(A945)=12, P945+V945, 0) + H945 - L945, 0),
      MAX(MAX(0, Y944-(AD945-Z944)) + IF(MONTH(A945)=12, P945+V945, 0) + H945 - L945, 0)
    ),
  B945&gt;55,
    IF(AB944&gt;=$AH$7,
      MAX(Y944 + IF(MONTH(A945)=12, P945+V945, 0) + H945 - L945 + K945 + Z944, 0),
      MAX(Y944 + IF(MONTH(A945)=12, P945+V945, 0) + H945 - L945, 0)
    )
)</f>
        <v>2657673.757</v>
      </c>
      <c r="Z945" s="65">
        <f>IFS(
  B945&lt;55,
    MIN(
      IF(AA944 &gt;= VLOOKUP(YEAR(A945), Lookup!$Q:$R, 2),
        Z944 + IF(MONTH(A945)=12, Q945+W945, 0) + I945
          + AA944 + IF(MONTH(A945)=12, R945+X945, 0) - VLOOKUP(YEAR(A945), Lookup!$Q:$R, 2) + J945,
        Z944 + IF(MONTH(A945)=12, Q945+W945, 0) + I945
      ),
      VLOOKUP(YEAR(A945), Lookup!$K:$M, 3)
    ),
  B945=55,
    IF(Z944 &gt;= AD945, Z944 - AD945, 0),
  B945&gt;55, 0
)</f>
        <v>0</v>
      </c>
      <c r="AA945" s="65">
        <f>IFS(
  B945&lt;65,
    IF(AA944+J945 &lt; VLOOKUP(YEAR(A945), Lookup!$Q:$R, 2),
      AA944 + IF(MONTH(A945)=12, R944+X944, 0) + J945,
      MIN(
        AA944 + IF(MONTH(A945)=12, R944+X944, 0) + J945 ,
        VLOOKUP(YEAR(A945), Lookup!$Q:$R, 2)
      )
    ),
  B945&gt;=65,
    IF(AA944+J945 &lt; VLOOKUP(questions!$C$5, Lookup!$Q:$R, 2),
      AA944 + IF(MONTH(A945)=12, R944+X944, 0) + J945 ,
      MIN(
        AA944 + IF(MONTH(A945)=12, R944+X944, 0) + J945,
        VLOOKUP(questions!$C$5, Lookup!$Q:$R, 2)
      )
    )
)</f>
        <v>282111.0086</v>
      </c>
      <c r="AB945" s="65">
        <f t="shared" si="13"/>
        <v>4563498.367</v>
      </c>
      <c r="AC945" s="66">
        <f t="array" ref="AC945">IFS(B945&lt;66, XLOOKUP(year(A945),Lookup!$K$13:$K1000,Lookup!$L$13:$L1000,"missing",,1),B945&gt;65,XLOOKUP(questions!$C$5,Lookup!$K$13:$K1000,Lookup!$L$13:$L1000,"missing",,1))</f>
        <v>393675.3633</v>
      </c>
      <c r="AD945" s="66">
        <f t="array" ref="AD945">IFS(B945&lt;66, XLOOKUP(year(A945),Lookup!$K$13:$K1000,Lookup!$M$13:$M1000,"missing",,1),B945&gt;65, XLOOKUP(questions!$C$5,Lookup!$K$13:$K1000,Lookup!$M$13:$M1000,"missing",,1))</f>
        <v>787350.7266</v>
      </c>
      <c r="AE945" s="66">
        <f t="array" ref="AE945">IFS(B945&lt;66, XLOOKUP(year(A945),Lookup!$K$13:$K1000,Lookup!$N$13:$N1000,"missing",,1),B945&gt;65,XLOOKUP(questions!$C$5,Lookup!$K$13:$K1000,Lookup!$N$13:$N1000,"missing",,1))</f>
        <v>1574701.453</v>
      </c>
      <c r="AF945" s="37"/>
      <c r="AG945" s="37"/>
      <c r="AH945" s="37"/>
      <c r="AI945" s="37"/>
      <c r="AJ945" s="37"/>
      <c r="AK945" s="37"/>
      <c r="AL945" s="37"/>
      <c r="AM945" s="37"/>
      <c r="AN945" s="37"/>
      <c r="AO945" s="37"/>
      <c r="AP945" s="37"/>
      <c r="AQ945" s="37"/>
    </row>
    <row r="946">
      <c r="A946" s="55">
        <f t="shared" si="7"/>
        <v>74815</v>
      </c>
      <c r="B946" s="56">
        <f>round(YEARFRAC(EOMONTH(questions!$C$3, 0),A946,1),2)</f>
        <v>105.92</v>
      </c>
      <c r="C946" s="58">
        <f>IF(B946&lt;questions!$C$6,if(MONTH(A946)=1,C945*(1+questions!$C$12),C945),0)</f>
        <v>0</v>
      </c>
      <c r="D946" s="58">
        <f>IF(MONTH(A946)=12,C946*questions!$C$11,0)</f>
        <v>0</v>
      </c>
      <c r="E946" s="71">
        <f t="shared" si="2"/>
        <v>0</v>
      </c>
      <c r="F946" s="71">
        <f t="shared" si="3"/>
        <v>0</v>
      </c>
      <c r="G946" s="61">
        <f t="array" ref="G946">if(YEAR(A946)=2025,XLOOKUP(B946,Lookup!$A$3:$A$7,Lookup!$D$3:$D$7,,1)*SUM(E946:F946), XLOOKUP(B946,Lookup!$A$14:$A$18,Lookup!$D$14:$D$18,,1)*SUM(E946:F946))</f>
        <v>0</v>
      </c>
      <c r="H946" s="61">
        <f t="array" ref="H946">if(YEAR(A946)=2025,XLOOKUP(B946,Lookup!$F$3:$F$10,Lookup!$G$3:$G$10,,1)*G946, XLOOKUP(B946,Lookup!$F$14:$F$21,Lookup!$G$14:$G$21,,1)*G946)</f>
        <v>0</v>
      </c>
      <c r="I946" s="61">
        <f t="array" ref="I946">if(B946&lt;55, if(YEAR(A946)=2025,XLOOKUP(B946,Lookup!$F$3:$F$10,Lookup!$H$3:$H$10,,1)*G946, XLOOKUP(B946,Lookup!$F$14:$F$21,Lookup!$H$14:$H$21,,1)*G946),0)</f>
        <v>0</v>
      </c>
      <c r="J946" s="61">
        <f t="array" ref="J946">if(YEAR(A946)=2025,XLOOKUP(B946,Lookup!$F$3:$F$10,Lookup!$I$3:$I$10,,1)*G946, XLOOKUP(B946,Lookup!$F$14:$F$21,Lookup!$I$14:$I$21,,1)*G946)</f>
        <v>0</v>
      </c>
      <c r="K946" s="61">
        <f t="array" ref="K946">if(B946&gt;54, if(YEAR(A946)=2025,XLOOKUP(B946,Lookup!$F$3:$F$10,Lookup!$H$3:$H$10,,1)*G946, XLOOKUP(B946,Lookup!$F$14:$F$21,Lookup!$H$14:$H$21,,1)*G946),0)</f>
        <v>0</v>
      </c>
      <c r="L946" s="62">
        <f>IF(and(A946&lt;questions!$C$19,questions!$C$18="yes"),questions!$C$20,0)</f>
        <v>0</v>
      </c>
      <c r="M946" s="63">
        <f>(Y945+H946)*Lookup!A$26/12</f>
        <v>5536.820328</v>
      </c>
      <c r="N946" s="63">
        <f>if(B946&lt;55, (Z945+I946)*Lookup!B$26/12, (AB945+K946)*Lookup!B$26/12)</f>
        <v>15211.66122</v>
      </c>
      <c r="O946" s="63">
        <f>(AA945+J946)*Lookup!C$26/12</f>
        <v>940.3700287</v>
      </c>
      <c r="P946" s="63">
        <f t="shared" si="8"/>
        <v>55368.20328</v>
      </c>
      <c r="Q946" s="63">
        <f t="shared" si="4"/>
        <v>152116.6122</v>
      </c>
      <c r="R946" s="63">
        <f t="shared" si="5"/>
        <v>9403.700287</v>
      </c>
      <c r="S946" s="64">
        <f t="shared" si="9"/>
        <v>33.33333333</v>
      </c>
      <c r="T946" s="64">
        <f t="shared" si="10"/>
        <v>41.66666667</v>
      </c>
      <c r="U946" s="64">
        <f t="shared" si="11"/>
        <v>0</v>
      </c>
      <c r="V946" s="64">
        <f t="shared" ref="V946:X946" si="954">IF(year($A946)=year($A945), V945+S946, S946)</f>
        <v>333.3333333</v>
      </c>
      <c r="W946" s="64">
        <f t="shared" si="954"/>
        <v>416.6666667</v>
      </c>
      <c r="X946" s="64">
        <f t="shared" si="954"/>
        <v>0</v>
      </c>
      <c r="Y946" s="65">
        <f>IFS(
  B946&lt;55,
    MAX(
      Y945 + IF(MONTH(A946)=12, P946+V946, 0) + H946 - L946
      + MAX(0,
          IF(AA945 &gt;= VLOOKUP(YEAR(A946), Lookup!$Q:$R, 2),
            Z945 + IF(MONTH(A946)=12, Q946+W946, 0) + I946
              + AA945 + IF(MONTH(A946)=12, R946+X946, 0)
              - VLOOKUP(YEAR(A946), Lookup!$Q:$R, 2) + J946,
            Z945 + IF(MONTH(A946)=12, Q946+W946, 0) + I946
          ) - VLOOKUP(YEAR(A946), Lookup!$K:$M, 3)
        ),
    0),
  B946=55,
    IF(Z945&gt;=AD946,
      MAX(Y945 + IF(MONTH(A946)=12, P946+V946, 0) + H946 - L946, 0),
      MAX(MAX(0, Y945-(AD946-Z945)) + IF(MONTH(A946)=12, P946+V946, 0) + H946 - L946, 0)
    ),
  B946&gt;55,
    IF(AB945&gt;=$AH$7,
      MAX(Y945 + IF(MONTH(A946)=12, P946+V946, 0) + H946 - L946 + K946 + Z945, 0),
      MAX(Y945 + IF(MONTH(A946)=12, P946+V946, 0) + H946 - L946, 0)
    )
)</f>
        <v>2657673.757</v>
      </c>
      <c r="Z946" s="65">
        <f>IFS(
  B946&lt;55,
    MIN(
      IF(AA945 &gt;= VLOOKUP(YEAR(A946), Lookup!$Q:$R, 2),
        Z945 + IF(MONTH(A946)=12, Q946+W946, 0) + I946
          + AA945 + IF(MONTH(A946)=12, R946+X946, 0) - VLOOKUP(YEAR(A946), Lookup!$Q:$R, 2) + J946,
        Z945 + IF(MONTH(A946)=12, Q946+W946, 0) + I946
      ),
      VLOOKUP(YEAR(A946), Lookup!$K:$M, 3)
    ),
  B946=55,
    IF(Z945 &gt;= AD946, Z945 - AD946, 0),
  B946&gt;55, 0
)</f>
        <v>0</v>
      </c>
      <c r="AA946" s="65">
        <f>IFS(
  B946&lt;65,
    IF(AA945+J946 &lt; VLOOKUP(YEAR(A946), Lookup!$Q:$R, 2),
      AA945 + IF(MONTH(A946)=12, R945+X945, 0) + J946,
      MIN(
        AA945 + IF(MONTH(A946)=12, R945+X945, 0) + J946 ,
        VLOOKUP(YEAR(A946), Lookup!$Q:$R, 2)
      )
    ),
  B946&gt;=65,
    IF(AA945+J946 &lt; VLOOKUP(questions!$C$5, Lookup!$Q:$R, 2),
      AA945 + IF(MONTH(A946)=12, R945+X945, 0) + J946 ,
      MIN(
        AA945 + IF(MONTH(A946)=12, R945+X945, 0) + J946,
        VLOOKUP(questions!$C$5, Lookup!$Q:$R, 2)
      )
    )
)</f>
        <v>282111.0086</v>
      </c>
      <c r="AB946" s="65">
        <f t="shared" si="13"/>
        <v>4563498.367</v>
      </c>
      <c r="AC946" s="66">
        <f t="array" ref="AC946">IFS(B946&lt;66, XLOOKUP(year(A946),Lookup!$K$13:$K1000,Lookup!$L$13:$L1000,"missing",,1),B946&gt;65,XLOOKUP(questions!$C$5,Lookup!$K$13:$K1000,Lookup!$L$13:$L1000,"missing",,1))</f>
        <v>393675.3633</v>
      </c>
      <c r="AD946" s="66">
        <f t="array" ref="AD946">IFS(B946&lt;66, XLOOKUP(year(A946),Lookup!$K$13:$K1000,Lookup!$M$13:$M1000,"missing",,1),B946&gt;65, XLOOKUP(questions!$C$5,Lookup!$K$13:$K1000,Lookup!$M$13:$M1000,"missing",,1))</f>
        <v>787350.7266</v>
      </c>
      <c r="AE946" s="66">
        <f t="array" ref="AE946">IFS(B946&lt;66, XLOOKUP(year(A946),Lookup!$K$13:$K1000,Lookup!$N$13:$N1000,"missing",,1),B946&gt;65,XLOOKUP(questions!$C$5,Lookup!$K$13:$K1000,Lookup!$N$13:$N1000,"missing",,1))</f>
        <v>1574701.453</v>
      </c>
      <c r="AF946" s="37"/>
      <c r="AG946" s="37"/>
      <c r="AH946" s="37"/>
      <c r="AI946" s="37"/>
      <c r="AJ946" s="37"/>
      <c r="AK946" s="37"/>
      <c r="AL946" s="37"/>
      <c r="AM946" s="37"/>
      <c r="AN946" s="37"/>
      <c r="AO946" s="37"/>
      <c r="AP946" s="37"/>
      <c r="AQ946" s="37"/>
    </row>
    <row r="947">
      <c r="A947" s="55">
        <f t="shared" si="7"/>
        <v>74845</v>
      </c>
      <c r="B947" s="56">
        <f>round(YEARFRAC(EOMONTH(questions!$C$3, 0),A947,1),2)</f>
        <v>106</v>
      </c>
      <c r="C947" s="58">
        <f>IF(B947&lt;questions!$C$6,if(MONTH(A947)=1,C946*(1+questions!$C$12),C946),0)</f>
        <v>0</v>
      </c>
      <c r="D947" s="58">
        <f>IF(MONTH(A947)=12,C947*questions!$C$11,0)</f>
        <v>0</v>
      </c>
      <c r="E947" s="71">
        <f t="shared" si="2"/>
        <v>0</v>
      </c>
      <c r="F947" s="71">
        <f t="shared" si="3"/>
        <v>0</v>
      </c>
      <c r="G947" s="61">
        <f t="array" ref="G947">if(YEAR(A947)=2025,XLOOKUP(B947,Lookup!$A$3:$A$7,Lookup!$D$3:$D$7,,1)*SUM(E947:F947), XLOOKUP(B947,Lookup!$A$14:$A$18,Lookup!$D$14:$D$18,,1)*SUM(E947:F947))</f>
        <v>0</v>
      </c>
      <c r="H947" s="61">
        <f t="array" ref="H947">if(YEAR(A947)=2025,XLOOKUP(B947,Lookup!$F$3:$F$10,Lookup!$G$3:$G$10,,1)*G947, XLOOKUP(B947,Lookup!$F$14:$F$21,Lookup!$G$14:$G$21,,1)*G947)</f>
        <v>0</v>
      </c>
      <c r="I947" s="61">
        <f t="array" ref="I947">if(B947&lt;55, if(YEAR(A947)=2025,XLOOKUP(B947,Lookup!$F$3:$F$10,Lookup!$H$3:$H$10,,1)*G947, XLOOKUP(B947,Lookup!$F$14:$F$21,Lookup!$H$14:$H$21,,1)*G947),0)</f>
        <v>0</v>
      </c>
      <c r="J947" s="61">
        <f t="array" ref="J947">if(YEAR(A947)=2025,XLOOKUP(B947,Lookup!$F$3:$F$10,Lookup!$I$3:$I$10,,1)*G947, XLOOKUP(B947,Lookup!$F$14:$F$21,Lookup!$I$14:$I$21,,1)*G947)</f>
        <v>0</v>
      </c>
      <c r="K947" s="61">
        <f t="array" ref="K947">if(B947&gt;54, if(YEAR(A947)=2025,XLOOKUP(B947,Lookup!$F$3:$F$10,Lookup!$H$3:$H$10,,1)*G947, XLOOKUP(B947,Lookup!$F$14:$F$21,Lookup!$H$14:$H$21,,1)*G947),0)</f>
        <v>0</v>
      </c>
      <c r="L947" s="62">
        <f>IF(and(A947&lt;questions!$C$19,questions!$C$18="yes"),questions!$C$20,0)</f>
        <v>0</v>
      </c>
      <c r="M947" s="63">
        <f>(Y946+H947)*Lookup!A$26/12</f>
        <v>5536.820328</v>
      </c>
      <c r="N947" s="63">
        <f>if(B947&lt;55, (Z946+I947)*Lookup!B$26/12, (AB946+K947)*Lookup!B$26/12)</f>
        <v>15211.66122</v>
      </c>
      <c r="O947" s="63">
        <f>(AA946+J947)*Lookup!C$26/12</f>
        <v>940.3700287</v>
      </c>
      <c r="P947" s="63">
        <f t="shared" si="8"/>
        <v>60905.0236</v>
      </c>
      <c r="Q947" s="63">
        <f t="shared" si="4"/>
        <v>167328.2734</v>
      </c>
      <c r="R947" s="63">
        <f t="shared" si="5"/>
        <v>10344.07032</v>
      </c>
      <c r="S947" s="64">
        <f t="shared" si="9"/>
        <v>33.33333333</v>
      </c>
      <c r="T947" s="64">
        <f t="shared" si="10"/>
        <v>41.66666667</v>
      </c>
      <c r="U947" s="64">
        <f t="shared" si="11"/>
        <v>0</v>
      </c>
      <c r="V947" s="64">
        <f t="shared" ref="V947:X947" si="955">IF(year($A947)=year($A946), V946+S947, S947)</f>
        <v>366.6666667</v>
      </c>
      <c r="W947" s="64">
        <f t="shared" si="955"/>
        <v>458.3333333</v>
      </c>
      <c r="X947" s="64">
        <f t="shared" si="955"/>
        <v>0</v>
      </c>
      <c r="Y947" s="65">
        <f>IFS(
  B947&lt;55,
    MAX(
      Y946 + IF(MONTH(A947)=12, P947+V947, 0) + H947 - L947
      + MAX(0,
          IF(AA946 &gt;= VLOOKUP(YEAR(A947), Lookup!$Q:$R, 2),
            Z946 + IF(MONTH(A947)=12, Q947+W947, 0) + I947
              + AA946 + IF(MONTH(A947)=12, R947+X947, 0)
              - VLOOKUP(YEAR(A947), Lookup!$Q:$R, 2) + J947,
            Z946 + IF(MONTH(A947)=12, Q947+W947, 0) + I947
          ) - VLOOKUP(YEAR(A947), Lookup!$K:$M, 3)
        ),
    0),
  B947=55,
    IF(Z946&gt;=AD947,
      MAX(Y946 + IF(MONTH(A947)=12, P947+V947, 0) + H947 - L947, 0),
      MAX(MAX(0, Y946-(AD947-Z946)) + IF(MONTH(A947)=12, P947+V947, 0) + H947 - L947, 0)
    ),
  B947&gt;55,
    IF(AB946&gt;=$AH$7,
      MAX(Y946 + IF(MONTH(A947)=12, P947+V947, 0) + H947 - L947 + K947 + Z946, 0),
      MAX(Y946 + IF(MONTH(A947)=12, P947+V947, 0) + H947 - L947, 0)
    )
)</f>
        <v>2657673.757</v>
      </c>
      <c r="Z947" s="65">
        <f>IFS(
  B947&lt;55,
    MIN(
      IF(AA946 &gt;= VLOOKUP(YEAR(A947), Lookup!$Q:$R, 2),
        Z946 + IF(MONTH(A947)=12, Q947+W947, 0) + I947
          + AA946 + IF(MONTH(A947)=12, R947+X947, 0) - VLOOKUP(YEAR(A947), Lookup!$Q:$R, 2) + J947,
        Z946 + IF(MONTH(A947)=12, Q947+W947, 0) + I947
      ),
      VLOOKUP(YEAR(A947), Lookup!$K:$M, 3)
    ),
  B947=55,
    IF(Z946 &gt;= AD947, Z946 - AD947, 0),
  B947&gt;55, 0
)</f>
        <v>0</v>
      </c>
      <c r="AA947" s="65">
        <f>IFS(
  B947&lt;65,
    IF(AA946+J947 &lt; VLOOKUP(YEAR(A947), Lookup!$Q:$R, 2),
      AA946 + IF(MONTH(A947)=12, R946+X946, 0) + J947,
      MIN(
        AA946 + IF(MONTH(A947)=12, R946+X946, 0) + J947 ,
        VLOOKUP(YEAR(A947), Lookup!$Q:$R, 2)
      )
    ),
  B947&gt;=65,
    IF(AA946+J947 &lt; VLOOKUP(questions!$C$5, Lookup!$Q:$R, 2),
      AA946 + IF(MONTH(A947)=12, R946+X946, 0) + J947 ,
      MIN(
        AA946 + IF(MONTH(A947)=12, R946+X946, 0) + J947,
        VLOOKUP(questions!$C$5, Lookup!$Q:$R, 2)
      )
    )
)</f>
        <v>282111.0086</v>
      </c>
      <c r="AB947" s="65">
        <f t="shared" si="13"/>
        <v>4563498.367</v>
      </c>
      <c r="AC947" s="66">
        <f t="array" ref="AC947">IFS(B947&lt;66, XLOOKUP(year(A947),Lookup!$K$13:$K1000,Lookup!$L$13:$L1000,"missing",,1),B947&gt;65,XLOOKUP(questions!$C$5,Lookup!$K$13:$K1000,Lookup!$L$13:$L1000,"missing",,1))</f>
        <v>393675.3633</v>
      </c>
      <c r="AD947" s="66">
        <f t="array" ref="AD947">IFS(B947&lt;66, XLOOKUP(year(A947),Lookup!$K$13:$K1000,Lookup!$M$13:$M1000,"missing",,1),B947&gt;65, XLOOKUP(questions!$C$5,Lookup!$K$13:$K1000,Lookup!$M$13:$M1000,"missing",,1))</f>
        <v>787350.7266</v>
      </c>
      <c r="AE947" s="66">
        <f t="array" ref="AE947">IFS(B947&lt;66, XLOOKUP(year(A947),Lookup!$K$13:$K1000,Lookup!$N$13:$N1000,"missing",,1),B947&gt;65,XLOOKUP(questions!$C$5,Lookup!$K$13:$K1000,Lookup!$N$13:$N1000,"missing",,1))</f>
        <v>1574701.453</v>
      </c>
      <c r="AF947" s="37"/>
      <c r="AG947" s="37"/>
      <c r="AH947" s="37"/>
      <c r="AI947" s="37"/>
      <c r="AJ947" s="37"/>
      <c r="AK947" s="37"/>
      <c r="AL947" s="37"/>
      <c r="AM947" s="37"/>
      <c r="AN947" s="37"/>
      <c r="AO947" s="37"/>
      <c r="AP947" s="37"/>
      <c r="AQ947" s="37"/>
    </row>
    <row r="948">
      <c r="A948" s="55">
        <f t="shared" si="7"/>
        <v>74876</v>
      </c>
      <c r="B948" s="56">
        <f>round(YEARFRAC(EOMONTH(questions!$C$3, 0),A948,1),2)</f>
        <v>106.08</v>
      </c>
      <c r="C948" s="58">
        <f>IF(B948&lt;questions!$C$6,if(MONTH(A948)=1,C947*(1+questions!$C$12),C947),0)</f>
        <v>0</v>
      </c>
      <c r="D948" s="58">
        <f>IF(MONTH(A948)=12,C948*questions!$C$11,0)</f>
        <v>0</v>
      </c>
      <c r="E948" s="71">
        <f t="shared" si="2"/>
        <v>0</v>
      </c>
      <c r="F948" s="71">
        <f t="shared" si="3"/>
        <v>0</v>
      </c>
      <c r="G948" s="61">
        <f t="array" ref="G948">if(YEAR(A948)=2025,XLOOKUP(B948,Lookup!$A$3:$A$7,Lookup!$D$3:$D$7,,1)*SUM(E948:F948), XLOOKUP(B948,Lookup!$A$14:$A$18,Lookup!$D$14:$D$18,,1)*SUM(E948:F948))</f>
        <v>0</v>
      </c>
      <c r="H948" s="61">
        <f t="array" ref="H948">if(YEAR(A948)=2025,XLOOKUP(B948,Lookup!$F$3:$F$10,Lookup!$G$3:$G$10,,1)*G948, XLOOKUP(B948,Lookup!$F$14:$F$21,Lookup!$G$14:$G$21,,1)*G948)</f>
        <v>0</v>
      </c>
      <c r="I948" s="61">
        <f t="array" ref="I948">if(B948&lt;55, if(YEAR(A948)=2025,XLOOKUP(B948,Lookup!$F$3:$F$10,Lookup!$H$3:$H$10,,1)*G948, XLOOKUP(B948,Lookup!$F$14:$F$21,Lookup!$H$14:$H$21,,1)*G948),0)</f>
        <v>0</v>
      </c>
      <c r="J948" s="61">
        <f t="array" ref="J948">if(YEAR(A948)=2025,XLOOKUP(B948,Lookup!$F$3:$F$10,Lookup!$I$3:$I$10,,1)*G948, XLOOKUP(B948,Lookup!$F$14:$F$21,Lookup!$I$14:$I$21,,1)*G948)</f>
        <v>0</v>
      </c>
      <c r="K948" s="61">
        <f t="array" ref="K948">if(B948&gt;54, if(YEAR(A948)=2025,XLOOKUP(B948,Lookup!$F$3:$F$10,Lookup!$H$3:$H$10,,1)*G948, XLOOKUP(B948,Lookup!$F$14:$F$21,Lookup!$H$14:$H$21,,1)*G948),0)</f>
        <v>0</v>
      </c>
      <c r="L948" s="62">
        <f>IF(and(A948&lt;questions!$C$19,questions!$C$18="yes"),questions!$C$20,0)</f>
        <v>0</v>
      </c>
      <c r="M948" s="63">
        <f>(Y947+H948)*Lookup!A$26/12</f>
        <v>5536.820328</v>
      </c>
      <c r="N948" s="63">
        <f>if(B948&lt;55, (Z947+I948)*Lookup!B$26/12, (AB947+K948)*Lookup!B$26/12)</f>
        <v>15211.66122</v>
      </c>
      <c r="O948" s="63">
        <f>(AA947+J948)*Lookup!C$26/12</f>
        <v>940.3700287</v>
      </c>
      <c r="P948" s="63">
        <f t="shared" si="8"/>
        <v>66441.84393</v>
      </c>
      <c r="Q948" s="63">
        <f t="shared" si="4"/>
        <v>182539.9347</v>
      </c>
      <c r="R948" s="63">
        <f t="shared" si="5"/>
        <v>11284.44034</v>
      </c>
      <c r="S948" s="64">
        <f t="shared" si="9"/>
        <v>33.33333333</v>
      </c>
      <c r="T948" s="64">
        <f t="shared" si="10"/>
        <v>41.66666667</v>
      </c>
      <c r="U948" s="64">
        <f t="shared" si="11"/>
        <v>0</v>
      </c>
      <c r="V948" s="64">
        <f t="shared" ref="V948:X948" si="956">IF(year($A948)=year($A947), V947+S948, S948)</f>
        <v>400</v>
      </c>
      <c r="W948" s="64">
        <f t="shared" si="956"/>
        <v>500</v>
      </c>
      <c r="X948" s="64">
        <f t="shared" si="956"/>
        <v>0</v>
      </c>
      <c r="Y948" s="65">
        <f>IFS(
  B948&lt;55,
    MAX(
      Y947 + IF(MONTH(A948)=12, P948+V948, 0) + H948 - L948
      + MAX(0,
          IF(AA947 &gt;= VLOOKUP(YEAR(A948), Lookup!$Q:$R, 2),
            Z947 + IF(MONTH(A948)=12, Q948+W948, 0) + I948
              + AA947 + IF(MONTH(A948)=12, R948+X948, 0)
              - VLOOKUP(YEAR(A948), Lookup!$Q:$R, 2) + J948,
            Z947 + IF(MONTH(A948)=12, Q948+W948, 0) + I948
          ) - VLOOKUP(YEAR(A948), Lookup!$K:$M, 3)
        ),
    0),
  B948=55,
    IF(Z947&gt;=AD948,
      MAX(Y947 + IF(MONTH(A948)=12, P948+V948, 0) + H948 - L948, 0),
      MAX(MAX(0, Y947-(AD948-Z947)) + IF(MONTH(A948)=12, P948+V948, 0) + H948 - L948, 0)
    ),
  B948&gt;55,
    IF(AB947&gt;=$AH$7,
      MAX(Y947 + IF(MONTH(A948)=12, P948+V948, 0) + H948 - L948 + K948 + Z947, 0),
      MAX(Y947 + IF(MONTH(A948)=12, P948+V948, 0) + H948 - L948, 0)
    )
)</f>
        <v>2724515.601</v>
      </c>
      <c r="Z948" s="65">
        <f>IFS(
  B948&lt;55,
    MIN(
      IF(AA947 &gt;= VLOOKUP(YEAR(A948), Lookup!$Q:$R, 2),
        Z947 + IF(MONTH(A948)=12, Q948+W948, 0) + I948
          + AA947 + IF(MONTH(A948)=12, R948+X948, 0) - VLOOKUP(YEAR(A948), Lookup!$Q:$R, 2) + J948,
        Z947 + IF(MONTH(A948)=12, Q948+W948, 0) + I948
      ),
      VLOOKUP(YEAR(A948), Lookup!$K:$M, 3)
    ),
  B948=55,
    IF(Z947 &gt;= AD948, Z947 - AD948, 0),
  B948&gt;55, 0
)</f>
        <v>0</v>
      </c>
      <c r="AA948" s="65">
        <f>IFS(
  B948&lt;65,
    IF(AA947+J948 &lt; VLOOKUP(YEAR(A948), Lookup!$Q:$R, 2),
      AA947 + IF(MONTH(A948)=12, R947+X947, 0) + J948,
      MIN(
        AA947 + IF(MONTH(A948)=12, R947+X947, 0) + J948 ,
        VLOOKUP(YEAR(A948), Lookup!$Q:$R, 2)
      )
    ),
  B948&gt;=65,
    IF(AA947+J948 &lt; VLOOKUP(questions!$C$5, Lookup!$Q:$R, 2),
      AA947 + IF(MONTH(A948)=12, R947+X947, 0) + J948 ,
      MIN(
        AA947 + IF(MONTH(A948)=12, R947+X947, 0) + J948,
        VLOOKUP(questions!$C$5, Lookup!$Q:$R, 2)
      )
    )
)</f>
        <v>282111.0086</v>
      </c>
      <c r="AB948" s="65">
        <f t="shared" si="13"/>
        <v>4746538.301</v>
      </c>
      <c r="AC948" s="66">
        <f t="array" ref="AC948">IFS(B948&lt;66, XLOOKUP(year(A948),Lookup!$K$13:$K1000,Lookup!$L$13:$L1000,"missing",,1),B948&gt;65,XLOOKUP(questions!$C$5,Lookup!$K$13:$K1000,Lookup!$L$13:$L1000,"missing",,1))</f>
        <v>393675.3633</v>
      </c>
      <c r="AD948" s="66">
        <f t="array" ref="AD948">IFS(B948&lt;66, XLOOKUP(year(A948),Lookup!$K$13:$K1000,Lookup!$M$13:$M1000,"missing",,1),B948&gt;65, XLOOKUP(questions!$C$5,Lookup!$K$13:$K1000,Lookup!$M$13:$M1000,"missing",,1))</f>
        <v>787350.7266</v>
      </c>
      <c r="AE948" s="66">
        <f t="array" ref="AE948">IFS(B948&lt;66, XLOOKUP(year(A948),Lookup!$K$13:$K1000,Lookup!$N$13:$N1000,"missing",,1),B948&gt;65,XLOOKUP(questions!$C$5,Lookup!$K$13:$K1000,Lookup!$N$13:$N1000,"missing",,1))</f>
        <v>1574701.453</v>
      </c>
      <c r="AF948" s="37"/>
      <c r="AG948" s="37"/>
      <c r="AH948" s="37"/>
      <c r="AI948" s="37"/>
      <c r="AJ948" s="37"/>
      <c r="AK948" s="37"/>
      <c r="AL948" s="37"/>
      <c r="AM948" s="37"/>
      <c r="AN948" s="37"/>
      <c r="AO948" s="37"/>
      <c r="AP948" s="37"/>
      <c r="AQ948" s="37"/>
    </row>
    <row r="949">
      <c r="A949" s="55">
        <f t="shared" si="7"/>
        <v>74907</v>
      </c>
      <c r="B949" s="56">
        <f>round(YEARFRAC(EOMONTH(questions!$C$3, 0),A949,1),2)</f>
        <v>106.17</v>
      </c>
      <c r="C949" s="58">
        <f>IF(B949&lt;questions!$C$6,if(MONTH(A949)=1,C948*(1+questions!$C$12),C948),0)</f>
        <v>0</v>
      </c>
      <c r="D949" s="58">
        <f>IF(MONTH(A949)=12,C949*questions!$C$11,0)</f>
        <v>0</v>
      </c>
      <c r="E949" s="71">
        <f t="shared" si="2"/>
        <v>0</v>
      </c>
      <c r="F949" s="71">
        <f t="shared" si="3"/>
        <v>0</v>
      </c>
      <c r="G949" s="61">
        <f t="array" ref="G949">if(YEAR(A949)=2025,XLOOKUP(B949,Lookup!$A$3:$A$7,Lookup!$D$3:$D$7,,1)*SUM(E949:F949), XLOOKUP(B949,Lookup!$A$14:$A$18,Lookup!$D$14:$D$18,,1)*SUM(E949:F949))</f>
        <v>0</v>
      </c>
      <c r="H949" s="61">
        <f t="array" ref="H949">if(YEAR(A949)=2025,XLOOKUP(B949,Lookup!$F$3:$F$10,Lookup!$G$3:$G$10,,1)*G949, XLOOKUP(B949,Lookup!$F$14:$F$21,Lookup!$G$14:$G$21,,1)*G949)</f>
        <v>0</v>
      </c>
      <c r="I949" s="61">
        <f t="array" ref="I949">if(B949&lt;55, if(YEAR(A949)=2025,XLOOKUP(B949,Lookup!$F$3:$F$10,Lookup!$H$3:$H$10,,1)*G949, XLOOKUP(B949,Lookup!$F$14:$F$21,Lookup!$H$14:$H$21,,1)*G949),0)</f>
        <v>0</v>
      </c>
      <c r="J949" s="61">
        <f t="array" ref="J949">if(YEAR(A949)=2025,XLOOKUP(B949,Lookup!$F$3:$F$10,Lookup!$I$3:$I$10,,1)*G949, XLOOKUP(B949,Lookup!$F$14:$F$21,Lookup!$I$14:$I$21,,1)*G949)</f>
        <v>0</v>
      </c>
      <c r="K949" s="61">
        <f t="array" ref="K949">if(B949&gt;54, if(YEAR(A949)=2025,XLOOKUP(B949,Lookup!$F$3:$F$10,Lookup!$H$3:$H$10,,1)*G949, XLOOKUP(B949,Lookup!$F$14:$F$21,Lookup!$H$14:$H$21,,1)*G949),0)</f>
        <v>0</v>
      </c>
      <c r="L949" s="62">
        <f>IF(and(A949&lt;questions!$C$19,questions!$C$18="yes"),questions!$C$20,0)</f>
        <v>0</v>
      </c>
      <c r="M949" s="63">
        <f>(Y948+H949)*Lookup!A$26/12</f>
        <v>5676.074169</v>
      </c>
      <c r="N949" s="63">
        <f>if(B949&lt;55, (Z948+I949)*Lookup!B$26/12, (AB948+K949)*Lookup!B$26/12)</f>
        <v>15821.79434</v>
      </c>
      <c r="O949" s="63">
        <f>(AA948+J949)*Lookup!C$26/12</f>
        <v>940.3700287</v>
      </c>
      <c r="P949" s="63">
        <f t="shared" si="8"/>
        <v>5676.074169</v>
      </c>
      <c r="Q949" s="63">
        <f t="shared" si="4"/>
        <v>15821.79434</v>
      </c>
      <c r="R949" s="63">
        <f t="shared" si="5"/>
        <v>940.3700287</v>
      </c>
      <c r="S949" s="64">
        <f t="shared" si="9"/>
        <v>33.33333333</v>
      </c>
      <c r="T949" s="64">
        <f t="shared" si="10"/>
        <v>41.66666667</v>
      </c>
      <c r="U949" s="64">
        <f t="shared" si="11"/>
        <v>0</v>
      </c>
      <c r="V949" s="64">
        <f t="shared" ref="V949:X949" si="957">IF(year($A949)=year($A948), V948+S949, S949)</f>
        <v>33.33333333</v>
      </c>
      <c r="W949" s="64">
        <f t="shared" si="957"/>
        <v>41.66666667</v>
      </c>
      <c r="X949" s="64">
        <f t="shared" si="957"/>
        <v>0</v>
      </c>
      <c r="Y949" s="65">
        <f>IFS(
  B949&lt;55,
    MAX(
      Y948 + IF(MONTH(A949)=12, P949+V949, 0) + H949 - L949
      + MAX(0,
          IF(AA948 &gt;= VLOOKUP(YEAR(A949), Lookup!$Q:$R, 2),
            Z948 + IF(MONTH(A949)=12, Q949+W949, 0) + I949
              + AA948 + IF(MONTH(A949)=12, R949+X949, 0)
              - VLOOKUP(YEAR(A949), Lookup!$Q:$R, 2) + J949,
            Z948 + IF(MONTH(A949)=12, Q949+W949, 0) + I949
          ) - VLOOKUP(YEAR(A949), Lookup!$K:$M, 3)
        ),
    0),
  B949=55,
    IF(Z948&gt;=AD949,
      MAX(Y948 + IF(MONTH(A949)=12, P949+V949, 0) + H949 - L949, 0),
      MAX(MAX(0, Y948-(AD949-Z948)) + IF(MONTH(A949)=12, P949+V949, 0) + H949 - L949, 0)
    ),
  B949&gt;55,
    IF(AB948&gt;=$AH$7,
      MAX(Y948 + IF(MONTH(A949)=12, P949+V949, 0) + H949 - L949 + K949 + Z948, 0),
      MAX(Y948 + IF(MONTH(A949)=12, P949+V949, 0) + H949 - L949, 0)
    )
)</f>
        <v>2724515.601</v>
      </c>
      <c r="Z949" s="65">
        <f>IFS(
  B949&lt;55,
    MIN(
      IF(AA948 &gt;= VLOOKUP(YEAR(A949), Lookup!$Q:$R, 2),
        Z948 + IF(MONTH(A949)=12, Q949+W949, 0) + I949
          + AA948 + IF(MONTH(A949)=12, R949+X949, 0) - VLOOKUP(YEAR(A949), Lookup!$Q:$R, 2) + J949,
        Z948 + IF(MONTH(A949)=12, Q949+W949, 0) + I949
      ),
      VLOOKUP(YEAR(A949), Lookup!$K:$M, 3)
    ),
  B949=55,
    IF(Z948 &gt;= AD949, Z948 - AD949, 0),
  B949&gt;55, 0
)</f>
        <v>0</v>
      </c>
      <c r="AA949" s="65">
        <f>IFS(
  B949&lt;65,
    IF(AA948+J949 &lt; VLOOKUP(YEAR(A949), Lookup!$Q:$R, 2),
      AA948 + IF(MONTH(A949)=12, R948+X948, 0) + J949,
      MIN(
        AA948 + IF(MONTH(A949)=12, R948+X948, 0) + J949 ,
        VLOOKUP(YEAR(A949), Lookup!$Q:$R, 2)
      )
    ),
  B949&gt;=65,
    IF(AA948+J949 &lt; VLOOKUP(questions!$C$5, Lookup!$Q:$R, 2),
      AA948 + IF(MONTH(A949)=12, R948+X948, 0) + J949 ,
      MIN(
        AA948 + IF(MONTH(A949)=12, R948+X948, 0) + J949,
        VLOOKUP(questions!$C$5, Lookup!$Q:$R, 2)
      )
    )
)</f>
        <v>282111.0086</v>
      </c>
      <c r="AB949" s="65">
        <f t="shared" si="13"/>
        <v>4746538.301</v>
      </c>
      <c r="AC949" s="66">
        <f t="array" ref="AC949">IFS(B949&lt;66, XLOOKUP(year(A949),Lookup!$K$13:$K1000,Lookup!$L$13:$L1000,"missing",,1),B949&gt;65,XLOOKUP(questions!$C$5,Lookup!$K$13:$K1000,Lookup!$L$13:$L1000,"missing",,1))</f>
        <v>393675.3633</v>
      </c>
      <c r="AD949" s="66">
        <f t="array" ref="AD949">IFS(B949&lt;66, XLOOKUP(year(A949),Lookup!$K$13:$K1000,Lookup!$M$13:$M1000,"missing",,1),B949&gt;65, XLOOKUP(questions!$C$5,Lookup!$K$13:$K1000,Lookup!$M$13:$M1000,"missing",,1))</f>
        <v>787350.7266</v>
      </c>
      <c r="AE949" s="66">
        <f t="array" ref="AE949">IFS(B949&lt;66, XLOOKUP(year(A949),Lookup!$K$13:$K1000,Lookup!$N$13:$N1000,"missing",,1),B949&gt;65,XLOOKUP(questions!$C$5,Lookup!$K$13:$K1000,Lookup!$N$13:$N1000,"missing",,1))</f>
        <v>1574701.453</v>
      </c>
      <c r="AF949" s="37"/>
      <c r="AG949" s="37"/>
      <c r="AH949" s="37"/>
      <c r="AI949" s="37"/>
      <c r="AJ949" s="37"/>
      <c r="AK949" s="37"/>
      <c r="AL949" s="37"/>
      <c r="AM949" s="37"/>
      <c r="AN949" s="37"/>
      <c r="AO949" s="37"/>
      <c r="AP949" s="37"/>
      <c r="AQ949" s="37"/>
    </row>
    <row r="950">
      <c r="A950" s="55">
        <f t="shared" si="7"/>
        <v>74935</v>
      </c>
      <c r="B950" s="56">
        <f>round(YEARFRAC(EOMONTH(questions!$C$3, 0),A950,1),2)</f>
        <v>106.25</v>
      </c>
      <c r="C950" s="58">
        <f>IF(B950&lt;questions!$C$6,if(MONTH(A950)=1,C949*(1+questions!$C$12),C949),0)</f>
        <v>0</v>
      </c>
      <c r="D950" s="58">
        <f>IF(MONTH(A950)=12,C950*questions!$C$11,0)</f>
        <v>0</v>
      </c>
      <c r="E950" s="71">
        <f t="shared" si="2"/>
        <v>0</v>
      </c>
      <c r="F950" s="71">
        <f t="shared" si="3"/>
        <v>0</v>
      </c>
      <c r="G950" s="61">
        <f t="array" ref="G950">if(YEAR(A950)=2025,XLOOKUP(B950,Lookup!$A$3:$A$7,Lookup!$D$3:$D$7,,1)*SUM(E950:F950), XLOOKUP(B950,Lookup!$A$14:$A$18,Lookup!$D$14:$D$18,,1)*SUM(E950:F950))</f>
        <v>0</v>
      </c>
      <c r="H950" s="61">
        <f t="array" ref="H950">if(YEAR(A950)=2025,XLOOKUP(B950,Lookup!$F$3:$F$10,Lookup!$G$3:$G$10,,1)*G950, XLOOKUP(B950,Lookup!$F$14:$F$21,Lookup!$G$14:$G$21,,1)*G950)</f>
        <v>0</v>
      </c>
      <c r="I950" s="61">
        <f t="array" ref="I950">if(B950&lt;55, if(YEAR(A950)=2025,XLOOKUP(B950,Lookup!$F$3:$F$10,Lookup!$H$3:$H$10,,1)*G950, XLOOKUP(B950,Lookup!$F$14:$F$21,Lookup!$H$14:$H$21,,1)*G950),0)</f>
        <v>0</v>
      </c>
      <c r="J950" s="61">
        <f t="array" ref="J950">if(YEAR(A950)=2025,XLOOKUP(B950,Lookup!$F$3:$F$10,Lookup!$I$3:$I$10,,1)*G950, XLOOKUP(B950,Lookup!$F$14:$F$21,Lookup!$I$14:$I$21,,1)*G950)</f>
        <v>0</v>
      </c>
      <c r="K950" s="61">
        <f t="array" ref="K950">if(B950&gt;54, if(YEAR(A950)=2025,XLOOKUP(B950,Lookup!$F$3:$F$10,Lookup!$H$3:$H$10,,1)*G950, XLOOKUP(B950,Lookup!$F$14:$F$21,Lookup!$H$14:$H$21,,1)*G950),0)</f>
        <v>0</v>
      </c>
      <c r="L950" s="62">
        <f>IF(and(A950&lt;questions!$C$19,questions!$C$18="yes"),questions!$C$20,0)</f>
        <v>0</v>
      </c>
      <c r="M950" s="63">
        <f>(Y949+H950)*Lookup!A$26/12</f>
        <v>5676.074169</v>
      </c>
      <c r="N950" s="63">
        <f>if(B950&lt;55, (Z949+I950)*Lookup!B$26/12, (AB949+K950)*Lookup!B$26/12)</f>
        <v>15821.79434</v>
      </c>
      <c r="O950" s="63">
        <f>(AA949+J950)*Lookup!C$26/12</f>
        <v>940.3700287</v>
      </c>
      <c r="P950" s="63">
        <f t="shared" si="8"/>
        <v>11352.14834</v>
      </c>
      <c r="Q950" s="63">
        <f t="shared" si="4"/>
        <v>31643.58868</v>
      </c>
      <c r="R950" s="63">
        <f t="shared" si="5"/>
        <v>1880.740057</v>
      </c>
      <c r="S950" s="64">
        <f t="shared" si="9"/>
        <v>33.33333333</v>
      </c>
      <c r="T950" s="64">
        <f t="shared" si="10"/>
        <v>41.66666667</v>
      </c>
      <c r="U950" s="64">
        <f t="shared" si="11"/>
        <v>0</v>
      </c>
      <c r="V950" s="64">
        <f t="shared" ref="V950:X950" si="958">IF(year($A950)=year($A949), V949+S950, S950)</f>
        <v>66.66666667</v>
      </c>
      <c r="W950" s="64">
        <f t="shared" si="958"/>
        <v>83.33333333</v>
      </c>
      <c r="X950" s="64">
        <f t="shared" si="958"/>
        <v>0</v>
      </c>
      <c r="Y950" s="65">
        <f>IFS(
  B950&lt;55,
    MAX(
      Y949 + IF(MONTH(A950)=12, P950+V950, 0) + H950 - L950
      + MAX(0,
          IF(AA949 &gt;= VLOOKUP(YEAR(A950), Lookup!$Q:$R, 2),
            Z949 + IF(MONTH(A950)=12, Q950+W950, 0) + I950
              + AA949 + IF(MONTH(A950)=12, R950+X950, 0)
              - VLOOKUP(YEAR(A950), Lookup!$Q:$R, 2) + J950,
            Z949 + IF(MONTH(A950)=12, Q950+W950, 0) + I950
          ) - VLOOKUP(YEAR(A950), Lookup!$K:$M, 3)
        ),
    0),
  B950=55,
    IF(Z949&gt;=AD950,
      MAX(Y949 + IF(MONTH(A950)=12, P950+V950, 0) + H950 - L950, 0),
      MAX(MAX(0, Y949-(AD950-Z949)) + IF(MONTH(A950)=12, P950+V950, 0) + H950 - L950, 0)
    ),
  B950&gt;55,
    IF(AB949&gt;=$AH$7,
      MAX(Y949 + IF(MONTH(A950)=12, P950+V950, 0) + H950 - L950 + K950 + Z949, 0),
      MAX(Y949 + IF(MONTH(A950)=12, P950+V950, 0) + H950 - L950, 0)
    )
)</f>
        <v>2724515.601</v>
      </c>
      <c r="Z950" s="65">
        <f>IFS(
  B950&lt;55,
    MIN(
      IF(AA949 &gt;= VLOOKUP(YEAR(A950), Lookup!$Q:$R, 2),
        Z949 + IF(MONTH(A950)=12, Q950+W950, 0) + I950
          + AA949 + IF(MONTH(A950)=12, R950+X950, 0) - VLOOKUP(YEAR(A950), Lookup!$Q:$R, 2) + J950,
        Z949 + IF(MONTH(A950)=12, Q950+W950, 0) + I950
      ),
      VLOOKUP(YEAR(A950), Lookup!$K:$M, 3)
    ),
  B950=55,
    IF(Z949 &gt;= AD950, Z949 - AD950, 0),
  B950&gt;55, 0
)</f>
        <v>0</v>
      </c>
      <c r="AA950" s="65">
        <f>IFS(
  B950&lt;65,
    IF(AA949+J950 &lt; VLOOKUP(YEAR(A950), Lookup!$Q:$R, 2),
      AA949 + IF(MONTH(A950)=12, R949+X949, 0) + J950,
      MIN(
        AA949 + IF(MONTH(A950)=12, R949+X949, 0) + J950 ,
        VLOOKUP(YEAR(A950), Lookup!$Q:$R, 2)
      )
    ),
  B950&gt;=65,
    IF(AA949+J950 &lt; VLOOKUP(questions!$C$5, Lookup!$Q:$R, 2),
      AA949 + IF(MONTH(A950)=12, R949+X949, 0) + J950 ,
      MIN(
        AA949 + IF(MONTH(A950)=12, R949+X949, 0) + J950,
        VLOOKUP(questions!$C$5, Lookup!$Q:$R, 2)
      )
    )
)</f>
        <v>282111.0086</v>
      </c>
      <c r="AB950" s="65">
        <f t="shared" si="13"/>
        <v>4746538.301</v>
      </c>
      <c r="AC950" s="66">
        <f t="array" ref="AC950">IFS(B950&lt;66, XLOOKUP(year(A950),Lookup!$K$13:$K1000,Lookup!$L$13:$L1000,"missing",,1),B950&gt;65,XLOOKUP(questions!$C$5,Lookup!$K$13:$K1000,Lookup!$L$13:$L1000,"missing",,1))</f>
        <v>393675.3633</v>
      </c>
      <c r="AD950" s="66">
        <f t="array" ref="AD950">IFS(B950&lt;66, XLOOKUP(year(A950),Lookup!$K$13:$K1000,Lookup!$M$13:$M1000,"missing",,1),B950&gt;65, XLOOKUP(questions!$C$5,Lookup!$K$13:$K1000,Lookup!$M$13:$M1000,"missing",,1))</f>
        <v>787350.7266</v>
      </c>
      <c r="AE950" s="66">
        <f t="array" ref="AE950">IFS(B950&lt;66, XLOOKUP(year(A950),Lookup!$K$13:$K1000,Lookup!$N$13:$N1000,"missing",,1),B950&gt;65,XLOOKUP(questions!$C$5,Lookup!$K$13:$K1000,Lookup!$N$13:$N1000,"missing",,1))</f>
        <v>1574701.453</v>
      </c>
      <c r="AF950" s="37"/>
      <c r="AG950" s="37"/>
      <c r="AH950" s="37"/>
      <c r="AI950" s="37"/>
      <c r="AJ950" s="37"/>
      <c r="AK950" s="37"/>
      <c r="AL950" s="37"/>
      <c r="AM950" s="37"/>
      <c r="AN950" s="37"/>
      <c r="AO950" s="37"/>
      <c r="AP950" s="37"/>
      <c r="AQ950" s="37"/>
    </row>
    <row r="951">
      <c r="A951" s="55">
        <f t="shared" si="7"/>
        <v>74966</v>
      </c>
      <c r="B951" s="56">
        <f>round(YEARFRAC(EOMONTH(questions!$C$3, 0),A951,1),2)</f>
        <v>106.33</v>
      </c>
      <c r="C951" s="58">
        <f>IF(B951&lt;questions!$C$6,if(MONTH(A951)=1,C950*(1+questions!$C$12),C950),0)</f>
        <v>0</v>
      </c>
      <c r="D951" s="58">
        <f>IF(MONTH(A951)=12,C951*questions!$C$11,0)</f>
        <v>0</v>
      </c>
      <c r="E951" s="71">
        <f t="shared" si="2"/>
        <v>0</v>
      </c>
      <c r="F951" s="71">
        <f t="shared" si="3"/>
        <v>0</v>
      </c>
      <c r="G951" s="61">
        <f t="array" ref="G951">if(YEAR(A951)=2025,XLOOKUP(B951,Lookup!$A$3:$A$7,Lookup!$D$3:$D$7,,1)*SUM(E951:F951), XLOOKUP(B951,Lookup!$A$14:$A$18,Lookup!$D$14:$D$18,,1)*SUM(E951:F951))</f>
        <v>0</v>
      </c>
      <c r="H951" s="61">
        <f t="array" ref="H951">if(YEAR(A951)=2025,XLOOKUP(B951,Lookup!$F$3:$F$10,Lookup!$G$3:$G$10,,1)*G951, XLOOKUP(B951,Lookup!$F$14:$F$21,Lookup!$G$14:$G$21,,1)*G951)</f>
        <v>0</v>
      </c>
      <c r="I951" s="61">
        <f t="array" ref="I951">if(B951&lt;55, if(YEAR(A951)=2025,XLOOKUP(B951,Lookup!$F$3:$F$10,Lookup!$H$3:$H$10,,1)*G951, XLOOKUP(B951,Lookup!$F$14:$F$21,Lookup!$H$14:$H$21,,1)*G951),0)</f>
        <v>0</v>
      </c>
      <c r="J951" s="61">
        <f t="array" ref="J951">if(YEAR(A951)=2025,XLOOKUP(B951,Lookup!$F$3:$F$10,Lookup!$I$3:$I$10,,1)*G951, XLOOKUP(B951,Lookup!$F$14:$F$21,Lookup!$I$14:$I$21,,1)*G951)</f>
        <v>0</v>
      </c>
      <c r="K951" s="61">
        <f t="array" ref="K951">if(B951&gt;54, if(YEAR(A951)=2025,XLOOKUP(B951,Lookup!$F$3:$F$10,Lookup!$H$3:$H$10,,1)*G951, XLOOKUP(B951,Lookup!$F$14:$F$21,Lookup!$H$14:$H$21,,1)*G951),0)</f>
        <v>0</v>
      </c>
      <c r="L951" s="62">
        <f>IF(and(A951&lt;questions!$C$19,questions!$C$18="yes"),questions!$C$20,0)</f>
        <v>0</v>
      </c>
      <c r="M951" s="63">
        <f>(Y950+H951)*Lookup!A$26/12</f>
        <v>5676.074169</v>
      </c>
      <c r="N951" s="63">
        <f>if(B951&lt;55, (Z950+I951)*Lookup!B$26/12, (AB950+K951)*Lookup!B$26/12)</f>
        <v>15821.79434</v>
      </c>
      <c r="O951" s="63">
        <f>(AA950+J951)*Lookup!C$26/12</f>
        <v>940.3700287</v>
      </c>
      <c r="P951" s="63">
        <f t="shared" si="8"/>
        <v>17028.22251</v>
      </c>
      <c r="Q951" s="63">
        <f t="shared" si="4"/>
        <v>47465.38301</v>
      </c>
      <c r="R951" s="63">
        <f t="shared" si="5"/>
        <v>2821.110086</v>
      </c>
      <c r="S951" s="64">
        <f t="shared" si="9"/>
        <v>33.33333333</v>
      </c>
      <c r="T951" s="64">
        <f t="shared" si="10"/>
        <v>41.66666667</v>
      </c>
      <c r="U951" s="64">
        <f t="shared" si="11"/>
        <v>0</v>
      </c>
      <c r="V951" s="64">
        <f t="shared" ref="V951:X951" si="959">IF(year($A951)=year($A950), V950+S951, S951)</f>
        <v>100</v>
      </c>
      <c r="W951" s="64">
        <f t="shared" si="959"/>
        <v>125</v>
      </c>
      <c r="X951" s="64">
        <f t="shared" si="959"/>
        <v>0</v>
      </c>
      <c r="Y951" s="65">
        <f>IFS(
  B951&lt;55,
    MAX(
      Y950 + IF(MONTH(A951)=12, P951+V951, 0) + H951 - L951
      + MAX(0,
          IF(AA950 &gt;= VLOOKUP(YEAR(A951), Lookup!$Q:$R, 2),
            Z950 + IF(MONTH(A951)=12, Q951+W951, 0) + I951
              + AA950 + IF(MONTH(A951)=12, R951+X951, 0)
              - VLOOKUP(YEAR(A951), Lookup!$Q:$R, 2) + J951,
            Z950 + IF(MONTH(A951)=12, Q951+W951, 0) + I951
          ) - VLOOKUP(YEAR(A951), Lookup!$K:$M, 3)
        ),
    0),
  B951=55,
    IF(Z950&gt;=AD951,
      MAX(Y950 + IF(MONTH(A951)=12, P951+V951, 0) + H951 - L951, 0),
      MAX(MAX(0, Y950-(AD951-Z950)) + IF(MONTH(A951)=12, P951+V951, 0) + H951 - L951, 0)
    ),
  B951&gt;55,
    IF(AB950&gt;=$AH$7,
      MAX(Y950 + IF(MONTH(A951)=12, P951+V951, 0) + H951 - L951 + K951 + Z950, 0),
      MAX(Y950 + IF(MONTH(A951)=12, P951+V951, 0) + H951 - L951, 0)
    )
)</f>
        <v>2724515.601</v>
      </c>
      <c r="Z951" s="65">
        <f>IFS(
  B951&lt;55,
    MIN(
      IF(AA950 &gt;= VLOOKUP(YEAR(A951), Lookup!$Q:$R, 2),
        Z950 + IF(MONTH(A951)=12, Q951+W951, 0) + I951
          + AA950 + IF(MONTH(A951)=12, R951+X951, 0) - VLOOKUP(YEAR(A951), Lookup!$Q:$R, 2) + J951,
        Z950 + IF(MONTH(A951)=12, Q951+W951, 0) + I951
      ),
      VLOOKUP(YEAR(A951), Lookup!$K:$M, 3)
    ),
  B951=55,
    IF(Z950 &gt;= AD951, Z950 - AD951, 0),
  B951&gt;55, 0
)</f>
        <v>0</v>
      </c>
      <c r="AA951" s="65">
        <f>IFS(
  B951&lt;65,
    IF(AA950+J951 &lt; VLOOKUP(YEAR(A951), Lookup!$Q:$R, 2),
      AA950 + IF(MONTH(A951)=12, R950+X950, 0) + J951,
      MIN(
        AA950 + IF(MONTH(A951)=12, R950+X950, 0) + J951 ,
        VLOOKUP(YEAR(A951), Lookup!$Q:$R, 2)
      )
    ),
  B951&gt;=65,
    IF(AA950+J951 &lt; VLOOKUP(questions!$C$5, Lookup!$Q:$R, 2),
      AA950 + IF(MONTH(A951)=12, R950+X950, 0) + J951 ,
      MIN(
        AA950 + IF(MONTH(A951)=12, R950+X950, 0) + J951,
        VLOOKUP(questions!$C$5, Lookup!$Q:$R, 2)
      )
    )
)</f>
        <v>282111.0086</v>
      </c>
      <c r="AB951" s="65">
        <f t="shared" si="13"/>
        <v>4746538.301</v>
      </c>
      <c r="AC951" s="66">
        <f t="array" ref="AC951">IFS(B951&lt;66, XLOOKUP(year(A951),Lookup!$K$13:$K1000,Lookup!$L$13:$L1000,"missing",,1),B951&gt;65,XLOOKUP(questions!$C$5,Lookup!$K$13:$K1000,Lookup!$L$13:$L1000,"missing",,1))</f>
        <v>393675.3633</v>
      </c>
      <c r="AD951" s="66">
        <f t="array" ref="AD951">IFS(B951&lt;66, XLOOKUP(year(A951),Lookup!$K$13:$K1000,Lookup!$M$13:$M1000,"missing",,1),B951&gt;65, XLOOKUP(questions!$C$5,Lookup!$K$13:$K1000,Lookup!$M$13:$M1000,"missing",,1))</f>
        <v>787350.7266</v>
      </c>
      <c r="AE951" s="66">
        <f t="array" ref="AE951">IFS(B951&lt;66, XLOOKUP(year(A951),Lookup!$K$13:$K1000,Lookup!$N$13:$N1000,"missing",,1),B951&gt;65,XLOOKUP(questions!$C$5,Lookup!$K$13:$K1000,Lookup!$N$13:$N1000,"missing",,1))</f>
        <v>1574701.453</v>
      </c>
      <c r="AF951" s="37"/>
      <c r="AG951" s="37"/>
      <c r="AH951" s="37"/>
      <c r="AI951" s="37"/>
      <c r="AJ951" s="37"/>
      <c r="AK951" s="37"/>
      <c r="AL951" s="37"/>
      <c r="AM951" s="37"/>
      <c r="AN951" s="37"/>
      <c r="AO951" s="37"/>
      <c r="AP951" s="37"/>
      <c r="AQ951" s="37"/>
    </row>
    <row r="952">
      <c r="A952" s="55">
        <f t="shared" si="7"/>
        <v>74996</v>
      </c>
      <c r="B952" s="56">
        <f>round(YEARFRAC(EOMONTH(questions!$C$3, 0),A952,1),2)</f>
        <v>106.41</v>
      </c>
      <c r="C952" s="58">
        <f>IF(B952&lt;questions!$C$6,if(MONTH(A952)=1,C951*(1+questions!$C$12),C951),0)</f>
        <v>0</v>
      </c>
      <c r="D952" s="58">
        <f>IF(MONTH(A952)=12,C952*questions!$C$11,0)</f>
        <v>0</v>
      </c>
      <c r="E952" s="71">
        <f t="shared" si="2"/>
        <v>0</v>
      </c>
      <c r="F952" s="71">
        <f t="shared" si="3"/>
        <v>0</v>
      </c>
      <c r="G952" s="61">
        <f t="array" ref="G952">if(YEAR(A952)=2025,XLOOKUP(B952,Lookup!$A$3:$A$7,Lookup!$D$3:$D$7,,1)*SUM(E952:F952), XLOOKUP(B952,Lookup!$A$14:$A$18,Lookup!$D$14:$D$18,,1)*SUM(E952:F952))</f>
        <v>0</v>
      </c>
      <c r="H952" s="61">
        <f t="array" ref="H952">if(YEAR(A952)=2025,XLOOKUP(B952,Lookup!$F$3:$F$10,Lookup!$G$3:$G$10,,1)*G952, XLOOKUP(B952,Lookup!$F$14:$F$21,Lookup!$G$14:$G$21,,1)*G952)</f>
        <v>0</v>
      </c>
      <c r="I952" s="61">
        <f t="array" ref="I952">if(B952&lt;55, if(YEAR(A952)=2025,XLOOKUP(B952,Lookup!$F$3:$F$10,Lookup!$H$3:$H$10,,1)*G952, XLOOKUP(B952,Lookup!$F$14:$F$21,Lookup!$H$14:$H$21,,1)*G952),0)</f>
        <v>0</v>
      </c>
      <c r="J952" s="61">
        <f t="array" ref="J952">if(YEAR(A952)=2025,XLOOKUP(B952,Lookup!$F$3:$F$10,Lookup!$I$3:$I$10,,1)*G952, XLOOKUP(B952,Lookup!$F$14:$F$21,Lookup!$I$14:$I$21,,1)*G952)</f>
        <v>0</v>
      </c>
      <c r="K952" s="61">
        <f t="array" ref="K952">if(B952&gt;54, if(YEAR(A952)=2025,XLOOKUP(B952,Lookup!$F$3:$F$10,Lookup!$H$3:$H$10,,1)*G952, XLOOKUP(B952,Lookup!$F$14:$F$21,Lookup!$H$14:$H$21,,1)*G952),0)</f>
        <v>0</v>
      </c>
      <c r="L952" s="62">
        <f>IF(and(A952&lt;questions!$C$19,questions!$C$18="yes"),questions!$C$20,0)</f>
        <v>0</v>
      </c>
      <c r="M952" s="63">
        <f>(Y951+H952)*Lookup!A$26/12</f>
        <v>5676.074169</v>
      </c>
      <c r="N952" s="63">
        <f>if(B952&lt;55, (Z951+I952)*Lookup!B$26/12, (AB951+K952)*Lookup!B$26/12)</f>
        <v>15821.79434</v>
      </c>
      <c r="O952" s="63">
        <f>(AA951+J952)*Lookup!C$26/12</f>
        <v>940.3700287</v>
      </c>
      <c r="P952" s="63">
        <f t="shared" si="8"/>
        <v>22704.29668</v>
      </c>
      <c r="Q952" s="63">
        <f t="shared" si="4"/>
        <v>63287.17735</v>
      </c>
      <c r="R952" s="63">
        <f t="shared" si="5"/>
        <v>3761.480115</v>
      </c>
      <c r="S952" s="64">
        <f t="shared" si="9"/>
        <v>33.33333333</v>
      </c>
      <c r="T952" s="64">
        <f t="shared" si="10"/>
        <v>41.66666667</v>
      </c>
      <c r="U952" s="64">
        <f t="shared" si="11"/>
        <v>0</v>
      </c>
      <c r="V952" s="64">
        <f t="shared" ref="V952:X952" si="960">IF(year($A952)=year($A951), V951+S952, S952)</f>
        <v>133.3333333</v>
      </c>
      <c r="W952" s="64">
        <f t="shared" si="960"/>
        <v>166.6666667</v>
      </c>
      <c r="X952" s="64">
        <f t="shared" si="960"/>
        <v>0</v>
      </c>
      <c r="Y952" s="65">
        <f>IFS(
  B952&lt;55,
    MAX(
      Y951 + IF(MONTH(A952)=12, P952+V952, 0) + H952 - L952
      + MAX(0,
          IF(AA951 &gt;= VLOOKUP(YEAR(A952), Lookup!$Q:$R, 2),
            Z951 + IF(MONTH(A952)=12, Q952+W952, 0) + I952
              + AA951 + IF(MONTH(A952)=12, R952+X952, 0)
              - VLOOKUP(YEAR(A952), Lookup!$Q:$R, 2) + J952,
            Z951 + IF(MONTH(A952)=12, Q952+W952, 0) + I952
          ) - VLOOKUP(YEAR(A952), Lookup!$K:$M, 3)
        ),
    0),
  B952=55,
    IF(Z951&gt;=AD952,
      MAX(Y951 + IF(MONTH(A952)=12, P952+V952, 0) + H952 - L952, 0),
      MAX(MAX(0, Y951-(AD952-Z951)) + IF(MONTH(A952)=12, P952+V952, 0) + H952 - L952, 0)
    ),
  B952&gt;55,
    IF(AB951&gt;=$AH$7,
      MAX(Y951 + IF(MONTH(A952)=12, P952+V952, 0) + H952 - L952 + K952 + Z951, 0),
      MAX(Y951 + IF(MONTH(A952)=12, P952+V952, 0) + H952 - L952, 0)
    )
)</f>
        <v>2724515.601</v>
      </c>
      <c r="Z952" s="65">
        <f>IFS(
  B952&lt;55,
    MIN(
      IF(AA951 &gt;= VLOOKUP(YEAR(A952), Lookup!$Q:$R, 2),
        Z951 + IF(MONTH(A952)=12, Q952+W952, 0) + I952
          + AA951 + IF(MONTH(A952)=12, R952+X952, 0) - VLOOKUP(YEAR(A952), Lookup!$Q:$R, 2) + J952,
        Z951 + IF(MONTH(A952)=12, Q952+W952, 0) + I952
      ),
      VLOOKUP(YEAR(A952), Lookup!$K:$M, 3)
    ),
  B952=55,
    IF(Z951 &gt;= AD952, Z951 - AD952, 0),
  B952&gt;55, 0
)</f>
        <v>0</v>
      </c>
      <c r="AA952" s="65">
        <f>IFS(
  B952&lt;65,
    IF(AA951+J952 &lt; VLOOKUP(YEAR(A952), Lookup!$Q:$R, 2),
      AA951 + IF(MONTH(A952)=12, R951+X951, 0) + J952,
      MIN(
        AA951 + IF(MONTH(A952)=12, R951+X951, 0) + J952 ,
        VLOOKUP(YEAR(A952), Lookup!$Q:$R, 2)
      )
    ),
  B952&gt;=65,
    IF(AA951+J952 &lt; VLOOKUP(questions!$C$5, Lookup!$Q:$R, 2),
      AA951 + IF(MONTH(A952)=12, R951+X951, 0) + J952 ,
      MIN(
        AA951 + IF(MONTH(A952)=12, R951+X951, 0) + J952,
        VLOOKUP(questions!$C$5, Lookup!$Q:$R, 2)
      )
    )
)</f>
        <v>282111.0086</v>
      </c>
      <c r="AB952" s="65">
        <f t="shared" si="13"/>
        <v>4746538.301</v>
      </c>
      <c r="AC952" s="66">
        <f t="array" ref="AC952">IFS(B952&lt;66, XLOOKUP(year(A952),Lookup!$K$13:$K1000,Lookup!$L$13:$L1000,"missing",,1),B952&gt;65,XLOOKUP(questions!$C$5,Lookup!$K$13:$K1000,Lookup!$L$13:$L1000,"missing",,1))</f>
        <v>393675.3633</v>
      </c>
      <c r="AD952" s="66">
        <f t="array" ref="AD952">IFS(B952&lt;66, XLOOKUP(year(A952),Lookup!$K$13:$K1000,Lookup!$M$13:$M1000,"missing",,1),B952&gt;65, XLOOKUP(questions!$C$5,Lookup!$K$13:$K1000,Lookup!$M$13:$M1000,"missing",,1))</f>
        <v>787350.7266</v>
      </c>
      <c r="AE952" s="66">
        <f t="array" ref="AE952">IFS(B952&lt;66, XLOOKUP(year(A952),Lookup!$K$13:$K1000,Lookup!$N$13:$N1000,"missing",,1),B952&gt;65,XLOOKUP(questions!$C$5,Lookup!$K$13:$K1000,Lookup!$N$13:$N1000,"missing",,1))</f>
        <v>1574701.453</v>
      </c>
      <c r="AF952" s="37"/>
      <c r="AG952" s="37"/>
      <c r="AH952" s="37"/>
      <c r="AI952" s="37"/>
      <c r="AJ952" s="37"/>
      <c r="AK952" s="37"/>
      <c r="AL952" s="37"/>
      <c r="AM952" s="37"/>
      <c r="AN952" s="37"/>
      <c r="AO952" s="37"/>
      <c r="AP952" s="37"/>
      <c r="AQ952" s="37"/>
    </row>
    <row r="953">
      <c r="A953" s="55">
        <f t="shared" si="7"/>
        <v>75027</v>
      </c>
      <c r="B953" s="56">
        <f>round(YEARFRAC(EOMONTH(questions!$C$3, 0),A953,1),2)</f>
        <v>106.5</v>
      </c>
      <c r="C953" s="58">
        <f>IF(B953&lt;questions!$C$6,if(MONTH(A953)=1,C952*(1+questions!$C$12),C952),0)</f>
        <v>0</v>
      </c>
      <c r="D953" s="58">
        <f>IF(MONTH(A953)=12,C953*questions!$C$11,0)</f>
        <v>0</v>
      </c>
      <c r="E953" s="71">
        <f t="shared" si="2"/>
        <v>0</v>
      </c>
      <c r="F953" s="71">
        <f t="shared" si="3"/>
        <v>0</v>
      </c>
      <c r="G953" s="61">
        <f t="array" ref="G953">if(YEAR(A953)=2025,XLOOKUP(B953,Lookup!$A$3:$A$7,Lookup!$D$3:$D$7,,1)*SUM(E953:F953), XLOOKUP(B953,Lookup!$A$14:$A$18,Lookup!$D$14:$D$18,,1)*SUM(E953:F953))</f>
        <v>0</v>
      </c>
      <c r="H953" s="61">
        <f t="array" ref="H953">if(YEAR(A953)=2025,XLOOKUP(B953,Lookup!$F$3:$F$10,Lookup!$G$3:$G$10,,1)*G953, XLOOKUP(B953,Lookup!$F$14:$F$21,Lookup!$G$14:$G$21,,1)*G953)</f>
        <v>0</v>
      </c>
      <c r="I953" s="61">
        <f t="array" ref="I953">if(B953&lt;55, if(YEAR(A953)=2025,XLOOKUP(B953,Lookup!$F$3:$F$10,Lookup!$H$3:$H$10,,1)*G953, XLOOKUP(B953,Lookup!$F$14:$F$21,Lookup!$H$14:$H$21,,1)*G953),0)</f>
        <v>0</v>
      </c>
      <c r="J953" s="61">
        <f t="array" ref="J953">if(YEAR(A953)=2025,XLOOKUP(B953,Lookup!$F$3:$F$10,Lookup!$I$3:$I$10,,1)*G953, XLOOKUP(B953,Lookup!$F$14:$F$21,Lookup!$I$14:$I$21,,1)*G953)</f>
        <v>0</v>
      </c>
      <c r="K953" s="61">
        <f t="array" ref="K953">if(B953&gt;54, if(YEAR(A953)=2025,XLOOKUP(B953,Lookup!$F$3:$F$10,Lookup!$H$3:$H$10,,1)*G953, XLOOKUP(B953,Lookup!$F$14:$F$21,Lookup!$H$14:$H$21,,1)*G953),0)</f>
        <v>0</v>
      </c>
      <c r="L953" s="62">
        <f>IF(and(A953&lt;questions!$C$19,questions!$C$18="yes"),questions!$C$20,0)</f>
        <v>0</v>
      </c>
      <c r="M953" s="63">
        <f>(Y952+H953)*Lookup!A$26/12</f>
        <v>5676.074169</v>
      </c>
      <c r="N953" s="63">
        <f>if(B953&lt;55, (Z952+I953)*Lookup!B$26/12, (AB952+K953)*Lookup!B$26/12)</f>
        <v>15821.79434</v>
      </c>
      <c r="O953" s="63">
        <f>(AA952+J953)*Lookup!C$26/12</f>
        <v>940.3700287</v>
      </c>
      <c r="P953" s="63">
        <f t="shared" si="8"/>
        <v>28380.37085</v>
      </c>
      <c r="Q953" s="63">
        <f t="shared" si="4"/>
        <v>79108.97169</v>
      </c>
      <c r="R953" s="63">
        <f t="shared" si="5"/>
        <v>4701.850143</v>
      </c>
      <c r="S953" s="64">
        <f t="shared" si="9"/>
        <v>33.33333333</v>
      </c>
      <c r="T953" s="64">
        <f t="shared" si="10"/>
        <v>41.66666667</v>
      </c>
      <c r="U953" s="64">
        <f t="shared" si="11"/>
        <v>0</v>
      </c>
      <c r="V953" s="64">
        <f t="shared" ref="V953:X953" si="961">IF(year($A953)=year($A952), V952+S953, S953)</f>
        <v>166.6666667</v>
      </c>
      <c r="W953" s="64">
        <f t="shared" si="961"/>
        <v>208.3333333</v>
      </c>
      <c r="X953" s="64">
        <f t="shared" si="961"/>
        <v>0</v>
      </c>
      <c r="Y953" s="65">
        <f>IFS(
  B953&lt;55,
    MAX(
      Y952 + IF(MONTH(A953)=12, P953+V953, 0) + H953 - L953
      + MAX(0,
          IF(AA952 &gt;= VLOOKUP(YEAR(A953), Lookup!$Q:$R, 2),
            Z952 + IF(MONTH(A953)=12, Q953+W953, 0) + I953
              + AA952 + IF(MONTH(A953)=12, R953+X953, 0)
              - VLOOKUP(YEAR(A953), Lookup!$Q:$R, 2) + J953,
            Z952 + IF(MONTH(A953)=12, Q953+W953, 0) + I953
          ) - VLOOKUP(YEAR(A953), Lookup!$K:$M, 3)
        ),
    0),
  B953=55,
    IF(Z952&gt;=AD953,
      MAX(Y952 + IF(MONTH(A953)=12, P953+V953, 0) + H953 - L953, 0),
      MAX(MAX(0, Y952-(AD953-Z952)) + IF(MONTH(A953)=12, P953+V953, 0) + H953 - L953, 0)
    ),
  B953&gt;55,
    IF(AB952&gt;=$AH$7,
      MAX(Y952 + IF(MONTH(A953)=12, P953+V953, 0) + H953 - L953 + K953 + Z952, 0),
      MAX(Y952 + IF(MONTH(A953)=12, P953+V953, 0) + H953 - L953, 0)
    )
)</f>
        <v>2724515.601</v>
      </c>
      <c r="Z953" s="65">
        <f>IFS(
  B953&lt;55,
    MIN(
      IF(AA952 &gt;= VLOOKUP(YEAR(A953), Lookup!$Q:$R, 2),
        Z952 + IF(MONTH(A953)=12, Q953+W953, 0) + I953
          + AA952 + IF(MONTH(A953)=12, R953+X953, 0) - VLOOKUP(YEAR(A953), Lookup!$Q:$R, 2) + J953,
        Z952 + IF(MONTH(A953)=12, Q953+W953, 0) + I953
      ),
      VLOOKUP(YEAR(A953), Lookup!$K:$M, 3)
    ),
  B953=55,
    IF(Z952 &gt;= AD953, Z952 - AD953, 0),
  B953&gt;55, 0
)</f>
        <v>0</v>
      </c>
      <c r="AA953" s="65">
        <f>IFS(
  B953&lt;65,
    IF(AA952+J953 &lt; VLOOKUP(YEAR(A953), Lookup!$Q:$R, 2),
      AA952 + IF(MONTH(A953)=12, R952+X952, 0) + J953,
      MIN(
        AA952 + IF(MONTH(A953)=12, R952+X952, 0) + J953 ,
        VLOOKUP(YEAR(A953), Lookup!$Q:$R, 2)
      )
    ),
  B953&gt;=65,
    IF(AA952+J953 &lt; VLOOKUP(questions!$C$5, Lookup!$Q:$R, 2),
      AA952 + IF(MONTH(A953)=12, R952+X952, 0) + J953 ,
      MIN(
        AA952 + IF(MONTH(A953)=12, R952+X952, 0) + J953,
        VLOOKUP(questions!$C$5, Lookup!$Q:$R, 2)
      )
    )
)</f>
        <v>282111.0086</v>
      </c>
      <c r="AB953" s="65">
        <f t="shared" si="13"/>
        <v>4746538.301</v>
      </c>
      <c r="AC953" s="66">
        <f t="array" ref="AC953">IFS(B953&lt;66, XLOOKUP(year(A953),Lookup!$K$13:$K1000,Lookup!$L$13:$L1000,"missing",,1),B953&gt;65,XLOOKUP(questions!$C$5,Lookup!$K$13:$K1000,Lookup!$L$13:$L1000,"missing",,1))</f>
        <v>393675.3633</v>
      </c>
      <c r="AD953" s="66">
        <f t="array" ref="AD953">IFS(B953&lt;66, XLOOKUP(year(A953),Lookup!$K$13:$K1000,Lookup!$M$13:$M1000,"missing",,1),B953&gt;65, XLOOKUP(questions!$C$5,Lookup!$K$13:$K1000,Lookup!$M$13:$M1000,"missing",,1))</f>
        <v>787350.7266</v>
      </c>
      <c r="AE953" s="66">
        <f t="array" ref="AE953">IFS(B953&lt;66, XLOOKUP(year(A953),Lookup!$K$13:$K1000,Lookup!$N$13:$N1000,"missing",,1),B953&gt;65,XLOOKUP(questions!$C$5,Lookup!$K$13:$K1000,Lookup!$N$13:$N1000,"missing",,1))</f>
        <v>1574701.453</v>
      </c>
      <c r="AF953" s="37"/>
      <c r="AG953" s="37"/>
      <c r="AH953" s="37"/>
      <c r="AI953" s="37"/>
      <c r="AJ953" s="37"/>
      <c r="AK953" s="37"/>
      <c r="AL953" s="37"/>
      <c r="AM953" s="37"/>
      <c r="AN953" s="37"/>
      <c r="AO953" s="37"/>
      <c r="AP953" s="37"/>
      <c r="AQ953" s="37"/>
    </row>
    <row r="954">
      <c r="A954" s="55">
        <f t="shared" si="7"/>
        <v>75057</v>
      </c>
      <c r="B954" s="56">
        <f>round(YEARFRAC(EOMONTH(questions!$C$3, 0),A954,1),2)</f>
        <v>106.58</v>
      </c>
      <c r="C954" s="58">
        <f>IF(B954&lt;questions!$C$6,if(MONTH(A954)=1,C953*(1+questions!$C$12),C953),0)</f>
        <v>0</v>
      </c>
      <c r="D954" s="58">
        <f>IF(MONTH(A954)=12,C954*questions!$C$11,0)</f>
        <v>0</v>
      </c>
      <c r="E954" s="71">
        <f t="shared" si="2"/>
        <v>0</v>
      </c>
      <c r="F954" s="71">
        <f t="shared" si="3"/>
        <v>0</v>
      </c>
      <c r="G954" s="61">
        <f t="array" ref="G954">if(YEAR(A954)=2025,XLOOKUP(B954,Lookup!$A$3:$A$7,Lookup!$D$3:$D$7,,1)*SUM(E954:F954), XLOOKUP(B954,Lookup!$A$14:$A$18,Lookup!$D$14:$D$18,,1)*SUM(E954:F954))</f>
        <v>0</v>
      </c>
      <c r="H954" s="61">
        <f t="array" ref="H954">if(YEAR(A954)=2025,XLOOKUP(B954,Lookup!$F$3:$F$10,Lookup!$G$3:$G$10,,1)*G954, XLOOKUP(B954,Lookup!$F$14:$F$21,Lookup!$G$14:$G$21,,1)*G954)</f>
        <v>0</v>
      </c>
      <c r="I954" s="61">
        <f t="array" ref="I954">if(B954&lt;55, if(YEAR(A954)=2025,XLOOKUP(B954,Lookup!$F$3:$F$10,Lookup!$H$3:$H$10,,1)*G954, XLOOKUP(B954,Lookup!$F$14:$F$21,Lookup!$H$14:$H$21,,1)*G954),0)</f>
        <v>0</v>
      </c>
      <c r="J954" s="61">
        <f t="array" ref="J954">if(YEAR(A954)=2025,XLOOKUP(B954,Lookup!$F$3:$F$10,Lookup!$I$3:$I$10,,1)*G954, XLOOKUP(B954,Lookup!$F$14:$F$21,Lookup!$I$14:$I$21,,1)*G954)</f>
        <v>0</v>
      </c>
      <c r="K954" s="61">
        <f t="array" ref="K954">if(B954&gt;54, if(YEAR(A954)=2025,XLOOKUP(B954,Lookup!$F$3:$F$10,Lookup!$H$3:$H$10,,1)*G954, XLOOKUP(B954,Lookup!$F$14:$F$21,Lookup!$H$14:$H$21,,1)*G954),0)</f>
        <v>0</v>
      </c>
      <c r="L954" s="62">
        <f>IF(and(A954&lt;questions!$C$19,questions!$C$18="yes"),questions!$C$20,0)</f>
        <v>0</v>
      </c>
      <c r="M954" s="63">
        <f>(Y953+H954)*Lookup!A$26/12</f>
        <v>5676.074169</v>
      </c>
      <c r="N954" s="63">
        <f>if(B954&lt;55, (Z953+I954)*Lookup!B$26/12, (AB953+K954)*Lookup!B$26/12)</f>
        <v>15821.79434</v>
      </c>
      <c r="O954" s="63">
        <f>(AA953+J954)*Lookup!C$26/12</f>
        <v>940.3700287</v>
      </c>
      <c r="P954" s="63">
        <f t="shared" si="8"/>
        <v>34056.44501</v>
      </c>
      <c r="Q954" s="63">
        <f t="shared" si="4"/>
        <v>94930.76603</v>
      </c>
      <c r="R954" s="63">
        <f t="shared" si="5"/>
        <v>5642.220172</v>
      </c>
      <c r="S954" s="64">
        <f t="shared" si="9"/>
        <v>33.33333333</v>
      </c>
      <c r="T954" s="64">
        <f t="shared" si="10"/>
        <v>41.66666667</v>
      </c>
      <c r="U954" s="64">
        <f t="shared" si="11"/>
        <v>0</v>
      </c>
      <c r="V954" s="64">
        <f t="shared" ref="V954:X954" si="962">IF(year($A954)=year($A953), V953+S954, S954)</f>
        <v>200</v>
      </c>
      <c r="W954" s="64">
        <f t="shared" si="962"/>
        <v>250</v>
      </c>
      <c r="X954" s="64">
        <f t="shared" si="962"/>
        <v>0</v>
      </c>
      <c r="Y954" s="65">
        <f>IFS(
  B954&lt;55,
    MAX(
      Y953 + IF(MONTH(A954)=12, P954+V954, 0) + H954 - L954
      + MAX(0,
          IF(AA953 &gt;= VLOOKUP(YEAR(A954), Lookup!$Q:$R, 2),
            Z953 + IF(MONTH(A954)=12, Q954+W954, 0) + I954
              + AA953 + IF(MONTH(A954)=12, R954+X954, 0)
              - VLOOKUP(YEAR(A954), Lookup!$Q:$R, 2) + J954,
            Z953 + IF(MONTH(A954)=12, Q954+W954, 0) + I954
          ) - VLOOKUP(YEAR(A954), Lookup!$K:$M, 3)
        ),
    0),
  B954=55,
    IF(Z953&gt;=AD954,
      MAX(Y953 + IF(MONTH(A954)=12, P954+V954, 0) + H954 - L954, 0),
      MAX(MAX(0, Y953-(AD954-Z953)) + IF(MONTH(A954)=12, P954+V954, 0) + H954 - L954, 0)
    ),
  B954&gt;55,
    IF(AB953&gt;=$AH$7,
      MAX(Y953 + IF(MONTH(A954)=12, P954+V954, 0) + H954 - L954 + K954 + Z953, 0),
      MAX(Y953 + IF(MONTH(A954)=12, P954+V954, 0) + H954 - L954, 0)
    )
)</f>
        <v>2724515.601</v>
      </c>
      <c r="Z954" s="65">
        <f>IFS(
  B954&lt;55,
    MIN(
      IF(AA953 &gt;= VLOOKUP(YEAR(A954), Lookup!$Q:$R, 2),
        Z953 + IF(MONTH(A954)=12, Q954+W954, 0) + I954
          + AA953 + IF(MONTH(A954)=12, R954+X954, 0) - VLOOKUP(YEAR(A954), Lookup!$Q:$R, 2) + J954,
        Z953 + IF(MONTH(A954)=12, Q954+W954, 0) + I954
      ),
      VLOOKUP(YEAR(A954), Lookup!$K:$M, 3)
    ),
  B954=55,
    IF(Z953 &gt;= AD954, Z953 - AD954, 0),
  B954&gt;55, 0
)</f>
        <v>0</v>
      </c>
      <c r="AA954" s="65">
        <f>IFS(
  B954&lt;65,
    IF(AA953+J954 &lt; VLOOKUP(YEAR(A954), Lookup!$Q:$R, 2),
      AA953 + IF(MONTH(A954)=12, R953+X953, 0) + J954,
      MIN(
        AA953 + IF(MONTH(A954)=12, R953+X953, 0) + J954 ,
        VLOOKUP(YEAR(A954), Lookup!$Q:$R, 2)
      )
    ),
  B954&gt;=65,
    IF(AA953+J954 &lt; VLOOKUP(questions!$C$5, Lookup!$Q:$R, 2),
      AA953 + IF(MONTH(A954)=12, R953+X953, 0) + J954 ,
      MIN(
        AA953 + IF(MONTH(A954)=12, R953+X953, 0) + J954,
        VLOOKUP(questions!$C$5, Lookup!$Q:$R, 2)
      )
    )
)</f>
        <v>282111.0086</v>
      </c>
      <c r="AB954" s="65">
        <f t="shared" si="13"/>
        <v>4746538.301</v>
      </c>
      <c r="AC954" s="66">
        <f t="array" ref="AC954">IFS(B954&lt;66, XLOOKUP(year(A954),Lookup!$K$13:$K1000,Lookup!$L$13:$L1000,"missing",,1),B954&gt;65,XLOOKUP(questions!$C$5,Lookup!$K$13:$K1000,Lookup!$L$13:$L1000,"missing",,1))</f>
        <v>393675.3633</v>
      </c>
      <c r="AD954" s="66">
        <f t="array" ref="AD954">IFS(B954&lt;66, XLOOKUP(year(A954),Lookup!$K$13:$K1000,Lookup!$M$13:$M1000,"missing",,1),B954&gt;65, XLOOKUP(questions!$C$5,Lookup!$K$13:$K1000,Lookup!$M$13:$M1000,"missing",,1))</f>
        <v>787350.7266</v>
      </c>
      <c r="AE954" s="66">
        <f t="array" ref="AE954">IFS(B954&lt;66, XLOOKUP(year(A954),Lookup!$K$13:$K1000,Lookup!$N$13:$N1000,"missing",,1),B954&gt;65,XLOOKUP(questions!$C$5,Lookup!$K$13:$K1000,Lookup!$N$13:$N1000,"missing",,1))</f>
        <v>1574701.453</v>
      </c>
      <c r="AF954" s="37"/>
      <c r="AG954" s="37"/>
      <c r="AH954" s="37"/>
      <c r="AI954" s="37"/>
      <c r="AJ954" s="37"/>
      <c r="AK954" s="37"/>
      <c r="AL954" s="37"/>
      <c r="AM954" s="37"/>
      <c r="AN954" s="37"/>
      <c r="AO954" s="37"/>
      <c r="AP954" s="37"/>
      <c r="AQ954" s="37"/>
    </row>
    <row r="955">
      <c r="A955" s="55">
        <f t="shared" si="7"/>
        <v>75088</v>
      </c>
      <c r="B955" s="56">
        <f>round(YEARFRAC(EOMONTH(questions!$C$3, 0),A955,1),2)</f>
        <v>106.67</v>
      </c>
      <c r="C955" s="58">
        <f>IF(B955&lt;questions!$C$6,if(MONTH(A955)=1,C954*(1+questions!$C$12),C954),0)</f>
        <v>0</v>
      </c>
      <c r="D955" s="58">
        <f>IF(MONTH(A955)=12,C955*questions!$C$11,0)</f>
        <v>0</v>
      </c>
      <c r="E955" s="71">
        <f t="shared" si="2"/>
        <v>0</v>
      </c>
      <c r="F955" s="71">
        <f t="shared" si="3"/>
        <v>0</v>
      </c>
      <c r="G955" s="61">
        <f t="array" ref="G955">if(YEAR(A955)=2025,XLOOKUP(B955,Lookup!$A$3:$A$7,Lookup!$D$3:$D$7,,1)*SUM(E955:F955), XLOOKUP(B955,Lookup!$A$14:$A$18,Lookup!$D$14:$D$18,,1)*SUM(E955:F955))</f>
        <v>0</v>
      </c>
      <c r="H955" s="61">
        <f t="array" ref="H955">if(YEAR(A955)=2025,XLOOKUP(B955,Lookup!$F$3:$F$10,Lookup!$G$3:$G$10,,1)*G955, XLOOKUP(B955,Lookup!$F$14:$F$21,Lookup!$G$14:$G$21,,1)*G955)</f>
        <v>0</v>
      </c>
      <c r="I955" s="61">
        <f t="array" ref="I955">if(B955&lt;55, if(YEAR(A955)=2025,XLOOKUP(B955,Lookup!$F$3:$F$10,Lookup!$H$3:$H$10,,1)*G955, XLOOKUP(B955,Lookup!$F$14:$F$21,Lookup!$H$14:$H$21,,1)*G955),0)</f>
        <v>0</v>
      </c>
      <c r="J955" s="61">
        <f t="array" ref="J955">if(YEAR(A955)=2025,XLOOKUP(B955,Lookup!$F$3:$F$10,Lookup!$I$3:$I$10,,1)*G955, XLOOKUP(B955,Lookup!$F$14:$F$21,Lookup!$I$14:$I$21,,1)*G955)</f>
        <v>0</v>
      </c>
      <c r="K955" s="61">
        <f t="array" ref="K955">if(B955&gt;54, if(YEAR(A955)=2025,XLOOKUP(B955,Lookup!$F$3:$F$10,Lookup!$H$3:$H$10,,1)*G955, XLOOKUP(B955,Lookup!$F$14:$F$21,Lookup!$H$14:$H$21,,1)*G955),0)</f>
        <v>0</v>
      </c>
      <c r="L955" s="62">
        <f>IF(and(A955&lt;questions!$C$19,questions!$C$18="yes"),questions!$C$20,0)</f>
        <v>0</v>
      </c>
      <c r="M955" s="63">
        <f>(Y954+H955)*Lookup!A$26/12</f>
        <v>5676.074169</v>
      </c>
      <c r="N955" s="63">
        <f>if(B955&lt;55, (Z954+I955)*Lookup!B$26/12, (AB954+K955)*Lookup!B$26/12)</f>
        <v>15821.79434</v>
      </c>
      <c r="O955" s="63">
        <f>(AA954+J955)*Lookup!C$26/12</f>
        <v>940.3700287</v>
      </c>
      <c r="P955" s="63">
        <f t="shared" si="8"/>
        <v>39732.51918</v>
      </c>
      <c r="Q955" s="63">
        <f t="shared" si="4"/>
        <v>110752.5604</v>
      </c>
      <c r="R955" s="63">
        <f t="shared" si="5"/>
        <v>6582.590201</v>
      </c>
      <c r="S955" s="64">
        <f t="shared" si="9"/>
        <v>33.33333333</v>
      </c>
      <c r="T955" s="64">
        <f t="shared" si="10"/>
        <v>41.66666667</v>
      </c>
      <c r="U955" s="64">
        <f t="shared" si="11"/>
        <v>0</v>
      </c>
      <c r="V955" s="64">
        <f t="shared" ref="V955:X955" si="963">IF(year($A955)=year($A954), V954+S955, S955)</f>
        <v>233.3333333</v>
      </c>
      <c r="W955" s="64">
        <f t="shared" si="963"/>
        <v>291.6666667</v>
      </c>
      <c r="X955" s="64">
        <f t="shared" si="963"/>
        <v>0</v>
      </c>
      <c r="Y955" s="65">
        <f>IFS(
  B955&lt;55,
    MAX(
      Y954 + IF(MONTH(A955)=12, P955+V955, 0) + H955 - L955
      + MAX(0,
          IF(AA954 &gt;= VLOOKUP(YEAR(A955), Lookup!$Q:$R, 2),
            Z954 + IF(MONTH(A955)=12, Q955+W955, 0) + I955
              + AA954 + IF(MONTH(A955)=12, R955+X955, 0)
              - VLOOKUP(YEAR(A955), Lookup!$Q:$R, 2) + J955,
            Z954 + IF(MONTH(A955)=12, Q955+W955, 0) + I955
          ) - VLOOKUP(YEAR(A955), Lookup!$K:$M, 3)
        ),
    0),
  B955=55,
    IF(Z954&gt;=AD955,
      MAX(Y954 + IF(MONTH(A955)=12, P955+V955, 0) + H955 - L955, 0),
      MAX(MAX(0, Y954-(AD955-Z954)) + IF(MONTH(A955)=12, P955+V955, 0) + H955 - L955, 0)
    ),
  B955&gt;55,
    IF(AB954&gt;=$AH$7,
      MAX(Y954 + IF(MONTH(A955)=12, P955+V955, 0) + H955 - L955 + K955 + Z954, 0),
      MAX(Y954 + IF(MONTH(A955)=12, P955+V955, 0) + H955 - L955, 0)
    )
)</f>
        <v>2724515.601</v>
      </c>
      <c r="Z955" s="65">
        <f>IFS(
  B955&lt;55,
    MIN(
      IF(AA954 &gt;= VLOOKUP(YEAR(A955), Lookup!$Q:$R, 2),
        Z954 + IF(MONTH(A955)=12, Q955+W955, 0) + I955
          + AA954 + IF(MONTH(A955)=12, R955+X955, 0) - VLOOKUP(YEAR(A955), Lookup!$Q:$R, 2) + J955,
        Z954 + IF(MONTH(A955)=12, Q955+W955, 0) + I955
      ),
      VLOOKUP(YEAR(A955), Lookup!$K:$M, 3)
    ),
  B955=55,
    IF(Z954 &gt;= AD955, Z954 - AD955, 0),
  B955&gt;55, 0
)</f>
        <v>0</v>
      </c>
      <c r="AA955" s="65">
        <f>IFS(
  B955&lt;65,
    IF(AA954+J955 &lt; VLOOKUP(YEAR(A955), Lookup!$Q:$R, 2),
      AA954 + IF(MONTH(A955)=12, R954+X954, 0) + J955,
      MIN(
        AA954 + IF(MONTH(A955)=12, R954+X954, 0) + J955 ,
        VLOOKUP(YEAR(A955), Lookup!$Q:$R, 2)
      )
    ),
  B955&gt;=65,
    IF(AA954+J955 &lt; VLOOKUP(questions!$C$5, Lookup!$Q:$R, 2),
      AA954 + IF(MONTH(A955)=12, R954+X954, 0) + J955 ,
      MIN(
        AA954 + IF(MONTH(A955)=12, R954+X954, 0) + J955,
        VLOOKUP(questions!$C$5, Lookup!$Q:$R, 2)
      )
    )
)</f>
        <v>282111.0086</v>
      </c>
      <c r="AB955" s="65">
        <f t="shared" si="13"/>
        <v>4746538.301</v>
      </c>
      <c r="AC955" s="66">
        <f t="array" ref="AC955">IFS(B955&lt;66, XLOOKUP(year(A955),Lookup!$K$13:$K1000,Lookup!$L$13:$L1000,"missing",,1),B955&gt;65,XLOOKUP(questions!$C$5,Lookup!$K$13:$K1000,Lookup!$L$13:$L1000,"missing",,1))</f>
        <v>393675.3633</v>
      </c>
      <c r="AD955" s="66">
        <f t="array" ref="AD955">IFS(B955&lt;66, XLOOKUP(year(A955),Lookup!$K$13:$K1000,Lookup!$M$13:$M1000,"missing",,1),B955&gt;65, XLOOKUP(questions!$C$5,Lookup!$K$13:$K1000,Lookup!$M$13:$M1000,"missing",,1))</f>
        <v>787350.7266</v>
      </c>
      <c r="AE955" s="66">
        <f t="array" ref="AE955">IFS(B955&lt;66, XLOOKUP(year(A955),Lookup!$K$13:$K1000,Lookup!$N$13:$N1000,"missing",,1),B955&gt;65,XLOOKUP(questions!$C$5,Lookup!$K$13:$K1000,Lookup!$N$13:$N1000,"missing",,1))</f>
        <v>1574701.453</v>
      </c>
      <c r="AF955" s="37"/>
      <c r="AG955" s="37"/>
      <c r="AH955" s="37"/>
      <c r="AI955" s="37"/>
      <c r="AJ955" s="37"/>
      <c r="AK955" s="37"/>
      <c r="AL955" s="37"/>
      <c r="AM955" s="37"/>
      <c r="AN955" s="37"/>
      <c r="AO955" s="37"/>
      <c r="AP955" s="37"/>
      <c r="AQ955" s="37"/>
    </row>
    <row r="956">
      <c r="A956" s="55">
        <f t="shared" si="7"/>
        <v>75119</v>
      </c>
      <c r="B956" s="56">
        <f>round(YEARFRAC(EOMONTH(questions!$C$3, 0),A956,1),2)</f>
        <v>106.75</v>
      </c>
      <c r="C956" s="58">
        <f>IF(B956&lt;questions!$C$6,if(MONTH(A956)=1,C955*(1+questions!$C$12),C955),0)</f>
        <v>0</v>
      </c>
      <c r="D956" s="58">
        <f>IF(MONTH(A956)=12,C956*questions!$C$11,0)</f>
        <v>0</v>
      </c>
      <c r="E956" s="71">
        <f t="shared" si="2"/>
        <v>0</v>
      </c>
      <c r="F956" s="71">
        <f t="shared" si="3"/>
        <v>0</v>
      </c>
      <c r="G956" s="61">
        <f t="array" ref="G956">if(YEAR(A956)=2025,XLOOKUP(B956,Lookup!$A$3:$A$7,Lookup!$D$3:$D$7,,1)*SUM(E956:F956), XLOOKUP(B956,Lookup!$A$14:$A$18,Lookup!$D$14:$D$18,,1)*SUM(E956:F956))</f>
        <v>0</v>
      </c>
      <c r="H956" s="61">
        <f t="array" ref="H956">if(YEAR(A956)=2025,XLOOKUP(B956,Lookup!$F$3:$F$10,Lookup!$G$3:$G$10,,1)*G956, XLOOKUP(B956,Lookup!$F$14:$F$21,Lookup!$G$14:$G$21,,1)*G956)</f>
        <v>0</v>
      </c>
      <c r="I956" s="61">
        <f t="array" ref="I956">if(B956&lt;55, if(YEAR(A956)=2025,XLOOKUP(B956,Lookup!$F$3:$F$10,Lookup!$H$3:$H$10,,1)*G956, XLOOKUP(B956,Lookup!$F$14:$F$21,Lookup!$H$14:$H$21,,1)*G956),0)</f>
        <v>0</v>
      </c>
      <c r="J956" s="61">
        <f t="array" ref="J956">if(YEAR(A956)=2025,XLOOKUP(B956,Lookup!$F$3:$F$10,Lookup!$I$3:$I$10,,1)*G956, XLOOKUP(B956,Lookup!$F$14:$F$21,Lookup!$I$14:$I$21,,1)*G956)</f>
        <v>0</v>
      </c>
      <c r="K956" s="61">
        <f t="array" ref="K956">if(B956&gt;54, if(YEAR(A956)=2025,XLOOKUP(B956,Lookup!$F$3:$F$10,Lookup!$H$3:$H$10,,1)*G956, XLOOKUP(B956,Lookup!$F$14:$F$21,Lookup!$H$14:$H$21,,1)*G956),0)</f>
        <v>0</v>
      </c>
      <c r="L956" s="62">
        <f>IF(and(A956&lt;questions!$C$19,questions!$C$18="yes"),questions!$C$20,0)</f>
        <v>0</v>
      </c>
      <c r="M956" s="63">
        <f>(Y955+H956)*Lookup!A$26/12</f>
        <v>5676.074169</v>
      </c>
      <c r="N956" s="63">
        <f>if(B956&lt;55, (Z955+I956)*Lookup!B$26/12, (AB955+K956)*Lookup!B$26/12)</f>
        <v>15821.79434</v>
      </c>
      <c r="O956" s="63">
        <f>(AA955+J956)*Lookup!C$26/12</f>
        <v>940.3700287</v>
      </c>
      <c r="P956" s="63">
        <f t="shared" si="8"/>
        <v>45408.59335</v>
      </c>
      <c r="Q956" s="63">
        <f t="shared" si="4"/>
        <v>126574.3547</v>
      </c>
      <c r="R956" s="63">
        <f t="shared" si="5"/>
        <v>7522.960229</v>
      </c>
      <c r="S956" s="64">
        <f t="shared" si="9"/>
        <v>33.33333333</v>
      </c>
      <c r="T956" s="64">
        <f t="shared" si="10"/>
        <v>41.66666667</v>
      </c>
      <c r="U956" s="64">
        <f t="shared" si="11"/>
        <v>0</v>
      </c>
      <c r="V956" s="64">
        <f t="shared" ref="V956:X956" si="964">IF(year($A956)=year($A955), V955+S956, S956)</f>
        <v>266.6666667</v>
      </c>
      <c r="W956" s="64">
        <f t="shared" si="964"/>
        <v>333.3333333</v>
      </c>
      <c r="X956" s="64">
        <f t="shared" si="964"/>
        <v>0</v>
      </c>
      <c r="Y956" s="65">
        <f>IFS(
  B956&lt;55,
    MAX(
      Y955 + IF(MONTH(A956)=12, P956+V956, 0) + H956 - L956
      + MAX(0,
          IF(AA955 &gt;= VLOOKUP(YEAR(A956), Lookup!$Q:$R, 2),
            Z955 + IF(MONTH(A956)=12, Q956+W956, 0) + I956
              + AA955 + IF(MONTH(A956)=12, R956+X956, 0)
              - VLOOKUP(YEAR(A956), Lookup!$Q:$R, 2) + J956,
            Z955 + IF(MONTH(A956)=12, Q956+W956, 0) + I956
          ) - VLOOKUP(YEAR(A956), Lookup!$K:$M, 3)
        ),
    0),
  B956=55,
    IF(Z955&gt;=AD956,
      MAX(Y955 + IF(MONTH(A956)=12, P956+V956, 0) + H956 - L956, 0),
      MAX(MAX(0, Y955-(AD956-Z955)) + IF(MONTH(A956)=12, P956+V956, 0) + H956 - L956, 0)
    ),
  B956&gt;55,
    IF(AB955&gt;=$AH$7,
      MAX(Y955 + IF(MONTH(A956)=12, P956+V956, 0) + H956 - L956 + K956 + Z955, 0),
      MAX(Y955 + IF(MONTH(A956)=12, P956+V956, 0) + H956 - L956, 0)
    )
)</f>
        <v>2724515.601</v>
      </c>
      <c r="Z956" s="65">
        <f>IFS(
  B956&lt;55,
    MIN(
      IF(AA955 &gt;= VLOOKUP(YEAR(A956), Lookup!$Q:$R, 2),
        Z955 + IF(MONTH(A956)=12, Q956+W956, 0) + I956
          + AA955 + IF(MONTH(A956)=12, R956+X956, 0) - VLOOKUP(YEAR(A956), Lookup!$Q:$R, 2) + J956,
        Z955 + IF(MONTH(A956)=12, Q956+W956, 0) + I956
      ),
      VLOOKUP(YEAR(A956), Lookup!$K:$M, 3)
    ),
  B956=55,
    IF(Z955 &gt;= AD956, Z955 - AD956, 0),
  B956&gt;55, 0
)</f>
        <v>0</v>
      </c>
      <c r="AA956" s="65">
        <f>IFS(
  B956&lt;65,
    IF(AA955+J956 &lt; VLOOKUP(YEAR(A956), Lookup!$Q:$R, 2),
      AA955 + IF(MONTH(A956)=12, R955+X955, 0) + J956,
      MIN(
        AA955 + IF(MONTH(A956)=12, R955+X955, 0) + J956 ,
        VLOOKUP(YEAR(A956), Lookup!$Q:$R, 2)
      )
    ),
  B956&gt;=65,
    IF(AA955+J956 &lt; VLOOKUP(questions!$C$5, Lookup!$Q:$R, 2),
      AA955 + IF(MONTH(A956)=12, R955+X955, 0) + J956 ,
      MIN(
        AA955 + IF(MONTH(A956)=12, R955+X955, 0) + J956,
        VLOOKUP(questions!$C$5, Lookup!$Q:$R, 2)
      )
    )
)</f>
        <v>282111.0086</v>
      </c>
      <c r="AB956" s="65">
        <f t="shared" si="13"/>
        <v>4746538.301</v>
      </c>
      <c r="AC956" s="66">
        <f t="array" ref="AC956">IFS(B956&lt;66, XLOOKUP(year(A956),Lookup!$K$13:$K1000,Lookup!$L$13:$L1000,"missing",,1),B956&gt;65,XLOOKUP(questions!$C$5,Lookup!$K$13:$K1000,Lookup!$L$13:$L1000,"missing",,1))</f>
        <v>393675.3633</v>
      </c>
      <c r="AD956" s="66">
        <f t="array" ref="AD956">IFS(B956&lt;66, XLOOKUP(year(A956),Lookup!$K$13:$K1000,Lookup!$M$13:$M1000,"missing",,1),B956&gt;65, XLOOKUP(questions!$C$5,Lookup!$K$13:$K1000,Lookup!$M$13:$M1000,"missing",,1))</f>
        <v>787350.7266</v>
      </c>
      <c r="AE956" s="66">
        <f t="array" ref="AE956">IFS(B956&lt;66, XLOOKUP(year(A956),Lookup!$K$13:$K1000,Lookup!$N$13:$N1000,"missing",,1),B956&gt;65,XLOOKUP(questions!$C$5,Lookup!$K$13:$K1000,Lookup!$N$13:$N1000,"missing",,1))</f>
        <v>1574701.453</v>
      </c>
      <c r="AF956" s="37"/>
      <c r="AG956" s="37"/>
      <c r="AH956" s="37"/>
      <c r="AI956" s="37"/>
      <c r="AJ956" s="37"/>
      <c r="AK956" s="37"/>
      <c r="AL956" s="37"/>
      <c r="AM956" s="37"/>
      <c r="AN956" s="37"/>
      <c r="AO956" s="37"/>
      <c r="AP956" s="37"/>
      <c r="AQ956" s="37"/>
    </row>
    <row r="957">
      <c r="A957" s="55">
        <f t="shared" si="7"/>
        <v>75149</v>
      </c>
      <c r="B957" s="56">
        <f>round(YEARFRAC(EOMONTH(questions!$C$3, 0),A957,1),2)</f>
        <v>106.83</v>
      </c>
      <c r="C957" s="58">
        <f>IF(B957&lt;questions!$C$6,if(MONTH(A957)=1,C956*(1+questions!$C$12),C956),0)</f>
        <v>0</v>
      </c>
      <c r="D957" s="58">
        <f>IF(MONTH(A957)=12,C957*questions!$C$11,0)</f>
        <v>0</v>
      </c>
      <c r="E957" s="71">
        <f t="shared" si="2"/>
        <v>0</v>
      </c>
      <c r="F957" s="71">
        <f t="shared" si="3"/>
        <v>0</v>
      </c>
      <c r="G957" s="61">
        <f t="array" ref="G957">if(YEAR(A957)=2025,XLOOKUP(B957,Lookup!$A$3:$A$7,Lookup!$D$3:$D$7,,1)*SUM(E957:F957), XLOOKUP(B957,Lookup!$A$14:$A$18,Lookup!$D$14:$D$18,,1)*SUM(E957:F957))</f>
        <v>0</v>
      </c>
      <c r="H957" s="61">
        <f t="array" ref="H957">if(YEAR(A957)=2025,XLOOKUP(B957,Lookup!$F$3:$F$10,Lookup!$G$3:$G$10,,1)*G957, XLOOKUP(B957,Lookup!$F$14:$F$21,Lookup!$G$14:$G$21,,1)*G957)</f>
        <v>0</v>
      </c>
      <c r="I957" s="61">
        <f t="array" ref="I957">if(B957&lt;55, if(YEAR(A957)=2025,XLOOKUP(B957,Lookup!$F$3:$F$10,Lookup!$H$3:$H$10,,1)*G957, XLOOKUP(B957,Lookup!$F$14:$F$21,Lookup!$H$14:$H$21,,1)*G957),0)</f>
        <v>0</v>
      </c>
      <c r="J957" s="61">
        <f t="array" ref="J957">if(YEAR(A957)=2025,XLOOKUP(B957,Lookup!$F$3:$F$10,Lookup!$I$3:$I$10,,1)*G957, XLOOKUP(B957,Lookup!$F$14:$F$21,Lookup!$I$14:$I$21,,1)*G957)</f>
        <v>0</v>
      </c>
      <c r="K957" s="61">
        <f t="array" ref="K957">if(B957&gt;54, if(YEAR(A957)=2025,XLOOKUP(B957,Lookup!$F$3:$F$10,Lookup!$H$3:$H$10,,1)*G957, XLOOKUP(B957,Lookup!$F$14:$F$21,Lookup!$H$14:$H$21,,1)*G957),0)</f>
        <v>0</v>
      </c>
      <c r="L957" s="62">
        <f>IF(and(A957&lt;questions!$C$19,questions!$C$18="yes"),questions!$C$20,0)</f>
        <v>0</v>
      </c>
      <c r="M957" s="63">
        <f>(Y956+H957)*Lookup!A$26/12</f>
        <v>5676.074169</v>
      </c>
      <c r="N957" s="63">
        <f>if(B957&lt;55, (Z956+I957)*Lookup!B$26/12, (AB956+K957)*Lookup!B$26/12)</f>
        <v>15821.79434</v>
      </c>
      <c r="O957" s="63">
        <f>(AA956+J957)*Lookup!C$26/12</f>
        <v>940.3700287</v>
      </c>
      <c r="P957" s="63">
        <f t="shared" si="8"/>
        <v>51084.66752</v>
      </c>
      <c r="Q957" s="63">
        <f t="shared" si="4"/>
        <v>142396.149</v>
      </c>
      <c r="R957" s="63">
        <f t="shared" si="5"/>
        <v>8463.330258</v>
      </c>
      <c r="S957" s="64">
        <f t="shared" si="9"/>
        <v>33.33333333</v>
      </c>
      <c r="T957" s="64">
        <f t="shared" si="10"/>
        <v>41.66666667</v>
      </c>
      <c r="U957" s="64">
        <f t="shared" si="11"/>
        <v>0</v>
      </c>
      <c r="V957" s="64">
        <f t="shared" ref="V957:X957" si="965">IF(year($A957)=year($A956), V956+S957, S957)</f>
        <v>300</v>
      </c>
      <c r="W957" s="64">
        <f t="shared" si="965"/>
        <v>375</v>
      </c>
      <c r="X957" s="64">
        <f t="shared" si="965"/>
        <v>0</v>
      </c>
      <c r="Y957" s="65">
        <f>IFS(
  B957&lt;55,
    MAX(
      Y956 + IF(MONTH(A957)=12, P957+V957, 0) + H957 - L957
      + MAX(0,
          IF(AA956 &gt;= VLOOKUP(YEAR(A957), Lookup!$Q:$R, 2),
            Z956 + IF(MONTH(A957)=12, Q957+W957, 0) + I957
              + AA956 + IF(MONTH(A957)=12, R957+X957, 0)
              - VLOOKUP(YEAR(A957), Lookup!$Q:$R, 2) + J957,
            Z956 + IF(MONTH(A957)=12, Q957+W957, 0) + I957
          ) - VLOOKUP(YEAR(A957), Lookup!$K:$M, 3)
        ),
    0),
  B957=55,
    IF(Z956&gt;=AD957,
      MAX(Y956 + IF(MONTH(A957)=12, P957+V957, 0) + H957 - L957, 0),
      MAX(MAX(0, Y956-(AD957-Z956)) + IF(MONTH(A957)=12, P957+V957, 0) + H957 - L957, 0)
    ),
  B957&gt;55,
    IF(AB956&gt;=$AH$7,
      MAX(Y956 + IF(MONTH(A957)=12, P957+V957, 0) + H957 - L957 + K957 + Z956, 0),
      MAX(Y956 + IF(MONTH(A957)=12, P957+V957, 0) + H957 - L957, 0)
    )
)</f>
        <v>2724515.601</v>
      </c>
      <c r="Z957" s="65">
        <f>IFS(
  B957&lt;55,
    MIN(
      IF(AA956 &gt;= VLOOKUP(YEAR(A957), Lookup!$Q:$R, 2),
        Z956 + IF(MONTH(A957)=12, Q957+W957, 0) + I957
          + AA956 + IF(MONTH(A957)=12, R957+X957, 0) - VLOOKUP(YEAR(A957), Lookup!$Q:$R, 2) + J957,
        Z956 + IF(MONTH(A957)=12, Q957+W957, 0) + I957
      ),
      VLOOKUP(YEAR(A957), Lookup!$K:$M, 3)
    ),
  B957=55,
    IF(Z956 &gt;= AD957, Z956 - AD957, 0),
  B957&gt;55, 0
)</f>
        <v>0</v>
      </c>
      <c r="AA957" s="65">
        <f>IFS(
  B957&lt;65,
    IF(AA956+J957 &lt; VLOOKUP(YEAR(A957), Lookup!$Q:$R, 2),
      AA956 + IF(MONTH(A957)=12, R956+X956, 0) + J957,
      MIN(
        AA956 + IF(MONTH(A957)=12, R956+X956, 0) + J957 ,
        VLOOKUP(YEAR(A957), Lookup!$Q:$R, 2)
      )
    ),
  B957&gt;=65,
    IF(AA956+J957 &lt; VLOOKUP(questions!$C$5, Lookup!$Q:$R, 2),
      AA956 + IF(MONTH(A957)=12, R956+X956, 0) + J957 ,
      MIN(
        AA956 + IF(MONTH(A957)=12, R956+X956, 0) + J957,
        VLOOKUP(questions!$C$5, Lookup!$Q:$R, 2)
      )
    )
)</f>
        <v>282111.0086</v>
      </c>
      <c r="AB957" s="65">
        <f t="shared" si="13"/>
        <v>4746538.301</v>
      </c>
      <c r="AC957" s="66">
        <f t="array" ref="AC957">IFS(B957&lt;66, XLOOKUP(year(A957),Lookup!$K$13:$K1000,Lookup!$L$13:$L1000,"missing",,1),B957&gt;65,XLOOKUP(questions!$C$5,Lookup!$K$13:$K1000,Lookup!$L$13:$L1000,"missing",,1))</f>
        <v>393675.3633</v>
      </c>
      <c r="AD957" s="66">
        <f t="array" ref="AD957">IFS(B957&lt;66, XLOOKUP(year(A957),Lookup!$K$13:$K1000,Lookup!$M$13:$M1000,"missing",,1),B957&gt;65, XLOOKUP(questions!$C$5,Lookup!$K$13:$K1000,Lookup!$M$13:$M1000,"missing",,1))</f>
        <v>787350.7266</v>
      </c>
      <c r="AE957" s="66">
        <f t="array" ref="AE957">IFS(B957&lt;66, XLOOKUP(year(A957),Lookup!$K$13:$K1000,Lookup!$N$13:$N1000,"missing",,1),B957&gt;65,XLOOKUP(questions!$C$5,Lookup!$K$13:$K1000,Lookup!$N$13:$N1000,"missing",,1))</f>
        <v>1574701.453</v>
      </c>
      <c r="AF957" s="37"/>
      <c r="AG957" s="37"/>
      <c r="AH957" s="37"/>
      <c r="AI957" s="37"/>
      <c r="AJ957" s="37"/>
      <c r="AK957" s="37"/>
      <c r="AL957" s="37"/>
      <c r="AM957" s="37"/>
      <c r="AN957" s="37"/>
      <c r="AO957" s="37"/>
      <c r="AP957" s="37"/>
      <c r="AQ957" s="37"/>
    </row>
    <row r="958">
      <c r="A958" s="55">
        <f t="shared" si="7"/>
        <v>75180</v>
      </c>
      <c r="B958" s="56">
        <f>round(YEARFRAC(EOMONTH(questions!$C$3, 0),A958,1),2)</f>
        <v>106.92</v>
      </c>
      <c r="C958" s="58">
        <f>IF(B958&lt;questions!$C$6,if(MONTH(A958)=1,C957*(1+questions!$C$12),C957),0)</f>
        <v>0</v>
      </c>
      <c r="D958" s="58">
        <f>IF(MONTH(A958)=12,C958*questions!$C$11,0)</f>
        <v>0</v>
      </c>
      <c r="E958" s="71">
        <f t="shared" si="2"/>
        <v>0</v>
      </c>
      <c r="F958" s="71">
        <f t="shared" si="3"/>
        <v>0</v>
      </c>
      <c r="G958" s="61">
        <f t="array" ref="G958">if(YEAR(A958)=2025,XLOOKUP(B958,Lookup!$A$3:$A$7,Lookup!$D$3:$D$7,,1)*SUM(E958:F958), XLOOKUP(B958,Lookup!$A$14:$A$18,Lookup!$D$14:$D$18,,1)*SUM(E958:F958))</f>
        <v>0</v>
      </c>
      <c r="H958" s="61">
        <f t="array" ref="H958">if(YEAR(A958)=2025,XLOOKUP(B958,Lookup!$F$3:$F$10,Lookup!$G$3:$G$10,,1)*G958, XLOOKUP(B958,Lookup!$F$14:$F$21,Lookup!$G$14:$G$21,,1)*G958)</f>
        <v>0</v>
      </c>
      <c r="I958" s="61">
        <f t="array" ref="I958">if(B958&lt;55, if(YEAR(A958)=2025,XLOOKUP(B958,Lookup!$F$3:$F$10,Lookup!$H$3:$H$10,,1)*G958, XLOOKUP(B958,Lookup!$F$14:$F$21,Lookup!$H$14:$H$21,,1)*G958),0)</f>
        <v>0</v>
      </c>
      <c r="J958" s="61">
        <f t="array" ref="J958">if(YEAR(A958)=2025,XLOOKUP(B958,Lookup!$F$3:$F$10,Lookup!$I$3:$I$10,,1)*G958, XLOOKUP(B958,Lookup!$F$14:$F$21,Lookup!$I$14:$I$21,,1)*G958)</f>
        <v>0</v>
      </c>
      <c r="K958" s="61">
        <f t="array" ref="K958">if(B958&gt;54, if(YEAR(A958)=2025,XLOOKUP(B958,Lookup!$F$3:$F$10,Lookup!$H$3:$H$10,,1)*G958, XLOOKUP(B958,Lookup!$F$14:$F$21,Lookup!$H$14:$H$21,,1)*G958),0)</f>
        <v>0</v>
      </c>
      <c r="L958" s="62">
        <f>IF(and(A958&lt;questions!$C$19,questions!$C$18="yes"),questions!$C$20,0)</f>
        <v>0</v>
      </c>
      <c r="M958" s="63">
        <f>(Y957+H958)*Lookup!A$26/12</f>
        <v>5676.074169</v>
      </c>
      <c r="N958" s="63">
        <f>if(B958&lt;55, (Z957+I958)*Lookup!B$26/12, (AB957+K958)*Lookup!B$26/12)</f>
        <v>15821.79434</v>
      </c>
      <c r="O958" s="63">
        <f>(AA957+J958)*Lookup!C$26/12</f>
        <v>940.3700287</v>
      </c>
      <c r="P958" s="63">
        <f t="shared" si="8"/>
        <v>56760.74169</v>
      </c>
      <c r="Q958" s="63">
        <f t="shared" si="4"/>
        <v>158217.9434</v>
      </c>
      <c r="R958" s="63">
        <f t="shared" si="5"/>
        <v>9403.700287</v>
      </c>
      <c r="S958" s="64">
        <f t="shared" si="9"/>
        <v>33.33333333</v>
      </c>
      <c r="T958" s="64">
        <f t="shared" si="10"/>
        <v>41.66666667</v>
      </c>
      <c r="U958" s="64">
        <f t="shared" si="11"/>
        <v>0</v>
      </c>
      <c r="V958" s="64">
        <f t="shared" ref="V958:X958" si="966">IF(year($A958)=year($A957), V957+S958, S958)</f>
        <v>333.3333333</v>
      </c>
      <c r="W958" s="64">
        <f t="shared" si="966"/>
        <v>416.6666667</v>
      </c>
      <c r="X958" s="64">
        <f t="shared" si="966"/>
        <v>0</v>
      </c>
      <c r="Y958" s="65">
        <f>IFS(
  B958&lt;55,
    MAX(
      Y957 + IF(MONTH(A958)=12, P958+V958, 0) + H958 - L958
      + MAX(0,
          IF(AA957 &gt;= VLOOKUP(YEAR(A958), Lookup!$Q:$R, 2),
            Z957 + IF(MONTH(A958)=12, Q958+W958, 0) + I958
              + AA957 + IF(MONTH(A958)=12, R958+X958, 0)
              - VLOOKUP(YEAR(A958), Lookup!$Q:$R, 2) + J958,
            Z957 + IF(MONTH(A958)=12, Q958+W958, 0) + I958
          ) - VLOOKUP(YEAR(A958), Lookup!$K:$M, 3)
        ),
    0),
  B958=55,
    IF(Z957&gt;=AD958,
      MAX(Y957 + IF(MONTH(A958)=12, P958+V958, 0) + H958 - L958, 0),
      MAX(MAX(0, Y957-(AD958-Z957)) + IF(MONTH(A958)=12, P958+V958, 0) + H958 - L958, 0)
    ),
  B958&gt;55,
    IF(AB957&gt;=$AH$7,
      MAX(Y957 + IF(MONTH(A958)=12, P958+V958, 0) + H958 - L958 + K958 + Z957, 0),
      MAX(Y957 + IF(MONTH(A958)=12, P958+V958, 0) + H958 - L958, 0)
    )
)</f>
        <v>2724515.601</v>
      </c>
      <c r="Z958" s="65">
        <f>IFS(
  B958&lt;55,
    MIN(
      IF(AA957 &gt;= VLOOKUP(YEAR(A958), Lookup!$Q:$R, 2),
        Z957 + IF(MONTH(A958)=12, Q958+W958, 0) + I958
          + AA957 + IF(MONTH(A958)=12, R958+X958, 0) - VLOOKUP(YEAR(A958), Lookup!$Q:$R, 2) + J958,
        Z957 + IF(MONTH(A958)=12, Q958+W958, 0) + I958
      ),
      VLOOKUP(YEAR(A958), Lookup!$K:$M, 3)
    ),
  B958=55,
    IF(Z957 &gt;= AD958, Z957 - AD958, 0),
  B958&gt;55, 0
)</f>
        <v>0</v>
      </c>
      <c r="AA958" s="65">
        <f>IFS(
  B958&lt;65,
    IF(AA957+J958 &lt; VLOOKUP(YEAR(A958), Lookup!$Q:$R, 2),
      AA957 + IF(MONTH(A958)=12, R957+X957, 0) + J958,
      MIN(
        AA957 + IF(MONTH(A958)=12, R957+X957, 0) + J958 ,
        VLOOKUP(YEAR(A958), Lookup!$Q:$R, 2)
      )
    ),
  B958&gt;=65,
    IF(AA957+J958 &lt; VLOOKUP(questions!$C$5, Lookup!$Q:$R, 2),
      AA957 + IF(MONTH(A958)=12, R957+X957, 0) + J958 ,
      MIN(
        AA957 + IF(MONTH(A958)=12, R957+X957, 0) + J958,
        VLOOKUP(questions!$C$5, Lookup!$Q:$R, 2)
      )
    )
)</f>
        <v>282111.0086</v>
      </c>
      <c r="AB958" s="65">
        <f t="shared" si="13"/>
        <v>4746538.301</v>
      </c>
      <c r="AC958" s="66">
        <f t="array" ref="AC958">IFS(B958&lt;66, XLOOKUP(year(A958),Lookup!$K$13:$K1000,Lookup!$L$13:$L1000,"missing",,1),B958&gt;65,XLOOKUP(questions!$C$5,Lookup!$K$13:$K1000,Lookup!$L$13:$L1000,"missing",,1))</f>
        <v>393675.3633</v>
      </c>
      <c r="AD958" s="66">
        <f t="array" ref="AD958">IFS(B958&lt;66, XLOOKUP(year(A958),Lookup!$K$13:$K1000,Lookup!$M$13:$M1000,"missing",,1),B958&gt;65, XLOOKUP(questions!$C$5,Lookup!$K$13:$K1000,Lookup!$M$13:$M1000,"missing",,1))</f>
        <v>787350.7266</v>
      </c>
      <c r="AE958" s="66">
        <f t="array" ref="AE958">IFS(B958&lt;66, XLOOKUP(year(A958),Lookup!$K$13:$K1000,Lookup!$N$13:$N1000,"missing",,1),B958&gt;65,XLOOKUP(questions!$C$5,Lookup!$K$13:$K1000,Lookup!$N$13:$N1000,"missing",,1))</f>
        <v>1574701.453</v>
      </c>
      <c r="AF958" s="37"/>
      <c r="AG958" s="37"/>
      <c r="AH958" s="37"/>
      <c r="AI958" s="37"/>
      <c r="AJ958" s="37"/>
      <c r="AK958" s="37"/>
      <c r="AL958" s="37"/>
      <c r="AM958" s="37"/>
      <c r="AN958" s="37"/>
      <c r="AO958" s="37"/>
      <c r="AP958" s="37"/>
      <c r="AQ958" s="37"/>
    </row>
    <row r="959">
      <c r="A959" s="55">
        <f t="shared" si="7"/>
        <v>75210</v>
      </c>
      <c r="B959" s="56">
        <f>round(YEARFRAC(EOMONTH(questions!$C$3, 0),A959,1),2)</f>
        <v>107</v>
      </c>
      <c r="C959" s="58">
        <f>IF(B959&lt;questions!$C$6,if(MONTH(A959)=1,C958*(1+questions!$C$12),C958),0)</f>
        <v>0</v>
      </c>
      <c r="D959" s="58">
        <f>IF(MONTH(A959)=12,C959*questions!$C$11,0)</f>
        <v>0</v>
      </c>
      <c r="E959" s="71">
        <f t="shared" si="2"/>
        <v>0</v>
      </c>
      <c r="F959" s="71">
        <f t="shared" si="3"/>
        <v>0</v>
      </c>
      <c r="G959" s="61">
        <f t="array" ref="G959">if(YEAR(A959)=2025,XLOOKUP(B959,Lookup!$A$3:$A$7,Lookup!$D$3:$D$7,,1)*SUM(E959:F959), XLOOKUP(B959,Lookup!$A$14:$A$18,Lookup!$D$14:$D$18,,1)*SUM(E959:F959))</f>
        <v>0</v>
      </c>
      <c r="H959" s="61">
        <f t="array" ref="H959">if(YEAR(A959)=2025,XLOOKUP(B959,Lookup!$F$3:$F$10,Lookup!$G$3:$G$10,,1)*G959, XLOOKUP(B959,Lookup!$F$14:$F$21,Lookup!$G$14:$G$21,,1)*G959)</f>
        <v>0</v>
      </c>
      <c r="I959" s="61">
        <f t="array" ref="I959">if(B959&lt;55, if(YEAR(A959)=2025,XLOOKUP(B959,Lookup!$F$3:$F$10,Lookup!$H$3:$H$10,,1)*G959, XLOOKUP(B959,Lookup!$F$14:$F$21,Lookup!$H$14:$H$21,,1)*G959),0)</f>
        <v>0</v>
      </c>
      <c r="J959" s="61">
        <f t="array" ref="J959">if(YEAR(A959)=2025,XLOOKUP(B959,Lookup!$F$3:$F$10,Lookup!$I$3:$I$10,,1)*G959, XLOOKUP(B959,Lookup!$F$14:$F$21,Lookup!$I$14:$I$21,,1)*G959)</f>
        <v>0</v>
      </c>
      <c r="K959" s="61">
        <f t="array" ref="K959">if(B959&gt;54, if(YEAR(A959)=2025,XLOOKUP(B959,Lookup!$F$3:$F$10,Lookup!$H$3:$H$10,,1)*G959, XLOOKUP(B959,Lookup!$F$14:$F$21,Lookup!$H$14:$H$21,,1)*G959),0)</f>
        <v>0</v>
      </c>
      <c r="L959" s="62">
        <f>IF(and(A959&lt;questions!$C$19,questions!$C$18="yes"),questions!$C$20,0)</f>
        <v>0</v>
      </c>
      <c r="M959" s="63">
        <f>(Y958+H959)*Lookup!A$26/12</f>
        <v>5676.074169</v>
      </c>
      <c r="N959" s="63">
        <f>if(B959&lt;55, (Z958+I959)*Lookup!B$26/12, (AB958+K959)*Lookup!B$26/12)</f>
        <v>15821.79434</v>
      </c>
      <c r="O959" s="63">
        <f>(AA958+J959)*Lookup!C$26/12</f>
        <v>940.3700287</v>
      </c>
      <c r="P959" s="63">
        <f t="shared" si="8"/>
        <v>62436.81586</v>
      </c>
      <c r="Q959" s="63">
        <f t="shared" si="4"/>
        <v>174039.7377</v>
      </c>
      <c r="R959" s="63">
        <f t="shared" si="5"/>
        <v>10344.07032</v>
      </c>
      <c r="S959" s="64">
        <f t="shared" si="9"/>
        <v>33.33333333</v>
      </c>
      <c r="T959" s="64">
        <f t="shared" si="10"/>
        <v>41.66666667</v>
      </c>
      <c r="U959" s="64">
        <f t="shared" si="11"/>
        <v>0</v>
      </c>
      <c r="V959" s="64">
        <f t="shared" ref="V959:X959" si="967">IF(year($A959)=year($A958), V958+S959, S959)</f>
        <v>366.6666667</v>
      </c>
      <c r="W959" s="64">
        <f t="shared" si="967"/>
        <v>458.3333333</v>
      </c>
      <c r="X959" s="64">
        <f t="shared" si="967"/>
        <v>0</v>
      </c>
      <c r="Y959" s="65">
        <f>IFS(
  B959&lt;55,
    MAX(
      Y958 + IF(MONTH(A959)=12, P959+V959, 0) + H959 - L959
      + MAX(0,
          IF(AA958 &gt;= VLOOKUP(YEAR(A959), Lookup!$Q:$R, 2),
            Z958 + IF(MONTH(A959)=12, Q959+W959, 0) + I959
              + AA958 + IF(MONTH(A959)=12, R959+X959, 0)
              - VLOOKUP(YEAR(A959), Lookup!$Q:$R, 2) + J959,
            Z958 + IF(MONTH(A959)=12, Q959+W959, 0) + I959
          ) - VLOOKUP(YEAR(A959), Lookup!$K:$M, 3)
        ),
    0),
  B959=55,
    IF(Z958&gt;=AD959,
      MAX(Y958 + IF(MONTH(A959)=12, P959+V959, 0) + H959 - L959, 0),
      MAX(MAX(0, Y958-(AD959-Z958)) + IF(MONTH(A959)=12, P959+V959, 0) + H959 - L959, 0)
    ),
  B959&gt;55,
    IF(AB958&gt;=$AH$7,
      MAX(Y958 + IF(MONTH(A959)=12, P959+V959, 0) + H959 - L959 + K959 + Z958, 0),
      MAX(Y958 + IF(MONTH(A959)=12, P959+V959, 0) + H959 - L959, 0)
    )
)</f>
        <v>2724515.601</v>
      </c>
      <c r="Z959" s="65">
        <f>IFS(
  B959&lt;55,
    MIN(
      IF(AA958 &gt;= VLOOKUP(YEAR(A959), Lookup!$Q:$R, 2),
        Z958 + IF(MONTH(A959)=12, Q959+W959, 0) + I959
          + AA958 + IF(MONTH(A959)=12, R959+X959, 0) - VLOOKUP(YEAR(A959), Lookup!$Q:$R, 2) + J959,
        Z958 + IF(MONTH(A959)=12, Q959+W959, 0) + I959
      ),
      VLOOKUP(YEAR(A959), Lookup!$K:$M, 3)
    ),
  B959=55,
    IF(Z958 &gt;= AD959, Z958 - AD959, 0),
  B959&gt;55, 0
)</f>
        <v>0</v>
      </c>
      <c r="AA959" s="65">
        <f>IFS(
  B959&lt;65,
    IF(AA958+J959 &lt; VLOOKUP(YEAR(A959), Lookup!$Q:$R, 2),
      AA958 + IF(MONTH(A959)=12, R958+X958, 0) + J959,
      MIN(
        AA958 + IF(MONTH(A959)=12, R958+X958, 0) + J959 ,
        VLOOKUP(YEAR(A959), Lookup!$Q:$R, 2)
      )
    ),
  B959&gt;=65,
    IF(AA958+J959 &lt; VLOOKUP(questions!$C$5, Lookup!$Q:$R, 2),
      AA958 + IF(MONTH(A959)=12, R958+X958, 0) + J959 ,
      MIN(
        AA958 + IF(MONTH(A959)=12, R958+X958, 0) + J959,
        VLOOKUP(questions!$C$5, Lookup!$Q:$R, 2)
      )
    )
)</f>
        <v>282111.0086</v>
      </c>
      <c r="AB959" s="65">
        <f t="shared" si="13"/>
        <v>4746538.301</v>
      </c>
      <c r="AC959" s="66">
        <f t="array" ref="AC959">IFS(B959&lt;66, XLOOKUP(year(A959),Lookup!$K$13:$K1000,Lookup!$L$13:$L1000,"missing",,1),B959&gt;65,XLOOKUP(questions!$C$5,Lookup!$K$13:$K1000,Lookup!$L$13:$L1000,"missing",,1))</f>
        <v>393675.3633</v>
      </c>
      <c r="AD959" s="66">
        <f t="array" ref="AD959">IFS(B959&lt;66, XLOOKUP(year(A959),Lookup!$K$13:$K1000,Lookup!$M$13:$M1000,"missing",,1),B959&gt;65, XLOOKUP(questions!$C$5,Lookup!$K$13:$K1000,Lookup!$M$13:$M1000,"missing",,1))</f>
        <v>787350.7266</v>
      </c>
      <c r="AE959" s="66">
        <f t="array" ref="AE959">IFS(B959&lt;66, XLOOKUP(year(A959),Lookup!$K$13:$K1000,Lookup!$N$13:$N1000,"missing",,1),B959&gt;65,XLOOKUP(questions!$C$5,Lookup!$K$13:$K1000,Lookup!$N$13:$N1000,"missing",,1))</f>
        <v>1574701.453</v>
      </c>
      <c r="AF959" s="37"/>
      <c r="AG959" s="37"/>
      <c r="AH959" s="37"/>
      <c r="AI959" s="37"/>
      <c r="AJ959" s="37"/>
      <c r="AK959" s="37"/>
      <c r="AL959" s="37"/>
      <c r="AM959" s="37"/>
      <c r="AN959" s="37"/>
      <c r="AO959" s="37"/>
      <c r="AP959" s="37"/>
      <c r="AQ959" s="37"/>
    </row>
    <row r="960">
      <c r="A960" s="55">
        <f t="shared" si="7"/>
        <v>75241</v>
      </c>
      <c r="B960" s="56">
        <f>round(YEARFRAC(EOMONTH(questions!$C$3, 0),A960,1),2)</f>
        <v>107.08</v>
      </c>
      <c r="C960" s="58">
        <f>IF(B960&lt;questions!$C$6,if(MONTH(A960)=1,C959*(1+questions!$C$12),C959),0)</f>
        <v>0</v>
      </c>
      <c r="D960" s="58">
        <f>IF(MONTH(A960)=12,C960*questions!$C$11,0)</f>
        <v>0</v>
      </c>
      <c r="E960" s="71">
        <f t="shared" si="2"/>
        <v>0</v>
      </c>
      <c r="F960" s="71">
        <f t="shared" si="3"/>
        <v>0</v>
      </c>
      <c r="G960" s="61">
        <f t="array" ref="G960">if(YEAR(A960)=2025,XLOOKUP(B960,Lookup!$A$3:$A$7,Lookup!$D$3:$D$7,,1)*SUM(E960:F960), XLOOKUP(B960,Lookup!$A$14:$A$18,Lookup!$D$14:$D$18,,1)*SUM(E960:F960))</f>
        <v>0</v>
      </c>
      <c r="H960" s="61">
        <f t="array" ref="H960">if(YEAR(A960)=2025,XLOOKUP(B960,Lookup!$F$3:$F$10,Lookup!$G$3:$G$10,,1)*G960, XLOOKUP(B960,Lookup!$F$14:$F$21,Lookup!$G$14:$G$21,,1)*G960)</f>
        <v>0</v>
      </c>
      <c r="I960" s="61">
        <f t="array" ref="I960">if(B960&lt;55, if(YEAR(A960)=2025,XLOOKUP(B960,Lookup!$F$3:$F$10,Lookup!$H$3:$H$10,,1)*G960, XLOOKUP(B960,Lookup!$F$14:$F$21,Lookup!$H$14:$H$21,,1)*G960),0)</f>
        <v>0</v>
      </c>
      <c r="J960" s="61">
        <f t="array" ref="J960">if(YEAR(A960)=2025,XLOOKUP(B960,Lookup!$F$3:$F$10,Lookup!$I$3:$I$10,,1)*G960, XLOOKUP(B960,Lookup!$F$14:$F$21,Lookup!$I$14:$I$21,,1)*G960)</f>
        <v>0</v>
      </c>
      <c r="K960" s="61">
        <f t="array" ref="K960">if(B960&gt;54, if(YEAR(A960)=2025,XLOOKUP(B960,Lookup!$F$3:$F$10,Lookup!$H$3:$H$10,,1)*G960, XLOOKUP(B960,Lookup!$F$14:$F$21,Lookup!$H$14:$H$21,,1)*G960),0)</f>
        <v>0</v>
      </c>
      <c r="L960" s="62">
        <f>IF(and(A960&lt;questions!$C$19,questions!$C$18="yes"),questions!$C$20,0)</f>
        <v>0</v>
      </c>
      <c r="M960" s="63">
        <f>(Y959+H960)*Lookup!A$26/12</f>
        <v>5676.074169</v>
      </c>
      <c r="N960" s="63">
        <f>if(B960&lt;55, (Z959+I960)*Lookup!B$26/12, (AB959+K960)*Lookup!B$26/12)</f>
        <v>15821.79434</v>
      </c>
      <c r="O960" s="63">
        <f>(AA959+J960)*Lookup!C$26/12</f>
        <v>940.3700287</v>
      </c>
      <c r="P960" s="63">
        <f t="shared" si="8"/>
        <v>68112.89003</v>
      </c>
      <c r="Q960" s="63">
        <f t="shared" si="4"/>
        <v>189861.5321</v>
      </c>
      <c r="R960" s="63">
        <f t="shared" si="5"/>
        <v>11284.44034</v>
      </c>
      <c r="S960" s="64">
        <f t="shared" si="9"/>
        <v>33.33333333</v>
      </c>
      <c r="T960" s="64">
        <f t="shared" si="10"/>
        <v>41.66666667</v>
      </c>
      <c r="U960" s="64">
        <f t="shared" si="11"/>
        <v>0</v>
      </c>
      <c r="V960" s="64">
        <f t="shared" ref="V960:X960" si="968">IF(year($A960)=year($A959), V959+S960, S960)</f>
        <v>400</v>
      </c>
      <c r="W960" s="64">
        <f t="shared" si="968"/>
        <v>500</v>
      </c>
      <c r="X960" s="64">
        <f t="shared" si="968"/>
        <v>0</v>
      </c>
      <c r="Y960" s="65">
        <f>IFS(
  B960&lt;55,
    MAX(
      Y959 + IF(MONTH(A960)=12, P960+V960, 0) + H960 - L960
      + MAX(0,
          IF(AA959 &gt;= VLOOKUP(YEAR(A960), Lookup!$Q:$R, 2),
            Z959 + IF(MONTH(A960)=12, Q960+W960, 0) + I960
              + AA959 + IF(MONTH(A960)=12, R960+X960, 0)
              - VLOOKUP(YEAR(A960), Lookup!$Q:$R, 2) + J960,
            Z959 + IF(MONTH(A960)=12, Q960+W960, 0) + I960
          ) - VLOOKUP(YEAR(A960), Lookup!$K:$M, 3)
        ),
    0),
  B960=55,
    IF(Z959&gt;=AD960,
      MAX(Y959 + IF(MONTH(A960)=12, P960+V960, 0) + H960 - L960, 0),
      MAX(MAX(0, Y959-(AD960-Z959)) + IF(MONTH(A960)=12, P960+V960, 0) + H960 - L960, 0)
    ),
  B960&gt;55,
    IF(AB959&gt;=$AH$7,
      MAX(Y959 + IF(MONTH(A960)=12, P960+V960, 0) + H960 - L960 + K960 + Z959, 0),
      MAX(Y959 + IF(MONTH(A960)=12, P960+V960, 0) + H960 - L960, 0)
    )
)</f>
        <v>2793028.491</v>
      </c>
      <c r="Z960" s="65">
        <f>IFS(
  B960&lt;55,
    MIN(
      IF(AA959 &gt;= VLOOKUP(YEAR(A960), Lookup!$Q:$R, 2),
        Z959 + IF(MONTH(A960)=12, Q960+W960, 0) + I960
          + AA959 + IF(MONTH(A960)=12, R960+X960, 0) - VLOOKUP(YEAR(A960), Lookup!$Q:$R, 2) + J960,
        Z959 + IF(MONTH(A960)=12, Q960+W960, 0) + I960
      ),
      VLOOKUP(YEAR(A960), Lookup!$K:$M, 3)
    ),
  B960=55,
    IF(Z959 &gt;= AD960, Z959 - AD960, 0),
  B960&gt;55, 0
)</f>
        <v>0</v>
      </c>
      <c r="AA960" s="65">
        <f>IFS(
  B960&lt;65,
    IF(AA959+J960 &lt; VLOOKUP(YEAR(A960), Lookup!$Q:$R, 2),
      AA959 + IF(MONTH(A960)=12, R959+X959, 0) + J960,
      MIN(
        AA959 + IF(MONTH(A960)=12, R959+X959, 0) + J960 ,
        VLOOKUP(YEAR(A960), Lookup!$Q:$R, 2)
      )
    ),
  B960&gt;=65,
    IF(AA959+J960 &lt; VLOOKUP(questions!$C$5, Lookup!$Q:$R, 2),
      AA959 + IF(MONTH(A960)=12, R959+X959, 0) + J960 ,
      MIN(
        AA959 + IF(MONTH(A960)=12, R959+X959, 0) + J960,
        VLOOKUP(questions!$C$5, Lookup!$Q:$R, 2)
      )
    )
)</f>
        <v>282111.0086</v>
      </c>
      <c r="AB960" s="65">
        <f t="shared" si="13"/>
        <v>4936899.833</v>
      </c>
      <c r="AC960" s="66">
        <f t="array" ref="AC960">IFS(B960&lt;66, XLOOKUP(year(A960),Lookup!$K$13:$K1000,Lookup!$L$13:$L1000,"missing",,1),B960&gt;65,XLOOKUP(questions!$C$5,Lookup!$K$13:$K1000,Lookup!$L$13:$L1000,"missing",,1))</f>
        <v>393675.3633</v>
      </c>
      <c r="AD960" s="66">
        <f t="array" ref="AD960">IFS(B960&lt;66, XLOOKUP(year(A960),Lookup!$K$13:$K1000,Lookup!$M$13:$M1000,"missing",,1),B960&gt;65, XLOOKUP(questions!$C$5,Lookup!$K$13:$K1000,Lookup!$M$13:$M1000,"missing",,1))</f>
        <v>787350.7266</v>
      </c>
      <c r="AE960" s="66">
        <f t="array" ref="AE960">IFS(B960&lt;66, XLOOKUP(year(A960),Lookup!$K$13:$K1000,Lookup!$N$13:$N1000,"missing",,1),B960&gt;65,XLOOKUP(questions!$C$5,Lookup!$K$13:$K1000,Lookup!$N$13:$N1000,"missing",,1))</f>
        <v>1574701.453</v>
      </c>
      <c r="AF960" s="37"/>
      <c r="AG960" s="37"/>
      <c r="AH960" s="37"/>
      <c r="AI960" s="37"/>
      <c r="AJ960" s="37"/>
      <c r="AK960" s="37"/>
      <c r="AL960" s="37"/>
      <c r="AM960" s="37"/>
      <c r="AN960" s="37"/>
      <c r="AO960" s="37"/>
      <c r="AP960" s="37"/>
      <c r="AQ960" s="37"/>
    </row>
    <row r="961">
      <c r="A961" s="55">
        <f t="shared" si="7"/>
        <v>75272</v>
      </c>
      <c r="B961" s="56">
        <f>round(YEARFRAC(EOMONTH(questions!$C$3, 0),A961,1),2)</f>
        <v>107.17</v>
      </c>
      <c r="C961" s="58">
        <f>IF(B961&lt;questions!$C$6,if(MONTH(A961)=1,C960*(1+questions!$C$12),C960),0)</f>
        <v>0</v>
      </c>
      <c r="D961" s="58">
        <f>IF(MONTH(A961)=12,C961*questions!$C$11,0)</f>
        <v>0</v>
      </c>
      <c r="E961" s="71">
        <f t="shared" si="2"/>
        <v>0</v>
      </c>
      <c r="F961" s="71">
        <f t="shared" si="3"/>
        <v>0</v>
      </c>
      <c r="G961" s="61">
        <f t="array" ref="G961">if(YEAR(A961)=2025,XLOOKUP(B961,Lookup!$A$3:$A$7,Lookup!$D$3:$D$7,,1)*SUM(E961:F961), XLOOKUP(B961,Lookup!$A$14:$A$18,Lookup!$D$14:$D$18,,1)*SUM(E961:F961))</f>
        <v>0</v>
      </c>
      <c r="H961" s="61">
        <f t="array" ref="H961">if(YEAR(A961)=2025,XLOOKUP(B961,Lookup!$F$3:$F$10,Lookup!$G$3:$G$10,,1)*G961, XLOOKUP(B961,Lookup!$F$14:$F$21,Lookup!$G$14:$G$21,,1)*G961)</f>
        <v>0</v>
      </c>
      <c r="I961" s="61">
        <f t="array" ref="I961">if(B961&lt;55, if(YEAR(A961)=2025,XLOOKUP(B961,Lookup!$F$3:$F$10,Lookup!$H$3:$H$10,,1)*G961, XLOOKUP(B961,Lookup!$F$14:$F$21,Lookup!$H$14:$H$21,,1)*G961),0)</f>
        <v>0</v>
      </c>
      <c r="J961" s="61">
        <f t="array" ref="J961">if(YEAR(A961)=2025,XLOOKUP(B961,Lookup!$F$3:$F$10,Lookup!$I$3:$I$10,,1)*G961, XLOOKUP(B961,Lookup!$F$14:$F$21,Lookup!$I$14:$I$21,,1)*G961)</f>
        <v>0</v>
      </c>
      <c r="K961" s="61">
        <f t="array" ref="K961">if(B961&gt;54, if(YEAR(A961)=2025,XLOOKUP(B961,Lookup!$F$3:$F$10,Lookup!$H$3:$H$10,,1)*G961, XLOOKUP(B961,Lookup!$F$14:$F$21,Lookup!$H$14:$H$21,,1)*G961),0)</f>
        <v>0</v>
      </c>
      <c r="L961" s="62">
        <f>IF(and(A961&lt;questions!$C$19,questions!$C$18="yes"),questions!$C$20,0)</f>
        <v>0</v>
      </c>
      <c r="M961" s="63">
        <f>(Y960+H961)*Lookup!A$26/12</f>
        <v>5818.809357</v>
      </c>
      <c r="N961" s="63">
        <f>if(B961&lt;55, (Z960+I961)*Lookup!B$26/12, (AB960+K961)*Lookup!B$26/12)</f>
        <v>16456.33278</v>
      </c>
      <c r="O961" s="63">
        <f>(AA960+J961)*Lookup!C$26/12</f>
        <v>940.3700287</v>
      </c>
      <c r="P961" s="63">
        <f t="shared" si="8"/>
        <v>5818.809357</v>
      </c>
      <c r="Q961" s="63">
        <f t="shared" si="4"/>
        <v>16456.33278</v>
      </c>
      <c r="R961" s="63">
        <f t="shared" si="5"/>
        <v>940.3700287</v>
      </c>
      <c r="S961" s="64">
        <f t="shared" si="9"/>
        <v>33.33333333</v>
      </c>
      <c r="T961" s="64">
        <f t="shared" si="10"/>
        <v>41.66666667</v>
      </c>
      <c r="U961" s="64">
        <f t="shared" si="11"/>
        <v>0</v>
      </c>
      <c r="V961" s="64">
        <f t="shared" ref="V961:X961" si="969">IF(year($A961)=year($A960), V960+S961, S961)</f>
        <v>33.33333333</v>
      </c>
      <c r="W961" s="64">
        <f t="shared" si="969"/>
        <v>41.66666667</v>
      </c>
      <c r="X961" s="64">
        <f t="shared" si="969"/>
        <v>0</v>
      </c>
      <c r="Y961" s="65">
        <f>IFS(
  B961&lt;55,
    MAX(
      Y960 + IF(MONTH(A961)=12, P961+V961, 0) + H961 - L961
      + MAX(0,
          IF(AA960 &gt;= VLOOKUP(YEAR(A961), Lookup!$Q:$R, 2),
            Z960 + IF(MONTH(A961)=12, Q961+W961, 0) + I961
              + AA960 + IF(MONTH(A961)=12, R961+X961, 0)
              - VLOOKUP(YEAR(A961), Lookup!$Q:$R, 2) + J961,
            Z960 + IF(MONTH(A961)=12, Q961+W961, 0) + I961
          ) - VLOOKUP(YEAR(A961), Lookup!$K:$M, 3)
        ),
    0),
  B961=55,
    IF(Z960&gt;=AD961,
      MAX(Y960 + IF(MONTH(A961)=12, P961+V961, 0) + H961 - L961, 0),
      MAX(MAX(0, Y960-(AD961-Z960)) + IF(MONTH(A961)=12, P961+V961, 0) + H961 - L961, 0)
    ),
  B961&gt;55,
    IF(AB960&gt;=$AH$7,
      MAX(Y960 + IF(MONTH(A961)=12, P961+V961, 0) + H961 - L961 + K961 + Z960, 0),
      MAX(Y960 + IF(MONTH(A961)=12, P961+V961, 0) + H961 - L961, 0)
    )
)</f>
        <v>2793028.491</v>
      </c>
      <c r="Z961" s="65">
        <f>IFS(
  B961&lt;55,
    MIN(
      IF(AA960 &gt;= VLOOKUP(YEAR(A961), Lookup!$Q:$R, 2),
        Z960 + IF(MONTH(A961)=12, Q961+W961, 0) + I961
          + AA960 + IF(MONTH(A961)=12, R961+X961, 0) - VLOOKUP(YEAR(A961), Lookup!$Q:$R, 2) + J961,
        Z960 + IF(MONTH(A961)=12, Q961+W961, 0) + I961
      ),
      VLOOKUP(YEAR(A961), Lookup!$K:$M, 3)
    ),
  B961=55,
    IF(Z960 &gt;= AD961, Z960 - AD961, 0),
  B961&gt;55, 0
)</f>
        <v>0</v>
      </c>
      <c r="AA961" s="65">
        <f>IFS(
  B961&lt;65,
    IF(AA960+J961 &lt; VLOOKUP(YEAR(A961), Lookup!$Q:$R, 2),
      AA960 + IF(MONTH(A961)=12, R960+X960, 0) + J961,
      MIN(
        AA960 + IF(MONTH(A961)=12, R960+X960, 0) + J961 ,
        VLOOKUP(YEAR(A961), Lookup!$Q:$R, 2)
      )
    ),
  B961&gt;=65,
    IF(AA960+J961 &lt; VLOOKUP(questions!$C$5, Lookup!$Q:$R, 2),
      AA960 + IF(MONTH(A961)=12, R960+X960, 0) + J961 ,
      MIN(
        AA960 + IF(MONTH(A961)=12, R960+X960, 0) + J961,
        VLOOKUP(questions!$C$5, Lookup!$Q:$R, 2)
      )
    )
)</f>
        <v>282111.0086</v>
      </c>
      <c r="AB961" s="65">
        <f t="shared" si="13"/>
        <v>4936899.833</v>
      </c>
      <c r="AC961" s="66">
        <f t="array" ref="AC961">IFS(B961&lt;66, XLOOKUP(year(A961),Lookup!$K$13:$K1000,Lookup!$L$13:$L1000,"missing",,1),B961&gt;65,XLOOKUP(questions!$C$5,Lookup!$K$13:$K1000,Lookup!$L$13:$L1000,"missing",,1))</f>
        <v>393675.3633</v>
      </c>
      <c r="AD961" s="66">
        <f t="array" ref="AD961">IFS(B961&lt;66, XLOOKUP(year(A961),Lookup!$K$13:$K1000,Lookup!$M$13:$M1000,"missing",,1),B961&gt;65, XLOOKUP(questions!$C$5,Lookup!$K$13:$K1000,Lookup!$M$13:$M1000,"missing",,1))</f>
        <v>787350.7266</v>
      </c>
      <c r="AE961" s="66">
        <f t="array" ref="AE961">IFS(B961&lt;66, XLOOKUP(year(A961),Lookup!$K$13:$K1000,Lookup!$N$13:$N1000,"missing",,1),B961&gt;65,XLOOKUP(questions!$C$5,Lookup!$K$13:$K1000,Lookup!$N$13:$N1000,"missing",,1))</f>
        <v>1574701.453</v>
      </c>
      <c r="AF961" s="37"/>
      <c r="AG961" s="37"/>
      <c r="AH961" s="37"/>
      <c r="AI961" s="37"/>
      <c r="AJ961" s="37"/>
      <c r="AK961" s="37"/>
      <c r="AL961" s="37"/>
      <c r="AM961" s="37"/>
      <c r="AN961" s="37"/>
      <c r="AO961" s="37"/>
      <c r="AP961" s="37"/>
      <c r="AQ961" s="37"/>
    </row>
    <row r="962">
      <c r="A962" s="55">
        <f t="shared" si="7"/>
        <v>75300</v>
      </c>
      <c r="B962" s="56">
        <f>round(YEARFRAC(EOMONTH(questions!$C$3, 0),A962,1),2)</f>
        <v>107.25</v>
      </c>
      <c r="C962" s="58">
        <f>IF(B962&lt;questions!$C$6,if(MONTH(A962)=1,C961*(1+questions!$C$12),C961),0)</f>
        <v>0</v>
      </c>
      <c r="D962" s="58">
        <f>IF(MONTH(A962)=12,C962*questions!$C$11,0)</f>
        <v>0</v>
      </c>
      <c r="E962" s="71">
        <f t="shared" si="2"/>
        <v>0</v>
      </c>
      <c r="F962" s="71">
        <f t="shared" si="3"/>
        <v>0</v>
      </c>
      <c r="G962" s="61">
        <f t="array" ref="G962">if(YEAR(A962)=2025,XLOOKUP(B962,Lookup!$A$3:$A$7,Lookup!$D$3:$D$7,,1)*SUM(E962:F962), XLOOKUP(B962,Lookup!$A$14:$A$18,Lookup!$D$14:$D$18,,1)*SUM(E962:F962))</f>
        <v>0</v>
      </c>
      <c r="H962" s="61">
        <f t="array" ref="H962">if(YEAR(A962)=2025,XLOOKUP(B962,Lookup!$F$3:$F$10,Lookup!$G$3:$G$10,,1)*G962, XLOOKUP(B962,Lookup!$F$14:$F$21,Lookup!$G$14:$G$21,,1)*G962)</f>
        <v>0</v>
      </c>
      <c r="I962" s="61">
        <f t="array" ref="I962">if(B962&lt;55, if(YEAR(A962)=2025,XLOOKUP(B962,Lookup!$F$3:$F$10,Lookup!$H$3:$H$10,,1)*G962, XLOOKUP(B962,Lookup!$F$14:$F$21,Lookup!$H$14:$H$21,,1)*G962),0)</f>
        <v>0</v>
      </c>
      <c r="J962" s="61">
        <f t="array" ref="J962">if(YEAR(A962)=2025,XLOOKUP(B962,Lookup!$F$3:$F$10,Lookup!$I$3:$I$10,,1)*G962, XLOOKUP(B962,Lookup!$F$14:$F$21,Lookup!$I$14:$I$21,,1)*G962)</f>
        <v>0</v>
      </c>
      <c r="K962" s="61">
        <f t="array" ref="K962">if(B962&gt;54, if(YEAR(A962)=2025,XLOOKUP(B962,Lookup!$F$3:$F$10,Lookup!$H$3:$H$10,,1)*G962, XLOOKUP(B962,Lookup!$F$14:$F$21,Lookup!$H$14:$H$21,,1)*G962),0)</f>
        <v>0</v>
      </c>
      <c r="L962" s="62">
        <f>IF(and(A962&lt;questions!$C$19,questions!$C$18="yes"),questions!$C$20,0)</f>
        <v>0</v>
      </c>
      <c r="M962" s="63">
        <f>(Y961+H962)*Lookup!A$26/12</f>
        <v>5818.809357</v>
      </c>
      <c r="N962" s="63">
        <f>if(B962&lt;55, (Z961+I962)*Lookup!B$26/12, (AB961+K962)*Lookup!B$26/12)</f>
        <v>16456.33278</v>
      </c>
      <c r="O962" s="63">
        <f>(AA961+J962)*Lookup!C$26/12</f>
        <v>940.3700287</v>
      </c>
      <c r="P962" s="63">
        <f t="shared" si="8"/>
        <v>11637.61871</v>
      </c>
      <c r="Q962" s="63">
        <f t="shared" si="4"/>
        <v>32912.66556</v>
      </c>
      <c r="R962" s="63">
        <f t="shared" si="5"/>
        <v>1880.740057</v>
      </c>
      <c r="S962" s="64">
        <f t="shared" si="9"/>
        <v>33.33333333</v>
      </c>
      <c r="T962" s="64">
        <f t="shared" si="10"/>
        <v>41.66666667</v>
      </c>
      <c r="U962" s="64">
        <f t="shared" si="11"/>
        <v>0</v>
      </c>
      <c r="V962" s="64">
        <f t="shared" ref="V962:X962" si="970">IF(year($A962)=year($A961), V961+S962, S962)</f>
        <v>66.66666667</v>
      </c>
      <c r="W962" s="64">
        <f t="shared" si="970"/>
        <v>83.33333333</v>
      </c>
      <c r="X962" s="64">
        <f t="shared" si="970"/>
        <v>0</v>
      </c>
      <c r="Y962" s="65">
        <f>IFS(
  B962&lt;55,
    MAX(
      Y961 + IF(MONTH(A962)=12, P962+V962, 0) + H962 - L962
      + MAX(0,
          IF(AA961 &gt;= VLOOKUP(YEAR(A962), Lookup!$Q:$R, 2),
            Z961 + IF(MONTH(A962)=12, Q962+W962, 0) + I962
              + AA961 + IF(MONTH(A962)=12, R962+X962, 0)
              - VLOOKUP(YEAR(A962), Lookup!$Q:$R, 2) + J962,
            Z961 + IF(MONTH(A962)=12, Q962+W962, 0) + I962
          ) - VLOOKUP(YEAR(A962), Lookup!$K:$M, 3)
        ),
    0),
  B962=55,
    IF(Z961&gt;=AD962,
      MAX(Y961 + IF(MONTH(A962)=12, P962+V962, 0) + H962 - L962, 0),
      MAX(MAX(0, Y961-(AD962-Z961)) + IF(MONTH(A962)=12, P962+V962, 0) + H962 - L962, 0)
    ),
  B962&gt;55,
    IF(AB961&gt;=$AH$7,
      MAX(Y961 + IF(MONTH(A962)=12, P962+V962, 0) + H962 - L962 + K962 + Z961, 0),
      MAX(Y961 + IF(MONTH(A962)=12, P962+V962, 0) + H962 - L962, 0)
    )
)</f>
        <v>2793028.491</v>
      </c>
      <c r="Z962" s="65">
        <f>IFS(
  B962&lt;55,
    MIN(
      IF(AA961 &gt;= VLOOKUP(YEAR(A962), Lookup!$Q:$R, 2),
        Z961 + IF(MONTH(A962)=12, Q962+W962, 0) + I962
          + AA961 + IF(MONTH(A962)=12, R962+X962, 0) - VLOOKUP(YEAR(A962), Lookup!$Q:$R, 2) + J962,
        Z961 + IF(MONTH(A962)=12, Q962+W962, 0) + I962
      ),
      VLOOKUP(YEAR(A962), Lookup!$K:$M, 3)
    ),
  B962=55,
    IF(Z961 &gt;= AD962, Z961 - AD962, 0),
  B962&gt;55, 0
)</f>
        <v>0</v>
      </c>
      <c r="AA962" s="65">
        <f>IFS(
  B962&lt;65,
    IF(AA961+J962 &lt; VLOOKUP(YEAR(A962), Lookup!$Q:$R, 2),
      AA961 + IF(MONTH(A962)=12, R961+X961, 0) + J962,
      MIN(
        AA961 + IF(MONTH(A962)=12, R961+X961, 0) + J962 ,
        VLOOKUP(YEAR(A962), Lookup!$Q:$R, 2)
      )
    ),
  B962&gt;=65,
    IF(AA961+J962 &lt; VLOOKUP(questions!$C$5, Lookup!$Q:$R, 2),
      AA961 + IF(MONTH(A962)=12, R961+X961, 0) + J962 ,
      MIN(
        AA961 + IF(MONTH(A962)=12, R961+X961, 0) + J962,
        VLOOKUP(questions!$C$5, Lookup!$Q:$R, 2)
      )
    )
)</f>
        <v>282111.0086</v>
      </c>
      <c r="AB962" s="65">
        <f t="shared" si="13"/>
        <v>4936899.833</v>
      </c>
      <c r="AC962" s="66">
        <f t="array" ref="AC962">IFS(B962&lt;66, XLOOKUP(year(A962),Lookup!$K$13:$K1000,Lookup!$L$13:$L1000,"missing",,1),B962&gt;65,XLOOKUP(questions!$C$5,Lookup!$K$13:$K1000,Lookup!$L$13:$L1000,"missing",,1))</f>
        <v>393675.3633</v>
      </c>
      <c r="AD962" s="66">
        <f t="array" ref="AD962">IFS(B962&lt;66, XLOOKUP(year(A962),Lookup!$K$13:$K1000,Lookup!$M$13:$M1000,"missing",,1),B962&gt;65, XLOOKUP(questions!$C$5,Lookup!$K$13:$K1000,Lookup!$M$13:$M1000,"missing",,1))</f>
        <v>787350.7266</v>
      </c>
      <c r="AE962" s="66">
        <f t="array" ref="AE962">IFS(B962&lt;66, XLOOKUP(year(A962),Lookup!$K$13:$K1000,Lookup!$N$13:$N1000,"missing",,1),B962&gt;65,XLOOKUP(questions!$C$5,Lookup!$K$13:$K1000,Lookup!$N$13:$N1000,"missing",,1))</f>
        <v>1574701.453</v>
      </c>
      <c r="AF962" s="37"/>
      <c r="AG962" s="37"/>
      <c r="AH962" s="37"/>
      <c r="AI962" s="37"/>
      <c r="AJ962" s="37"/>
      <c r="AK962" s="37"/>
      <c r="AL962" s="37"/>
      <c r="AM962" s="37"/>
      <c r="AN962" s="37"/>
      <c r="AO962" s="37"/>
      <c r="AP962" s="37"/>
      <c r="AQ962" s="37"/>
    </row>
    <row r="963">
      <c r="A963" s="55">
        <f t="shared" si="7"/>
        <v>75331</v>
      </c>
      <c r="B963" s="56">
        <f>round(YEARFRAC(EOMONTH(questions!$C$3, 0),A963,1),2)</f>
        <v>107.33</v>
      </c>
      <c r="C963" s="58">
        <f>IF(B963&lt;questions!$C$6,if(MONTH(A963)=1,C962*(1+questions!$C$12),C962),0)</f>
        <v>0</v>
      </c>
      <c r="D963" s="58">
        <f>IF(MONTH(A963)=12,C963*questions!$C$11,0)</f>
        <v>0</v>
      </c>
      <c r="E963" s="71">
        <f t="shared" si="2"/>
        <v>0</v>
      </c>
      <c r="F963" s="71">
        <f t="shared" si="3"/>
        <v>0</v>
      </c>
      <c r="G963" s="61">
        <f t="array" ref="G963">if(YEAR(A963)=2025,XLOOKUP(B963,Lookup!$A$3:$A$7,Lookup!$D$3:$D$7,,1)*SUM(E963:F963), XLOOKUP(B963,Lookup!$A$14:$A$18,Lookup!$D$14:$D$18,,1)*SUM(E963:F963))</f>
        <v>0</v>
      </c>
      <c r="H963" s="61">
        <f t="array" ref="H963">if(YEAR(A963)=2025,XLOOKUP(B963,Lookup!$F$3:$F$10,Lookup!$G$3:$G$10,,1)*G963, XLOOKUP(B963,Lookup!$F$14:$F$21,Lookup!$G$14:$G$21,,1)*G963)</f>
        <v>0</v>
      </c>
      <c r="I963" s="61">
        <f t="array" ref="I963">if(B963&lt;55, if(YEAR(A963)=2025,XLOOKUP(B963,Lookup!$F$3:$F$10,Lookup!$H$3:$H$10,,1)*G963, XLOOKUP(B963,Lookup!$F$14:$F$21,Lookup!$H$14:$H$21,,1)*G963),0)</f>
        <v>0</v>
      </c>
      <c r="J963" s="61">
        <f t="array" ref="J963">if(YEAR(A963)=2025,XLOOKUP(B963,Lookup!$F$3:$F$10,Lookup!$I$3:$I$10,,1)*G963, XLOOKUP(B963,Lookup!$F$14:$F$21,Lookup!$I$14:$I$21,,1)*G963)</f>
        <v>0</v>
      </c>
      <c r="K963" s="61">
        <f t="array" ref="K963">if(B963&gt;54, if(YEAR(A963)=2025,XLOOKUP(B963,Lookup!$F$3:$F$10,Lookup!$H$3:$H$10,,1)*G963, XLOOKUP(B963,Lookup!$F$14:$F$21,Lookup!$H$14:$H$21,,1)*G963),0)</f>
        <v>0</v>
      </c>
      <c r="L963" s="62">
        <f>IF(and(A963&lt;questions!$C$19,questions!$C$18="yes"),questions!$C$20,0)</f>
        <v>0</v>
      </c>
      <c r="M963" s="63">
        <f>(Y962+H963)*Lookup!A$26/12</f>
        <v>5818.809357</v>
      </c>
      <c r="N963" s="63">
        <f>if(B963&lt;55, (Z962+I963)*Lookup!B$26/12, (AB962+K963)*Lookup!B$26/12)</f>
        <v>16456.33278</v>
      </c>
      <c r="O963" s="63">
        <f>(AA962+J963)*Lookup!C$26/12</f>
        <v>940.3700287</v>
      </c>
      <c r="P963" s="63">
        <f t="shared" si="8"/>
        <v>17456.42807</v>
      </c>
      <c r="Q963" s="63">
        <f t="shared" si="4"/>
        <v>49368.99833</v>
      </c>
      <c r="R963" s="63">
        <f t="shared" si="5"/>
        <v>2821.110086</v>
      </c>
      <c r="S963" s="64">
        <f t="shared" si="9"/>
        <v>33.33333333</v>
      </c>
      <c r="T963" s="64">
        <f t="shared" si="10"/>
        <v>41.66666667</v>
      </c>
      <c r="U963" s="64">
        <f t="shared" si="11"/>
        <v>0</v>
      </c>
      <c r="V963" s="64">
        <f t="shared" ref="V963:X963" si="971">IF(year($A963)=year($A962), V962+S963, S963)</f>
        <v>100</v>
      </c>
      <c r="W963" s="64">
        <f t="shared" si="971"/>
        <v>125</v>
      </c>
      <c r="X963" s="64">
        <f t="shared" si="971"/>
        <v>0</v>
      </c>
      <c r="Y963" s="65">
        <f>IFS(
  B963&lt;55,
    MAX(
      Y962 + IF(MONTH(A963)=12, P963+V963, 0) + H963 - L963
      + MAX(0,
          IF(AA962 &gt;= VLOOKUP(YEAR(A963), Lookup!$Q:$R, 2),
            Z962 + IF(MONTH(A963)=12, Q963+W963, 0) + I963
              + AA962 + IF(MONTH(A963)=12, R963+X963, 0)
              - VLOOKUP(YEAR(A963), Lookup!$Q:$R, 2) + J963,
            Z962 + IF(MONTH(A963)=12, Q963+W963, 0) + I963
          ) - VLOOKUP(YEAR(A963), Lookup!$K:$M, 3)
        ),
    0),
  B963=55,
    IF(Z962&gt;=AD963,
      MAX(Y962 + IF(MONTH(A963)=12, P963+V963, 0) + H963 - L963, 0),
      MAX(MAX(0, Y962-(AD963-Z962)) + IF(MONTH(A963)=12, P963+V963, 0) + H963 - L963, 0)
    ),
  B963&gt;55,
    IF(AB962&gt;=$AH$7,
      MAX(Y962 + IF(MONTH(A963)=12, P963+V963, 0) + H963 - L963 + K963 + Z962, 0),
      MAX(Y962 + IF(MONTH(A963)=12, P963+V963, 0) + H963 - L963, 0)
    )
)</f>
        <v>2793028.491</v>
      </c>
      <c r="Z963" s="65">
        <f>IFS(
  B963&lt;55,
    MIN(
      IF(AA962 &gt;= VLOOKUP(YEAR(A963), Lookup!$Q:$R, 2),
        Z962 + IF(MONTH(A963)=12, Q963+W963, 0) + I963
          + AA962 + IF(MONTH(A963)=12, R963+X963, 0) - VLOOKUP(YEAR(A963), Lookup!$Q:$R, 2) + J963,
        Z962 + IF(MONTH(A963)=12, Q963+W963, 0) + I963
      ),
      VLOOKUP(YEAR(A963), Lookup!$K:$M, 3)
    ),
  B963=55,
    IF(Z962 &gt;= AD963, Z962 - AD963, 0),
  B963&gt;55, 0
)</f>
        <v>0</v>
      </c>
      <c r="AA963" s="65">
        <f>IFS(
  B963&lt;65,
    IF(AA962+J963 &lt; VLOOKUP(YEAR(A963), Lookup!$Q:$R, 2),
      AA962 + IF(MONTH(A963)=12, R962+X962, 0) + J963,
      MIN(
        AA962 + IF(MONTH(A963)=12, R962+X962, 0) + J963 ,
        VLOOKUP(YEAR(A963), Lookup!$Q:$R, 2)
      )
    ),
  B963&gt;=65,
    IF(AA962+J963 &lt; VLOOKUP(questions!$C$5, Lookup!$Q:$R, 2),
      AA962 + IF(MONTH(A963)=12, R962+X962, 0) + J963 ,
      MIN(
        AA962 + IF(MONTH(A963)=12, R962+X962, 0) + J963,
        VLOOKUP(questions!$C$5, Lookup!$Q:$R, 2)
      )
    )
)</f>
        <v>282111.0086</v>
      </c>
      <c r="AB963" s="65">
        <f t="shared" si="13"/>
        <v>4936899.833</v>
      </c>
      <c r="AC963" s="66">
        <f t="array" ref="AC963">IFS(B963&lt;66, XLOOKUP(year(A963),Lookup!$K$13:$K1000,Lookup!$L$13:$L1000,"missing",,1),B963&gt;65,XLOOKUP(questions!$C$5,Lookup!$K$13:$K1000,Lookup!$L$13:$L1000,"missing",,1))</f>
        <v>393675.3633</v>
      </c>
      <c r="AD963" s="66">
        <f t="array" ref="AD963">IFS(B963&lt;66, XLOOKUP(year(A963),Lookup!$K$13:$K1000,Lookup!$M$13:$M1000,"missing",,1),B963&gt;65, XLOOKUP(questions!$C$5,Lookup!$K$13:$K1000,Lookup!$M$13:$M1000,"missing",,1))</f>
        <v>787350.7266</v>
      </c>
      <c r="AE963" s="66">
        <f t="array" ref="AE963">IFS(B963&lt;66, XLOOKUP(year(A963),Lookup!$K$13:$K1000,Lookup!$N$13:$N1000,"missing",,1),B963&gt;65,XLOOKUP(questions!$C$5,Lookup!$K$13:$K1000,Lookup!$N$13:$N1000,"missing",,1))</f>
        <v>1574701.453</v>
      </c>
      <c r="AF963" s="37"/>
      <c r="AG963" s="37"/>
      <c r="AH963" s="37"/>
      <c r="AI963" s="37"/>
      <c r="AJ963" s="37"/>
      <c r="AK963" s="37"/>
      <c r="AL963" s="37"/>
      <c r="AM963" s="37"/>
      <c r="AN963" s="37"/>
      <c r="AO963" s="37"/>
      <c r="AP963" s="37"/>
      <c r="AQ963" s="37"/>
    </row>
    <row r="964">
      <c r="A964" s="55">
        <f t="shared" si="7"/>
        <v>75361</v>
      </c>
      <c r="B964" s="56">
        <f>round(YEARFRAC(EOMONTH(questions!$C$3, 0),A964,1),2)</f>
        <v>107.41</v>
      </c>
      <c r="C964" s="58">
        <f>IF(B964&lt;questions!$C$6,if(MONTH(A964)=1,C963*(1+questions!$C$12),C963),0)</f>
        <v>0</v>
      </c>
      <c r="D964" s="58">
        <f>IF(MONTH(A964)=12,C964*questions!$C$11,0)</f>
        <v>0</v>
      </c>
      <c r="E964" s="71">
        <f t="shared" si="2"/>
        <v>0</v>
      </c>
      <c r="F964" s="71">
        <f t="shared" si="3"/>
        <v>0</v>
      </c>
      <c r="G964" s="61">
        <f t="array" ref="G964">if(YEAR(A964)=2025,XLOOKUP(B964,Lookup!$A$3:$A$7,Lookup!$D$3:$D$7,,1)*SUM(E964:F964), XLOOKUP(B964,Lookup!$A$14:$A$18,Lookup!$D$14:$D$18,,1)*SUM(E964:F964))</f>
        <v>0</v>
      </c>
      <c r="H964" s="61">
        <f t="array" ref="H964">if(YEAR(A964)=2025,XLOOKUP(B964,Lookup!$F$3:$F$10,Lookup!$G$3:$G$10,,1)*G964, XLOOKUP(B964,Lookup!$F$14:$F$21,Lookup!$G$14:$G$21,,1)*G964)</f>
        <v>0</v>
      </c>
      <c r="I964" s="61">
        <f t="array" ref="I964">if(B964&lt;55, if(YEAR(A964)=2025,XLOOKUP(B964,Lookup!$F$3:$F$10,Lookup!$H$3:$H$10,,1)*G964, XLOOKUP(B964,Lookup!$F$14:$F$21,Lookup!$H$14:$H$21,,1)*G964),0)</f>
        <v>0</v>
      </c>
      <c r="J964" s="61">
        <f t="array" ref="J964">if(YEAR(A964)=2025,XLOOKUP(B964,Lookup!$F$3:$F$10,Lookup!$I$3:$I$10,,1)*G964, XLOOKUP(B964,Lookup!$F$14:$F$21,Lookup!$I$14:$I$21,,1)*G964)</f>
        <v>0</v>
      </c>
      <c r="K964" s="61">
        <f t="array" ref="K964">if(B964&gt;54, if(YEAR(A964)=2025,XLOOKUP(B964,Lookup!$F$3:$F$10,Lookup!$H$3:$H$10,,1)*G964, XLOOKUP(B964,Lookup!$F$14:$F$21,Lookup!$H$14:$H$21,,1)*G964),0)</f>
        <v>0</v>
      </c>
      <c r="L964" s="62">
        <f>IF(and(A964&lt;questions!$C$19,questions!$C$18="yes"),questions!$C$20,0)</f>
        <v>0</v>
      </c>
      <c r="M964" s="63">
        <f>(Y963+H964)*Lookup!A$26/12</f>
        <v>5818.809357</v>
      </c>
      <c r="N964" s="63">
        <f>if(B964&lt;55, (Z963+I964)*Lookup!B$26/12, (AB963+K964)*Lookup!B$26/12)</f>
        <v>16456.33278</v>
      </c>
      <c r="O964" s="63">
        <f>(AA963+J964)*Lookup!C$26/12</f>
        <v>940.3700287</v>
      </c>
      <c r="P964" s="63">
        <f t="shared" si="8"/>
        <v>23275.23743</v>
      </c>
      <c r="Q964" s="63">
        <f t="shared" si="4"/>
        <v>65825.33111</v>
      </c>
      <c r="R964" s="63">
        <f t="shared" si="5"/>
        <v>3761.480115</v>
      </c>
      <c r="S964" s="64">
        <f t="shared" si="9"/>
        <v>33.33333333</v>
      </c>
      <c r="T964" s="64">
        <f t="shared" si="10"/>
        <v>41.66666667</v>
      </c>
      <c r="U964" s="64">
        <f t="shared" si="11"/>
        <v>0</v>
      </c>
      <c r="V964" s="64">
        <f t="shared" ref="V964:X964" si="972">IF(year($A964)=year($A963), V963+S964, S964)</f>
        <v>133.3333333</v>
      </c>
      <c r="W964" s="64">
        <f t="shared" si="972"/>
        <v>166.6666667</v>
      </c>
      <c r="X964" s="64">
        <f t="shared" si="972"/>
        <v>0</v>
      </c>
      <c r="Y964" s="65">
        <f>IFS(
  B964&lt;55,
    MAX(
      Y963 + IF(MONTH(A964)=12, P964+V964, 0) + H964 - L964
      + MAX(0,
          IF(AA963 &gt;= VLOOKUP(YEAR(A964), Lookup!$Q:$R, 2),
            Z963 + IF(MONTH(A964)=12, Q964+W964, 0) + I964
              + AA963 + IF(MONTH(A964)=12, R964+X964, 0)
              - VLOOKUP(YEAR(A964), Lookup!$Q:$R, 2) + J964,
            Z963 + IF(MONTH(A964)=12, Q964+W964, 0) + I964
          ) - VLOOKUP(YEAR(A964), Lookup!$K:$M, 3)
        ),
    0),
  B964=55,
    IF(Z963&gt;=AD964,
      MAX(Y963 + IF(MONTH(A964)=12, P964+V964, 0) + H964 - L964, 0),
      MAX(MAX(0, Y963-(AD964-Z963)) + IF(MONTH(A964)=12, P964+V964, 0) + H964 - L964, 0)
    ),
  B964&gt;55,
    IF(AB963&gt;=$AH$7,
      MAX(Y963 + IF(MONTH(A964)=12, P964+V964, 0) + H964 - L964 + K964 + Z963, 0),
      MAX(Y963 + IF(MONTH(A964)=12, P964+V964, 0) + H964 - L964, 0)
    )
)</f>
        <v>2793028.491</v>
      </c>
      <c r="Z964" s="65">
        <f>IFS(
  B964&lt;55,
    MIN(
      IF(AA963 &gt;= VLOOKUP(YEAR(A964), Lookup!$Q:$R, 2),
        Z963 + IF(MONTH(A964)=12, Q964+W964, 0) + I964
          + AA963 + IF(MONTH(A964)=12, R964+X964, 0) - VLOOKUP(YEAR(A964), Lookup!$Q:$R, 2) + J964,
        Z963 + IF(MONTH(A964)=12, Q964+W964, 0) + I964
      ),
      VLOOKUP(YEAR(A964), Lookup!$K:$M, 3)
    ),
  B964=55,
    IF(Z963 &gt;= AD964, Z963 - AD964, 0),
  B964&gt;55, 0
)</f>
        <v>0</v>
      </c>
      <c r="AA964" s="65">
        <f>IFS(
  B964&lt;65,
    IF(AA963+J964 &lt; VLOOKUP(YEAR(A964), Lookup!$Q:$R, 2),
      AA963 + IF(MONTH(A964)=12, R963+X963, 0) + J964,
      MIN(
        AA963 + IF(MONTH(A964)=12, R963+X963, 0) + J964 ,
        VLOOKUP(YEAR(A964), Lookup!$Q:$R, 2)
      )
    ),
  B964&gt;=65,
    IF(AA963+J964 &lt; VLOOKUP(questions!$C$5, Lookup!$Q:$R, 2),
      AA963 + IF(MONTH(A964)=12, R963+X963, 0) + J964 ,
      MIN(
        AA963 + IF(MONTH(A964)=12, R963+X963, 0) + J964,
        VLOOKUP(questions!$C$5, Lookup!$Q:$R, 2)
      )
    )
)</f>
        <v>282111.0086</v>
      </c>
      <c r="AB964" s="65">
        <f t="shared" si="13"/>
        <v>4936899.833</v>
      </c>
      <c r="AC964" s="66">
        <f t="array" ref="AC964">IFS(B964&lt;66, XLOOKUP(year(A964),Lookup!$K$13:$K1000,Lookup!$L$13:$L1000,"missing",,1),B964&gt;65,XLOOKUP(questions!$C$5,Lookup!$K$13:$K1000,Lookup!$L$13:$L1000,"missing",,1))</f>
        <v>393675.3633</v>
      </c>
      <c r="AD964" s="66">
        <f t="array" ref="AD964">IFS(B964&lt;66, XLOOKUP(year(A964),Lookup!$K$13:$K1000,Lookup!$M$13:$M1000,"missing",,1),B964&gt;65, XLOOKUP(questions!$C$5,Lookup!$K$13:$K1000,Lookup!$M$13:$M1000,"missing",,1))</f>
        <v>787350.7266</v>
      </c>
      <c r="AE964" s="66">
        <f t="array" ref="AE964">IFS(B964&lt;66, XLOOKUP(year(A964),Lookup!$K$13:$K1000,Lookup!$N$13:$N1000,"missing",,1),B964&gt;65,XLOOKUP(questions!$C$5,Lookup!$K$13:$K1000,Lookup!$N$13:$N1000,"missing",,1))</f>
        <v>1574701.453</v>
      </c>
      <c r="AF964" s="37"/>
      <c r="AG964" s="37"/>
      <c r="AH964" s="37"/>
      <c r="AI964" s="37"/>
      <c r="AJ964" s="37"/>
      <c r="AK964" s="37"/>
      <c r="AL964" s="37"/>
      <c r="AM964" s="37"/>
      <c r="AN964" s="37"/>
      <c r="AO964" s="37"/>
      <c r="AP964" s="37"/>
      <c r="AQ964" s="37"/>
    </row>
    <row r="965">
      <c r="A965" s="55">
        <f t="shared" si="7"/>
        <v>75392</v>
      </c>
      <c r="B965" s="56">
        <f>round(YEARFRAC(EOMONTH(questions!$C$3, 0),A965,1),2)</f>
        <v>107.5</v>
      </c>
      <c r="C965" s="58">
        <f>IF(B965&lt;questions!$C$6,if(MONTH(A965)=1,C964*(1+questions!$C$12),C964),0)</f>
        <v>0</v>
      </c>
      <c r="D965" s="58">
        <f>IF(MONTH(A965)=12,C965*questions!$C$11,0)</f>
        <v>0</v>
      </c>
      <c r="E965" s="71">
        <f t="shared" si="2"/>
        <v>0</v>
      </c>
      <c r="F965" s="71">
        <f t="shared" si="3"/>
        <v>0</v>
      </c>
      <c r="G965" s="61">
        <f t="array" ref="G965">if(YEAR(A965)=2025,XLOOKUP(B965,Lookup!$A$3:$A$7,Lookup!$D$3:$D$7,,1)*SUM(E965:F965), XLOOKUP(B965,Lookup!$A$14:$A$18,Lookup!$D$14:$D$18,,1)*SUM(E965:F965))</f>
        <v>0</v>
      </c>
      <c r="H965" s="61">
        <f t="array" ref="H965">if(YEAR(A965)=2025,XLOOKUP(B965,Lookup!$F$3:$F$10,Lookup!$G$3:$G$10,,1)*G965, XLOOKUP(B965,Lookup!$F$14:$F$21,Lookup!$G$14:$G$21,,1)*G965)</f>
        <v>0</v>
      </c>
      <c r="I965" s="61">
        <f t="array" ref="I965">if(B965&lt;55, if(YEAR(A965)=2025,XLOOKUP(B965,Lookup!$F$3:$F$10,Lookup!$H$3:$H$10,,1)*G965, XLOOKUP(B965,Lookup!$F$14:$F$21,Lookup!$H$14:$H$21,,1)*G965),0)</f>
        <v>0</v>
      </c>
      <c r="J965" s="61">
        <f t="array" ref="J965">if(YEAR(A965)=2025,XLOOKUP(B965,Lookup!$F$3:$F$10,Lookup!$I$3:$I$10,,1)*G965, XLOOKUP(B965,Lookup!$F$14:$F$21,Lookup!$I$14:$I$21,,1)*G965)</f>
        <v>0</v>
      </c>
      <c r="K965" s="61">
        <f t="array" ref="K965">if(B965&gt;54, if(YEAR(A965)=2025,XLOOKUP(B965,Lookup!$F$3:$F$10,Lookup!$H$3:$H$10,,1)*G965, XLOOKUP(B965,Lookup!$F$14:$F$21,Lookup!$H$14:$H$21,,1)*G965),0)</f>
        <v>0</v>
      </c>
      <c r="L965" s="62">
        <f>IF(and(A965&lt;questions!$C$19,questions!$C$18="yes"),questions!$C$20,0)</f>
        <v>0</v>
      </c>
      <c r="M965" s="63">
        <f>(Y964+H965)*Lookup!A$26/12</f>
        <v>5818.809357</v>
      </c>
      <c r="N965" s="63">
        <f>if(B965&lt;55, (Z964+I965)*Lookup!B$26/12, (AB964+K965)*Lookup!B$26/12)</f>
        <v>16456.33278</v>
      </c>
      <c r="O965" s="63">
        <f>(AA964+J965)*Lookup!C$26/12</f>
        <v>940.3700287</v>
      </c>
      <c r="P965" s="63">
        <f t="shared" si="8"/>
        <v>29094.04678</v>
      </c>
      <c r="Q965" s="63">
        <f t="shared" si="4"/>
        <v>82281.66389</v>
      </c>
      <c r="R965" s="63">
        <f t="shared" si="5"/>
        <v>4701.850143</v>
      </c>
      <c r="S965" s="64">
        <f t="shared" si="9"/>
        <v>33.33333333</v>
      </c>
      <c r="T965" s="64">
        <f t="shared" si="10"/>
        <v>41.66666667</v>
      </c>
      <c r="U965" s="64">
        <f t="shared" si="11"/>
        <v>0</v>
      </c>
      <c r="V965" s="64">
        <f t="shared" ref="V965:X965" si="973">IF(year($A965)=year($A964), V964+S965, S965)</f>
        <v>166.6666667</v>
      </c>
      <c r="W965" s="64">
        <f t="shared" si="973"/>
        <v>208.3333333</v>
      </c>
      <c r="X965" s="64">
        <f t="shared" si="973"/>
        <v>0</v>
      </c>
      <c r="Y965" s="65">
        <f>IFS(
  B965&lt;55,
    MAX(
      Y964 + IF(MONTH(A965)=12, P965+V965, 0) + H965 - L965
      + MAX(0,
          IF(AA964 &gt;= VLOOKUP(YEAR(A965), Lookup!$Q:$R, 2),
            Z964 + IF(MONTH(A965)=12, Q965+W965, 0) + I965
              + AA964 + IF(MONTH(A965)=12, R965+X965, 0)
              - VLOOKUP(YEAR(A965), Lookup!$Q:$R, 2) + J965,
            Z964 + IF(MONTH(A965)=12, Q965+W965, 0) + I965
          ) - VLOOKUP(YEAR(A965), Lookup!$K:$M, 3)
        ),
    0),
  B965=55,
    IF(Z964&gt;=AD965,
      MAX(Y964 + IF(MONTH(A965)=12, P965+V965, 0) + H965 - L965, 0),
      MAX(MAX(0, Y964-(AD965-Z964)) + IF(MONTH(A965)=12, P965+V965, 0) + H965 - L965, 0)
    ),
  B965&gt;55,
    IF(AB964&gt;=$AH$7,
      MAX(Y964 + IF(MONTH(A965)=12, P965+V965, 0) + H965 - L965 + K965 + Z964, 0),
      MAX(Y964 + IF(MONTH(A965)=12, P965+V965, 0) + H965 - L965, 0)
    )
)</f>
        <v>2793028.491</v>
      </c>
      <c r="Z965" s="65">
        <f>IFS(
  B965&lt;55,
    MIN(
      IF(AA964 &gt;= VLOOKUP(YEAR(A965), Lookup!$Q:$R, 2),
        Z964 + IF(MONTH(A965)=12, Q965+W965, 0) + I965
          + AA964 + IF(MONTH(A965)=12, R965+X965, 0) - VLOOKUP(YEAR(A965), Lookup!$Q:$R, 2) + J965,
        Z964 + IF(MONTH(A965)=12, Q965+W965, 0) + I965
      ),
      VLOOKUP(YEAR(A965), Lookup!$K:$M, 3)
    ),
  B965=55,
    IF(Z964 &gt;= AD965, Z964 - AD965, 0),
  B965&gt;55, 0
)</f>
        <v>0</v>
      </c>
      <c r="AA965" s="65">
        <f>IFS(
  B965&lt;65,
    IF(AA964+J965 &lt; VLOOKUP(YEAR(A965), Lookup!$Q:$R, 2),
      AA964 + IF(MONTH(A965)=12, R964+X964, 0) + J965,
      MIN(
        AA964 + IF(MONTH(A965)=12, R964+X964, 0) + J965 ,
        VLOOKUP(YEAR(A965), Lookup!$Q:$R, 2)
      )
    ),
  B965&gt;=65,
    IF(AA964+J965 &lt; VLOOKUP(questions!$C$5, Lookup!$Q:$R, 2),
      AA964 + IF(MONTH(A965)=12, R964+X964, 0) + J965 ,
      MIN(
        AA964 + IF(MONTH(A965)=12, R964+X964, 0) + J965,
        VLOOKUP(questions!$C$5, Lookup!$Q:$R, 2)
      )
    )
)</f>
        <v>282111.0086</v>
      </c>
      <c r="AB965" s="65">
        <f t="shared" si="13"/>
        <v>4936899.833</v>
      </c>
      <c r="AC965" s="66">
        <f t="array" ref="AC965">IFS(B965&lt;66, XLOOKUP(year(A965),Lookup!$K$13:$K1000,Lookup!$L$13:$L1000,"missing",,1),B965&gt;65,XLOOKUP(questions!$C$5,Lookup!$K$13:$K1000,Lookup!$L$13:$L1000,"missing",,1))</f>
        <v>393675.3633</v>
      </c>
      <c r="AD965" s="66">
        <f t="array" ref="AD965">IFS(B965&lt;66, XLOOKUP(year(A965),Lookup!$K$13:$K1000,Lookup!$M$13:$M1000,"missing",,1),B965&gt;65, XLOOKUP(questions!$C$5,Lookup!$K$13:$K1000,Lookup!$M$13:$M1000,"missing",,1))</f>
        <v>787350.7266</v>
      </c>
      <c r="AE965" s="66">
        <f t="array" ref="AE965">IFS(B965&lt;66, XLOOKUP(year(A965),Lookup!$K$13:$K1000,Lookup!$N$13:$N1000,"missing",,1),B965&gt;65,XLOOKUP(questions!$C$5,Lookup!$K$13:$K1000,Lookup!$N$13:$N1000,"missing",,1))</f>
        <v>1574701.453</v>
      </c>
      <c r="AF965" s="37"/>
      <c r="AG965" s="37"/>
      <c r="AH965" s="37"/>
      <c r="AI965" s="37"/>
      <c r="AJ965" s="37"/>
      <c r="AK965" s="37"/>
      <c r="AL965" s="37"/>
      <c r="AM965" s="37"/>
      <c r="AN965" s="37"/>
      <c r="AO965" s="37"/>
      <c r="AP965" s="37"/>
      <c r="AQ965" s="37"/>
    </row>
    <row r="966">
      <c r="A966" s="55">
        <f t="shared" si="7"/>
        <v>75422</v>
      </c>
      <c r="B966" s="56">
        <f>round(YEARFRAC(EOMONTH(questions!$C$3, 0),A966,1),2)</f>
        <v>107.58</v>
      </c>
      <c r="C966" s="58">
        <f>IF(B966&lt;questions!$C$6,if(MONTH(A966)=1,C965*(1+questions!$C$12),C965),0)</f>
        <v>0</v>
      </c>
      <c r="D966" s="58">
        <f>IF(MONTH(A966)=12,C966*questions!$C$11,0)</f>
        <v>0</v>
      </c>
      <c r="E966" s="71">
        <f t="shared" si="2"/>
        <v>0</v>
      </c>
      <c r="F966" s="71">
        <f t="shared" si="3"/>
        <v>0</v>
      </c>
      <c r="G966" s="61">
        <f t="array" ref="G966">if(YEAR(A966)=2025,XLOOKUP(B966,Lookup!$A$3:$A$7,Lookup!$D$3:$D$7,,1)*SUM(E966:F966), XLOOKUP(B966,Lookup!$A$14:$A$18,Lookup!$D$14:$D$18,,1)*SUM(E966:F966))</f>
        <v>0</v>
      </c>
      <c r="H966" s="61">
        <f t="array" ref="H966">if(YEAR(A966)=2025,XLOOKUP(B966,Lookup!$F$3:$F$10,Lookup!$G$3:$G$10,,1)*G966, XLOOKUP(B966,Lookup!$F$14:$F$21,Lookup!$G$14:$G$21,,1)*G966)</f>
        <v>0</v>
      </c>
      <c r="I966" s="61">
        <f t="array" ref="I966">if(B966&lt;55, if(YEAR(A966)=2025,XLOOKUP(B966,Lookup!$F$3:$F$10,Lookup!$H$3:$H$10,,1)*G966, XLOOKUP(B966,Lookup!$F$14:$F$21,Lookup!$H$14:$H$21,,1)*G966),0)</f>
        <v>0</v>
      </c>
      <c r="J966" s="61">
        <f t="array" ref="J966">if(YEAR(A966)=2025,XLOOKUP(B966,Lookup!$F$3:$F$10,Lookup!$I$3:$I$10,,1)*G966, XLOOKUP(B966,Lookup!$F$14:$F$21,Lookup!$I$14:$I$21,,1)*G966)</f>
        <v>0</v>
      </c>
      <c r="K966" s="61">
        <f t="array" ref="K966">if(B966&gt;54, if(YEAR(A966)=2025,XLOOKUP(B966,Lookup!$F$3:$F$10,Lookup!$H$3:$H$10,,1)*G966, XLOOKUP(B966,Lookup!$F$14:$F$21,Lookup!$H$14:$H$21,,1)*G966),0)</f>
        <v>0</v>
      </c>
      <c r="L966" s="62">
        <f>IF(and(A966&lt;questions!$C$19,questions!$C$18="yes"),questions!$C$20,0)</f>
        <v>0</v>
      </c>
      <c r="M966" s="63">
        <f>(Y965+H966)*Lookup!A$26/12</f>
        <v>5818.809357</v>
      </c>
      <c r="N966" s="63">
        <f>if(B966&lt;55, (Z965+I966)*Lookup!B$26/12, (AB965+K966)*Lookup!B$26/12)</f>
        <v>16456.33278</v>
      </c>
      <c r="O966" s="63">
        <f>(AA965+J966)*Lookup!C$26/12</f>
        <v>940.3700287</v>
      </c>
      <c r="P966" s="63">
        <f t="shared" si="8"/>
        <v>34912.85614</v>
      </c>
      <c r="Q966" s="63">
        <f t="shared" si="4"/>
        <v>98737.99667</v>
      </c>
      <c r="R966" s="63">
        <f t="shared" si="5"/>
        <v>5642.220172</v>
      </c>
      <c r="S966" s="64">
        <f t="shared" si="9"/>
        <v>33.33333333</v>
      </c>
      <c r="T966" s="64">
        <f t="shared" si="10"/>
        <v>41.66666667</v>
      </c>
      <c r="U966" s="64">
        <f t="shared" si="11"/>
        <v>0</v>
      </c>
      <c r="V966" s="64">
        <f t="shared" ref="V966:X966" si="974">IF(year($A966)=year($A965), V965+S966, S966)</f>
        <v>200</v>
      </c>
      <c r="W966" s="64">
        <f t="shared" si="974"/>
        <v>250</v>
      </c>
      <c r="X966" s="64">
        <f t="shared" si="974"/>
        <v>0</v>
      </c>
      <c r="Y966" s="65">
        <f>IFS(
  B966&lt;55,
    MAX(
      Y965 + IF(MONTH(A966)=12, P966+V966, 0) + H966 - L966
      + MAX(0,
          IF(AA965 &gt;= VLOOKUP(YEAR(A966), Lookup!$Q:$R, 2),
            Z965 + IF(MONTH(A966)=12, Q966+W966, 0) + I966
              + AA965 + IF(MONTH(A966)=12, R966+X966, 0)
              - VLOOKUP(YEAR(A966), Lookup!$Q:$R, 2) + J966,
            Z965 + IF(MONTH(A966)=12, Q966+W966, 0) + I966
          ) - VLOOKUP(YEAR(A966), Lookup!$K:$M, 3)
        ),
    0),
  B966=55,
    IF(Z965&gt;=AD966,
      MAX(Y965 + IF(MONTH(A966)=12, P966+V966, 0) + H966 - L966, 0),
      MAX(MAX(0, Y965-(AD966-Z965)) + IF(MONTH(A966)=12, P966+V966, 0) + H966 - L966, 0)
    ),
  B966&gt;55,
    IF(AB965&gt;=$AH$7,
      MAX(Y965 + IF(MONTH(A966)=12, P966+V966, 0) + H966 - L966 + K966 + Z965, 0),
      MAX(Y965 + IF(MONTH(A966)=12, P966+V966, 0) + H966 - L966, 0)
    )
)</f>
        <v>2793028.491</v>
      </c>
      <c r="Z966" s="65">
        <f>IFS(
  B966&lt;55,
    MIN(
      IF(AA965 &gt;= VLOOKUP(YEAR(A966), Lookup!$Q:$R, 2),
        Z965 + IF(MONTH(A966)=12, Q966+W966, 0) + I966
          + AA965 + IF(MONTH(A966)=12, R966+X966, 0) - VLOOKUP(YEAR(A966), Lookup!$Q:$R, 2) + J966,
        Z965 + IF(MONTH(A966)=12, Q966+W966, 0) + I966
      ),
      VLOOKUP(YEAR(A966), Lookup!$K:$M, 3)
    ),
  B966=55,
    IF(Z965 &gt;= AD966, Z965 - AD966, 0),
  B966&gt;55, 0
)</f>
        <v>0</v>
      </c>
      <c r="AA966" s="65">
        <f>IFS(
  B966&lt;65,
    IF(AA965+J966 &lt; VLOOKUP(YEAR(A966), Lookup!$Q:$R, 2),
      AA965 + IF(MONTH(A966)=12, R965+X965, 0) + J966,
      MIN(
        AA965 + IF(MONTH(A966)=12, R965+X965, 0) + J966 ,
        VLOOKUP(YEAR(A966), Lookup!$Q:$R, 2)
      )
    ),
  B966&gt;=65,
    IF(AA965+J966 &lt; VLOOKUP(questions!$C$5, Lookup!$Q:$R, 2),
      AA965 + IF(MONTH(A966)=12, R965+X965, 0) + J966 ,
      MIN(
        AA965 + IF(MONTH(A966)=12, R965+X965, 0) + J966,
        VLOOKUP(questions!$C$5, Lookup!$Q:$R, 2)
      )
    )
)</f>
        <v>282111.0086</v>
      </c>
      <c r="AB966" s="65">
        <f t="shared" si="13"/>
        <v>4936899.833</v>
      </c>
      <c r="AC966" s="66">
        <f t="array" ref="AC966">IFS(B966&lt;66, XLOOKUP(year(A966),Lookup!$K$13:$K1000,Lookup!$L$13:$L1000,"missing",,1),B966&gt;65,XLOOKUP(questions!$C$5,Lookup!$K$13:$K1000,Lookup!$L$13:$L1000,"missing",,1))</f>
        <v>393675.3633</v>
      </c>
      <c r="AD966" s="66">
        <f t="array" ref="AD966">IFS(B966&lt;66, XLOOKUP(year(A966),Lookup!$K$13:$K1000,Lookup!$M$13:$M1000,"missing",,1),B966&gt;65, XLOOKUP(questions!$C$5,Lookup!$K$13:$K1000,Lookup!$M$13:$M1000,"missing",,1))</f>
        <v>787350.7266</v>
      </c>
      <c r="AE966" s="66">
        <f t="array" ref="AE966">IFS(B966&lt;66, XLOOKUP(year(A966),Lookup!$K$13:$K1000,Lookup!$N$13:$N1000,"missing",,1),B966&gt;65,XLOOKUP(questions!$C$5,Lookup!$K$13:$K1000,Lookup!$N$13:$N1000,"missing",,1))</f>
        <v>1574701.453</v>
      </c>
      <c r="AF966" s="37"/>
      <c r="AG966" s="37"/>
      <c r="AH966" s="37"/>
      <c r="AI966" s="37"/>
      <c r="AJ966" s="37"/>
      <c r="AK966" s="37"/>
      <c r="AL966" s="37"/>
      <c r="AM966" s="37"/>
      <c r="AN966" s="37"/>
      <c r="AO966" s="37"/>
      <c r="AP966" s="37"/>
      <c r="AQ966" s="37"/>
    </row>
    <row r="967">
      <c r="A967" s="55">
        <f t="shared" si="7"/>
        <v>75453</v>
      </c>
      <c r="B967" s="56">
        <f>round(YEARFRAC(EOMONTH(questions!$C$3, 0),A967,1),2)</f>
        <v>107.67</v>
      </c>
      <c r="C967" s="58">
        <f>IF(B967&lt;questions!$C$6,if(MONTH(A967)=1,C966*(1+questions!$C$12),C966),0)</f>
        <v>0</v>
      </c>
      <c r="D967" s="58">
        <f>IF(MONTH(A967)=12,C967*questions!$C$11,0)</f>
        <v>0</v>
      </c>
      <c r="E967" s="71">
        <f t="shared" si="2"/>
        <v>0</v>
      </c>
      <c r="F967" s="71">
        <f t="shared" si="3"/>
        <v>0</v>
      </c>
      <c r="G967" s="61">
        <f t="array" ref="G967">if(YEAR(A967)=2025,XLOOKUP(B967,Lookup!$A$3:$A$7,Lookup!$D$3:$D$7,,1)*SUM(E967:F967), XLOOKUP(B967,Lookup!$A$14:$A$18,Lookup!$D$14:$D$18,,1)*SUM(E967:F967))</f>
        <v>0</v>
      </c>
      <c r="H967" s="61">
        <f t="array" ref="H967">if(YEAR(A967)=2025,XLOOKUP(B967,Lookup!$F$3:$F$10,Lookup!$G$3:$G$10,,1)*G967, XLOOKUP(B967,Lookup!$F$14:$F$21,Lookup!$G$14:$G$21,,1)*G967)</f>
        <v>0</v>
      </c>
      <c r="I967" s="61">
        <f t="array" ref="I967">if(B967&lt;55, if(YEAR(A967)=2025,XLOOKUP(B967,Lookup!$F$3:$F$10,Lookup!$H$3:$H$10,,1)*G967, XLOOKUP(B967,Lookup!$F$14:$F$21,Lookup!$H$14:$H$21,,1)*G967),0)</f>
        <v>0</v>
      </c>
      <c r="J967" s="61">
        <f t="array" ref="J967">if(YEAR(A967)=2025,XLOOKUP(B967,Lookup!$F$3:$F$10,Lookup!$I$3:$I$10,,1)*G967, XLOOKUP(B967,Lookup!$F$14:$F$21,Lookup!$I$14:$I$21,,1)*G967)</f>
        <v>0</v>
      </c>
      <c r="K967" s="61">
        <f t="array" ref="K967">if(B967&gt;54, if(YEAR(A967)=2025,XLOOKUP(B967,Lookup!$F$3:$F$10,Lookup!$H$3:$H$10,,1)*G967, XLOOKUP(B967,Lookup!$F$14:$F$21,Lookup!$H$14:$H$21,,1)*G967),0)</f>
        <v>0</v>
      </c>
      <c r="L967" s="62">
        <f>IF(and(A967&lt;questions!$C$19,questions!$C$18="yes"),questions!$C$20,0)</f>
        <v>0</v>
      </c>
      <c r="M967" s="63">
        <f>(Y966+H967)*Lookup!A$26/12</f>
        <v>5818.809357</v>
      </c>
      <c r="N967" s="63">
        <f>if(B967&lt;55, (Z966+I967)*Lookup!B$26/12, (AB966+K967)*Lookup!B$26/12)</f>
        <v>16456.33278</v>
      </c>
      <c r="O967" s="63">
        <f>(AA966+J967)*Lookup!C$26/12</f>
        <v>940.3700287</v>
      </c>
      <c r="P967" s="63">
        <f t="shared" si="8"/>
        <v>40731.6655</v>
      </c>
      <c r="Q967" s="63">
        <f t="shared" si="4"/>
        <v>115194.3294</v>
      </c>
      <c r="R967" s="63">
        <f t="shared" si="5"/>
        <v>6582.590201</v>
      </c>
      <c r="S967" s="64">
        <f t="shared" si="9"/>
        <v>33.33333333</v>
      </c>
      <c r="T967" s="64">
        <f t="shared" si="10"/>
        <v>41.66666667</v>
      </c>
      <c r="U967" s="64">
        <f t="shared" si="11"/>
        <v>0</v>
      </c>
      <c r="V967" s="64">
        <f t="shared" ref="V967:X967" si="975">IF(year($A967)=year($A966), V966+S967, S967)</f>
        <v>233.3333333</v>
      </c>
      <c r="W967" s="64">
        <f t="shared" si="975"/>
        <v>291.6666667</v>
      </c>
      <c r="X967" s="64">
        <f t="shared" si="975"/>
        <v>0</v>
      </c>
      <c r="Y967" s="65">
        <f>IFS(
  B967&lt;55,
    MAX(
      Y966 + IF(MONTH(A967)=12, P967+V967, 0) + H967 - L967
      + MAX(0,
          IF(AA966 &gt;= VLOOKUP(YEAR(A967), Lookup!$Q:$R, 2),
            Z966 + IF(MONTH(A967)=12, Q967+W967, 0) + I967
              + AA966 + IF(MONTH(A967)=12, R967+X967, 0)
              - VLOOKUP(YEAR(A967), Lookup!$Q:$R, 2) + J967,
            Z966 + IF(MONTH(A967)=12, Q967+W967, 0) + I967
          ) - VLOOKUP(YEAR(A967), Lookup!$K:$M, 3)
        ),
    0),
  B967=55,
    IF(Z966&gt;=AD967,
      MAX(Y966 + IF(MONTH(A967)=12, P967+V967, 0) + H967 - L967, 0),
      MAX(MAX(0, Y966-(AD967-Z966)) + IF(MONTH(A967)=12, P967+V967, 0) + H967 - L967, 0)
    ),
  B967&gt;55,
    IF(AB966&gt;=$AH$7,
      MAX(Y966 + IF(MONTH(A967)=12, P967+V967, 0) + H967 - L967 + K967 + Z966, 0),
      MAX(Y966 + IF(MONTH(A967)=12, P967+V967, 0) + H967 - L967, 0)
    )
)</f>
        <v>2793028.491</v>
      </c>
      <c r="Z967" s="65">
        <f>IFS(
  B967&lt;55,
    MIN(
      IF(AA966 &gt;= VLOOKUP(YEAR(A967), Lookup!$Q:$R, 2),
        Z966 + IF(MONTH(A967)=12, Q967+W967, 0) + I967
          + AA966 + IF(MONTH(A967)=12, R967+X967, 0) - VLOOKUP(YEAR(A967), Lookup!$Q:$R, 2) + J967,
        Z966 + IF(MONTH(A967)=12, Q967+W967, 0) + I967
      ),
      VLOOKUP(YEAR(A967), Lookup!$K:$M, 3)
    ),
  B967=55,
    IF(Z966 &gt;= AD967, Z966 - AD967, 0),
  B967&gt;55, 0
)</f>
        <v>0</v>
      </c>
      <c r="AA967" s="65">
        <f>IFS(
  B967&lt;65,
    IF(AA966+J967 &lt; VLOOKUP(YEAR(A967), Lookup!$Q:$R, 2),
      AA966 + IF(MONTH(A967)=12, R966+X966, 0) + J967,
      MIN(
        AA966 + IF(MONTH(A967)=12, R966+X966, 0) + J967 ,
        VLOOKUP(YEAR(A967), Lookup!$Q:$R, 2)
      )
    ),
  B967&gt;=65,
    IF(AA966+J967 &lt; VLOOKUP(questions!$C$5, Lookup!$Q:$R, 2),
      AA966 + IF(MONTH(A967)=12, R966+X966, 0) + J967 ,
      MIN(
        AA966 + IF(MONTH(A967)=12, R966+X966, 0) + J967,
        VLOOKUP(questions!$C$5, Lookup!$Q:$R, 2)
      )
    )
)</f>
        <v>282111.0086</v>
      </c>
      <c r="AB967" s="65">
        <f t="shared" si="13"/>
        <v>4936899.833</v>
      </c>
      <c r="AC967" s="66">
        <f t="array" ref="AC967">IFS(B967&lt;66, XLOOKUP(year(A967),Lookup!$K$13:$K1000,Lookup!$L$13:$L1000,"missing",,1),B967&gt;65,XLOOKUP(questions!$C$5,Lookup!$K$13:$K1000,Lookup!$L$13:$L1000,"missing",,1))</f>
        <v>393675.3633</v>
      </c>
      <c r="AD967" s="66">
        <f t="array" ref="AD967">IFS(B967&lt;66, XLOOKUP(year(A967),Lookup!$K$13:$K1000,Lookup!$M$13:$M1000,"missing",,1),B967&gt;65, XLOOKUP(questions!$C$5,Lookup!$K$13:$K1000,Lookup!$M$13:$M1000,"missing",,1))</f>
        <v>787350.7266</v>
      </c>
      <c r="AE967" s="66">
        <f t="array" ref="AE967">IFS(B967&lt;66, XLOOKUP(year(A967),Lookup!$K$13:$K1000,Lookup!$N$13:$N1000,"missing",,1),B967&gt;65,XLOOKUP(questions!$C$5,Lookup!$K$13:$K1000,Lookup!$N$13:$N1000,"missing",,1))</f>
        <v>1574701.453</v>
      </c>
      <c r="AF967" s="37"/>
      <c r="AG967" s="37"/>
      <c r="AH967" s="37"/>
      <c r="AI967" s="37"/>
      <c r="AJ967" s="37"/>
      <c r="AK967" s="37"/>
      <c r="AL967" s="37"/>
      <c r="AM967" s="37"/>
      <c r="AN967" s="37"/>
      <c r="AO967" s="37"/>
      <c r="AP967" s="37"/>
      <c r="AQ967" s="37"/>
    </row>
    <row r="968">
      <c r="A968" s="55">
        <f t="shared" si="7"/>
        <v>75484</v>
      </c>
      <c r="B968" s="56">
        <f>round(YEARFRAC(EOMONTH(questions!$C$3, 0),A968,1),2)</f>
        <v>107.75</v>
      </c>
      <c r="C968" s="58">
        <f>IF(B968&lt;questions!$C$6,if(MONTH(A968)=1,C967*(1+questions!$C$12),C967),0)</f>
        <v>0</v>
      </c>
      <c r="D968" s="58">
        <f>IF(MONTH(A968)=12,C968*questions!$C$11,0)</f>
        <v>0</v>
      </c>
      <c r="E968" s="71">
        <f t="shared" si="2"/>
        <v>0</v>
      </c>
      <c r="F968" s="71">
        <f t="shared" si="3"/>
        <v>0</v>
      </c>
      <c r="G968" s="61">
        <f t="array" ref="G968">if(YEAR(A968)=2025,XLOOKUP(B968,Lookup!$A$3:$A$7,Lookup!$D$3:$D$7,,1)*SUM(E968:F968), XLOOKUP(B968,Lookup!$A$14:$A$18,Lookup!$D$14:$D$18,,1)*SUM(E968:F968))</f>
        <v>0</v>
      </c>
      <c r="H968" s="61">
        <f t="array" ref="H968">if(YEAR(A968)=2025,XLOOKUP(B968,Lookup!$F$3:$F$10,Lookup!$G$3:$G$10,,1)*G968, XLOOKUP(B968,Lookup!$F$14:$F$21,Lookup!$G$14:$G$21,,1)*G968)</f>
        <v>0</v>
      </c>
      <c r="I968" s="61">
        <f t="array" ref="I968">if(B968&lt;55, if(YEAR(A968)=2025,XLOOKUP(B968,Lookup!$F$3:$F$10,Lookup!$H$3:$H$10,,1)*G968, XLOOKUP(B968,Lookup!$F$14:$F$21,Lookup!$H$14:$H$21,,1)*G968),0)</f>
        <v>0</v>
      </c>
      <c r="J968" s="61">
        <f t="array" ref="J968">if(YEAR(A968)=2025,XLOOKUP(B968,Lookup!$F$3:$F$10,Lookup!$I$3:$I$10,,1)*G968, XLOOKUP(B968,Lookup!$F$14:$F$21,Lookup!$I$14:$I$21,,1)*G968)</f>
        <v>0</v>
      </c>
      <c r="K968" s="61">
        <f t="array" ref="K968">if(B968&gt;54, if(YEAR(A968)=2025,XLOOKUP(B968,Lookup!$F$3:$F$10,Lookup!$H$3:$H$10,,1)*G968, XLOOKUP(B968,Lookup!$F$14:$F$21,Lookup!$H$14:$H$21,,1)*G968),0)</f>
        <v>0</v>
      </c>
      <c r="L968" s="62">
        <f>IF(and(A968&lt;questions!$C$19,questions!$C$18="yes"),questions!$C$20,0)</f>
        <v>0</v>
      </c>
      <c r="M968" s="63">
        <f>(Y967+H968)*Lookup!A$26/12</f>
        <v>5818.809357</v>
      </c>
      <c r="N968" s="63">
        <f>if(B968&lt;55, (Z967+I968)*Lookup!B$26/12, (AB967+K968)*Lookup!B$26/12)</f>
        <v>16456.33278</v>
      </c>
      <c r="O968" s="63">
        <f>(AA967+J968)*Lookup!C$26/12</f>
        <v>940.3700287</v>
      </c>
      <c r="P968" s="63">
        <f t="shared" si="8"/>
        <v>46550.47485</v>
      </c>
      <c r="Q968" s="63">
        <f t="shared" si="4"/>
        <v>131650.6622</v>
      </c>
      <c r="R968" s="63">
        <f t="shared" si="5"/>
        <v>7522.960229</v>
      </c>
      <c r="S968" s="64">
        <f t="shared" si="9"/>
        <v>33.33333333</v>
      </c>
      <c r="T968" s="64">
        <f t="shared" si="10"/>
        <v>41.66666667</v>
      </c>
      <c r="U968" s="64">
        <f t="shared" si="11"/>
        <v>0</v>
      </c>
      <c r="V968" s="64">
        <f t="shared" ref="V968:X968" si="976">IF(year($A968)=year($A967), V967+S968, S968)</f>
        <v>266.6666667</v>
      </c>
      <c r="W968" s="64">
        <f t="shared" si="976"/>
        <v>333.3333333</v>
      </c>
      <c r="X968" s="64">
        <f t="shared" si="976"/>
        <v>0</v>
      </c>
      <c r="Y968" s="65">
        <f>IFS(
  B968&lt;55,
    MAX(
      Y967 + IF(MONTH(A968)=12, P968+V968, 0) + H968 - L968
      + MAX(0,
          IF(AA967 &gt;= VLOOKUP(YEAR(A968), Lookup!$Q:$R, 2),
            Z967 + IF(MONTH(A968)=12, Q968+W968, 0) + I968
              + AA967 + IF(MONTH(A968)=12, R968+X968, 0)
              - VLOOKUP(YEAR(A968), Lookup!$Q:$R, 2) + J968,
            Z967 + IF(MONTH(A968)=12, Q968+W968, 0) + I968
          ) - VLOOKUP(YEAR(A968), Lookup!$K:$M, 3)
        ),
    0),
  B968=55,
    IF(Z967&gt;=AD968,
      MAX(Y967 + IF(MONTH(A968)=12, P968+V968, 0) + H968 - L968, 0),
      MAX(MAX(0, Y967-(AD968-Z967)) + IF(MONTH(A968)=12, P968+V968, 0) + H968 - L968, 0)
    ),
  B968&gt;55,
    IF(AB967&gt;=$AH$7,
      MAX(Y967 + IF(MONTH(A968)=12, P968+V968, 0) + H968 - L968 + K968 + Z967, 0),
      MAX(Y967 + IF(MONTH(A968)=12, P968+V968, 0) + H968 - L968, 0)
    )
)</f>
        <v>2793028.491</v>
      </c>
      <c r="Z968" s="65">
        <f>IFS(
  B968&lt;55,
    MIN(
      IF(AA967 &gt;= VLOOKUP(YEAR(A968), Lookup!$Q:$R, 2),
        Z967 + IF(MONTH(A968)=12, Q968+W968, 0) + I968
          + AA967 + IF(MONTH(A968)=12, R968+X968, 0) - VLOOKUP(YEAR(A968), Lookup!$Q:$R, 2) + J968,
        Z967 + IF(MONTH(A968)=12, Q968+W968, 0) + I968
      ),
      VLOOKUP(YEAR(A968), Lookup!$K:$M, 3)
    ),
  B968=55,
    IF(Z967 &gt;= AD968, Z967 - AD968, 0),
  B968&gt;55, 0
)</f>
        <v>0</v>
      </c>
      <c r="AA968" s="65">
        <f>IFS(
  B968&lt;65,
    IF(AA967+J968 &lt; VLOOKUP(YEAR(A968), Lookup!$Q:$R, 2),
      AA967 + IF(MONTH(A968)=12, R967+X967, 0) + J968,
      MIN(
        AA967 + IF(MONTH(A968)=12, R967+X967, 0) + J968 ,
        VLOOKUP(YEAR(A968), Lookup!$Q:$R, 2)
      )
    ),
  B968&gt;=65,
    IF(AA967+J968 &lt; VLOOKUP(questions!$C$5, Lookup!$Q:$R, 2),
      AA967 + IF(MONTH(A968)=12, R967+X967, 0) + J968 ,
      MIN(
        AA967 + IF(MONTH(A968)=12, R967+X967, 0) + J968,
        VLOOKUP(questions!$C$5, Lookup!$Q:$R, 2)
      )
    )
)</f>
        <v>282111.0086</v>
      </c>
      <c r="AB968" s="65">
        <f t="shared" si="13"/>
        <v>4936899.833</v>
      </c>
      <c r="AC968" s="66">
        <f t="array" ref="AC968">IFS(B968&lt;66, XLOOKUP(year(A968),Lookup!$K$13:$K1000,Lookup!$L$13:$L1000,"missing",,1),B968&gt;65,XLOOKUP(questions!$C$5,Lookup!$K$13:$K1000,Lookup!$L$13:$L1000,"missing",,1))</f>
        <v>393675.3633</v>
      </c>
      <c r="AD968" s="66">
        <f t="array" ref="AD968">IFS(B968&lt;66, XLOOKUP(year(A968),Lookup!$K$13:$K1000,Lookup!$M$13:$M1000,"missing",,1),B968&gt;65, XLOOKUP(questions!$C$5,Lookup!$K$13:$K1000,Lookup!$M$13:$M1000,"missing",,1))</f>
        <v>787350.7266</v>
      </c>
      <c r="AE968" s="66">
        <f t="array" ref="AE968">IFS(B968&lt;66, XLOOKUP(year(A968),Lookup!$K$13:$K1000,Lookup!$N$13:$N1000,"missing",,1),B968&gt;65,XLOOKUP(questions!$C$5,Lookup!$K$13:$K1000,Lookup!$N$13:$N1000,"missing",,1))</f>
        <v>1574701.453</v>
      </c>
      <c r="AF968" s="37"/>
      <c r="AG968" s="37"/>
      <c r="AH968" s="37"/>
      <c r="AI968" s="37"/>
      <c r="AJ968" s="37"/>
      <c r="AK968" s="37"/>
      <c r="AL968" s="37"/>
      <c r="AM968" s="37"/>
      <c r="AN968" s="37"/>
      <c r="AO968" s="37"/>
      <c r="AP968" s="37"/>
      <c r="AQ968" s="37"/>
    </row>
    <row r="969">
      <c r="A969" s="55">
        <f t="shared" si="7"/>
        <v>75514</v>
      </c>
      <c r="B969" s="56">
        <f>round(YEARFRAC(EOMONTH(questions!$C$3, 0),A969,1),2)</f>
        <v>107.83</v>
      </c>
      <c r="C969" s="58">
        <f>IF(B969&lt;questions!$C$6,if(MONTH(A969)=1,C968*(1+questions!$C$12),C968),0)</f>
        <v>0</v>
      </c>
      <c r="D969" s="58">
        <f>IF(MONTH(A969)=12,C969*questions!$C$11,0)</f>
        <v>0</v>
      </c>
      <c r="E969" s="71">
        <f t="shared" si="2"/>
        <v>0</v>
      </c>
      <c r="F969" s="71">
        <f t="shared" si="3"/>
        <v>0</v>
      </c>
      <c r="G969" s="61">
        <f t="array" ref="G969">if(YEAR(A969)=2025,XLOOKUP(B969,Lookup!$A$3:$A$7,Lookup!$D$3:$D$7,,1)*SUM(E969:F969), XLOOKUP(B969,Lookup!$A$14:$A$18,Lookup!$D$14:$D$18,,1)*SUM(E969:F969))</f>
        <v>0</v>
      </c>
      <c r="H969" s="61">
        <f t="array" ref="H969">if(YEAR(A969)=2025,XLOOKUP(B969,Lookup!$F$3:$F$10,Lookup!$G$3:$G$10,,1)*G969, XLOOKUP(B969,Lookup!$F$14:$F$21,Lookup!$G$14:$G$21,,1)*G969)</f>
        <v>0</v>
      </c>
      <c r="I969" s="61">
        <f t="array" ref="I969">if(B969&lt;55, if(YEAR(A969)=2025,XLOOKUP(B969,Lookup!$F$3:$F$10,Lookup!$H$3:$H$10,,1)*G969, XLOOKUP(B969,Lookup!$F$14:$F$21,Lookup!$H$14:$H$21,,1)*G969),0)</f>
        <v>0</v>
      </c>
      <c r="J969" s="61">
        <f t="array" ref="J969">if(YEAR(A969)=2025,XLOOKUP(B969,Lookup!$F$3:$F$10,Lookup!$I$3:$I$10,,1)*G969, XLOOKUP(B969,Lookup!$F$14:$F$21,Lookup!$I$14:$I$21,,1)*G969)</f>
        <v>0</v>
      </c>
      <c r="K969" s="61">
        <f t="array" ref="K969">if(B969&gt;54, if(YEAR(A969)=2025,XLOOKUP(B969,Lookup!$F$3:$F$10,Lookup!$H$3:$H$10,,1)*G969, XLOOKUP(B969,Lookup!$F$14:$F$21,Lookup!$H$14:$H$21,,1)*G969),0)</f>
        <v>0</v>
      </c>
      <c r="L969" s="62">
        <f>IF(and(A969&lt;questions!$C$19,questions!$C$18="yes"),questions!$C$20,0)</f>
        <v>0</v>
      </c>
      <c r="M969" s="63">
        <f>(Y968+H969)*Lookup!A$26/12</f>
        <v>5818.809357</v>
      </c>
      <c r="N969" s="63">
        <f>if(B969&lt;55, (Z968+I969)*Lookup!B$26/12, (AB968+K969)*Lookup!B$26/12)</f>
        <v>16456.33278</v>
      </c>
      <c r="O969" s="63">
        <f>(AA968+J969)*Lookup!C$26/12</f>
        <v>940.3700287</v>
      </c>
      <c r="P969" s="63">
        <f t="shared" si="8"/>
        <v>52369.28421</v>
      </c>
      <c r="Q969" s="63">
        <f t="shared" si="4"/>
        <v>148106.995</v>
      </c>
      <c r="R969" s="63">
        <f t="shared" si="5"/>
        <v>8463.330258</v>
      </c>
      <c r="S969" s="64">
        <f t="shared" si="9"/>
        <v>33.33333333</v>
      </c>
      <c r="T969" s="64">
        <f t="shared" si="10"/>
        <v>41.66666667</v>
      </c>
      <c r="U969" s="64">
        <f t="shared" si="11"/>
        <v>0</v>
      </c>
      <c r="V969" s="64">
        <f t="shared" ref="V969:X969" si="977">IF(year($A969)=year($A968), V968+S969, S969)</f>
        <v>300</v>
      </c>
      <c r="W969" s="64">
        <f t="shared" si="977"/>
        <v>375</v>
      </c>
      <c r="X969" s="64">
        <f t="shared" si="977"/>
        <v>0</v>
      </c>
      <c r="Y969" s="65">
        <f>IFS(
  B969&lt;55,
    MAX(
      Y968 + IF(MONTH(A969)=12, P969+V969, 0) + H969 - L969
      + MAX(0,
          IF(AA968 &gt;= VLOOKUP(YEAR(A969), Lookup!$Q:$R, 2),
            Z968 + IF(MONTH(A969)=12, Q969+W969, 0) + I969
              + AA968 + IF(MONTH(A969)=12, R969+X969, 0)
              - VLOOKUP(YEAR(A969), Lookup!$Q:$R, 2) + J969,
            Z968 + IF(MONTH(A969)=12, Q969+W969, 0) + I969
          ) - VLOOKUP(YEAR(A969), Lookup!$K:$M, 3)
        ),
    0),
  B969=55,
    IF(Z968&gt;=AD969,
      MAX(Y968 + IF(MONTH(A969)=12, P969+V969, 0) + H969 - L969, 0),
      MAX(MAX(0, Y968-(AD969-Z968)) + IF(MONTH(A969)=12, P969+V969, 0) + H969 - L969, 0)
    ),
  B969&gt;55,
    IF(AB968&gt;=$AH$7,
      MAX(Y968 + IF(MONTH(A969)=12, P969+V969, 0) + H969 - L969 + K969 + Z968, 0),
      MAX(Y968 + IF(MONTH(A969)=12, P969+V969, 0) + H969 - L969, 0)
    )
)</f>
        <v>2793028.491</v>
      </c>
      <c r="Z969" s="65">
        <f>IFS(
  B969&lt;55,
    MIN(
      IF(AA968 &gt;= VLOOKUP(YEAR(A969), Lookup!$Q:$R, 2),
        Z968 + IF(MONTH(A969)=12, Q969+W969, 0) + I969
          + AA968 + IF(MONTH(A969)=12, R969+X969, 0) - VLOOKUP(YEAR(A969), Lookup!$Q:$R, 2) + J969,
        Z968 + IF(MONTH(A969)=12, Q969+W969, 0) + I969
      ),
      VLOOKUP(YEAR(A969), Lookup!$K:$M, 3)
    ),
  B969=55,
    IF(Z968 &gt;= AD969, Z968 - AD969, 0),
  B969&gt;55, 0
)</f>
        <v>0</v>
      </c>
      <c r="AA969" s="65">
        <f>IFS(
  B969&lt;65,
    IF(AA968+J969 &lt; VLOOKUP(YEAR(A969), Lookup!$Q:$R, 2),
      AA968 + IF(MONTH(A969)=12, R968+X968, 0) + J969,
      MIN(
        AA968 + IF(MONTH(A969)=12, R968+X968, 0) + J969 ,
        VLOOKUP(YEAR(A969), Lookup!$Q:$R, 2)
      )
    ),
  B969&gt;=65,
    IF(AA968+J969 &lt; VLOOKUP(questions!$C$5, Lookup!$Q:$R, 2),
      AA968 + IF(MONTH(A969)=12, R968+X968, 0) + J969 ,
      MIN(
        AA968 + IF(MONTH(A969)=12, R968+X968, 0) + J969,
        VLOOKUP(questions!$C$5, Lookup!$Q:$R, 2)
      )
    )
)</f>
        <v>282111.0086</v>
      </c>
      <c r="AB969" s="65">
        <f t="shared" si="13"/>
        <v>4936899.833</v>
      </c>
      <c r="AC969" s="66">
        <f t="array" ref="AC969">IFS(B969&lt;66, XLOOKUP(year(A969),Lookup!$K$13:$K1000,Lookup!$L$13:$L1000,"missing",,1),B969&gt;65,XLOOKUP(questions!$C$5,Lookup!$K$13:$K1000,Lookup!$L$13:$L1000,"missing",,1))</f>
        <v>393675.3633</v>
      </c>
      <c r="AD969" s="66">
        <f t="array" ref="AD969">IFS(B969&lt;66, XLOOKUP(year(A969),Lookup!$K$13:$K1000,Lookup!$M$13:$M1000,"missing",,1),B969&gt;65, XLOOKUP(questions!$C$5,Lookup!$K$13:$K1000,Lookup!$M$13:$M1000,"missing",,1))</f>
        <v>787350.7266</v>
      </c>
      <c r="AE969" s="66">
        <f t="array" ref="AE969">IFS(B969&lt;66, XLOOKUP(year(A969),Lookup!$K$13:$K1000,Lookup!$N$13:$N1000,"missing",,1),B969&gt;65,XLOOKUP(questions!$C$5,Lookup!$K$13:$K1000,Lookup!$N$13:$N1000,"missing",,1))</f>
        <v>1574701.453</v>
      </c>
      <c r="AF969" s="37"/>
      <c r="AG969" s="37"/>
      <c r="AH969" s="37"/>
      <c r="AI969" s="37"/>
      <c r="AJ969" s="37"/>
      <c r="AK969" s="37"/>
      <c r="AL969" s="37"/>
      <c r="AM969" s="37"/>
      <c r="AN969" s="37"/>
      <c r="AO969" s="37"/>
      <c r="AP969" s="37"/>
      <c r="AQ969" s="37"/>
    </row>
    <row r="970">
      <c r="A970" s="55">
        <f t="shared" si="7"/>
        <v>75545</v>
      </c>
      <c r="B970" s="56">
        <f>round(YEARFRAC(EOMONTH(questions!$C$3, 0),A970,1),2)</f>
        <v>107.92</v>
      </c>
      <c r="C970" s="58">
        <f>IF(B970&lt;questions!$C$6,if(MONTH(A970)=1,C969*(1+questions!$C$12),C969),0)</f>
        <v>0</v>
      </c>
      <c r="D970" s="58">
        <f>IF(MONTH(A970)=12,C970*questions!$C$11,0)</f>
        <v>0</v>
      </c>
      <c r="E970" s="71">
        <f t="shared" si="2"/>
        <v>0</v>
      </c>
      <c r="F970" s="71">
        <f t="shared" si="3"/>
        <v>0</v>
      </c>
      <c r="G970" s="61">
        <f t="array" ref="G970">if(YEAR(A970)=2025,XLOOKUP(B970,Lookup!$A$3:$A$7,Lookup!$D$3:$D$7,,1)*SUM(E970:F970), XLOOKUP(B970,Lookup!$A$14:$A$18,Lookup!$D$14:$D$18,,1)*SUM(E970:F970))</f>
        <v>0</v>
      </c>
      <c r="H970" s="61">
        <f t="array" ref="H970">if(YEAR(A970)=2025,XLOOKUP(B970,Lookup!$F$3:$F$10,Lookup!$G$3:$G$10,,1)*G970, XLOOKUP(B970,Lookup!$F$14:$F$21,Lookup!$G$14:$G$21,,1)*G970)</f>
        <v>0</v>
      </c>
      <c r="I970" s="61">
        <f t="array" ref="I970">if(B970&lt;55, if(YEAR(A970)=2025,XLOOKUP(B970,Lookup!$F$3:$F$10,Lookup!$H$3:$H$10,,1)*G970, XLOOKUP(B970,Lookup!$F$14:$F$21,Lookup!$H$14:$H$21,,1)*G970),0)</f>
        <v>0</v>
      </c>
      <c r="J970" s="61">
        <f t="array" ref="J970">if(YEAR(A970)=2025,XLOOKUP(B970,Lookup!$F$3:$F$10,Lookup!$I$3:$I$10,,1)*G970, XLOOKUP(B970,Lookup!$F$14:$F$21,Lookup!$I$14:$I$21,,1)*G970)</f>
        <v>0</v>
      </c>
      <c r="K970" s="61">
        <f t="array" ref="K970">if(B970&gt;54, if(YEAR(A970)=2025,XLOOKUP(B970,Lookup!$F$3:$F$10,Lookup!$H$3:$H$10,,1)*G970, XLOOKUP(B970,Lookup!$F$14:$F$21,Lookup!$H$14:$H$21,,1)*G970),0)</f>
        <v>0</v>
      </c>
      <c r="L970" s="62">
        <f>IF(and(A970&lt;questions!$C$19,questions!$C$18="yes"),questions!$C$20,0)</f>
        <v>0</v>
      </c>
      <c r="M970" s="63">
        <f>(Y969+H970)*Lookup!A$26/12</f>
        <v>5818.809357</v>
      </c>
      <c r="N970" s="63">
        <f>if(B970&lt;55, (Z969+I970)*Lookup!B$26/12, (AB969+K970)*Lookup!B$26/12)</f>
        <v>16456.33278</v>
      </c>
      <c r="O970" s="63">
        <f>(AA969+J970)*Lookup!C$26/12</f>
        <v>940.3700287</v>
      </c>
      <c r="P970" s="63">
        <f t="shared" si="8"/>
        <v>58188.09357</v>
      </c>
      <c r="Q970" s="63">
        <f t="shared" si="4"/>
        <v>164563.3278</v>
      </c>
      <c r="R970" s="63">
        <f t="shared" si="5"/>
        <v>9403.700287</v>
      </c>
      <c r="S970" s="64">
        <f t="shared" si="9"/>
        <v>33.33333333</v>
      </c>
      <c r="T970" s="64">
        <f t="shared" si="10"/>
        <v>41.66666667</v>
      </c>
      <c r="U970" s="64">
        <f t="shared" si="11"/>
        <v>0</v>
      </c>
      <c r="V970" s="64">
        <f t="shared" ref="V970:X970" si="978">IF(year($A970)=year($A969), V969+S970, S970)</f>
        <v>333.3333333</v>
      </c>
      <c r="W970" s="64">
        <f t="shared" si="978"/>
        <v>416.6666667</v>
      </c>
      <c r="X970" s="64">
        <f t="shared" si="978"/>
        <v>0</v>
      </c>
      <c r="Y970" s="65">
        <f>IFS(
  B970&lt;55,
    MAX(
      Y969 + IF(MONTH(A970)=12, P970+V970, 0) + H970 - L970
      + MAX(0,
          IF(AA969 &gt;= VLOOKUP(YEAR(A970), Lookup!$Q:$R, 2),
            Z969 + IF(MONTH(A970)=12, Q970+W970, 0) + I970
              + AA969 + IF(MONTH(A970)=12, R970+X970, 0)
              - VLOOKUP(YEAR(A970), Lookup!$Q:$R, 2) + J970,
            Z969 + IF(MONTH(A970)=12, Q970+W970, 0) + I970
          ) - VLOOKUP(YEAR(A970), Lookup!$K:$M, 3)
        ),
    0),
  B970=55,
    IF(Z969&gt;=AD970,
      MAX(Y969 + IF(MONTH(A970)=12, P970+V970, 0) + H970 - L970, 0),
      MAX(MAX(0, Y969-(AD970-Z969)) + IF(MONTH(A970)=12, P970+V970, 0) + H970 - L970, 0)
    ),
  B970&gt;55,
    IF(AB969&gt;=$AH$7,
      MAX(Y969 + IF(MONTH(A970)=12, P970+V970, 0) + H970 - L970 + K970 + Z969, 0),
      MAX(Y969 + IF(MONTH(A970)=12, P970+V970, 0) + H970 - L970, 0)
    )
)</f>
        <v>2793028.491</v>
      </c>
      <c r="Z970" s="65">
        <f>IFS(
  B970&lt;55,
    MIN(
      IF(AA969 &gt;= VLOOKUP(YEAR(A970), Lookup!$Q:$R, 2),
        Z969 + IF(MONTH(A970)=12, Q970+W970, 0) + I970
          + AA969 + IF(MONTH(A970)=12, R970+X970, 0) - VLOOKUP(YEAR(A970), Lookup!$Q:$R, 2) + J970,
        Z969 + IF(MONTH(A970)=12, Q970+W970, 0) + I970
      ),
      VLOOKUP(YEAR(A970), Lookup!$K:$M, 3)
    ),
  B970=55,
    IF(Z969 &gt;= AD970, Z969 - AD970, 0),
  B970&gt;55, 0
)</f>
        <v>0</v>
      </c>
      <c r="AA970" s="65">
        <f>IFS(
  B970&lt;65,
    IF(AA969+J970 &lt; VLOOKUP(YEAR(A970), Lookup!$Q:$R, 2),
      AA969 + IF(MONTH(A970)=12, R969+X969, 0) + J970,
      MIN(
        AA969 + IF(MONTH(A970)=12, R969+X969, 0) + J970 ,
        VLOOKUP(YEAR(A970), Lookup!$Q:$R, 2)
      )
    ),
  B970&gt;=65,
    IF(AA969+J970 &lt; VLOOKUP(questions!$C$5, Lookup!$Q:$R, 2),
      AA969 + IF(MONTH(A970)=12, R969+X969, 0) + J970 ,
      MIN(
        AA969 + IF(MONTH(A970)=12, R969+X969, 0) + J970,
        VLOOKUP(questions!$C$5, Lookup!$Q:$R, 2)
      )
    )
)</f>
        <v>282111.0086</v>
      </c>
      <c r="AB970" s="65">
        <f t="shared" si="13"/>
        <v>4936899.833</v>
      </c>
      <c r="AC970" s="66">
        <f t="array" ref="AC970">IFS(B970&lt;66, XLOOKUP(year(A970),Lookup!$K$13:$K1000,Lookup!$L$13:$L1000,"missing",,1),B970&gt;65,XLOOKUP(questions!$C$5,Lookup!$K$13:$K1000,Lookup!$L$13:$L1000,"missing",,1))</f>
        <v>393675.3633</v>
      </c>
      <c r="AD970" s="66">
        <f t="array" ref="AD970">IFS(B970&lt;66, XLOOKUP(year(A970),Lookup!$K$13:$K1000,Lookup!$M$13:$M1000,"missing",,1),B970&gt;65, XLOOKUP(questions!$C$5,Lookup!$K$13:$K1000,Lookup!$M$13:$M1000,"missing",,1))</f>
        <v>787350.7266</v>
      </c>
      <c r="AE970" s="66">
        <f t="array" ref="AE970">IFS(B970&lt;66, XLOOKUP(year(A970),Lookup!$K$13:$K1000,Lookup!$N$13:$N1000,"missing",,1),B970&gt;65,XLOOKUP(questions!$C$5,Lookup!$K$13:$K1000,Lookup!$N$13:$N1000,"missing",,1))</f>
        <v>1574701.453</v>
      </c>
      <c r="AF970" s="37"/>
      <c r="AG970" s="37"/>
      <c r="AH970" s="37"/>
      <c r="AI970" s="37"/>
      <c r="AJ970" s="37"/>
      <c r="AK970" s="37"/>
      <c r="AL970" s="37"/>
      <c r="AM970" s="37"/>
      <c r="AN970" s="37"/>
      <c r="AO970" s="37"/>
      <c r="AP970" s="37"/>
      <c r="AQ970" s="37"/>
    </row>
    <row r="971">
      <c r="A971" s="55">
        <f t="shared" si="7"/>
        <v>75575</v>
      </c>
      <c r="B971" s="56">
        <f>round(YEARFRAC(EOMONTH(questions!$C$3, 0),A971,1),2)</f>
        <v>108</v>
      </c>
      <c r="C971" s="58">
        <f>IF(B971&lt;questions!$C$6,if(MONTH(A971)=1,C970*(1+questions!$C$12),C970),0)</f>
        <v>0</v>
      </c>
      <c r="D971" s="58">
        <f>IF(MONTH(A971)=12,C971*questions!$C$11,0)</f>
        <v>0</v>
      </c>
      <c r="E971" s="71">
        <f t="shared" si="2"/>
        <v>0</v>
      </c>
      <c r="F971" s="71">
        <f t="shared" si="3"/>
        <v>0</v>
      </c>
      <c r="G971" s="61">
        <f t="array" ref="G971">if(YEAR(A971)=2025,XLOOKUP(B971,Lookup!$A$3:$A$7,Lookup!$D$3:$D$7,,1)*SUM(E971:F971), XLOOKUP(B971,Lookup!$A$14:$A$18,Lookup!$D$14:$D$18,,1)*SUM(E971:F971))</f>
        <v>0</v>
      </c>
      <c r="H971" s="61">
        <f t="array" ref="H971">if(YEAR(A971)=2025,XLOOKUP(B971,Lookup!$F$3:$F$10,Lookup!$G$3:$G$10,,1)*G971, XLOOKUP(B971,Lookup!$F$14:$F$21,Lookup!$G$14:$G$21,,1)*G971)</f>
        <v>0</v>
      </c>
      <c r="I971" s="61">
        <f t="array" ref="I971">if(B971&lt;55, if(YEAR(A971)=2025,XLOOKUP(B971,Lookup!$F$3:$F$10,Lookup!$H$3:$H$10,,1)*G971, XLOOKUP(B971,Lookup!$F$14:$F$21,Lookup!$H$14:$H$21,,1)*G971),0)</f>
        <v>0</v>
      </c>
      <c r="J971" s="61">
        <f t="array" ref="J971">if(YEAR(A971)=2025,XLOOKUP(B971,Lookup!$F$3:$F$10,Lookup!$I$3:$I$10,,1)*G971, XLOOKUP(B971,Lookup!$F$14:$F$21,Lookup!$I$14:$I$21,,1)*G971)</f>
        <v>0</v>
      </c>
      <c r="K971" s="61">
        <f t="array" ref="K971">if(B971&gt;54, if(YEAR(A971)=2025,XLOOKUP(B971,Lookup!$F$3:$F$10,Lookup!$H$3:$H$10,,1)*G971, XLOOKUP(B971,Lookup!$F$14:$F$21,Lookup!$H$14:$H$21,,1)*G971),0)</f>
        <v>0</v>
      </c>
      <c r="L971" s="62">
        <f>IF(and(A971&lt;questions!$C$19,questions!$C$18="yes"),questions!$C$20,0)</f>
        <v>0</v>
      </c>
      <c r="M971" s="63">
        <f>(Y970+H971)*Lookup!A$26/12</f>
        <v>5818.809357</v>
      </c>
      <c r="N971" s="63">
        <f>if(B971&lt;55, (Z970+I971)*Lookup!B$26/12, (AB970+K971)*Lookup!B$26/12)</f>
        <v>16456.33278</v>
      </c>
      <c r="O971" s="63">
        <f>(AA970+J971)*Lookup!C$26/12</f>
        <v>940.3700287</v>
      </c>
      <c r="P971" s="63">
        <f t="shared" si="8"/>
        <v>64006.90292</v>
      </c>
      <c r="Q971" s="63">
        <f t="shared" si="4"/>
        <v>181019.6606</v>
      </c>
      <c r="R971" s="63">
        <f t="shared" si="5"/>
        <v>10344.07032</v>
      </c>
      <c r="S971" s="64">
        <f t="shared" si="9"/>
        <v>33.33333333</v>
      </c>
      <c r="T971" s="64">
        <f t="shared" si="10"/>
        <v>41.66666667</v>
      </c>
      <c r="U971" s="64">
        <f t="shared" si="11"/>
        <v>0</v>
      </c>
      <c r="V971" s="64">
        <f t="shared" ref="V971:X971" si="979">IF(year($A971)=year($A970), V970+S971, S971)</f>
        <v>366.6666667</v>
      </c>
      <c r="W971" s="64">
        <f t="shared" si="979"/>
        <v>458.3333333</v>
      </c>
      <c r="X971" s="64">
        <f t="shared" si="979"/>
        <v>0</v>
      </c>
      <c r="Y971" s="65">
        <f>IFS(
  B971&lt;55,
    MAX(
      Y970 + IF(MONTH(A971)=12, P971+V971, 0) + H971 - L971
      + MAX(0,
          IF(AA970 &gt;= VLOOKUP(YEAR(A971), Lookup!$Q:$R, 2),
            Z970 + IF(MONTH(A971)=12, Q971+W971, 0) + I971
              + AA970 + IF(MONTH(A971)=12, R971+X971, 0)
              - VLOOKUP(YEAR(A971), Lookup!$Q:$R, 2) + J971,
            Z970 + IF(MONTH(A971)=12, Q971+W971, 0) + I971
          ) - VLOOKUP(YEAR(A971), Lookup!$K:$M, 3)
        ),
    0),
  B971=55,
    IF(Z970&gt;=AD971,
      MAX(Y970 + IF(MONTH(A971)=12, P971+V971, 0) + H971 - L971, 0),
      MAX(MAX(0, Y970-(AD971-Z970)) + IF(MONTH(A971)=12, P971+V971, 0) + H971 - L971, 0)
    ),
  B971&gt;55,
    IF(AB970&gt;=$AH$7,
      MAX(Y970 + IF(MONTH(A971)=12, P971+V971, 0) + H971 - L971 + K971 + Z970, 0),
      MAX(Y970 + IF(MONTH(A971)=12, P971+V971, 0) + H971 - L971, 0)
    )
)</f>
        <v>2793028.491</v>
      </c>
      <c r="Z971" s="65">
        <f>IFS(
  B971&lt;55,
    MIN(
      IF(AA970 &gt;= VLOOKUP(YEAR(A971), Lookup!$Q:$R, 2),
        Z970 + IF(MONTH(A971)=12, Q971+W971, 0) + I971
          + AA970 + IF(MONTH(A971)=12, R971+X971, 0) - VLOOKUP(YEAR(A971), Lookup!$Q:$R, 2) + J971,
        Z970 + IF(MONTH(A971)=12, Q971+W971, 0) + I971
      ),
      VLOOKUP(YEAR(A971), Lookup!$K:$M, 3)
    ),
  B971=55,
    IF(Z970 &gt;= AD971, Z970 - AD971, 0),
  B971&gt;55, 0
)</f>
        <v>0</v>
      </c>
      <c r="AA971" s="65">
        <f>IFS(
  B971&lt;65,
    IF(AA970+J971 &lt; VLOOKUP(YEAR(A971), Lookup!$Q:$R, 2),
      AA970 + IF(MONTH(A971)=12, R970+X970, 0) + J971,
      MIN(
        AA970 + IF(MONTH(A971)=12, R970+X970, 0) + J971 ,
        VLOOKUP(YEAR(A971), Lookup!$Q:$R, 2)
      )
    ),
  B971&gt;=65,
    IF(AA970+J971 &lt; VLOOKUP(questions!$C$5, Lookup!$Q:$R, 2),
      AA970 + IF(MONTH(A971)=12, R970+X970, 0) + J971 ,
      MIN(
        AA970 + IF(MONTH(A971)=12, R970+X970, 0) + J971,
        VLOOKUP(questions!$C$5, Lookup!$Q:$R, 2)
      )
    )
)</f>
        <v>282111.0086</v>
      </c>
      <c r="AB971" s="65">
        <f t="shared" si="13"/>
        <v>4936899.833</v>
      </c>
      <c r="AC971" s="66">
        <f t="array" ref="AC971">IFS(B971&lt;66, XLOOKUP(year(A971),Lookup!$K$13:$K1000,Lookup!$L$13:$L1000,"missing",,1),B971&gt;65,XLOOKUP(questions!$C$5,Lookup!$K$13:$K1000,Lookup!$L$13:$L1000,"missing",,1))</f>
        <v>393675.3633</v>
      </c>
      <c r="AD971" s="66">
        <f t="array" ref="AD971">IFS(B971&lt;66, XLOOKUP(year(A971),Lookup!$K$13:$K1000,Lookup!$M$13:$M1000,"missing",,1),B971&gt;65, XLOOKUP(questions!$C$5,Lookup!$K$13:$K1000,Lookup!$M$13:$M1000,"missing",,1))</f>
        <v>787350.7266</v>
      </c>
      <c r="AE971" s="66">
        <f t="array" ref="AE971">IFS(B971&lt;66, XLOOKUP(year(A971),Lookup!$K$13:$K1000,Lookup!$N$13:$N1000,"missing",,1),B971&gt;65,XLOOKUP(questions!$C$5,Lookup!$K$13:$K1000,Lookup!$N$13:$N1000,"missing",,1))</f>
        <v>1574701.453</v>
      </c>
      <c r="AF971" s="37"/>
      <c r="AG971" s="37"/>
      <c r="AH971" s="37"/>
      <c r="AI971" s="37"/>
      <c r="AJ971" s="37"/>
      <c r="AK971" s="37"/>
      <c r="AL971" s="37"/>
      <c r="AM971" s="37"/>
      <c r="AN971" s="37"/>
      <c r="AO971" s="37"/>
      <c r="AP971" s="37"/>
      <c r="AQ971" s="37"/>
    </row>
    <row r="972">
      <c r="A972" s="55">
        <f t="shared" si="7"/>
        <v>75606</v>
      </c>
      <c r="B972" s="56">
        <f>round(YEARFRAC(EOMONTH(questions!$C$3, 0),A972,1),2)</f>
        <v>108.08</v>
      </c>
      <c r="C972" s="58">
        <f>IF(B972&lt;questions!$C$6,if(MONTH(A972)=1,C971*(1+questions!$C$12),C971),0)</f>
        <v>0</v>
      </c>
      <c r="D972" s="58">
        <f>IF(MONTH(A972)=12,C972*questions!$C$11,0)</f>
        <v>0</v>
      </c>
      <c r="E972" s="71">
        <f t="shared" si="2"/>
        <v>0</v>
      </c>
      <c r="F972" s="71">
        <f t="shared" si="3"/>
        <v>0</v>
      </c>
      <c r="G972" s="61">
        <f t="array" ref="G972">if(YEAR(A972)=2025,XLOOKUP(B972,Lookup!$A$3:$A$7,Lookup!$D$3:$D$7,,1)*SUM(E972:F972), XLOOKUP(B972,Lookup!$A$14:$A$18,Lookup!$D$14:$D$18,,1)*SUM(E972:F972))</f>
        <v>0</v>
      </c>
      <c r="H972" s="61">
        <f t="array" ref="H972">if(YEAR(A972)=2025,XLOOKUP(B972,Lookup!$F$3:$F$10,Lookup!$G$3:$G$10,,1)*G972, XLOOKUP(B972,Lookup!$F$14:$F$21,Lookup!$G$14:$G$21,,1)*G972)</f>
        <v>0</v>
      </c>
      <c r="I972" s="61">
        <f t="array" ref="I972">if(B972&lt;55, if(YEAR(A972)=2025,XLOOKUP(B972,Lookup!$F$3:$F$10,Lookup!$H$3:$H$10,,1)*G972, XLOOKUP(B972,Lookup!$F$14:$F$21,Lookup!$H$14:$H$21,,1)*G972),0)</f>
        <v>0</v>
      </c>
      <c r="J972" s="61">
        <f t="array" ref="J972">if(YEAR(A972)=2025,XLOOKUP(B972,Lookup!$F$3:$F$10,Lookup!$I$3:$I$10,,1)*G972, XLOOKUP(B972,Lookup!$F$14:$F$21,Lookup!$I$14:$I$21,,1)*G972)</f>
        <v>0</v>
      </c>
      <c r="K972" s="61">
        <f t="array" ref="K972">if(B972&gt;54, if(YEAR(A972)=2025,XLOOKUP(B972,Lookup!$F$3:$F$10,Lookup!$H$3:$H$10,,1)*G972, XLOOKUP(B972,Lookup!$F$14:$F$21,Lookup!$H$14:$H$21,,1)*G972),0)</f>
        <v>0</v>
      </c>
      <c r="L972" s="62">
        <f>IF(and(A972&lt;questions!$C$19,questions!$C$18="yes"),questions!$C$20,0)</f>
        <v>0</v>
      </c>
      <c r="M972" s="63">
        <f>(Y971+H972)*Lookup!A$26/12</f>
        <v>5818.809357</v>
      </c>
      <c r="N972" s="63">
        <f>if(B972&lt;55, (Z971+I972)*Lookup!B$26/12, (AB971+K972)*Lookup!B$26/12)</f>
        <v>16456.33278</v>
      </c>
      <c r="O972" s="63">
        <f>(AA971+J972)*Lookup!C$26/12</f>
        <v>940.3700287</v>
      </c>
      <c r="P972" s="63">
        <f t="shared" si="8"/>
        <v>69825.71228</v>
      </c>
      <c r="Q972" s="63">
        <f t="shared" si="4"/>
        <v>197475.9933</v>
      </c>
      <c r="R972" s="63">
        <f t="shared" si="5"/>
        <v>11284.44034</v>
      </c>
      <c r="S972" s="64">
        <f t="shared" si="9"/>
        <v>33.33333333</v>
      </c>
      <c r="T972" s="64">
        <f t="shared" si="10"/>
        <v>41.66666667</v>
      </c>
      <c r="U972" s="64">
        <f t="shared" si="11"/>
        <v>0</v>
      </c>
      <c r="V972" s="64">
        <f t="shared" ref="V972:X972" si="980">IF(year($A972)=year($A971), V971+S972, S972)</f>
        <v>400</v>
      </c>
      <c r="W972" s="64">
        <f t="shared" si="980"/>
        <v>500</v>
      </c>
      <c r="X972" s="64">
        <f t="shared" si="980"/>
        <v>0</v>
      </c>
      <c r="Y972" s="65">
        <f>IFS(
  B972&lt;55,
    MAX(
      Y971 + IF(MONTH(A972)=12, P972+V972, 0) + H972 - L972
      + MAX(0,
          IF(AA971 &gt;= VLOOKUP(YEAR(A972), Lookup!$Q:$R, 2),
            Z971 + IF(MONTH(A972)=12, Q972+W972, 0) + I972
              + AA971 + IF(MONTH(A972)=12, R972+X972, 0)
              - VLOOKUP(YEAR(A972), Lookup!$Q:$R, 2) + J972,
            Z971 + IF(MONTH(A972)=12, Q972+W972, 0) + I972
          ) - VLOOKUP(YEAR(A972), Lookup!$K:$M, 3)
        ),
    0),
  B972=55,
    IF(Z971&gt;=AD972,
      MAX(Y971 + IF(MONTH(A972)=12, P972+V972, 0) + H972 - L972, 0),
      MAX(MAX(0, Y971-(AD972-Z971)) + IF(MONTH(A972)=12, P972+V972, 0) + H972 - L972, 0)
    ),
  B972&gt;55,
    IF(AB971&gt;=$AH$7,
      MAX(Y971 + IF(MONTH(A972)=12, P972+V972, 0) + H972 - L972 + K972 + Z971, 0),
      MAX(Y971 + IF(MONTH(A972)=12, P972+V972, 0) + H972 - L972, 0)
    )
)</f>
        <v>2863254.203</v>
      </c>
      <c r="Z972" s="65">
        <f>IFS(
  B972&lt;55,
    MIN(
      IF(AA971 &gt;= VLOOKUP(YEAR(A972), Lookup!$Q:$R, 2),
        Z971 + IF(MONTH(A972)=12, Q972+W972, 0) + I972
          + AA971 + IF(MONTH(A972)=12, R972+X972, 0) - VLOOKUP(YEAR(A972), Lookup!$Q:$R, 2) + J972,
        Z971 + IF(MONTH(A972)=12, Q972+W972, 0) + I972
      ),
      VLOOKUP(YEAR(A972), Lookup!$K:$M, 3)
    ),
  B972=55,
    IF(Z971 &gt;= AD972, Z971 - AD972, 0),
  B972&gt;55, 0
)</f>
        <v>0</v>
      </c>
      <c r="AA972" s="65">
        <f>IFS(
  B972&lt;65,
    IF(AA971+J972 &lt; VLOOKUP(YEAR(A972), Lookup!$Q:$R, 2),
      AA971 + IF(MONTH(A972)=12, R971+X971, 0) + J972,
      MIN(
        AA971 + IF(MONTH(A972)=12, R971+X971, 0) + J972 ,
        VLOOKUP(YEAR(A972), Lookup!$Q:$R, 2)
      )
    ),
  B972&gt;=65,
    IF(AA971+J972 &lt; VLOOKUP(questions!$C$5, Lookup!$Q:$R, 2),
      AA971 + IF(MONTH(A972)=12, R971+X971, 0) + J972 ,
      MIN(
        AA971 + IF(MONTH(A972)=12, R971+X971, 0) + J972,
        VLOOKUP(questions!$C$5, Lookup!$Q:$R, 2)
      )
    )
)</f>
        <v>282111.0086</v>
      </c>
      <c r="AB972" s="65">
        <f t="shared" si="13"/>
        <v>5134875.827</v>
      </c>
      <c r="AC972" s="66">
        <f t="array" ref="AC972">IFS(B972&lt;66, XLOOKUP(year(A972),Lookup!$K$13:$K1000,Lookup!$L$13:$L1000,"missing",,1),B972&gt;65,XLOOKUP(questions!$C$5,Lookup!$K$13:$K1000,Lookup!$L$13:$L1000,"missing",,1))</f>
        <v>393675.3633</v>
      </c>
      <c r="AD972" s="66">
        <f t="array" ref="AD972">IFS(B972&lt;66, XLOOKUP(year(A972),Lookup!$K$13:$K1000,Lookup!$M$13:$M1000,"missing",,1),B972&gt;65, XLOOKUP(questions!$C$5,Lookup!$K$13:$K1000,Lookup!$M$13:$M1000,"missing",,1))</f>
        <v>787350.7266</v>
      </c>
      <c r="AE972" s="66">
        <f t="array" ref="AE972">IFS(B972&lt;66, XLOOKUP(year(A972),Lookup!$K$13:$K1000,Lookup!$N$13:$N1000,"missing",,1),B972&gt;65,XLOOKUP(questions!$C$5,Lookup!$K$13:$K1000,Lookup!$N$13:$N1000,"missing",,1))</f>
        <v>1574701.453</v>
      </c>
      <c r="AF972" s="37"/>
      <c r="AG972" s="37"/>
      <c r="AH972" s="37"/>
      <c r="AI972" s="37"/>
      <c r="AJ972" s="37"/>
      <c r="AK972" s="37"/>
      <c r="AL972" s="37"/>
      <c r="AM972" s="37"/>
      <c r="AN972" s="37"/>
      <c r="AO972" s="37"/>
      <c r="AP972" s="37"/>
      <c r="AQ972" s="37"/>
    </row>
    <row r="973">
      <c r="A973" s="55">
        <f t="shared" si="7"/>
        <v>75637</v>
      </c>
      <c r="B973" s="56">
        <f>round(YEARFRAC(EOMONTH(questions!$C$3, 0),A973,1),2)</f>
        <v>108.17</v>
      </c>
      <c r="C973" s="58">
        <f>IF(B973&lt;questions!$C$6,if(MONTH(A973)=1,C972*(1+questions!$C$12),C972),0)</f>
        <v>0</v>
      </c>
      <c r="D973" s="58">
        <f>IF(MONTH(A973)=12,C973*questions!$C$11,0)</f>
        <v>0</v>
      </c>
      <c r="E973" s="71">
        <f t="shared" si="2"/>
        <v>0</v>
      </c>
      <c r="F973" s="71">
        <f t="shared" si="3"/>
        <v>0</v>
      </c>
      <c r="G973" s="61">
        <f t="array" ref="G973">if(YEAR(A973)=2025,XLOOKUP(B973,Lookup!$A$3:$A$7,Lookup!$D$3:$D$7,,1)*SUM(E973:F973), XLOOKUP(B973,Lookup!$A$14:$A$18,Lookup!$D$14:$D$18,,1)*SUM(E973:F973))</f>
        <v>0</v>
      </c>
      <c r="H973" s="61">
        <f t="array" ref="H973">if(YEAR(A973)=2025,XLOOKUP(B973,Lookup!$F$3:$F$10,Lookup!$G$3:$G$10,,1)*G973, XLOOKUP(B973,Lookup!$F$14:$F$21,Lookup!$G$14:$G$21,,1)*G973)</f>
        <v>0</v>
      </c>
      <c r="I973" s="61">
        <f t="array" ref="I973">if(B973&lt;55, if(YEAR(A973)=2025,XLOOKUP(B973,Lookup!$F$3:$F$10,Lookup!$H$3:$H$10,,1)*G973, XLOOKUP(B973,Lookup!$F$14:$F$21,Lookup!$H$14:$H$21,,1)*G973),0)</f>
        <v>0</v>
      </c>
      <c r="J973" s="61">
        <f t="array" ref="J973">if(YEAR(A973)=2025,XLOOKUP(B973,Lookup!$F$3:$F$10,Lookup!$I$3:$I$10,,1)*G973, XLOOKUP(B973,Lookup!$F$14:$F$21,Lookup!$I$14:$I$21,,1)*G973)</f>
        <v>0</v>
      </c>
      <c r="K973" s="61">
        <f t="array" ref="K973">if(B973&gt;54, if(YEAR(A973)=2025,XLOOKUP(B973,Lookup!$F$3:$F$10,Lookup!$H$3:$H$10,,1)*G973, XLOOKUP(B973,Lookup!$F$14:$F$21,Lookup!$H$14:$H$21,,1)*G973),0)</f>
        <v>0</v>
      </c>
      <c r="L973" s="62">
        <f>IF(and(A973&lt;questions!$C$19,questions!$C$18="yes"),questions!$C$20,0)</f>
        <v>0</v>
      </c>
      <c r="M973" s="63">
        <f>(Y972+H973)*Lookup!A$26/12</f>
        <v>5965.112924</v>
      </c>
      <c r="N973" s="63">
        <f>if(B973&lt;55, (Z972+I973)*Lookup!B$26/12, (AB972+K973)*Lookup!B$26/12)</f>
        <v>17116.25276</v>
      </c>
      <c r="O973" s="63">
        <f>(AA972+J973)*Lookup!C$26/12</f>
        <v>940.3700287</v>
      </c>
      <c r="P973" s="63">
        <f t="shared" si="8"/>
        <v>5965.112924</v>
      </c>
      <c r="Q973" s="63">
        <f t="shared" si="4"/>
        <v>17116.25276</v>
      </c>
      <c r="R973" s="63">
        <f t="shared" si="5"/>
        <v>940.3700287</v>
      </c>
      <c r="S973" s="64">
        <f t="shared" si="9"/>
        <v>33.33333333</v>
      </c>
      <c r="T973" s="64">
        <f t="shared" si="10"/>
        <v>41.66666667</v>
      </c>
      <c r="U973" s="64">
        <f t="shared" si="11"/>
        <v>0</v>
      </c>
      <c r="V973" s="64">
        <f t="shared" ref="V973:X973" si="981">IF(year($A973)=year($A972), V972+S973, S973)</f>
        <v>33.33333333</v>
      </c>
      <c r="W973" s="64">
        <f t="shared" si="981"/>
        <v>41.66666667</v>
      </c>
      <c r="X973" s="64">
        <f t="shared" si="981"/>
        <v>0</v>
      </c>
      <c r="Y973" s="65">
        <f>IFS(
  B973&lt;55,
    MAX(
      Y972 + IF(MONTH(A973)=12, P973+V973, 0) + H973 - L973
      + MAX(0,
          IF(AA972 &gt;= VLOOKUP(YEAR(A973), Lookup!$Q:$R, 2),
            Z972 + IF(MONTH(A973)=12, Q973+W973, 0) + I973
              + AA972 + IF(MONTH(A973)=12, R973+X973, 0)
              - VLOOKUP(YEAR(A973), Lookup!$Q:$R, 2) + J973,
            Z972 + IF(MONTH(A973)=12, Q973+W973, 0) + I973
          ) - VLOOKUP(YEAR(A973), Lookup!$K:$M, 3)
        ),
    0),
  B973=55,
    IF(Z972&gt;=AD973,
      MAX(Y972 + IF(MONTH(A973)=12, P973+V973, 0) + H973 - L973, 0),
      MAX(MAX(0, Y972-(AD973-Z972)) + IF(MONTH(A973)=12, P973+V973, 0) + H973 - L973, 0)
    ),
  B973&gt;55,
    IF(AB972&gt;=$AH$7,
      MAX(Y972 + IF(MONTH(A973)=12, P973+V973, 0) + H973 - L973 + K973 + Z972, 0),
      MAX(Y972 + IF(MONTH(A973)=12, P973+V973, 0) + H973 - L973, 0)
    )
)</f>
        <v>2863254.203</v>
      </c>
      <c r="Z973" s="65">
        <f>IFS(
  B973&lt;55,
    MIN(
      IF(AA972 &gt;= VLOOKUP(YEAR(A973), Lookup!$Q:$R, 2),
        Z972 + IF(MONTH(A973)=12, Q973+W973, 0) + I973
          + AA972 + IF(MONTH(A973)=12, R973+X973, 0) - VLOOKUP(YEAR(A973), Lookup!$Q:$R, 2) + J973,
        Z972 + IF(MONTH(A973)=12, Q973+W973, 0) + I973
      ),
      VLOOKUP(YEAR(A973), Lookup!$K:$M, 3)
    ),
  B973=55,
    IF(Z972 &gt;= AD973, Z972 - AD973, 0),
  B973&gt;55, 0
)</f>
        <v>0</v>
      </c>
      <c r="AA973" s="65">
        <f>IFS(
  B973&lt;65,
    IF(AA972+J973 &lt; VLOOKUP(YEAR(A973), Lookup!$Q:$R, 2),
      AA972 + IF(MONTH(A973)=12, R972+X972, 0) + J973,
      MIN(
        AA972 + IF(MONTH(A973)=12, R972+X972, 0) + J973 ,
        VLOOKUP(YEAR(A973), Lookup!$Q:$R, 2)
      )
    ),
  B973&gt;=65,
    IF(AA972+J973 &lt; VLOOKUP(questions!$C$5, Lookup!$Q:$R, 2),
      AA972 + IF(MONTH(A973)=12, R972+X972, 0) + J973 ,
      MIN(
        AA972 + IF(MONTH(A973)=12, R972+X972, 0) + J973,
        VLOOKUP(questions!$C$5, Lookup!$Q:$R, 2)
      )
    )
)</f>
        <v>282111.0086</v>
      </c>
      <c r="AB973" s="65">
        <f t="shared" si="13"/>
        <v>5134875.827</v>
      </c>
      <c r="AC973" s="66">
        <f t="array" ref="AC973">IFS(B973&lt;66, XLOOKUP(year(A973),Lookup!$K$13:$K1000,Lookup!$L$13:$L1000,"missing",,1),B973&gt;65,XLOOKUP(questions!$C$5,Lookup!$K$13:$K1000,Lookup!$L$13:$L1000,"missing",,1))</f>
        <v>393675.3633</v>
      </c>
      <c r="AD973" s="66">
        <f t="array" ref="AD973">IFS(B973&lt;66, XLOOKUP(year(A973),Lookup!$K$13:$K1000,Lookup!$M$13:$M1000,"missing",,1),B973&gt;65, XLOOKUP(questions!$C$5,Lookup!$K$13:$K1000,Lookup!$M$13:$M1000,"missing",,1))</f>
        <v>787350.7266</v>
      </c>
      <c r="AE973" s="66">
        <f t="array" ref="AE973">IFS(B973&lt;66, XLOOKUP(year(A973),Lookup!$K$13:$K1000,Lookup!$N$13:$N1000,"missing",,1),B973&gt;65,XLOOKUP(questions!$C$5,Lookup!$K$13:$K1000,Lookup!$N$13:$N1000,"missing",,1))</f>
        <v>1574701.453</v>
      </c>
      <c r="AF973" s="37"/>
      <c r="AG973" s="37"/>
      <c r="AH973" s="37"/>
      <c r="AI973" s="37"/>
      <c r="AJ973" s="37"/>
      <c r="AK973" s="37"/>
      <c r="AL973" s="37"/>
      <c r="AM973" s="37"/>
      <c r="AN973" s="37"/>
      <c r="AO973" s="37"/>
      <c r="AP973" s="37"/>
      <c r="AQ973" s="37"/>
    </row>
    <row r="974">
      <c r="A974" s="55">
        <f t="shared" si="7"/>
        <v>75665</v>
      </c>
      <c r="B974" s="56">
        <f>round(YEARFRAC(EOMONTH(questions!$C$3, 0),A974,1),2)</f>
        <v>108.25</v>
      </c>
      <c r="C974" s="58">
        <f>IF(B974&lt;questions!$C$6,if(MONTH(A974)=1,C973*(1+questions!$C$12),C973),0)</f>
        <v>0</v>
      </c>
      <c r="D974" s="58">
        <f>IF(MONTH(A974)=12,C974*questions!$C$11,0)</f>
        <v>0</v>
      </c>
      <c r="E974" s="71">
        <f t="shared" si="2"/>
        <v>0</v>
      </c>
      <c r="F974" s="71">
        <f t="shared" si="3"/>
        <v>0</v>
      </c>
      <c r="G974" s="61">
        <f t="array" ref="G974">if(YEAR(A974)=2025,XLOOKUP(B974,Lookup!$A$3:$A$7,Lookup!$D$3:$D$7,,1)*SUM(E974:F974), XLOOKUP(B974,Lookup!$A$14:$A$18,Lookup!$D$14:$D$18,,1)*SUM(E974:F974))</f>
        <v>0</v>
      </c>
      <c r="H974" s="61">
        <f t="array" ref="H974">if(YEAR(A974)=2025,XLOOKUP(B974,Lookup!$F$3:$F$10,Lookup!$G$3:$G$10,,1)*G974, XLOOKUP(B974,Lookup!$F$14:$F$21,Lookup!$G$14:$G$21,,1)*G974)</f>
        <v>0</v>
      </c>
      <c r="I974" s="61">
        <f t="array" ref="I974">if(B974&lt;55, if(YEAR(A974)=2025,XLOOKUP(B974,Lookup!$F$3:$F$10,Lookup!$H$3:$H$10,,1)*G974, XLOOKUP(B974,Lookup!$F$14:$F$21,Lookup!$H$14:$H$21,,1)*G974),0)</f>
        <v>0</v>
      </c>
      <c r="J974" s="61">
        <f t="array" ref="J974">if(YEAR(A974)=2025,XLOOKUP(B974,Lookup!$F$3:$F$10,Lookup!$I$3:$I$10,,1)*G974, XLOOKUP(B974,Lookup!$F$14:$F$21,Lookup!$I$14:$I$21,,1)*G974)</f>
        <v>0</v>
      </c>
      <c r="K974" s="61">
        <f t="array" ref="K974">if(B974&gt;54, if(YEAR(A974)=2025,XLOOKUP(B974,Lookup!$F$3:$F$10,Lookup!$H$3:$H$10,,1)*G974, XLOOKUP(B974,Lookup!$F$14:$F$21,Lookup!$H$14:$H$21,,1)*G974),0)</f>
        <v>0</v>
      </c>
      <c r="L974" s="62">
        <f>IF(and(A974&lt;questions!$C$19,questions!$C$18="yes"),questions!$C$20,0)</f>
        <v>0</v>
      </c>
      <c r="M974" s="63">
        <f>(Y973+H974)*Lookup!A$26/12</f>
        <v>5965.112924</v>
      </c>
      <c r="N974" s="63">
        <f>if(B974&lt;55, (Z973+I974)*Lookup!B$26/12, (AB973+K974)*Lookup!B$26/12)</f>
        <v>17116.25276</v>
      </c>
      <c r="O974" s="63">
        <f>(AA973+J974)*Lookup!C$26/12</f>
        <v>940.3700287</v>
      </c>
      <c r="P974" s="63">
        <f t="shared" si="8"/>
        <v>11930.22585</v>
      </c>
      <c r="Q974" s="63">
        <f t="shared" si="4"/>
        <v>34232.50551</v>
      </c>
      <c r="R974" s="63">
        <f t="shared" si="5"/>
        <v>1880.740057</v>
      </c>
      <c r="S974" s="64">
        <f t="shared" si="9"/>
        <v>33.33333333</v>
      </c>
      <c r="T974" s="64">
        <f t="shared" si="10"/>
        <v>41.66666667</v>
      </c>
      <c r="U974" s="64">
        <f t="shared" si="11"/>
        <v>0</v>
      </c>
      <c r="V974" s="64">
        <f t="shared" ref="V974:X974" si="982">IF(year($A974)=year($A973), V973+S974, S974)</f>
        <v>66.66666667</v>
      </c>
      <c r="W974" s="64">
        <f t="shared" si="982"/>
        <v>83.33333333</v>
      </c>
      <c r="X974" s="64">
        <f t="shared" si="982"/>
        <v>0</v>
      </c>
      <c r="Y974" s="65">
        <f>IFS(
  B974&lt;55,
    MAX(
      Y973 + IF(MONTH(A974)=12, P974+V974, 0) + H974 - L974
      + MAX(0,
          IF(AA973 &gt;= VLOOKUP(YEAR(A974), Lookup!$Q:$R, 2),
            Z973 + IF(MONTH(A974)=12, Q974+W974, 0) + I974
              + AA973 + IF(MONTH(A974)=12, R974+X974, 0)
              - VLOOKUP(YEAR(A974), Lookup!$Q:$R, 2) + J974,
            Z973 + IF(MONTH(A974)=12, Q974+W974, 0) + I974
          ) - VLOOKUP(YEAR(A974), Lookup!$K:$M, 3)
        ),
    0),
  B974=55,
    IF(Z973&gt;=AD974,
      MAX(Y973 + IF(MONTH(A974)=12, P974+V974, 0) + H974 - L974, 0),
      MAX(MAX(0, Y973-(AD974-Z973)) + IF(MONTH(A974)=12, P974+V974, 0) + H974 - L974, 0)
    ),
  B974&gt;55,
    IF(AB973&gt;=$AH$7,
      MAX(Y973 + IF(MONTH(A974)=12, P974+V974, 0) + H974 - L974 + K974 + Z973, 0),
      MAX(Y973 + IF(MONTH(A974)=12, P974+V974, 0) + H974 - L974, 0)
    )
)</f>
        <v>2863254.203</v>
      </c>
      <c r="Z974" s="65">
        <f>IFS(
  B974&lt;55,
    MIN(
      IF(AA973 &gt;= VLOOKUP(YEAR(A974), Lookup!$Q:$R, 2),
        Z973 + IF(MONTH(A974)=12, Q974+W974, 0) + I974
          + AA973 + IF(MONTH(A974)=12, R974+X974, 0) - VLOOKUP(YEAR(A974), Lookup!$Q:$R, 2) + J974,
        Z973 + IF(MONTH(A974)=12, Q974+W974, 0) + I974
      ),
      VLOOKUP(YEAR(A974), Lookup!$K:$M, 3)
    ),
  B974=55,
    IF(Z973 &gt;= AD974, Z973 - AD974, 0),
  B974&gt;55, 0
)</f>
        <v>0</v>
      </c>
      <c r="AA974" s="65">
        <f>IFS(
  B974&lt;65,
    IF(AA973+J974 &lt; VLOOKUP(YEAR(A974), Lookup!$Q:$R, 2),
      AA973 + IF(MONTH(A974)=12, R973+X973, 0) + J974,
      MIN(
        AA973 + IF(MONTH(A974)=12, R973+X973, 0) + J974 ,
        VLOOKUP(YEAR(A974), Lookup!$Q:$R, 2)
      )
    ),
  B974&gt;=65,
    IF(AA973+J974 &lt; VLOOKUP(questions!$C$5, Lookup!$Q:$R, 2),
      AA973 + IF(MONTH(A974)=12, R973+X973, 0) + J974 ,
      MIN(
        AA973 + IF(MONTH(A974)=12, R973+X973, 0) + J974,
        VLOOKUP(questions!$C$5, Lookup!$Q:$R, 2)
      )
    )
)</f>
        <v>282111.0086</v>
      </c>
      <c r="AB974" s="65">
        <f t="shared" si="13"/>
        <v>5134875.827</v>
      </c>
      <c r="AC974" s="66">
        <f t="array" ref="AC974">IFS(B974&lt;66, XLOOKUP(year(A974),Lookup!$K$13:$K1000,Lookup!$L$13:$L1000,"missing",,1),B974&gt;65,XLOOKUP(questions!$C$5,Lookup!$K$13:$K1000,Lookup!$L$13:$L1000,"missing",,1))</f>
        <v>393675.3633</v>
      </c>
      <c r="AD974" s="66">
        <f t="array" ref="AD974">IFS(B974&lt;66, XLOOKUP(year(A974),Lookup!$K$13:$K1000,Lookup!$M$13:$M1000,"missing",,1),B974&gt;65, XLOOKUP(questions!$C$5,Lookup!$K$13:$K1000,Lookup!$M$13:$M1000,"missing",,1))</f>
        <v>787350.7266</v>
      </c>
      <c r="AE974" s="66">
        <f t="array" ref="AE974">IFS(B974&lt;66, XLOOKUP(year(A974),Lookup!$K$13:$K1000,Lookup!$N$13:$N1000,"missing",,1),B974&gt;65,XLOOKUP(questions!$C$5,Lookup!$K$13:$K1000,Lookup!$N$13:$N1000,"missing",,1))</f>
        <v>1574701.453</v>
      </c>
      <c r="AF974" s="37"/>
      <c r="AG974" s="37"/>
      <c r="AH974" s="37"/>
      <c r="AI974" s="37"/>
      <c r="AJ974" s="37"/>
      <c r="AK974" s="37"/>
      <c r="AL974" s="37"/>
      <c r="AM974" s="37"/>
      <c r="AN974" s="37"/>
      <c r="AO974" s="37"/>
      <c r="AP974" s="37"/>
      <c r="AQ974" s="37"/>
    </row>
    <row r="975">
      <c r="A975" s="55">
        <f t="shared" si="7"/>
        <v>75696</v>
      </c>
      <c r="B975" s="56">
        <f>round(YEARFRAC(EOMONTH(questions!$C$3, 0),A975,1),2)</f>
        <v>108.33</v>
      </c>
      <c r="C975" s="58">
        <f>IF(B975&lt;questions!$C$6,if(MONTH(A975)=1,C974*(1+questions!$C$12),C974),0)</f>
        <v>0</v>
      </c>
      <c r="D975" s="58">
        <f>IF(MONTH(A975)=12,C975*questions!$C$11,0)</f>
        <v>0</v>
      </c>
      <c r="E975" s="71">
        <f t="shared" si="2"/>
        <v>0</v>
      </c>
      <c r="F975" s="71">
        <f t="shared" si="3"/>
        <v>0</v>
      </c>
      <c r="G975" s="61">
        <f t="array" ref="G975">if(YEAR(A975)=2025,XLOOKUP(B975,Lookup!$A$3:$A$7,Lookup!$D$3:$D$7,,1)*SUM(E975:F975), XLOOKUP(B975,Lookup!$A$14:$A$18,Lookup!$D$14:$D$18,,1)*SUM(E975:F975))</f>
        <v>0</v>
      </c>
      <c r="H975" s="61">
        <f t="array" ref="H975">if(YEAR(A975)=2025,XLOOKUP(B975,Lookup!$F$3:$F$10,Lookup!$G$3:$G$10,,1)*G975, XLOOKUP(B975,Lookup!$F$14:$F$21,Lookup!$G$14:$G$21,,1)*G975)</f>
        <v>0</v>
      </c>
      <c r="I975" s="61">
        <f t="array" ref="I975">if(B975&lt;55, if(YEAR(A975)=2025,XLOOKUP(B975,Lookup!$F$3:$F$10,Lookup!$H$3:$H$10,,1)*G975, XLOOKUP(B975,Lookup!$F$14:$F$21,Lookup!$H$14:$H$21,,1)*G975),0)</f>
        <v>0</v>
      </c>
      <c r="J975" s="61">
        <f t="array" ref="J975">if(YEAR(A975)=2025,XLOOKUP(B975,Lookup!$F$3:$F$10,Lookup!$I$3:$I$10,,1)*G975, XLOOKUP(B975,Lookup!$F$14:$F$21,Lookup!$I$14:$I$21,,1)*G975)</f>
        <v>0</v>
      </c>
      <c r="K975" s="61">
        <f t="array" ref="K975">if(B975&gt;54, if(YEAR(A975)=2025,XLOOKUP(B975,Lookup!$F$3:$F$10,Lookup!$H$3:$H$10,,1)*G975, XLOOKUP(B975,Lookup!$F$14:$F$21,Lookup!$H$14:$H$21,,1)*G975),0)</f>
        <v>0</v>
      </c>
      <c r="L975" s="62">
        <f>IF(and(A975&lt;questions!$C$19,questions!$C$18="yes"),questions!$C$20,0)</f>
        <v>0</v>
      </c>
      <c r="M975" s="63">
        <f>(Y974+H975)*Lookup!A$26/12</f>
        <v>5965.112924</v>
      </c>
      <c r="N975" s="63">
        <f>if(B975&lt;55, (Z974+I975)*Lookup!B$26/12, (AB974+K975)*Lookup!B$26/12)</f>
        <v>17116.25276</v>
      </c>
      <c r="O975" s="63">
        <f>(AA974+J975)*Lookup!C$26/12</f>
        <v>940.3700287</v>
      </c>
      <c r="P975" s="63">
        <f t="shared" si="8"/>
        <v>17895.33877</v>
      </c>
      <c r="Q975" s="63">
        <f t="shared" si="4"/>
        <v>51348.75827</v>
      </c>
      <c r="R975" s="63">
        <f t="shared" si="5"/>
        <v>2821.110086</v>
      </c>
      <c r="S975" s="64">
        <f t="shared" si="9"/>
        <v>33.33333333</v>
      </c>
      <c r="T975" s="64">
        <f t="shared" si="10"/>
        <v>41.66666667</v>
      </c>
      <c r="U975" s="64">
        <f t="shared" si="11"/>
        <v>0</v>
      </c>
      <c r="V975" s="64">
        <f t="shared" ref="V975:X975" si="983">IF(year($A975)=year($A974), V974+S975, S975)</f>
        <v>100</v>
      </c>
      <c r="W975" s="64">
        <f t="shared" si="983"/>
        <v>125</v>
      </c>
      <c r="X975" s="64">
        <f t="shared" si="983"/>
        <v>0</v>
      </c>
      <c r="Y975" s="65">
        <f>IFS(
  B975&lt;55,
    MAX(
      Y974 + IF(MONTH(A975)=12, P975+V975, 0) + H975 - L975
      + MAX(0,
          IF(AA974 &gt;= VLOOKUP(YEAR(A975), Lookup!$Q:$R, 2),
            Z974 + IF(MONTH(A975)=12, Q975+W975, 0) + I975
              + AA974 + IF(MONTH(A975)=12, R975+X975, 0)
              - VLOOKUP(YEAR(A975), Lookup!$Q:$R, 2) + J975,
            Z974 + IF(MONTH(A975)=12, Q975+W975, 0) + I975
          ) - VLOOKUP(YEAR(A975), Lookup!$K:$M, 3)
        ),
    0),
  B975=55,
    IF(Z974&gt;=AD975,
      MAX(Y974 + IF(MONTH(A975)=12, P975+V975, 0) + H975 - L975, 0),
      MAX(MAX(0, Y974-(AD975-Z974)) + IF(MONTH(A975)=12, P975+V975, 0) + H975 - L975, 0)
    ),
  B975&gt;55,
    IF(AB974&gt;=$AH$7,
      MAX(Y974 + IF(MONTH(A975)=12, P975+V975, 0) + H975 - L975 + K975 + Z974, 0),
      MAX(Y974 + IF(MONTH(A975)=12, P975+V975, 0) + H975 - L975, 0)
    )
)</f>
        <v>2863254.203</v>
      </c>
      <c r="Z975" s="65">
        <f>IFS(
  B975&lt;55,
    MIN(
      IF(AA974 &gt;= VLOOKUP(YEAR(A975), Lookup!$Q:$R, 2),
        Z974 + IF(MONTH(A975)=12, Q975+W975, 0) + I975
          + AA974 + IF(MONTH(A975)=12, R975+X975, 0) - VLOOKUP(YEAR(A975), Lookup!$Q:$R, 2) + J975,
        Z974 + IF(MONTH(A975)=12, Q975+W975, 0) + I975
      ),
      VLOOKUP(YEAR(A975), Lookup!$K:$M, 3)
    ),
  B975=55,
    IF(Z974 &gt;= AD975, Z974 - AD975, 0),
  B975&gt;55, 0
)</f>
        <v>0</v>
      </c>
      <c r="AA975" s="65">
        <f>IFS(
  B975&lt;65,
    IF(AA974+J975 &lt; VLOOKUP(YEAR(A975), Lookup!$Q:$R, 2),
      AA974 + IF(MONTH(A975)=12, R974+X974, 0) + J975,
      MIN(
        AA974 + IF(MONTH(A975)=12, R974+X974, 0) + J975 ,
        VLOOKUP(YEAR(A975), Lookup!$Q:$R, 2)
      )
    ),
  B975&gt;=65,
    IF(AA974+J975 &lt; VLOOKUP(questions!$C$5, Lookup!$Q:$R, 2),
      AA974 + IF(MONTH(A975)=12, R974+X974, 0) + J975 ,
      MIN(
        AA974 + IF(MONTH(A975)=12, R974+X974, 0) + J975,
        VLOOKUP(questions!$C$5, Lookup!$Q:$R, 2)
      )
    )
)</f>
        <v>282111.0086</v>
      </c>
      <c r="AB975" s="65">
        <f t="shared" si="13"/>
        <v>5134875.827</v>
      </c>
      <c r="AC975" s="66">
        <f t="array" ref="AC975">IFS(B975&lt;66, XLOOKUP(year(A975),Lookup!$K$13:$K1000,Lookup!$L$13:$L1000,"missing",,1),B975&gt;65,XLOOKUP(questions!$C$5,Lookup!$K$13:$K1000,Lookup!$L$13:$L1000,"missing",,1))</f>
        <v>393675.3633</v>
      </c>
      <c r="AD975" s="66">
        <f t="array" ref="AD975">IFS(B975&lt;66, XLOOKUP(year(A975),Lookup!$K$13:$K1000,Lookup!$M$13:$M1000,"missing",,1),B975&gt;65, XLOOKUP(questions!$C$5,Lookup!$K$13:$K1000,Lookup!$M$13:$M1000,"missing",,1))</f>
        <v>787350.7266</v>
      </c>
      <c r="AE975" s="66">
        <f t="array" ref="AE975">IFS(B975&lt;66, XLOOKUP(year(A975),Lookup!$K$13:$K1000,Lookup!$N$13:$N1000,"missing",,1),B975&gt;65,XLOOKUP(questions!$C$5,Lookup!$K$13:$K1000,Lookup!$N$13:$N1000,"missing",,1))</f>
        <v>1574701.453</v>
      </c>
      <c r="AF975" s="37"/>
      <c r="AG975" s="37"/>
      <c r="AH975" s="37"/>
      <c r="AI975" s="37"/>
      <c r="AJ975" s="37"/>
      <c r="AK975" s="37"/>
      <c r="AL975" s="37"/>
      <c r="AM975" s="37"/>
      <c r="AN975" s="37"/>
      <c r="AO975" s="37"/>
      <c r="AP975" s="37"/>
      <c r="AQ975" s="37"/>
    </row>
    <row r="976">
      <c r="A976" s="55">
        <f t="shared" si="7"/>
        <v>75726</v>
      </c>
      <c r="B976" s="56">
        <f>round(YEARFRAC(EOMONTH(questions!$C$3, 0),A976,1),2)</f>
        <v>108.41</v>
      </c>
      <c r="C976" s="58">
        <f>IF(B976&lt;questions!$C$6,if(MONTH(A976)=1,C975*(1+questions!$C$12),C975),0)</f>
        <v>0</v>
      </c>
      <c r="D976" s="58">
        <f>IF(MONTH(A976)=12,C976*questions!$C$11,0)</f>
        <v>0</v>
      </c>
      <c r="E976" s="71">
        <f t="shared" si="2"/>
        <v>0</v>
      </c>
      <c r="F976" s="71">
        <f t="shared" si="3"/>
        <v>0</v>
      </c>
      <c r="G976" s="61">
        <f t="array" ref="G976">if(YEAR(A976)=2025,XLOOKUP(B976,Lookup!$A$3:$A$7,Lookup!$D$3:$D$7,,1)*SUM(E976:F976), XLOOKUP(B976,Lookup!$A$14:$A$18,Lookup!$D$14:$D$18,,1)*SUM(E976:F976))</f>
        <v>0</v>
      </c>
      <c r="H976" s="61">
        <f t="array" ref="H976">if(YEAR(A976)=2025,XLOOKUP(B976,Lookup!$F$3:$F$10,Lookup!$G$3:$G$10,,1)*G976, XLOOKUP(B976,Lookup!$F$14:$F$21,Lookup!$G$14:$G$21,,1)*G976)</f>
        <v>0</v>
      </c>
      <c r="I976" s="61">
        <f t="array" ref="I976">if(B976&lt;55, if(YEAR(A976)=2025,XLOOKUP(B976,Lookup!$F$3:$F$10,Lookup!$H$3:$H$10,,1)*G976, XLOOKUP(B976,Lookup!$F$14:$F$21,Lookup!$H$14:$H$21,,1)*G976),0)</f>
        <v>0</v>
      </c>
      <c r="J976" s="61">
        <f t="array" ref="J976">if(YEAR(A976)=2025,XLOOKUP(B976,Lookup!$F$3:$F$10,Lookup!$I$3:$I$10,,1)*G976, XLOOKUP(B976,Lookup!$F$14:$F$21,Lookup!$I$14:$I$21,,1)*G976)</f>
        <v>0</v>
      </c>
      <c r="K976" s="61">
        <f t="array" ref="K976">if(B976&gt;54, if(YEAR(A976)=2025,XLOOKUP(B976,Lookup!$F$3:$F$10,Lookup!$H$3:$H$10,,1)*G976, XLOOKUP(B976,Lookup!$F$14:$F$21,Lookup!$H$14:$H$21,,1)*G976),0)</f>
        <v>0</v>
      </c>
      <c r="L976" s="62">
        <f>IF(and(A976&lt;questions!$C$19,questions!$C$18="yes"),questions!$C$20,0)</f>
        <v>0</v>
      </c>
      <c r="M976" s="63">
        <f>(Y975+H976)*Lookup!A$26/12</f>
        <v>5965.112924</v>
      </c>
      <c r="N976" s="63">
        <f>if(B976&lt;55, (Z975+I976)*Lookup!B$26/12, (AB975+K976)*Lookup!B$26/12)</f>
        <v>17116.25276</v>
      </c>
      <c r="O976" s="63">
        <f>(AA975+J976)*Lookup!C$26/12</f>
        <v>940.3700287</v>
      </c>
      <c r="P976" s="63">
        <f t="shared" si="8"/>
        <v>23860.4517</v>
      </c>
      <c r="Q976" s="63">
        <f t="shared" si="4"/>
        <v>68465.01102</v>
      </c>
      <c r="R976" s="63">
        <f t="shared" si="5"/>
        <v>3761.480115</v>
      </c>
      <c r="S976" s="64">
        <f t="shared" si="9"/>
        <v>33.33333333</v>
      </c>
      <c r="T976" s="64">
        <f t="shared" si="10"/>
        <v>41.66666667</v>
      </c>
      <c r="U976" s="64">
        <f t="shared" si="11"/>
        <v>0</v>
      </c>
      <c r="V976" s="64">
        <f t="shared" ref="V976:X976" si="984">IF(year($A976)=year($A975), V975+S976, S976)</f>
        <v>133.3333333</v>
      </c>
      <c r="W976" s="64">
        <f t="shared" si="984"/>
        <v>166.6666667</v>
      </c>
      <c r="X976" s="64">
        <f t="shared" si="984"/>
        <v>0</v>
      </c>
      <c r="Y976" s="65">
        <f>IFS(
  B976&lt;55,
    MAX(
      Y975 + IF(MONTH(A976)=12, P976+V976, 0) + H976 - L976
      + MAX(0,
          IF(AA975 &gt;= VLOOKUP(YEAR(A976), Lookup!$Q:$R, 2),
            Z975 + IF(MONTH(A976)=12, Q976+W976, 0) + I976
              + AA975 + IF(MONTH(A976)=12, R976+X976, 0)
              - VLOOKUP(YEAR(A976), Lookup!$Q:$R, 2) + J976,
            Z975 + IF(MONTH(A976)=12, Q976+W976, 0) + I976
          ) - VLOOKUP(YEAR(A976), Lookup!$K:$M, 3)
        ),
    0),
  B976=55,
    IF(Z975&gt;=AD976,
      MAX(Y975 + IF(MONTH(A976)=12, P976+V976, 0) + H976 - L976, 0),
      MAX(MAX(0, Y975-(AD976-Z975)) + IF(MONTH(A976)=12, P976+V976, 0) + H976 - L976, 0)
    ),
  B976&gt;55,
    IF(AB975&gt;=$AH$7,
      MAX(Y975 + IF(MONTH(A976)=12, P976+V976, 0) + H976 - L976 + K976 + Z975, 0),
      MAX(Y975 + IF(MONTH(A976)=12, P976+V976, 0) + H976 - L976, 0)
    )
)</f>
        <v>2863254.203</v>
      </c>
      <c r="Z976" s="65">
        <f>IFS(
  B976&lt;55,
    MIN(
      IF(AA975 &gt;= VLOOKUP(YEAR(A976), Lookup!$Q:$R, 2),
        Z975 + IF(MONTH(A976)=12, Q976+W976, 0) + I976
          + AA975 + IF(MONTH(A976)=12, R976+X976, 0) - VLOOKUP(YEAR(A976), Lookup!$Q:$R, 2) + J976,
        Z975 + IF(MONTH(A976)=12, Q976+W976, 0) + I976
      ),
      VLOOKUP(YEAR(A976), Lookup!$K:$M, 3)
    ),
  B976=55,
    IF(Z975 &gt;= AD976, Z975 - AD976, 0),
  B976&gt;55, 0
)</f>
        <v>0</v>
      </c>
      <c r="AA976" s="65">
        <f>IFS(
  B976&lt;65,
    IF(AA975+J976 &lt; VLOOKUP(YEAR(A976), Lookup!$Q:$R, 2),
      AA975 + IF(MONTH(A976)=12, R975+X975, 0) + J976,
      MIN(
        AA975 + IF(MONTH(A976)=12, R975+X975, 0) + J976 ,
        VLOOKUP(YEAR(A976), Lookup!$Q:$R, 2)
      )
    ),
  B976&gt;=65,
    IF(AA975+J976 &lt; VLOOKUP(questions!$C$5, Lookup!$Q:$R, 2),
      AA975 + IF(MONTH(A976)=12, R975+X975, 0) + J976 ,
      MIN(
        AA975 + IF(MONTH(A976)=12, R975+X975, 0) + J976,
        VLOOKUP(questions!$C$5, Lookup!$Q:$R, 2)
      )
    )
)</f>
        <v>282111.0086</v>
      </c>
      <c r="AB976" s="65">
        <f t="shared" si="13"/>
        <v>5134875.827</v>
      </c>
      <c r="AC976" s="66">
        <f t="array" ref="AC976">IFS(B976&lt;66, XLOOKUP(year(A976),Lookup!$K$13:$K1000,Lookup!$L$13:$L1000,"missing",,1),B976&gt;65,XLOOKUP(questions!$C$5,Lookup!$K$13:$K1000,Lookup!$L$13:$L1000,"missing",,1))</f>
        <v>393675.3633</v>
      </c>
      <c r="AD976" s="66">
        <f t="array" ref="AD976">IFS(B976&lt;66, XLOOKUP(year(A976),Lookup!$K$13:$K1000,Lookup!$M$13:$M1000,"missing",,1),B976&gt;65, XLOOKUP(questions!$C$5,Lookup!$K$13:$K1000,Lookup!$M$13:$M1000,"missing",,1))</f>
        <v>787350.7266</v>
      </c>
      <c r="AE976" s="66">
        <f t="array" ref="AE976">IFS(B976&lt;66, XLOOKUP(year(A976),Lookup!$K$13:$K1000,Lookup!$N$13:$N1000,"missing",,1),B976&gt;65,XLOOKUP(questions!$C$5,Lookup!$K$13:$K1000,Lookup!$N$13:$N1000,"missing",,1))</f>
        <v>1574701.453</v>
      </c>
      <c r="AF976" s="37"/>
      <c r="AG976" s="37"/>
      <c r="AH976" s="37"/>
      <c r="AI976" s="37"/>
      <c r="AJ976" s="37"/>
      <c r="AK976" s="37"/>
      <c r="AL976" s="37"/>
      <c r="AM976" s="37"/>
      <c r="AN976" s="37"/>
      <c r="AO976" s="37"/>
      <c r="AP976" s="37"/>
      <c r="AQ976" s="37"/>
    </row>
    <row r="977">
      <c r="A977" s="55">
        <f t="shared" si="7"/>
        <v>75757</v>
      </c>
      <c r="B977" s="56">
        <f>round(YEARFRAC(EOMONTH(questions!$C$3, 0),A977,1),2)</f>
        <v>108.5</v>
      </c>
      <c r="C977" s="58">
        <f>IF(B977&lt;questions!$C$6,if(MONTH(A977)=1,C976*(1+questions!$C$12),C976),0)</f>
        <v>0</v>
      </c>
      <c r="D977" s="58">
        <f>IF(MONTH(A977)=12,C977*questions!$C$11,0)</f>
        <v>0</v>
      </c>
      <c r="E977" s="71">
        <f t="shared" si="2"/>
        <v>0</v>
      </c>
      <c r="F977" s="71">
        <f t="shared" si="3"/>
        <v>0</v>
      </c>
      <c r="G977" s="61">
        <f t="array" ref="G977">if(YEAR(A977)=2025,XLOOKUP(B977,Lookup!$A$3:$A$7,Lookup!$D$3:$D$7,,1)*SUM(E977:F977), XLOOKUP(B977,Lookup!$A$14:$A$18,Lookup!$D$14:$D$18,,1)*SUM(E977:F977))</f>
        <v>0</v>
      </c>
      <c r="H977" s="61">
        <f t="array" ref="H977">if(YEAR(A977)=2025,XLOOKUP(B977,Lookup!$F$3:$F$10,Lookup!$G$3:$G$10,,1)*G977, XLOOKUP(B977,Lookup!$F$14:$F$21,Lookup!$G$14:$G$21,,1)*G977)</f>
        <v>0</v>
      </c>
      <c r="I977" s="61">
        <f t="array" ref="I977">if(B977&lt;55, if(YEAR(A977)=2025,XLOOKUP(B977,Lookup!$F$3:$F$10,Lookup!$H$3:$H$10,,1)*G977, XLOOKUP(B977,Lookup!$F$14:$F$21,Lookup!$H$14:$H$21,,1)*G977),0)</f>
        <v>0</v>
      </c>
      <c r="J977" s="61">
        <f t="array" ref="J977">if(YEAR(A977)=2025,XLOOKUP(B977,Lookup!$F$3:$F$10,Lookup!$I$3:$I$10,,1)*G977, XLOOKUP(B977,Lookup!$F$14:$F$21,Lookup!$I$14:$I$21,,1)*G977)</f>
        <v>0</v>
      </c>
      <c r="K977" s="61">
        <f t="array" ref="K977">if(B977&gt;54, if(YEAR(A977)=2025,XLOOKUP(B977,Lookup!$F$3:$F$10,Lookup!$H$3:$H$10,,1)*G977, XLOOKUP(B977,Lookup!$F$14:$F$21,Lookup!$H$14:$H$21,,1)*G977),0)</f>
        <v>0</v>
      </c>
      <c r="L977" s="62">
        <f>IF(and(A977&lt;questions!$C$19,questions!$C$18="yes"),questions!$C$20,0)</f>
        <v>0</v>
      </c>
      <c r="M977" s="63">
        <f>(Y976+H977)*Lookup!A$26/12</f>
        <v>5965.112924</v>
      </c>
      <c r="N977" s="63">
        <f>if(B977&lt;55, (Z976+I977)*Lookup!B$26/12, (AB976+K977)*Lookup!B$26/12)</f>
        <v>17116.25276</v>
      </c>
      <c r="O977" s="63">
        <f>(AA976+J977)*Lookup!C$26/12</f>
        <v>940.3700287</v>
      </c>
      <c r="P977" s="63">
        <f t="shared" si="8"/>
        <v>29825.56462</v>
      </c>
      <c r="Q977" s="63">
        <f t="shared" si="4"/>
        <v>85581.26378</v>
      </c>
      <c r="R977" s="63">
        <f t="shared" si="5"/>
        <v>4701.850143</v>
      </c>
      <c r="S977" s="64">
        <f t="shared" si="9"/>
        <v>33.33333333</v>
      </c>
      <c r="T977" s="64">
        <f t="shared" si="10"/>
        <v>41.66666667</v>
      </c>
      <c r="U977" s="64">
        <f t="shared" si="11"/>
        <v>0</v>
      </c>
      <c r="V977" s="64">
        <f t="shared" ref="V977:X977" si="985">IF(year($A977)=year($A976), V976+S977, S977)</f>
        <v>166.6666667</v>
      </c>
      <c r="W977" s="64">
        <f t="shared" si="985"/>
        <v>208.3333333</v>
      </c>
      <c r="X977" s="64">
        <f t="shared" si="985"/>
        <v>0</v>
      </c>
      <c r="Y977" s="65">
        <f>IFS(
  B977&lt;55,
    MAX(
      Y976 + IF(MONTH(A977)=12, P977+V977, 0) + H977 - L977
      + MAX(0,
          IF(AA976 &gt;= VLOOKUP(YEAR(A977), Lookup!$Q:$R, 2),
            Z976 + IF(MONTH(A977)=12, Q977+W977, 0) + I977
              + AA976 + IF(MONTH(A977)=12, R977+X977, 0)
              - VLOOKUP(YEAR(A977), Lookup!$Q:$R, 2) + J977,
            Z976 + IF(MONTH(A977)=12, Q977+W977, 0) + I977
          ) - VLOOKUP(YEAR(A977), Lookup!$K:$M, 3)
        ),
    0),
  B977=55,
    IF(Z976&gt;=AD977,
      MAX(Y976 + IF(MONTH(A977)=12, P977+V977, 0) + H977 - L977, 0),
      MAX(MAX(0, Y976-(AD977-Z976)) + IF(MONTH(A977)=12, P977+V977, 0) + H977 - L977, 0)
    ),
  B977&gt;55,
    IF(AB976&gt;=$AH$7,
      MAX(Y976 + IF(MONTH(A977)=12, P977+V977, 0) + H977 - L977 + K977 + Z976, 0),
      MAX(Y976 + IF(MONTH(A977)=12, P977+V977, 0) + H977 - L977, 0)
    )
)</f>
        <v>2863254.203</v>
      </c>
      <c r="Z977" s="65">
        <f>IFS(
  B977&lt;55,
    MIN(
      IF(AA976 &gt;= VLOOKUP(YEAR(A977), Lookup!$Q:$R, 2),
        Z976 + IF(MONTH(A977)=12, Q977+W977, 0) + I977
          + AA976 + IF(MONTH(A977)=12, R977+X977, 0) - VLOOKUP(YEAR(A977), Lookup!$Q:$R, 2) + J977,
        Z976 + IF(MONTH(A977)=12, Q977+W977, 0) + I977
      ),
      VLOOKUP(YEAR(A977), Lookup!$K:$M, 3)
    ),
  B977=55,
    IF(Z976 &gt;= AD977, Z976 - AD977, 0),
  B977&gt;55, 0
)</f>
        <v>0</v>
      </c>
      <c r="AA977" s="65">
        <f>IFS(
  B977&lt;65,
    IF(AA976+J977 &lt; VLOOKUP(YEAR(A977), Lookup!$Q:$R, 2),
      AA976 + IF(MONTH(A977)=12, R976+X976, 0) + J977,
      MIN(
        AA976 + IF(MONTH(A977)=12, R976+X976, 0) + J977 ,
        VLOOKUP(YEAR(A977), Lookup!$Q:$R, 2)
      )
    ),
  B977&gt;=65,
    IF(AA976+J977 &lt; VLOOKUP(questions!$C$5, Lookup!$Q:$R, 2),
      AA976 + IF(MONTH(A977)=12, R976+X976, 0) + J977 ,
      MIN(
        AA976 + IF(MONTH(A977)=12, R976+X976, 0) + J977,
        VLOOKUP(questions!$C$5, Lookup!$Q:$R, 2)
      )
    )
)</f>
        <v>282111.0086</v>
      </c>
      <c r="AB977" s="65">
        <f t="shared" si="13"/>
        <v>5134875.827</v>
      </c>
      <c r="AC977" s="66">
        <f t="array" ref="AC977">IFS(B977&lt;66, XLOOKUP(year(A977),Lookup!$K$13:$K1000,Lookup!$L$13:$L1000,"missing",,1),B977&gt;65,XLOOKUP(questions!$C$5,Lookup!$K$13:$K1000,Lookup!$L$13:$L1000,"missing",,1))</f>
        <v>393675.3633</v>
      </c>
      <c r="AD977" s="66">
        <f t="array" ref="AD977">IFS(B977&lt;66, XLOOKUP(year(A977),Lookup!$K$13:$K1000,Lookup!$M$13:$M1000,"missing",,1),B977&gt;65, XLOOKUP(questions!$C$5,Lookup!$K$13:$K1000,Lookup!$M$13:$M1000,"missing",,1))</f>
        <v>787350.7266</v>
      </c>
      <c r="AE977" s="66">
        <f t="array" ref="AE977">IFS(B977&lt;66, XLOOKUP(year(A977),Lookup!$K$13:$K1000,Lookup!$N$13:$N1000,"missing",,1),B977&gt;65,XLOOKUP(questions!$C$5,Lookup!$K$13:$K1000,Lookup!$N$13:$N1000,"missing",,1))</f>
        <v>1574701.453</v>
      </c>
      <c r="AF977" s="37"/>
      <c r="AG977" s="37"/>
      <c r="AH977" s="37"/>
      <c r="AI977" s="37"/>
      <c r="AJ977" s="37"/>
      <c r="AK977" s="37"/>
      <c r="AL977" s="37"/>
      <c r="AM977" s="37"/>
      <c r="AN977" s="37"/>
      <c r="AO977" s="37"/>
      <c r="AP977" s="37"/>
      <c r="AQ977" s="37"/>
    </row>
    <row r="978">
      <c r="A978" s="55">
        <f t="shared" si="7"/>
        <v>75787</v>
      </c>
      <c r="B978" s="56">
        <f>round(YEARFRAC(EOMONTH(questions!$C$3, 0),A978,1),2)</f>
        <v>108.58</v>
      </c>
      <c r="C978" s="58">
        <f>IF(B978&lt;questions!$C$6,if(MONTH(A978)=1,C977*(1+questions!$C$12),C977),0)</f>
        <v>0</v>
      </c>
      <c r="D978" s="58">
        <f>IF(MONTH(A978)=12,C978*questions!$C$11,0)</f>
        <v>0</v>
      </c>
      <c r="E978" s="71">
        <f t="shared" si="2"/>
        <v>0</v>
      </c>
      <c r="F978" s="71">
        <f t="shared" si="3"/>
        <v>0</v>
      </c>
      <c r="G978" s="61">
        <f t="array" ref="G978">if(YEAR(A978)=2025,XLOOKUP(B978,Lookup!$A$3:$A$7,Lookup!$D$3:$D$7,,1)*SUM(E978:F978), XLOOKUP(B978,Lookup!$A$14:$A$18,Lookup!$D$14:$D$18,,1)*SUM(E978:F978))</f>
        <v>0</v>
      </c>
      <c r="H978" s="61">
        <f t="array" ref="H978">if(YEAR(A978)=2025,XLOOKUP(B978,Lookup!$F$3:$F$10,Lookup!$G$3:$G$10,,1)*G978, XLOOKUP(B978,Lookup!$F$14:$F$21,Lookup!$G$14:$G$21,,1)*G978)</f>
        <v>0</v>
      </c>
      <c r="I978" s="61">
        <f t="array" ref="I978">if(B978&lt;55, if(YEAR(A978)=2025,XLOOKUP(B978,Lookup!$F$3:$F$10,Lookup!$H$3:$H$10,,1)*G978, XLOOKUP(B978,Lookup!$F$14:$F$21,Lookup!$H$14:$H$21,,1)*G978),0)</f>
        <v>0</v>
      </c>
      <c r="J978" s="61">
        <f t="array" ref="J978">if(YEAR(A978)=2025,XLOOKUP(B978,Lookup!$F$3:$F$10,Lookup!$I$3:$I$10,,1)*G978, XLOOKUP(B978,Lookup!$F$14:$F$21,Lookup!$I$14:$I$21,,1)*G978)</f>
        <v>0</v>
      </c>
      <c r="K978" s="61">
        <f t="array" ref="K978">if(B978&gt;54, if(YEAR(A978)=2025,XLOOKUP(B978,Lookup!$F$3:$F$10,Lookup!$H$3:$H$10,,1)*G978, XLOOKUP(B978,Lookup!$F$14:$F$21,Lookup!$H$14:$H$21,,1)*G978),0)</f>
        <v>0</v>
      </c>
      <c r="L978" s="62">
        <f>IF(and(A978&lt;questions!$C$19,questions!$C$18="yes"),questions!$C$20,0)</f>
        <v>0</v>
      </c>
      <c r="M978" s="63">
        <f>(Y977+H978)*Lookup!A$26/12</f>
        <v>5965.112924</v>
      </c>
      <c r="N978" s="63">
        <f>if(B978&lt;55, (Z977+I978)*Lookup!B$26/12, (AB977+K978)*Lookup!B$26/12)</f>
        <v>17116.25276</v>
      </c>
      <c r="O978" s="63">
        <f>(AA977+J978)*Lookup!C$26/12</f>
        <v>940.3700287</v>
      </c>
      <c r="P978" s="63">
        <f t="shared" si="8"/>
        <v>35790.67754</v>
      </c>
      <c r="Q978" s="63">
        <f t="shared" si="4"/>
        <v>102697.5165</v>
      </c>
      <c r="R978" s="63">
        <f t="shared" si="5"/>
        <v>5642.220172</v>
      </c>
      <c r="S978" s="64">
        <f t="shared" si="9"/>
        <v>33.33333333</v>
      </c>
      <c r="T978" s="64">
        <f t="shared" si="10"/>
        <v>41.66666667</v>
      </c>
      <c r="U978" s="64">
        <f t="shared" si="11"/>
        <v>0</v>
      </c>
      <c r="V978" s="64">
        <f t="shared" ref="V978:X978" si="986">IF(year($A978)=year($A977), V977+S978, S978)</f>
        <v>200</v>
      </c>
      <c r="W978" s="64">
        <f t="shared" si="986"/>
        <v>250</v>
      </c>
      <c r="X978" s="64">
        <f t="shared" si="986"/>
        <v>0</v>
      </c>
      <c r="Y978" s="65">
        <f>IFS(
  B978&lt;55,
    MAX(
      Y977 + IF(MONTH(A978)=12, P978+V978, 0) + H978 - L978
      + MAX(0,
          IF(AA977 &gt;= VLOOKUP(YEAR(A978), Lookup!$Q:$R, 2),
            Z977 + IF(MONTH(A978)=12, Q978+W978, 0) + I978
              + AA977 + IF(MONTH(A978)=12, R978+X978, 0)
              - VLOOKUP(YEAR(A978), Lookup!$Q:$R, 2) + J978,
            Z977 + IF(MONTH(A978)=12, Q978+W978, 0) + I978
          ) - VLOOKUP(YEAR(A978), Lookup!$K:$M, 3)
        ),
    0),
  B978=55,
    IF(Z977&gt;=AD978,
      MAX(Y977 + IF(MONTH(A978)=12, P978+V978, 0) + H978 - L978, 0),
      MAX(MAX(0, Y977-(AD978-Z977)) + IF(MONTH(A978)=12, P978+V978, 0) + H978 - L978, 0)
    ),
  B978&gt;55,
    IF(AB977&gt;=$AH$7,
      MAX(Y977 + IF(MONTH(A978)=12, P978+V978, 0) + H978 - L978 + K978 + Z977, 0),
      MAX(Y977 + IF(MONTH(A978)=12, P978+V978, 0) + H978 - L978, 0)
    )
)</f>
        <v>2863254.203</v>
      </c>
      <c r="Z978" s="65">
        <f>IFS(
  B978&lt;55,
    MIN(
      IF(AA977 &gt;= VLOOKUP(YEAR(A978), Lookup!$Q:$R, 2),
        Z977 + IF(MONTH(A978)=12, Q978+W978, 0) + I978
          + AA977 + IF(MONTH(A978)=12, R978+X978, 0) - VLOOKUP(YEAR(A978), Lookup!$Q:$R, 2) + J978,
        Z977 + IF(MONTH(A978)=12, Q978+W978, 0) + I978
      ),
      VLOOKUP(YEAR(A978), Lookup!$K:$M, 3)
    ),
  B978=55,
    IF(Z977 &gt;= AD978, Z977 - AD978, 0),
  B978&gt;55, 0
)</f>
        <v>0</v>
      </c>
      <c r="AA978" s="65">
        <f>IFS(
  B978&lt;65,
    IF(AA977+J978 &lt; VLOOKUP(YEAR(A978), Lookup!$Q:$R, 2),
      AA977 + IF(MONTH(A978)=12, R977+X977, 0) + J978,
      MIN(
        AA977 + IF(MONTH(A978)=12, R977+X977, 0) + J978 ,
        VLOOKUP(YEAR(A978), Lookup!$Q:$R, 2)
      )
    ),
  B978&gt;=65,
    IF(AA977+J978 &lt; VLOOKUP(questions!$C$5, Lookup!$Q:$R, 2),
      AA977 + IF(MONTH(A978)=12, R977+X977, 0) + J978 ,
      MIN(
        AA977 + IF(MONTH(A978)=12, R977+X977, 0) + J978,
        VLOOKUP(questions!$C$5, Lookup!$Q:$R, 2)
      )
    )
)</f>
        <v>282111.0086</v>
      </c>
      <c r="AB978" s="65">
        <f t="shared" si="13"/>
        <v>5134875.827</v>
      </c>
      <c r="AC978" s="66">
        <f t="array" ref="AC978">IFS(B978&lt;66, XLOOKUP(year(A978),Lookup!$K$13:$K1000,Lookup!$L$13:$L1000,"missing",,1),B978&gt;65,XLOOKUP(questions!$C$5,Lookup!$K$13:$K1000,Lookup!$L$13:$L1000,"missing",,1))</f>
        <v>393675.3633</v>
      </c>
      <c r="AD978" s="66">
        <f t="array" ref="AD978">IFS(B978&lt;66, XLOOKUP(year(A978),Lookup!$K$13:$K1000,Lookup!$M$13:$M1000,"missing",,1),B978&gt;65, XLOOKUP(questions!$C$5,Lookup!$K$13:$K1000,Lookup!$M$13:$M1000,"missing",,1))</f>
        <v>787350.7266</v>
      </c>
      <c r="AE978" s="66">
        <f t="array" ref="AE978">IFS(B978&lt;66, XLOOKUP(year(A978),Lookup!$K$13:$K1000,Lookup!$N$13:$N1000,"missing",,1),B978&gt;65,XLOOKUP(questions!$C$5,Lookup!$K$13:$K1000,Lookup!$N$13:$N1000,"missing",,1))</f>
        <v>1574701.453</v>
      </c>
      <c r="AF978" s="37"/>
      <c r="AG978" s="37"/>
      <c r="AH978" s="37"/>
      <c r="AI978" s="37"/>
      <c r="AJ978" s="37"/>
      <c r="AK978" s="37"/>
      <c r="AL978" s="37"/>
      <c r="AM978" s="37"/>
      <c r="AN978" s="37"/>
      <c r="AO978" s="37"/>
      <c r="AP978" s="37"/>
      <c r="AQ978" s="37"/>
    </row>
    <row r="979">
      <c r="A979" s="55">
        <f t="shared" si="7"/>
        <v>75818</v>
      </c>
      <c r="B979" s="56">
        <f>round(YEARFRAC(EOMONTH(questions!$C$3, 0),A979,1),2)</f>
        <v>108.67</v>
      </c>
      <c r="C979" s="58">
        <f>IF(B979&lt;questions!$C$6,if(MONTH(A979)=1,C978*(1+questions!$C$12),C978),0)</f>
        <v>0</v>
      </c>
      <c r="D979" s="58">
        <f>IF(MONTH(A979)=12,C979*questions!$C$11,0)</f>
        <v>0</v>
      </c>
      <c r="E979" s="71">
        <f t="shared" si="2"/>
        <v>0</v>
      </c>
      <c r="F979" s="71">
        <f t="shared" si="3"/>
        <v>0</v>
      </c>
      <c r="G979" s="61">
        <f t="array" ref="G979">if(YEAR(A979)=2025,XLOOKUP(B979,Lookup!$A$3:$A$7,Lookup!$D$3:$D$7,,1)*SUM(E979:F979), XLOOKUP(B979,Lookup!$A$14:$A$18,Lookup!$D$14:$D$18,,1)*SUM(E979:F979))</f>
        <v>0</v>
      </c>
      <c r="H979" s="61">
        <f t="array" ref="H979">if(YEAR(A979)=2025,XLOOKUP(B979,Lookup!$F$3:$F$10,Lookup!$G$3:$G$10,,1)*G979, XLOOKUP(B979,Lookup!$F$14:$F$21,Lookup!$G$14:$G$21,,1)*G979)</f>
        <v>0</v>
      </c>
      <c r="I979" s="61">
        <f t="array" ref="I979">if(B979&lt;55, if(YEAR(A979)=2025,XLOOKUP(B979,Lookup!$F$3:$F$10,Lookup!$H$3:$H$10,,1)*G979, XLOOKUP(B979,Lookup!$F$14:$F$21,Lookup!$H$14:$H$21,,1)*G979),0)</f>
        <v>0</v>
      </c>
      <c r="J979" s="61">
        <f t="array" ref="J979">if(YEAR(A979)=2025,XLOOKUP(B979,Lookup!$F$3:$F$10,Lookup!$I$3:$I$10,,1)*G979, XLOOKUP(B979,Lookup!$F$14:$F$21,Lookup!$I$14:$I$21,,1)*G979)</f>
        <v>0</v>
      </c>
      <c r="K979" s="61">
        <f t="array" ref="K979">if(B979&gt;54, if(YEAR(A979)=2025,XLOOKUP(B979,Lookup!$F$3:$F$10,Lookup!$H$3:$H$10,,1)*G979, XLOOKUP(B979,Lookup!$F$14:$F$21,Lookup!$H$14:$H$21,,1)*G979),0)</f>
        <v>0</v>
      </c>
      <c r="L979" s="62">
        <f>IF(and(A979&lt;questions!$C$19,questions!$C$18="yes"),questions!$C$20,0)</f>
        <v>0</v>
      </c>
      <c r="M979" s="63">
        <f>(Y978+H979)*Lookup!A$26/12</f>
        <v>5965.112924</v>
      </c>
      <c r="N979" s="63">
        <f>if(B979&lt;55, (Z978+I979)*Lookup!B$26/12, (AB978+K979)*Lookup!B$26/12)</f>
        <v>17116.25276</v>
      </c>
      <c r="O979" s="63">
        <f>(AA978+J979)*Lookup!C$26/12</f>
        <v>940.3700287</v>
      </c>
      <c r="P979" s="63">
        <f t="shared" si="8"/>
        <v>41755.79047</v>
      </c>
      <c r="Q979" s="63">
        <f t="shared" si="4"/>
        <v>119813.7693</v>
      </c>
      <c r="R979" s="63">
        <f t="shared" si="5"/>
        <v>6582.590201</v>
      </c>
      <c r="S979" s="64">
        <f t="shared" si="9"/>
        <v>33.33333333</v>
      </c>
      <c r="T979" s="64">
        <f t="shared" si="10"/>
        <v>41.66666667</v>
      </c>
      <c r="U979" s="64">
        <f t="shared" si="11"/>
        <v>0</v>
      </c>
      <c r="V979" s="64">
        <f t="shared" ref="V979:X979" si="987">IF(year($A979)=year($A978), V978+S979, S979)</f>
        <v>233.3333333</v>
      </c>
      <c r="W979" s="64">
        <f t="shared" si="987"/>
        <v>291.6666667</v>
      </c>
      <c r="X979" s="64">
        <f t="shared" si="987"/>
        <v>0</v>
      </c>
      <c r="Y979" s="65">
        <f>IFS(
  B979&lt;55,
    MAX(
      Y978 + IF(MONTH(A979)=12, P979+V979, 0) + H979 - L979
      + MAX(0,
          IF(AA978 &gt;= VLOOKUP(YEAR(A979), Lookup!$Q:$R, 2),
            Z978 + IF(MONTH(A979)=12, Q979+W979, 0) + I979
              + AA978 + IF(MONTH(A979)=12, R979+X979, 0)
              - VLOOKUP(YEAR(A979), Lookup!$Q:$R, 2) + J979,
            Z978 + IF(MONTH(A979)=12, Q979+W979, 0) + I979
          ) - VLOOKUP(YEAR(A979), Lookup!$K:$M, 3)
        ),
    0),
  B979=55,
    IF(Z978&gt;=AD979,
      MAX(Y978 + IF(MONTH(A979)=12, P979+V979, 0) + H979 - L979, 0),
      MAX(MAX(0, Y978-(AD979-Z978)) + IF(MONTH(A979)=12, P979+V979, 0) + H979 - L979, 0)
    ),
  B979&gt;55,
    IF(AB978&gt;=$AH$7,
      MAX(Y978 + IF(MONTH(A979)=12, P979+V979, 0) + H979 - L979 + K979 + Z978, 0),
      MAX(Y978 + IF(MONTH(A979)=12, P979+V979, 0) + H979 - L979, 0)
    )
)</f>
        <v>2863254.203</v>
      </c>
      <c r="Z979" s="65">
        <f>IFS(
  B979&lt;55,
    MIN(
      IF(AA978 &gt;= VLOOKUP(YEAR(A979), Lookup!$Q:$R, 2),
        Z978 + IF(MONTH(A979)=12, Q979+W979, 0) + I979
          + AA978 + IF(MONTH(A979)=12, R979+X979, 0) - VLOOKUP(YEAR(A979), Lookup!$Q:$R, 2) + J979,
        Z978 + IF(MONTH(A979)=12, Q979+W979, 0) + I979
      ),
      VLOOKUP(YEAR(A979), Lookup!$K:$M, 3)
    ),
  B979=55,
    IF(Z978 &gt;= AD979, Z978 - AD979, 0),
  B979&gt;55, 0
)</f>
        <v>0</v>
      </c>
      <c r="AA979" s="65">
        <f>IFS(
  B979&lt;65,
    IF(AA978+J979 &lt; VLOOKUP(YEAR(A979), Lookup!$Q:$R, 2),
      AA978 + IF(MONTH(A979)=12, R978+X978, 0) + J979,
      MIN(
        AA978 + IF(MONTH(A979)=12, R978+X978, 0) + J979 ,
        VLOOKUP(YEAR(A979), Lookup!$Q:$R, 2)
      )
    ),
  B979&gt;=65,
    IF(AA978+J979 &lt; VLOOKUP(questions!$C$5, Lookup!$Q:$R, 2),
      AA978 + IF(MONTH(A979)=12, R978+X978, 0) + J979 ,
      MIN(
        AA978 + IF(MONTH(A979)=12, R978+X978, 0) + J979,
        VLOOKUP(questions!$C$5, Lookup!$Q:$R, 2)
      )
    )
)</f>
        <v>282111.0086</v>
      </c>
      <c r="AB979" s="65">
        <f t="shared" si="13"/>
        <v>5134875.827</v>
      </c>
      <c r="AC979" s="66">
        <f t="array" ref="AC979">IFS(B979&lt;66, XLOOKUP(year(A979),Lookup!$K$13:$K1000,Lookup!$L$13:$L1000,"missing",,1),B979&gt;65,XLOOKUP(questions!$C$5,Lookup!$K$13:$K1000,Lookup!$L$13:$L1000,"missing",,1))</f>
        <v>393675.3633</v>
      </c>
      <c r="AD979" s="66">
        <f t="array" ref="AD979">IFS(B979&lt;66, XLOOKUP(year(A979),Lookup!$K$13:$K1000,Lookup!$M$13:$M1000,"missing",,1),B979&gt;65, XLOOKUP(questions!$C$5,Lookup!$K$13:$K1000,Lookup!$M$13:$M1000,"missing",,1))</f>
        <v>787350.7266</v>
      </c>
      <c r="AE979" s="66">
        <f t="array" ref="AE979">IFS(B979&lt;66, XLOOKUP(year(A979),Lookup!$K$13:$K1000,Lookup!$N$13:$N1000,"missing",,1),B979&gt;65,XLOOKUP(questions!$C$5,Lookup!$K$13:$K1000,Lookup!$N$13:$N1000,"missing",,1))</f>
        <v>1574701.453</v>
      </c>
      <c r="AF979" s="37"/>
      <c r="AG979" s="37"/>
      <c r="AH979" s="37"/>
      <c r="AI979" s="37"/>
      <c r="AJ979" s="37"/>
      <c r="AK979" s="37"/>
      <c r="AL979" s="37"/>
      <c r="AM979" s="37"/>
      <c r="AN979" s="37"/>
      <c r="AO979" s="37"/>
      <c r="AP979" s="37"/>
      <c r="AQ979" s="37"/>
    </row>
    <row r="980">
      <c r="A980" s="55">
        <f t="shared" si="7"/>
        <v>75849</v>
      </c>
      <c r="B980" s="56">
        <f>round(YEARFRAC(EOMONTH(questions!$C$3, 0),A980,1),2)</f>
        <v>108.75</v>
      </c>
      <c r="C980" s="58">
        <f>IF(B980&lt;questions!$C$6,if(MONTH(A980)=1,C979*(1+questions!$C$12),C979),0)</f>
        <v>0</v>
      </c>
      <c r="D980" s="58">
        <f>IF(MONTH(A980)=12,C980*questions!$C$11,0)</f>
        <v>0</v>
      </c>
      <c r="E980" s="71">
        <f t="shared" si="2"/>
        <v>0</v>
      </c>
      <c r="F980" s="71">
        <f t="shared" si="3"/>
        <v>0</v>
      </c>
      <c r="G980" s="61">
        <f t="array" ref="G980">if(YEAR(A980)=2025,XLOOKUP(B980,Lookup!$A$3:$A$7,Lookup!$D$3:$D$7,,1)*SUM(E980:F980), XLOOKUP(B980,Lookup!$A$14:$A$18,Lookup!$D$14:$D$18,,1)*SUM(E980:F980))</f>
        <v>0</v>
      </c>
      <c r="H980" s="61">
        <f t="array" ref="H980">if(YEAR(A980)=2025,XLOOKUP(B980,Lookup!$F$3:$F$10,Lookup!$G$3:$G$10,,1)*G980, XLOOKUP(B980,Lookup!$F$14:$F$21,Lookup!$G$14:$G$21,,1)*G980)</f>
        <v>0</v>
      </c>
      <c r="I980" s="61">
        <f t="array" ref="I980">if(B980&lt;55, if(YEAR(A980)=2025,XLOOKUP(B980,Lookup!$F$3:$F$10,Lookup!$H$3:$H$10,,1)*G980, XLOOKUP(B980,Lookup!$F$14:$F$21,Lookup!$H$14:$H$21,,1)*G980),0)</f>
        <v>0</v>
      </c>
      <c r="J980" s="61">
        <f t="array" ref="J980">if(YEAR(A980)=2025,XLOOKUP(B980,Lookup!$F$3:$F$10,Lookup!$I$3:$I$10,,1)*G980, XLOOKUP(B980,Lookup!$F$14:$F$21,Lookup!$I$14:$I$21,,1)*G980)</f>
        <v>0</v>
      </c>
      <c r="K980" s="61">
        <f t="array" ref="K980">if(B980&gt;54, if(YEAR(A980)=2025,XLOOKUP(B980,Lookup!$F$3:$F$10,Lookup!$H$3:$H$10,,1)*G980, XLOOKUP(B980,Lookup!$F$14:$F$21,Lookup!$H$14:$H$21,,1)*G980),0)</f>
        <v>0</v>
      </c>
      <c r="L980" s="62">
        <f>IF(and(A980&lt;questions!$C$19,questions!$C$18="yes"),questions!$C$20,0)</f>
        <v>0</v>
      </c>
      <c r="M980" s="63">
        <f>(Y979+H980)*Lookup!A$26/12</f>
        <v>5965.112924</v>
      </c>
      <c r="N980" s="63">
        <f>if(B980&lt;55, (Z979+I980)*Lookup!B$26/12, (AB979+K980)*Lookup!B$26/12)</f>
        <v>17116.25276</v>
      </c>
      <c r="O980" s="63">
        <f>(AA979+J980)*Lookup!C$26/12</f>
        <v>940.3700287</v>
      </c>
      <c r="P980" s="63">
        <f t="shared" si="8"/>
        <v>47720.90339</v>
      </c>
      <c r="Q980" s="63">
        <f t="shared" si="4"/>
        <v>136930.022</v>
      </c>
      <c r="R980" s="63">
        <f t="shared" si="5"/>
        <v>7522.960229</v>
      </c>
      <c r="S980" s="64">
        <f t="shared" si="9"/>
        <v>33.33333333</v>
      </c>
      <c r="T980" s="64">
        <f t="shared" si="10"/>
        <v>41.66666667</v>
      </c>
      <c r="U980" s="64">
        <f t="shared" si="11"/>
        <v>0</v>
      </c>
      <c r="V980" s="64">
        <f t="shared" ref="V980:X980" si="988">IF(year($A980)=year($A979), V979+S980, S980)</f>
        <v>266.6666667</v>
      </c>
      <c r="W980" s="64">
        <f t="shared" si="988"/>
        <v>333.3333333</v>
      </c>
      <c r="X980" s="64">
        <f t="shared" si="988"/>
        <v>0</v>
      </c>
      <c r="Y980" s="65">
        <f>IFS(
  B980&lt;55,
    MAX(
      Y979 + IF(MONTH(A980)=12, P980+V980, 0) + H980 - L980
      + MAX(0,
          IF(AA979 &gt;= VLOOKUP(YEAR(A980), Lookup!$Q:$R, 2),
            Z979 + IF(MONTH(A980)=12, Q980+W980, 0) + I980
              + AA979 + IF(MONTH(A980)=12, R980+X980, 0)
              - VLOOKUP(YEAR(A980), Lookup!$Q:$R, 2) + J980,
            Z979 + IF(MONTH(A980)=12, Q980+W980, 0) + I980
          ) - VLOOKUP(YEAR(A980), Lookup!$K:$M, 3)
        ),
    0),
  B980=55,
    IF(Z979&gt;=AD980,
      MAX(Y979 + IF(MONTH(A980)=12, P980+V980, 0) + H980 - L980, 0),
      MAX(MAX(0, Y979-(AD980-Z979)) + IF(MONTH(A980)=12, P980+V980, 0) + H980 - L980, 0)
    ),
  B980&gt;55,
    IF(AB979&gt;=$AH$7,
      MAX(Y979 + IF(MONTH(A980)=12, P980+V980, 0) + H980 - L980 + K980 + Z979, 0),
      MAX(Y979 + IF(MONTH(A980)=12, P980+V980, 0) + H980 - L980, 0)
    )
)</f>
        <v>2863254.203</v>
      </c>
      <c r="Z980" s="65">
        <f>IFS(
  B980&lt;55,
    MIN(
      IF(AA979 &gt;= VLOOKUP(YEAR(A980), Lookup!$Q:$R, 2),
        Z979 + IF(MONTH(A980)=12, Q980+W980, 0) + I980
          + AA979 + IF(MONTH(A980)=12, R980+X980, 0) - VLOOKUP(YEAR(A980), Lookup!$Q:$R, 2) + J980,
        Z979 + IF(MONTH(A980)=12, Q980+W980, 0) + I980
      ),
      VLOOKUP(YEAR(A980), Lookup!$K:$M, 3)
    ),
  B980=55,
    IF(Z979 &gt;= AD980, Z979 - AD980, 0),
  B980&gt;55, 0
)</f>
        <v>0</v>
      </c>
      <c r="AA980" s="65">
        <f>IFS(
  B980&lt;65,
    IF(AA979+J980 &lt; VLOOKUP(YEAR(A980), Lookup!$Q:$R, 2),
      AA979 + IF(MONTH(A980)=12, R979+X979, 0) + J980,
      MIN(
        AA979 + IF(MONTH(A980)=12, R979+X979, 0) + J980 ,
        VLOOKUP(YEAR(A980), Lookup!$Q:$R, 2)
      )
    ),
  B980&gt;=65,
    IF(AA979+J980 &lt; VLOOKUP(questions!$C$5, Lookup!$Q:$R, 2),
      AA979 + IF(MONTH(A980)=12, R979+X979, 0) + J980 ,
      MIN(
        AA979 + IF(MONTH(A980)=12, R979+X979, 0) + J980,
        VLOOKUP(questions!$C$5, Lookup!$Q:$R, 2)
      )
    )
)</f>
        <v>282111.0086</v>
      </c>
      <c r="AB980" s="65">
        <f t="shared" si="13"/>
        <v>5134875.827</v>
      </c>
      <c r="AC980" s="66">
        <f t="array" ref="AC980">IFS(B980&lt;66, XLOOKUP(year(A980),Lookup!$K$13:$K1000,Lookup!$L$13:$L1000,"missing",,1),B980&gt;65,XLOOKUP(questions!$C$5,Lookup!$K$13:$K1000,Lookup!$L$13:$L1000,"missing",,1))</f>
        <v>393675.3633</v>
      </c>
      <c r="AD980" s="66">
        <f t="array" ref="AD980">IFS(B980&lt;66, XLOOKUP(year(A980),Lookup!$K$13:$K1000,Lookup!$M$13:$M1000,"missing",,1),B980&gt;65, XLOOKUP(questions!$C$5,Lookup!$K$13:$K1000,Lookup!$M$13:$M1000,"missing",,1))</f>
        <v>787350.7266</v>
      </c>
      <c r="AE980" s="66">
        <f t="array" ref="AE980">IFS(B980&lt;66, XLOOKUP(year(A980),Lookup!$K$13:$K1000,Lookup!$N$13:$N1000,"missing",,1),B980&gt;65,XLOOKUP(questions!$C$5,Lookup!$K$13:$K1000,Lookup!$N$13:$N1000,"missing",,1))</f>
        <v>1574701.453</v>
      </c>
      <c r="AF980" s="37"/>
      <c r="AG980" s="37"/>
      <c r="AH980" s="37"/>
      <c r="AI980" s="37"/>
      <c r="AJ980" s="37"/>
      <c r="AK980" s="37"/>
      <c r="AL980" s="37"/>
      <c r="AM980" s="37"/>
      <c r="AN980" s="37"/>
      <c r="AO980" s="37"/>
      <c r="AP980" s="37"/>
      <c r="AQ980" s="37"/>
    </row>
    <row r="981">
      <c r="A981" s="55">
        <f t="shared" si="7"/>
        <v>75879</v>
      </c>
      <c r="B981" s="56">
        <f>round(YEARFRAC(EOMONTH(questions!$C$3, 0),A981,1),2)</f>
        <v>108.83</v>
      </c>
      <c r="C981" s="58">
        <f>IF(B981&lt;questions!$C$6,if(MONTH(A981)=1,C980*(1+questions!$C$12),C980),0)</f>
        <v>0</v>
      </c>
      <c r="D981" s="58">
        <f>IF(MONTH(A981)=12,C981*questions!$C$11,0)</f>
        <v>0</v>
      </c>
      <c r="E981" s="71">
        <f t="shared" si="2"/>
        <v>0</v>
      </c>
      <c r="F981" s="71">
        <f t="shared" si="3"/>
        <v>0</v>
      </c>
      <c r="G981" s="61">
        <f t="array" ref="G981">if(YEAR(A981)=2025,XLOOKUP(B981,Lookup!$A$3:$A$7,Lookup!$D$3:$D$7,,1)*SUM(E981:F981), XLOOKUP(B981,Lookup!$A$14:$A$18,Lookup!$D$14:$D$18,,1)*SUM(E981:F981))</f>
        <v>0</v>
      </c>
      <c r="H981" s="61">
        <f t="array" ref="H981">if(YEAR(A981)=2025,XLOOKUP(B981,Lookup!$F$3:$F$10,Lookup!$G$3:$G$10,,1)*G981, XLOOKUP(B981,Lookup!$F$14:$F$21,Lookup!$G$14:$G$21,,1)*G981)</f>
        <v>0</v>
      </c>
      <c r="I981" s="61">
        <f t="array" ref="I981">if(B981&lt;55, if(YEAR(A981)=2025,XLOOKUP(B981,Lookup!$F$3:$F$10,Lookup!$H$3:$H$10,,1)*G981, XLOOKUP(B981,Lookup!$F$14:$F$21,Lookup!$H$14:$H$21,,1)*G981),0)</f>
        <v>0</v>
      </c>
      <c r="J981" s="61">
        <f t="array" ref="J981">if(YEAR(A981)=2025,XLOOKUP(B981,Lookup!$F$3:$F$10,Lookup!$I$3:$I$10,,1)*G981, XLOOKUP(B981,Lookup!$F$14:$F$21,Lookup!$I$14:$I$21,,1)*G981)</f>
        <v>0</v>
      </c>
      <c r="K981" s="61">
        <f t="array" ref="K981">if(B981&gt;54, if(YEAR(A981)=2025,XLOOKUP(B981,Lookup!$F$3:$F$10,Lookup!$H$3:$H$10,,1)*G981, XLOOKUP(B981,Lookup!$F$14:$F$21,Lookup!$H$14:$H$21,,1)*G981),0)</f>
        <v>0</v>
      </c>
      <c r="L981" s="62">
        <f>IF(and(A981&lt;questions!$C$19,questions!$C$18="yes"),questions!$C$20,0)</f>
        <v>0</v>
      </c>
      <c r="M981" s="63">
        <f>(Y980+H981)*Lookup!A$26/12</f>
        <v>5965.112924</v>
      </c>
      <c r="N981" s="63">
        <f>if(B981&lt;55, (Z980+I981)*Lookup!B$26/12, (AB980+K981)*Lookup!B$26/12)</f>
        <v>17116.25276</v>
      </c>
      <c r="O981" s="63">
        <f>(AA980+J981)*Lookup!C$26/12</f>
        <v>940.3700287</v>
      </c>
      <c r="P981" s="63">
        <f t="shared" si="8"/>
        <v>53686.01632</v>
      </c>
      <c r="Q981" s="63">
        <f t="shared" si="4"/>
        <v>154046.2748</v>
      </c>
      <c r="R981" s="63">
        <f t="shared" si="5"/>
        <v>8463.330258</v>
      </c>
      <c r="S981" s="64">
        <f t="shared" si="9"/>
        <v>33.33333333</v>
      </c>
      <c r="T981" s="64">
        <f t="shared" si="10"/>
        <v>41.66666667</v>
      </c>
      <c r="U981" s="64">
        <f t="shared" si="11"/>
        <v>0</v>
      </c>
      <c r="V981" s="64">
        <f t="shared" ref="V981:X981" si="989">IF(year($A981)=year($A980), V980+S981, S981)</f>
        <v>300</v>
      </c>
      <c r="W981" s="64">
        <f t="shared" si="989"/>
        <v>375</v>
      </c>
      <c r="X981" s="64">
        <f t="shared" si="989"/>
        <v>0</v>
      </c>
      <c r="Y981" s="65">
        <f>IFS(
  B981&lt;55,
    MAX(
      Y980 + IF(MONTH(A981)=12, P981+V981, 0) + H981 - L981
      + MAX(0,
          IF(AA980 &gt;= VLOOKUP(YEAR(A981), Lookup!$Q:$R, 2),
            Z980 + IF(MONTH(A981)=12, Q981+W981, 0) + I981
              + AA980 + IF(MONTH(A981)=12, R981+X981, 0)
              - VLOOKUP(YEAR(A981), Lookup!$Q:$R, 2) + J981,
            Z980 + IF(MONTH(A981)=12, Q981+W981, 0) + I981
          ) - VLOOKUP(YEAR(A981), Lookup!$K:$M, 3)
        ),
    0),
  B981=55,
    IF(Z980&gt;=AD981,
      MAX(Y980 + IF(MONTH(A981)=12, P981+V981, 0) + H981 - L981, 0),
      MAX(MAX(0, Y980-(AD981-Z980)) + IF(MONTH(A981)=12, P981+V981, 0) + H981 - L981, 0)
    ),
  B981&gt;55,
    IF(AB980&gt;=$AH$7,
      MAX(Y980 + IF(MONTH(A981)=12, P981+V981, 0) + H981 - L981 + K981 + Z980, 0),
      MAX(Y980 + IF(MONTH(A981)=12, P981+V981, 0) + H981 - L981, 0)
    )
)</f>
        <v>2863254.203</v>
      </c>
      <c r="Z981" s="65">
        <f>IFS(
  B981&lt;55,
    MIN(
      IF(AA980 &gt;= VLOOKUP(YEAR(A981), Lookup!$Q:$R, 2),
        Z980 + IF(MONTH(A981)=12, Q981+W981, 0) + I981
          + AA980 + IF(MONTH(A981)=12, R981+X981, 0) - VLOOKUP(YEAR(A981), Lookup!$Q:$R, 2) + J981,
        Z980 + IF(MONTH(A981)=12, Q981+W981, 0) + I981
      ),
      VLOOKUP(YEAR(A981), Lookup!$K:$M, 3)
    ),
  B981=55,
    IF(Z980 &gt;= AD981, Z980 - AD981, 0),
  B981&gt;55, 0
)</f>
        <v>0</v>
      </c>
      <c r="AA981" s="65">
        <f>IFS(
  B981&lt;65,
    IF(AA980+J981 &lt; VLOOKUP(YEAR(A981), Lookup!$Q:$R, 2),
      AA980 + IF(MONTH(A981)=12, R980+X980, 0) + J981,
      MIN(
        AA980 + IF(MONTH(A981)=12, R980+X980, 0) + J981 ,
        VLOOKUP(YEAR(A981), Lookup!$Q:$R, 2)
      )
    ),
  B981&gt;=65,
    IF(AA980+J981 &lt; VLOOKUP(questions!$C$5, Lookup!$Q:$R, 2),
      AA980 + IF(MONTH(A981)=12, R980+X980, 0) + J981 ,
      MIN(
        AA980 + IF(MONTH(A981)=12, R980+X980, 0) + J981,
        VLOOKUP(questions!$C$5, Lookup!$Q:$R, 2)
      )
    )
)</f>
        <v>282111.0086</v>
      </c>
      <c r="AB981" s="65">
        <f t="shared" si="13"/>
        <v>5134875.827</v>
      </c>
      <c r="AC981" s="66">
        <f t="array" ref="AC981">IFS(B981&lt;66, XLOOKUP(year(A981),Lookup!$K$13:$K1000,Lookup!$L$13:$L1000,"missing",,1),B981&gt;65,XLOOKUP(questions!$C$5,Lookup!$K$13:$K1000,Lookup!$L$13:$L1000,"missing",,1))</f>
        <v>393675.3633</v>
      </c>
      <c r="AD981" s="66">
        <f t="array" ref="AD981">IFS(B981&lt;66, XLOOKUP(year(A981),Lookup!$K$13:$K1000,Lookup!$M$13:$M1000,"missing",,1),B981&gt;65, XLOOKUP(questions!$C$5,Lookup!$K$13:$K1000,Lookup!$M$13:$M1000,"missing",,1))</f>
        <v>787350.7266</v>
      </c>
      <c r="AE981" s="66">
        <f t="array" ref="AE981">IFS(B981&lt;66, XLOOKUP(year(A981),Lookup!$K$13:$K1000,Lookup!$N$13:$N1000,"missing",,1),B981&gt;65,XLOOKUP(questions!$C$5,Lookup!$K$13:$K1000,Lookup!$N$13:$N1000,"missing",,1))</f>
        <v>1574701.453</v>
      </c>
      <c r="AF981" s="37"/>
      <c r="AG981" s="37"/>
      <c r="AH981" s="37"/>
      <c r="AI981" s="37"/>
      <c r="AJ981" s="37"/>
      <c r="AK981" s="37"/>
      <c r="AL981" s="37"/>
      <c r="AM981" s="37"/>
      <c r="AN981" s="37"/>
      <c r="AO981" s="37"/>
      <c r="AP981" s="37"/>
      <c r="AQ981" s="37"/>
    </row>
    <row r="982">
      <c r="A982" s="55">
        <f t="shared" si="7"/>
        <v>75910</v>
      </c>
      <c r="B982" s="56">
        <f>round(YEARFRAC(EOMONTH(questions!$C$3, 0),A982,1),2)</f>
        <v>108.92</v>
      </c>
      <c r="C982" s="58">
        <f>IF(B982&lt;questions!$C$6,if(MONTH(A982)=1,C981*(1+questions!$C$12),C981),0)</f>
        <v>0</v>
      </c>
      <c r="D982" s="58">
        <f>IF(MONTH(A982)=12,C982*questions!$C$11,0)</f>
        <v>0</v>
      </c>
      <c r="E982" s="71">
        <f t="shared" si="2"/>
        <v>0</v>
      </c>
      <c r="F982" s="71">
        <f t="shared" si="3"/>
        <v>0</v>
      </c>
      <c r="G982" s="61">
        <f t="array" ref="G982">if(YEAR(A982)=2025,XLOOKUP(B982,Lookup!$A$3:$A$7,Lookup!$D$3:$D$7,,1)*SUM(E982:F982), XLOOKUP(B982,Lookup!$A$14:$A$18,Lookup!$D$14:$D$18,,1)*SUM(E982:F982))</f>
        <v>0</v>
      </c>
      <c r="H982" s="61">
        <f t="array" ref="H982">if(YEAR(A982)=2025,XLOOKUP(B982,Lookup!$F$3:$F$10,Lookup!$G$3:$G$10,,1)*G982, XLOOKUP(B982,Lookup!$F$14:$F$21,Lookup!$G$14:$G$21,,1)*G982)</f>
        <v>0</v>
      </c>
      <c r="I982" s="61">
        <f t="array" ref="I982">if(B982&lt;55, if(YEAR(A982)=2025,XLOOKUP(B982,Lookup!$F$3:$F$10,Lookup!$H$3:$H$10,,1)*G982, XLOOKUP(B982,Lookup!$F$14:$F$21,Lookup!$H$14:$H$21,,1)*G982),0)</f>
        <v>0</v>
      </c>
      <c r="J982" s="61">
        <f t="array" ref="J982">if(YEAR(A982)=2025,XLOOKUP(B982,Lookup!$F$3:$F$10,Lookup!$I$3:$I$10,,1)*G982, XLOOKUP(B982,Lookup!$F$14:$F$21,Lookup!$I$14:$I$21,,1)*G982)</f>
        <v>0</v>
      </c>
      <c r="K982" s="61">
        <f t="array" ref="K982">if(B982&gt;54, if(YEAR(A982)=2025,XLOOKUP(B982,Lookup!$F$3:$F$10,Lookup!$H$3:$H$10,,1)*G982, XLOOKUP(B982,Lookup!$F$14:$F$21,Lookup!$H$14:$H$21,,1)*G982),0)</f>
        <v>0</v>
      </c>
      <c r="L982" s="62">
        <f>IF(and(A982&lt;questions!$C$19,questions!$C$18="yes"),questions!$C$20,0)</f>
        <v>0</v>
      </c>
      <c r="M982" s="63">
        <f>(Y981+H982)*Lookup!A$26/12</f>
        <v>5965.112924</v>
      </c>
      <c r="N982" s="63">
        <f>if(B982&lt;55, (Z981+I982)*Lookup!B$26/12, (AB981+K982)*Lookup!B$26/12)</f>
        <v>17116.25276</v>
      </c>
      <c r="O982" s="63">
        <f>(AA981+J982)*Lookup!C$26/12</f>
        <v>940.3700287</v>
      </c>
      <c r="P982" s="63">
        <f t="shared" si="8"/>
        <v>59651.12924</v>
      </c>
      <c r="Q982" s="63">
        <f t="shared" si="4"/>
        <v>171162.5276</v>
      </c>
      <c r="R982" s="63">
        <f t="shared" si="5"/>
        <v>9403.700287</v>
      </c>
      <c r="S982" s="64">
        <f t="shared" si="9"/>
        <v>33.33333333</v>
      </c>
      <c r="T982" s="64">
        <f t="shared" si="10"/>
        <v>41.66666667</v>
      </c>
      <c r="U982" s="64">
        <f t="shared" si="11"/>
        <v>0</v>
      </c>
      <c r="V982" s="64">
        <f t="shared" ref="V982:X982" si="990">IF(year($A982)=year($A981), V981+S982, S982)</f>
        <v>333.3333333</v>
      </c>
      <c r="W982" s="64">
        <f t="shared" si="990"/>
        <v>416.6666667</v>
      </c>
      <c r="X982" s="64">
        <f t="shared" si="990"/>
        <v>0</v>
      </c>
      <c r="Y982" s="65">
        <f>IFS(
  B982&lt;55,
    MAX(
      Y981 + IF(MONTH(A982)=12, P982+V982, 0) + H982 - L982
      + MAX(0,
          IF(AA981 &gt;= VLOOKUP(YEAR(A982), Lookup!$Q:$R, 2),
            Z981 + IF(MONTH(A982)=12, Q982+W982, 0) + I982
              + AA981 + IF(MONTH(A982)=12, R982+X982, 0)
              - VLOOKUP(YEAR(A982), Lookup!$Q:$R, 2) + J982,
            Z981 + IF(MONTH(A982)=12, Q982+W982, 0) + I982
          ) - VLOOKUP(YEAR(A982), Lookup!$K:$M, 3)
        ),
    0),
  B982=55,
    IF(Z981&gt;=AD982,
      MAX(Y981 + IF(MONTH(A982)=12, P982+V982, 0) + H982 - L982, 0),
      MAX(MAX(0, Y981-(AD982-Z981)) + IF(MONTH(A982)=12, P982+V982, 0) + H982 - L982, 0)
    ),
  B982&gt;55,
    IF(AB981&gt;=$AH$7,
      MAX(Y981 + IF(MONTH(A982)=12, P982+V982, 0) + H982 - L982 + K982 + Z981, 0),
      MAX(Y981 + IF(MONTH(A982)=12, P982+V982, 0) + H982 - L982, 0)
    )
)</f>
        <v>2863254.203</v>
      </c>
      <c r="Z982" s="65">
        <f>IFS(
  B982&lt;55,
    MIN(
      IF(AA981 &gt;= VLOOKUP(YEAR(A982), Lookup!$Q:$R, 2),
        Z981 + IF(MONTH(A982)=12, Q982+W982, 0) + I982
          + AA981 + IF(MONTH(A982)=12, R982+X982, 0) - VLOOKUP(YEAR(A982), Lookup!$Q:$R, 2) + J982,
        Z981 + IF(MONTH(A982)=12, Q982+W982, 0) + I982
      ),
      VLOOKUP(YEAR(A982), Lookup!$K:$M, 3)
    ),
  B982=55,
    IF(Z981 &gt;= AD982, Z981 - AD982, 0),
  B982&gt;55, 0
)</f>
        <v>0</v>
      </c>
      <c r="AA982" s="65">
        <f>IFS(
  B982&lt;65,
    IF(AA981+J982 &lt; VLOOKUP(YEAR(A982), Lookup!$Q:$R, 2),
      AA981 + IF(MONTH(A982)=12, R981+X981, 0) + J982,
      MIN(
        AA981 + IF(MONTH(A982)=12, R981+X981, 0) + J982 ,
        VLOOKUP(YEAR(A982), Lookup!$Q:$R, 2)
      )
    ),
  B982&gt;=65,
    IF(AA981+J982 &lt; VLOOKUP(questions!$C$5, Lookup!$Q:$R, 2),
      AA981 + IF(MONTH(A982)=12, R981+X981, 0) + J982 ,
      MIN(
        AA981 + IF(MONTH(A982)=12, R981+X981, 0) + J982,
        VLOOKUP(questions!$C$5, Lookup!$Q:$R, 2)
      )
    )
)</f>
        <v>282111.0086</v>
      </c>
      <c r="AB982" s="65">
        <f t="shared" si="13"/>
        <v>5134875.827</v>
      </c>
      <c r="AC982" s="66">
        <f t="array" ref="AC982">IFS(B982&lt;66, XLOOKUP(year(A982),Lookup!$K$13:$K1000,Lookup!$L$13:$L1000,"missing",,1),B982&gt;65,XLOOKUP(questions!$C$5,Lookup!$K$13:$K1000,Lookup!$L$13:$L1000,"missing",,1))</f>
        <v>393675.3633</v>
      </c>
      <c r="AD982" s="66">
        <f t="array" ref="AD982">IFS(B982&lt;66, XLOOKUP(year(A982),Lookup!$K$13:$K1000,Lookup!$M$13:$M1000,"missing",,1),B982&gt;65, XLOOKUP(questions!$C$5,Lookup!$K$13:$K1000,Lookup!$M$13:$M1000,"missing",,1))</f>
        <v>787350.7266</v>
      </c>
      <c r="AE982" s="66">
        <f t="array" ref="AE982">IFS(B982&lt;66, XLOOKUP(year(A982),Lookup!$K$13:$K1000,Lookup!$N$13:$N1000,"missing",,1),B982&gt;65,XLOOKUP(questions!$C$5,Lookup!$K$13:$K1000,Lookup!$N$13:$N1000,"missing",,1))</f>
        <v>1574701.453</v>
      </c>
      <c r="AF982" s="37"/>
      <c r="AG982" s="37"/>
      <c r="AH982" s="37"/>
      <c r="AI982" s="37"/>
      <c r="AJ982" s="37"/>
      <c r="AK982" s="37"/>
      <c r="AL982" s="37"/>
      <c r="AM982" s="37"/>
      <c r="AN982" s="37"/>
      <c r="AO982" s="37"/>
      <c r="AP982" s="37"/>
      <c r="AQ982" s="37"/>
    </row>
    <row r="983">
      <c r="A983" s="55">
        <f t="shared" si="7"/>
        <v>75940</v>
      </c>
      <c r="B983" s="56">
        <f>round(YEARFRAC(EOMONTH(questions!$C$3, 0),A983,1),2)</f>
        <v>109</v>
      </c>
      <c r="C983" s="58">
        <f>IF(B983&lt;questions!$C$6,if(MONTH(A983)=1,C982*(1+questions!$C$12),C982),0)</f>
        <v>0</v>
      </c>
      <c r="D983" s="58">
        <f>IF(MONTH(A983)=12,C983*questions!$C$11,0)</f>
        <v>0</v>
      </c>
      <c r="E983" s="71">
        <f t="shared" si="2"/>
        <v>0</v>
      </c>
      <c r="F983" s="71">
        <f t="shared" si="3"/>
        <v>0</v>
      </c>
      <c r="G983" s="61">
        <f t="array" ref="G983">if(YEAR(A983)=2025,XLOOKUP(B983,Lookup!$A$3:$A$7,Lookup!$D$3:$D$7,,1)*SUM(E983:F983), XLOOKUP(B983,Lookup!$A$14:$A$18,Lookup!$D$14:$D$18,,1)*SUM(E983:F983))</f>
        <v>0</v>
      </c>
      <c r="H983" s="61">
        <f t="array" ref="H983">if(YEAR(A983)=2025,XLOOKUP(B983,Lookup!$F$3:$F$10,Lookup!$G$3:$G$10,,1)*G983, XLOOKUP(B983,Lookup!$F$14:$F$21,Lookup!$G$14:$G$21,,1)*G983)</f>
        <v>0</v>
      </c>
      <c r="I983" s="61">
        <f t="array" ref="I983">if(B983&lt;55, if(YEAR(A983)=2025,XLOOKUP(B983,Lookup!$F$3:$F$10,Lookup!$H$3:$H$10,,1)*G983, XLOOKUP(B983,Lookup!$F$14:$F$21,Lookup!$H$14:$H$21,,1)*G983),0)</f>
        <v>0</v>
      </c>
      <c r="J983" s="61">
        <f t="array" ref="J983">if(YEAR(A983)=2025,XLOOKUP(B983,Lookup!$F$3:$F$10,Lookup!$I$3:$I$10,,1)*G983, XLOOKUP(B983,Lookup!$F$14:$F$21,Lookup!$I$14:$I$21,,1)*G983)</f>
        <v>0</v>
      </c>
      <c r="K983" s="61">
        <f t="array" ref="K983">if(B983&gt;54, if(YEAR(A983)=2025,XLOOKUP(B983,Lookup!$F$3:$F$10,Lookup!$H$3:$H$10,,1)*G983, XLOOKUP(B983,Lookup!$F$14:$F$21,Lookup!$H$14:$H$21,,1)*G983),0)</f>
        <v>0</v>
      </c>
      <c r="L983" s="62">
        <f>IF(and(A983&lt;questions!$C$19,questions!$C$18="yes"),questions!$C$20,0)</f>
        <v>0</v>
      </c>
      <c r="M983" s="63">
        <f>(Y982+H983)*Lookup!A$26/12</f>
        <v>5965.112924</v>
      </c>
      <c r="N983" s="63">
        <f>if(B983&lt;55, (Z982+I983)*Lookup!B$26/12, (AB982+K983)*Lookup!B$26/12)</f>
        <v>17116.25276</v>
      </c>
      <c r="O983" s="63">
        <f>(AA982+J983)*Lookup!C$26/12</f>
        <v>940.3700287</v>
      </c>
      <c r="P983" s="63">
        <f t="shared" si="8"/>
        <v>65616.24216</v>
      </c>
      <c r="Q983" s="63">
        <f t="shared" si="4"/>
        <v>188278.7803</v>
      </c>
      <c r="R983" s="63">
        <f t="shared" si="5"/>
        <v>10344.07032</v>
      </c>
      <c r="S983" s="64">
        <f t="shared" si="9"/>
        <v>33.33333333</v>
      </c>
      <c r="T983" s="64">
        <f t="shared" si="10"/>
        <v>41.66666667</v>
      </c>
      <c r="U983" s="64">
        <f t="shared" si="11"/>
        <v>0</v>
      </c>
      <c r="V983" s="64">
        <f t="shared" ref="V983:X983" si="991">IF(year($A983)=year($A982), V982+S983, S983)</f>
        <v>366.6666667</v>
      </c>
      <c r="W983" s="64">
        <f t="shared" si="991"/>
        <v>458.3333333</v>
      </c>
      <c r="X983" s="64">
        <f t="shared" si="991"/>
        <v>0</v>
      </c>
      <c r="Y983" s="65">
        <f>IFS(
  B983&lt;55,
    MAX(
      Y982 + IF(MONTH(A983)=12, P983+V983, 0) + H983 - L983
      + MAX(0,
          IF(AA982 &gt;= VLOOKUP(YEAR(A983), Lookup!$Q:$R, 2),
            Z982 + IF(MONTH(A983)=12, Q983+W983, 0) + I983
              + AA982 + IF(MONTH(A983)=12, R983+X983, 0)
              - VLOOKUP(YEAR(A983), Lookup!$Q:$R, 2) + J983,
            Z982 + IF(MONTH(A983)=12, Q983+W983, 0) + I983
          ) - VLOOKUP(YEAR(A983), Lookup!$K:$M, 3)
        ),
    0),
  B983=55,
    IF(Z982&gt;=AD983,
      MAX(Y982 + IF(MONTH(A983)=12, P983+V983, 0) + H983 - L983, 0),
      MAX(MAX(0, Y982-(AD983-Z982)) + IF(MONTH(A983)=12, P983+V983, 0) + H983 - L983, 0)
    ),
  B983&gt;55,
    IF(AB982&gt;=$AH$7,
      MAX(Y982 + IF(MONTH(A983)=12, P983+V983, 0) + H983 - L983 + K983 + Z982, 0),
      MAX(Y982 + IF(MONTH(A983)=12, P983+V983, 0) + H983 - L983, 0)
    )
)</f>
        <v>2863254.203</v>
      </c>
      <c r="Z983" s="65">
        <f>IFS(
  B983&lt;55,
    MIN(
      IF(AA982 &gt;= VLOOKUP(YEAR(A983), Lookup!$Q:$R, 2),
        Z982 + IF(MONTH(A983)=12, Q983+W983, 0) + I983
          + AA982 + IF(MONTH(A983)=12, R983+X983, 0) - VLOOKUP(YEAR(A983), Lookup!$Q:$R, 2) + J983,
        Z982 + IF(MONTH(A983)=12, Q983+W983, 0) + I983
      ),
      VLOOKUP(YEAR(A983), Lookup!$K:$M, 3)
    ),
  B983=55,
    IF(Z982 &gt;= AD983, Z982 - AD983, 0),
  B983&gt;55, 0
)</f>
        <v>0</v>
      </c>
      <c r="AA983" s="65">
        <f>IFS(
  B983&lt;65,
    IF(AA982+J983 &lt; VLOOKUP(YEAR(A983), Lookup!$Q:$R, 2),
      AA982 + IF(MONTH(A983)=12, R982+X982, 0) + J983,
      MIN(
        AA982 + IF(MONTH(A983)=12, R982+X982, 0) + J983 ,
        VLOOKUP(YEAR(A983), Lookup!$Q:$R, 2)
      )
    ),
  B983&gt;=65,
    IF(AA982+J983 &lt; VLOOKUP(questions!$C$5, Lookup!$Q:$R, 2),
      AA982 + IF(MONTH(A983)=12, R982+X982, 0) + J983 ,
      MIN(
        AA982 + IF(MONTH(A983)=12, R982+X982, 0) + J983,
        VLOOKUP(questions!$C$5, Lookup!$Q:$R, 2)
      )
    )
)</f>
        <v>282111.0086</v>
      </c>
      <c r="AB983" s="65">
        <f t="shared" si="13"/>
        <v>5134875.827</v>
      </c>
      <c r="AC983" s="66">
        <f t="array" ref="AC983">IFS(B983&lt;66, XLOOKUP(year(A983),Lookup!$K$13:$K1000,Lookup!$L$13:$L1000,"missing",,1),B983&gt;65,XLOOKUP(questions!$C$5,Lookup!$K$13:$K1000,Lookup!$L$13:$L1000,"missing",,1))</f>
        <v>393675.3633</v>
      </c>
      <c r="AD983" s="66">
        <f t="array" ref="AD983">IFS(B983&lt;66, XLOOKUP(year(A983),Lookup!$K$13:$K1000,Lookup!$M$13:$M1000,"missing",,1),B983&gt;65, XLOOKUP(questions!$C$5,Lookup!$K$13:$K1000,Lookup!$M$13:$M1000,"missing",,1))</f>
        <v>787350.7266</v>
      </c>
      <c r="AE983" s="66">
        <f t="array" ref="AE983">IFS(B983&lt;66, XLOOKUP(year(A983),Lookup!$K$13:$K1000,Lookup!$N$13:$N1000,"missing",,1),B983&gt;65,XLOOKUP(questions!$C$5,Lookup!$K$13:$K1000,Lookup!$N$13:$N1000,"missing",,1))</f>
        <v>1574701.453</v>
      </c>
      <c r="AF983" s="37"/>
      <c r="AG983" s="37"/>
      <c r="AH983" s="37"/>
      <c r="AI983" s="37"/>
      <c r="AJ983" s="37"/>
      <c r="AK983" s="37"/>
      <c r="AL983" s="37"/>
      <c r="AM983" s="37"/>
      <c r="AN983" s="37"/>
      <c r="AO983" s="37"/>
      <c r="AP983" s="37"/>
      <c r="AQ983" s="37"/>
    </row>
    <row r="984">
      <c r="A984" s="55">
        <f t="shared" si="7"/>
        <v>75971</v>
      </c>
      <c r="B984" s="56">
        <f>round(YEARFRAC(EOMONTH(questions!$C$3, 0),A984,1),2)</f>
        <v>109.08</v>
      </c>
      <c r="C984" s="58">
        <f>IF(B984&lt;questions!$C$6,if(MONTH(A984)=1,C983*(1+questions!$C$12),C983),0)</f>
        <v>0</v>
      </c>
      <c r="D984" s="58">
        <f>IF(MONTH(A984)=12,C984*questions!$C$11,0)</f>
        <v>0</v>
      </c>
      <c r="E984" s="71">
        <f t="shared" si="2"/>
        <v>0</v>
      </c>
      <c r="F984" s="71">
        <f t="shared" si="3"/>
        <v>0</v>
      </c>
      <c r="G984" s="61">
        <f t="array" ref="G984">if(YEAR(A984)=2025,XLOOKUP(B984,Lookup!$A$3:$A$7,Lookup!$D$3:$D$7,,1)*SUM(E984:F984), XLOOKUP(B984,Lookup!$A$14:$A$18,Lookup!$D$14:$D$18,,1)*SUM(E984:F984))</f>
        <v>0</v>
      </c>
      <c r="H984" s="61">
        <f t="array" ref="H984">if(YEAR(A984)=2025,XLOOKUP(B984,Lookup!$F$3:$F$10,Lookup!$G$3:$G$10,,1)*G984, XLOOKUP(B984,Lookup!$F$14:$F$21,Lookup!$G$14:$G$21,,1)*G984)</f>
        <v>0</v>
      </c>
      <c r="I984" s="61">
        <f t="array" ref="I984">if(B984&lt;55, if(YEAR(A984)=2025,XLOOKUP(B984,Lookup!$F$3:$F$10,Lookup!$H$3:$H$10,,1)*G984, XLOOKUP(B984,Lookup!$F$14:$F$21,Lookup!$H$14:$H$21,,1)*G984),0)</f>
        <v>0</v>
      </c>
      <c r="J984" s="61">
        <f t="array" ref="J984">if(YEAR(A984)=2025,XLOOKUP(B984,Lookup!$F$3:$F$10,Lookup!$I$3:$I$10,,1)*G984, XLOOKUP(B984,Lookup!$F$14:$F$21,Lookup!$I$14:$I$21,,1)*G984)</f>
        <v>0</v>
      </c>
      <c r="K984" s="61">
        <f t="array" ref="K984">if(B984&gt;54, if(YEAR(A984)=2025,XLOOKUP(B984,Lookup!$F$3:$F$10,Lookup!$H$3:$H$10,,1)*G984, XLOOKUP(B984,Lookup!$F$14:$F$21,Lookup!$H$14:$H$21,,1)*G984),0)</f>
        <v>0</v>
      </c>
      <c r="L984" s="62">
        <f>IF(and(A984&lt;questions!$C$19,questions!$C$18="yes"),questions!$C$20,0)</f>
        <v>0</v>
      </c>
      <c r="M984" s="63">
        <f>(Y983+H984)*Lookup!A$26/12</f>
        <v>5965.112924</v>
      </c>
      <c r="N984" s="63">
        <f>if(B984&lt;55, (Z983+I984)*Lookup!B$26/12, (AB983+K984)*Lookup!B$26/12)</f>
        <v>17116.25276</v>
      </c>
      <c r="O984" s="63">
        <f>(AA983+J984)*Lookup!C$26/12</f>
        <v>940.3700287</v>
      </c>
      <c r="P984" s="63">
        <f t="shared" si="8"/>
        <v>71581.35509</v>
      </c>
      <c r="Q984" s="63">
        <f t="shared" si="4"/>
        <v>205395.0331</v>
      </c>
      <c r="R984" s="63">
        <f t="shared" si="5"/>
        <v>11284.44034</v>
      </c>
      <c r="S984" s="64">
        <f t="shared" si="9"/>
        <v>33.33333333</v>
      </c>
      <c r="T984" s="64">
        <f t="shared" si="10"/>
        <v>41.66666667</v>
      </c>
      <c r="U984" s="64">
        <f t="shared" si="11"/>
        <v>0</v>
      </c>
      <c r="V984" s="64">
        <f t="shared" ref="V984:X984" si="992">IF(year($A984)=year($A983), V983+S984, S984)</f>
        <v>400</v>
      </c>
      <c r="W984" s="64">
        <f t="shared" si="992"/>
        <v>500</v>
      </c>
      <c r="X984" s="64">
        <f t="shared" si="992"/>
        <v>0</v>
      </c>
      <c r="Y984" s="65">
        <f>IFS(
  B984&lt;55,
    MAX(
      Y983 + IF(MONTH(A984)=12, P984+V984, 0) + H984 - L984
      + MAX(0,
          IF(AA983 &gt;= VLOOKUP(YEAR(A984), Lookup!$Q:$R, 2),
            Z983 + IF(MONTH(A984)=12, Q984+W984, 0) + I984
              + AA983 + IF(MONTH(A984)=12, R984+X984, 0)
              - VLOOKUP(YEAR(A984), Lookup!$Q:$R, 2) + J984,
            Z983 + IF(MONTH(A984)=12, Q984+W984, 0) + I984
          ) - VLOOKUP(YEAR(A984), Lookup!$K:$M, 3)
        ),
    0),
  B984=55,
    IF(Z983&gt;=AD984,
      MAX(Y983 + IF(MONTH(A984)=12, P984+V984, 0) + H984 - L984, 0),
      MAX(MAX(0, Y983-(AD984-Z983)) + IF(MONTH(A984)=12, P984+V984, 0) + H984 - L984, 0)
    ),
  B984&gt;55,
    IF(AB983&gt;=$AH$7,
      MAX(Y983 + IF(MONTH(A984)=12, P984+V984, 0) + H984 - L984 + K984 + Z983, 0),
      MAX(Y983 + IF(MONTH(A984)=12, P984+V984, 0) + H984 - L984, 0)
    )
)</f>
        <v>2935235.559</v>
      </c>
      <c r="Z984" s="65">
        <f>IFS(
  B984&lt;55,
    MIN(
      IF(AA983 &gt;= VLOOKUP(YEAR(A984), Lookup!$Q:$R, 2),
        Z983 + IF(MONTH(A984)=12, Q984+W984, 0) + I984
          + AA983 + IF(MONTH(A984)=12, R984+X984, 0) - VLOOKUP(YEAR(A984), Lookup!$Q:$R, 2) + J984,
        Z983 + IF(MONTH(A984)=12, Q984+W984, 0) + I984
      ),
      VLOOKUP(YEAR(A984), Lookup!$K:$M, 3)
    ),
  B984=55,
    IF(Z983 &gt;= AD984, Z983 - AD984, 0),
  B984&gt;55, 0
)</f>
        <v>0</v>
      </c>
      <c r="AA984" s="65">
        <f>IFS(
  B984&lt;65,
    IF(AA983+J984 &lt; VLOOKUP(YEAR(A984), Lookup!$Q:$R, 2),
      AA983 + IF(MONTH(A984)=12, R983+X983, 0) + J984,
      MIN(
        AA983 + IF(MONTH(A984)=12, R983+X983, 0) + J984 ,
        VLOOKUP(YEAR(A984), Lookup!$Q:$R, 2)
      )
    ),
  B984&gt;=65,
    IF(AA983+J984 &lt; VLOOKUP(questions!$C$5, Lookup!$Q:$R, 2),
      AA983 + IF(MONTH(A984)=12, R983+X983, 0) + J984 ,
      MIN(
        AA983 + IF(MONTH(A984)=12, R983+X983, 0) + J984,
        VLOOKUP(questions!$C$5, Lookup!$Q:$R, 2)
      )
    )
)</f>
        <v>282111.0086</v>
      </c>
      <c r="AB984" s="65">
        <f t="shared" si="13"/>
        <v>5340770.86</v>
      </c>
      <c r="AC984" s="66">
        <f t="array" ref="AC984">IFS(B984&lt;66, XLOOKUP(year(A984),Lookup!$K$13:$K1000,Lookup!$L$13:$L1000,"missing",,1),B984&gt;65,XLOOKUP(questions!$C$5,Lookup!$K$13:$K1000,Lookup!$L$13:$L1000,"missing",,1))</f>
        <v>393675.3633</v>
      </c>
      <c r="AD984" s="66">
        <f t="array" ref="AD984">IFS(B984&lt;66, XLOOKUP(year(A984),Lookup!$K$13:$K1000,Lookup!$M$13:$M1000,"missing",,1),B984&gt;65, XLOOKUP(questions!$C$5,Lookup!$K$13:$K1000,Lookup!$M$13:$M1000,"missing",,1))</f>
        <v>787350.7266</v>
      </c>
      <c r="AE984" s="66">
        <f t="array" ref="AE984">IFS(B984&lt;66, XLOOKUP(year(A984),Lookup!$K$13:$K1000,Lookup!$N$13:$N1000,"missing",,1),B984&gt;65,XLOOKUP(questions!$C$5,Lookup!$K$13:$K1000,Lookup!$N$13:$N1000,"missing",,1))</f>
        <v>1574701.453</v>
      </c>
      <c r="AF984" s="37"/>
      <c r="AG984" s="37"/>
      <c r="AH984" s="37"/>
      <c r="AI984" s="37"/>
      <c r="AJ984" s="37"/>
      <c r="AK984" s="37"/>
      <c r="AL984" s="37"/>
      <c r="AM984" s="37"/>
      <c r="AN984" s="37"/>
      <c r="AO984" s="37"/>
      <c r="AP984" s="37"/>
      <c r="AQ984" s="37"/>
    </row>
    <row r="985">
      <c r="A985" s="55">
        <f t="shared" si="7"/>
        <v>76002</v>
      </c>
      <c r="B985" s="56">
        <f>round(YEARFRAC(EOMONTH(questions!$C$3, 0),A985,1),2)</f>
        <v>109.17</v>
      </c>
      <c r="C985" s="58">
        <f>IF(B985&lt;questions!$C$6,if(MONTH(A985)=1,C984*(1+questions!$C$12),C984),0)</f>
        <v>0</v>
      </c>
      <c r="D985" s="58">
        <f>IF(MONTH(A985)=12,C985*questions!$C$11,0)</f>
        <v>0</v>
      </c>
      <c r="E985" s="71">
        <f t="shared" si="2"/>
        <v>0</v>
      </c>
      <c r="F985" s="71">
        <f t="shared" si="3"/>
        <v>0</v>
      </c>
      <c r="G985" s="61">
        <f t="array" ref="G985">if(YEAR(A985)=2025,XLOOKUP(B985,Lookup!$A$3:$A$7,Lookup!$D$3:$D$7,,1)*SUM(E985:F985), XLOOKUP(B985,Lookup!$A$14:$A$18,Lookup!$D$14:$D$18,,1)*SUM(E985:F985))</f>
        <v>0</v>
      </c>
      <c r="H985" s="61">
        <f t="array" ref="H985">if(YEAR(A985)=2025,XLOOKUP(B985,Lookup!$F$3:$F$10,Lookup!$G$3:$G$10,,1)*G985, XLOOKUP(B985,Lookup!$F$14:$F$21,Lookup!$G$14:$G$21,,1)*G985)</f>
        <v>0</v>
      </c>
      <c r="I985" s="61">
        <f t="array" ref="I985">if(B985&lt;55, if(YEAR(A985)=2025,XLOOKUP(B985,Lookup!$F$3:$F$10,Lookup!$H$3:$H$10,,1)*G985, XLOOKUP(B985,Lookup!$F$14:$F$21,Lookup!$H$14:$H$21,,1)*G985),0)</f>
        <v>0</v>
      </c>
      <c r="J985" s="61">
        <f t="array" ref="J985">if(YEAR(A985)=2025,XLOOKUP(B985,Lookup!$F$3:$F$10,Lookup!$I$3:$I$10,,1)*G985, XLOOKUP(B985,Lookup!$F$14:$F$21,Lookup!$I$14:$I$21,,1)*G985)</f>
        <v>0</v>
      </c>
      <c r="K985" s="61">
        <f t="array" ref="K985">if(B985&gt;54, if(YEAR(A985)=2025,XLOOKUP(B985,Lookup!$F$3:$F$10,Lookup!$H$3:$H$10,,1)*G985, XLOOKUP(B985,Lookup!$F$14:$F$21,Lookup!$H$14:$H$21,,1)*G985),0)</f>
        <v>0</v>
      </c>
      <c r="L985" s="62">
        <f>IF(and(A985&lt;questions!$C$19,questions!$C$18="yes"),questions!$C$20,0)</f>
        <v>0</v>
      </c>
      <c r="M985" s="63">
        <f>(Y984+H985)*Lookup!A$26/12</f>
        <v>6115.07408</v>
      </c>
      <c r="N985" s="63">
        <f>if(B985&lt;55, (Z984+I985)*Lookup!B$26/12, (AB984+K985)*Lookup!B$26/12)</f>
        <v>17802.56953</v>
      </c>
      <c r="O985" s="63">
        <f>(AA984+J985)*Lookup!C$26/12</f>
        <v>940.3700287</v>
      </c>
      <c r="P985" s="63">
        <f t="shared" si="8"/>
        <v>6115.07408</v>
      </c>
      <c r="Q985" s="63">
        <f t="shared" si="4"/>
        <v>17802.56953</v>
      </c>
      <c r="R985" s="63">
        <f t="shared" si="5"/>
        <v>940.3700287</v>
      </c>
      <c r="S985" s="64">
        <f t="shared" si="9"/>
        <v>33.33333333</v>
      </c>
      <c r="T985" s="64">
        <f t="shared" si="10"/>
        <v>41.66666667</v>
      </c>
      <c r="U985" s="64">
        <f t="shared" si="11"/>
        <v>0</v>
      </c>
      <c r="V985" s="64">
        <f t="shared" ref="V985:X985" si="993">IF(year($A985)=year($A984), V984+S985, S985)</f>
        <v>33.33333333</v>
      </c>
      <c r="W985" s="64">
        <f t="shared" si="993"/>
        <v>41.66666667</v>
      </c>
      <c r="X985" s="64">
        <f t="shared" si="993"/>
        <v>0</v>
      </c>
      <c r="Y985" s="65">
        <f>IFS(
  B985&lt;55,
    MAX(
      Y984 + IF(MONTH(A985)=12, P985+V985, 0) + H985 - L985
      + MAX(0,
          IF(AA984 &gt;= VLOOKUP(YEAR(A985), Lookup!$Q:$R, 2),
            Z984 + IF(MONTH(A985)=12, Q985+W985, 0) + I985
              + AA984 + IF(MONTH(A985)=12, R985+X985, 0)
              - VLOOKUP(YEAR(A985), Lookup!$Q:$R, 2) + J985,
            Z984 + IF(MONTH(A985)=12, Q985+W985, 0) + I985
          ) - VLOOKUP(YEAR(A985), Lookup!$K:$M, 3)
        ),
    0),
  B985=55,
    IF(Z984&gt;=AD985,
      MAX(Y984 + IF(MONTH(A985)=12, P985+V985, 0) + H985 - L985, 0),
      MAX(MAX(0, Y984-(AD985-Z984)) + IF(MONTH(A985)=12, P985+V985, 0) + H985 - L985, 0)
    ),
  B985&gt;55,
    IF(AB984&gt;=$AH$7,
      MAX(Y984 + IF(MONTH(A985)=12, P985+V985, 0) + H985 - L985 + K985 + Z984, 0),
      MAX(Y984 + IF(MONTH(A985)=12, P985+V985, 0) + H985 - L985, 0)
    )
)</f>
        <v>2935235.559</v>
      </c>
      <c r="Z985" s="65">
        <f>IFS(
  B985&lt;55,
    MIN(
      IF(AA984 &gt;= VLOOKUP(YEAR(A985), Lookup!$Q:$R, 2),
        Z984 + IF(MONTH(A985)=12, Q985+W985, 0) + I985
          + AA984 + IF(MONTH(A985)=12, R985+X985, 0) - VLOOKUP(YEAR(A985), Lookup!$Q:$R, 2) + J985,
        Z984 + IF(MONTH(A985)=12, Q985+W985, 0) + I985
      ),
      VLOOKUP(YEAR(A985), Lookup!$K:$M, 3)
    ),
  B985=55,
    IF(Z984 &gt;= AD985, Z984 - AD985, 0),
  B985&gt;55, 0
)</f>
        <v>0</v>
      </c>
      <c r="AA985" s="65">
        <f>IFS(
  B985&lt;65,
    IF(AA984+J985 &lt; VLOOKUP(YEAR(A985), Lookup!$Q:$R, 2),
      AA984 + IF(MONTH(A985)=12, R984+X984, 0) + J985,
      MIN(
        AA984 + IF(MONTH(A985)=12, R984+X984, 0) + J985 ,
        VLOOKUP(YEAR(A985), Lookup!$Q:$R, 2)
      )
    ),
  B985&gt;=65,
    IF(AA984+J985 &lt; VLOOKUP(questions!$C$5, Lookup!$Q:$R, 2),
      AA984 + IF(MONTH(A985)=12, R984+X984, 0) + J985 ,
      MIN(
        AA984 + IF(MONTH(A985)=12, R984+X984, 0) + J985,
        VLOOKUP(questions!$C$5, Lookup!$Q:$R, 2)
      )
    )
)</f>
        <v>282111.0086</v>
      </c>
      <c r="AB985" s="65">
        <f t="shared" si="13"/>
        <v>5340770.86</v>
      </c>
      <c r="AC985" s="66">
        <f t="array" ref="AC985">IFS(B985&lt;66, XLOOKUP(year(A985),Lookup!$K$13:$K1000,Lookup!$L$13:$L1000,"missing",,1),B985&gt;65,XLOOKUP(questions!$C$5,Lookup!$K$13:$K1000,Lookup!$L$13:$L1000,"missing",,1))</f>
        <v>393675.3633</v>
      </c>
      <c r="AD985" s="66">
        <f t="array" ref="AD985">IFS(B985&lt;66, XLOOKUP(year(A985),Lookup!$K$13:$K1000,Lookup!$M$13:$M1000,"missing",,1),B985&gt;65, XLOOKUP(questions!$C$5,Lookup!$K$13:$K1000,Lookup!$M$13:$M1000,"missing",,1))</f>
        <v>787350.7266</v>
      </c>
      <c r="AE985" s="66">
        <f t="array" ref="AE985">IFS(B985&lt;66, XLOOKUP(year(A985),Lookup!$K$13:$K1000,Lookup!$N$13:$N1000,"missing",,1),B985&gt;65,XLOOKUP(questions!$C$5,Lookup!$K$13:$K1000,Lookup!$N$13:$N1000,"missing",,1))</f>
        <v>1574701.453</v>
      </c>
      <c r="AF985" s="37"/>
      <c r="AG985" s="37"/>
      <c r="AH985" s="37"/>
      <c r="AI985" s="37"/>
      <c r="AJ985" s="37"/>
      <c r="AK985" s="37"/>
      <c r="AL985" s="37"/>
      <c r="AM985" s="37"/>
      <c r="AN985" s="37"/>
      <c r="AO985" s="37"/>
      <c r="AP985" s="37"/>
      <c r="AQ985" s="37"/>
    </row>
    <row r="986">
      <c r="A986" s="55">
        <f t="shared" si="7"/>
        <v>76031</v>
      </c>
      <c r="B986" s="56">
        <f>round(YEARFRAC(EOMONTH(questions!$C$3, 0),A986,1),2)</f>
        <v>109.25</v>
      </c>
      <c r="C986" s="58">
        <f>IF(B986&lt;questions!$C$6,if(MONTH(A986)=1,C985*(1+questions!$C$12),C985),0)</f>
        <v>0</v>
      </c>
      <c r="D986" s="58">
        <f>IF(MONTH(A986)=12,C986*questions!$C$11,0)</f>
        <v>0</v>
      </c>
      <c r="E986" s="71">
        <f t="shared" si="2"/>
        <v>0</v>
      </c>
      <c r="F986" s="71">
        <f t="shared" si="3"/>
        <v>0</v>
      </c>
      <c r="G986" s="61">
        <f t="array" ref="G986">if(YEAR(A986)=2025,XLOOKUP(B986,Lookup!$A$3:$A$7,Lookup!$D$3:$D$7,,1)*SUM(E986:F986), XLOOKUP(B986,Lookup!$A$14:$A$18,Lookup!$D$14:$D$18,,1)*SUM(E986:F986))</f>
        <v>0</v>
      </c>
      <c r="H986" s="61">
        <f t="array" ref="H986">if(YEAR(A986)=2025,XLOOKUP(B986,Lookup!$F$3:$F$10,Lookup!$G$3:$G$10,,1)*G986, XLOOKUP(B986,Lookup!$F$14:$F$21,Lookup!$G$14:$G$21,,1)*G986)</f>
        <v>0</v>
      </c>
      <c r="I986" s="61">
        <f t="array" ref="I986">if(B986&lt;55, if(YEAR(A986)=2025,XLOOKUP(B986,Lookup!$F$3:$F$10,Lookup!$H$3:$H$10,,1)*G986, XLOOKUP(B986,Lookup!$F$14:$F$21,Lookup!$H$14:$H$21,,1)*G986),0)</f>
        <v>0</v>
      </c>
      <c r="J986" s="61">
        <f t="array" ref="J986">if(YEAR(A986)=2025,XLOOKUP(B986,Lookup!$F$3:$F$10,Lookup!$I$3:$I$10,,1)*G986, XLOOKUP(B986,Lookup!$F$14:$F$21,Lookup!$I$14:$I$21,,1)*G986)</f>
        <v>0</v>
      </c>
      <c r="K986" s="61">
        <f t="array" ref="K986">if(B986&gt;54, if(YEAR(A986)=2025,XLOOKUP(B986,Lookup!$F$3:$F$10,Lookup!$H$3:$H$10,,1)*G986, XLOOKUP(B986,Lookup!$F$14:$F$21,Lookup!$H$14:$H$21,,1)*G986),0)</f>
        <v>0</v>
      </c>
      <c r="L986" s="62">
        <f>IF(and(A986&lt;questions!$C$19,questions!$C$18="yes"),questions!$C$20,0)</f>
        <v>0</v>
      </c>
      <c r="M986" s="63">
        <f>(Y985+H986)*Lookup!A$26/12</f>
        <v>6115.07408</v>
      </c>
      <c r="N986" s="63">
        <f>if(B986&lt;55, (Z985+I986)*Lookup!B$26/12, (AB985+K986)*Lookup!B$26/12)</f>
        <v>17802.56953</v>
      </c>
      <c r="O986" s="63">
        <f>(AA985+J986)*Lookup!C$26/12</f>
        <v>940.3700287</v>
      </c>
      <c r="P986" s="63">
        <f t="shared" si="8"/>
        <v>12230.14816</v>
      </c>
      <c r="Q986" s="63">
        <f t="shared" si="4"/>
        <v>35605.13907</v>
      </c>
      <c r="R986" s="63">
        <f t="shared" si="5"/>
        <v>1880.740057</v>
      </c>
      <c r="S986" s="64">
        <f t="shared" si="9"/>
        <v>33.33333333</v>
      </c>
      <c r="T986" s="64">
        <f t="shared" si="10"/>
        <v>41.66666667</v>
      </c>
      <c r="U986" s="64">
        <f t="shared" si="11"/>
        <v>0</v>
      </c>
      <c r="V986" s="64">
        <f t="shared" ref="V986:X986" si="994">IF(year($A986)=year($A985), V985+S986, S986)</f>
        <v>66.66666667</v>
      </c>
      <c r="W986" s="64">
        <f t="shared" si="994"/>
        <v>83.33333333</v>
      </c>
      <c r="X986" s="64">
        <f t="shared" si="994"/>
        <v>0</v>
      </c>
      <c r="Y986" s="65">
        <f>IFS(
  B986&lt;55,
    MAX(
      Y985 + IF(MONTH(A986)=12, P986+V986, 0) + H986 - L986
      + MAX(0,
          IF(AA985 &gt;= VLOOKUP(YEAR(A986), Lookup!$Q:$R, 2),
            Z985 + IF(MONTH(A986)=12, Q986+W986, 0) + I986
              + AA985 + IF(MONTH(A986)=12, R986+X986, 0)
              - VLOOKUP(YEAR(A986), Lookup!$Q:$R, 2) + J986,
            Z985 + IF(MONTH(A986)=12, Q986+W986, 0) + I986
          ) - VLOOKUP(YEAR(A986), Lookup!$K:$M, 3)
        ),
    0),
  B986=55,
    IF(Z985&gt;=AD986,
      MAX(Y985 + IF(MONTH(A986)=12, P986+V986, 0) + H986 - L986, 0),
      MAX(MAX(0, Y985-(AD986-Z985)) + IF(MONTH(A986)=12, P986+V986, 0) + H986 - L986, 0)
    ),
  B986&gt;55,
    IF(AB985&gt;=$AH$7,
      MAX(Y985 + IF(MONTH(A986)=12, P986+V986, 0) + H986 - L986 + K986 + Z985, 0),
      MAX(Y985 + IF(MONTH(A986)=12, P986+V986, 0) + H986 - L986, 0)
    )
)</f>
        <v>2935235.559</v>
      </c>
      <c r="Z986" s="65">
        <f>IFS(
  B986&lt;55,
    MIN(
      IF(AA985 &gt;= VLOOKUP(YEAR(A986), Lookup!$Q:$R, 2),
        Z985 + IF(MONTH(A986)=12, Q986+W986, 0) + I986
          + AA985 + IF(MONTH(A986)=12, R986+X986, 0) - VLOOKUP(YEAR(A986), Lookup!$Q:$R, 2) + J986,
        Z985 + IF(MONTH(A986)=12, Q986+W986, 0) + I986
      ),
      VLOOKUP(YEAR(A986), Lookup!$K:$M, 3)
    ),
  B986=55,
    IF(Z985 &gt;= AD986, Z985 - AD986, 0),
  B986&gt;55, 0
)</f>
        <v>0</v>
      </c>
      <c r="AA986" s="65">
        <f>IFS(
  B986&lt;65,
    IF(AA985+J986 &lt; VLOOKUP(YEAR(A986), Lookup!$Q:$R, 2),
      AA985 + IF(MONTH(A986)=12, R985+X985, 0) + J986,
      MIN(
        AA985 + IF(MONTH(A986)=12, R985+X985, 0) + J986 ,
        VLOOKUP(YEAR(A986), Lookup!$Q:$R, 2)
      )
    ),
  B986&gt;=65,
    IF(AA985+J986 &lt; VLOOKUP(questions!$C$5, Lookup!$Q:$R, 2),
      AA985 + IF(MONTH(A986)=12, R985+X985, 0) + J986 ,
      MIN(
        AA985 + IF(MONTH(A986)=12, R985+X985, 0) + J986,
        VLOOKUP(questions!$C$5, Lookup!$Q:$R, 2)
      )
    )
)</f>
        <v>282111.0086</v>
      </c>
      <c r="AB986" s="65">
        <f t="shared" si="13"/>
        <v>5340770.86</v>
      </c>
      <c r="AC986" s="66">
        <f t="array" ref="AC986">IFS(B986&lt;66, XLOOKUP(year(A986),Lookup!$K$13:$K1000,Lookup!$L$13:$L1000,"missing",,1),B986&gt;65,XLOOKUP(questions!$C$5,Lookup!$K$13:$K1000,Lookup!$L$13:$L1000,"missing",,1))</f>
        <v>393675.3633</v>
      </c>
      <c r="AD986" s="66">
        <f t="array" ref="AD986">IFS(B986&lt;66, XLOOKUP(year(A986),Lookup!$K$13:$K1000,Lookup!$M$13:$M1000,"missing",,1),B986&gt;65, XLOOKUP(questions!$C$5,Lookup!$K$13:$K1000,Lookup!$M$13:$M1000,"missing",,1))</f>
        <v>787350.7266</v>
      </c>
      <c r="AE986" s="66">
        <f t="array" ref="AE986">IFS(B986&lt;66, XLOOKUP(year(A986),Lookup!$K$13:$K1000,Lookup!$N$13:$N1000,"missing",,1),B986&gt;65,XLOOKUP(questions!$C$5,Lookup!$K$13:$K1000,Lookup!$N$13:$N1000,"missing",,1))</f>
        <v>1574701.453</v>
      </c>
      <c r="AF986" s="37"/>
      <c r="AG986" s="37"/>
      <c r="AH986" s="37"/>
      <c r="AI986" s="37"/>
      <c r="AJ986" s="37"/>
      <c r="AK986" s="37"/>
      <c r="AL986" s="37"/>
      <c r="AM986" s="37"/>
      <c r="AN986" s="37"/>
      <c r="AO986" s="37"/>
      <c r="AP986" s="37"/>
      <c r="AQ986" s="37"/>
    </row>
    <row r="987">
      <c r="A987" s="55">
        <f t="shared" si="7"/>
        <v>76062</v>
      </c>
      <c r="B987" s="56">
        <f>round(YEARFRAC(EOMONTH(questions!$C$3, 0),A987,1),2)</f>
        <v>109.33</v>
      </c>
      <c r="C987" s="58">
        <f>IF(B987&lt;questions!$C$6,if(MONTH(A987)=1,C986*(1+questions!$C$12),C986),0)</f>
        <v>0</v>
      </c>
      <c r="D987" s="58">
        <f>IF(MONTH(A987)=12,C987*questions!$C$11,0)</f>
        <v>0</v>
      </c>
      <c r="E987" s="71">
        <f t="shared" si="2"/>
        <v>0</v>
      </c>
      <c r="F987" s="71">
        <f t="shared" si="3"/>
        <v>0</v>
      </c>
      <c r="G987" s="61">
        <f t="array" ref="G987">if(YEAR(A987)=2025,XLOOKUP(B987,Lookup!$A$3:$A$7,Lookup!$D$3:$D$7,,1)*SUM(E987:F987), XLOOKUP(B987,Lookup!$A$14:$A$18,Lookup!$D$14:$D$18,,1)*SUM(E987:F987))</f>
        <v>0</v>
      </c>
      <c r="H987" s="61">
        <f t="array" ref="H987">if(YEAR(A987)=2025,XLOOKUP(B987,Lookup!$F$3:$F$10,Lookup!$G$3:$G$10,,1)*G987, XLOOKUP(B987,Lookup!$F$14:$F$21,Lookup!$G$14:$G$21,,1)*G987)</f>
        <v>0</v>
      </c>
      <c r="I987" s="61">
        <f t="array" ref="I987">if(B987&lt;55, if(YEAR(A987)=2025,XLOOKUP(B987,Lookup!$F$3:$F$10,Lookup!$H$3:$H$10,,1)*G987, XLOOKUP(B987,Lookup!$F$14:$F$21,Lookup!$H$14:$H$21,,1)*G987),0)</f>
        <v>0</v>
      </c>
      <c r="J987" s="61">
        <f t="array" ref="J987">if(YEAR(A987)=2025,XLOOKUP(B987,Lookup!$F$3:$F$10,Lookup!$I$3:$I$10,,1)*G987, XLOOKUP(B987,Lookup!$F$14:$F$21,Lookup!$I$14:$I$21,,1)*G987)</f>
        <v>0</v>
      </c>
      <c r="K987" s="61">
        <f t="array" ref="K987">if(B987&gt;54, if(YEAR(A987)=2025,XLOOKUP(B987,Lookup!$F$3:$F$10,Lookup!$H$3:$H$10,,1)*G987, XLOOKUP(B987,Lookup!$F$14:$F$21,Lookup!$H$14:$H$21,,1)*G987),0)</f>
        <v>0</v>
      </c>
      <c r="L987" s="62">
        <f>IF(and(A987&lt;questions!$C$19,questions!$C$18="yes"),questions!$C$20,0)</f>
        <v>0</v>
      </c>
      <c r="M987" s="63">
        <f>(Y986+H987)*Lookup!A$26/12</f>
        <v>6115.07408</v>
      </c>
      <c r="N987" s="63">
        <f>if(B987&lt;55, (Z986+I987)*Lookup!B$26/12, (AB986+K987)*Lookup!B$26/12)</f>
        <v>17802.56953</v>
      </c>
      <c r="O987" s="63">
        <f>(AA986+J987)*Lookup!C$26/12</f>
        <v>940.3700287</v>
      </c>
      <c r="P987" s="63">
        <f t="shared" si="8"/>
        <v>18345.22224</v>
      </c>
      <c r="Q987" s="63">
        <f t="shared" si="4"/>
        <v>53407.7086</v>
      </c>
      <c r="R987" s="63">
        <f t="shared" si="5"/>
        <v>2821.110086</v>
      </c>
      <c r="S987" s="64">
        <f t="shared" si="9"/>
        <v>33.33333333</v>
      </c>
      <c r="T987" s="64">
        <f t="shared" si="10"/>
        <v>41.66666667</v>
      </c>
      <c r="U987" s="64">
        <f t="shared" si="11"/>
        <v>0</v>
      </c>
      <c r="V987" s="64">
        <f t="shared" ref="V987:X987" si="995">IF(year($A987)=year($A986), V986+S987, S987)</f>
        <v>100</v>
      </c>
      <c r="W987" s="64">
        <f t="shared" si="995"/>
        <v>125</v>
      </c>
      <c r="X987" s="64">
        <f t="shared" si="995"/>
        <v>0</v>
      </c>
      <c r="Y987" s="65">
        <f>IFS(
  B987&lt;55,
    MAX(
      Y986 + IF(MONTH(A987)=12, P987+V987, 0) + H987 - L987
      + MAX(0,
          IF(AA986 &gt;= VLOOKUP(YEAR(A987), Lookup!$Q:$R, 2),
            Z986 + IF(MONTH(A987)=12, Q987+W987, 0) + I987
              + AA986 + IF(MONTH(A987)=12, R987+X987, 0)
              - VLOOKUP(YEAR(A987), Lookup!$Q:$R, 2) + J987,
            Z986 + IF(MONTH(A987)=12, Q987+W987, 0) + I987
          ) - VLOOKUP(YEAR(A987), Lookup!$K:$M, 3)
        ),
    0),
  B987=55,
    IF(Z986&gt;=AD987,
      MAX(Y986 + IF(MONTH(A987)=12, P987+V987, 0) + H987 - L987, 0),
      MAX(MAX(0, Y986-(AD987-Z986)) + IF(MONTH(A987)=12, P987+V987, 0) + H987 - L987, 0)
    ),
  B987&gt;55,
    IF(AB986&gt;=$AH$7,
      MAX(Y986 + IF(MONTH(A987)=12, P987+V987, 0) + H987 - L987 + K987 + Z986, 0),
      MAX(Y986 + IF(MONTH(A987)=12, P987+V987, 0) + H987 - L987, 0)
    )
)</f>
        <v>2935235.559</v>
      </c>
      <c r="Z987" s="65">
        <f>IFS(
  B987&lt;55,
    MIN(
      IF(AA986 &gt;= VLOOKUP(YEAR(A987), Lookup!$Q:$R, 2),
        Z986 + IF(MONTH(A987)=12, Q987+W987, 0) + I987
          + AA986 + IF(MONTH(A987)=12, R987+X987, 0) - VLOOKUP(YEAR(A987), Lookup!$Q:$R, 2) + J987,
        Z986 + IF(MONTH(A987)=12, Q987+W987, 0) + I987
      ),
      VLOOKUP(YEAR(A987), Lookup!$K:$M, 3)
    ),
  B987=55,
    IF(Z986 &gt;= AD987, Z986 - AD987, 0),
  B987&gt;55, 0
)</f>
        <v>0</v>
      </c>
      <c r="AA987" s="65">
        <f>IFS(
  B987&lt;65,
    IF(AA986+J987 &lt; VLOOKUP(YEAR(A987), Lookup!$Q:$R, 2),
      AA986 + IF(MONTH(A987)=12, R986+X986, 0) + J987,
      MIN(
        AA986 + IF(MONTH(A987)=12, R986+X986, 0) + J987 ,
        VLOOKUP(YEAR(A987), Lookup!$Q:$R, 2)
      )
    ),
  B987&gt;=65,
    IF(AA986+J987 &lt; VLOOKUP(questions!$C$5, Lookup!$Q:$R, 2),
      AA986 + IF(MONTH(A987)=12, R986+X986, 0) + J987 ,
      MIN(
        AA986 + IF(MONTH(A987)=12, R986+X986, 0) + J987,
        VLOOKUP(questions!$C$5, Lookup!$Q:$R, 2)
      )
    )
)</f>
        <v>282111.0086</v>
      </c>
      <c r="AB987" s="65">
        <f t="shared" si="13"/>
        <v>5340770.86</v>
      </c>
      <c r="AC987" s="66">
        <f t="array" ref="AC987">IFS(B987&lt;66, XLOOKUP(year(A987),Lookup!$K$13:$K1000,Lookup!$L$13:$L1000,"missing",,1),B987&gt;65,XLOOKUP(questions!$C$5,Lookup!$K$13:$K1000,Lookup!$L$13:$L1000,"missing",,1))</f>
        <v>393675.3633</v>
      </c>
      <c r="AD987" s="66">
        <f t="array" ref="AD987">IFS(B987&lt;66, XLOOKUP(year(A987),Lookup!$K$13:$K1000,Lookup!$M$13:$M1000,"missing",,1),B987&gt;65, XLOOKUP(questions!$C$5,Lookup!$K$13:$K1000,Lookup!$M$13:$M1000,"missing",,1))</f>
        <v>787350.7266</v>
      </c>
      <c r="AE987" s="66">
        <f t="array" ref="AE987">IFS(B987&lt;66, XLOOKUP(year(A987),Lookup!$K$13:$K1000,Lookup!$N$13:$N1000,"missing",,1),B987&gt;65,XLOOKUP(questions!$C$5,Lookup!$K$13:$K1000,Lookup!$N$13:$N1000,"missing",,1))</f>
        <v>1574701.453</v>
      </c>
      <c r="AF987" s="37"/>
      <c r="AG987" s="37"/>
      <c r="AH987" s="37"/>
      <c r="AI987" s="37"/>
      <c r="AJ987" s="37"/>
      <c r="AK987" s="37"/>
      <c r="AL987" s="37"/>
      <c r="AM987" s="37"/>
      <c r="AN987" s="37"/>
      <c r="AO987" s="37"/>
      <c r="AP987" s="37"/>
      <c r="AQ987" s="37"/>
    </row>
    <row r="988">
      <c r="A988" s="55">
        <f t="shared" si="7"/>
        <v>76092</v>
      </c>
      <c r="B988" s="56">
        <f>round(YEARFRAC(EOMONTH(questions!$C$3, 0),A988,1),2)</f>
        <v>109.42</v>
      </c>
      <c r="C988" s="58">
        <f>IF(B988&lt;questions!$C$6,if(MONTH(A988)=1,C987*(1+questions!$C$12),C987),0)</f>
        <v>0</v>
      </c>
      <c r="D988" s="58">
        <f>IF(MONTH(A988)=12,C988*questions!$C$11,0)</f>
        <v>0</v>
      </c>
      <c r="E988" s="71">
        <f t="shared" si="2"/>
        <v>0</v>
      </c>
      <c r="F988" s="71">
        <f t="shared" si="3"/>
        <v>0</v>
      </c>
      <c r="G988" s="61">
        <f t="array" ref="G988">if(YEAR(A988)=2025,XLOOKUP(B988,Lookup!$A$3:$A$7,Lookup!$D$3:$D$7,,1)*SUM(E988:F988), XLOOKUP(B988,Lookup!$A$14:$A$18,Lookup!$D$14:$D$18,,1)*SUM(E988:F988))</f>
        <v>0</v>
      </c>
      <c r="H988" s="61">
        <f t="array" ref="H988">if(YEAR(A988)=2025,XLOOKUP(B988,Lookup!$F$3:$F$10,Lookup!$G$3:$G$10,,1)*G988, XLOOKUP(B988,Lookup!$F$14:$F$21,Lookup!$G$14:$G$21,,1)*G988)</f>
        <v>0</v>
      </c>
      <c r="I988" s="61">
        <f t="array" ref="I988">if(B988&lt;55, if(YEAR(A988)=2025,XLOOKUP(B988,Lookup!$F$3:$F$10,Lookup!$H$3:$H$10,,1)*G988, XLOOKUP(B988,Lookup!$F$14:$F$21,Lookup!$H$14:$H$21,,1)*G988),0)</f>
        <v>0</v>
      </c>
      <c r="J988" s="61">
        <f t="array" ref="J988">if(YEAR(A988)=2025,XLOOKUP(B988,Lookup!$F$3:$F$10,Lookup!$I$3:$I$10,,1)*G988, XLOOKUP(B988,Lookup!$F$14:$F$21,Lookup!$I$14:$I$21,,1)*G988)</f>
        <v>0</v>
      </c>
      <c r="K988" s="61">
        <f t="array" ref="K988">if(B988&gt;54, if(YEAR(A988)=2025,XLOOKUP(B988,Lookup!$F$3:$F$10,Lookup!$H$3:$H$10,,1)*G988, XLOOKUP(B988,Lookup!$F$14:$F$21,Lookup!$H$14:$H$21,,1)*G988),0)</f>
        <v>0</v>
      </c>
      <c r="L988" s="62">
        <f>IF(and(A988&lt;questions!$C$19,questions!$C$18="yes"),questions!$C$20,0)</f>
        <v>0</v>
      </c>
      <c r="M988" s="63">
        <f>(Y987+H988)*Lookup!A$26/12</f>
        <v>6115.07408</v>
      </c>
      <c r="N988" s="63">
        <f>if(B988&lt;55, (Z987+I988)*Lookup!B$26/12, (AB987+K988)*Lookup!B$26/12)</f>
        <v>17802.56953</v>
      </c>
      <c r="O988" s="63">
        <f>(AA987+J988)*Lookup!C$26/12</f>
        <v>940.3700287</v>
      </c>
      <c r="P988" s="63">
        <f t="shared" si="8"/>
        <v>24460.29632</v>
      </c>
      <c r="Q988" s="63">
        <f t="shared" si="4"/>
        <v>71210.27813</v>
      </c>
      <c r="R988" s="63">
        <f t="shared" si="5"/>
        <v>3761.480115</v>
      </c>
      <c r="S988" s="64">
        <f t="shared" si="9"/>
        <v>33.33333333</v>
      </c>
      <c r="T988" s="64">
        <f t="shared" si="10"/>
        <v>41.66666667</v>
      </c>
      <c r="U988" s="64">
        <f t="shared" si="11"/>
        <v>0</v>
      </c>
      <c r="V988" s="64">
        <f t="shared" ref="V988:X988" si="996">IF(year($A988)=year($A987), V987+S988, S988)</f>
        <v>133.3333333</v>
      </c>
      <c r="W988" s="64">
        <f t="shared" si="996"/>
        <v>166.6666667</v>
      </c>
      <c r="X988" s="64">
        <f t="shared" si="996"/>
        <v>0</v>
      </c>
      <c r="Y988" s="65">
        <f>IFS(
  B988&lt;55,
    MAX(
      Y987 + IF(MONTH(A988)=12, P988+V988, 0) + H988 - L988
      + MAX(0,
          IF(AA987 &gt;= VLOOKUP(YEAR(A988), Lookup!$Q:$R, 2),
            Z987 + IF(MONTH(A988)=12, Q988+W988, 0) + I988
              + AA987 + IF(MONTH(A988)=12, R988+X988, 0)
              - VLOOKUP(YEAR(A988), Lookup!$Q:$R, 2) + J988,
            Z987 + IF(MONTH(A988)=12, Q988+W988, 0) + I988
          ) - VLOOKUP(YEAR(A988), Lookup!$K:$M, 3)
        ),
    0),
  B988=55,
    IF(Z987&gt;=AD988,
      MAX(Y987 + IF(MONTH(A988)=12, P988+V988, 0) + H988 - L988, 0),
      MAX(MAX(0, Y987-(AD988-Z987)) + IF(MONTH(A988)=12, P988+V988, 0) + H988 - L988, 0)
    ),
  B988&gt;55,
    IF(AB987&gt;=$AH$7,
      MAX(Y987 + IF(MONTH(A988)=12, P988+V988, 0) + H988 - L988 + K988 + Z987, 0),
      MAX(Y987 + IF(MONTH(A988)=12, P988+V988, 0) + H988 - L988, 0)
    )
)</f>
        <v>2935235.559</v>
      </c>
      <c r="Z988" s="65">
        <f>IFS(
  B988&lt;55,
    MIN(
      IF(AA987 &gt;= VLOOKUP(YEAR(A988), Lookup!$Q:$R, 2),
        Z987 + IF(MONTH(A988)=12, Q988+W988, 0) + I988
          + AA987 + IF(MONTH(A988)=12, R988+X988, 0) - VLOOKUP(YEAR(A988), Lookup!$Q:$R, 2) + J988,
        Z987 + IF(MONTH(A988)=12, Q988+W988, 0) + I988
      ),
      VLOOKUP(YEAR(A988), Lookup!$K:$M, 3)
    ),
  B988=55,
    IF(Z987 &gt;= AD988, Z987 - AD988, 0),
  B988&gt;55, 0
)</f>
        <v>0</v>
      </c>
      <c r="AA988" s="65">
        <f>IFS(
  B988&lt;65,
    IF(AA987+J988 &lt; VLOOKUP(YEAR(A988), Lookup!$Q:$R, 2),
      AA987 + IF(MONTH(A988)=12, R987+X987, 0) + J988,
      MIN(
        AA987 + IF(MONTH(A988)=12, R987+X987, 0) + J988 ,
        VLOOKUP(YEAR(A988), Lookup!$Q:$R, 2)
      )
    ),
  B988&gt;=65,
    IF(AA987+J988 &lt; VLOOKUP(questions!$C$5, Lookup!$Q:$R, 2),
      AA987 + IF(MONTH(A988)=12, R987+X987, 0) + J988 ,
      MIN(
        AA987 + IF(MONTH(A988)=12, R987+X987, 0) + J988,
        VLOOKUP(questions!$C$5, Lookup!$Q:$R, 2)
      )
    )
)</f>
        <v>282111.0086</v>
      </c>
      <c r="AB988" s="65">
        <f t="shared" si="13"/>
        <v>5340770.86</v>
      </c>
      <c r="AC988" s="66">
        <f t="array" ref="AC988">IFS(B988&lt;66, XLOOKUP(year(A988),Lookup!$K$13:$K1000,Lookup!$L$13:$L1000,"missing",,1),B988&gt;65,XLOOKUP(questions!$C$5,Lookup!$K$13:$K1000,Lookup!$L$13:$L1000,"missing",,1))</f>
        <v>393675.3633</v>
      </c>
      <c r="AD988" s="66">
        <f t="array" ref="AD988">IFS(B988&lt;66, XLOOKUP(year(A988),Lookup!$K$13:$K1000,Lookup!$M$13:$M1000,"missing",,1),B988&gt;65, XLOOKUP(questions!$C$5,Lookup!$K$13:$K1000,Lookup!$M$13:$M1000,"missing",,1))</f>
        <v>787350.7266</v>
      </c>
      <c r="AE988" s="66">
        <f t="array" ref="AE988">IFS(B988&lt;66, XLOOKUP(year(A988),Lookup!$K$13:$K1000,Lookup!$N$13:$N1000,"missing",,1),B988&gt;65,XLOOKUP(questions!$C$5,Lookup!$K$13:$K1000,Lookup!$N$13:$N1000,"missing",,1))</f>
        <v>1574701.453</v>
      </c>
      <c r="AF988" s="37"/>
      <c r="AG988" s="37"/>
      <c r="AH988" s="37"/>
      <c r="AI988" s="37"/>
      <c r="AJ988" s="37"/>
      <c r="AK988" s="37"/>
      <c r="AL988" s="37"/>
      <c r="AM988" s="37"/>
      <c r="AN988" s="37"/>
      <c r="AO988" s="37"/>
      <c r="AP988" s="37"/>
      <c r="AQ988" s="37"/>
    </row>
    <row r="989">
      <c r="A989" s="55">
        <f t="shared" si="7"/>
        <v>76123</v>
      </c>
      <c r="B989" s="56">
        <f>round(YEARFRAC(EOMONTH(questions!$C$3, 0),A989,1),2)</f>
        <v>109.5</v>
      </c>
      <c r="C989" s="58">
        <f>IF(B989&lt;questions!$C$6,if(MONTH(A989)=1,C988*(1+questions!$C$12),C988),0)</f>
        <v>0</v>
      </c>
      <c r="D989" s="58">
        <f>IF(MONTH(A989)=12,C989*questions!$C$11,0)</f>
        <v>0</v>
      </c>
      <c r="E989" s="71">
        <f t="shared" si="2"/>
        <v>0</v>
      </c>
      <c r="F989" s="71">
        <f t="shared" si="3"/>
        <v>0</v>
      </c>
      <c r="G989" s="61">
        <f t="array" ref="G989">if(YEAR(A989)=2025,XLOOKUP(B989,Lookup!$A$3:$A$7,Lookup!$D$3:$D$7,,1)*SUM(E989:F989), XLOOKUP(B989,Lookup!$A$14:$A$18,Lookup!$D$14:$D$18,,1)*SUM(E989:F989))</f>
        <v>0</v>
      </c>
      <c r="H989" s="61">
        <f t="array" ref="H989">if(YEAR(A989)=2025,XLOOKUP(B989,Lookup!$F$3:$F$10,Lookup!$G$3:$G$10,,1)*G989, XLOOKUP(B989,Lookup!$F$14:$F$21,Lookup!$G$14:$G$21,,1)*G989)</f>
        <v>0</v>
      </c>
      <c r="I989" s="61">
        <f t="array" ref="I989">if(B989&lt;55, if(YEAR(A989)=2025,XLOOKUP(B989,Lookup!$F$3:$F$10,Lookup!$H$3:$H$10,,1)*G989, XLOOKUP(B989,Lookup!$F$14:$F$21,Lookup!$H$14:$H$21,,1)*G989),0)</f>
        <v>0</v>
      </c>
      <c r="J989" s="61">
        <f t="array" ref="J989">if(YEAR(A989)=2025,XLOOKUP(B989,Lookup!$F$3:$F$10,Lookup!$I$3:$I$10,,1)*G989, XLOOKUP(B989,Lookup!$F$14:$F$21,Lookup!$I$14:$I$21,,1)*G989)</f>
        <v>0</v>
      </c>
      <c r="K989" s="61">
        <f t="array" ref="K989">if(B989&gt;54, if(YEAR(A989)=2025,XLOOKUP(B989,Lookup!$F$3:$F$10,Lookup!$H$3:$H$10,,1)*G989, XLOOKUP(B989,Lookup!$F$14:$F$21,Lookup!$H$14:$H$21,,1)*G989),0)</f>
        <v>0</v>
      </c>
      <c r="L989" s="62">
        <f>IF(and(A989&lt;questions!$C$19,questions!$C$18="yes"),questions!$C$20,0)</f>
        <v>0</v>
      </c>
      <c r="M989" s="63">
        <f>(Y988+H989)*Lookup!A$26/12</f>
        <v>6115.07408</v>
      </c>
      <c r="N989" s="63">
        <f>if(B989&lt;55, (Z988+I989)*Lookup!B$26/12, (AB988+K989)*Lookup!B$26/12)</f>
        <v>17802.56953</v>
      </c>
      <c r="O989" s="63">
        <f>(AA988+J989)*Lookup!C$26/12</f>
        <v>940.3700287</v>
      </c>
      <c r="P989" s="63">
        <f t="shared" si="8"/>
        <v>30575.3704</v>
      </c>
      <c r="Q989" s="63">
        <f t="shared" si="4"/>
        <v>89012.84766</v>
      </c>
      <c r="R989" s="63">
        <f t="shared" si="5"/>
        <v>4701.850143</v>
      </c>
      <c r="S989" s="64">
        <f t="shared" si="9"/>
        <v>33.33333333</v>
      </c>
      <c r="T989" s="64">
        <f t="shared" si="10"/>
        <v>41.66666667</v>
      </c>
      <c r="U989" s="64">
        <f t="shared" si="11"/>
        <v>0</v>
      </c>
      <c r="V989" s="64">
        <f t="shared" ref="V989:X989" si="997">IF(year($A989)=year($A988), V988+S989, S989)</f>
        <v>166.6666667</v>
      </c>
      <c r="W989" s="64">
        <f t="shared" si="997"/>
        <v>208.3333333</v>
      </c>
      <c r="X989" s="64">
        <f t="shared" si="997"/>
        <v>0</v>
      </c>
      <c r="Y989" s="65">
        <f>IFS(
  B989&lt;55,
    MAX(
      Y988 + IF(MONTH(A989)=12, P989+V989, 0) + H989 - L989
      + MAX(0,
          IF(AA988 &gt;= VLOOKUP(YEAR(A989), Lookup!$Q:$R, 2),
            Z988 + IF(MONTH(A989)=12, Q989+W989, 0) + I989
              + AA988 + IF(MONTH(A989)=12, R989+X989, 0)
              - VLOOKUP(YEAR(A989), Lookup!$Q:$R, 2) + J989,
            Z988 + IF(MONTH(A989)=12, Q989+W989, 0) + I989
          ) - VLOOKUP(YEAR(A989), Lookup!$K:$M, 3)
        ),
    0),
  B989=55,
    IF(Z988&gt;=AD989,
      MAX(Y988 + IF(MONTH(A989)=12, P989+V989, 0) + H989 - L989, 0),
      MAX(MAX(0, Y988-(AD989-Z988)) + IF(MONTH(A989)=12, P989+V989, 0) + H989 - L989, 0)
    ),
  B989&gt;55,
    IF(AB988&gt;=$AH$7,
      MAX(Y988 + IF(MONTH(A989)=12, P989+V989, 0) + H989 - L989 + K989 + Z988, 0),
      MAX(Y988 + IF(MONTH(A989)=12, P989+V989, 0) + H989 - L989, 0)
    )
)</f>
        <v>2935235.559</v>
      </c>
      <c r="Z989" s="65">
        <f>IFS(
  B989&lt;55,
    MIN(
      IF(AA988 &gt;= VLOOKUP(YEAR(A989), Lookup!$Q:$R, 2),
        Z988 + IF(MONTH(A989)=12, Q989+W989, 0) + I989
          + AA988 + IF(MONTH(A989)=12, R989+X989, 0) - VLOOKUP(YEAR(A989), Lookup!$Q:$R, 2) + J989,
        Z988 + IF(MONTH(A989)=12, Q989+W989, 0) + I989
      ),
      VLOOKUP(YEAR(A989), Lookup!$K:$M, 3)
    ),
  B989=55,
    IF(Z988 &gt;= AD989, Z988 - AD989, 0),
  B989&gt;55, 0
)</f>
        <v>0</v>
      </c>
      <c r="AA989" s="65">
        <f>IFS(
  B989&lt;65,
    IF(AA988+J989 &lt; VLOOKUP(YEAR(A989), Lookup!$Q:$R, 2),
      AA988 + IF(MONTH(A989)=12, R988+X988, 0) + J989,
      MIN(
        AA988 + IF(MONTH(A989)=12, R988+X988, 0) + J989 ,
        VLOOKUP(YEAR(A989), Lookup!$Q:$R, 2)
      )
    ),
  B989&gt;=65,
    IF(AA988+J989 &lt; VLOOKUP(questions!$C$5, Lookup!$Q:$R, 2),
      AA988 + IF(MONTH(A989)=12, R988+X988, 0) + J989 ,
      MIN(
        AA988 + IF(MONTH(A989)=12, R988+X988, 0) + J989,
        VLOOKUP(questions!$C$5, Lookup!$Q:$R, 2)
      )
    )
)</f>
        <v>282111.0086</v>
      </c>
      <c r="AB989" s="65">
        <f t="shared" si="13"/>
        <v>5340770.86</v>
      </c>
      <c r="AC989" s="66">
        <f t="array" ref="AC989">IFS(B989&lt;66, XLOOKUP(year(A989),Lookup!$K$13:$K1000,Lookup!$L$13:$L1000,"missing",,1),B989&gt;65,XLOOKUP(questions!$C$5,Lookup!$K$13:$K1000,Lookup!$L$13:$L1000,"missing",,1))</f>
        <v>393675.3633</v>
      </c>
      <c r="AD989" s="66">
        <f t="array" ref="AD989">IFS(B989&lt;66, XLOOKUP(year(A989),Lookup!$K$13:$K1000,Lookup!$M$13:$M1000,"missing",,1),B989&gt;65, XLOOKUP(questions!$C$5,Lookup!$K$13:$K1000,Lookup!$M$13:$M1000,"missing",,1))</f>
        <v>787350.7266</v>
      </c>
      <c r="AE989" s="66">
        <f t="array" ref="AE989">IFS(B989&lt;66, XLOOKUP(year(A989),Lookup!$K$13:$K1000,Lookup!$N$13:$N1000,"missing",,1),B989&gt;65,XLOOKUP(questions!$C$5,Lookup!$K$13:$K1000,Lookup!$N$13:$N1000,"missing",,1))</f>
        <v>1574701.453</v>
      </c>
      <c r="AF989" s="37"/>
      <c r="AG989" s="37"/>
      <c r="AH989" s="37"/>
      <c r="AI989" s="37"/>
      <c r="AJ989" s="37"/>
      <c r="AK989" s="37"/>
      <c r="AL989" s="37"/>
      <c r="AM989" s="37"/>
      <c r="AN989" s="37"/>
      <c r="AO989" s="37"/>
      <c r="AP989" s="37"/>
      <c r="AQ989" s="37"/>
    </row>
    <row r="990">
      <c r="A990" s="55">
        <f t="shared" si="7"/>
        <v>76153</v>
      </c>
      <c r="B990" s="56">
        <f>round(YEARFRAC(EOMONTH(questions!$C$3, 0),A990,1),2)</f>
        <v>109.58</v>
      </c>
      <c r="C990" s="58">
        <f>IF(B990&lt;questions!$C$6,if(MONTH(A990)=1,C989*(1+questions!$C$12),C989),0)</f>
        <v>0</v>
      </c>
      <c r="D990" s="58">
        <f>IF(MONTH(A990)=12,C990*questions!$C$11,0)</f>
        <v>0</v>
      </c>
      <c r="E990" s="71">
        <f t="shared" si="2"/>
        <v>0</v>
      </c>
      <c r="F990" s="71">
        <f t="shared" si="3"/>
        <v>0</v>
      </c>
      <c r="G990" s="61">
        <f t="array" ref="G990">if(YEAR(A990)=2025,XLOOKUP(B990,Lookup!$A$3:$A$7,Lookup!$D$3:$D$7,,1)*SUM(E990:F990), XLOOKUP(B990,Lookup!$A$14:$A$18,Lookup!$D$14:$D$18,,1)*SUM(E990:F990))</f>
        <v>0</v>
      </c>
      <c r="H990" s="61">
        <f t="array" ref="H990">if(YEAR(A990)=2025,XLOOKUP(B990,Lookup!$F$3:$F$10,Lookup!$G$3:$G$10,,1)*G990, XLOOKUP(B990,Lookup!$F$14:$F$21,Lookup!$G$14:$G$21,,1)*G990)</f>
        <v>0</v>
      </c>
      <c r="I990" s="61">
        <f t="array" ref="I990">if(B990&lt;55, if(YEAR(A990)=2025,XLOOKUP(B990,Lookup!$F$3:$F$10,Lookup!$H$3:$H$10,,1)*G990, XLOOKUP(B990,Lookup!$F$14:$F$21,Lookup!$H$14:$H$21,,1)*G990),0)</f>
        <v>0</v>
      </c>
      <c r="J990" s="61">
        <f t="array" ref="J990">if(YEAR(A990)=2025,XLOOKUP(B990,Lookup!$F$3:$F$10,Lookup!$I$3:$I$10,,1)*G990, XLOOKUP(B990,Lookup!$F$14:$F$21,Lookup!$I$14:$I$21,,1)*G990)</f>
        <v>0</v>
      </c>
      <c r="K990" s="61">
        <f t="array" ref="K990">if(B990&gt;54, if(YEAR(A990)=2025,XLOOKUP(B990,Lookup!$F$3:$F$10,Lookup!$H$3:$H$10,,1)*G990, XLOOKUP(B990,Lookup!$F$14:$F$21,Lookup!$H$14:$H$21,,1)*G990),0)</f>
        <v>0</v>
      </c>
      <c r="L990" s="62">
        <f>IF(and(A990&lt;questions!$C$19,questions!$C$18="yes"),questions!$C$20,0)</f>
        <v>0</v>
      </c>
      <c r="M990" s="63">
        <f>(Y989+H990)*Lookup!A$26/12</f>
        <v>6115.07408</v>
      </c>
      <c r="N990" s="63">
        <f>if(B990&lt;55, (Z989+I990)*Lookup!B$26/12, (AB989+K990)*Lookup!B$26/12)</f>
        <v>17802.56953</v>
      </c>
      <c r="O990" s="63">
        <f>(AA989+J990)*Lookup!C$26/12</f>
        <v>940.3700287</v>
      </c>
      <c r="P990" s="63">
        <f t="shared" si="8"/>
        <v>36690.44448</v>
      </c>
      <c r="Q990" s="63">
        <f t="shared" si="4"/>
        <v>106815.4172</v>
      </c>
      <c r="R990" s="63">
        <f t="shared" si="5"/>
        <v>5642.220172</v>
      </c>
      <c r="S990" s="64">
        <f t="shared" si="9"/>
        <v>33.33333333</v>
      </c>
      <c r="T990" s="64">
        <f t="shared" si="10"/>
        <v>41.66666667</v>
      </c>
      <c r="U990" s="64">
        <f t="shared" si="11"/>
        <v>0</v>
      </c>
      <c r="V990" s="64">
        <f t="shared" ref="V990:X990" si="998">IF(year($A990)=year($A989), V989+S990, S990)</f>
        <v>200</v>
      </c>
      <c r="W990" s="64">
        <f t="shared" si="998"/>
        <v>250</v>
      </c>
      <c r="X990" s="64">
        <f t="shared" si="998"/>
        <v>0</v>
      </c>
      <c r="Y990" s="65">
        <f>IFS(
  B990&lt;55,
    MAX(
      Y989 + IF(MONTH(A990)=12, P990+V990, 0) + H990 - L990
      + MAX(0,
          IF(AA989 &gt;= VLOOKUP(YEAR(A990), Lookup!$Q:$R, 2),
            Z989 + IF(MONTH(A990)=12, Q990+W990, 0) + I990
              + AA989 + IF(MONTH(A990)=12, R990+X990, 0)
              - VLOOKUP(YEAR(A990), Lookup!$Q:$R, 2) + J990,
            Z989 + IF(MONTH(A990)=12, Q990+W990, 0) + I990
          ) - VLOOKUP(YEAR(A990), Lookup!$K:$M, 3)
        ),
    0),
  B990=55,
    IF(Z989&gt;=AD990,
      MAX(Y989 + IF(MONTH(A990)=12, P990+V990, 0) + H990 - L990, 0),
      MAX(MAX(0, Y989-(AD990-Z989)) + IF(MONTH(A990)=12, P990+V990, 0) + H990 - L990, 0)
    ),
  B990&gt;55,
    IF(AB989&gt;=$AH$7,
      MAX(Y989 + IF(MONTH(A990)=12, P990+V990, 0) + H990 - L990 + K990 + Z989, 0),
      MAX(Y989 + IF(MONTH(A990)=12, P990+V990, 0) + H990 - L990, 0)
    )
)</f>
        <v>2935235.559</v>
      </c>
      <c r="Z990" s="65">
        <f>IFS(
  B990&lt;55,
    MIN(
      IF(AA989 &gt;= VLOOKUP(YEAR(A990), Lookup!$Q:$R, 2),
        Z989 + IF(MONTH(A990)=12, Q990+W990, 0) + I990
          + AA989 + IF(MONTH(A990)=12, R990+X990, 0) - VLOOKUP(YEAR(A990), Lookup!$Q:$R, 2) + J990,
        Z989 + IF(MONTH(A990)=12, Q990+W990, 0) + I990
      ),
      VLOOKUP(YEAR(A990), Lookup!$K:$M, 3)
    ),
  B990=55,
    IF(Z989 &gt;= AD990, Z989 - AD990, 0),
  B990&gt;55, 0
)</f>
        <v>0</v>
      </c>
      <c r="AA990" s="65">
        <f>IFS(
  B990&lt;65,
    IF(AA989+J990 &lt; VLOOKUP(YEAR(A990), Lookup!$Q:$R, 2),
      AA989 + IF(MONTH(A990)=12, R989+X989, 0) + J990,
      MIN(
        AA989 + IF(MONTH(A990)=12, R989+X989, 0) + J990 ,
        VLOOKUP(YEAR(A990), Lookup!$Q:$R, 2)
      )
    ),
  B990&gt;=65,
    IF(AA989+J990 &lt; VLOOKUP(questions!$C$5, Lookup!$Q:$R, 2),
      AA989 + IF(MONTH(A990)=12, R989+X989, 0) + J990 ,
      MIN(
        AA989 + IF(MONTH(A990)=12, R989+X989, 0) + J990,
        VLOOKUP(questions!$C$5, Lookup!$Q:$R, 2)
      )
    )
)</f>
        <v>282111.0086</v>
      </c>
      <c r="AB990" s="65">
        <f t="shared" si="13"/>
        <v>5340770.86</v>
      </c>
      <c r="AC990" s="66">
        <f t="array" ref="AC990">IFS(B990&lt;66, XLOOKUP(year(A990),Lookup!$K$13:$K1000,Lookup!$L$13:$L1000,"missing",,1),B990&gt;65,XLOOKUP(questions!$C$5,Lookup!$K$13:$K1000,Lookup!$L$13:$L1000,"missing",,1))</f>
        <v>393675.3633</v>
      </c>
      <c r="AD990" s="66">
        <f t="array" ref="AD990">IFS(B990&lt;66, XLOOKUP(year(A990),Lookup!$K$13:$K1000,Lookup!$M$13:$M1000,"missing",,1),B990&gt;65, XLOOKUP(questions!$C$5,Lookup!$K$13:$K1000,Lookup!$M$13:$M1000,"missing",,1))</f>
        <v>787350.7266</v>
      </c>
      <c r="AE990" s="66">
        <f t="array" ref="AE990">IFS(B990&lt;66, XLOOKUP(year(A990),Lookup!$K$13:$K1000,Lookup!$N$13:$N1000,"missing",,1),B990&gt;65,XLOOKUP(questions!$C$5,Lookup!$K$13:$K1000,Lookup!$N$13:$N1000,"missing",,1))</f>
        <v>1574701.453</v>
      </c>
      <c r="AF990" s="37"/>
      <c r="AG990" s="37"/>
      <c r="AH990" s="37"/>
      <c r="AI990" s="37"/>
      <c r="AJ990" s="37"/>
      <c r="AK990" s="37"/>
      <c r="AL990" s="37"/>
      <c r="AM990" s="37"/>
      <c r="AN990" s="37"/>
      <c r="AO990" s="37"/>
      <c r="AP990" s="37"/>
      <c r="AQ990" s="37"/>
    </row>
    <row r="991">
      <c r="A991" s="55">
        <f t="shared" si="7"/>
        <v>76184</v>
      </c>
      <c r="B991" s="56">
        <f>round(YEARFRAC(EOMONTH(questions!$C$3, 0),A991,1),2)</f>
        <v>109.67</v>
      </c>
      <c r="C991" s="58">
        <f>IF(B991&lt;questions!$C$6,if(MONTH(A991)=1,C990*(1+questions!$C$12),C990),0)</f>
        <v>0</v>
      </c>
      <c r="D991" s="58">
        <f>IF(MONTH(A991)=12,C991*questions!$C$11,0)</f>
        <v>0</v>
      </c>
      <c r="E991" s="71">
        <f t="shared" si="2"/>
        <v>0</v>
      </c>
      <c r="F991" s="71">
        <f t="shared" si="3"/>
        <v>0</v>
      </c>
      <c r="G991" s="61">
        <f t="array" ref="G991">if(YEAR(A991)=2025,XLOOKUP(B991,Lookup!$A$3:$A$7,Lookup!$D$3:$D$7,,1)*SUM(E991:F991), XLOOKUP(B991,Lookup!$A$14:$A$18,Lookup!$D$14:$D$18,,1)*SUM(E991:F991))</f>
        <v>0</v>
      </c>
      <c r="H991" s="61">
        <f t="array" ref="H991">if(YEAR(A991)=2025,XLOOKUP(B991,Lookup!$F$3:$F$10,Lookup!$G$3:$G$10,,1)*G991, XLOOKUP(B991,Lookup!$F$14:$F$21,Lookup!$G$14:$G$21,,1)*G991)</f>
        <v>0</v>
      </c>
      <c r="I991" s="61">
        <f t="array" ref="I991">if(B991&lt;55, if(YEAR(A991)=2025,XLOOKUP(B991,Lookup!$F$3:$F$10,Lookup!$H$3:$H$10,,1)*G991, XLOOKUP(B991,Lookup!$F$14:$F$21,Lookup!$H$14:$H$21,,1)*G991),0)</f>
        <v>0</v>
      </c>
      <c r="J991" s="61">
        <f t="array" ref="J991">if(YEAR(A991)=2025,XLOOKUP(B991,Lookup!$F$3:$F$10,Lookup!$I$3:$I$10,,1)*G991, XLOOKUP(B991,Lookup!$F$14:$F$21,Lookup!$I$14:$I$21,,1)*G991)</f>
        <v>0</v>
      </c>
      <c r="K991" s="61">
        <f t="array" ref="K991">if(B991&gt;54, if(YEAR(A991)=2025,XLOOKUP(B991,Lookup!$F$3:$F$10,Lookup!$H$3:$H$10,,1)*G991, XLOOKUP(B991,Lookup!$F$14:$F$21,Lookup!$H$14:$H$21,,1)*G991),0)</f>
        <v>0</v>
      </c>
      <c r="L991" s="62">
        <f>IF(and(A991&lt;questions!$C$19,questions!$C$18="yes"),questions!$C$20,0)</f>
        <v>0</v>
      </c>
      <c r="M991" s="63">
        <f>(Y990+H991)*Lookup!A$26/12</f>
        <v>6115.07408</v>
      </c>
      <c r="N991" s="63">
        <f>if(B991&lt;55, (Z990+I991)*Lookup!B$26/12, (AB990+K991)*Lookup!B$26/12)</f>
        <v>17802.56953</v>
      </c>
      <c r="O991" s="63">
        <f>(AA990+J991)*Lookup!C$26/12</f>
        <v>940.3700287</v>
      </c>
      <c r="P991" s="63">
        <f t="shared" si="8"/>
        <v>42805.51856</v>
      </c>
      <c r="Q991" s="63">
        <f t="shared" si="4"/>
        <v>124617.9867</v>
      </c>
      <c r="R991" s="63">
        <f t="shared" si="5"/>
        <v>6582.590201</v>
      </c>
      <c r="S991" s="64">
        <f t="shared" si="9"/>
        <v>33.33333333</v>
      </c>
      <c r="T991" s="64">
        <f t="shared" si="10"/>
        <v>41.66666667</v>
      </c>
      <c r="U991" s="64">
        <f t="shared" si="11"/>
        <v>0</v>
      </c>
      <c r="V991" s="64">
        <f t="shared" ref="V991:X991" si="999">IF(year($A991)=year($A990), V990+S991, S991)</f>
        <v>233.3333333</v>
      </c>
      <c r="W991" s="64">
        <f t="shared" si="999"/>
        <v>291.6666667</v>
      </c>
      <c r="X991" s="64">
        <f t="shared" si="999"/>
        <v>0</v>
      </c>
      <c r="Y991" s="65">
        <f>IFS(
  B991&lt;55,
    MAX(
      Y990 + IF(MONTH(A991)=12, P991+V991, 0) + H991 - L991
      + MAX(0,
          IF(AA990 &gt;= VLOOKUP(YEAR(A991), Lookup!$Q:$R, 2),
            Z990 + IF(MONTH(A991)=12, Q991+W991, 0) + I991
              + AA990 + IF(MONTH(A991)=12, R991+X991, 0)
              - VLOOKUP(YEAR(A991), Lookup!$Q:$R, 2) + J991,
            Z990 + IF(MONTH(A991)=12, Q991+W991, 0) + I991
          ) - VLOOKUP(YEAR(A991), Lookup!$K:$M, 3)
        ),
    0),
  B991=55,
    IF(Z990&gt;=AD991,
      MAX(Y990 + IF(MONTH(A991)=12, P991+V991, 0) + H991 - L991, 0),
      MAX(MAX(0, Y990-(AD991-Z990)) + IF(MONTH(A991)=12, P991+V991, 0) + H991 - L991, 0)
    ),
  B991&gt;55,
    IF(AB990&gt;=$AH$7,
      MAX(Y990 + IF(MONTH(A991)=12, P991+V991, 0) + H991 - L991 + K991 + Z990, 0),
      MAX(Y990 + IF(MONTH(A991)=12, P991+V991, 0) + H991 - L991, 0)
    )
)</f>
        <v>2935235.559</v>
      </c>
      <c r="Z991" s="65">
        <f>IFS(
  B991&lt;55,
    MIN(
      IF(AA990 &gt;= VLOOKUP(YEAR(A991), Lookup!$Q:$R, 2),
        Z990 + IF(MONTH(A991)=12, Q991+W991, 0) + I991
          + AA990 + IF(MONTH(A991)=12, R991+X991, 0) - VLOOKUP(YEAR(A991), Lookup!$Q:$R, 2) + J991,
        Z990 + IF(MONTH(A991)=12, Q991+W991, 0) + I991
      ),
      VLOOKUP(YEAR(A991), Lookup!$K:$M, 3)
    ),
  B991=55,
    IF(Z990 &gt;= AD991, Z990 - AD991, 0),
  B991&gt;55, 0
)</f>
        <v>0</v>
      </c>
      <c r="AA991" s="65">
        <f>IFS(
  B991&lt;65,
    IF(AA990+J991 &lt; VLOOKUP(YEAR(A991), Lookup!$Q:$R, 2),
      AA990 + IF(MONTH(A991)=12, R990+X990, 0) + J991,
      MIN(
        AA990 + IF(MONTH(A991)=12, R990+X990, 0) + J991 ,
        VLOOKUP(YEAR(A991), Lookup!$Q:$R, 2)
      )
    ),
  B991&gt;=65,
    IF(AA990+J991 &lt; VLOOKUP(questions!$C$5, Lookup!$Q:$R, 2),
      AA990 + IF(MONTH(A991)=12, R990+X990, 0) + J991 ,
      MIN(
        AA990 + IF(MONTH(A991)=12, R990+X990, 0) + J991,
        VLOOKUP(questions!$C$5, Lookup!$Q:$R, 2)
      )
    )
)</f>
        <v>282111.0086</v>
      </c>
      <c r="AB991" s="65">
        <f t="shared" si="13"/>
        <v>5340770.86</v>
      </c>
      <c r="AC991" s="66">
        <f t="array" ref="AC991">IFS(B991&lt;66, XLOOKUP(year(A991),Lookup!$K$13:$K1000,Lookup!$L$13:$L1000,"missing",,1),B991&gt;65,XLOOKUP(questions!$C$5,Lookup!$K$13:$K1000,Lookup!$L$13:$L1000,"missing",,1))</f>
        <v>393675.3633</v>
      </c>
      <c r="AD991" s="66">
        <f t="array" ref="AD991">IFS(B991&lt;66, XLOOKUP(year(A991),Lookup!$K$13:$K1000,Lookup!$M$13:$M1000,"missing",,1),B991&gt;65, XLOOKUP(questions!$C$5,Lookup!$K$13:$K1000,Lookup!$M$13:$M1000,"missing",,1))</f>
        <v>787350.7266</v>
      </c>
      <c r="AE991" s="66">
        <f t="array" ref="AE991">IFS(B991&lt;66, XLOOKUP(year(A991),Lookup!$K$13:$K1000,Lookup!$N$13:$N1000,"missing",,1),B991&gt;65,XLOOKUP(questions!$C$5,Lookup!$K$13:$K1000,Lookup!$N$13:$N1000,"missing",,1))</f>
        <v>1574701.453</v>
      </c>
      <c r="AF991" s="37"/>
      <c r="AG991" s="37"/>
      <c r="AH991" s="37"/>
      <c r="AI991" s="37"/>
      <c r="AJ991" s="37"/>
      <c r="AK991" s="37"/>
      <c r="AL991" s="37"/>
      <c r="AM991" s="37"/>
      <c r="AN991" s="37"/>
      <c r="AO991" s="37"/>
      <c r="AP991" s="37"/>
      <c r="AQ991" s="37"/>
    </row>
    <row r="992">
      <c r="A992" s="55">
        <f t="shared" si="7"/>
        <v>76215</v>
      </c>
      <c r="B992" s="56">
        <f>round(YEARFRAC(EOMONTH(questions!$C$3, 0),A992,1),2)</f>
        <v>109.75</v>
      </c>
      <c r="C992" s="58">
        <f>IF(B992&lt;questions!$C$6,if(MONTH(A992)=1,C991*(1+questions!$C$12),C991),0)</f>
        <v>0</v>
      </c>
      <c r="D992" s="58">
        <f>IF(MONTH(A992)=12,C992*questions!$C$11,0)</f>
        <v>0</v>
      </c>
      <c r="E992" s="71">
        <f t="shared" si="2"/>
        <v>0</v>
      </c>
      <c r="F992" s="71">
        <f t="shared" si="3"/>
        <v>0</v>
      </c>
      <c r="G992" s="61">
        <f t="array" ref="G992">if(YEAR(A992)=2025,XLOOKUP(B992,Lookup!$A$3:$A$7,Lookup!$D$3:$D$7,,1)*SUM(E992:F992), XLOOKUP(B992,Lookup!$A$14:$A$18,Lookup!$D$14:$D$18,,1)*SUM(E992:F992))</f>
        <v>0</v>
      </c>
      <c r="H992" s="61">
        <f t="array" ref="H992">if(YEAR(A992)=2025,XLOOKUP(B992,Lookup!$F$3:$F$10,Lookup!$G$3:$G$10,,1)*G992, XLOOKUP(B992,Lookup!$F$14:$F$21,Lookup!$G$14:$G$21,,1)*G992)</f>
        <v>0</v>
      </c>
      <c r="I992" s="61">
        <f t="array" ref="I992">if(B992&lt;55, if(YEAR(A992)=2025,XLOOKUP(B992,Lookup!$F$3:$F$10,Lookup!$H$3:$H$10,,1)*G992, XLOOKUP(B992,Lookup!$F$14:$F$21,Lookup!$H$14:$H$21,,1)*G992),0)</f>
        <v>0</v>
      </c>
      <c r="J992" s="61">
        <f t="array" ref="J992">if(YEAR(A992)=2025,XLOOKUP(B992,Lookup!$F$3:$F$10,Lookup!$I$3:$I$10,,1)*G992, XLOOKUP(B992,Lookup!$F$14:$F$21,Lookup!$I$14:$I$21,,1)*G992)</f>
        <v>0</v>
      </c>
      <c r="K992" s="61">
        <f t="array" ref="K992">if(B992&gt;54, if(YEAR(A992)=2025,XLOOKUP(B992,Lookup!$F$3:$F$10,Lookup!$H$3:$H$10,,1)*G992, XLOOKUP(B992,Lookup!$F$14:$F$21,Lookup!$H$14:$H$21,,1)*G992),0)</f>
        <v>0</v>
      </c>
      <c r="L992" s="62">
        <f>IF(and(A992&lt;questions!$C$19,questions!$C$18="yes"),questions!$C$20,0)</f>
        <v>0</v>
      </c>
      <c r="M992" s="63">
        <f>(Y991+H992)*Lookup!A$26/12</f>
        <v>6115.07408</v>
      </c>
      <c r="N992" s="63">
        <f>if(B992&lt;55, (Z991+I992)*Lookup!B$26/12, (AB991+K992)*Lookup!B$26/12)</f>
        <v>17802.56953</v>
      </c>
      <c r="O992" s="63">
        <f>(AA991+J992)*Lookup!C$26/12</f>
        <v>940.3700287</v>
      </c>
      <c r="P992" s="63">
        <f t="shared" si="8"/>
        <v>48920.59264</v>
      </c>
      <c r="Q992" s="63">
        <f t="shared" si="4"/>
        <v>142420.5563</v>
      </c>
      <c r="R992" s="63">
        <f t="shared" si="5"/>
        <v>7522.960229</v>
      </c>
      <c r="S992" s="64">
        <f t="shared" si="9"/>
        <v>33.33333333</v>
      </c>
      <c r="T992" s="64">
        <f t="shared" si="10"/>
        <v>41.66666667</v>
      </c>
      <c r="U992" s="64">
        <f t="shared" si="11"/>
        <v>0</v>
      </c>
      <c r="V992" s="64">
        <f t="shared" ref="V992:X992" si="1000">IF(year($A992)=year($A991), V991+S992, S992)</f>
        <v>266.6666667</v>
      </c>
      <c r="W992" s="64">
        <f t="shared" si="1000"/>
        <v>333.3333333</v>
      </c>
      <c r="X992" s="64">
        <f t="shared" si="1000"/>
        <v>0</v>
      </c>
      <c r="Y992" s="65">
        <f>IFS(
  B992&lt;55,
    MAX(
      Y991 + IF(MONTH(A992)=12, P992+V992, 0) + H992 - L992
      + MAX(0,
          IF(AA991 &gt;= VLOOKUP(YEAR(A992), Lookup!$Q:$R, 2),
            Z991 + IF(MONTH(A992)=12, Q992+W992, 0) + I992
              + AA991 + IF(MONTH(A992)=12, R992+X992, 0)
              - VLOOKUP(YEAR(A992), Lookup!$Q:$R, 2) + J992,
            Z991 + IF(MONTH(A992)=12, Q992+W992, 0) + I992
          ) - VLOOKUP(YEAR(A992), Lookup!$K:$M, 3)
        ),
    0),
  B992=55,
    IF(Z991&gt;=AD992,
      MAX(Y991 + IF(MONTH(A992)=12, P992+V992, 0) + H992 - L992, 0),
      MAX(MAX(0, Y991-(AD992-Z991)) + IF(MONTH(A992)=12, P992+V992, 0) + H992 - L992, 0)
    ),
  B992&gt;55,
    IF(AB991&gt;=$AH$7,
      MAX(Y991 + IF(MONTH(A992)=12, P992+V992, 0) + H992 - L992 + K992 + Z991, 0),
      MAX(Y991 + IF(MONTH(A992)=12, P992+V992, 0) + H992 - L992, 0)
    )
)</f>
        <v>2935235.559</v>
      </c>
      <c r="Z992" s="65">
        <f>IFS(
  B992&lt;55,
    MIN(
      IF(AA991 &gt;= VLOOKUP(YEAR(A992), Lookup!$Q:$R, 2),
        Z991 + IF(MONTH(A992)=12, Q992+W992, 0) + I992
          + AA991 + IF(MONTH(A992)=12, R992+X992, 0) - VLOOKUP(YEAR(A992), Lookup!$Q:$R, 2) + J992,
        Z991 + IF(MONTH(A992)=12, Q992+W992, 0) + I992
      ),
      VLOOKUP(YEAR(A992), Lookup!$K:$M, 3)
    ),
  B992=55,
    IF(Z991 &gt;= AD992, Z991 - AD992, 0),
  B992&gt;55, 0
)</f>
        <v>0</v>
      </c>
      <c r="AA992" s="65">
        <f>IFS(
  B992&lt;65,
    IF(AA991+J992 &lt; VLOOKUP(YEAR(A992), Lookup!$Q:$R, 2),
      AA991 + IF(MONTH(A992)=12, R991+X991, 0) + J992,
      MIN(
        AA991 + IF(MONTH(A992)=12, R991+X991, 0) + J992 ,
        VLOOKUP(YEAR(A992), Lookup!$Q:$R, 2)
      )
    ),
  B992&gt;=65,
    IF(AA991+J992 &lt; VLOOKUP(questions!$C$5, Lookup!$Q:$R, 2),
      AA991 + IF(MONTH(A992)=12, R991+X991, 0) + J992 ,
      MIN(
        AA991 + IF(MONTH(A992)=12, R991+X991, 0) + J992,
        VLOOKUP(questions!$C$5, Lookup!$Q:$R, 2)
      )
    )
)</f>
        <v>282111.0086</v>
      </c>
      <c r="AB992" s="65">
        <f t="shared" si="13"/>
        <v>5340770.86</v>
      </c>
      <c r="AC992" s="66">
        <f t="array" ref="AC992">IFS(B992&lt;66, XLOOKUP(year(A992),Lookup!$K$13:$K1000,Lookup!$L$13:$L1000,"missing",,1),B992&gt;65,XLOOKUP(questions!$C$5,Lookup!$K$13:$K1000,Lookup!$L$13:$L1000,"missing",,1))</f>
        <v>393675.3633</v>
      </c>
      <c r="AD992" s="66">
        <f t="array" ref="AD992">IFS(B992&lt;66, XLOOKUP(year(A992),Lookup!$K$13:$K1000,Lookup!$M$13:$M1000,"missing",,1),B992&gt;65, XLOOKUP(questions!$C$5,Lookup!$K$13:$K1000,Lookup!$M$13:$M1000,"missing",,1))</f>
        <v>787350.7266</v>
      </c>
      <c r="AE992" s="66">
        <f t="array" ref="AE992">IFS(B992&lt;66, XLOOKUP(year(A992),Lookup!$K$13:$K1000,Lookup!$N$13:$N1000,"missing",,1),B992&gt;65,XLOOKUP(questions!$C$5,Lookup!$K$13:$K1000,Lookup!$N$13:$N1000,"missing",,1))</f>
        <v>1574701.453</v>
      </c>
      <c r="AF992" s="37"/>
      <c r="AG992" s="37"/>
      <c r="AH992" s="37"/>
      <c r="AI992" s="37"/>
      <c r="AJ992" s="37"/>
      <c r="AK992" s="37"/>
      <c r="AL992" s="37"/>
      <c r="AM992" s="37"/>
      <c r="AN992" s="37"/>
      <c r="AO992" s="37"/>
      <c r="AP992" s="37"/>
      <c r="AQ992" s="37"/>
    </row>
    <row r="993">
      <c r="A993" s="55">
        <f t="shared" si="7"/>
        <v>76245</v>
      </c>
      <c r="B993" s="56">
        <f>round(YEARFRAC(EOMONTH(questions!$C$3, 0),A993,1),2)</f>
        <v>109.83</v>
      </c>
      <c r="C993" s="58">
        <f>IF(B993&lt;questions!$C$6,if(MONTH(A993)=1,C992*(1+questions!$C$12),C992),0)</f>
        <v>0</v>
      </c>
      <c r="D993" s="58">
        <f>IF(MONTH(A993)=12,C993*questions!$C$11,0)</f>
        <v>0</v>
      </c>
      <c r="E993" s="71">
        <f t="shared" si="2"/>
        <v>0</v>
      </c>
      <c r="F993" s="71">
        <f t="shared" si="3"/>
        <v>0</v>
      </c>
      <c r="G993" s="61">
        <f t="array" ref="G993">if(YEAR(A993)=2025,XLOOKUP(B993,Lookup!$A$3:$A$7,Lookup!$D$3:$D$7,,1)*SUM(E993:F993), XLOOKUP(B993,Lookup!$A$14:$A$18,Lookup!$D$14:$D$18,,1)*SUM(E993:F993))</f>
        <v>0</v>
      </c>
      <c r="H993" s="61">
        <f t="array" ref="H993">if(YEAR(A993)=2025,XLOOKUP(B993,Lookup!$F$3:$F$10,Lookup!$G$3:$G$10,,1)*G993, XLOOKUP(B993,Lookup!$F$14:$F$21,Lookup!$G$14:$G$21,,1)*G993)</f>
        <v>0</v>
      </c>
      <c r="I993" s="61">
        <f t="array" ref="I993">if(B993&lt;55, if(YEAR(A993)=2025,XLOOKUP(B993,Lookup!$F$3:$F$10,Lookup!$H$3:$H$10,,1)*G993, XLOOKUP(B993,Lookup!$F$14:$F$21,Lookup!$H$14:$H$21,,1)*G993),0)</f>
        <v>0</v>
      </c>
      <c r="J993" s="61">
        <f t="array" ref="J993">if(YEAR(A993)=2025,XLOOKUP(B993,Lookup!$F$3:$F$10,Lookup!$I$3:$I$10,,1)*G993, XLOOKUP(B993,Lookup!$F$14:$F$21,Lookup!$I$14:$I$21,,1)*G993)</f>
        <v>0</v>
      </c>
      <c r="K993" s="61">
        <f t="array" ref="K993">if(B993&gt;54, if(YEAR(A993)=2025,XLOOKUP(B993,Lookup!$F$3:$F$10,Lookup!$H$3:$H$10,,1)*G993, XLOOKUP(B993,Lookup!$F$14:$F$21,Lookup!$H$14:$H$21,,1)*G993),0)</f>
        <v>0</v>
      </c>
      <c r="L993" s="62">
        <f>IF(and(A993&lt;questions!$C$19,questions!$C$18="yes"),questions!$C$20,0)</f>
        <v>0</v>
      </c>
      <c r="M993" s="63">
        <f>(Y992+H993)*Lookup!A$26/12</f>
        <v>6115.07408</v>
      </c>
      <c r="N993" s="63">
        <f>if(B993&lt;55, (Z992+I993)*Lookup!B$26/12, (AB992+K993)*Lookup!B$26/12)</f>
        <v>17802.56953</v>
      </c>
      <c r="O993" s="63">
        <f>(AA992+J993)*Lookup!C$26/12</f>
        <v>940.3700287</v>
      </c>
      <c r="P993" s="63">
        <f t="shared" si="8"/>
        <v>55035.66672</v>
      </c>
      <c r="Q993" s="63">
        <f t="shared" si="4"/>
        <v>160223.1258</v>
      </c>
      <c r="R993" s="63">
        <f t="shared" si="5"/>
        <v>8463.330258</v>
      </c>
      <c r="S993" s="64">
        <f t="shared" si="9"/>
        <v>33.33333333</v>
      </c>
      <c r="T993" s="64">
        <f t="shared" si="10"/>
        <v>41.66666667</v>
      </c>
      <c r="U993" s="64">
        <f t="shared" si="11"/>
        <v>0</v>
      </c>
      <c r="V993" s="64">
        <f t="shared" ref="V993:X993" si="1001">IF(year($A993)=year($A992), V992+S993, S993)</f>
        <v>300</v>
      </c>
      <c r="W993" s="64">
        <f t="shared" si="1001"/>
        <v>375</v>
      </c>
      <c r="X993" s="64">
        <f t="shared" si="1001"/>
        <v>0</v>
      </c>
      <c r="Y993" s="65">
        <f>IFS(
  B993&lt;55,
    MAX(
      Y992 + IF(MONTH(A993)=12, P993+V993, 0) + H993 - L993
      + MAX(0,
          IF(AA992 &gt;= VLOOKUP(YEAR(A993), Lookup!$Q:$R, 2),
            Z992 + IF(MONTH(A993)=12, Q993+W993, 0) + I993
              + AA992 + IF(MONTH(A993)=12, R993+X993, 0)
              - VLOOKUP(YEAR(A993), Lookup!$Q:$R, 2) + J993,
            Z992 + IF(MONTH(A993)=12, Q993+W993, 0) + I993
          ) - VLOOKUP(YEAR(A993), Lookup!$K:$M, 3)
        ),
    0),
  B993=55,
    IF(Z992&gt;=AD993,
      MAX(Y992 + IF(MONTH(A993)=12, P993+V993, 0) + H993 - L993, 0),
      MAX(MAX(0, Y992-(AD993-Z992)) + IF(MONTH(A993)=12, P993+V993, 0) + H993 - L993, 0)
    ),
  B993&gt;55,
    IF(AB992&gt;=$AH$7,
      MAX(Y992 + IF(MONTH(A993)=12, P993+V993, 0) + H993 - L993 + K993 + Z992, 0),
      MAX(Y992 + IF(MONTH(A993)=12, P993+V993, 0) + H993 - L993, 0)
    )
)</f>
        <v>2935235.559</v>
      </c>
      <c r="Z993" s="65">
        <f>IFS(
  B993&lt;55,
    MIN(
      IF(AA992 &gt;= VLOOKUP(YEAR(A993), Lookup!$Q:$R, 2),
        Z992 + IF(MONTH(A993)=12, Q993+W993, 0) + I993
          + AA992 + IF(MONTH(A993)=12, R993+X993, 0) - VLOOKUP(YEAR(A993), Lookup!$Q:$R, 2) + J993,
        Z992 + IF(MONTH(A993)=12, Q993+W993, 0) + I993
      ),
      VLOOKUP(YEAR(A993), Lookup!$K:$M, 3)
    ),
  B993=55,
    IF(Z992 &gt;= AD993, Z992 - AD993, 0),
  B993&gt;55, 0
)</f>
        <v>0</v>
      </c>
      <c r="AA993" s="65">
        <f>IFS(
  B993&lt;65,
    IF(AA992+J993 &lt; VLOOKUP(YEAR(A993), Lookup!$Q:$R, 2),
      AA992 + IF(MONTH(A993)=12, R992+X992, 0) + J993,
      MIN(
        AA992 + IF(MONTH(A993)=12, R992+X992, 0) + J993 ,
        VLOOKUP(YEAR(A993), Lookup!$Q:$R, 2)
      )
    ),
  B993&gt;=65,
    IF(AA992+J993 &lt; VLOOKUP(questions!$C$5, Lookup!$Q:$R, 2),
      AA992 + IF(MONTH(A993)=12, R992+X992, 0) + J993 ,
      MIN(
        AA992 + IF(MONTH(A993)=12, R992+X992, 0) + J993,
        VLOOKUP(questions!$C$5, Lookup!$Q:$R, 2)
      )
    )
)</f>
        <v>282111.0086</v>
      </c>
      <c r="AB993" s="65">
        <f t="shared" si="13"/>
        <v>5340770.86</v>
      </c>
      <c r="AC993" s="66">
        <f t="array" ref="AC993">IFS(B993&lt;66, XLOOKUP(year(A993),Lookup!$K$13:$K1000,Lookup!$L$13:$L1000,"missing",,1),B993&gt;65,XLOOKUP(questions!$C$5,Lookup!$K$13:$K1000,Lookup!$L$13:$L1000,"missing",,1))</f>
        <v>393675.3633</v>
      </c>
      <c r="AD993" s="66">
        <f t="array" ref="AD993">IFS(B993&lt;66, XLOOKUP(year(A993),Lookup!$K$13:$K1000,Lookup!$M$13:$M1000,"missing",,1),B993&gt;65, XLOOKUP(questions!$C$5,Lookup!$K$13:$K1000,Lookup!$M$13:$M1000,"missing",,1))</f>
        <v>787350.7266</v>
      </c>
      <c r="AE993" s="66">
        <f t="array" ref="AE993">IFS(B993&lt;66, XLOOKUP(year(A993),Lookup!$K$13:$K1000,Lookup!$N$13:$N1000,"missing",,1),B993&gt;65,XLOOKUP(questions!$C$5,Lookup!$K$13:$K1000,Lookup!$N$13:$N1000,"missing",,1))</f>
        <v>1574701.453</v>
      </c>
      <c r="AF993" s="37"/>
      <c r="AG993" s="37"/>
      <c r="AH993" s="37"/>
      <c r="AI993" s="37"/>
      <c r="AJ993" s="37"/>
      <c r="AK993" s="37"/>
      <c r="AL993" s="37"/>
      <c r="AM993" s="37"/>
      <c r="AN993" s="37"/>
      <c r="AO993" s="37"/>
      <c r="AP993" s="37"/>
      <c r="AQ993" s="37"/>
    </row>
    <row r="994">
      <c r="A994" s="55">
        <f t="shared" si="7"/>
        <v>76276</v>
      </c>
      <c r="B994" s="56">
        <f>round(YEARFRAC(EOMONTH(questions!$C$3, 0),A994,1),2)</f>
        <v>109.92</v>
      </c>
      <c r="C994" s="58">
        <f>IF(B994&lt;questions!$C$6,if(MONTH(A994)=1,C993*(1+questions!$C$12),C993),0)</f>
        <v>0</v>
      </c>
      <c r="D994" s="58">
        <f>IF(MONTH(A994)=12,C994*questions!$C$11,0)</f>
        <v>0</v>
      </c>
      <c r="E994" s="71">
        <f t="shared" si="2"/>
        <v>0</v>
      </c>
      <c r="F994" s="71">
        <f t="shared" si="3"/>
        <v>0</v>
      </c>
      <c r="G994" s="61">
        <f t="array" ref="G994">if(YEAR(A994)=2025,XLOOKUP(B994,Lookup!$A$3:$A$7,Lookup!$D$3:$D$7,,1)*SUM(E994:F994), XLOOKUP(B994,Lookup!$A$14:$A$18,Lookup!$D$14:$D$18,,1)*SUM(E994:F994))</f>
        <v>0</v>
      </c>
      <c r="H994" s="61">
        <f t="array" ref="H994">if(YEAR(A994)=2025,XLOOKUP(B994,Lookup!$F$3:$F$10,Lookup!$G$3:$G$10,,1)*G994, XLOOKUP(B994,Lookup!$F$14:$F$21,Lookup!$G$14:$G$21,,1)*G994)</f>
        <v>0</v>
      </c>
      <c r="I994" s="61">
        <f t="array" ref="I994">if(B994&lt;55, if(YEAR(A994)=2025,XLOOKUP(B994,Lookup!$F$3:$F$10,Lookup!$H$3:$H$10,,1)*G994, XLOOKUP(B994,Lookup!$F$14:$F$21,Lookup!$H$14:$H$21,,1)*G994),0)</f>
        <v>0</v>
      </c>
      <c r="J994" s="61">
        <f t="array" ref="J994">if(YEAR(A994)=2025,XLOOKUP(B994,Lookup!$F$3:$F$10,Lookup!$I$3:$I$10,,1)*G994, XLOOKUP(B994,Lookup!$F$14:$F$21,Lookup!$I$14:$I$21,,1)*G994)</f>
        <v>0</v>
      </c>
      <c r="K994" s="61">
        <f t="array" ref="K994">if(B994&gt;54, if(YEAR(A994)=2025,XLOOKUP(B994,Lookup!$F$3:$F$10,Lookup!$H$3:$H$10,,1)*G994, XLOOKUP(B994,Lookup!$F$14:$F$21,Lookup!$H$14:$H$21,,1)*G994),0)</f>
        <v>0</v>
      </c>
      <c r="L994" s="62">
        <f>IF(and(A994&lt;questions!$C$19,questions!$C$18="yes"),questions!$C$20,0)</f>
        <v>0</v>
      </c>
      <c r="M994" s="63">
        <f>(Y993+H994)*Lookup!A$26/12</f>
        <v>6115.07408</v>
      </c>
      <c r="N994" s="63">
        <f>if(B994&lt;55, (Z993+I994)*Lookup!B$26/12, (AB993+K994)*Lookup!B$26/12)</f>
        <v>17802.56953</v>
      </c>
      <c r="O994" s="63">
        <f>(AA993+J994)*Lookup!C$26/12</f>
        <v>940.3700287</v>
      </c>
      <c r="P994" s="63">
        <f t="shared" si="8"/>
        <v>61150.7408</v>
      </c>
      <c r="Q994" s="63">
        <f t="shared" si="4"/>
        <v>178025.6953</v>
      </c>
      <c r="R994" s="63">
        <f t="shared" si="5"/>
        <v>9403.700287</v>
      </c>
      <c r="S994" s="64">
        <f t="shared" si="9"/>
        <v>33.33333333</v>
      </c>
      <c r="T994" s="64">
        <f t="shared" si="10"/>
        <v>41.66666667</v>
      </c>
      <c r="U994" s="64">
        <f t="shared" si="11"/>
        <v>0</v>
      </c>
      <c r="V994" s="64">
        <f t="shared" ref="V994:X994" si="1002">IF(year($A994)=year($A993), V993+S994, S994)</f>
        <v>333.3333333</v>
      </c>
      <c r="W994" s="64">
        <f t="shared" si="1002"/>
        <v>416.6666667</v>
      </c>
      <c r="X994" s="64">
        <f t="shared" si="1002"/>
        <v>0</v>
      </c>
      <c r="Y994" s="65">
        <f>IFS(
  B994&lt;55,
    MAX(
      Y993 + IF(MONTH(A994)=12, P994+V994, 0) + H994 - L994
      + MAX(0,
          IF(AA993 &gt;= VLOOKUP(YEAR(A994), Lookup!$Q:$R, 2),
            Z993 + IF(MONTH(A994)=12, Q994+W994, 0) + I994
              + AA993 + IF(MONTH(A994)=12, R994+X994, 0)
              - VLOOKUP(YEAR(A994), Lookup!$Q:$R, 2) + J994,
            Z993 + IF(MONTH(A994)=12, Q994+W994, 0) + I994
          ) - VLOOKUP(YEAR(A994), Lookup!$K:$M, 3)
        ),
    0),
  B994=55,
    IF(Z993&gt;=AD994,
      MAX(Y993 + IF(MONTH(A994)=12, P994+V994, 0) + H994 - L994, 0),
      MAX(MAX(0, Y993-(AD994-Z993)) + IF(MONTH(A994)=12, P994+V994, 0) + H994 - L994, 0)
    ),
  B994&gt;55,
    IF(AB993&gt;=$AH$7,
      MAX(Y993 + IF(MONTH(A994)=12, P994+V994, 0) + H994 - L994 + K994 + Z993, 0),
      MAX(Y993 + IF(MONTH(A994)=12, P994+V994, 0) + H994 - L994, 0)
    )
)</f>
        <v>2935235.559</v>
      </c>
      <c r="Z994" s="65">
        <f>IFS(
  B994&lt;55,
    MIN(
      IF(AA993 &gt;= VLOOKUP(YEAR(A994), Lookup!$Q:$R, 2),
        Z993 + IF(MONTH(A994)=12, Q994+W994, 0) + I994
          + AA993 + IF(MONTH(A994)=12, R994+X994, 0) - VLOOKUP(YEAR(A994), Lookup!$Q:$R, 2) + J994,
        Z993 + IF(MONTH(A994)=12, Q994+W994, 0) + I994
      ),
      VLOOKUP(YEAR(A994), Lookup!$K:$M, 3)
    ),
  B994=55,
    IF(Z993 &gt;= AD994, Z993 - AD994, 0),
  B994&gt;55, 0
)</f>
        <v>0</v>
      </c>
      <c r="AA994" s="65">
        <f>IFS(
  B994&lt;65,
    IF(AA993+J994 &lt; VLOOKUP(YEAR(A994), Lookup!$Q:$R, 2),
      AA993 + IF(MONTH(A994)=12, R993+X993, 0) + J994,
      MIN(
        AA993 + IF(MONTH(A994)=12, R993+X993, 0) + J994 ,
        VLOOKUP(YEAR(A994), Lookup!$Q:$R, 2)
      )
    ),
  B994&gt;=65,
    IF(AA993+J994 &lt; VLOOKUP(questions!$C$5, Lookup!$Q:$R, 2),
      AA993 + IF(MONTH(A994)=12, R993+X993, 0) + J994 ,
      MIN(
        AA993 + IF(MONTH(A994)=12, R993+X993, 0) + J994,
        VLOOKUP(questions!$C$5, Lookup!$Q:$R, 2)
      )
    )
)</f>
        <v>282111.0086</v>
      </c>
      <c r="AB994" s="65">
        <f t="shared" si="13"/>
        <v>5340770.86</v>
      </c>
      <c r="AC994" s="66">
        <f t="array" ref="AC994">IFS(B994&lt;66, XLOOKUP(year(A994),Lookup!$K$13:$K1000,Lookup!$L$13:$L1000,"missing",,1),B994&gt;65,XLOOKUP(questions!$C$5,Lookup!$K$13:$K1000,Lookup!$L$13:$L1000,"missing",,1))</f>
        <v>393675.3633</v>
      </c>
      <c r="AD994" s="66">
        <f t="array" ref="AD994">IFS(B994&lt;66, XLOOKUP(year(A994),Lookup!$K$13:$K1000,Lookup!$M$13:$M1000,"missing",,1),B994&gt;65, XLOOKUP(questions!$C$5,Lookup!$K$13:$K1000,Lookup!$M$13:$M1000,"missing",,1))</f>
        <v>787350.7266</v>
      </c>
      <c r="AE994" s="66">
        <f t="array" ref="AE994">IFS(B994&lt;66, XLOOKUP(year(A994),Lookup!$K$13:$K1000,Lookup!$N$13:$N1000,"missing",,1),B994&gt;65,XLOOKUP(questions!$C$5,Lookup!$K$13:$K1000,Lookup!$N$13:$N1000,"missing",,1))</f>
        <v>1574701.453</v>
      </c>
      <c r="AF994" s="37"/>
      <c r="AG994" s="37"/>
      <c r="AH994" s="37"/>
      <c r="AI994" s="37"/>
      <c r="AJ994" s="37"/>
      <c r="AK994" s="37"/>
      <c r="AL994" s="37"/>
      <c r="AM994" s="37"/>
      <c r="AN994" s="37"/>
      <c r="AO994" s="37"/>
      <c r="AP994" s="37"/>
      <c r="AQ994" s="37"/>
    </row>
    <row r="995">
      <c r="A995" s="55">
        <f t="shared" si="7"/>
        <v>76306</v>
      </c>
      <c r="B995" s="56">
        <f>round(YEARFRAC(EOMONTH(questions!$C$3, 0),A995,1),2)</f>
        <v>110</v>
      </c>
      <c r="C995" s="58">
        <f>IF(B995&lt;questions!$C$6,if(MONTH(A995)=1,C994*(1+questions!$C$12),C994),0)</f>
        <v>0</v>
      </c>
      <c r="D995" s="58">
        <f>IF(MONTH(A995)=12,C995*questions!$C$11,0)</f>
        <v>0</v>
      </c>
      <c r="E995" s="71">
        <f t="shared" si="2"/>
        <v>0</v>
      </c>
      <c r="F995" s="71">
        <f t="shared" si="3"/>
        <v>0</v>
      </c>
      <c r="G995" s="61">
        <f t="array" ref="G995">if(YEAR(A995)=2025,XLOOKUP(B995,Lookup!$A$3:$A$7,Lookup!$D$3:$D$7,,1)*SUM(E995:F995), XLOOKUP(B995,Lookup!$A$14:$A$18,Lookup!$D$14:$D$18,,1)*SUM(E995:F995))</f>
        <v>0</v>
      </c>
      <c r="H995" s="61">
        <f t="array" ref="H995">if(YEAR(A995)=2025,XLOOKUP(B995,Lookup!$F$3:$F$10,Lookup!$G$3:$G$10,,1)*G995, XLOOKUP(B995,Lookup!$F$14:$F$21,Lookup!$G$14:$G$21,,1)*G995)</f>
        <v>0</v>
      </c>
      <c r="I995" s="61">
        <f t="array" ref="I995">if(B995&lt;55, if(YEAR(A995)=2025,XLOOKUP(B995,Lookup!$F$3:$F$10,Lookup!$H$3:$H$10,,1)*G995, XLOOKUP(B995,Lookup!$F$14:$F$21,Lookup!$H$14:$H$21,,1)*G995),0)</f>
        <v>0</v>
      </c>
      <c r="J995" s="61">
        <f t="array" ref="J995">if(YEAR(A995)=2025,XLOOKUP(B995,Lookup!$F$3:$F$10,Lookup!$I$3:$I$10,,1)*G995, XLOOKUP(B995,Lookup!$F$14:$F$21,Lookup!$I$14:$I$21,,1)*G995)</f>
        <v>0</v>
      </c>
      <c r="K995" s="61">
        <f t="array" ref="K995">if(B995&gt;54, if(YEAR(A995)=2025,XLOOKUP(B995,Lookup!$F$3:$F$10,Lookup!$H$3:$H$10,,1)*G995, XLOOKUP(B995,Lookup!$F$14:$F$21,Lookup!$H$14:$H$21,,1)*G995),0)</f>
        <v>0</v>
      </c>
      <c r="L995" s="62">
        <f>IF(and(A995&lt;questions!$C$19,questions!$C$18="yes"),questions!$C$20,0)</f>
        <v>0</v>
      </c>
      <c r="M995" s="63">
        <f>(Y994+H995)*Lookup!A$26/12</f>
        <v>6115.07408</v>
      </c>
      <c r="N995" s="63">
        <f>if(B995&lt;55, (Z994+I995)*Lookup!B$26/12, (AB994+K995)*Lookup!B$26/12)</f>
        <v>17802.56953</v>
      </c>
      <c r="O995" s="63">
        <f>(AA994+J995)*Lookup!C$26/12</f>
        <v>940.3700287</v>
      </c>
      <c r="P995" s="63">
        <f t="shared" si="8"/>
        <v>67265.81488</v>
      </c>
      <c r="Q995" s="63">
        <f t="shared" si="4"/>
        <v>195828.2649</v>
      </c>
      <c r="R995" s="63">
        <f t="shared" si="5"/>
        <v>10344.07032</v>
      </c>
      <c r="S995" s="64">
        <f t="shared" si="9"/>
        <v>33.33333333</v>
      </c>
      <c r="T995" s="64">
        <f t="shared" si="10"/>
        <v>41.66666667</v>
      </c>
      <c r="U995" s="64">
        <f t="shared" si="11"/>
        <v>0</v>
      </c>
      <c r="V995" s="64">
        <f t="shared" ref="V995:X995" si="1003">IF(year($A995)=year($A994), V994+S995, S995)</f>
        <v>366.6666667</v>
      </c>
      <c r="W995" s="64">
        <f t="shared" si="1003"/>
        <v>458.3333333</v>
      </c>
      <c r="X995" s="64">
        <f t="shared" si="1003"/>
        <v>0</v>
      </c>
      <c r="Y995" s="65">
        <f>IFS(
  B995&lt;55,
    MAX(
      Y994 + IF(MONTH(A995)=12, P995+V995, 0) + H995 - L995
      + MAX(0,
          IF(AA994 &gt;= VLOOKUP(YEAR(A995), Lookup!$Q:$R, 2),
            Z994 + IF(MONTH(A995)=12, Q995+W995, 0) + I995
              + AA994 + IF(MONTH(A995)=12, R995+X995, 0)
              - VLOOKUP(YEAR(A995), Lookup!$Q:$R, 2) + J995,
            Z994 + IF(MONTH(A995)=12, Q995+W995, 0) + I995
          ) - VLOOKUP(YEAR(A995), Lookup!$K:$M, 3)
        ),
    0),
  B995=55,
    IF(Z994&gt;=AD995,
      MAX(Y994 + IF(MONTH(A995)=12, P995+V995, 0) + H995 - L995, 0),
      MAX(MAX(0, Y994-(AD995-Z994)) + IF(MONTH(A995)=12, P995+V995, 0) + H995 - L995, 0)
    ),
  B995&gt;55,
    IF(AB994&gt;=$AH$7,
      MAX(Y994 + IF(MONTH(A995)=12, P995+V995, 0) + H995 - L995 + K995 + Z994, 0),
      MAX(Y994 + IF(MONTH(A995)=12, P995+V995, 0) + H995 - L995, 0)
    )
)</f>
        <v>2935235.559</v>
      </c>
      <c r="Z995" s="65">
        <f>IFS(
  B995&lt;55,
    MIN(
      IF(AA994 &gt;= VLOOKUP(YEAR(A995), Lookup!$Q:$R, 2),
        Z994 + IF(MONTH(A995)=12, Q995+W995, 0) + I995
          + AA994 + IF(MONTH(A995)=12, R995+X995, 0) - VLOOKUP(YEAR(A995), Lookup!$Q:$R, 2) + J995,
        Z994 + IF(MONTH(A995)=12, Q995+W995, 0) + I995
      ),
      VLOOKUP(YEAR(A995), Lookup!$K:$M, 3)
    ),
  B995=55,
    IF(Z994 &gt;= AD995, Z994 - AD995, 0),
  B995&gt;55, 0
)</f>
        <v>0</v>
      </c>
      <c r="AA995" s="65">
        <f>IFS(
  B995&lt;65,
    IF(AA994+J995 &lt; VLOOKUP(YEAR(A995), Lookup!$Q:$R, 2),
      AA994 + IF(MONTH(A995)=12, R994+X994, 0) + J995,
      MIN(
        AA994 + IF(MONTH(A995)=12, R994+X994, 0) + J995 ,
        VLOOKUP(YEAR(A995), Lookup!$Q:$R, 2)
      )
    ),
  B995&gt;=65,
    IF(AA994+J995 &lt; VLOOKUP(questions!$C$5, Lookup!$Q:$R, 2),
      AA994 + IF(MONTH(A995)=12, R994+X994, 0) + J995 ,
      MIN(
        AA994 + IF(MONTH(A995)=12, R994+X994, 0) + J995,
        VLOOKUP(questions!$C$5, Lookup!$Q:$R, 2)
      )
    )
)</f>
        <v>282111.0086</v>
      </c>
      <c r="AB995" s="65">
        <f t="shared" si="13"/>
        <v>5340770.86</v>
      </c>
      <c r="AC995" s="66">
        <f t="array" ref="AC995">IFS(B995&lt;66, XLOOKUP(year(A995),Lookup!$K$13:$K1000,Lookup!$L$13:$L1000,"missing",,1),B995&gt;65,XLOOKUP(questions!$C$5,Lookup!$K$13:$K1000,Lookup!$L$13:$L1000,"missing",,1))</f>
        <v>393675.3633</v>
      </c>
      <c r="AD995" s="66">
        <f t="array" ref="AD995">IFS(B995&lt;66, XLOOKUP(year(A995),Lookup!$K$13:$K1000,Lookup!$M$13:$M1000,"missing",,1),B995&gt;65, XLOOKUP(questions!$C$5,Lookup!$K$13:$K1000,Lookup!$M$13:$M1000,"missing",,1))</f>
        <v>787350.7266</v>
      </c>
      <c r="AE995" s="66">
        <f t="array" ref="AE995">IFS(B995&lt;66, XLOOKUP(year(A995),Lookup!$K$13:$K1000,Lookup!$N$13:$N1000,"missing",,1),B995&gt;65,XLOOKUP(questions!$C$5,Lookup!$K$13:$K1000,Lookup!$N$13:$N1000,"missing",,1))</f>
        <v>1574701.453</v>
      </c>
      <c r="AF995" s="37"/>
      <c r="AG995" s="37"/>
      <c r="AH995" s="37"/>
      <c r="AI995" s="37"/>
      <c r="AJ995" s="37"/>
      <c r="AK995" s="37"/>
      <c r="AL995" s="37"/>
      <c r="AM995" s="37"/>
      <c r="AN995" s="37"/>
      <c r="AO995" s="37"/>
      <c r="AP995" s="37"/>
      <c r="AQ995" s="37"/>
    </row>
    <row r="996">
      <c r="A996" s="55">
        <f t="shared" si="7"/>
        <v>76337</v>
      </c>
      <c r="B996" s="56">
        <f>round(YEARFRAC(EOMONTH(questions!$C$3, 0),A996,1),2)</f>
        <v>110.08</v>
      </c>
      <c r="C996" s="58">
        <f>IF(B996&lt;questions!$C$6,if(MONTH(A996)=1,C995*(1+questions!$C$12),C995),0)</f>
        <v>0</v>
      </c>
      <c r="D996" s="58">
        <f>IF(MONTH(A996)=12,C996*questions!$C$11,0)</f>
        <v>0</v>
      </c>
      <c r="E996" s="71">
        <f t="shared" si="2"/>
        <v>0</v>
      </c>
      <c r="F996" s="71">
        <f t="shared" si="3"/>
        <v>0</v>
      </c>
      <c r="G996" s="61">
        <f t="array" ref="G996">if(YEAR(A996)=2025,XLOOKUP(B996,Lookup!$A$3:$A$7,Lookup!$D$3:$D$7,,1)*SUM(E996:F996), XLOOKUP(B996,Lookup!$A$14:$A$18,Lookup!$D$14:$D$18,,1)*SUM(E996:F996))</f>
        <v>0</v>
      </c>
      <c r="H996" s="61">
        <f t="array" ref="H996">if(YEAR(A996)=2025,XLOOKUP(B996,Lookup!$F$3:$F$10,Lookup!$G$3:$G$10,,1)*G996, XLOOKUP(B996,Lookup!$F$14:$F$21,Lookup!$G$14:$G$21,,1)*G996)</f>
        <v>0</v>
      </c>
      <c r="I996" s="61">
        <f t="array" ref="I996">if(B996&lt;55, if(YEAR(A996)=2025,XLOOKUP(B996,Lookup!$F$3:$F$10,Lookup!$H$3:$H$10,,1)*G996, XLOOKUP(B996,Lookup!$F$14:$F$21,Lookup!$H$14:$H$21,,1)*G996),0)</f>
        <v>0</v>
      </c>
      <c r="J996" s="61">
        <f t="array" ref="J996">if(YEAR(A996)=2025,XLOOKUP(B996,Lookup!$F$3:$F$10,Lookup!$I$3:$I$10,,1)*G996, XLOOKUP(B996,Lookup!$F$14:$F$21,Lookup!$I$14:$I$21,,1)*G996)</f>
        <v>0</v>
      </c>
      <c r="K996" s="61">
        <f t="array" ref="K996">if(B996&gt;54, if(YEAR(A996)=2025,XLOOKUP(B996,Lookup!$F$3:$F$10,Lookup!$H$3:$H$10,,1)*G996, XLOOKUP(B996,Lookup!$F$14:$F$21,Lookup!$H$14:$H$21,,1)*G996),0)</f>
        <v>0</v>
      </c>
      <c r="L996" s="62">
        <f>IF(and(A996&lt;questions!$C$19,questions!$C$18="yes"),questions!$C$20,0)</f>
        <v>0</v>
      </c>
      <c r="M996" s="63">
        <f>(Y995+H996)*Lookup!A$26/12</f>
        <v>6115.07408</v>
      </c>
      <c r="N996" s="63">
        <f>if(B996&lt;55, (Z995+I996)*Lookup!B$26/12, (AB995+K996)*Lookup!B$26/12)</f>
        <v>17802.56953</v>
      </c>
      <c r="O996" s="63">
        <f>(AA995+J996)*Lookup!C$26/12</f>
        <v>940.3700287</v>
      </c>
      <c r="P996" s="63">
        <f t="shared" si="8"/>
        <v>73380.88896</v>
      </c>
      <c r="Q996" s="63">
        <f t="shared" si="4"/>
        <v>213630.8344</v>
      </c>
      <c r="R996" s="63">
        <f t="shared" si="5"/>
        <v>11284.44034</v>
      </c>
      <c r="S996" s="64">
        <f t="shared" si="9"/>
        <v>33.33333333</v>
      </c>
      <c r="T996" s="64">
        <f t="shared" si="10"/>
        <v>41.66666667</v>
      </c>
      <c r="U996" s="64">
        <f t="shared" si="11"/>
        <v>0</v>
      </c>
      <c r="V996" s="64">
        <f t="shared" ref="V996:X996" si="1004">IF(year($A996)=year($A995), V995+S996, S996)</f>
        <v>400</v>
      </c>
      <c r="W996" s="64">
        <f t="shared" si="1004"/>
        <v>500</v>
      </c>
      <c r="X996" s="64">
        <f t="shared" si="1004"/>
        <v>0</v>
      </c>
      <c r="Y996" s="65">
        <f>IFS(
  B996&lt;55,
    MAX(
      Y995 + IF(MONTH(A996)=12, P996+V996, 0) + H996 - L996
      + MAX(0,
          IF(AA995 &gt;= VLOOKUP(YEAR(A996), Lookup!$Q:$R, 2),
            Z995 + IF(MONTH(A996)=12, Q996+W996, 0) + I996
              + AA995 + IF(MONTH(A996)=12, R996+X996, 0)
              - VLOOKUP(YEAR(A996), Lookup!$Q:$R, 2) + J996,
            Z995 + IF(MONTH(A996)=12, Q996+W996, 0) + I996
          ) - VLOOKUP(YEAR(A996), Lookup!$K:$M, 3)
        ),
    0),
  B996=55,
    IF(Z995&gt;=AD996,
      MAX(Y995 + IF(MONTH(A996)=12, P996+V996, 0) + H996 - L996, 0),
      MAX(MAX(0, Y995-(AD996-Z995)) + IF(MONTH(A996)=12, P996+V996, 0) + H996 - L996, 0)
    ),
  B996&gt;55,
    IF(AB995&gt;=$AH$7,
      MAX(Y995 + IF(MONTH(A996)=12, P996+V996, 0) + H996 - L996 + K996 + Z995, 0),
      MAX(Y995 + IF(MONTH(A996)=12, P996+V996, 0) + H996 - L996, 0)
    )
)</f>
        <v>3009016.448</v>
      </c>
      <c r="Z996" s="65">
        <f>IFS(
  B996&lt;55,
    MIN(
      IF(AA995 &gt;= VLOOKUP(YEAR(A996), Lookup!$Q:$R, 2),
        Z995 + IF(MONTH(A996)=12, Q996+W996, 0) + I996
          + AA995 + IF(MONTH(A996)=12, R996+X996, 0) - VLOOKUP(YEAR(A996), Lookup!$Q:$R, 2) + J996,
        Z995 + IF(MONTH(A996)=12, Q996+W996, 0) + I996
      ),
      VLOOKUP(YEAR(A996), Lookup!$K:$M, 3)
    ),
  B996=55,
    IF(Z995 &gt;= AD996, Z995 - AD996, 0),
  B996&gt;55, 0
)</f>
        <v>0</v>
      </c>
      <c r="AA996" s="65">
        <f>IFS(
  B996&lt;65,
    IF(AA995+J996 &lt; VLOOKUP(YEAR(A996), Lookup!$Q:$R, 2),
      AA995 + IF(MONTH(A996)=12, R995+X995, 0) + J996,
      MIN(
        AA995 + IF(MONTH(A996)=12, R995+X995, 0) + J996 ,
        VLOOKUP(YEAR(A996), Lookup!$Q:$R, 2)
      )
    ),
  B996&gt;=65,
    IF(AA995+J996 &lt; VLOOKUP(questions!$C$5, Lookup!$Q:$R, 2),
      AA995 + IF(MONTH(A996)=12, R995+X995, 0) + J996 ,
      MIN(
        AA995 + IF(MONTH(A996)=12, R995+X995, 0) + J996,
        VLOOKUP(questions!$C$5, Lookup!$Q:$R, 2)
      )
    )
)</f>
        <v>282111.0086</v>
      </c>
      <c r="AB996" s="65">
        <f t="shared" si="13"/>
        <v>5554901.694</v>
      </c>
      <c r="AC996" s="66">
        <f t="array" ref="AC996">IFS(B996&lt;66, XLOOKUP(year(A996),Lookup!$K$13:$K1000,Lookup!$L$13:$L1000,"missing",,1),B996&gt;65,XLOOKUP(questions!$C$5,Lookup!$K$13:$K1000,Lookup!$L$13:$L1000,"missing",,1))</f>
        <v>393675.3633</v>
      </c>
      <c r="AD996" s="66">
        <f t="array" ref="AD996">IFS(B996&lt;66, XLOOKUP(year(A996),Lookup!$K$13:$K1000,Lookup!$M$13:$M1000,"missing",,1),B996&gt;65, XLOOKUP(questions!$C$5,Lookup!$K$13:$K1000,Lookup!$M$13:$M1000,"missing",,1))</f>
        <v>787350.7266</v>
      </c>
      <c r="AE996" s="66">
        <f t="array" ref="AE996">IFS(B996&lt;66, XLOOKUP(year(A996),Lookup!$K$13:$K1000,Lookup!$N$13:$N1000,"missing",,1),B996&gt;65,XLOOKUP(questions!$C$5,Lookup!$K$13:$K1000,Lookup!$N$13:$N1000,"missing",,1))</f>
        <v>1574701.453</v>
      </c>
      <c r="AF996" s="37"/>
      <c r="AG996" s="37"/>
      <c r="AH996" s="37"/>
      <c r="AI996" s="37"/>
      <c r="AJ996" s="37"/>
      <c r="AK996" s="37"/>
      <c r="AL996" s="37"/>
      <c r="AM996" s="37"/>
      <c r="AN996" s="37"/>
      <c r="AO996" s="37"/>
      <c r="AP996" s="37"/>
      <c r="AQ996" s="37"/>
    </row>
    <row r="997">
      <c r="A997" s="55">
        <f t="shared" si="7"/>
        <v>76368</v>
      </c>
      <c r="B997" s="56">
        <f>round(YEARFRAC(EOMONTH(questions!$C$3, 0),A997,1),2)</f>
        <v>110.17</v>
      </c>
      <c r="C997" s="58">
        <f>IF(B997&lt;questions!$C$6,if(MONTH(A997)=1,C996*(1+questions!$C$12),C996),0)</f>
        <v>0</v>
      </c>
      <c r="D997" s="58">
        <f>IF(MONTH(A997)=12,C997*questions!$C$11,0)</f>
        <v>0</v>
      </c>
      <c r="E997" s="71">
        <f t="shared" si="2"/>
        <v>0</v>
      </c>
      <c r="F997" s="71">
        <f t="shared" si="3"/>
        <v>0</v>
      </c>
      <c r="G997" s="61">
        <f t="array" ref="G997">if(YEAR(A997)=2025,XLOOKUP(B997,Lookup!$A$3:$A$7,Lookup!$D$3:$D$7,,1)*SUM(E997:F997), XLOOKUP(B997,Lookup!$A$14:$A$18,Lookup!$D$14:$D$18,,1)*SUM(E997:F997))</f>
        <v>0</v>
      </c>
      <c r="H997" s="61">
        <f t="array" ref="H997">if(YEAR(A997)=2025,XLOOKUP(B997,Lookup!$F$3:$F$10,Lookup!$G$3:$G$10,,1)*G997, XLOOKUP(B997,Lookup!$F$14:$F$21,Lookup!$G$14:$G$21,,1)*G997)</f>
        <v>0</v>
      </c>
      <c r="I997" s="61">
        <f t="array" ref="I997">if(B997&lt;55, if(YEAR(A997)=2025,XLOOKUP(B997,Lookup!$F$3:$F$10,Lookup!$H$3:$H$10,,1)*G997, XLOOKUP(B997,Lookup!$F$14:$F$21,Lookup!$H$14:$H$21,,1)*G997),0)</f>
        <v>0</v>
      </c>
      <c r="J997" s="61">
        <f t="array" ref="J997">if(YEAR(A997)=2025,XLOOKUP(B997,Lookup!$F$3:$F$10,Lookup!$I$3:$I$10,,1)*G997, XLOOKUP(B997,Lookup!$F$14:$F$21,Lookup!$I$14:$I$21,,1)*G997)</f>
        <v>0</v>
      </c>
      <c r="K997" s="61">
        <f t="array" ref="K997">if(B997&gt;54, if(YEAR(A997)=2025,XLOOKUP(B997,Lookup!$F$3:$F$10,Lookup!$H$3:$H$10,,1)*G997, XLOOKUP(B997,Lookup!$F$14:$F$21,Lookup!$H$14:$H$21,,1)*G997),0)</f>
        <v>0</v>
      </c>
      <c r="L997" s="62">
        <f>IF(and(A997&lt;questions!$C$19,questions!$C$18="yes"),questions!$C$20,0)</f>
        <v>0</v>
      </c>
      <c r="M997" s="63">
        <f>(Y996+H997)*Lookup!A$26/12</f>
        <v>6268.784266</v>
      </c>
      <c r="N997" s="63">
        <f>if(B997&lt;55, (Z996+I997)*Lookup!B$26/12, (AB996+K997)*Lookup!B$26/12)</f>
        <v>18516.33898</v>
      </c>
      <c r="O997" s="63">
        <f>(AA996+J997)*Lookup!C$26/12</f>
        <v>940.3700287</v>
      </c>
      <c r="P997" s="63">
        <f t="shared" si="8"/>
        <v>6268.784266</v>
      </c>
      <c r="Q997" s="63">
        <f t="shared" si="4"/>
        <v>18516.33898</v>
      </c>
      <c r="R997" s="63">
        <f t="shared" si="5"/>
        <v>940.3700287</v>
      </c>
      <c r="S997" s="64">
        <f t="shared" si="9"/>
        <v>33.33333333</v>
      </c>
      <c r="T997" s="64">
        <f t="shared" si="10"/>
        <v>41.66666667</v>
      </c>
      <c r="U997" s="64">
        <f t="shared" si="11"/>
        <v>0</v>
      </c>
      <c r="V997" s="64">
        <f t="shared" ref="V997:X997" si="1005">IF(year($A997)=year($A996), V996+S997, S997)</f>
        <v>33.33333333</v>
      </c>
      <c r="W997" s="64">
        <f t="shared" si="1005"/>
        <v>41.66666667</v>
      </c>
      <c r="X997" s="64">
        <f t="shared" si="1005"/>
        <v>0</v>
      </c>
      <c r="Y997" s="65">
        <f>IFS(
  B997&lt;55,
    MAX(
      Y996 + IF(MONTH(A997)=12, P997+V997, 0) + H997 - L997
      + MAX(0,
          IF(AA996 &gt;= VLOOKUP(YEAR(A997), Lookup!$Q:$R, 2),
            Z996 + IF(MONTH(A997)=12, Q997+W997, 0) + I997
              + AA996 + IF(MONTH(A997)=12, R997+X997, 0)
              - VLOOKUP(YEAR(A997), Lookup!$Q:$R, 2) + J997,
            Z996 + IF(MONTH(A997)=12, Q997+W997, 0) + I997
          ) - VLOOKUP(YEAR(A997), Lookup!$K:$M, 3)
        ),
    0),
  B997=55,
    IF(Z996&gt;=AD997,
      MAX(Y996 + IF(MONTH(A997)=12, P997+V997, 0) + H997 - L997, 0),
      MAX(MAX(0, Y996-(AD997-Z996)) + IF(MONTH(A997)=12, P997+V997, 0) + H997 - L997, 0)
    ),
  B997&gt;55,
    IF(AB996&gt;=$AH$7,
      MAX(Y996 + IF(MONTH(A997)=12, P997+V997, 0) + H997 - L997 + K997 + Z996, 0),
      MAX(Y996 + IF(MONTH(A997)=12, P997+V997, 0) + H997 - L997, 0)
    )
)</f>
        <v>3009016.448</v>
      </c>
      <c r="Z997" s="65">
        <f>IFS(
  B997&lt;55,
    MIN(
      IF(AA996 &gt;= VLOOKUP(YEAR(A997), Lookup!$Q:$R, 2),
        Z996 + IF(MONTH(A997)=12, Q997+W997, 0) + I997
          + AA996 + IF(MONTH(A997)=12, R997+X997, 0) - VLOOKUP(YEAR(A997), Lookup!$Q:$R, 2) + J997,
        Z996 + IF(MONTH(A997)=12, Q997+W997, 0) + I997
      ),
      VLOOKUP(YEAR(A997), Lookup!$K:$M, 3)
    ),
  B997=55,
    IF(Z996 &gt;= AD997, Z996 - AD997, 0),
  B997&gt;55, 0
)</f>
        <v>0</v>
      </c>
      <c r="AA997" s="65">
        <f>IFS(
  B997&lt;65,
    IF(AA996+J997 &lt; VLOOKUP(YEAR(A997), Lookup!$Q:$R, 2),
      AA996 + IF(MONTH(A997)=12, R996+X996, 0) + J997,
      MIN(
        AA996 + IF(MONTH(A997)=12, R996+X996, 0) + J997 ,
        VLOOKUP(YEAR(A997), Lookup!$Q:$R, 2)
      )
    ),
  B997&gt;=65,
    IF(AA996+J997 &lt; VLOOKUP(questions!$C$5, Lookup!$Q:$R, 2),
      AA996 + IF(MONTH(A997)=12, R996+X996, 0) + J997 ,
      MIN(
        AA996 + IF(MONTH(A997)=12, R996+X996, 0) + J997,
        VLOOKUP(questions!$C$5, Lookup!$Q:$R, 2)
      )
    )
)</f>
        <v>282111.0086</v>
      </c>
      <c r="AB997" s="65">
        <f t="shared" si="13"/>
        <v>5554901.694</v>
      </c>
      <c r="AC997" s="66">
        <f t="array" ref="AC997">IFS(B997&lt;66, XLOOKUP(year(A997),Lookup!$K$13:$K1000,Lookup!$L$13:$L1000,"missing",,1),B997&gt;65,XLOOKUP(questions!$C$5,Lookup!$K$13:$K1000,Lookup!$L$13:$L1000,"missing",,1))</f>
        <v>393675.3633</v>
      </c>
      <c r="AD997" s="66">
        <f t="array" ref="AD997">IFS(B997&lt;66, XLOOKUP(year(A997),Lookup!$K$13:$K1000,Lookup!$M$13:$M1000,"missing",,1),B997&gt;65, XLOOKUP(questions!$C$5,Lookup!$K$13:$K1000,Lookup!$M$13:$M1000,"missing",,1))</f>
        <v>787350.7266</v>
      </c>
      <c r="AE997" s="66">
        <f t="array" ref="AE997">IFS(B997&lt;66, XLOOKUP(year(A997),Lookup!$K$13:$K1000,Lookup!$N$13:$N1000,"missing",,1),B997&gt;65,XLOOKUP(questions!$C$5,Lookup!$K$13:$K1000,Lookup!$N$13:$N1000,"missing",,1))</f>
        <v>1574701.453</v>
      </c>
      <c r="AF997" s="37"/>
      <c r="AG997" s="37"/>
      <c r="AH997" s="37"/>
      <c r="AI997" s="37"/>
      <c r="AJ997" s="37"/>
      <c r="AK997" s="37"/>
      <c r="AL997" s="37"/>
      <c r="AM997" s="37"/>
      <c r="AN997" s="37"/>
      <c r="AO997" s="37"/>
      <c r="AP997" s="37"/>
      <c r="AQ997" s="37"/>
    </row>
    <row r="998">
      <c r="A998" s="55">
        <f t="shared" si="7"/>
        <v>76396</v>
      </c>
      <c r="B998" s="56">
        <f>round(YEARFRAC(EOMONTH(questions!$C$3, 0),A998,1),2)</f>
        <v>110.25</v>
      </c>
      <c r="C998" s="58">
        <f>IF(B998&lt;questions!$C$6,if(MONTH(A998)=1,C997*(1+questions!$C$12),C997),0)</f>
        <v>0</v>
      </c>
      <c r="D998" s="58">
        <f>IF(MONTH(A998)=12,C998*questions!$C$11,0)</f>
        <v>0</v>
      </c>
      <c r="E998" s="71">
        <f t="shared" si="2"/>
        <v>0</v>
      </c>
      <c r="F998" s="71">
        <f t="shared" si="3"/>
        <v>0</v>
      </c>
      <c r="G998" s="61">
        <f t="array" ref="G998">if(YEAR(A998)=2025,XLOOKUP(B998,Lookup!$A$3:$A$7,Lookup!$D$3:$D$7,,1)*SUM(E998:F998), XLOOKUP(B998,Lookup!$A$14:$A$18,Lookup!$D$14:$D$18,,1)*SUM(E998:F998))</f>
        <v>0</v>
      </c>
      <c r="H998" s="61">
        <f t="array" ref="H998">if(YEAR(A998)=2025,XLOOKUP(B998,Lookup!$F$3:$F$10,Lookup!$G$3:$G$10,,1)*G998, XLOOKUP(B998,Lookup!$F$14:$F$21,Lookup!$G$14:$G$21,,1)*G998)</f>
        <v>0</v>
      </c>
      <c r="I998" s="61">
        <f t="array" ref="I998">if(B998&lt;55, if(YEAR(A998)=2025,XLOOKUP(B998,Lookup!$F$3:$F$10,Lookup!$H$3:$H$10,,1)*G998, XLOOKUP(B998,Lookup!$F$14:$F$21,Lookup!$H$14:$H$21,,1)*G998),0)</f>
        <v>0</v>
      </c>
      <c r="J998" s="61">
        <f t="array" ref="J998">if(YEAR(A998)=2025,XLOOKUP(B998,Lookup!$F$3:$F$10,Lookup!$I$3:$I$10,,1)*G998, XLOOKUP(B998,Lookup!$F$14:$F$21,Lookup!$I$14:$I$21,,1)*G998)</f>
        <v>0</v>
      </c>
      <c r="K998" s="61">
        <f t="array" ref="K998">if(B998&gt;54, if(YEAR(A998)=2025,XLOOKUP(B998,Lookup!$F$3:$F$10,Lookup!$H$3:$H$10,,1)*G998, XLOOKUP(B998,Lookup!$F$14:$F$21,Lookup!$H$14:$H$21,,1)*G998),0)</f>
        <v>0</v>
      </c>
      <c r="L998" s="62">
        <f>IF(and(A998&lt;questions!$C$19,questions!$C$18="yes"),questions!$C$20,0)</f>
        <v>0</v>
      </c>
      <c r="M998" s="63">
        <f>(Y997+H998)*Lookup!A$26/12</f>
        <v>6268.784266</v>
      </c>
      <c r="N998" s="63">
        <f>if(B998&lt;55, (Z997+I998)*Lookup!B$26/12, (AB997+K998)*Lookup!B$26/12)</f>
        <v>18516.33898</v>
      </c>
      <c r="O998" s="63">
        <f>(AA997+J998)*Lookup!C$26/12</f>
        <v>940.3700287</v>
      </c>
      <c r="P998" s="63">
        <f t="shared" si="8"/>
        <v>12537.56853</v>
      </c>
      <c r="Q998" s="63">
        <f t="shared" si="4"/>
        <v>37032.67796</v>
      </c>
      <c r="R998" s="63">
        <f t="shared" si="5"/>
        <v>1880.740057</v>
      </c>
      <c r="S998" s="64">
        <f t="shared" si="9"/>
        <v>33.33333333</v>
      </c>
      <c r="T998" s="64">
        <f t="shared" si="10"/>
        <v>41.66666667</v>
      </c>
      <c r="U998" s="64">
        <f t="shared" si="11"/>
        <v>0</v>
      </c>
      <c r="V998" s="64">
        <f t="shared" ref="V998:X998" si="1006">IF(year($A998)=year($A997), V997+S998, S998)</f>
        <v>66.66666667</v>
      </c>
      <c r="W998" s="64">
        <f t="shared" si="1006"/>
        <v>83.33333333</v>
      </c>
      <c r="X998" s="64">
        <f t="shared" si="1006"/>
        <v>0</v>
      </c>
      <c r="Y998" s="65">
        <f>IFS(
  B998&lt;55,
    MAX(
      Y997 + IF(MONTH(A998)=12, P998+V998, 0) + H998 - L998
      + MAX(0,
          IF(AA997 &gt;= VLOOKUP(YEAR(A998), Lookup!$Q:$R, 2),
            Z997 + IF(MONTH(A998)=12, Q998+W998, 0) + I998
              + AA997 + IF(MONTH(A998)=12, R998+X998, 0)
              - VLOOKUP(YEAR(A998), Lookup!$Q:$R, 2) + J998,
            Z997 + IF(MONTH(A998)=12, Q998+W998, 0) + I998
          ) - VLOOKUP(YEAR(A998), Lookup!$K:$M, 3)
        ),
    0),
  B998=55,
    IF(Z997&gt;=AD998,
      MAX(Y997 + IF(MONTH(A998)=12, P998+V998, 0) + H998 - L998, 0),
      MAX(MAX(0, Y997-(AD998-Z997)) + IF(MONTH(A998)=12, P998+V998, 0) + H998 - L998, 0)
    ),
  B998&gt;55,
    IF(AB997&gt;=$AH$7,
      MAX(Y997 + IF(MONTH(A998)=12, P998+V998, 0) + H998 - L998 + K998 + Z997, 0),
      MAX(Y997 + IF(MONTH(A998)=12, P998+V998, 0) + H998 - L998, 0)
    )
)</f>
        <v>3009016.448</v>
      </c>
      <c r="Z998" s="65">
        <f>IFS(
  B998&lt;55,
    MIN(
      IF(AA997 &gt;= VLOOKUP(YEAR(A998), Lookup!$Q:$R, 2),
        Z997 + IF(MONTH(A998)=12, Q998+W998, 0) + I998
          + AA997 + IF(MONTH(A998)=12, R998+X998, 0) - VLOOKUP(YEAR(A998), Lookup!$Q:$R, 2) + J998,
        Z997 + IF(MONTH(A998)=12, Q998+W998, 0) + I998
      ),
      VLOOKUP(YEAR(A998), Lookup!$K:$M, 3)
    ),
  B998=55,
    IF(Z997 &gt;= AD998, Z997 - AD998, 0),
  B998&gt;55, 0
)</f>
        <v>0</v>
      </c>
      <c r="AA998" s="65">
        <f>IFS(
  B998&lt;65,
    IF(AA997+J998 &lt; VLOOKUP(YEAR(A998), Lookup!$Q:$R, 2),
      AA997 + IF(MONTH(A998)=12, R997+X997, 0) + J998,
      MIN(
        AA997 + IF(MONTH(A998)=12, R997+X997, 0) + J998 ,
        VLOOKUP(YEAR(A998), Lookup!$Q:$R, 2)
      )
    ),
  B998&gt;=65,
    IF(AA997+J998 &lt; VLOOKUP(questions!$C$5, Lookup!$Q:$R, 2),
      AA997 + IF(MONTH(A998)=12, R997+X997, 0) + J998 ,
      MIN(
        AA997 + IF(MONTH(A998)=12, R997+X997, 0) + J998,
        VLOOKUP(questions!$C$5, Lookup!$Q:$R, 2)
      )
    )
)</f>
        <v>282111.0086</v>
      </c>
      <c r="AB998" s="65">
        <f t="shared" si="13"/>
        <v>5554901.694</v>
      </c>
      <c r="AC998" s="66">
        <f t="array" ref="AC998">IFS(B998&lt;66, XLOOKUP(year(A998),Lookup!$K$13:$K1000,Lookup!$L$13:$L1000,"missing",,1),B998&gt;65,XLOOKUP(questions!$C$5,Lookup!$K$13:$K1000,Lookup!$L$13:$L1000,"missing",,1))</f>
        <v>393675.3633</v>
      </c>
      <c r="AD998" s="66">
        <f t="array" ref="AD998">IFS(B998&lt;66, XLOOKUP(year(A998),Lookup!$K$13:$K1000,Lookup!$M$13:$M1000,"missing",,1),B998&gt;65, XLOOKUP(questions!$C$5,Lookup!$K$13:$K1000,Lookup!$M$13:$M1000,"missing",,1))</f>
        <v>787350.7266</v>
      </c>
      <c r="AE998" s="66">
        <f t="array" ref="AE998">IFS(B998&lt;66, XLOOKUP(year(A998),Lookup!$K$13:$K1000,Lookup!$N$13:$N1000,"missing",,1),B998&gt;65,XLOOKUP(questions!$C$5,Lookup!$K$13:$K1000,Lookup!$N$13:$N1000,"missing",,1))</f>
        <v>1574701.453</v>
      </c>
      <c r="AF998" s="37"/>
      <c r="AG998" s="37"/>
      <c r="AH998" s="37"/>
      <c r="AI998" s="37"/>
      <c r="AJ998" s="37"/>
      <c r="AK998" s="37"/>
      <c r="AL998" s="37"/>
      <c r="AM998" s="37"/>
      <c r="AN998" s="37"/>
      <c r="AO998" s="37"/>
      <c r="AP998" s="37"/>
      <c r="AQ998" s="37"/>
    </row>
    <row r="999">
      <c r="A999" s="55">
        <f t="shared" si="7"/>
        <v>76427</v>
      </c>
      <c r="B999" s="56">
        <f>round(YEARFRAC(EOMONTH(questions!$C$3, 0),A999,1),2)</f>
        <v>110.33</v>
      </c>
      <c r="C999" s="58">
        <f>IF(B999&lt;questions!$C$6,if(MONTH(A999)=1,C998*(1+questions!$C$12),C998),0)</f>
        <v>0</v>
      </c>
      <c r="D999" s="58">
        <f>IF(MONTH(A999)=12,C999*questions!$C$11,0)</f>
        <v>0</v>
      </c>
      <c r="E999" s="71">
        <f t="shared" si="2"/>
        <v>0</v>
      </c>
      <c r="F999" s="71">
        <f t="shared" si="3"/>
        <v>0</v>
      </c>
      <c r="G999" s="61">
        <f t="array" ref="G999">if(YEAR(A999)=2025,XLOOKUP(B999,Lookup!$A$3:$A$7,Lookup!$D$3:$D$7,,1)*SUM(E999:F999), XLOOKUP(B999,Lookup!$A$14:$A$18,Lookup!$D$14:$D$18,,1)*SUM(E999:F999))</f>
        <v>0</v>
      </c>
      <c r="H999" s="61">
        <f t="array" ref="H999">if(YEAR(A999)=2025,XLOOKUP(B999,Lookup!$F$3:$F$10,Lookup!$G$3:$G$10,,1)*G999, XLOOKUP(B999,Lookup!$F$14:$F$21,Lookup!$G$14:$G$21,,1)*G999)</f>
        <v>0</v>
      </c>
      <c r="I999" s="61">
        <f t="array" ref="I999">if(B999&lt;55, if(YEAR(A999)=2025,XLOOKUP(B999,Lookup!$F$3:$F$10,Lookup!$H$3:$H$10,,1)*G999, XLOOKUP(B999,Lookup!$F$14:$F$21,Lookup!$H$14:$H$21,,1)*G999),0)</f>
        <v>0</v>
      </c>
      <c r="J999" s="61">
        <f t="array" ref="J999">if(YEAR(A999)=2025,XLOOKUP(B999,Lookup!$F$3:$F$10,Lookup!$I$3:$I$10,,1)*G999, XLOOKUP(B999,Lookup!$F$14:$F$21,Lookup!$I$14:$I$21,,1)*G999)</f>
        <v>0</v>
      </c>
      <c r="K999" s="61">
        <f t="array" ref="K999">if(B999&gt;54, if(YEAR(A999)=2025,XLOOKUP(B999,Lookup!$F$3:$F$10,Lookup!$H$3:$H$10,,1)*G999, XLOOKUP(B999,Lookup!$F$14:$F$21,Lookup!$H$14:$H$21,,1)*G999),0)</f>
        <v>0</v>
      </c>
      <c r="L999" s="62">
        <f>IF(and(A999&lt;questions!$C$19,questions!$C$18="yes"),questions!$C$20,0)</f>
        <v>0</v>
      </c>
      <c r="M999" s="63">
        <f>(Y998+H999)*Lookup!A$26/12</f>
        <v>6268.784266</v>
      </c>
      <c r="N999" s="63">
        <f>if(B999&lt;55, (Z998+I999)*Lookup!B$26/12, (AB998+K999)*Lookup!B$26/12)</f>
        <v>18516.33898</v>
      </c>
      <c r="O999" s="63">
        <f>(AA998+J999)*Lookup!C$26/12</f>
        <v>940.3700287</v>
      </c>
      <c r="P999" s="63">
        <f t="shared" si="8"/>
        <v>18806.3528</v>
      </c>
      <c r="Q999" s="63">
        <f t="shared" si="4"/>
        <v>55549.01694</v>
      </c>
      <c r="R999" s="63">
        <f t="shared" si="5"/>
        <v>2821.110086</v>
      </c>
      <c r="S999" s="64">
        <f t="shared" si="9"/>
        <v>33.33333333</v>
      </c>
      <c r="T999" s="64">
        <f t="shared" si="10"/>
        <v>41.66666667</v>
      </c>
      <c r="U999" s="64">
        <f t="shared" si="11"/>
        <v>0</v>
      </c>
      <c r="V999" s="64">
        <f t="shared" ref="V999:X999" si="1007">IF(year($A999)=year($A998), V998+S999, S999)</f>
        <v>100</v>
      </c>
      <c r="W999" s="64">
        <f t="shared" si="1007"/>
        <v>125</v>
      </c>
      <c r="X999" s="64">
        <f t="shared" si="1007"/>
        <v>0</v>
      </c>
      <c r="Y999" s="65">
        <f>IFS(
  B999&lt;55,
    MAX(
      Y998 + IF(MONTH(A999)=12, P999+V999, 0) + H999 - L999
      + MAX(0,
          IF(AA998 &gt;= VLOOKUP(YEAR(A999), Lookup!$Q:$R, 2),
            Z998 + IF(MONTH(A999)=12, Q999+W999, 0) + I999
              + AA998 + IF(MONTH(A999)=12, R999+X999, 0)
              - VLOOKUP(YEAR(A999), Lookup!$Q:$R, 2) + J999,
            Z998 + IF(MONTH(A999)=12, Q999+W999, 0) + I999
          ) - VLOOKUP(YEAR(A999), Lookup!$K:$M, 3)
        ),
    0),
  B999=55,
    IF(Z998&gt;=AD999,
      MAX(Y998 + IF(MONTH(A999)=12, P999+V999, 0) + H999 - L999, 0),
      MAX(MAX(0, Y998-(AD999-Z998)) + IF(MONTH(A999)=12, P999+V999, 0) + H999 - L999, 0)
    ),
  B999&gt;55,
    IF(AB998&gt;=$AH$7,
      MAX(Y998 + IF(MONTH(A999)=12, P999+V999, 0) + H999 - L999 + K999 + Z998, 0),
      MAX(Y998 + IF(MONTH(A999)=12, P999+V999, 0) + H999 - L999, 0)
    )
)</f>
        <v>3009016.448</v>
      </c>
      <c r="Z999" s="65">
        <f>IFS(
  B999&lt;55,
    MIN(
      IF(AA998 &gt;= VLOOKUP(YEAR(A999), Lookup!$Q:$R, 2),
        Z998 + IF(MONTH(A999)=12, Q999+W999, 0) + I999
          + AA998 + IF(MONTH(A999)=12, R999+X999, 0) - VLOOKUP(YEAR(A999), Lookup!$Q:$R, 2) + J999,
        Z998 + IF(MONTH(A999)=12, Q999+W999, 0) + I999
      ),
      VLOOKUP(YEAR(A999), Lookup!$K:$M, 3)
    ),
  B999=55,
    IF(Z998 &gt;= AD999, Z998 - AD999, 0),
  B999&gt;55, 0
)</f>
        <v>0</v>
      </c>
      <c r="AA999" s="65">
        <f>IFS(
  B999&lt;65,
    IF(AA998+J999 &lt; VLOOKUP(YEAR(A999), Lookup!$Q:$R, 2),
      AA998 + IF(MONTH(A999)=12, R998+X998, 0) + J999,
      MIN(
        AA998 + IF(MONTH(A999)=12, R998+X998, 0) + J999 ,
        VLOOKUP(YEAR(A999), Lookup!$Q:$R, 2)
      )
    ),
  B999&gt;=65,
    IF(AA998+J999 &lt; VLOOKUP(questions!$C$5, Lookup!$Q:$R, 2),
      AA998 + IF(MONTH(A999)=12, R998+X998, 0) + J999 ,
      MIN(
        AA998 + IF(MONTH(A999)=12, R998+X998, 0) + J999,
        VLOOKUP(questions!$C$5, Lookup!$Q:$R, 2)
      )
    )
)</f>
        <v>282111.0086</v>
      </c>
      <c r="AB999" s="65">
        <f t="shared" si="13"/>
        <v>5554901.694</v>
      </c>
      <c r="AC999" s="66">
        <f t="array" ref="AC999">IFS(B999&lt;66, XLOOKUP(year(A999),Lookup!$K$13:$K1000,Lookup!$L$13:$L1000,"missing",,1),B999&gt;65,XLOOKUP(questions!$C$5,Lookup!$K$13:$K1000,Lookup!$L$13:$L1000,"missing",,1))</f>
        <v>393675.3633</v>
      </c>
      <c r="AD999" s="66">
        <f t="array" ref="AD999">IFS(B999&lt;66, XLOOKUP(year(A999),Lookup!$K$13:$K1000,Lookup!$M$13:$M1000,"missing",,1),B999&gt;65, XLOOKUP(questions!$C$5,Lookup!$K$13:$K1000,Lookup!$M$13:$M1000,"missing",,1))</f>
        <v>787350.7266</v>
      </c>
      <c r="AE999" s="66">
        <f t="array" ref="AE999">IFS(B999&lt;66, XLOOKUP(year(A999),Lookup!$K$13:$K1000,Lookup!$N$13:$N1000,"missing",,1),B999&gt;65,XLOOKUP(questions!$C$5,Lookup!$K$13:$K1000,Lookup!$N$13:$N1000,"missing",,1))</f>
        <v>1574701.453</v>
      </c>
      <c r="AF999" s="37"/>
      <c r="AG999" s="37"/>
      <c r="AH999" s="37"/>
      <c r="AI999" s="37"/>
      <c r="AJ999" s="37"/>
      <c r="AK999" s="37"/>
      <c r="AL999" s="37"/>
      <c r="AM999" s="37"/>
      <c r="AN999" s="37"/>
      <c r="AO999" s="37"/>
      <c r="AP999" s="37"/>
      <c r="AQ999" s="37"/>
    </row>
    <row r="1000">
      <c r="A1000" s="55">
        <f t="shared" si="7"/>
        <v>76457</v>
      </c>
      <c r="B1000" s="56">
        <f>round(YEARFRAC(EOMONTH(questions!$C$3, 0),A1000,1),2)</f>
        <v>110.41</v>
      </c>
      <c r="C1000" s="58">
        <f>IF(B1000&lt;questions!$C$6,if(MONTH(A1000)=1,C999*(1+questions!$C$12),C999),0)</f>
        <v>0</v>
      </c>
      <c r="D1000" s="58">
        <f>IF(MONTH(A1000)=12,C1000*questions!$C$11,0)</f>
        <v>0</v>
      </c>
      <c r="E1000" s="71">
        <f t="shared" si="2"/>
        <v>0</v>
      </c>
      <c r="F1000" s="71">
        <f t="shared" si="3"/>
        <v>0</v>
      </c>
      <c r="G1000" s="61">
        <f t="array" ref="G1000">if(YEAR(A1000)=2025,XLOOKUP(B1000,Lookup!$A$3:$A$7,Lookup!$D$3:$D$7,,1)*SUM(E1000:F1000), XLOOKUP(B1000,Lookup!$A$14:$A$18,Lookup!$D$14:$D$18,,1)*SUM(E1000:F1000))</f>
        <v>0</v>
      </c>
      <c r="H1000" s="61">
        <f t="array" ref="H1000">if(YEAR(A1000)=2025,XLOOKUP(B1000,Lookup!$F$3:$F$10,Lookup!$G$3:$G$10,,1)*G1000, XLOOKUP(B1000,Lookup!$F$14:$F$21,Lookup!$G$14:$G$21,,1)*G1000)</f>
        <v>0</v>
      </c>
      <c r="I1000" s="61">
        <f t="array" ref="I1000">if(B1000&lt;55, if(YEAR(A1000)=2025,XLOOKUP(B1000,Lookup!$F$3:$F$10,Lookup!$H$3:$H$10,,1)*G1000, XLOOKUP(B1000,Lookup!$F$14:$F$21,Lookup!$H$14:$H$21,,1)*G1000),0)</f>
        <v>0</v>
      </c>
      <c r="J1000" s="61">
        <f t="array" ref="J1000">if(YEAR(A1000)=2025,XLOOKUP(B1000,Lookup!$F$3:$F$10,Lookup!$I$3:$I$10,,1)*G1000, XLOOKUP(B1000,Lookup!$F$14:$F$21,Lookup!$I$14:$I$21,,1)*G1000)</f>
        <v>0</v>
      </c>
      <c r="K1000" s="61">
        <f t="array" ref="K1000">if(B1000&gt;54, if(YEAR(A1000)=2025,XLOOKUP(B1000,Lookup!$F$3:$F$10,Lookup!$H$3:$H$10,,1)*G1000, XLOOKUP(B1000,Lookup!$F$14:$F$21,Lookup!$H$14:$H$21,,1)*G1000),0)</f>
        <v>0</v>
      </c>
      <c r="L1000" s="62">
        <f>IF(and(A1000&lt;questions!$C$19,questions!$C$18="yes"),questions!$C$20,0)</f>
        <v>0</v>
      </c>
      <c r="M1000" s="63">
        <f>(Y999+H1000)*Lookup!A$26/12</f>
        <v>6268.784266</v>
      </c>
      <c r="N1000" s="63">
        <f>if(B1000&lt;55, (Z999+I1000)*Lookup!B$26/12, (AB999+K1000)*Lookup!B$26/12)</f>
        <v>18516.33898</v>
      </c>
      <c r="O1000" s="63">
        <f>(AA999+J1000)*Lookup!C$26/12</f>
        <v>940.3700287</v>
      </c>
      <c r="P1000" s="63">
        <f t="shared" si="8"/>
        <v>25075.13706</v>
      </c>
      <c r="Q1000" s="63">
        <f t="shared" si="4"/>
        <v>74065.35592</v>
      </c>
      <c r="R1000" s="63">
        <f t="shared" si="5"/>
        <v>3761.480115</v>
      </c>
      <c r="S1000" s="64">
        <f t="shared" si="9"/>
        <v>33.33333333</v>
      </c>
      <c r="T1000" s="64">
        <f t="shared" si="10"/>
        <v>41.66666667</v>
      </c>
      <c r="U1000" s="64">
        <f t="shared" si="11"/>
        <v>0</v>
      </c>
      <c r="V1000" s="64">
        <f t="shared" ref="V1000:X1000" si="1008">IF(year($A1000)=year($A999), V999+S1000, S1000)</f>
        <v>133.3333333</v>
      </c>
      <c r="W1000" s="64">
        <f t="shared" si="1008"/>
        <v>166.6666667</v>
      </c>
      <c r="X1000" s="64">
        <f t="shared" si="1008"/>
        <v>0</v>
      </c>
      <c r="Y1000" s="65">
        <f>IFS(
  B1000&lt;55,
    MAX(
      Y999 + IF(MONTH(A1000)=12, P1000+V1000, 0) + H1000 - L1000
      + MAX(0,
          IF(AA999 &gt;= VLOOKUP(YEAR(A1000), Lookup!$Q:$R, 2),
            Z999 + IF(MONTH(A1000)=12, Q1000+W1000, 0) + I1000
              + AA999 + IF(MONTH(A1000)=12, R1000+X1000, 0)
              - VLOOKUP(YEAR(A1000), Lookup!$Q:$R, 2) + J1000,
            Z999 + IF(MONTH(A1000)=12, Q1000+W1000, 0) + I1000
          ) - VLOOKUP(YEAR(A1000), Lookup!$K:$M, 3)
        ),
    0),
  B1000=55,
    IF(Z999&gt;=AD1000,
      MAX(Y999 + IF(MONTH(A1000)=12, P1000+V1000, 0) + H1000 - L1000, 0),
      MAX(MAX(0, Y999-(AD1000-Z999)) + IF(MONTH(A1000)=12, P1000+V1000, 0) + H1000 - L1000, 0)
    ),
  B1000&gt;55,
    IF(AB999&gt;=$AH$7,
      MAX(Y999 + IF(MONTH(A1000)=12, P1000+V1000, 0) + H1000 - L1000 + K1000 + Z999, 0),
      MAX(Y999 + IF(MONTH(A1000)=12, P1000+V1000, 0) + H1000 - L1000, 0)
    )
)</f>
        <v>3009016.448</v>
      </c>
      <c r="Z1000" s="65">
        <f>IFS(
  B1000&lt;55,
    MIN(
      IF(AA999 &gt;= VLOOKUP(YEAR(A1000), Lookup!$Q:$R, 2),
        Z999 + IF(MONTH(A1000)=12, Q1000+W1000, 0) + I1000
          + AA999 + IF(MONTH(A1000)=12, R1000+X1000, 0) - VLOOKUP(YEAR(A1000), Lookup!$Q:$R, 2) + J1000,
        Z999 + IF(MONTH(A1000)=12, Q1000+W1000, 0) + I1000
      ),
      VLOOKUP(YEAR(A1000), Lookup!$K:$M, 3)
    ),
  B1000=55,
    IF(Z999 &gt;= AD1000, Z999 - AD1000, 0),
  B1000&gt;55, 0
)</f>
        <v>0</v>
      </c>
      <c r="AA1000" s="65">
        <f>IFS(
  B1000&lt;65,
    IF(AA999+J1000 &lt; VLOOKUP(YEAR(A1000), Lookup!$Q:$R, 2),
      AA999 + IF(MONTH(A1000)=12, R999+X999, 0) + J1000,
      MIN(
        AA999 + IF(MONTH(A1000)=12, R999+X999, 0) + J1000 ,
        VLOOKUP(YEAR(A1000), Lookup!$Q:$R, 2)
      )
    ),
  B1000&gt;=65,
    IF(AA999+J1000 &lt; VLOOKUP(questions!$C$5, Lookup!$Q:$R, 2),
      AA999 + IF(MONTH(A1000)=12, R999+X999, 0) + J1000 ,
      MIN(
        AA999 + IF(MONTH(A1000)=12, R999+X999, 0) + J1000,
        VLOOKUP(questions!$C$5, Lookup!$Q:$R, 2)
      )
    )
)</f>
        <v>282111.0086</v>
      </c>
      <c r="AB1000" s="65">
        <f t="shared" si="13"/>
        <v>5554901.694</v>
      </c>
      <c r="AC1000" s="66">
        <f t="array" ref="AC1000">IFS(B1000&lt;66, XLOOKUP(year(A1000),Lookup!$K$13:$K1000,Lookup!$L$13:$L1000,"missing",,1),B1000&gt;65,XLOOKUP(questions!$C$5,Lookup!$K$13:$K1000,Lookup!$L$13:$L1000,"missing",,1))</f>
        <v>393675.3633</v>
      </c>
      <c r="AD1000" s="66">
        <f t="array" ref="AD1000">IFS(B1000&lt;66, XLOOKUP(year(A1000),Lookup!$K$13:$K1000,Lookup!$M$13:$M1000,"missing",,1),B1000&gt;65, XLOOKUP(questions!$C$5,Lookup!$K$13:$K1000,Lookup!$M$13:$M1000,"missing",,1))</f>
        <v>787350.7266</v>
      </c>
      <c r="AE1000" s="66">
        <f t="array" ref="AE1000">IFS(B1000&lt;66, XLOOKUP(year(A1000),Lookup!$K$13:$K1000,Lookup!$N$13:$N1000,"missing",,1),B1000&gt;65,XLOOKUP(questions!$C$5,Lookup!$K$13:$K1000,Lookup!$N$13:$N1000,"missing",,1))</f>
        <v>1574701.453</v>
      </c>
      <c r="AF1000" s="37"/>
      <c r="AG1000" s="37"/>
      <c r="AH1000" s="37"/>
      <c r="AI1000" s="37"/>
      <c r="AJ1000" s="37"/>
      <c r="AK1000" s="37"/>
      <c r="AL1000" s="37"/>
      <c r="AM1000" s="37"/>
      <c r="AN1000" s="37"/>
      <c r="AO1000" s="37"/>
      <c r="AP1000" s="37"/>
      <c r="AQ1000" s="37"/>
    </row>
  </sheetData>
  <mergeCells count="10">
    <mergeCell ref="S1:X1"/>
    <mergeCell ref="Y1:AB1"/>
    <mergeCell ref="AC1:AE1"/>
    <mergeCell ref="A1:A2"/>
    <mergeCell ref="B1:B2"/>
    <mergeCell ref="C1:C2"/>
    <mergeCell ref="D1:D2"/>
    <mergeCell ref="E1:F1"/>
    <mergeCell ref="G1:K1"/>
    <mergeCell ref="M1:R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3.0"/>
    <col customWidth="1" min="3" max="3" width="26.0"/>
  </cols>
  <sheetData>
    <row r="1">
      <c r="A1" s="1" t="s">
        <v>80</v>
      </c>
      <c r="B1" s="72" t="s">
        <v>81</v>
      </c>
    </row>
    <row r="2">
      <c r="A2" s="1" t="s">
        <v>82</v>
      </c>
    </row>
    <row r="4">
      <c r="A4" s="1" t="s">
        <v>83</v>
      </c>
      <c r="B4" s="73">
        <f>TODAY()</f>
        <v>46108</v>
      </c>
    </row>
    <row r="5">
      <c r="A5" s="74">
        <f>questions!C15</f>
        <v>7500</v>
      </c>
      <c r="B5" s="74">
        <f>questions!C16</f>
        <v>2500</v>
      </c>
      <c r="C5" s="74">
        <f>questions!C17</f>
        <v>2500</v>
      </c>
    </row>
    <row r="6">
      <c r="A6" s="75" t="s">
        <v>73</v>
      </c>
      <c r="B6" s="75" t="s">
        <v>74</v>
      </c>
      <c r="C6" s="75" t="s">
        <v>75</v>
      </c>
    </row>
    <row r="8">
      <c r="A8" s="1" t="s">
        <v>84</v>
      </c>
    </row>
    <row r="9">
      <c r="A9" s="67">
        <f t="array" ref="A9">INDEX(calculations!Y:Y, XLOOKUP(55,calculations!B:B,row(calculations!B:B)) - 1)</f>
        <v>641964.1847</v>
      </c>
      <c r="B9" s="67">
        <f t="array" ref="B9">INDEX(calculations!Z:Z, XLOOKUP(55,calculations!B:B,row(calculations!B:B)) - 1)</f>
        <v>549331.9374</v>
      </c>
      <c r="C9" s="67">
        <f t="array" ref="C9">INDEX(calculations!AA:AA, XLOOKUP(55,calculations!B:B,row(calculations!B:B)) - 1)</f>
        <v>199993.8016</v>
      </c>
    </row>
    <row r="10">
      <c r="A10" s="68" t="s">
        <v>73</v>
      </c>
      <c r="B10" s="68" t="s">
        <v>74</v>
      </c>
      <c r="C10" s="68" t="s">
        <v>75</v>
      </c>
    </row>
    <row r="11">
      <c r="A11" s="76"/>
      <c r="B11" s="76"/>
      <c r="C11" s="76"/>
    </row>
    <row r="12">
      <c r="A12" s="1" t="str">
        <f>CONCAT("Projected CPF savings at age ",questions!C6)</f>
        <v>Projected CPF savings at age 60</v>
      </c>
      <c r="B12" s="76"/>
      <c r="C12" s="76"/>
    </row>
    <row r="13">
      <c r="A13" s="67">
        <f t="array" ref="A13">INDEX(calculations!Y:Y, XLOOKUP(questions!C6,calculations!B:B,row(calculations!B:B)) - 1)</f>
        <v>842829.644</v>
      </c>
      <c r="B13" s="67">
        <f t="array" ref="B13">INDEX(calculations!AB:AB, XLOOKUP(questions!C6,calculations!B:B,row(calculations!B:B)) - 1)</f>
        <v>740905.4217</v>
      </c>
      <c r="C13" s="67">
        <f t="array" ref="C13">INDEX(calculations!AA:AA, XLOOKUP(questions!C6,calculations!B:B,row(calculations!B:B)) - 1)</f>
        <v>237529.8993</v>
      </c>
    </row>
    <row r="14">
      <c r="A14" s="68" t="s">
        <v>73</v>
      </c>
      <c r="B14" s="68" t="s">
        <v>85</v>
      </c>
      <c r="C14" s="68" t="s">
        <v>75</v>
      </c>
    </row>
    <row r="16">
      <c r="A16" s="1" t="s">
        <v>86</v>
      </c>
    </row>
    <row r="17">
      <c r="A17" s="69">
        <f t="array" ref="A17">XLOOKUP(55,calculations!B:B,calculations!AC:AC,,1)</f>
        <v>279083.8715</v>
      </c>
      <c r="B17" s="69">
        <f t="array" ref="B17">XLOOKUP(55,calculations!B:B,calculations!AD:AD,,1)</f>
        <v>558167.7431</v>
      </c>
      <c r="C17" s="69">
        <f t="array" ref="C17">XLOOKUP(55,calculations!B:B,calculations!AE:AE,,1)</f>
        <v>1116335.486</v>
      </c>
    </row>
    <row r="18">
      <c r="A18" s="70" t="s">
        <v>77</v>
      </c>
      <c r="B18" s="70" t="s">
        <v>78</v>
      </c>
      <c r="C18" s="70" t="s">
        <v>79</v>
      </c>
    </row>
    <row r="20">
      <c r="A20" s="1" t="s">
        <v>87</v>
      </c>
    </row>
    <row r="21">
      <c r="A21" s="77">
        <f t="array" ref="A21">XLOOKUP(55,calculations!B:B,calculations!AC:AC,,1)*1.04^10</f>
        <v>413112.3059</v>
      </c>
      <c r="B21" s="77">
        <f t="array" ref="B21">XLOOKUP(55,calculations!B:B,calculations!AD:AD,,1)*1.04^10</f>
        <v>826224.6117</v>
      </c>
      <c r="C21" s="77">
        <f t="array" ref="C21">XLOOKUP(65,calculations!B:B,calculations!AE:AE,,1)</f>
        <v>1574701.453</v>
      </c>
    </row>
    <row r="22">
      <c r="A22" s="78" t="s">
        <v>77</v>
      </c>
      <c r="B22" s="78" t="s">
        <v>78</v>
      </c>
      <c r="C22" s="78" t="s">
        <v>79</v>
      </c>
    </row>
    <row r="24">
      <c r="A24" s="1" t="s">
        <v>88</v>
      </c>
    </row>
    <row r="26">
      <c r="C26" s="76" t="s">
        <v>77</v>
      </c>
      <c r="D26" s="79" t="str">
        <f t="array" ref="D26">if(questions!C2&lt;55,IF(AND(questions!$C$21="yes",SUM(xlookup(55,calculations!$B:$B,calculations!$Y:$Y),XLOOKUP(55,calculations!$B:$B,calculations!$AB:$AB))&gt;=$A$17),"yes","no"),IF(AND(questions!$C$21="yes",questions!C16&gt;=$A$17),"yes","no"))</f>
        <v>yes</v>
      </c>
    </row>
    <row r="28">
      <c r="C28" s="76" t="s">
        <v>78</v>
      </c>
      <c r="D28" s="79" t="str">
        <f t="array" ref="D28">if(questions!C2&lt;55,IF(SUM(xlookup(55,calculations!$B:$B,calculations!$Y:$Y),XLOOKUP(55,calculations!$B:$B,calculations!$AB:$AB))&gt;=$B$17,"yes","no"),IF(questions!C16&gt;=$B$17,"yes","no"))</f>
        <v>yes</v>
      </c>
    </row>
    <row r="30">
      <c r="C30" s="76" t="s">
        <v>79</v>
      </c>
      <c r="D30" s="79" t="str">
        <f t="array" ref="D30">if(questions!C2&lt;55, IF(SUM(xlookup(55,calculations!$B:$B,calculations!$Y:$Y),XLOOKUP(55,calculations!$B:$B,calculations!$AB:$AB))&gt;=$C$17,"yes","no"), IF(SUM(questions!C16,questions!C15)&gt;=$C$17,"yes","no"))</f>
        <v>yes</v>
      </c>
    </row>
    <row r="39">
      <c r="A39" s="75"/>
    </row>
    <row r="49">
      <c r="P49" s="1" t="s">
        <v>89</v>
      </c>
    </row>
    <row r="122">
      <c r="D122" s="80"/>
    </row>
    <row r="123">
      <c r="D123" s="80"/>
    </row>
    <row r="124">
      <c r="D124" s="80"/>
    </row>
  </sheetData>
  <mergeCells count="1">
    <mergeCell ref="A39:C39"/>
  </mergeCells>
  <hyperlinks>
    <hyperlink r:id="rId1" ref="B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6" max="6" width="17.25"/>
    <col customWidth="1" min="11" max="11" width="15.5"/>
    <col customWidth="1" min="12" max="12" width="22.63"/>
    <col customWidth="1" min="13" max="13" width="21.13"/>
  </cols>
  <sheetData>
    <row r="1">
      <c r="A1" s="81" t="s">
        <v>90</v>
      </c>
      <c r="F1" s="3" t="s">
        <v>91</v>
      </c>
      <c r="K1" s="3" t="s">
        <v>92</v>
      </c>
      <c r="N1" s="82"/>
      <c r="Q1" s="83" t="s">
        <v>93</v>
      </c>
    </row>
    <row r="2">
      <c r="A2" s="76" t="s">
        <v>94</v>
      </c>
      <c r="B2" s="1" t="s">
        <v>95</v>
      </c>
      <c r="C2" s="1" t="s">
        <v>96</v>
      </c>
      <c r="D2" s="1" t="s">
        <v>76</v>
      </c>
      <c r="F2" s="76" t="s">
        <v>94</v>
      </c>
      <c r="G2" s="76" t="s">
        <v>36</v>
      </c>
      <c r="H2" s="76" t="s">
        <v>97</v>
      </c>
      <c r="I2" s="76" t="s">
        <v>40</v>
      </c>
      <c r="K2" s="1" t="s">
        <v>98</v>
      </c>
      <c r="L2" s="1" t="s">
        <v>77</v>
      </c>
      <c r="M2" s="1" t="s">
        <v>78</v>
      </c>
      <c r="N2" s="84" t="s">
        <v>99</v>
      </c>
      <c r="Q2" s="85" t="s">
        <v>100</v>
      </c>
      <c r="R2" s="86" t="s">
        <v>101</v>
      </c>
      <c r="S2" s="1" t="s">
        <v>102</v>
      </c>
    </row>
    <row r="3">
      <c r="A3" s="76">
        <v>55.0</v>
      </c>
      <c r="B3" s="87">
        <v>0.17</v>
      </c>
      <c r="C3" s="87">
        <v>0.2</v>
      </c>
      <c r="D3" s="88">
        <f t="shared" ref="D3:D7" si="1">SUM(B3:C3)</f>
        <v>0.37</v>
      </c>
      <c r="F3" s="76">
        <v>35.0</v>
      </c>
      <c r="G3" s="1">
        <v>0.6217</v>
      </c>
      <c r="H3" s="1">
        <v>0.1621</v>
      </c>
      <c r="I3" s="1">
        <v>0.2162</v>
      </c>
      <c r="K3" s="1">
        <v>2006.0</v>
      </c>
      <c r="L3" s="89">
        <f t="shared" ref="L3:L12" si="2">0.5*M3</f>
        <v>45000</v>
      </c>
      <c r="M3" s="89">
        <v>90000.0</v>
      </c>
      <c r="N3" s="90">
        <f t="shared" ref="N3:N21" si="3">L3*3</f>
        <v>135000</v>
      </c>
      <c r="Q3" s="91">
        <v>2016.0</v>
      </c>
      <c r="R3" s="92">
        <v>49800.0</v>
      </c>
      <c r="S3" s="93">
        <f t="shared" ref="S3:S13" si="4">(R4-R3)/R4</f>
        <v>0.04230769231</v>
      </c>
    </row>
    <row r="4">
      <c r="A4" s="76">
        <v>60.0</v>
      </c>
      <c r="B4" s="87">
        <v>0.155</v>
      </c>
      <c r="C4" s="87">
        <v>0.17</v>
      </c>
      <c r="D4" s="88">
        <f t="shared" si="1"/>
        <v>0.325</v>
      </c>
      <c r="F4" s="76">
        <v>45.0</v>
      </c>
      <c r="G4" s="1">
        <v>0.5677</v>
      </c>
      <c r="H4" s="1">
        <v>0.1891</v>
      </c>
      <c r="I4" s="1">
        <v>0.2432</v>
      </c>
      <c r="K4" s="1">
        <v>2007.0</v>
      </c>
      <c r="L4" s="89">
        <f t="shared" si="2"/>
        <v>47300</v>
      </c>
      <c r="M4" s="89">
        <v>94600.0</v>
      </c>
      <c r="N4" s="90">
        <f t="shared" si="3"/>
        <v>141900</v>
      </c>
      <c r="Q4" s="91">
        <v>2017.0</v>
      </c>
      <c r="R4" s="94">
        <v>52000.0</v>
      </c>
      <c r="S4" s="93">
        <f t="shared" si="4"/>
        <v>0.04587155963</v>
      </c>
    </row>
    <row r="5">
      <c r="A5" s="76">
        <v>65.0</v>
      </c>
      <c r="B5" s="87">
        <v>0.12</v>
      </c>
      <c r="C5" s="87">
        <v>0.115</v>
      </c>
      <c r="D5" s="88">
        <f t="shared" si="1"/>
        <v>0.235</v>
      </c>
      <c r="F5" s="76">
        <v>50.0</v>
      </c>
      <c r="G5" s="1">
        <v>0.5136</v>
      </c>
      <c r="H5" s="1">
        <v>0.2162</v>
      </c>
      <c r="I5" s="1">
        <v>0.2702</v>
      </c>
      <c r="K5" s="1">
        <v>2008.0</v>
      </c>
      <c r="L5" s="89">
        <f t="shared" si="2"/>
        <v>49800</v>
      </c>
      <c r="M5" s="89">
        <v>99600.0</v>
      </c>
      <c r="N5" s="90">
        <f t="shared" si="3"/>
        <v>149400</v>
      </c>
      <c r="Q5" s="91">
        <v>2018.0</v>
      </c>
      <c r="R5" s="94">
        <v>54500.0</v>
      </c>
      <c r="S5" s="93">
        <f t="shared" si="4"/>
        <v>0.0472027972</v>
      </c>
    </row>
    <row r="6">
      <c r="A6" s="76">
        <v>70.0</v>
      </c>
      <c r="B6" s="87">
        <v>0.09</v>
      </c>
      <c r="C6" s="87">
        <v>0.075</v>
      </c>
      <c r="D6" s="88">
        <f t="shared" si="1"/>
        <v>0.165</v>
      </c>
      <c r="F6" s="76">
        <v>55.0</v>
      </c>
      <c r="G6" s="1">
        <v>0.4055</v>
      </c>
      <c r="H6" s="1">
        <v>0.3108</v>
      </c>
      <c r="I6" s="1">
        <v>0.2837</v>
      </c>
      <c r="K6" s="1">
        <v>2009.0</v>
      </c>
      <c r="L6" s="89">
        <f t="shared" si="2"/>
        <v>53000</v>
      </c>
      <c r="M6" s="89">
        <v>106000.0</v>
      </c>
      <c r="N6" s="90">
        <f t="shared" si="3"/>
        <v>159000</v>
      </c>
      <c r="Q6" s="91">
        <v>2019.0</v>
      </c>
      <c r="R6" s="94">
        <v>57200.0</v>
      </c>
      <c r="S6" s="93">
        <f t="shared" si="4"/>
        <v>0.04666666667</v>
      </c>
    </row>
    <row r="7">
      <c r="A7" s="76">
        <v>1000.0</v>
      </c>
      <c r="B7" s="87">
        <v>0.075</v>
      </c>
      <c r="C7" s="87">
        <v>0.05</v>
      </c>
      <c r="D7" s="88">
        <f t="shared" si="1"/>
        <v>0.125</v>
      </c>
      <c r="F7" s="76">
        <v>60.0</v>
      </c>
      <c r="G7" s="1">
        <v>0.3694</v>
      </c>
      <c r="H7" s="1">
        <v>0.3076</v>
      </c>
      <c r="I7" s="1">
        <v>0.323</v>
      </c>
      <c r="K7" s="1">
        <v>2010.0</v>
      </c>
      <c r="L7" s="89">
        <f t="shared" si="2"/>
        <v>58500</v>
      </c>
      <c r="M7" s="89">
        <v>117000.0</v>
      </c>
      <c r="N7" s="90">
        <f t="shared" si="3"/>
        <v>175500</v>
      </c>
      <c r="Q7" s="91">
        <v>2020.0</v>
      </c>
      <c r="R7" s="94">
        <v>60000.0</v>
      </c>
      <c r="S7" s="93">
        <f t="shared" si="4"/>
        <v>0.04761904762</v>
      </c>
    </row>
    <row r="8">
      <c r="F8" s="76">
        <v>65.0</v>
      </c>
      <c r="G8" s="1">
        <v>0.149</v>
      </c>
      <c r="H8" s="1">
        <v>0.4042</v>
      </c>
      <c r="I8" s="1">
        <v>0.4468</v>
      </c>
      <c r="K8" s="1">
        <v>2011.0</v>
      </c>
      <c r="L8" s="89">
        <f t="shared" si="2"/>
        <v>61500</v>
      </c>
      <c r="M8" s="89">
        <v>123000.0</v>
      </c>
      <c r="N8" s="90">
        <f t="shared" si="3"/>
        <v>184500</v>
      </c>
      <c r="Q8" s="91">
        <v>2021.0</v>
      </c>
      <c r="R8" s="94">
        <v>63000.0</v>
      </c>
      <c r="S8" s="93">
        <f t="shared" si="4"/>
        <v>0.04545454545</v>
      </c>
    </row>
    <row r="9">
      <c r="A9" s="81"/>
      <c r="F9" s="76">
        <v>70.0</v>
      </c>
      <c r="G9" s="1">
        <v>0.0607</v>
      </c>
      <c r="H9" s="1">
        <v>0.303</v>
      </c>
      <c r="I9" s="1">
        <v>0.6363</v>
      </c>
      <c r="K9" s="1">
        <v>2012.0</v>
      </c>
      <c r="L9" s="89">
        <f t="shared" si="2"/>
        <v>65500</v>
      </c>
      <c r="M9" s="89">
        <v>131000.0</v>
      </c>
      <c r="N9" s="90">
        <f t="shared" si="3"/>
        <v>196500</v>
      </c>
      <c r="Q9" s="91">
        <v>2022.0</v>
      </c>
      <c r="R9" s="94">
        <v>66000.0</v>
      </c>
      <c r="S9" s="93">
        <f t="shared" si="4"/>
        <v>0.03649635036</v>
      </c>
    </row>
    <row r="10">
      <c r="A10" s="81"/>
      <c r="F10" s="76">
        <v>1000.0</v>
      </c>
      <c r="G10" s="1">
        <v>0.08</v>
      </c>
      <c r="H10" s="1">
        <v>0.08</v>
      </c>
      <c r="I10" s="1">
        <v>0.84</v>
      </c>
      <c r="K10" s="1">
        <v>2013.0</v>
      </c>
      <c r="L10" s="89">
        <f t="shared" si="2"/>
        <v>69500</v>
      </c>
      <c r="M10" s="89">
        <v>139000.0</v>
      </c>
      <c r="N10" s="90">
        <f t="shared" si="3"/>
        <v>208500</v>
      </c>
      <c r="Q10" s="91">
        <v>2023.0</v>
      </c>
      <c r="R10" s="94">
        <v>68500.0</v>
      </c>
      <c r="S10" s="93">
        <f t="shared" si="4"/>
        <v>0.04195804196</v>
      </c>
    </row>
    <row r="11">
      <c r="A11" s="81"/>
      <c r="F11" s="76"/>
      <c r="G11" s="1"/>
      <c r="H11" s="1"/>
      <c r="I11" s="1"/>
      <c r="K11" s="1">
        <v>2014.0</v>
      </c>
      <c r="L11" s="89">
        <f t="shared" si="2"/>
        <v>74000</v>
      </c>
      <c r="M11" s="89">
        <v>148000.0</v>
      </c>
      <c r="N11" s="90">
        <f t="shared" si="3"/>
        <v>222000</v>
      </c>
      <c r="Q11" s="91">
        <v>2024.0</v>
      </c>
      <c r="R11" s="94">
        <v>71500.0</v>
      </c>
      <c r="S11" s="93">
        <f t="shared" si="4"/>
        <v>0.05298013245</v>
      </c>
    </row>
    <row r="12">
      <c r="A12" s="81" t="s">
        <v>103</v>
      </c>
      <c r="F12" s="3" t="s">
        <v>104</v>
      </c>
      <c r="K12" s="1">
        <v>2015.0</v>
      </c>
      <c r="L12" s="89">
        <f t="shared" si="2"/>
        <v>77500</v>
      </c>
      <c r="M12" s="89">
        <v>155000.0</v>
      </c>
      <c r="N12" s="90">
        <f t="shared" si="3"/>
        <v>232500</v>
      </c>
      <c r="Q12" s="91">
        <v>2025.0</v>
      </c>
      <c r="R12" s="94">
        <v>75500.0</v>
      </c>
      <c r="S12" s="93">
        <f t="shared" si="4"/>
        <v>0.04430379747</v>
      </c>
    </row>
    <row r="13">
      <c r="A13" s="76" t="s">
        <v>94</v>
      </c>
      <c r="B13" s="1" t="s">
        <v>95</v>
      </c>
      <c r="C13" s="1" t="s">
        <v>96</v>
      </c>
      <c r="D13" s="1" t="s">
        <v>76</v>
      </c>
      <c r="F13" s="76" t="s">
        <v>94</v>
      </c>
      <c r="G13" s="76" t="s">
        <v>36</v>
      </c>
      <c r="H13" s="76" t="s">
        <v>97</v>
      </c>
      <c r="I13" s="76" t="s">
        <v>40</v>
      </c>
      <c r="K13" s="1">
        <v>2016.0</v>
      </c>
      <c r="L13" s="89">
        <v>80500.0</v>
      </c>
      <c r="M13" s="89">
        <v>161000.0</v>
      </c>
      <c r="N13" s="90">
        <f t="shared" si="3"/>
        <v>241500</v>
      </c>
      <c r="Q13" s="91">
        <v>2026.0</v>
      </c>
      <c r="R13" s="94">
        <v>79000.0</v>
      </c>
      <c r="S13" s="93">
        <f t="shared" si="4"/>
        <v>0.03381642512</v>
      </c>
    </row>
    <row r="14">
      <c r="A14" s="76">
        <v>55.0</v>
      </c>
      <c r="B14" s="87">
        <v>0.17</v>
      </c>
      <c r="C14" s="87">
        <v>0.2</v>
      </c>
      <c r="D14" s="88">
        <f t="shared" ref="D14:D18" si="5">SUM(B14:C14)</f>
        <v>0.37</v>
      </c>
      <c r="F14" s="76">
        <v>35.0</v>
      </c>
      <c r="G14" s="1">
        <v>0.6217</v>
      </c>
      <c r="H14" s="1">
        <v>0.1621</v>
      </c>
      <c r="I14" s="1">
        <v>0.2162</v>
      </c>
      <c r="K14" s="1">
        <v>2017.0</v>
      </c>
      <c r="L14" s="89">
        <v>83000.0</v>
      </c>
      <c r="M14" s="89">
        <v>166000.0</v>
      </c>
      <c r="N14" s="90">
        <f t="shared" si="3"/>
        <v>249000</v>
      </c>
      <c r="Q14" s="91">
        <v>2027.0</v>
      </c>
      <c r="R14" s="95">
        <f t="shared" ref="R14:R69" si="6">R13*1.035</f>
        <v>81765</v>
      </c>
    </row>
    <row r="15">
      <c r="A15" s="76">
        <v>60.0</v>
      </c>
      <c r="B15" s="87">
        <v>0.16</v>
      </c>
      <c r="C15" s="87">
        <v>0.18</v>
      </c>
      <c r="D15" s="88">
        <f t="shared" si="5"/>
        <v>0.34</v>
      </c>
      <c r="F15" s="76">
        <v>45.0</v>
      </c>
      <c r="G15" s="1">
        <v>0.5677</v>
      </c>
      <c r="H15" s="1">
        <v>0.1891</v>
      </c>
      <c r="I15" s="1">
        <v>0.2432</v>
      </c>
      <c r="K15" s="1">
        <v>2018.0</v>
      </c>
      <c r="L15" s="89">
        <v>85500.0</v>
      </c>
      <c r="M15" s="89">
        <v>171000.0</v>
      </c>
      <c r="N15" s="90">
        <f t="shared" si="3"/>
        <v>256500</v>
      </c>
      <c r="O15" s="96"/>
      <c r="Q15" s="91">
        <v>2028.0</v>
      </c>
      <c r="R15" s="95">
        <f t="shared" si="6"/>
        <v>84626.775</v>
      </c>
    </row>
    <row r="16">
      <c r="A16" s="76">
        <v>65.0</v>
      </c>
      <c r="B16" s="87">
        <v>0.125</v>
      </c>
      <c r="C16" s="87">
        <v>0.125</v>
      </c>
      <c r="D16" s="88">
        <f t="shared" si="5"/>
        <v>0.25</v>
      </c>
      <c r="F16" s="76">
        <v>50.0</v>
      </c>
      <c r="G16" s="1">
        <v>0.5136</v>
      </c>
      <c r="H16" s="1">
        <v>0.2162</v>
      </c>
      <c r="I16" s="1">
        <v>0.2702</v>
      </c>
      <c r="K16" s="1">
        <v>2019.0</v>
      </c>
      <c r="L16" s="89">
        <v>88000.0</v>
      </c>
      <c r="M16" s="89">
        <v>176000.0</v>
      </c>
      <c r="N16" s="90">
        <f t="shared" si="3"/>
        <v>264000</v>
      </c>
      <c r="O16" s="96"/>
      <c r="Q16" s="91">
        <v>2029.0</v>
      </c>
      <c r="R16" s="95">
        <f t="shared" si="6"/>
        <v>87588.71213</v>
      </c>
    </row>
    <row r="17">
      <c r="A17" s="76">
        <v>70.0</v>
      </c>
      <c r="B17" s="87">
        <v>0.09</v>
      </c>
      <c r="C17" s="87">
        <v>0.075</v>
      </c>
      <c r="D17" s="88">
        <f t="shared" si="5"/>
        <v>0.165</v>
      </c>
      <c r="F17" s="76">
        <v>55.0</v>
      </c>
      <c r="G17" s="1">
        <v>0.4055</v>
      </c>
      <c r="H17" s="1">
        <v>0.3108</v>
      </c>
      <c r="I17" s="1">
        <v>0.2837</v>
      </c>
      <c r="K17" s="1">
        <v>2020.0</v>
      </c>
      <c r="L17" s="89">
        <v>90500.0</v>
      </c>
      <c r="M17" s="89">
        <v>181000.0</v>
      </c>
      <c r="N17" s="90">
        <f t="shared" si="3"/>
        <v>271500</v>
      </c>
      <c r="O17" s="97"/>
      <c r="Q17" s="91">
        <v>2030.0</v>
      </c>
      <c r="R17" s="95">
        <f t="shared" si="6"/>
        <v>90654.31705</v>
      </c>
    </row>
    <row r="18">
      <c r="A18" s="76">
        <v>1000.0</v>
      </c>
      <c r="B18" s="87">
        <v>0.075</v>
      </c>
      <c r="C18" s="87">
        <v>0.05</v>
      </c>
      <c r="D18" s="88">
        <f t="shared" si="5"/>
        <v>0.125</v>
      </c>
      <c r="F18" s="76">
        <v>60.0</v>
      </c>
      <c r="G18" s="1">
        <v>0.353</v>
      </c>
      <c r="H18" s="1">
        <v>0.3382</v>
      </c>
      <c r="I18" s="1">
        <v>0.3088</v>
      </c>
      <c r="K18" s="1">
        <v>2021.0</v>
      </c>
      <c r="L18" s="89">
        <v>93000.0</v>
      </c>
      <c r="M18" s="89">
        <v>186000.0</v>
      </c>
      <c r="N18" s="90">
        <f t="shared" si="3"/>
        <v>279000</v>
      </c>
      <c r="Q18" s="91">
        <v>2031.0</v>
      </c>
      <c r="R18" s="95">
        <f t="shared" si="6"/>
        <v>93827.21815</v>
      </c>
    </row>
    <row r="19">
      <c r="F19" s="76">
        <v>65.0</v>
      </c>
      <c r="G19" s="1">
        <v>0.14</v>
      </c>
      <c r="H19" s="1">
        <v>0.44</v>
      </c>
      <c r="I19" s="1">
        <v>0.42</v>
      </c>
      <c r="K19" s="1">
        <v>2022.0</v>
      </c>
      <c r="L19" s="89">
        <v>96000.0</v>
      </c>
      <c r="M19" s="89">
        <v>192000.0</v>
      </c>
      <c r="N19" s="90">
        <f t="shared" si="3"/>
        <v>288000</v>
      </c>
      <c r="Q19" s="91">
        <v>2032.0</v>
      </c>
      <c r="R19" s="95">
        <f t="shared" si="6"/>
        <v>97111.17078</v>
      </c>
    </row>
    <row r="20">
      <c r="F20" s="76">
        <v>70.0</v>
      </c>
      <c r="G20" s="1">
        <v>0.0607</v>
      </c>
      <c r="H20" s="1">
        <v>0.303</v>
      </c>
      <c r="I20" s="1">
        <v>0.6363</v>
      </c>
      <c r="K20" s="1">
        <v>2023.0</v>
      </c>
      <c r="L20" s="89">
        <v>99400.0</v>
      </c>
      <c r="M20" s="89">
        <v>198800.0</v>
      </c>
      <c r="N20" s="90">
        <f t="shared" si="3"/>
        <v>298200</v>
      </c>
      <c r="Q20" s="91">
        <v>2033.0</v>
      </c>
      <c r="R20" s="95">
        <f t="shared" si="6"/>
        <v>100510.0618</v>
      </c>
    </row>
    <row r="21">
      <c r="F21" s="76">
        <v>1000.0</v>
      </c>
      <c r="G21" s="1">
        <v>0.08</v>
      </c>
      <c r="H21" s="1">
        <v>0.08</v>
      </c>
      <c r="I21" s="1">
        <v>0.84</v>
      </c>
      <c r="K21" s="1">
        <v>2024.0</v>
      </c>
      <c r="L21" s="89">
        <v>102900.0</v>
      </c>
      <c r="M21" s="89">
        <v>205800.0</v>
      </c>
      <c r="N21" s="90">
        <f t="shared" si="3"/>
        <v>308700</v>
      </c>
      <c r="Q21" s="91">
        <v>2034.0</v>
      </c>
      <c r="R21" s="95">
        <f t="shared" si="6"/>
        <v>104027.9139</v>
      </c>
    </row>
    <row r="22">
      <c r="K22" s="1">
        <v>2025.0</v>
      </c>
      <c r="L22" s="89">
        <v>106500.0</v>
      </c>
      <c r="M22" s="89">
        <v>213000.0</v>
      </c>
      <c r="N22" s="98">
        <v>426000.0</v>
      </c>
      <c r="Q22" s="91">
        <v>2035.0</v>
      </c>
      <c r="R22" s="95">
        <f t="shared" si="6"/>
        <v>107668.8909</v>
      </c>
    </row>
    <row r="23">
      <c r="K23" s="1">
        <v>2026.0</v>
      </c>
      <c r="L23" s="89">
        <v>110200.0</v>
      </c>
      <c r="M23" s="89">
        <v>220400.0</v>
      </c>
      <c r="N23" s="98">
        <v>440800.0</v>
      </c>
      <c r="Q23" s="91">
        <v>2036.0</v>
      </c>
      <c r="R23" s="95">
        <f t="shared" si="6"/>
        <v>111437.3021</v>
      </c>
    </row>
    <row r="24">
      <c r="A24" s="1" t="s">
        <v>105</v>
      </c>
      <c r="K24" s="1">
        <v>2027.0</v>
      </c>
      <c r="L24" s="89">
        <v>114100.0</v>
      </c>
      <c r="M24" s="89">
        <v>228200.0</v>
      </c>
      <c r="N24" s="98">
        <v>456400.0</v>
      </c>
      <c r="Q24" s="91">
        <v>2037.0</v>
      </c>
      <c r="R24" s="95">
        <f t="shared" si="6"/>
        <v>115337.6077</v>
      </c>
    </row>
    <row r="25">
      <c r="A25" s="99" t="s">
        <v>36</v>
      </c>
      <c r="B25" s="99" t="s">
        <v>38</v>
      </c>
      <c r="C25" s="99" t="s">
        <v>40</v>
      </c>
      <c r="D25" s="99" t="s">
        <v>64</v>
      </c>
      <c r="K25" s="1">
        <v>2028.0</v>
      </c>
      <c r="L25" s="89">
        <f t="shared" ref="L25:L130" si="7">L24*1.035</f>
        <v>118093.5</v>
      </c>
      <c r="M25" s="100">
        <f t="shared" ref="M25:M130" si="8">L25*2</f>
        <v>236187</v>
      </c>
      <c r="N25" s="101">
        <f t="shared" ref="N25:N130" si="9">L25*4</f>
        <v>472374</v>
      </c>
      <c r="Q25" s="91">
        <v>2038.0</v>
      </c>
      <c r="R25" s="95">
        <f t="shared" si="6"/>
        <v>119374.4239</v>
      </c>
    </row>
    <row r="26">
      <c r="A26" s="87">
        <v>0.025</v>
      </c>
      <c r="B26" s="87">
        <v>0.04</v>
      </c>
      <c r="C26" s="87">
        <v>0.04</v>
      </c>
      <c r="D26" s="87">
        <v>0.04</v>
      </c>
      <c r="K26" s="1">
        <v>2029.0</v>
      </c>
      <c r="L26" s="89">
        <f t="shared" si="7"/>
        <v>122226.7725</v>
      </c>
      <c r="M26" s="100">
        <f t="shared" si="8"/>
        <v>244453.545</v>
      </c>
      <c r="N26" s="101">
        <f t="shared" si="9"/>
        <v>488907.09</v>
      </c>
      <c r="Q26" s="91">
        <v>2039.0</v>
      </c>
      <c r="R26" s="95">
        <f t="shared" si="6"/>
        <v>123552.5288</v>
      </c>
    </row>
    <row r="27">
      <c r="A27" s="87" t="s">
        <v>106</v>
      </c>
      <c r="B27" s="88"/>
      <c r="C27" s="1" t="s">
        <v>107</v>
      </c>
      <c r="D27" s="88"/>
      <c r="K27" s="1">
        <v>2030.0</v>
      </c>
      <c r="L27" s="89">
        <f t="shared" si="7"/>
        <v>126504.7095</v>
      </c>
      <c r="M27" s="100">
        <f t="shared" si="8"/>
        <v>253009.4191</v>
      </c>
      <c r="N27" s="101">
        <f t="shared" si="9"/>
        <v>506018.8382</v>
      </c>
      <c r="Q27" s="91">
        <v>2040.0</v>
      </c>
      <c r="R27" s="95">
        <f t="shared" si="6"/>
        <v>127876.8673</v>
      </c>
    </row>
    <row r="28">
      <c r="A28" s="87">
        <v>0.01</v>
      </c>
      <c r="B28" s="88"/>
      <c r="C28" s="87">
        <v>0.01</v>
      </c>
      <c r="D28" s="88"/>
      <c r="K28" s="1">
        <v>2031.0</v>
      </c>
      <c r="L28" s="89">
        <f t="shared" si="7"/>
        <v>130932.3744</v>
      </c>
      <c r="M28" s="100">
        <f t="shared" si="8"/>
        <v>261864.7487</v>
      </c>
      <c r="N28" s="101">
        <f t="shared" si="9"/>
        <v>523729.4975</v>
      </c>
      <c r="Q28" s="91">
        <v>2041.0</v>
      </c>
      <c r="R28" s="95">
        <f t="shared" si="6"/>
        <v>132352.5576</v>
      </c>
    </row>
    <row r="29">
      <c r="K29" s="1">
        <v>2032.0</v>
      </c>
      <c r="L29" s="89">
        <f t="shared" si="7"/>
        <v>135515.0075</v>
      </c>
      <c r="M29" s="100">
        <f t="shared" si="8"/>
        <v>271030.0149</v>
      </c>
      <c r="N29" s="101">
        <f t="shared" si="9"/>
        <v>542060.0299</v>
      </c>
      <c r="Q29" s="91">
        <v>2042.0</v>
      </c>
      <c r="R29" s="95">
        <f t="shared" si="6"/>
        <v>136984.8971</v>
      </c>
    </row>
    <row r="30">
      <c r="K30" s="1">
        <v>2033.0</v>
      </c>
      <c r="L30" s="89">
        <f t="shared" si="7"/>
        <v>140258.0327</v>
      </c>
      <c r="M30" s="100">
        <f t="shared" si="8"/>
        <v>280516.0655</v>
      </c>
      <c r="N30" s="101">
        <f t="shared" si="9"/>
        <v>561032.1309</v>
      </c>
      <c r="Q30" s="91">
        <v>2043.0</v>
      </c>
      <c r="R30" s="95">
        <f t="shared" si="6"/>
        <v>141779.3685</v>
      </c>
    </row>
    <row r="31">
      <c r="K31" s="1">
        <v>2034.0</v>
      </c>
      <c r="L31" s="89">
        <f t="shared" si="7"/>
        <v>145167.0639</v>
      </c>
      <c r="M31" s="100">
        <f t="shared" si="8"/>
        <v>290334.1278</v>
      </c>
      <c r="N31" s="101">
        <f t="shared" si="9"/>
        <v>580668.2555</v>
      </c>
      <c r="Q31" s="91">
        <v>2044.0</v>
      </c>
      <c r="R31" s="95">
        <f t="shared" si="6"/>
        <v>146741.6464</v>
      </c>
    </row>
    <row r="32">
      <c r="K32" s="1">
        <v>2035.0</v>
      </c>
      <c r="L32" s="89">
        <f t="shared" si="7"/>
        <v>150247.9111</v>
      </c>
      <c r="M32" s="100">
        <f t="shared" si="8"/>
        <v>300495.8222</v>
      </c>
      <c r="N32" s="101">
        <f t="shared" si="9"/>
        <v>600991.6445</v>
      </c>
      <c r="Q32" s="91">
        <v>2045.0</v>
      </c>
      <c r="R32" s="95">
        <f t="shared" si="6"/>
        <v>151877.6041</v>
      </c>
    </row>
    <row r="33">
      <c r="K33" s="1">
        <v>2036.0</v>
      </c>
      <c r="L33" s="89">
        <f t="shared" si="7"/>
        <v>155506.588</v>
      </c>
      <c r="M33" s="100">
        <f t="shared" si="8"/>
        <v>311013.176</v>
      </c>
      <c r="N33" s="101">
        <f t="shared" si="9"/>
        <v>622026.352</v>
      </c>
      <c r="Q33" s="91">
        <v>2046.0</v>
      </c>
      <c r="R33" s="95">
        <f t="shared" si="6"/>
        <v>157193.3202</v>
      </c>
    </row>
    <row r="34">
      <c r="K34" s="1">
        <v>2037.0</v>
      </c>
      <c r="L34" s="89">
        <f t="shared" si="7"/>
        <v>160949.3186</v>
      </c>
      <c r="M34" s="100">
        <f t="shared" si="8"/>
        <v>321898.6372</v>
      </c>
      <c r="N34" s="101">
        <f t="shared" si="9"/>
        <v>643797.2743</v>
      </c>
      <c r="Q34" s="91">
        <v>2047.0</v>
      </c>
      <c r="R34" s="95">
        <f t="shared" si="6"/>
        <v>162695.0864</v>
      </c>
    </row>
    <row r="35">
      <c r="K35" s="1">
        <v>2038.0</v>
      </c>
      <c r="L35" s="89">
        <f t="shared" si="7"/>
        <v>166582.5447</v>
      </c>
      <c r="M35" s="100">
        <f t="shared" si="8"/>
        <v>333165.0895</v>
      </c>
      <c r="N35" s="101">
        <f t="shared" si="9"/>
        <v>666330.1789</v>
      </c>
      <c r="Q35" s="91">
        <v>2048.0</v>
      </c>
      <c r="R35" s="95">
        <f t="shared" si="6"/>
        <v>168389.4144</v>
      </c>
    </row>
    <row r="36">
      <c r="K36" s="1">
        <v>2039.0</v>
      </c>
      <c r="L36" s="89">
        <f t="shared" si="7"/>
        <v>172412.9338</v>
      </c>
      <c r="M36" s="100">
        <f t="shared" si="8"/>
        <v>344825.8676</v>
      </c>
      <c r="N36" s="101">
        <f t="shared" si="9"/>
        <v>689651.7352</v>
      </c>
      <c r="Q36" s="91">
        <v>2049.0</v>
      </c>
      <c r="R36" s="95">
        <f t="shared" si="6"/>
        <v>174283.044</v>
      </c>
    </row>
    <row r="37">
      <c r="K37" s="1">
        <v>2040.0</v>
      </c>
      <c r="L37" s="89">
        <f t="shared" si="7"/>
        <v>178447.3865</v>
      </c>
      <c r="M37" s="100">
        <f t="shared" si="8"/>
        <v>356894.773</v>
      </c>
      <c r="N37" s="101">
        <f t="shared" si="9"/>
        <v>713789.5459</v>
      </c>
      <c r="Q37" s="91">
        <v>2050.0</v>
      </c>
      <c r="R37" s="95">
        <f t="shared" si="6"/>
        <v>180382.9505</v>
      </c>
    </row>
    <row r="38">
      <c r="K38" s="1">
        <v>2041.0</v>
      </c>
      <c r="L38" s="89">
        <f t="shared" si="7"/>
        <v>184693.045</v>
      </c>
      <c r="M38" s="100">
        <f t="shared" si="8"/>
        <v>369386.09</v>
      </c>
      <c r="N38" s="101">
        <f t="shared" si="9"/>
        <v>738772.1801</v>
      </c>
      <c r="Q38" s="91">
        <v>2051.0</v>
      </c>
      <c r="R38" s="95">
        <f t="shared" si="6"/>
        <v>186696.3538</v>
      </c>
    </row>
    <row r="39">
      <c r="K39" s="1">
        <v>2042.0</v>
      </c>
      <c r="L39" s="89">
        <f t="shared" si="7"/>
        <v>191157.3016</v>
      </c>
      <c r="M39" s="100">
        <f t="shared" si="8"/>
        <v>382314.6032</v>
      </c>
      <c r="N39" s="101">
        <f t="shared" si="9"/>
        <v>764629.2064</v>
      </c>
      <c r="Q39" s="91">
        <v>2052.0</v>
      </c>
      <c r="R39" s="95">
        <f t="shared" si="6"/>
        <v>193230.7261</v>
      </c>
    </row>
    <row r="40">
      <c r="K40" s="1">
        <v>2043.0</v>
      </c>
      <c r="L40" s="89">
        <f t="shared" si="7"/>
        <v>197847.8071</v>
      </c>
      <c r="M40" s="100">
        <f t="shared" si="8"/>
        <v>395695.6143</v>
      </c>
      <c r="N40" s="101">
        <f t="shared" si="9"/>
        <v>791391.2286</v>
      </c>
      <c r="Q40" s="91">
        <v>2053.0</v>
      </c>
      <c r="R40" s="95">
        <f t="shared" si="6"/>
        <v>199993.8016</v>
      </c>
    </row>
    <row r="41">
      <c r="K41" s="1">
        <v>2044.0</v>
      </c>
      <c r="L41" s="89">
        <f t="shared" si="7"/>
        <v>204772.4804</v>
      </c>
      <c r="M41" s="100">
        <f t="shared" si="8"/>
        <v>409544.9608</v>
      </c>
      <c r="N41" s="101">
        <f t="shared" si="9"/>
        <v>819089.9216</v>
      </c>
      <c r="Q41" s="91">
        <v>2054.0</v>
      </c>
      <c r="R41" s="95">
        <f t="shared" si="6"/>
        <v>206993.5846</v>
      </c>
    </row>
    <row r="42">
      <c r="K42" s="1">
        <v>2045.0</v>
      </c>
      <c r="L42" s="89">
        <f t="shared" si="7"/>
        <v>211939.5172</v>
      </c>
      <c r="M42" s="100">
        <f t="shared" si="8"/>
        <v>423879.0344</v>
      </c>
      <c r="N42" s="101">
        <f t="shared" si="9"/>
        <v>847758.0688</v>
      </c>
      <c r="Q42" s="91">
        <v>2055.0</v>
      </c>
      <c r="R42" s="95">
        <f t="shared" si="6"/>
        <v>214238.3601</v>
      </c>
    </row>
    <row r="43">
      <c r="K43" s="1">
        <v>2046.0</v>
      </c>
      <c r="L43" s="89">
        <f t="shared" si="7"/>
        <v>219357.4003</v>
      </c>
      <c r="M43" s="100">
        <f t="shared" si="8"/>
        <v>438714.8006</v>
      </c>
      <c r="N43" s="101">
        <f t="shared" si="9"/>
        <v>877429.6012</v>
      </c>
      <c r="Q43" s="91">
        <v>2056.0</v>
      </c>
      <c r="R43" s="95">
        <f t="shared" si="6"/>
        <v>221736.7027</v>
      </c>
    </row>
    <row r="44">
      <c r="K44" s="1">
        <v>2047.0</v>
      </c>
      <c r="L44" s="89">
        <f t="shared" si="7"/>
        <v>227034.9093</v>
      </c>
      <c r="M44" s="100">
        <f t="shared" si="8"/>
        <v>454069.8186</v>
      </c>
      <c r="N44" s="101">
        <f t="shared" si="9"/>
        <v>908139.6373</v>
      </c>
      <c r="Q44" s="91">
        <v>2057.0</v>
      </c>
      <c r="R44" s="95">
        <f t="shared" si="6"/>
        <v>229497.4873</v>
      </c>
    </row>
    <row r="45">
      <c r="K45" s="1">
        <v>2048.0</v>
      </c>
      <c r="L45" s="89">
        <f t="shared" si="7"/>
        <v>234981.1311</v>
      </c>
      <c r="M45" s="100">
        <f t="shared" si="8"/>
        <v>469962.2623</v>
      </c>
      <c r="N45" s="101">
        <f t="shared" si="9"/>
        <v>939924.5246</v>
      </c>
      <c r="Q45" s="91">
        <v>2058.0</v>
      </c>
      <c r="R45" s="95">
        <f t="shared" si="6"/>
        <v>237529.8993</v>
      </c>
    </row>
    <row r="46">
      <c r="K46" s="1">
        <v>2049.0</v>
      </c>
      <c r="L46" s="89">
        <f t="shared" si="7"/>
        <v>243205.4707</v>
      </c>
      <c r="M46" s="100">
        <f t="shared" si="8"/>
        <v>486410.9415</v>
      </c>
      <c r="N46" s="101">
        <f t="shared" si="9"/>
        <v>972821.883</v>
      </c>
      <c r="Q46" s="91">
        <v>2059.0</v>
      </c>
      <c r="R46" s="95">
        <f t="shared" si="6"/>
        <v>245843.4458</v>
      </c>
    </row>
    <row r="47">
      <c r="K47" s="1">
        <v>2050.0</v>
      </c>
      <c r="L47" s="89">
        <f t="shared" si="7"/>
        <v>251717.6622</v>
      </c>
      <c r="M47" s="100">
        <f t="shared" si="8"/>
        <v>503435.3244</v>
      </c>
      <c r="N47" s="101">
        <f t="shared" si="9"/>
        <v>1006870.649</v>
      </c>
      <c r="Q47" s="91">
        <v>2060.0</v>
      </c>
      <c r="R47" s="95">
        <f t="shared" si="6"/>
        <v>254447.9664</v>
      </c>
    </row>
    <row r="48">
      <c r="K48" s="1">
        <v>2051.0</v>
      </c>
      <c r="L48" s="89">
        <f t="shared" si="7"/>
        <v>260527.7804</v>
      </c>
      <c r="M48" s="100">
        <f t="shared" si="8"/>
        <v>521055.5608</v>
      </c>
      <c r="N48" s="101">
        <f t="shared" si="9"/>
        <v>1042111.122</v>
      </c>
      <c r="Q48" s="91">
        <v>2061.0</v>
      </c>
      <c r="R48" s="95">
        <f t="shared" si="6"/>
        <v>263353.6452</v>
      </c>
    </row>
    <row r="49">
      <c r="K49" s="1">
        <v>2052.0</v>
      </c>
      <c r="L49" s="89">
        <f t="shared" si="7"/>
        <v>269646.2527</v>
      </c>
      <c r="M49" s="100">
        <f t="shared" si="8"/>
        <v>539292.5054</v>
      </c>
      <c r="N49" s="101">
        <f t="shared" si="9"/>
        <v>1078585.011</v>
      </c>
      <c r="Q49" s="91">
        <v>2062.0</v>
      </c>
      <c r="R49" s="95">
        <f t="shared" si="6"/>
        <v>272571.0228</v>
      </c>
    </row>
    <row r="50">
      <c r="K50" s="1">
        <v>2053.0</v>
      </c>
      <c r="L50" s="89">
        <f t="shared" si="7"/>
        <v>279083.8715</v>
      </c>
      <c r="M50" s="100">
        <f t="shared" si="8"/>
        <v>558167.7431</v>
      </c>
      <c r="N50" s="101">
        <f t="shared" si="9"/>
        <v>1116335.486</v>
      </c>
      <c r="Q50" s="91">
        <v>2063.0</v>
      </c>
      <c r="R50" s="95">
        <f t="shared" si="6"/>
        <v>282111.0086</v>
      </c>
    </row>
    <row r="51">
      <c r="K51" s="1">
        <v>2054.0</v>
      </c>
      <c r="L51" s="89">
        <f t="shared" si="7"/>
        <v>288851.8071</v>
      </c>
      <c r="M51" s="100">
        <f t="shared" si="8"/>
        <v>577703.6141</v>
      </c>
      <c r="N51" s="101">
        <f t="shared" si="9"/>
        <v>1155407.228</v>
      </c>
      <c r="Q51" s="91">
        <v>2064.0</v>
      </c>
      <c r="R51" s="95">
        <f t="shared" si="6"/>
        <v>291984.8939</v>
      </c>
    </row>
    <row r="52">
      <c r="K52" s="1">
        <v>2055.0</v>
      </c>
      <c r="L52" s="89">
        <f t="shared" si="7"/>
        <v>298961.6203</v>
      </c>
      <c r="M52" s="100">
        <f t="shared" si="8"/>
        <v>597923.2406</v>
      </c>
      <c r="N52" s="101">
        <f t="shared" si="9"/>
        <v>1195846.481</v>
      </c>
      <c r="Q52" s="91">
        <v>2065.0</v>
      </c>
      <c r="R52" s="95">
        <f t="shared" si="6"/>
        <v>302204.3652</v>
      </c>
    </row>
    <row r="53">
      <c r="K53" s="1">
        <v>2056.0</v>
      </c>
      <c r="L53" s="89">
        <f t="shared" si="7"/>
        <v>309425.277</v>
      </c>
      <c r="M53" s="100">
        <f t="shared" si="8"/>
        <v>618850.554</v>
      </c>
      <c r="N53" s="101">
        <f t="shared" si="9"/>
        <v>1237701.108</v>
      </c>
      <c r="Q53" s="91">
        <v>2066.0</v>
      </c>
      <c r="R53" s="95">
        <f t="shared" si="6"/>
        <v>312781.518</v>
      </c>
    </row>
    <row r="54">
      <c r="K54" s="1">
        <v>2057.0</v>
      </c>
      <c r="L54" s="89">
        <f t="shared" si="7"/>
        <v>320255.1617</v>
      </c>
      <c r="M54" s="100">
        <f t="shared" si="8"/>
        <v>640510.3234</v>
      </c>
      <c r="N54" s="101">
        <f t="shared" si="9"/>
        <v>1281020.647</v>
      </c>
      <c r="Q54" s="91">
        <v>2067.0</v>
      </c>
      <c r="R54" s="95">
        <f t="shared" si="6"/>
        <v>323728.8711</v>
      </c>
    </row>
    <row r="55">
      <c r="K55" s="1">
        <v>2058.0</v>
      </c>
      <c r="L55" s="89">
        <f t="shared" si="7"/>
        <v>331464.0924</v>
      </c>
      <c r="M55" s="100">
        <f t="shared" si="8"/>
        <v>662928.1847</v>
      </c>
      <c r="N55" s="101">
        <f t="shared" si="9"/>
        <v>1325856.369</v>
      </c>
      <c r="Q55" s="91">
        <v>2068.0</v>
      </c>
      <c r="R55" s="95">
        <f t="shared" si="6"/>
        <v>335059.3816</v>
      </c>
    </row>
    <row r="56">
      <c r="K56" s="1">
        <v>2059.0</v>
      </c>
      <c r="L56" s="89">
        <f t="shared" si="7"/>
        <v>343065.3356</v>
      </c>
      <c r="M56" s="100">
        <f t="shared" si="8"/>
        <v>686130.6712</v>
      </c>
      <c r="N56" s="101">
        <f t="shared" si="9"/>
        <v>1372261.342</v>
      </c>
      <c r="Q56" s="91">
        <v>2069.0</v>
      </c>
      <c r="R56" s="95">
        <f t="shared" si="6"/>
        <v>346786.4599</v>
      </c>
    </row>
    <row r="57">
      <c r="K57" s="1">
        <v>2060.0</v>
      </c>
      <c r="L57" s="89">
        <f t="shared" si="7"/>
        <v>355072.6223</v>
      </c>
      <c r="M57" s="100">
        <f t="shared" si="8"/>
        <v>710145.2447</v>
      </c>
      <c r="N57" s="101">
        <f t="shared" si="9"/>
        <v>1420290.489</v>
      </c>
      <c r="Q57" s="91">
        <v>2070.0</v>
      </c>
      <c r="R57" s="95">
        <f t="shared" si="6"/>
        <v>358923.986</v>
      </c>
    </row>
    <row r="58">
      <c r="K58" s="1">
        <v>2061.0</v>
      </c>
      <c r="L58" s="89">
        <f t="shared" si="7"/>
        <v>367500.1641</v>
      </c>
      <c r="M58" s="100">
        <f t="shared" si="8"/>
        <v>735000.3283</v>
      </c>
      <c r="N58" s="101">
        <f t="shared" si="9"/>
        <v>1470000.657</v>
      </c>
      <c r="Q58" s="91">
        <v>2071.0</v>
      </c>
      <c r="R58" s="95">
        <f t="shared" si="6"/>
        <v>371486.3256</v>
      </c>
    </row>
    <row r="59">
      <c r="K59" s="1">
        <v>2062.0</v>
      </c>
      <c r="L59" s="89">
        <f t="shared" si="7"/>
        <v>380362.6699</v>
      </c>
      <c r="M59" s="100">
        <f t="shared" si="8"/>
        <v>760725.3397</v>
      </c>
      <c r="N59" s="101">
        <f t="shared" si="9"/>
        <v>1521450.679</v>
      </c>
      <c r="Q59" s="91">
        <v>2072.0</v>
      </c>
      <c r="R59" s="95">
        <f t="shared" si="6"/>
        <v>384488.3469</v>
      </c>
    </row>
    <row r="60">
      <c r="K60" s="1">
        <v>2063.0</v>
      </c>
      <c r="L60" s="89">
        <f t="shared" si="7"/>
        <v>393675.3633</v>
      </c>
      <c r="M60" s="100">
        <f t="shared" si="8"/>
        <v>787350.7266</v>
      </c>
      <c r="N60" s="101">
        <f t="shared" si="9"/>
        <v>1574701.453</v>
      </c>
      <c r="Q60" s="91">
        <v>2073.0</v>
      </c>
      <c r="R60" s="95">
        <f t="shared" si="6"/>
        <v>397945.4391</v>
      </c>
    </row>
    <row r="61">
      <c r="K61" s="1">
        <v>2064.0</v>
      </c>
      <c r="L61" s="89">
        <f t="shared" si="7"/>
        <v>407454.001</v>
      </c>
      <c r="M61" s="100">
        <f t="shared" si="8"/>
        <v>814908.0021</v>
      </c>
      <c r="N61" s="101">
        <f t="shared" si="9"/>
        <v>1629816.004</v>
      </c>
      <c r="Q61" s="91">
        <v>2074.0</v>
      </c>
      <c r="R61" s="95">
        <f t="shared" si="6"/>
        <v>411873.5295</v>
      </c>
    </row>
    <row r="62">
      <c r="K62" s="1">
        <v>2065.0</v>
      </c>
      <c r="L62" s="89">
        <f t="shared" si="7"/>
        <v>421714.8911</v>
      </c>
      <c r="M62" s="100">
        <f t="shared" si="8"/>
        <v>843429.7821</v>
      </c>
      <c r="N62" s="101">
        <f t="shared" si="9"/>
        <v>1686859.564</v>
      </c>
      <c r="Q62" s="91">
        <v>2075.0</v>
      </c>
      <c r="R62" s="95">
        <f t="shared" si="6"/>
        <v>426289.103</v>
      </c>
    </row>
    <row r="63">
      <c r="K63" s="1">
        <v>2066.0</v>
      </c>
      <c r="L63" s="89">
        <f t="shared" si="7"/>
        <v>436474.9123</v>
      </c>
      <c r="M63" s="100">
        <f t="shared" si="8"/>
        <v>872949.8245</v>
      </c>
      <c r="N63" s="101">
        <f t="shared" si="9"/>
        <v>1745899.649</v>
      </c>
      <c r="Q63" s="91">
        <v>2076.0</v>
      </c>
      <c r="R63" s="95">
        <f t="shared" si="6"/>
        <v>441209.2216</v>
      </c>
    </row>
    <row r="64">
      <c r="K64" s="1">
        <v>2067.0</v>
      </c>
      <c r="L64" s="89">
        <f t="shared" si="7"/>
        <v>451751.5342</v>
      </c>
      <c r="M64" s="100">
        <f t="shared" si="8"/>
        <v>903503.0684</v>
      </c>
      <c r="N64" s="101">
        <f t="shared" si="9"/>
        <v>1807006.137</v>
      </c>
      <c r="Q64" s="91">
        <v>2077.0</v>
      </c>
      <c r="R64" s="95">
        <f t="shared" si="6"/>
        <v>456651.5444</v>
      </c>
    </row>
    <row r="65">
      <c r="K65" s="1">
        <v>2068.0</v>
      </c>
      <c r="L65" s="89">
        <f t="shared" si="7"/>
        <v>467562.8379</v>
      </c>
      <c r="M65" s="100">
        <f t="shared" si="8"/>
        <v>935125.6758</v>
      </c>
      <c r="N65" s="101">
        <f t="shared" si="9"/>
        <v>1870251.352</v>
      </c>
      <c r="Q65" s="91">
        <v>2078.0</v>
      </c>
      <c r="R65" s="95">
        <f t="shared" si="6"/>
        <v>472634.3484</v>
      </c>
    </row>
    <row r="66">
      <c r="K66" s="1">
        <v>2069.0</v>
      </c>
      <c r="L66" s="89">
        <f t="shared" si="7"/>
        <v>483927.5372</v>
      </c>
      <c r="M66" s="100">
        <f t="shared" si="8"/>
        <v>967855.0744</v>
      </c>
      <c r="N66" s="101">
        <f t="shared" si="9"/>
        <v>1935710.149</v>
      </c>
      <c r="Q66" s="91">
        <v>2079.0</v>
      </c>
      <c r="R66" s="95">
        <f t="shared" si="6"/>
        <v>489176.5506</v>
      </c>
    </row>
    <row r="67">
      <c r="K67" s="1">
        <v>2070.0</v>
      </c>
      <c r="L67" s="89">
        <f t="shared" si="7"/>
        <v>500865.001</v>
      </c>
      <c r="M67" s="100">
        <f t="shared" si="8"/>
        <v>1001730.002</v>
      </c>
      <c r="N67" s="101">
        <f t="shared" si="9"/>
        <v>2003460.004</v>
      </c>
      <c r="Q67" s="91">
        <v>2080.0</v>
      </c>
      <c r="R67" s="95">
        <f t="shared" si="6"/>
        <v>506297.7299</v>
      </c>
    </row>
    <row r="68">
      <c r="K68" s="1">
        <v>2071.0</v>
      </c>
      <c r="L68" s="89">
        <f t="shared" si="7"/>
        <v>518395.276</v>
      </c>
      <c r="M68" s="100">
        <f t="shared" si="8"/>
        <v>1036790.552</v>
      </c>
      <c r="N68" s="101">
        <f t="shared" si="9"/>
        <v>2073581.104</v>
      </c>
      <c r="Q68" s="91">
        <v>2081.0</v>
      </c>
      <c r="R68" s="95">
        <f t="shared" si="6"/>
        <v>524018.1504</v>
      </c>
    </row>
    <row r="69">
      <c r="K69" s="1">
        <v>2072.0</v>
      </c>
      <c r="L69" s="89">
        <f t="shared" si="7"/>
        <v>536539.1107</v>
      </c>
      <c r="M69" s="100">
        <f t="shared" si="8"/>
        <v>1073078.221</v>
      </c>
      <c r="N69" s="101">
        <f t="shared" si="9"/>
        <v>2146156.443</v>
      </c>
      <c r="Q69" s="91">
        <v>2082.0</v>
      </c>
      <c r="R69" s="95">
        <f t="shared" si="6"/>
        <v>542358.7857</v>
      </c>
    </row>
    <row r="70">
      <c r="K70" s="1">
        <v>2073.0</v>
      </c>
      <c r="L70" s="89">
        <f t="shared" si="7"/>
        <v>555317.9796</v>
      </c>
      <c r="M70" s="100">
        <f t="shared" si="8"/>
        <v>1110635.959</v>
      </c>
      <c r="N70" s="101">
        <f t="shared" si="9"/>
        <v>2221271.918</v>
      </c>
      <c r="Q70" s="93"/>
    </row>
    <row r="71">
      <c r="K71" s="1">
        <v>2074.0</v>
      </c>
      <c r="L71" s="89">
        <f t="shared" si="7"/>
        <v>574754.1089</v>
      </c>
      <c r="M71" s="100">
        <f t="shared" si="8"/>
        <v>1149508.218</v>
      </c>
      <c r="N71" s="101">
        <f t="shared" si="9"/>
        <v>2299016.435</v>
      </c>
      <c r="Q71" s="93"/>
    </row>
    <row r="72">
      <c r="K72" s="1">
        <v>2075.0</v>
      </c>
      <c r="L72" s="89">
        <f t="shared" si="7"/>
        <v>594870.5027</v>
      </c>
      <c r="M72" s="100">
        <f t="shared" si="8"/>
        <v>1189741.005</v>
      </c>
      <c r="N72" s="101">
        <f t="shared" si="9"/>
        <v>2379482.011</v>
      </c>
      <c r="Q72" s="93"/>
    </row>
    <row r="73">
      <c r="K73" s="1">
        <v>2076.0</v>
      </c>
      <c r="L73" s="89">
        <f t="shared" si="7"/>
        <v>615690.9703</v>
      </c>
      <c r="M73" s="100">
        <f t="shared" si="8"/>
        <v>1231381.941</v>
      </c>
      <c r="N73" s="101">
        <f t="shared" si="9"/>
        <v>2462763.881</v>
      </c>
      <c r="Q73" s="93"/>
    </row>
    <row r="74">
      <c r="K74" s="1">
        <v>2077.0</v>
      </c>
      <c r="L74" s="89">
        <f t="shared" si="7"/>
        <v>637240.1542</v>
      </c>
      <c r="M74" s="100">
        <f t="shared" si="8"/>
        <v>1274480.308</v>
      </c>
      <c r="N74" s="101">
        <f t="shared" si="9"/>
        <v>2548960.617</v>
      </c>
      <c r="Q74" s="93"/>
    </row>
    <row r="75">
      <c r="K75" s="1">
        <v>2078.0</v>
      </c>
      <c r="L75" s="89">
        <f t="shared" si="7"/>
        <v>659543.5596</v>
      </c>
      <c r="M75" s="100">
        <f t="shared" si="8"/>
        <v>1319087.119</v>
      </c>
      <c r="N75" s="101">
        <f t="shared" si="9"/>
        <v>2638174.239</v>
      </c>
      <c r="Q75" s="93"/>
    </row>
    <row r="76">
      <c r="K76" s="1">
        <v>2079.0</v>
      </c>
      <c r="L76" s="89">
        <f t="shared" si="7"/>
        <v>682627.5842</v>
      </c>
      <c r="M76" s="100">
        <f t="shared" si="8"/>
        <v>1365255.168</v>
      </c>
      <c r="N76" s="101">
        <f t="shared" si="9"/>
        <v>2730510.337</v>
      </c>
      <c r="Q76" s="93"/>
    </row>
    <row r="77">
      <c r="K77" s="1">
        <v>2080.0</v>
      </c>
      <c r="L77" s="89">
        <f t="shared" si="7"/>
        <v>706519.5497</v>
      </c>
      <c r="M77" s="100">
        <f t="shared" si="8"/>
        <v>1413039.099</v>
      </c>
      <c r="N77" s="101">
        <f t="shared" si="9"/>
        <v>2826078.199</v>
      </c>
      <c r="Q77" s="93"/>
    </row>
    <row r="78">
      <c r="K78" s="1">
        <v>2081.0</v>
      </c>
      <c r="L78" s="89">
        <f t="shared" si="7"/>
        <v>731247.7339</v>
      </c>
      <c r="M78" s="100">
        <f t="shared" si="8"/>
        <v>1462495.468</v>
      </c>
      <c r="N78" s="101">
        <f t="shared" si="9"/>
        <v>2924990.936</v>
      </c>
      <c r="Q78" s="93"/>
    </row>
    <row r="79">
      <c r="K79" s="1">
        <v>2082.0</v>
      </c>
      <c r="L79" s="89">
        <f t="shared" si="7"/>
        <v>756841.4046</v>
      </c>
      <c r="M79" s="100">
        <f t="shared" si="8"/>
        <v>1513682.809</v>
      </c>
      <c r="N79" s="101">
        <f t="shared" si="9"/>
        <v>3027365.618</v>
      </c>
      <c r="Q79" s="93"/>
    </row>
    <row r="80">
      <c r="K80" s="1">
        <v>2083.0</v>
      </c>
      <c r="L80" s="89">
        <f t="shared" si="7"/>
        <v>783330.8537</v>
      </c>
      <c r="M80" s="100">
        <f t="shared" si="8"/>
        <v>1566661.707</v>
      </c>
      <c r="N80" s="101">
        <f t="shared" si="9"/>
        <v>3133323.415</v>
      </c>
      <c r="Q80" s="93"/>
    </row>
    <row r="81">
      <c r="K81" s="1">
        <v>2084.0</v>
      </c>
      <c r="L81" s="89">
        <f t="shared" si="7"/>
        <v>810747.4336</v>
      </c>
      <c r="M81" s="100">
        <f t="shared" si="8"/>
        <v>1621494.867</v>
      </c>
      <c r="N81" s="101">
        <f t="shared" si="9"/>
        <v>3242989.735</v>
      </c>
      <c r="Q81" s="93"/>
    </row>
    <row r="82">
      <c r="K82" s="1">
        <v>2085.0</v>
      </c>
      <c r="L82" s="89">
        <f t="shared" si="7"/>
        <v>839123.5938</v>
      </c>
      <c r="M82" s="100">
        <f t="shared" si="8"/>
        <v>1678247.188</v>
      </c>
      <c r="N82" s="101">
        <f t="shared" si="9"/>
        <v>3356494.375</v>
      </c>
      <c r="Q82" s="93"/>
    </row>
    <row r="83">
      <c r="K83" s="1">
        <v>2086.0</v>
      </c>
      <c r="L83" s="89">
        <f t="shared" si="7"/>
        <v>868492.9196</v>
      </c>
      <c r="M83" s="100">
        <f t="shared" si="8"/>
        <v>1736985.839</v>
      </c>
      <c r="N83" s="101">
        <f t="shared" si="9"/>
        <v>3473971.678</v>
      </c>
      <c r="Q83" s="93"/>
    </row>
    <row r="84">
      <c r="K84" s="1">
        <v>2087.0</v>
      </c>
      <c r="L84" s="89">
        <f t="shared" si="7"/>
        <v>898890.1718</v>
      </c>
      <c r="M84" s="100">
        <f t="shared" si="8"/>
        <v>1797780.344</v>
      </c>
      <c r="N84" s="101">
        <f t="shared" si="9"/>
        <v>3595560.687</v>
      </c>
      <c r="Q84" s="93"/>
    </row>
    <row r="85">
      <c r="K85" s="1">
        <v>2088.0</v>
      </c>
      <c r="L85" s="89">
        <f t="shared" si="7"/>
        <v>930351.3278</v>
      </c>
      <c r="M85" s="100">
        <f t="shared" si="8"/>
        <v>1860702.656</v>
      </c>
      <c r="N85" s="101">
        <f t="shared" si="9"/>
        <v>3721405.311</v>
      </c>
      <c r="Q85" s="93"/>
    </row>
    <row r="86">
      <c r="K86" s="1">
        <v>2089.0</v>
      </c>
      <c r="L86" s="89">
        <f t="shared" si="7"/>
        <v>962913.6243</v>
      </c>
      <c r="M86" s="100">
        <f t="shared" si="8"/>
        <v>1925827.249</v>
      </c>
      <c r="N86" s="101">
        <f t="shared" si="9"/>
        <v>3851654.497</v>
      </c>
      <c r="Q86" s="93"/>
    </row>
    <row r="87">
      <c r="K87" s="1">
        <v>2090.0</v>
      </c>
      <c r="L87" s="89">
        <f t="shared" si="7"/>
        <v>996615.6011</v>
      </c>
      <c r="M87" s="100">
        <f t="shared" si="8"/>
        <v>1993231.202</v>
      </c>
      <c r="N87" s="101">
        <f t="shared" si="9"/>
        <v>3986462.404</v>
      </c>
      <c r="Q87" s="93"/>
    </row>
    <row r="88">
      <c r="K88" s="1">
        <v>2091.0</v>
      </c>
      <c r="L88" s="89">
        <f t="shared" si="7"/>
        <v>1031497.147</v>
      </c>
      <c r="M88" s="100">
        <f t="shared" si="8"/>
        <v>2062994.294</v>
      </c>
      <c r="N88" s="101">
        <f t="shared" si="9"/>
        <v>4125988.589</v>
      </c>
      <c r="Q88" s="93"/>
    </row>
    <row r="89">
      <c r="K89" s="1">
        <v>2092.0</v>
      </c>
      <c r="L89" s="89">
        <f t="shared" si="7"/>
        <v>1067599.547</v>
      </c>
      <c r="M89" s="100">
        <f t="shared" si="8"/>
        <v>2135199.095</v>
      </c>
      <c r="N89" s="101">
        <f t="shared" si="9"/>
        <v>4270398.189</v>
      </c>
      <c r="Q89" s="93"/>
    </row>
    <row r="90">
      <c r="K90" s="1">
        <v>2093.0</v>
      </c>
      <c r="L90" s="89">
        <f t="shared" si="7"/>
        <v>1104965.531</v>
      </c>
      <c r="M90" s="100">
        <f t="shared" si="8"/>
        <v>2209931.063</v>
      </c>
      <c r="N90" s="101">
        <f t="shared" si="9"/>
        <v>4419862.126</v>
      </c>
      <c r="Q90" s="93"/>
    </row>
    <row r="91">
      <c r="K91" s="1">
        <v>2094.0</v>
      </c>
      <c r="L91" s="89">
        <f t="shared" si="7"/>
        <v>1143639.325</v>
      </c>
      <c r="M91" s="100">
        <f t="shared" si="8"/>
        <v>2287278.65</v>
      </c>
      <c r="N91" s="101">
        <f t="shared" si="9"/>
        <v>4574557.3</v>
      </c>
      <c r="Q91" s="93"/>
    </row>
    <row r="92">
      <c r="K92" s="1">
        <v>2095.0</v>
      </c>
      <c r="L92" s="89">
        <f t="shared" si="7"/>
        <v>1183666.701</v>
      </c>
      <c r="M92" s="100">
        <f t="shared" si="8"/>
        <v>2367333.403</v>
      </c>
      <c r="N92" s="101">
        <f t="shared" si="9"/>
        <v>4734666.806</v>
      </c>
      <c r="Q92" s="93"/>
    </row>
    <row r="93">
      <c r="K93" s="1">
        <v>2096.0</v>
      </c>
      <c r="L93" s="89">
        <f t="shared" si="7"/>
        <v>1225095.036</v>
      </c>
      <c r="M93" s="100">
        <f t="shared" si="8"/>
        <v>2450190.072</v>
      </c>
      <c r="N93" s="101">
        <f t="shared" si="9"/>
        <v>4900380.144</v>
      </c>
      <c r="Q93" s="93"/>
    </row>
    <row r="94">
      <c r="K94" s="1">
        <v>2097.0</v>
      </c>
      <c r="L94" s="89">
        <f t="shared" si="7"/>
        <v>1267973.362</v>
      </c>
      <c r="M94" s="100">
        <f t="shared" si="8"/>
        <v>2535946.724</v>
      </c>
      <c r="N94" s="101">
        <f t="shared" si="9"/>
        <v>5071893.449</v>
      </c>
      <c r="Q94" s="93"/>
    </row>
    <row r="95">
      <c r="K95" s="1">
        <v>2098.0</v>
      </c>
      <c r="L95" s="89">
        <f t="shared" si="7"/>
        <v>1312352.43</v>
      </c>
      <c r="M95" s="100">
        <f t="shared" si="8"/>
        <v>2624704.86</v>
      </c>
      <c r="N95" s="101">
        <f t="shared" si="9"/>
        <v>5249409.72</v>
      </c>
      <c r="Q95" s="93"/>
    </row>
    <row r="96">
      <c r="K96" s="1">
        <v>2099.0</v>
      </c>
      <c r="L96" s="89">
        <f t="shared" si="7"/>
        <v>1358284.765</v>
      </c>
      <c r="M96" s="100">
        <f t="shared" si="8"/>
        <v>2716569.53</v>
      </c>
      <c r="N96" s="101">
        <f t="shared" si="9"/>
        <v>5433139.06</v>
      </c>
      <c r="Q96" s="93"/>
    </row>
    <row r="97">
      <c r="K97" s="1">
        <v>2100.0</v>
      </c>
      <c r="L97" s="89">
        <f t="shared" si="7"/>
        <v>1405824.732</v>
      </c>
      <c r="M97" s="100">
        <f t="shared" si="8"/>
        <v>2811649.463</v>
      </c>
      <c r="N97" s="101">
        <f t="shared" si="9"/>
        <v>5623298.927</v>
      </c>
      <c r="Q97" s="93"/>
    </row>
    <row r="98">
      <c r="K98" s="1">
        <v>2101.0</v>
      </c>
      <c r="L98" s="89">
        <f t="shared" si="7"/>
        <v>1455028.597</v>
      </c>
      <c r="M98" s="100">
        <f t="shared" si="8"/>
        <v>2910057.195</v>
      </c>
      <c r="N98" s="101">
        <f t="shared" si="9"/>
        <v>5820114.389</v>
      </c>
      <c r="Q98" s="93"/>
    </row>
    <row r="99">
      <c r="K99" s="1">
        <v>2102.0</v>
      </c>
      <c r="L99" s="89">
        <f t="shared" si="7"/>
        <v>1505954.598</v>
      </c>
      <c r="M99" s="100">
        <f t="shared" si="8"/>
        <v>3011909.197</v>
      </c>
      <c r="N99" s="101">
        <f t="shared" si="9"/>
        <v>6023818.393</v>
      </c>
      <c r="Q99" s="93"/>
    </row>
    <row r="100">
      <c r="K100" s="1">
        <v>2103.0</v>
      </c>
      <c r="L100" s="89">
        <f t="shared" si="7"/>
        <v>1558663.009</v>
      </c>
      <c r="M100" s="100">
        <f t="shared" si="8"/>
        <v>3117326.018</v>
      </c>
      <c r="N100" s="101">
        <f t="shared" si="9"/>
        <v>6234652.037</v>
      </c>
      <c r="Q100" s="93"/>
    </row>
    <row r="101">
      <c r="K101" s="1">
        <v>2104.0</v>
      </c>
      <c r="L101" s="89">
        <f t="shared" si="7"/>
        <v>1613216.215</v>
      </c>
      <c r="M101" s="100">
        <f t="shared" si="8"/>
        <v>3226432.429</v>
      </c>
      <c r="N101" s="101">
        <f t="shared" si="9"/>
        <v>6452864.858</v>
      </c>
      <c r="Q101" s="93"/>
    </row>
    <row r="102">
      <c r="K102" s="1">
        <v>2105.0</v>
      </c>
      <c r="L102" s="89">
        <f t="shared" si="7"/>
        <v>1669678.782</v>
      </c>
      <c r="M102" s="100">
        <f t="shared" si="8"/>
        <v>3339357.564</v>
      </c>
      <c r="N102" s="101">
        <f t="shared" si="9"/>
        <v>6678715.128</v>
      </c>
      <c r="Q102" s="93"/>
    </row>
    <row r="103">
      <c r="K103" s="1">
        <v>2106.0</v>
      </c>
      <c r="L103" s="89">
        <f t="shared" si="7"/>
        <v>1728117.539</v>
      </c>
      <c r="M103" s="100">
        <f t="shared" si="8"/>
        <v>3456235.079</v>
      </c>
      <c r="N103" s="101">
        <f t="shared" si="9"/>
        <v>6912470.158</v>
      </c>
      <c r="Q103" s="93"/>
    </row>
    <row r="104">
      <c r="K104" s="1">
        <v>2107.0</v>
      </c>
      <c r="L104" s="89">
        <f t="shared" si="7"/>
        <v>1788601.653</v>
      </c>
      <c r="M104" s="100">
        <f t="shared" si="8"/>
        <v>3577203.307</v>
      </c>
      <c r="N104" s="101">
        <f t="shared" si="9"/>
        <v>7154406.613</v>
      </c>
      <c r="Q104" s="93"/>
    </row>
    <row r="105">
      <c r="K105" s="1">
        <v>2108.0</v>
      </c>
      <c r="L105" s="89">
        <f t="shared" si="7"/>
        <v>1851202.711</v>
      </c>
      <c r="M105" s="100">
        <f t="shared" si="8"/>
        <v>3702405.422</v>
      </c>
      <c r="N105" s="101">
        <f t="shared" si="9"/>
        <v>7404810.845</v>
      </c>
      <c r="Q105" s="93"/>
    </row>
    <row r="106">
      <c r="K106" s="1">
        <v>2109.0</v>
      </c>
      <c r="L106" s="89">
        <f t="shared" si="7"/>
        <v>1915994.806</v>
      </c>
      <c r="M106" s="100">
        <f t="shared" si="8"/>
        <v>3831989.612</v>
      </c>
      <c r="N106" s="101">
        <f t="shared" si="9"/>
        <v>7663979.224</v>
      </c>
      <c r="Q106" s="93"/>
    </row>
    <row r="107">
      <c r="K107" s="1">
        <v>2110.0</v>
      </c>
      <c r="L107" s="89">
        <f t="shared" si="7"/>
        <v>1983054.624</v>
      </c>
      <c r="M107" s="100">
        <f t="shared" si="8"/>
        <v>3966109.248</v>
      </c>
      <c r="N107" s="101">
        <f t="shared" si="9"/>
        <v>7932218.497</v>
      </c>
      <c r="Q107" s="93"/>
    </row>
    <row r="108">
      <c r="K108" s="1">
        <v>2111.0</v>
      </c>
      <c r="L108" s="89">
        <f t="shared" si="7"/>
        <v>2052461.536</v>
      </c>
      <c r="M108" s="100">
        <f t="shared" si="8"/>
        <v>4104923.072</v>
      </c>
      <c r="N108" s="101">
        <f t="shared" si="9"/>
        <v>8209846.144</v>
      </c>
      <c r="Q108" s="93"/>
    </row>
    <row r="109">
      <c r="K109" s="1">
        <v>2112.0</v>
      </c>
      <c r="L109" s="89">
        <f t="shared" si="7"/>
        <v>2124297.69</v>
      </c>
      <c r="M109" s="100">
        <f t="shared" si="8"/>
        <v>4248595.38</v>
      </c>
      <c r="N109" s="101">
        <f t="shared" si="9"/>
        <v>8497190.759</v>
      </c>
      <c r="Q109" s="93"/>
    </row>
    <row r="110">
      <c r="K110" s="1">
        <v>2113.0</v>
      </c>
      <c r="L110" s="89">
        <f t="shared" si="7"/>
        <v>2198648.109</v>
      </c>
      <c r="M110" s="100">
        <f t="shared" si="8"/>
        <v>4397296.218</v>
      </c>
      <c r="N110" s="101">
        <f t="shared" si="9"/>
        <v>8794592.436</v>
      </c>
      <c r="Q110" s="93"/>
    </row>
    <row r="111">
      <c r="K111" s="1">
        <v>2114.0</v>
      </c>
      <c r="L111" s="89">
        <f t="shared" si="7"/>
        <v>2275600.793</v>
      </c>
      <c r="M111" s="100">
        <f t="shared" si="8"/>
        <v>4551201.586</v>
      </c>
      <c r="N111" s="101">
        <f t="shared" si="9"/>
        <v>9102403.171</v>
      </c>
      <c r="Q111" s="93"/>
    </row>
    <row r="112">
      <c r="K112" s="1">
        <v>2115.0</v>
      </c>
      <c r="L112" s="89">
        <f t="shared" si="7"/>
        <v>2355246.821</v>
      </c>
      <c r="M112" s="100">
        <f t="shared" si="8"/>
        <v>4710493.641</v>
      </c>
      <c r="N112" s="101">
        <f t="shared" si="9"/>
        <v>9420987.282</v>
      </c>
      <c r="Q112" s="93"/>
    </row>
    <row r="113">
      <c r="K113" s="1">
        <v>2116.0</v>
      </c>
      <c r="L113" s="89">
        <f t="shared" si="7"/>
        <v>2437680.459</v>
      </c>
      <c r="M113" s="100">
        <f t="shared" si="8"/>
        <v>4875360.919</v>
      </c>
      <c r="N113" s="101">
        <f t="shared" si="9"/>
        <v>9750721.837</v>
      </c>
      <c r="Q113" s="93"/>
    </row>
    <row r="114">
      <c r="K114" s="1">
        <v>2117.0</v>
      </c>
      <c r="L114" s="89">
        <f t="shared" si="7"/>
        <v>2522999.275</v>
      </c>
      <c r="M114" s="100">
        <f t="shared" si="8"/>
        <v>5045998.551</v>
      </c>
      <c r="N114" s="101">
        <f t="shared" si="9"/>
        <v>10091997.1</v>
      </c>
      <c r="Q114" s="93"/>
    </row>
    <row r="115">
      <c r="K115" s="1">
        <v>2118.0</v>
      </c>
      <c r="L115" s="89">
        <f t="shared" si="7"/>
        <v>2611304.25</v>
      </c>
      <c r="M115" s="100">
        <f t="shared" si="8"/>
        <v>5222608.5</v>
      </c>
      <c r="N115" s="101">
        <f t="shared" si="9"/>
        <v>10445217</v>
      </c>
      <c r="Q115" s="93"/>
    </row>
    <row r="116">
      <c r="K116" s="1">
        <v>2119.0</v>
      </c>
      <c r="L116" s="89">
        <f t="shared" si="7"/>
        <v>2702699.899</v>
      </c>
      <c r="M116" s="100">
        <f t="shared" si="8"/>
        <v>5405399.797</v>
      </c>
      <c r="N116" s="101">
        <f t="shared" si="9"/>
        <v>10810799.59</v>
      </c>
      <c r="Q116" s="93"/>
    </row>
    <row r="117">
      <c r="K117" s="1">
        <v>2120.0</v>
      </c>
      <c r="L117" s="89">
        <f t="shared" si="7"/>
        <v>2797294.395</v>
      </c>
      <c r="M117" s="100">
        <f t="shared" si="8"/>
        <v>5594588.79</v>
      </c>
      <c r="N117" s="101">
        <f t="shared" si="9"/>
        <v>11189177.58</v>
      </c>
      <c r="Q117" s="93"/>
    </row>
    <row r="118">
      <c r="K118" s="1">
        <v>2121.0</v>
      </c>
      <c r="L118" s="89">
        <f t="shared" si="7"/>
        <v>2895199.699</v>
      </c>
      <c r="M118" s="100">
        <f t="shared" si="8"/>
        <v>5790399.398</v>
      </c>
      <c r="N118" s="101">
        <f t="shared" si="9"/>
        <v>11580798.8</v>
      </c>
      <c r="Q118" s="93"/>
    </row>
    <row r="119">
      <c r="K119" s="1">
        <v>2122.0</v>
      </c>
      <c r="L119" s="89">
        <f t="shared" si="7"/>
        <v>2996531.689</v>
      </c>
      <c r="M119" s="100">
        <f t="shared" si="8"/>
        <v>5993063.377</v>
      </c>
      <c r="N119" s="101">
        <f t="shared" si="9"/>
        <v>11986126.75</v>
      </c>
      <c r="Q119" s="93"/>
    </row>
    <row r="120">
      <c r="K120" s="1">
        <v>2123.0</v>
      </c>
      <c r="L120" s="89">
        <f t="shared" si="7"/>
        <v>3101410.298</v>
      </c>
      <c r="M120" s="100">
        <f t="shared" si="8"/>
        <v>6202820.595</v>
      </c>
      <c r="N120" s="101">
        <f t="shared" si="9"/>
        <v>12405641.19</v>
      </c>
      <c r="Q120" s="93"/>
    </row>
    <row r="121">
      <c r="K121" s="1">
        <v>2124.0</v>
      </c>
      <c r="L121" s="89">
        <f t="shared" si="7"/>
        <v>3209959.658</v>
      </c>
      <c r="M121" s="100">
        <f t="shared" si="8"/>
        <v>6419919.316</v>
      </c>
      <c r="N121" s="101">
        <f t="shared" si="9"/>
        <v>12839838.63</v>
      </c>
      <c r="Q121" s="93"/>
    </row>
    <row r="122">
      <c r="K122" s="1">
        <v>2125.0</v>
      </c>
      <c r="L122" s="89">
        <f t="shared" si="7"/>
        <v>3322308.246</v>
      </c>
      <c r="M122" s="100">
        <f t="shared" si="8"/>
        <v>6644616.492</v>
      </c>
      <c r="N122" s="101">
        <f t="shared" si="9"/>
        <v>13289232.98</v>
      </c>
      <c r="Q122" s="93"/>
    </row>
    <row r="123">
      <c r="K123" s="1">
        <v>2126.0</v>
      </c>
      <c r="L123" s="89">
        <f t="shared" si="7"/>
        <v>3438589.035</v>
      </c>
      <c r="M123" s="100">
        <f t="shared" si="8"/>
        <v>6877178.069</v>
      </c>
      <c r="N123" s="101">
        <f t="shared" si="9"/>
        <v>13754356.14</v>
      </c>
      <c r="Q123" s="93"/>
    </row>
    <row r="124">
      <c r="K124" s="1">
        <v>2127.0</v>
      </c>
      <c r="L124" s="89">
        <f t="shared" si="7"/>
        <v>3558939.651</v>
      </c>
      <c r="M124" s="100">
        <f t="shared" si="8"/>
        <v>7117879.302</v>
      </c>
      <c r="N124" s="101">
        <f t="shared" si="9"/>
        <v>14235758.6</v>
      </c>
      <c r="Q124" s="93"/>
    </row>
    <row r="125">
      <c r="K125" s="1">
        <v>2128.0</v>
      </c>
      <c r="L125" s="89">
        <f t="shared" si="7"/>
        <v>3683502.539</v>
      </c>
      <c r="M125" s="100">
        <f t="shared" si="8"/>
        <v>7367005.077</v>
      </c>
      <c r="N125" s="101">
        <f t="shared" si="9"/>
        <v>14734010.15</v>
      </c>
      <c r="Q125" s="93"/>
    </row>
    <row r="126">
      <c r="K126" s="1">
        <v>2129.0</v>
      </c>
      <c r="L126" s="89">
        <f t="shared" si="7"/>
        <v>3812425.128</v>
      </c>
      <c r="M126" s="100">
        <f t="shared" si="8"/>
        <v>7624850.255</v>
      </c>
      <c r="N126" s="101">
        <f t="shared" si="9"/>
        <v>15249700.51</v>
      </c>
      <c r="Q126" s="93"/>
    </row>
    <row r="127">
      <c r="K127" s="1">
        <v>2130.0</v>
      </c>
      <c r="L127" s="89">
        <f t="shared" si="7"/>
        <v>3945860.007</v>
      </c>
      <c r="M127" s="100">
        <f t="shared" si="8"/>
        <v>7891720.014</v>
      </c>
      <c r="N127" s="101">
        <f t="shared" si="9"/>
        <v>15783440.03</v>
      </c>
      <c r="Q127" s="93"/>
    </row>
    <row r="128">
      <c r="K128" s="1">
        <v>2131.0</v>
      </c>
      <c r="L128" s="89">
        <f t="shared" si="7"/>
        <v>4083965.107</v>
      </c>
      <c r="M128" s="100">
        <f t="shared" si="8"/>
        <v>8167930.214</v>
      </c>
      <c r="N128" s="101">
        <f t="shared" si="9"/>
        <v>16335860.43</v>
      </c>
      <c r="Q128" s="93"/>
    </row>
    <row r="129">
      <c r="K129" s="1">
        <v>2132.0</v>
      </c>
      <c r="L129" s="89">
        <f t="shared" si="7"/>
        <v>4226903.886</v>
      </c>
      <c r="M129" s="100">
        <f t="shared" si="8"/>
        <v>8453807.772</v>
      </c>
      <c r="N129" s="101">
        <f t="shared" si="9"/>
        <v>16907615.54</v>
      </c>
      <c r="Q129" s="93"/>
    </row>
    <row r="130">
      <c r="K130" s="1">
        <v>2133.0</v>
      </c>
      <c r="L130" s="89">
        <f t="shared" si="7"/>
        <v>4374845.522</v>
      </c>
      <c r="M130" s="100">
        <f t="shared" si="8"/>
        <v>8749691.044</v>
      </c>
      <c r="N130" s="101">
        <f t="shared" si="9"/>
        <v>17499382.09</v>
      </c>
      <c r="Q130" s="93"/>
    </row>
    <row r="131">
      <c r="L131" s="100"/>
      <c r="M131" s="100"/>
      <c r="N131" s="98"/>
      <c r="Q131" s="93"/>
    </row>
    <row r="132">
      <c r="L132" s="100"/>
      <c r="M132" s="100"/>
      <c r="N132" s="98"/>
      <c r="Q132" s="93"/>
    </row>
    <row r="133">
      <c r="L133" s="100"/>
      <c r="M133" s="100"/>
      <c r="N133" s="98"/>
      <c r="Q133" s="93"/>
    </row>
    <row r="134">
      <c r="L134" s="100"/>
      <c r="M134" s="100"/>
      <c r="N134" s="98"/>
      <c r="Q134" s="93"/>
    </row>
    <row r="135">
      <c r="L135" s="100"/>
      <c r="M135" s="100"/>
      <c r="N135" s="98"/>
      <c r="Q135" s="93"/>
    </row>
    <row r="136">
      <c r="L136" s="100"/>
      <c r="M136" s="100"/>
      <c r="N136" s="98"/>
      <c r="Q136" s="93"/>
    </row>
    <row r="137">
      <c r="L137" s="100"/>
      <c r="M137" s="100"/>
      <c r="N137" s="98"/>
      <c r="Q137" s="93"/>
    </row>
    <row r="138">
      <c r="L138" s="100"/>
      <c r="M138" s="100"/>
      <c r="N138" s="98"/>
      <c r="Q138" s="93"/>
    </row>
    <row r="139">
      <c r="L139" s="100"/>
      <c r="M139" s="100"/>
      <c r="N139" s="98"/>
      <c r="Q139" s="93"/>
    </row>
    <row r="140">
      <c r="L140" s="100"/>
      <c r="M140" s="100"/>
      <c r="N140" s="98"/>
      <c r="Q140" s="93"/>
    </row>
    <row r="141">
      <c r="L141" s="100"/>
      <c r="M141" s="100"/>
      <c r="N141" s="98"/>
      <c r="Q141" s="93"/>
    </row>
    <row r="142">
      <c r="L142" s="100"/>
      <c r="M142" s="100"/>
      <c r="N142" s="98"/>
      <c r="Q142" s="93"/>
    </row>
    <row r="143">
      <c r="L143" s="100"/>
      <c r="M143" s="100"/>
      <c r="N143" s="98"/>
      <c r="Q143" s="93"/>
    </row>
    <row r="144">
      <c r="L144" s="100"/>
      <c r="M144" s="100"/>
      <c r="N144" s="98"/>
      <c r="Q144" s="93"/>
    </row>
    <row r="145">
      <c r="L145" s="100"/>
      <c r="M145" s="100"/>
      <c r="N145" s="98"/>
      <c r="Q145" s="93"/>
    </row>
    <row r="146">
      <c r="L146" s="100"/>
      <c r="M146" s="100"/>
      <c r="N146" s="98"/>
      <c r="Q146" s="93"/>
    </row>
    <row r="147">
      <c r="L147" s="100"/>
      <c r="M147" s="100"/>
      <c r="N147" s="98"/>
      <c r="Q147" s="93"/>
    </row>
    <row r="148">
      <c r="L148" s="100"/>
      <c r="M148" s="100"/>
      <c r="N148" s="98"/>
      <c r="Q148" s="93"/>
    </row>
    <row r="149">
      <c r="L149" s="100"/>
      <c r="M149" s="100"/>
      <c r="N149" s="98"/>
      <c r="Q149" s="93"/>
    </row>
    <row r="150">
      <c r="L150" s="100"/>
      <c r="M150" s="100"/>
      <c r="N150" s="98"/>
      <c r="Q150" s="93"/>
    </row>
    <row r="151">
      <c r="L151" s="100"/>
      <c r="M151" s="100"/>
      <c r="N151" s="98"/>
      <c r="Q151" s="93"/>
    </row>
    <row r="152">
      <c r="L152" s="100"/>
      <c r="M152" s="100"/>
      <c r="N152" s="98"/>
      <c r="Q152" s="93"/>
    </row>
    <row r="153">
      <c r="L153" s="100"/>
      <c r="M153" s="100"/>
      <c r="N153" s="98"/>
      <c r="Q153" s="93"/>
    </row>
    <row r="154">
      <c r="L154" s="100"/>
      <c r="M154" s="100"/>
      <c r="N154" s="98"/>
      <c r="Q154" s="93"/>
    </row>
    <row r="155">
      <c r="L155" s="100"/>
      <c r="M155" s="100"/>
      <c r="N155" s="98"/>
      <c r="Q155" s="93"/>
    </row>
    <row r="156">
      <c r="L156" s="100"/>
      <c r="M156" s="100"/>
      <c r="N156" s="98"/>
      <c r="Q156" s="93"/>
    </row>
    <row r="157">
      <c r="L157" s="100"/>
      <c r="M157" s="100"/>
      <c r="N157" s="98"/>
      <c r="Q157" s="93"/>
    </row>
    <row r="158">
      <c r="L158" s="100"/>
      <c r="M158" s="100"/>
      <c r="N158" s="98"/>
      <c r="Q158" s="93"/>
    </row>
    <row r="159">
      <c r="L159" s="100"/>
      <c r="M159" s="100"/>
      <c r="N159" s="98"/>
      <c r="Q159" s="93"/>
    </row>
    <row r="160">
      <c r="L160" s="100"/>
      <c r="M160" s="100"/>
      <c r="N160" s="98"/>
      <c r="Q160" s="93"/>
    </row>
    <row r="161">
      <c r="L161" s="100"/>
      <c r="M161" s="100"/>
      <c r="N161" s="98"/>
      <c r="Q161" s="93"/>
    </row>
    <row r="162">
      <c r="L162" s="100"/>
      <c r="M162" s="100"/>
      <c r="N162" s="98"/>
      <c r="Q162" s="93"/>
    </row>
    <row r="163">
      <c r="L163" s="100"/>
      <c r="M163" s="100"/>
      <c r="N163" s="98"/>
      <c r="Q163" s="93"/>
    </row>
    <row r="164">
      <c r="L164" s="100"/>
      <c r="M164" s="100"/>
      <c r="N164" s="98"/>
      <c r="Q164" s="93"/>
    </row>
    <row r="165">
      <c r="L165" s="100"/>
      <c r="M165" s="100"/>
      <c r="N165" s="98"/>
      <c r="Q165" s="93"/>
    </row>
    <row r="166">
      <c r="L166" s="100"/>
      <c r="M166" s="100"/>
      <c r="N166" s="98"/>
      <c r="Q166" s="93"/>
    </row>
    <row r="167">
      <c r="L167" s="100"/>
      <c r="M167" s="100"/>
      <c r="N167" s="98"/>
      <c r="Q167" s="93"/>
    </row>
    <row r="168">
      <c r="L168" s="100"/>
      <c r="M168" s="100"/>
      <c r="N168" s="98"/>
      <c r="Q168" s="93"/>
    </row>
    <row r="169">
      <c r="L169" s="100"/>
      <c r="M169" s="100"/>
      <c r="N169" s="98"/>
      <c r="Q169" s="93"/>
    </row>
    <row r="170">
      <c r="L170" s="100"/>
      <c r="M170" s="100"/>
      <c r="N170" s="98"/>
      <c r="Q170" s="93"/>
    </row>
    <row r="171">
      <c r="L171" s="100"/>
      <c r="M171" s="100"/>
      <c r="N171" s="98"/>
      <c r="Q171" s="93"/>
    </row>
    <row r="172">
      <c r="L172" s="100"/>
      <c r="M172" s="100"/>
      <c r="N172" s="98"/>
      <c r="Q172" s="93"/>
    </row>
    <row r="173">
      <c r="L173" s="100"/>
      <c r="M173" s="100"/>
      <c r="N173" s="98"/>
      <c r="Q173" s="93"/>
    </row>
    <row r="174">
      <c r="L174" s="100"/>
      <c r="M174" s="100"/>
      <c r="N174" s="98"/>
      <c r="Q174" s="93"/>
    </row>
    <row r="175">
      <c r="L175" s="100"/>
      <c r="M175" s="100"/>
      <c r="N175" s="98"/>
      <c r="Q175" s="93"/>
    </row>
    <row r="176">
      <c r="L176" s="100"/>
      <c r="M176" s="100"/>
      <c r="N176" s="98"/>
      <c r="Q176" s="93"/>
    </row>
    <row r="177">
      <c r="L177" s="100"/>
      <c r="M177" s="100"/>
      <c r="N177" s="98"/>
      <c r="Q177" s="93"/>
    </row>
    <row r="178">
      <c r="L178" s="100"/>
      <c r="M178" s="100"/>
      <c r="N178" s="98"/>
      <c r="Q178" s="93"/>
    </row>
    <row r="179">
      <c r="L179" s="100"/>
      <c r="M179" s="100"/>
      <c r="N179" s="98"/>
      <c r="Q179" s="93"/>
    </row>
    <row r="180">
      <c r="L180" s="100"/>
      <c r="M180" s="100"/>
      <c r="N180" s="98"/>
      <c r="Q180" s="93"/>
    </row>
    <row r="181">
      <c r="L181" s="100"/>
      <c r="M181" s="100"/>
      <c r="N181" s="98"/>
      <c r="Q181" s="93"/>
    </row>
    <row r="182">
      <c r="L182" s="100"/>
      <c r="M182" s="100"/>
      <c r="N182" s="98"/>
      <c r="Q182" s="93"/>
    </row>
    <row r="183">
      <c r="L183" s="100"/>
      <c r="M183" s="100"/>
      <c r="N183" s="98"/>
      <c r="Q183" s="93"/>
    </row>
    <row r="184">
      <c r="L184" s="100"/>
      <c r="M184" s="100"/>
      <c r="N184" s="98"/>
      <c r="Q184" s="93"/>
    </row>
    <row r="185">
      <c r="L185" s="100"/>
      <c r="M185" s="100"/>
      <c r="N185" s="98"/>
      <c r="Q185" s="93"/>
    </row>
    <row r="186">
      <c r="L186" s="100"/>
      <c r="M186" s="100"/>
      <c r="N186" s="98"/>
      <c r="Q186" s="93"/>
    </row>
    <row r="187">
      <c r="L187" s="100"/>
      <c r="M187" s="100"/>
      <c r="N187" s="98"/>
      <c r="Q187" s="93"/>
    </row>
    <row r="188">
      <c r="L188" s="100"/>
      <c r="M188" s="100"/>
      <c r="N188" s="98"/>
      <c r="Q188" s="93"/>
    </row>
    <row r="189">
      <c r="L189" s="100"/>
      <c r="M189" s="100"/>
      <c r="N189" s="98"/>
      <c r="Q189" s="93"/>
    </row>
    <row r="190">
      <c r="L190" s="100"/>
      <c r="M190" s="100"/>
      <c r="N190" s="98"/>
      <c r="Q190" s="93"/>
    </row>
    <row r="191">
      <c r="L191" s="100"/>
      <c r="M191" s="100"/>
      <c r="N191" s="98"/>
      <c r="Q191" s="93"/>
    </row>
    <row r="192">
      <c r="L192" s="100"/>
      <c r="M192" s="100"/>
      <c r="N192" s="98"/>
      <c r="Q192" s="93"/>
    </row>
    <row r="193">
      <c r="L193" s="100"/>
      <c r="M193" s="100"/>
      <c r="N193" s="98"/>
      <c r="Q193" s="93"/>
    </row>
    <row r="194">
      <c r="L194" s="100"/>
      <c r="M194" s="100"/>
      <c r="N194" s="98"/>
      <c r="Q194" s="93"/>
    </row>
    <row r="195">
      <c r="L195" s="100"/>
      <c r="M195" s="100"/>
      <c r="N195" s="98"/>
      <c r="Q195" s="93"/>
    </row>
    <row r="196">
      <c r="L196" s="100"/>
      <c r="M196" s="100"/>
      <c r="N196" s="98"/>
      <c r="Q196" s="93"/>
    </row>
    <row r="197">
      <c r="L197" s="100"/>
      <c r="M197" s="100"/>
      <c r="N197" s="98"/>
      <c r="Q197" s="93"/>
    </row>
    <row r="198">
      <c r="L198" s="100"/>
      <c r="M198" s="100"/>
      <c r="N198" s="98"/>
      <c r="Q198" s="93"/>
    </row>
    <row r="199">
      <c r="L199" s="100"/>
      <c r="M199" s="100"/>
      <c r="N199" s="98"/>
      <c r="Q199" s="93"/>
    </row>
    <row r="200">
      <c r="L200" s="100"/>
      <c r="M200" s="100"/>
      <c r="N200" s="98"/>
      <c r="Q200" s="93"/>
    </row>
    <row r="201">
      <c r="L201" s="100"/>
      <c r="M201" s="100"/>
      <c r="N201" s="98"/>
      <c r="Q201" s="93"/>
    </row>
    <row r="202">
      <c r="L202" s="100"/>
      <c r="M202" s="100"/>
      <c r="N202" s="98"/>
      <c r="Q202" s="93"/>
    </row>
    <row r="203">
      <c r="L203" s="100"/>
      <c r="M203" s="100"/>
      <c r="N203" s="98"/>
      <c r="Q203" s="93"/>
    </row>
    <row r="204">
      <c r="L204" s="100"/>
      <c r="M204" s="100"/>
      <c r="N204" s="98"/>
      <c r="Q204" s="93"/>
    </row>
    <row r="205">
      <c r="L205" s="100"/>
      <c r="M205" s="100"/>
      <c r="N205" s="98"/>
      <c r="Q205" s="93"/>
    </row>
    <row r="206">
      <c r="L206" s="100"/>
      <c r="M206" s="100"/>
      <c r="N206" s="98"/>
      <c r="Q206" s="93"/>
    </row>
    <row r="207">
      <c r="L207" s="100"/>
      <c r="M207" s="100"/>
      <c r="N207" s="98"/>
      <c r="Q207" s="93"/>
    </row>
    <row r="208">
      <c r="L208" s="100"/>
      <c r="M208" s="100"/>
      <c r="N208" s="98"/>
      <c r="Q208" s="93"/>
    </row>
    <row r="209">
      <c r="L209" s="100"/>
      <c r="M209" s="100"/>
      <c r="N209" s="98"/>
      <c r="Q209" s="93"/>
    </row>
    <row r="210">
      <c r="L210" s="100"/>
      <c r="M210" s="100"/>
      <c r="N210" s="98"/>
      <c r="Q210" s="93"/>
    </row>
    <row r="211">
      <c r="L211" s="100"/>
      <c r="M211" s="100"/>
      <c r="N211" s="98"/>
      <c r="Q211" s="93"/>
    </row>
    <row r="212">
      <c r="L212" s="100"/>
      <c r="M212" s="100"/>
      <c r="N212" s="98"/>
      <c r="Q212" s="93"/>
    </row>
    <row r="213">
      <c r="L213" s="100"/>
      <c r="M213" s="100"/>
      <c r="N213" s="98"/>
      <c r="Q213" s="93"/>
    </row>
    <row r="214">
      <c r="L214" s="100"/>
      <c r="M214" s="100"/>
      <c r="N214" s="98"/>
      <c r="Q214" s="93"/>
    </row>
    <row r="215">
      <c r="L215" s="100"/>
      <c r="M215" s="100"/>
      <c r="N215" s="98"/>
      <c r="Q215" s="93"/>
    </row>
    <row r="216">
      <c r="L216" s="100"/>
      <c r="M216" s="100"/>
      <c r="N216" s="98"/>
      <c r="Q216" s="93"/>
    </row>
    <row r="217">
      <c r="L217" s="100"/>
      <c r="M217" s="100"/>
      <c r="N217" s="98"/>
      <c r="Q217" s="93"/>
    </row>
    <row r="218">
      <c r="L218" s="100"/>
      <c r="M218" s="100"/>
      <c r="N218" s="98"/>
      <c r="Q218" s="93"/>
    </row>
    <row r="219">
      <c r="L219" s="100"/>
      <c r="M219" s="100"/>
      <c r="N219" s="98"/>
      <c r="Q219" s="93"/>
    </row>
    <row r="220">
      <c r="L220" s="100"/>
      <c r="M220" s="100"/>
      <c r="N220" s="98"/>
      <c r="Q220" s="93"/>
    </row>
    <row r="221">
      <c r="L221" s="100"/>
      <c r="M221" s="100"/>
      <c r="N221" s="98"/>
      <c r="Q221" s="93"/>
    </row>
    <row r="222">
      <c r="L222" s="100"/>
      <c r="M222" s="100"/>
      <c r="N222" s="98"/>
      <c r="Q222" s="93"/>
    </row>
    <row r="223">
      <c r="L223" s="100"/>
      <c r="M223" s="100"/>
      <c r="N223" s="98"/>
      <c r="Q223" s="93"/>
    </row>
    <row r="224">
      <c r="L224" s="100"/>
      <c r="M224" s="100"/>
      <c r="N224" s="98"/>
      <c r="Q224" s="93"/>
    </row>
    <row r="225">
      <c r="L225" s="100"/>
      <c r="M225" s="100"/>
      <c r="N225" s="98"/>
      <c r="Q225" s="93"/>
    </row>
    <row r="226">
      <c r="L226" s="100"/>
      <c r="M226" s="100"/>
      <c r="N226" s="98"/>
      <c r="Q226" s="93"/>
    </row>
    <row r="227">
      <c r="L227" s="100"/>
      <c r="M227" s="100"/>
      <c r="N227" s="98"/>
      <c r="Q227" s="93"/>
    </row>
    <row r="228">
      <c r="L228" s="100"/>
      <c r="M228" s="100"/>
      <c r="N228" s="98"/>
      <c r="Q228" s="93"/>
    </row>
    <row r="229">
      <c r="L229" s="100"/>
      <c r="M229" s="100"/>
      <c r="N229" s="98"/>
      <c r="Q229" s="93"/>
    </row>
    <row r="230">
      <c r="L230" s="100"/>
      <c r="M230" s="100"/>
      <c r="N230" s="98"/>
      <c r="Q230" s="93"/>
    </row>
    <row r="231">
      <c r="L231" s="100"/>
      <c r="M231" s="100"/>
      <c r="N231" s="98"/>
      <c r="Q231" s="93"/>
    </row>
    <row r="232">
      <c r="L232" s="100"/>
      <c r="M232" s="100"/>
      <c r="N232" s="98"/>
      <c r="Q232" s="93"/>
    </row>
    <row r="233">
      <c r="L233" s="100"/>
      <c r="M233" s="100"/>
      <c r="N233" s="98"/>
      <c r="Q233" s="93"/>
    </row>
    <row r="234">
      <c r="L234" s="100"/>
      <c r="M234" s="100"/>
      <c r="N234" s="98"/>
      <c r="Q234" s="93"/>
    </row>
    <row r="235">
      <c r="L235" s="100"/>
      <c r="M235" s="100"/>
      <c r="N235" s="98"/>
      <c r="Q235" s="93"/>
    </row>
    <row r="236">
      <c r="L236" s="100"/>
      <c r="M236" s="100"/>
      <c r="N236" s="98"/>
      <c r="Q236" s="93"/>
    </row>
    <row r="237">
      <c r="L237" s="100"/>
      <c r="M237" s="100"/>
      <c r="N237" s="98"/>
      <c r="Q237" s="93"/>
    </row>
    <row r="238">
      <c r="L238" s="100"/>
      <c r="M238" s="100"/>
      <c r="N238" s="98"/>
      <c r="Q238" s="93"/>
    </row>
    <row r="239">
      <c r="L239" s="100"/>
      <c r="M239" s="100"/>
      <c r="N239" s="98"/>
      <c r="Q239" s="93"/>
    </row>
    <row r="240">
      <c r="L240" s="100"/>
      <c r="M240" s="100"/>
      <c r="N240" s="98"/>
      <c r="Q240" s="93"/>
    </row>
    <row r="241">
      <c r="L241" s="100"/>
      <c r="M241" s="100"/>
      <c r="N241" s="98"/>
      <c r="Q241" s="93"/>
    </row>
    <row r="242">
      <c r="L242" s="100"/>
      <c r="M242" s="100"/>
      <c r="N242" s="98"/>
      <c r="Q242" s="93"/>
    </row>
    <row r="243">
      <c r="L243" s="100"/>
      <c r="M243" s="100"/>
      <c r="N243" s="98"/>
      <c r="Q243" s="93"/>
    </row>
    <row r="244">
      <c r="L244" s="100"/>
      <c r="M244" s="100"/>
      <c r="N244" s="98"/>
      <c r="Q244" s="93"/>
    </row>
    <row r="245">
      <c r="L245" s="100"/>
      <c r="M245" s="100"/>
      <c r="N245" s="98"/>
      <c r="Q245" s="93"/>
    </row>
    <row r="246">
      <c r="L246" s="100"/>
      <c r="M246" s="100"/>
      <c r="N246" s="98"/>
      <c r="Q246" s="93"/>
    </row>
    <row r="247">
      <c r="L247" s="100"/>
      <c r="M247" s="100"/>
      <c r="N247" s="98"/>
      <c r="Q247" s="93"/>
    </row>
    <row r="248">
      <c r="L248" s="100"/>
      <c r="M248" s="100"/>
      <c r="N248" s="98"/>
      <c r="Q248" s="93"/>
    </row>
    <row r="249">
      <c r="L249" s="100"/>
      <c r="M249" s="100"/>
      <c r="N249" s="98"/>
      <c r="Q249" s="93"/>
    </row>
    <row r="250">
      <c r="L250" s="100"/>
      <c r="M250" s="100"/>
      <c r="N250" s="98"/>
      <c r="Q250" s="93"/>
    </row>
    <row r="251">
      <c r="L251" s="100"/>
      <c r="M251" s="100"/>
      <c r="N251" s="98"/>
      <c r="Q251" s="93"/>
    </row>
    <row r="252">
      <c r="L252" s="100"/>
      <c r="M252" s="100"/>
      <c r="N252" s="98"/>
      <c r="Q252" s="93"/>
    </row>
    <row r="253">
      <c r="L253" s="100"/>
      <c r="M253" s="100"/>
      <c r="N253" s="98"/>
      <c r="Q253" s="93"/>
    </row>
    <row r="254">
      <c r="L254" s="100"/>
      <c r="M254" s="100"/>
      <c r="N254" s="98"/>
      <c r="Q254" s="93"/>
    </row>
    <row r="255">
      <c r="L255" s="100"/>
      <c r="M255" s="100"/>
      <c r="N255" s="98"/>
      <c r="Q255" s="93"/>
    </row>
    <row r="256">
      <c r="L256" s="100"/>
      <c r="M256" s="100"/>
      <c r="N256" s="98"/>
      <c r="Q256" s="93"/>
    </row>
    <row r="257">
      <c r="L257" s="100"/>
      <c r="M257" s="100"/>
      <c r="N257" s="98"/>
      <c r="Q257" s="93"/>
    </row>
    <row r="258">
      <c r="L258" s="100"/>
      <c r="M258" s="100"/>
      <c r="N258" s="98"/>
      <c r="Q258" s="93"/>
    </row>
    <row r="259">
      <c r="L259" s="100"/>
      <c r="M259" s="100"/>
      <c r="N259" s="98"/>
      <c r="Q259" s="93"/>
    </row>
    <row r="260">
      <c r="L260" s="100"/>
      <c r="M260" s="100"/>
      <c r="N260" s="98"/>
      <c r="Q260" s="93"/>
    </row>
    <row r="261">
      <c r="L261" s="100"/>
      <c r="M261" s="100"/>
      <c r="N261" s="98"/>
      <c r="Q261" s="93"/>
    </row>
    <row r="262">
      <c r="L262" s="100"/>
      <c r="M262" s="100"/>
      <c r="N262" s="98"/>
      <c r="Q262" s="93"/>
    </row>
    <row r="263">
      <c r="L263" s="100"/>
      <c r="M263" s="100"/>
      <c r="N263" s="98"/>
      <c r="Q263" s="93"/>
    </row>
    <row r="264">
      <c r="L264" s="100"/>
      <c r="M264" s="100"/>
      <c r="N264" s="98"/>
      <c r="Q264" s="93"/>
    </row>
    <row r="265">
      <c r="L265" s="100"/>
      <c r="M265" s="100"/>
      <c r="N265" s="98"/>
      <c r="Q265" s="93"/>
    </row>
    <row r="266">
      <c r="L266" s="100"/>
      <c r="M266" s="100"/>
      <c r="N266" s="98"/>
      <c r="Q266" s="93"/>
    </row>
    <row r="267">
      <c r="L267" s="100"/>
      <c r="M267" s="100"/>
      <c r="N267" s="98"/>
      <c r="Q267" s="93"/>
    </row>
    <row r="268">
      <c r="L268" s="100"/>
      <c r="M268" s="100"/>
      <c r="N268" s="98"/>
      <c r="Q268" s="93"/>
    </row>
    <row r="269">
      <c r="L269" s="100"/>
      <c r="M269" s="100"/>
      <c r="N269" s="98"/>
      <c r="Q269" s="93"/>
    </row>
    <row r="270">
      <c r="L270" s="100"/>
      <c r="M270" s="100"/>
      <c r="N270" s="98"/>
      <c r="Q270" s="93"/>
    </row>
    <row r="271">
      <c r="L271" s="100"/>
      <c r="M271" s="100"/>
      <c r="N271" s="98"/>
      <c r="Q271" s="93"/>
    </row>
    <row r="272">
      <c r="L272" s="100"/>
      <c r="M272" s="100"/>
      <c r="N272" s="98"/>
      <c r="Q272" s="93"/>
    </row>
    <row r="273">
      <c r="L273" s="100"/>
      <c r="M273" s="100"/>
      <c r="N273" s="98"/>
      <c r="Q273" s="93"/>
    </row>
    <row r="274">
      <c r="L274" s="100"/>
      <c r="M274" s="100"/>
      <c r="N274" s="98"/>
      <c r="Q274" s="93"/>
    </row>
    <row r="275">
      <c r="L275" s="100"/>
      <c r="M275" s="100"/>
      <c r="N275" s="98"/>
      <c r="Q275" s="93"/>
    </row>
    <row r="276">
      <c r="L276" s="100"/>
      <c r="M276" s="100"/>
      <c r="N276" s="98"/>
      <c r="Q276" s="93"/>
    </row>
    <row r="277">
      <c r="L277" s="100"/>
      <c r="M277" s="100"/>
      <c r="N277" s="98"/>
      <c r="Q277" s="93"/>
    </row>
    <row r="278">
      <c r="L278" s="100"/>
      <c r="M278" s="100"/>
      <c r="N278" s="98"/>
      <c r="Q278" s="93"/>
    </row>
    <row r="279">
      <c r="L279" s="100"/>
      <c r="M279" s="100"/>
      <c r="N279" s="98"/>
      <c r="Q279" s="93"/>
    </row>
    <row r="280">
      <c r="L280" s="100"/>
      <c r="M280" s="100"/>
      <c r="N280" s="98"/>
      <c r="Q280" s="93"/>
    </row>
    <row r="281">
      <c r="L281" s="100"/>
      <c r="M281" s="100"/>
      <c r="N281" s="98"/>
      <c r="Q281" s="93"/>
    </row>
    <row r="282">
      <c r="L282" s="100"/>
      <c r="M282" s="100"/>
      <c r="N282" s="98"/>
      <c r="Q282" s="93"/>
    </row>
    <row r="283">
      <c r="L283" s="100"/>
      <c r="M283" s="100"/>
      <c r="N283" s="98"/>
      <c r="Q283" s="93"/>
    </row>
    <row r="284">
      <c r="L284" s="100"/>
      <c r="M284" s="100"/>
      <c r="N284" s="98"/>
      <c r="Q284" s="93"/>
    </row>
    <row r="285">
      <c r="L285" s="100"/>
      <c r="M285" s="100"/>
      <c r="N285" s="98"/>
      <c r="Q285" s="93"/>
    </row>
    <row r="286">
      <c r="L286" s="100"/>
      <c r="M286" s="100"/>
      <c r="N286" s="98"/>
      <c r="Q286" s="93"/>
    </row>
    <row r="287">
      <c r="L287" s="100"/>
      <c r="M287" s="100"/>
      <c r="N287" s="98"/>
      <c r="Q287" s="93"/>
    </row>
    <row r="288">
      <c r="L288" s="100"/>
      <c r="M288" s="100"/>
      <c r="N288" s="98"/>
      <c r="Q288" s="93"/>
    </row>
    <row r="289">
      <c r="L289" s="100"/>
      <c r="M289" s="100"/>
      <c r="N289" s="98"/>
      <c r="Q289" s="93"/>
    </row>
    <row r="290">
      <c r="L290" s="100"/>
      <c r="M290" s="100"/>
      <c r="N290" s="98"/>
      <c r="Q290" s="93"/>
    </row>
    <row r="291">
      <c r="L291" s="100"/>
      <c r="M291" s="100"/>
      <c r="N291" s="98"/>
      <c r="Q291" s="93"/>
    </row>
    <row r="292">
      <c r="L292" s="100"/>
      <c r="M292" s="100"/>
      <c r="N292" s="98"/>
      <c r="Q292" s="93"/>
    </row>
    <row r="293">
      <c r="L293" s="100"/>
      <c r="M293" s="100"/>
      <c r="N293" s="98"/>
      <c r="Q293" s="93"/>
    </row>
    <row r="294">
      <c r="L294" s="100"/>
      <c r="M294" s="100"/>
      <c r="N294" s="98"/>
      <c r="Q294" s="93"/>
    </row>
    <row r="295">
      <c r="L295" s="100"/>
      <c r="M295" s="100"/>
      <c r="N295" s="98"/>
      <c r="Q295" s="93"/>
    </row>
    <row r="296">
      <c r="L296" s="100"/>
      <c r="M296" s="100"/>
      <c r="N296" s="98"/>
      <c r="Q296" s="93"/>
    </row>
    <row r="297">
      <c r="L297" s="100"/>
      <c r="M297" s="100"/>
      <c r="N297" s="98"/>
      <c r="Q297" s="93"/>
    </row>
    <row r="298">
      <c r="L298" s="100"/>
      <c r="M298" s="100"/>
      <c r="N298" s="98"/>
      <c r="Q298" s="93"/>
    </row>
    <row r="299">
      <c r="L299" s="100"/>
      <c r="M299" s="100"/>
      <c r="N299" s="98"/>
      <c r="Q299" s="93"/>
    </row>
    <row r="300">
      <c r="L300" s="100"/>
      <c r="M300" s="100"/>
      <c r="N300" s="98"/>
      <c r="Q300" s="93"/>
    </row>
    <row r="301">
      <c r="L301" s="100"/>
      <c r="M301" s="100"/>
      <c r="N301" s="98"/>
      <c r="Q301" s="93"/>
    </row>
    <row r="302">
      <c r="L302" s="100"/>
      <c r="M302" s="100"/>
      <c r="N302" s="98"/>
      <c r="Q302" s="93"/>
    </row>
    <row r="303">
      <c r="L303" s="100"/>
      <c r="M303" s="100"/>
      <c r="N303" s="98"/>
      <c r="Q303" s="93"/>
    </row>
    <row r="304">
      <c r="L304" s="100"/>
      <c r="M304" s="100"/>
      <c r="N304" s="98"/>
      <c r="Q304" s="93"/>
    </row>
    <row r="305">
      <c r="L305" s="100"/>
      <c r="M305" s="100"/>
      <c r="N305" s="98"/>
      <c r="Q305" s="93"/>
    </row>
    <row r="306">
      <c r="L306" s="100"/>
      <c r="M306" s="100"/>
      <c r="N306" s="98"/>
      <c r="Q306" s="93"/>
    </row>
    <row r="307">
      <c r="L307" s="100"/>
      <c r="M307" s="100"/>
      <c r="N307" s="98"/>
      <c r="Q307" s="93"/>
    </row>
    <row r="308">
      <c r="L308" s="100"/>
      <c r="M308" s="100"/>
      <c r="N308" s="98"/>
      <c r="Q308" s="93"/>
    </row>
    <row r="309">
      <c r="L309" s="100"/>
      <c r="M309" s="100"/>
      <c r="N309" s="98"/>
      <c r="Q309" s="93"/>
    </row>
    <row r="310">
      <c r="L310" s="100"/>
      <c r="M310" s="100"/>
      <c r="N310" s="98"/>
      <c r="Q310" s="93"/>
    </row>
    <row r="311">
      <c r="L311" s="100"/>
      <c r="M311" s="100"/>
      <c r="N311" s="98"/>
      <c r="Q311" s="93"/>
    </row>
    <row r="312">
      <c r="L312" s="100"/>
      <c r="M312" s="100"/>
      <c r="N312" s="98"/>
      <c r="Q312" s="93"/>
    </row>
    <row r="313">
      <c r="L313" s="100"/>
      <c r="M313" s="100"/>
      <c r="N313" s="98"/>
      <c r="Q313" s="93"/>
    </row>
    <row r="314">
      <c r="L314" s="100"/>
      <c r="M314" s="100"/>
      <c r="N314" s="98"/>
      <c r="Q314" s="93"/>
    </row>
    <row r="315">
      <c r="L315" s="100"/>
      <c r="M315" s="100"/>
      <c r="N315" s="98"/>
      <c r="Q315" s="93"/>
    </row>
    <row r="316">
      <c r="L316" s="100"/>
      <c r="M316" s="100"/>
      <c r="N316" s="98"/>
      <c r="Q316" s="93"/>
    </row>
    <row r="317">
      <c r="L317" s="100"/>
      <c r="M317" s="100"/>
      <c r="N317" s="98"/>
      <c r="Q317" s="93"/>
    </row>
    <row r="318">
      <c r="L318" s="100"/>
      <c r="M318" s="100"/>
      <c r="N318" s="98"/>
      <c r="Q318" s="93"/>
    </row>
    <row r="319">
      <c r="L319" s="100"/>
      <c r="M319" s="100"/>
      <c r="N319" s="98"/>
      <c r="Q319" s="93"/>
    </row>
    <row r="320">
      <c r="L320" s="100"/>
      <c r="M320" s="100"/>
      <c r="N320" s="98"/>
      <c r="Q320" s="93"/>
    </row>
    <row r="321">
      <c r="L321" s="100"/>
      <c r="M321" s="100"/>
      <c r="N321" s="98"/>
      <c r="Q321" s="93"/>
    </row>
    <row r="322">
      <c r="L322" s="100"/>
      <c r="M322" s="100"/>
      <c r="N322" s="98"/>
      <c r="Q322" s="93"/>
    </row>
    <row r="323">
      <c r="L323" s="100"/>
      <c r="M323" s="100"/>
      <c r="N323" s="98"/>
      <c r="Q323" s="93"/>
    </row>
    <row r="324">
      <c r="L324" s="100"/>
      <c r="M324" s="100"/>
      <c r="N324" s="98"/>
      <c r="Q324" s="93"/>
    </row>
    <row r="325">
      <c r="L325" s="100"/>
      <c r="M325" s="100"/>
      <c r="N325" s="98"/>
      <c r="Q325" s="93"/>
    </row>
    <row r="326">
      <c r="L326" s="100"/>
      <c r="M326" s="100"/>
      <c r="N326" s="98"/>
      <c r="Q326" s="93"/>
    </row>
    <row r="327">
      <c r="L327" s="100"/>
      <c r="M327" s="100"/>
      <c r="N327" s="98"/>
      <c r="Q327" s="93"/>
    </row>
    <row r="328">
      <c r="L328" s="100"/>
      <c r="M328" s="100"/>
      <c r="N328" s="98"/>
      <c r="Q328" s="93"/>
    </row>
    <row r="329">
      <c r="L329" s="100"/>
      <c r="M329" s="100"/>
      <c r="N329" s="98"/>
      <c r="Q329" s="93"/>
    </row>
    <row r="330">
      <c r="L330" s="100"/>
      <c r="M330" s="100"/>
      <c r="N330" s="98"/>
      <c r="Q330" s="93"/>
    </row>
    <row r="331">
      <c r="L331" s="100"/>
      <c r="M331" s="100"/>
      <c r="N331" s="98"/>
      <c r="Q331" s="93"/>
    </row>
    <row r="332">
      <c r="L332" s="100"/>
      <c r="M332" s="100"/>
      <c r="N332" s="98"/>
      <c r="Q332" s="93"/>
    </row>
    <row r="333">
      <c r="L333" s="100"/>
      <c r="M333" s="100"/>
      <c r="N333" s="98"/>
      <c r="Q333" s="93"/>
    </row>
    <row r="334">
      <c r="L334" s="100"/>
      <c r="M334" s="100"/>
      <c r="N334" s="98"/>
      <c r="Q334" s="93"/>
    </row>
    <row r="335">
      <c r="L335" s="100"/>
      <c r="M335" s="100"/>
      <c r="N335" s="98"/>
      <c r="Q335" s="93"/>
    </row>
    <row r="336">
      <c r="L336" s="100"/>
      <c r="M336" s="100"/>
      <c r="N336" s="98"/>
      <c r="Q336" s="93"/>
    </row>
    <row r="337">
      <c r="L337" s="100"/>
      <c r="M337" s="100"/>
      <c r="N337" s="98"/>
      <c r="Q337" s="93"/>
    </row>
    <row r="338">
      <c r="L338" s="100"/>
      <c r="M338" s="100"/>
      <c r="N338" s="98"/>
      <c r="Q338" s="93"/>
    </row>
    <row r="339">
      <c r="L339" s="100"/>
      <c r="M339" s="100"/>
      <c r="N339" s="98"/>
      <c r="Q339" s="93"/>
    </row>
    <row r="340">
      <c r="L340" s="100"/>
      <c r="M340" s="100"/>
      <c r="N340" s="98"/>
      <c r="Q340" s="93"/>
    </row>
    <row r="341">
      <c r="L341" s="100"/>
      <c r="M341" s="100"/>
      <c r="N341" s="98"/>
      <c r="Q341" s="93"/>
    </row>
    <row r="342">
      <c r="L342" s="100"/>
      <c r="M342" s="100"/>
      <c r="N342" s="98"/>
      <c r="Q342" s="93"/>
    </row>
    <row r="343">
      <c r="L343" s="100"/>
      <c r="M343" s="100"/>
      <c r="N343" s="98"/>
      <c r="Q343" s="93"/>
    </row>
    <row r="344">
      <c r="L344" s="100"/>
      <c r="M344" s="100"/>
      <c r="N344" s="98"/>
      <c r="Q344" s="93"/>
    </row>
    <row r="345">
      <c r="L345" s="100"/>
      <c r="M345" s="100"/>
      <c r="N345" s="98"/>
      <c r="Q345" s="93"/>
    </row>
    <row r="346">
      <c r="L346" s="100"/>
      <c r="M346" s="100"/>
      <c r="N346" s="98"/>
      <c r="Q346" s="93"/>
    </row>
    <row r="347">
      <c r="L347" s="100"/>
      <c r="M347" s="100"/>
      <c r="N347" s="98"/>
      <c r="Q347" s="93"/>
    </row>
    <row r="348">
      <c r="L348" s="100"/>
      <c r="M348" s="100"/>
      <c r="N348" s="98"/>
      <c r="Q348" s="93"/>
    </row>
    <row r="349">
      <c r="L349" s="100"/>
      <c r="M349" s="100"/>
      <c r="N349" s="98"/>
      <c r="Q349" s="93"/>
    </row>
    <row r="350">
      <c r="L350" s="100"/>
      <c r="M350" s="100"/>
      <c r="N350" s="98"/>
      <c r="Q350" s="93"/>
    </row>
    <row r="351">
      <c r="L351" s="100"/>
      <c r="M351" s="100"/>
      <c r="N351" s="98"/>
      <c r="Q351" s="93"/>
    </row>
    <row r="352">
      <c r="L352" s="100"/>
      <c r="M352" s="100"/>
      <c r="N352" s="98"/>
      <c r="Q352" s="93"/>
    </row>
    <row r="353">
      <c r="L353" s="100"/>
      <c r="M353" s="100"/>
      <c r="N353" s="98"/>
      <c r="Q353" s="93"/>
    </row>
    <row r="354">
      <c r="L354" s="100"/>
      <c r="M354" s="100"/>
      <c r="N354" s="98"/>
      <c r="Q354" s="93"/>
    </row>
    <row r="355">
      <c r="L355" s="100"/>
      <c r="M355" s="100"/>
      <c r="N355" s="98"/>
      <c r="Q355" s="93"/>
    </row>
    <row r="356">
      <c r="L356" s="100"/>
      <c r="M356" s="100"/>
      <c r="N356" s="98"/>
      <c r="Q356" s="93"/>
    </row>
    <row r="357">
      <c r="L357" s="100"/>
      <c r="M357" s="100"/>
      <c r="N357" s="98"/>
      <c r="Q357" s="93"/>
    </row>
    <row r="358">
      <c r="L358" s="100"/>
      <c r="M358" s="100"/>
      <c r="N358" s="98"/>
      <c r="Q358" s="93"/>
    </row>
    <row r="359">
      <c r="L359" s="100"/>
      <c r="M359" s="100"/>
      <c r="N359" s="98"/>
      <c r="Q359" s="93"/>
    </row>
    <row r="360">
      <c r="L360" s="100"/>
      <c r="M360" s="100"/>
      <c r="N360" s="98"/>
      <c r="Q360" s="93"/>
    </row>
    <row r="361">
      <c r="L361" s="100"/>
      <c r="M361" s="100"/>
      <c r="N361" s="98"/>
      <c r="Q361" s="93"/>
    </row>
    <row r="362">
      <c r="L362" s="100"/>
      <c r="M362" s="100"/>
      <c r="N362" s="98"/>
      <c r="Q362" s="93"/>
    </row>
    <row r="363">
      <c r="L363" s="100"/>
      <c r="M363" s="100"/>
      <c r="N363" s="98"/>
      <c r="Q363" s="93"/>
    </row>
    <row r="364">
      <c r="L364" s="100"/>
      <c r="M364" s="100"/>
      <c r="N364" s="98"/>
      <c r="Q364" s="93"/>
    </row>
    <row r="365">
      <c r="L365" s="100"/>
      <c r="M365" s="100"/>
      <c r="N365" s="98"/>
      <c r="Q365" s="93"/>
    </row>
    <row r="366">
      <c r="L366" s="100"/>
      <c r="M366" s="100"/>
      <c r="N366" s="98"/>
      <c r="Q366" s="93"/>
    </row>
    <row r="367">
      <c r="L367" s="100"/>
      <c r="M367" s="100"/>
      <c r="N367" s="98"/>
      <c r="Q367" s="93"/>
    </row>
    <row r="368">
      <c r="L368" s="100"/>
      <c r="M368" s="100"/>
      <c r="N368" s="98"/>
      <c r="Q368" s="93"/>
    </row>
    <row r="369">
      <c r="L369" s="100"/>
      <c r="M369" s="100"/>
      <c r="N369" s="98"/>
      <c r="Q369" s="93"/>
    </row>
    <row r="370">
      <c r="L370" s="100"/>
      <c r="M370" s="100"/>
      <c r="N370" s="98"/>
      <c r="Q370" s="93"/>
    </row>
    <row r="371">
      <c r="L371" s="100"/>
      <c r="M371" s="100"/>
      <c r="N371" s="98"/>
      <c r="Q371" s="93"/>
    </row>
    <row r="372">
      <c r="L372" s="100"/>
      <c r="M372" s="100"/>
      <c r="N372" s="98"/>
      <c r="Q372" s="93"/>
    </row>
    <row r="373">
      <c r="L373" s="100"/>
      <c r="M373" s="100"/>
      <c r="N373" s="98"/>
      <c r="Q373" s="93"/>
    </row>
    <row r="374">
      <c r="L374" s="100"/>
      <c r="M374" s="100"/>
      <c r="N374" s="98"/>
      <c r="Q374" s="93"/>
    </row>
    <row r="375">
      <c r="L375" s="100"/>
      <c r="M375" s="100"/>
      <c r="N375" s="98"/>
      <c r="Q375" s="93"/>
    </row>
    <row r="376">
      <c r="L376" s="100"/>
      <c r="M376" s="100"/>
      <c r="N376" s="98"/>
      <c r="Q376" s="93"/>
    </row>
    <row r="377">
      <c r="L377" s="100"/>
      <c r="M377" s="100"/>
      <c r="N377" s="98"/>
      <c r="Q377" s="93"/>
    </row>
    <row r="378">
      <c r="L378" s="100"/>
      <c r="M378" s="100"/>
      <c r="N378" s="98"/>
      <c r="Q378" s="93"/>
    </row>
    <row r="379">
      <c r="L379" s="100"/>
      <c r="M379" s="100"/>
      <c r="N379" s="98"/>
      <c r="Q379" s="93"/>
    </row>
    <row r="380">
      <c r="L380" s="100"/>
      <c r="M380" s="100"/>
      <c r="N380" s="98"/>
      <c r="Q380" s="93"/>
    </row>
    <row r="381">
      <c r="L381" s="100"/>
      <c r="M381" s="100"/>
      <c r="N381" s="98"/>
      <c r="Q381" s="93"/>
    </row>
    <row r="382">
      <c r="L382" s="100"/>
      <c r="M382" s="100"/>
      <c r="N382" s="98"/>
      <c r="Q382" s="93"/>
    </row>
    <row r="383">
      <c r="L383" s="100"/>
      <c r="M383" s="100"/>
      <c r="N383" s="98"/>
      <c r="Q383" s="93"/>
    </row>
    <row r="384">
      <c r="L384" s="100"/>
      <c r="M384" s="100"/>
      <c r="N384" s="98"/>
      <c r="Q384" s="93"/>
    </row>
    <row r="385">
      <c r="L385" s="100"/>
      <c r="M385" s="100"/>
      <c r="N385" s="98"/>
      <c r="Q385" s="93"/>
    </row>
    <row r="386">
      <c r="L386" s="100"/>
      <c r="M386" s="100"/>
      <c r="N386" s="98"/>
      <c r="Q386" s="93"/>
    </row>
    <row r="387">
      <c r="L387" s="100"/>
      <c r="M387" s="100"/>
      <c r="N387" s="98"/>
      <c r="Q387" s="93"/>
    </row>
    <row r="388">
      <c r="L388" s="100"/>
      <c r="M388" s="100"/>
      <c r="N388" s="98"/>
      <c r="Q388" s="93"/>
    </row>
    <row r="389">
      <c r="L389" s="100"/>
      <c r="M389" s="100"/>
      <c r="N389" s="98"/>
      <c r="Q389" s="93"/>
    </row>
    <row r="390">
      <c r="L390" s="100"/>
      <c r="M390" s="100"/>
      <c r="N390" s="98"/>
      <c r="Q390" s="93"/>
    </row>
    <row r="391">
      <c r="L391" s="100"/>
      <c r="M391" s="100"/>
      <c r="N391" s="98"/>
      <c r="Q391" s="93"/>
    </row>
    <row r="392">
      <c r="L392" s="100"/>
      <c r="M392" s="100"/>
      <c r="N392" s="98"/>
      <c r="Q392" s="93"/>
    </row>
    <row r="393">
      <c r="L393" s="100"/>
      <c r="M393" s="100"/>
      <c r="N393" s="98"/>
      <c r="Q393" s="93"/>
    </row>
    <row r="394">
      <c r="L394" s="100"/>
      <c r="M394" s="100"/>
      <c r="N394" s="98"/>
      <c r="Q394" s="93"/>
    </row>
    <row r="395">
      <c r="L395" s="100"/>
      <c r="M395" s="100"/>
      <c r="N395" s="98"/>
      <c r="Q395" s="93"/>
    </row>
    <row r="396">
      <c r="L396" s="100"/>
      <c r="M396" s="100"/>
      <c r="N396" s="98"/>
      <c r="Q396" s="93"/>
    </row>
    <row r="397">
      <c r="L397" s="100"/>
      <c r="M397" s="100"/>
      <c r="N397" s="98"/>
      <c r="Q397" s="93"/>
    </row>
    <row r="398">
      <c r="L398" s="100"/>
      <c r="M398" s="100"/>
      <c r="N398" s="98"/>
      <c r="Q398" s="93"/>
    </row>
    <row r="399">
      <c r="L399" s="100"/>
      <c r="M399" s="100"/>
      <c r="N399" s="98"/>
      <c r="Q399" s="93"/>
    </row>
    <row r="400">
      <c r="L400" s="100"/>
      <c r="M400" s="100"/>
      <c r="N400" s="98"/>
      <c r="Q400" s="93"/>
    </row>
    <row r="401">
      <c r="L401" s="100"/>
      <c r="M401" s="100"/>
      <c r="N401" s="98"/>
      <c r="Q401" s="93"/>
    </row>
    <row r="402">
      <c r="L402" s="100"/>
      <c r="M402" s="100"/>
      <c r="N402" s="98"/>
      <c r="Q402" s="93"/>
    </row>
    <row r="403">
      <c r="L403" s="100"/>
      <c r="M403" s="100"/>
      <c r="N403" s="98"/>
      <c r="Q403" s="93"/>
    </row>
    <row r="404">
      <c r="L404" s="100"/>
      <c r="M404" s="100"/>
      <c r="N404" s="98"/>
      <c r="Q404" s="93"/>
    </row>
    <row r="405">
      <c r="L405" s="100"/>
      <c r="M405" s="100"/>
      <c r="N405" s="98"/>
      <c r="Q405" s="93"/>
    </row>
    <row r="406">
      <c r="L406" s="100"/>
      <c r="M406" s="100"/>
      <c r="N406" s="98"/>
      <c r="Q406" s="93"/>
    </row>
    <row r="407">
      <c r="L407" s="100"/>
      <c r="M407" s="100"/>
      <c r="N407" s="98"/>
      <c r="Q407" s="93"/>
    </row>
    <row r="408">
      <c r="L408" s="100"/>
      <c r="M408" s="100"/>
      <c r="N408" s="98"/>
      <c r="Q408" s="93"/>
    </row>
    <row r="409">
      <c r="L409" s="100"/>
      <c r="M409" s="100"/>
      <c r="N409" s="98"/>
      <c r="Q409" s="93"/>
    </row>
    <row r="410">
      <c r="L410" s="100"/>
      <c r="M410" s="100"/>
      <c r="N410" s="98"/>
      <c r="Q410" s="93"/>
    </row>
    <row r="411">
      <c r="L411" s="100"/>
      <c r="M411" s="100"/>
      <c r="N411" s="98"/>
      <c r="Q411" s="93"/>
    </row>
    <row r="412">
      <c r="L412" s="100"/>
      <c r="M412" s="100"/>
      <c r="N412" s="98"/>
      <c r="Q412" s="93"/>
    </row>
    <row r="413">
      <c r="L413" s="100"/>
      <c r="M413" s="100"/>
      <c r="N413" s="98"/>
      <c r="Q413" s="93"/>
    </row>
    <row r="414">
      <c r="L414" s="100"/>
      <c r="M414" s="100"/>
      <c r="N414" s="98"/>
      <c r="Q414" s="93"/>
    </row>
    <row r="415">
      <c r="L415" s="100"/>
      <c r="M415" s="100"/>
      <c r="N415" s="98"/>
      <c r="Q415" s="93"/>
    </row>
    <row r="416">
      <c r="L416" s="100"/>
      <c r="M416" s="100"/>
      <c r="N416" s="98"/>
      <c r="Q416" s="93"/>
    </row>
    <row r="417">
      <c r="L417" s="100"/>
      <c r="M417" s="100"/>
      <c r="N417" s="98"/>
      <c r="Q417" s="93"/>
    </row>
    <row r="418">
      <c r="L418" s="100"/>
      <c r="M418" s="100"/>
      <c r="N418" s="98"/>
      <c r="Q418" s="93"/>
    </row>
    <row r="419">
      <c r="L419" s="100"/>
      <c r="M419" s="100"/>
      <c r="N419" s="98"/>
      <c r="Q419" s="93"/>
    </row>
    <row r="420">
      <c r="L420" s="100"/>
      <c r="M420" s="100"/>
      <c r="N420" s="98"/>
      <c r="Q420" s="93"/>
    </row>
    <row r="421">
      <c r="L421" s="100"/>
      <c r="M421" s="100"/>
      <c r="N421" s="98"/>
      <c r="Q421" s="93"/>
    </row>
    <row r="422">
      <c r="L422" s="100"/>
      <c r="M422" s="100"/>
      <c r="N422" s="98"/>
      <c r="Q422" s="93"/>
    </row>
    <row r="423">
      <c r="L423" s="100"/>
      <c r="M423" s="100"/>
      <c r="N423" s="98"/>
      <c r="Q423" s="93"/>
    </row>
    <row r="424">
      <c r="L424" s="100"/>
      <c r="M424" s="100"/>
      <c r="N424" s="98"/>
      <c r="Q424" s="93"/>
    </row>
    <row r="425">
      <c r="L425" s="100"/>
      <c r="M425" s="100"/>
      <c r="N425" s="98"/>
      <c r="Q425" s="93"/>
    </row>
    <row r="426">
      <c r="L426" s="100"/>
      <c r="M426" s="100"/>
      <c r="N426" s="98"/>
      <c r="Q426" s="93"/>
    </row>
    <row r="427">
      <c r="L427" s="100"/>
      <c r="M427" s="100"/>
      <c r="N427" s="98"/>
      <c r="Q427" s="93"/>
    </row>
    <row r="428">
      <c r="L428" s="100"/>
      <c r="M428" s="100"/>
      <c r="N428" s="98"/>
      <c r="Q428" s="93"/>
    </row>
    <row r="429">
      <c r="L429" s="100"/>
      <c r="M429" s="100"/>
      <c r="N429" s="98"/>
      <c r="Q429" s="93"/>
    </row>
    <row r="430">
      <c r="L430" s="100"/>
      <c r="M430" s="100"/>
      <c r="N430" s="98"/>
      <c r="Q430" s="93"/>
    </row>
    <row r="431">
      <c r="L431" s="100"/>
      <c r="M431" s="100"/>
      <c r="N431" s="98"/>
      <c r="Q431" s="93"/>
    </row>
    <row r="432">
      <c r="L432" s="100"/>
      <c r="M432" s="100"/>
      <c r="N432" s="98"/>
      <c r="Q432" s="93"/>
    </row>
    <row r="433">
      <c r="L433" s="100"/>
      <c r="M433" s="100"/>
      <c r="N433" s="98"/>
      <c r="Q433" s="93"/>
    </row>
    <row r="434">
      <c r="L434" s="100"/>
      <c r="M434" s="100"/>
      <c r="N434" s="98"/>
      <c r="Q434" s="93"/>
    </row>
    <row r="435">
      <c r="L435" s="100"/>
      <c r="M435" s="100"/>
      <c r="N435" s="98"/>
      <c r="Q435" s="93"/>
    </row>
    <row r="436">
      <c r="L436" s="100"/>
      <c r="M436" s="100"/>
      <c r="N436" s="98"/>
      <c r="Q436" s="93"/>
    </row>
    <row r="437">
      <c r="L437" s="100"/>
      <c r="M437" s="100"/>
      <c r="N437" s="98"/>
      <c r="Q437" s="93"/>
    </row>
    <row r="438">
      <c r="L438" s="100"/>
      <c r="M438" s="100"/>
      <c r="N438" s="98"/>
      <c r="Q438" s="93"/>
    </row>
    <row r="439">
      <c r="L439" s="100"/>
      <c r="M439" s="100"/>
      <c r="N439" s="98"/>
      <c r="Q439" s="93"/>
    </row>
    <row r="440">
      <c r="L440" s="100"/>
      <c r="M440" s="100"/>
      <c r="N440" s="98"/>
      <c r="Q440" s="93"/>
    </row>
    <row r="441">
      <c r="L441" s="100"/>
      <c r="M441" s="100"/>
      <c r="N441" s="98"/>
      <c r="Q441" s="93"/>
    </row>
    <row r="442">
      <c r="L442" s="100"/>
      <c r="M442" s="100"/>
      <c r="N442" s="98"/>
      <c r="Q442" s="93"/>
    </row>
    <row r="443">
      <c r="L443" s="100"/>
      <c r="M443" s="100"/>
      <c r="N443" s="98"/>
      <c r="Q443" s="93"/>
    </row>
    <row r="444">
      <c r="L444" s="100"/>
      <c r="M444" s="100"/>
      <c r="N444" s="98"/>
      <c r="Q444" s="93"/>
    </row>
    <row r="445">
      <c r="L445" s="100"/>
      <c r="M445" s="100"/>
      <c r="N445" s="98"/>
      <c r="Q445" s="93"/>
    </row>
    <row r="446">
      <c r="L446" s="100"/>
      <c r="M446" s="100"/>
      <c r="N446" s="98"/>
      <c r="Q446" s="93"/>
    </row>
    <row r="447">
      <c r="L447" s="100"/>
      <c r="M447" s="100"/>
      <c r="N447" s="98"/>
      <c r="Q447" s="93"/>
    </row>
    <row r="448">
      <c r="L448" s="100"/>
      <c r="M448" s="100"/>
      <c r="N448" s="98"/>
      <c r="Q448" s="93"/>
    </row>
    <row r="449">
      <c r="L449" s="100"/>
      <c r="M449" s="100"/>
      <c r="N449" s="98"/>
      <c r="Q449" s="93"/>
    </row>
    <row r="450">
      <c r="L450" s="100"/>
      <c r="M450" s="100"/>
      <c r="N450" s="98"/>
      <c r="Q450" s="93"/>
    </row>
    <row r="451">
      <c r="L451" s="100"/>
      <c r="M451" s="100"/>
      <c r="N451" s="98"/>
      <c r="Q451" s="93"/>
    </row>
    <row r="452">
      <c r="L452" s="100"/>
      <c r="M452" s="100"/>
      <c r="N452" s="98"/>
      <c r="Q452" s="93"/>
    </row>
    <row r="453">
      <c r="L453" s="100"/>
      <c r="M453" s="100"/>
      <c r="N453" s="98"/>
      <c r="Q453" s="93"/>
    </row>
    <row r="454">
      <c r="L454" s="100"/>
      <c r="M454" s="100"/>
      <c r="N454" s="98"/>
      <c r="Q454" s="93"/>
    </row>
    <row r="455">
      <c r="L455" s="100"/>
      <c r="M455" s="100"/>
      <c r="N455" s="98"/>
      <c r="Q455" s="93"/>
    </row>
    <row r="456">
      <c r="L456" s="100"/>
      <c r="M456" s="100"/>
      <c r="N456" s="98"/>
      <c r="Q456" s="93"/>
    </row>
    <row r="457">
      <c r="L457" s="100"/>
      <c r="M457" s="100"/>
      <c r="N457" s="98"/>
      <c r="Q457" s="93"/>
    </row>
    <row r="458">
      <c r="L458" s="100"/>
      <c r="M458" s="100"/>
      <c r="N458" s="98"/>
      <c r="Q458" s="93"/>
    </row>
    <row r="459">
      <c r="L459" s="100"/>
      <c r="M459" s="100"/>
      <c r="N459" s="98"/>
      <c r="Q459" s="93"/>
    </row>
    <row r="460">
      <c r="L460" s="100"/>
      <c r="M460" s="100"/>
      <c r="N460" s="98"/>
      <c r="Q460" s="93"/>
    </row>
    <row r="461">
      <c r="L461" s="100"/>
      <c r="M461" s="100"/>
      <c r="N461" s="98"/>
      <c r="Q461" s="93"/>
    </row>
    <row r="462">
      <c r="L462" s="100"/>
      <c r="M462" s="100"/>
      <c r="N462" s="98"/>
      <c r="Q462" s="93"/>
    </row>
    <row r="463">
      <c r="L463" s="100"/>
      <c r="M463" s="100"/>
      <c r="N463" s="98"/>
      <c r="Q463" s="93"/>
    </row>
    <row r="464">
      <c r="L464" s="100"/>
      <c r="M464" s="100"/>
      <c r="N464" s="98"/>
      <c r="Q464" s="93"/>
    </row>
    <row r="465">
      <c r="L465" s="100"/>
      <c r="M465" s="100"/>
      <c r="N465" s="98"/>
      <c r="Q465" s="93"/>
    </row>
    <row r="466">
      <c r="L466" s="100"/>
      <c r="M466" s="100"/>
      <c r="N466" s="98"/>
      <c r="Q466" s="93"/>
    </row>
    <row r="467">
      <c r="L467" s="100"/>
      <c r="M467" s="100"/>
      <c r="N467" s="98"/>
      <c r="Q467" s="93"/>
    </row>
    <row r="468">
      <c r="L468" s="100"/>
      <c r="M468" s="100"/>
      <c r="N468" s="98"/>
      <c r="Q468" s="93"/>
    </row>
    <row r="469">
      <c r="L469" s="100"/>
      <c r="M469" s="100"/>
      <c r="N469" s="98"/>
      <c r="Q469" s="93"/>
    </row>
    <row r="470">
      <c r="L470" s="100"/>
      <c r="M470" s="100"/>
      <c r="N470" s="98"/>
      <c r="Q470" s="93"/>
    </row>
    <row r="471">
      <c r="L471" s="100"/>
      <c r="M471" s="100"/>
      <c r="N471" s="98"/>
      <c r="Q471" s="93"/>
    </row>
    <row r="472">
      <c r="L472" s="100"/>
      <c r="M472" s="100"/>
      <c r="N472" s="98"/>
      <c r="Q472" s="93"/>
    </row>
    <row r="473">
      <c r="L473" s="100"/>
      <c r="M473" s="100"/>
      <c r="N473" s="98"/>
      <c r="Q473" s="93"/>
    </row>
    <row r="474">
      <c r="L474" s="100"/>
      <c r="M474" s="100"/>
      <c r="N474" s="98"/>
      <c r="Q474" s="93"/>
    </row>
    <row r="475">
      <c r="L475" s="100"/>
      <c r="M475" s="100"/>
      <c r="N475" s="98"/>
      <c r="Q475" s="93"/>
    </row>
    <row r="476">
      <c r="L476" s="100"/>
      <c r="M476" s="100"/>
      <c r="N476" s="98"/>
      <c r="Q476" s="93"/>
    </row>
    <row r="477">
      <c r="L477" s="100"/>
      <c r="M477" s="100"/>
      <c r="N477" s="98"/>
      <c r="Q477" s="93"/>
    </row>
    <row r="478">
      <c r="L478" s="100"/>
      <c r="M478" s="100"/>
      <c r="N478" s="98"/>
      <c r="Q478" s="93"/>
    </row>
    <row r="479">
      <c r="L479" s="100"/>
      <c r="M479" s="100"/>
      <c r="N479" s="98"/>
      <c r="Q479" s="93"/>
    </row>
    <row r="480">
      <c r="L480" s="100"/>
      <c r="M480" s="100"/>
      <c r="N480" s="98"/>
      <c r="Q480" s="93"/>
    </row>
    <row r="481">
      <c r="L481" s="100"/>
      <c r="M481" s="100"/>
      <c r="N481" s="98"/>
      <c r="Q481" s="93"/>
    </row>
    <row r="482">
      <c r="L482" s="100"/>
      <c r="M482" s="100"/>
      <c r="N482" s="98"/>
      <c r="Q482" s="93"/>
    </row>
    <row r="483">
      <c r="L483" s="100"/>
      <c r="M483" s="100"/>
      <c r="N483" s="98"/>
      <c r="Q483" s="93"/>
    </row>
    <row r="484">
      <c r="L484" s="100"/>
      <c r="M484" s="100"/>
      <c r="N484" s="98"/>
      <c r="Q484" s="93"/>
    </row>
    <row r="485">
      <c r="L485" s="100"/>
      <c r="M485" s="100"/>
      <c r="N485" s="98"/>
      <c r="Q485" s="93"/>
    </row>
    <row r="486">
      <c r="L486" s="100"/>
      <c r="M486" s="100"/>
      <c r="N486" s="98"/>
      <c r="Q486" s="93"/>
    </row>
    <row r="487">
      <c r="L487" s="100"/>
      <c r="M487" s="100"/>
      <c r="N487" s="98"/>
      <c r="Q487" s="93"/>
    </row>
    <row r="488">
      <c r="L488" s="100"/>
      <c r="M488" s="100"/>
      <c r="N488" s="98"/>
      <c r="Q488" s="93"/>
    </row>
    <row r="489">
      <c r="L489" s="100"/>
      <c r="M489" s="100"/>
      <c r="N489" s="98"/>
      <c r="Q489" s="93"/>
    </row>
    <row r="490">
      <c r="L490" s="100"/>
      <c r="M490" s="100"/>
      <c r="N490" s="98"/>
      <c r="Q490" s="93"/>
    </row>
    <row r="491">
      <c r="L491" s="100"/>
      <c r="M491" s="100"/>
      <c r="N491" s="98"/>
      <c r="Q491" s="93"/>
    </row>
    <row r="492">
      <c r="L492" s="100"/>
      <c r="M492" s="100"/>
      <c r="N492" s="98"/>
      <c r="Q492" s="93"/>
    </row>
    <row r="493">
      <c r="L493" s="100"/>
      <c r="M493" s="100"/>
      <c r="N493" s="98"/>
      <c r="Q493" s="93"/>
    </row>
    <row r="494">
      <c r="L494" s="100"/>
      <c r="M494" s="100"/>
      <c r="N494" s="98"/>
      <c r="Q494" s="93"/>
    </row>
    <row r="495">
      <c r="L495" s="100"/>
      <c r="M495" s="100"/>
      <c r="N495" s="98"/>
      <c r="Q495" s="93"/>
    </row>
    <row r="496">
      <c r="L496" s="100"/>
      <c r="M496" s="100"/>
      <c r="N496" s="98"/>
      <c r="Q496" s="93"/>
    </row>
    <row r="497">
      <c r="L497" s="100"/>
      <c r="M497" s="100"/>
      <c r="N497" s="98"/>
      <c r="Q497" s="93"/>
    </row>
    <row r="498">
      <c r="L498" s="100"/>
      <c r="M498" s="100"/>
      <c r="N498" s="98"/>
      <c r="Q498" s="93"/>
    </row>
    <row r="499">
      <c r="L499" s="100"/>
      <c r="M499" s="100"/>
      <c r="N499" s="98"/>
      <c r="Q499" s="93"/>
    </row>
    <row r="500">
      <c r="L500" s="100"/>
      <c r="M500" s="100"/>
      <c r="N500" s="98"/>
      <c r="Q500" s="93"/>
    </row>
    <row r="501">
      <c r="L501" s="100"/>
      <c r="M501" s="100"/>
      <c r="N501" s="98"/>
      <c r="Q501" s="93"/>
    </row>
    <row r="502">
      <c r="L502" s="100"/>
      <c r="M502" s="100"/>
      <c r="N502" s="98"/>
      <c r="Q502" s="93"/>
    </row>
    <row r="503">
      <c r="L503" s="100"/>
      <c r="M503" s="100"/>
      <c r="N503" s="98"/>
      <c r="Q503" s="93"/>
    </row>
    <row r="504">
      <c r="L504" s="100"/>
      <c r="M504" s="100"/>
      <c r="N504" s="98"/>
      <c r="Q504" s="93"/>
    </row>
    <row r="505">
      <c r="L505" s="100"/>
      <c r="M505" s="100"/>
      <c r="N505" s="98"/>
      <c r="Q505" s="93"/>
    </row>
    <row r="506">
      <c r="L506" s="100"/>
      <c r="M506" s="100"/>
      <c r="N506" s="98"/>
      <c r="Q506" s="93"/>
    </row>
    <row r="507">
      <c r="L507" s="100"/>
      <c r="M507" s="100"/>
      <c r="N507" s="98"/>
      <c r="Q507" s="93"/>
    </row>
    <row r="508">
      <c r="L508" s="100"/>
      <c r="M508" s="100"/>
      <c r="N508" s="98"/>
      <c r="Q508" s="93"/>
    </row>
    <row r="509">
      <c r="L509" s="100"/>
      <c r="M509" s="100"/>
      <c r="N509" s="98"/>
      <c r="Q509" s="93"/>
    </row>
    <row r="510">
      <c r="L510" s="100"/>
      <c r="M510" s="100"/>
      <c r="N510" s="98"/>
      <c r="Q510" s="93"/>
    </row>
    <row r="511">
      <c r="L511" s="100"/>
      <c r="M511" s="100"/>
      <c r="N511" s="98"/>
      <c r="Q511" s="93"/>
    </row>
    <row r="512">
      <c r="L512" s="100"/>
      <c r="M512" s="100"/>
      <c r="N512" s="98"/>
      <c r="Q512" s="93"/>
    </row>
    <row r="513">
      <c r="L513" s="100"/>
      <c r="M513" s="100"/>
      <c r="N513" s="98"/>
      <c r="Q513" s="93"/>
    </row>
    <row r="514">
      <c r="L514" s="100"/>
      <c r="M514" s="100"/>
      <c r="N514" s="98"/>
      <c r="Q514" s="93"/>
    </row>
    <row r="515">
      <c r="L515" s="100"/>
      <c r="M515" s="100"/>
      <c r="N515" s="98"/>
      <c r="Q515" s="93"/>
    </row>
    <row r="516">
      <c r="L516" s="100"/>
      <c r="M516" s="100"/>
      <c r="N516" s="98"/>
      <c r="Q516" s="93"/>
    </row>
    <row r="517">
      <c r="L517" s="100"/>
      <c r="M517" s="100"/>
      <c r="N517" s="98"/>
      <c r="Q517" s="93"/>
    </row>
    <row r="518">
      <c r="L518" s="100"/>
      <c r="M518" s="100"/>
      <c r="N518" s="98"/>
      <c r="Q518" s="93"/>
    </row>
    <row r="519">
      <c r="L519" s="100"/>
      <c r="M519" s="100"/>
      <c r="N519" s="98"/>
      <c r="Q519" s="93"/>
    </row>
    <row r="520">
      <c r="L520" s="100"/>
      <c r="M520" s="100"/>
      <c r="N520" s="98"/>
      <c r="Q520" s="93"/>
    </row>
    <row r="521">
      <c r="L521" s="100"/>
      <c r="M521" s="100"/>
      <c r="N521" s="98"/>
      <c r="Q521" s="93"/>
    </row>
    <row r="522">
      <c r="L522" s="100"/>
      <c r="M522" s="100"/>
      <c r="N522" s="98"/>
      <c r="Q522" s="93"/>
    </row>
    <row r="523">
      <c r="L523" s="100"/>
      <c r="M523" s="100"/>
      <c r="N523" s="98"/>
      <c r="Q523" s="93"/>
    </row>
    <row r="524">
      <c r="L524" s="100"/>
      <c r="M524" s="100"/>
      <c r="N524" s="98"/>
      <c r="Q524" s="93"/>
    </row>
    <row r="525">
      <c r="L525" s="100"/>
      <c r="M525" s="100"/>
      <c r="N525" s="98"/>
      <c r="Q525" s="93"/>
    </row>
    <row r="526">
      <c r="L526" s="100"/>
      <c r="M526" s="100"/>
      <c r="N526" s="98"/>
      <c r="Q526" s="93"/>
    </row>
    <row r="527">
      <c r="L527" s="100"/>
      <c r="M527" s="100"/>
      <c r="N527" s="98"/>
      <c r="Q527" s="93"/>
    </row>
    <row r="528">
      <c r="L528" s="100"/>
      <c r="M528" s="100"/>
      <c r="N528" s="98"/>
      <c r="Q528" s="93"/>
    </row>
    <row r="529">
      <c r="L529" s="100"/>
      <c r="M529" s="100"/>
      <c r="N529" s="98"/>
      <c r="Q529" s="93"/>
    </row>
    <row r="530">
      <c r="L530" s="100"/>
      <c r="M530" s="100"/>
      <c r="N530" s="98"/>
      <c r="Q530" s="93"/>
    </row>
    <row r="531">
      <c r="L531" s="100"/>
      <c r="M531" s="100"/>
      <c r="N531" s="98"/>
      <c r="Q531" s="93"/>
    </row>
    <row r="532">
      <c r="L532" s="100"/>
      <c r="M532" s="100"/>
      <c r="N532" s="98"/>
      <c r="Q532" s="93"/>
    </row>
    <row r="533">
      <c r="L533" s="100"/>
      <c r="M533" s="100"/>
      <c r="N533" s="98"/>
      <c r="Q533" s="93"/>
    </row>
    <row r="534">
      <c r="L534" s="100"/>
      <c r="M534" s="100"/>
      <c r="N534" s="98"/>
      <c r="Q534" s="93"/>
    </row>
    <row r="535">
      <c r="L535" s="100"/>
      <c r="M535" s="100"/>
      <c r="N535" s="98"/>
      <c r="Q535" s="93"/>
    </row>
    <row r="536">
      <c r="L536" s="100"/>
      <c r="M536" s="100"/>
      <c r="N536" s="98"/>
      <c r="Q536" s="93"/>
    </row>
    <row r="537">
      <c r="L537" s="100"/>
      <c r="M537" s="100"/>
      <c r="N537" s="98"/>
      <c r="Q537" s="93"/>
    </row>
    <row r="538">
      <c r="L538" s="100"/>
      <c r="M538" s="100"/>
      <c r="N538" s="98"/>
      <c r="Q538" s="93"/>
    </row>
    <row r="539">
      <c r="L539" s="100"/>
      <c r="M539" s="100"/>
      <c r="N539" s="98"/>
      <c r="Q539" s="93"/>
    </row>
    <row r="540">
      <c r="L540" s="100"/>
      <c r="M540" s="100"/>
      <c r="N540" s="98"/>
      <c r="Q540" s="93"/>
    </row>
    <row r="541">
      <c r="L541" s="100"/>
      <c r="M541" s="100"/>
      <c r="N541" s="98"/>
      <c r="Q541" s="93"/>
    </row>
    <row r="542">
      <c r="L542" s="100"/>
      <c r="M542" s="100"/>
      <c r="N542" s="98"/>
      <c r="Q542" s="93"/>
    </row>
    <row r="543">
      <c r="L543" s="100"/>
      <c r="M543" s="100"/>
      <c r="N543" s="98"/>
      <c r="Q543" s="93"/>
    </row>
    <row r="544">
      <c r="L544" s="100"/>
      <c r="M544" s="100"/>
      <c r="N544" s="98"/>
      <c r="Q544" s="93"/>
    </row>
    <row r="545">
      <c r="L545" s="100"/>
      <c r="M545" s="100"/>
      <c r="N545" s="98"/>
      <c r="Q545" s="93"/>
    </row>
    <row r="546">
      <c r="L546" s="100"/>
      <c r="M546" s="100"/>
      <c r="N546" s="98"/>
      <c r="Q546" s="93"/>
    </row>
    <row r="547">
      <c r="L547" s="100"/>
      <c r="M547" s="100"/>
      <c r="N547" s="98"/>
      <c r="Q547" s="93"/>
    </row>
    <row r="548">
      <c r="L548" s="100"/>
      <c r="M548" s="100"/>
      <c r="N548" s="98"/>
      <c r="Q548" s="93"/>
    </row>
    <row r="549">
      <c r="L549" s="100"/>
      <c r="M549" s="100"/>
      <c r="N549" s="98"/>
      <c r="Q549" s="93"/>
    </row>
    <row r="550">
      <c r="L550" s="100"/>
      <c r="M550" s="100"/>
      <c r="N550" s="98"/>
      <c r="Q550" s="93"/>
    </row>
    <row r="551">
      <c r="L551" s="100"/>
      <c r="M551" s="100"/>
      <c r="N551" s="98"/>
      <c r="Q551" s="93"/>
    </row>
    <row r="552">
      <c r="L552" s="100"/>
      <c r="M552" s="100"/>
      <c r="N552" s="98"/>
      <c r="Q552" s="93"/>
    </row>
    <row r="553">
      <c r="L553" s="100"/>
      <c r="M553" s="100"/>
      <c r="N553" s="98"/>
      <c r="Q553" s="93"/>
    </row>
    <row r="554">
      <c r="L554" s="100"/>
      <c r="M554" s="100"/>
      <c r="N554" s="98"/>
      <c r="Q554" s="93"/>
    </row>
    <row r="555">
      <c r="L555" s="100"/>
      <c r="M555" s="100"/>
      <c r="N555" s="98"/>
      <c r="Q555" s="93"/>
    </row>
    <row r="556">
      <c r="L556" s="100"/>
      <c r="M556" s="100"/>
      <c r="N556" s="98"/>
      <c r="Q556" s="93"/>
    </row>
    <row r="557">
      <c r="L557" s="100"/>
      <c r="M557" s="100"/>
      <c r="N557" s="98"/>
      <c r="Q557" s="93"/>
    </row>
    <row r="558">
      <c r="L558" s="100"/>
      <c r="M558" s="100"/>
      <c r="N558" s="98"/>
      <c r="Q558" s="93"/>
    </row>
    <row r="559">
      <c r="L559" s="100"/>
      <c r="M559" s="100"/>
      <c r="N559" s="98"/>
      <c r="Q559" s="93"/>
    </row>
    <row r="560">
      <c r="L560" s="100"/>
      <c r="M560" s="100"/>
      <c r="N560" s="98"/>
      <c r="Q560" s="93"/>
    </row>
    <row r="561">
      <c r="L561" s="100"/>
      <c r="M561" s="100"/>
      <c r="N561" s="98"/>
      <c r="Q561" s="93"/>
    </row>
    <row r="562">
      <c r="L562" s="100"/>
      <c r="M562" s="100"/>
      <c r="N562" s="98"/>
      <c r="Q562" s="93"/>
    </row>
    <row r="563">
      <c r="L563" s="100"/>
      <c r="M563" s="100"/>
      <c r="N563" s="98"/>
      <c r="Q563" s="93"/>
    </row>
    <row r="564">
      <c r="L564" s="100"/>
      <c r="M564" s="100"/>
      <c r="N564" s="98"/>
      <c r="Q564" s="93"/>
    </row>
    <row r="565">
      <c r="L565" s="100"/>
      <c r="M565" s="100"/>
      <c r="N565" s="98"/>
      <c r="Q565" s="93"/>
    </row>
    <row r="566">
      <c r="L566" s="100"/>
      <c r="M566" s="100"/>
      <c r="N566" s="98"/>
      <c r="Q566" s="93"/>
    </row>
    <row r="567">
      <c r="L567" s="100"/>
      <c r="M567" s="100"/>
      <c r="N567" s="98"/>
      <c r="Q567" s="93"/>
    </row>
    <row r="568">
      <c r="L568" s="100"/>
      <c r="M568" s="100"/>
      <c r="N568" s="98"/>
      <c r="Q568" s="93"/>
    </row>
    <row r="569">
      <c r="L569" s="100"/>
      <c r="M569" s="100"/>
      <c r="N569" s="98"/>
      <c r="Q569" s="93"/>
    </row>
    <row r="570">
      <c r="L570" s="100"/>
      <c r="M570" s="100"/>
      <c r="N570" s="98"/>
      <c r="Q570" s="93"/>
    </row>
    <row r="571">
      <c r="L571" s="100"/>
      <c r="M571" s="100"/>
      <c r="N571" s="98"/>
      <c r="Q571" s="93"/>
    </row>
    <row r="572">
      <c r="L572" s="100"/>
      <c r="M572" s="100"/>
      <c r="N572" s="98"/>
      <c r="Q572" s="93"/>
    </row>
    <row r="573">
      <c r="L573" s="100"/>
      <c r="M573" s="100"/>
      <c r="N573" s="98"/>
      <c r="Q573" s="93"/>
    </row>
    <row r="574">
      <c r="L574" s="100"/>
      <c r="M574" s="100"/>
      <c r="N574" s="98"/>
      <c r="Q574" s="93"/>
    </row>
    <row r="575">
      <c r="L575" s="100"/>
      <c r="M575" s="100"/>
      <c r="N575" s="98"/>
      <c r="Q575" s="93"/>
    </row>
    <row r="576">
      <c r="L576" s="100"/>
      <c r="M576" s="100"/>
      <c r="N576" s="98"/>
      <c r="Q576" s="93"/>
    </row>
    <row r="577">
      <c r="L577" s="100"/>
      <c r="M577" s="100"/>
      <c r="N577" s="98"/>
      <c r="Q577" s="93"/>
    </row>
    <row r="578">
      <c r="L578" s="100"/>
      <c r="M578" s="100"/>
      <c r="N578" s="98"/>
      <c r="Q578" s="93"/>
    </row>
    <row r="579">
      <c r="L579" s="100"/>
      <c r="M579" s="100"/>
      <c r="N579" s="98"/>
      <c r="Q579" s="93"/>
    </row>
    <row r="580">
      <c r="L580" s="100"/>
      <c r="M580" s="100"/>
      <c r="N580" s="98"/>
      <c r="Q580" s="93"/>
    </row>
    <row r="581">
      <c r="L581" s="100"/>
      <c r="M581" s="100"/>
      <c r="N581" s="98"/>
      <c r="Q581" s="93"/>
    </row>
    <row r="582">
      <c r="L582" s="100"/>
      <c r="M582" s="100"/>
      <c r="N582" s="98"/>
      <c r="Q582" s="93"/>
    </row>
    <row r="583">
      <c r="L583" s="100"/>
      <c r="M583" s="100"/>
      <c r="N583" s="98"/>
      <c r="Q583" s="93"/>
    </row>
    <row r="584">
      <c r="L584" s="100"/>
      <c r="M584" s="100"/>
      <c r="N584" s="98"/>
      <c r="Q584" s="93"/>
    </row>
    <row r="585">
      <c r="L585" s="100"/>
      <c r="M585" s="100"/>
      <c r="N585" s="98"/>
      <c r="Q585" s="93"/>
    </row>
    <row r="586">
      <c r="L586" s="100"/>
      <c r="M586" s="100"/>
      <c r="N586" s="98"/>
      <c r="Q586" s="93"/>
    </row>
    <row r="587">
      <c r="L587" s="100"/>
      <c r="M587" s="100"/>
      <c r="N587" s="98"/>
      <c r="Q587" s="93"/>
    </row>
    <row r="588">
      <c r="L588" s="100"/>
      <c r="M588" s="100"/>
      <c r="N588" s="98"/>
      <c r="Q588" s="93"/>
    </row>
    <row r="589">
      <c r="L589" s="100"/>
      <c r="M589" s="100"/>
      <c r="N589" s="98"/>
      <c r="Q589" s="93"/>
    </row>
    <row r="590">
      <c r="L590" s="100"/>
      <c r="M590" s="100"/>
      <c r="N590" s="98"/>
      <c r="Q590" s="93"/>
    </row>
    <row r="591">
      <c r="L591" s="100"/>
      <c r="M591" s="100"/>
      <c r="N591" s="98"/>
      <c r="Q591" s="93"/>
    </row>
    <row r="592">
      <c r="L592" s="100"/>
      <c r="M592" s="100"/>
      <c r="N592" s="98"/>
      <c r="Q592" s="93"/>
    </row>
    <row r="593">
      <c r="L593" s="100"/>
      <c r="M593" s="100"/>
      <c r="N593" s="98"/>
      <c r="Q593" s="93"/>
    </row>
    <row r="594">
      <c r="L594" s="100"/>
      <c r="M594" s="100"/>
      <c r="N594" s="98"/>
      <c r="Q594" s="93"/>
    </row>
    <row r="595">
      <c r="L595" s="100"/>
      <c r="M595" s="100"/>
      <c r="N595" s="98"/>
      <c r="Q595" s="93"/>
    </row>
    <row r="596">
      <c r="L596" s="100"/>
      <c r="M596" s="100"/>
      <c r="N596" s="98"/>
      <c r="Q596" s="93"/>
    </row>
    <row r="597">
      <c r="L597" s="100"/>
      <c r="M597" s="100"/>
      <c r="N597" s="98"/>
      <c r="Q597" s="93"/>
    </row>
    <row r="598">
      <c r="L598" s="100"/>
      <c r="M598" s="100"/>
      <c r="N598" s="98"/>
      <c r="Q598" s="93"/>
    </row>
    <row r="599">
      <c r="L599" s="100"/>
      <c r="M599" s="100"/>
      <c r="N599" s="98"/>
      <c r="Q599" s="93"/>
    </row>
    <row r="600">
      <c r="L600" s="100"/>
      <c r="M600" s="100"/>
      <c r="N600" s="98"/>
      <c r="Q600" s="93"/>
    </row>
    <row r="601">
      <c r="L601" s="100"/>
      <c r="M601" s="100"/>
      <c r="N601" s="98"/>
      <c r="Q601" s="93"/>
    </row>
    <row r="602">
      <c r="L602" s="100"/>
      <c r="M602" s="100"/>
      <c r="N602" s="98"/>
      <c r="Q602" s="93"/>
    </row>
    <row r="603">
      <c r="L603" s="100"/>
      <c r="M603" s="100"/>
      <c r="N603" s="98"/>
      <c r="Q603" s="93"/>
    </row>
    <row r="604">
      <c r="L604" s="100"/>
      <c r="M604" s="100"/>
      <c r="N604" s="98"/>
      <c r="Q604" s="93"/>
    </row>
    <row r="605">
      <c r="L605" s="100"/>
      <c r="M605" s="100"/>
      <c r="N605" s="98"/>
      <c r="Q605" s="93"/>
    </row>
    <row r="606">
      <c r="L606" s="100"/>
      <c r="M606" s="100"/>
      <c r="N606" s="98"/>
      <c r="Q606" s="93"/>
    </row>
    <row r="607">
      <c r="L607" s="100"/>
      <c r="M607" s="100"/>
      <c r="N607" s="98"/>
      <c r="Q607" s="93"/>
    </row>
    <row r="608">
      <c r="L608" s="100"/>
      <c r="M608" s="100"/>
      <c r="N608" s="98"/>
      <c r="Q608" s="93"/>
    </row>
    <row r="609">
      <c r="L609" s="100"/>
      <c r="M609" s="100"/>
      <c r="N609" s="98"/>
      <c r="Q609" s="93"/>
    </row>
    <row r="610">
      <c r="L610" s="100"/>
      <c r="M610" s="100"/>
      <c r="N610" s="98"/>
      <c r="Q610" s="93"/>
    </row>
    <row r="611">
      <c r="L611" s="100"/>
      <c r="M611" s="100"/>
      <c r="N611" s="98"/>
      <c r="Q611" s="93"/>
    </row>
    <row r="612">
      <c r="L612" s="100"/>
      <c r="M612" s="100"/>
      <c r="N612" s="98"/>
      <c r="Q612" s="93"/>
    </row>
    <row r="613">
      <c r="L613" s="100"/>
      <c r="M613" s="100"/>
      <c r="N613" s="98"/>
      <c r="Q613" s="93"/>
    </row>
    <row r="614">
      <c r="L614" s="100"/>
      <c r="M614" s="100"/>
      <c r="N614" s="98"/>
      <c r="Q614" s="93"/>
    </row>
    <row r="615">
      <c r="L615" s="100"/>
      <c r="M615" s="100"/>
      <c r="N615" s="98"/>
      <c r="Q615" s="93"/>
    </row>
    <row r="616">
      <c r="L616" s="100"/>
      <c r="M616" s="100"/>
      <c r="N616" s="98"/>
      <c r="Q616" s="93"/>
    </row>
    <row r="617">
      <c r="L617" s="100"/>
      <c r="M617" s="100"/>
      <c r="N617" s="98"/>
      <c r="Q617" s="93"/>
    </row>
    <row r="618">
      <c r="L618" s="100"/>
      <c r="M618" s="100"/>
      <c r="N618" s="98"/>
      <c r="Q618" s="93"/>
    </row>
    <row r="619">
      <c r="L619" s="100"/>
      <c r="M619" s="100"/>
      <c r="N619" s="98"/>
      <c r="Q619" s="93"/>
    </row>
    <row r="620">
      <c r="L620" s="100"/>
      <c r="M620" s="100"/>
      <c r="N620" s="98"/>
      <c r="Q620" s="93"/>
    </row>
    <row r="621">
      <c r="L621" s="100"/>
      <c r="M621" s="100"/>
      <c r="N621" s="98"/>
      <c r="Q621" s="93"/>
    </row>
    <row r="622">
      <c r="L622" s="100"/>
      <c r="M622" s="100"/>
      <c r="N622" s="98"/>
      <c r="Q622" s="93"/>
    </row>
    <row r="623">
      <c r="L623" s="100"/>
      <c r="M623" s="100"/>
      <c r="N623" s="98"/>
      <c r="Q623" s="93"/>
    </row>
    <row r="624">
      <c r="L624" s="100"/>
      <c r="M624" s="100"/>
      <c r="N624" s="98"/>
      <c r="Q624" s="93"/>
    </row>
    <row r="625">
      <c r="L625" s="100"/>
      <c r="M625" s="100"/>
      <c r="N625" s="98"/>
      <c r="Q625" s="93"/>
    </row>
    <row r="626">
      <c r="L626" s="100"/>
      <c r="M626" s="100"/>
      <c r="N626" s="98"/>
      <c r="Q626" s="93"/>
    </row>
    <row r="627">
      <c r="L627" s="100"/>
      <c r="M627" s="100"/>
      <c r="N627" s="98"/>
      <c r="Q627" s="93"/>
    </row>
    <row r="628">
      <c r="L628" s="100"/>
      <c r="M628" s="100"/>
      <c r="N628" s="98"/>
      <c r="Q628" s="93"/>
    </row>
    <row r="629">
      <c r="L629" s="100"/>
      <c r="M629" s="100"/>
      <c r="N629" s="98"/>
      <c r="Q629" s="93"/>
    </row>
    <row r="630">
      <c r="L630" s="100"/>
      <c r="M630" s="100"/>
      <c r="N630" s="98"/>
      <c r="Q630" s="93"/>
    </row>
    <row r="631">
      <c r="L631" s="100"/>
      <c r="M631" s="100"/>
      <c r="N631" s="98"/>
      <c r="Q631" s="93"/>
    </row>
    <row r="632">
      <c r="L632" s="100"/>
      <c r="M632" s="100"/>
      <c r="N632" s="98"/>
      <c r="Q632" s="93"/>
    </row>
    <row r="633">
      <c r="L633" s="100"/>
      <c r="M633" s="100"/>
      <c r="N633" s="98"/>
      <c r="Q633" s="93"/>
    </row>
    <row r="634">
      <c r="L634" s="100"/>
      <c r="M634" s="100"/>
      <c r="N634" s="98"/>
      <c r="Q634" s="93"/>
    </row>
    <row r="635">
      <c r="L635" s="100"/>
      <c r="M635" s="100"/>
      <c r="N635" s="98"/>
      <c r="Q635" s="93"/>
    </row>
    <row r="636">
      <c r="L636" s="100"/>
      <c r="M636" s="100"/>
      <c r="N636" s="98"/>
      <c r="Q636" s="93"/>
    </row>
    <row r="637">
      <c r="L637" s="100"/>
      <c r="M637" s="100"/>
      <c r="N637" s="98"/>
      <c r="Q637" s="93"/>
    </row>
    <row r="638">
      <c r="L638" s="100"/>
      <c r="M638" s="100"/>
      <c r="N638" s="98"/>
      <c r="Q638" s="93"/>
    </row>
    <row r="639">
      <c r="L639" s="100"/>
      <c r="M639" s="100"/>
      <c r="N639" s="98"/>
      <c r="Q639" s="93"/>
    </row>
    <row r="640">
      <c r="L640" s="100"/>
      <c r="M640" s="100"/>
      <c r="N640" s="98"/>
      <c r="Q640" s="93"/>
    </row>
    <row r="641">
      <c r="L641" s="100"/>
      <c r="M641" s="100"/>
      <c r="N641" s="98"/>
      <c r="Q641" s="93"/>
    </row>
    <row r="642">
      <c r="L642" s="100"/>
      <c r="M642" s="100"/>
      <c r="N642" s="98"/>
      <c r="Q642" s="93"/>
    </row>
    <row r="643">
      <c r="L643" s="100"/>
      <c r="M643" s="100"/>
      <c r="N643" s="98"/>
      <c r="Q643" s="93"/>
    </row>
    <row r="644">
      <c r="L644" s="100"/>
      <c r="M644" s="100"/>
      <c r="N644" s="98"/>
      <c r="Q644" s="93"/>
    </row>
    <row r="645">
      <c r="L645" s="100"/>
      <c r="M645" s="100"/>
      <c r="N645" s="98"/>
      <c r="Q645" s="93"/>
    </row>
    <row r="646">
      <c r="L646" s="100"/>
      <c r="M646" s="100"/>
      <c r="N646" s="98"/>
      <c r="Q646" s="93"/>
    </row>
    <row r="647">
      <c r="L647" s="100"/>
      <c r="M647" s="100"/>
      <c r="N647" s="98"/>
      <c r="Q647" s="93"/>
    </row>
    <row r="648">
      <c r="L648" s="100"/>
      <c r="M648" s="100"/>
      <c r="N648" s="98"/>
      <c r="Q648" s="93"/>
    </row>
    <row r="649">
      <c r="L649" s="100"/>
      <c r="M649" s="100"/>
      <c r="N649" s="98"/>
      <c r="Q649" s="93"/>
    </row>
    <row r="650">
      <c r="L650" s="100"/>
      <c r="M650" s="100"/>
      <c r="N650" s="98"/>
      <c r="Q650" s="93"/>
    </row>
    <row r="651">
      <c r="L651" s="100"/>
      <c r="M651" s="100"/>
      <c r="N651" s="98"/>
      <c r="Q651" s="93"/>
    </row>
    <row r="652">
      <c r="L652" s="100"/>
      <c r="M652" s="100"/>
      <c r="N652" s="98"/>
      <c r="Q652" s="93"/>
    </row>
    <row r="653">
      <c r="L653" s="100"/>
      <c r="M653" s="100"/>
      <c r="N653" s="98"/>
      <c r="Q653" s="93"/>
    </row>
    <row r="654">
      <c r="L654" s="100"/>
      <c r="M654" s="100"/>
      <c r="N654" s="98"/>
      <c r="Q654" s="93"/>
    </row>
    <row r="655">
      <c r="L655" s="100"/>
      <c r="M655" s="100"/>
      <c r="N655" s="98"/>
      <c r="Q655" s="93"/>
    </row>
    <row r="656">
      <c r="L656" s="100"/>
      <c r="M656" s="100"/>
      <c r="N656" s="98"/>
      <c r="Q656" s="93"/>
    </row>
    <row r="657">
      <c r="L657" s="100"/>
      <c r="M657" s="100"/>
      <c r="N657" s="98"/>
      <c r="Q657" s="93"/>
    </row>
    <row r="658">
      <c r="L658" s="100"/>
      <c r="M658" s="100"/>
      <c r="N658" s="98"/>
      <c r="Q658" s="93"/>
    </row>
    <row r="659">
      <c r="L659" s="100"/>
      <c r="M659" s="100"/>
      <c r="N659" s="98"/>
      <c r="Q659" s="93"/>
    </row>
    <row r="660">
      <c r="L660" s="100"/>
      <c r="M660" s="100"/>
      <c r="N660" s="98"/>
      <c r="Q660" s="93"/>
    </row>
    <row r="661">
      <c r="L661" s="100"/>
      <c r="M661" s="100"/>
      <c r="N661" s="98"/>
      <c r="Q661" s="93"/>
    </row>
    <row r="662">
      <c r="L662" s="100"/>
      <c r="M662" s="100"/>
      <c r="N662" s="98"/>
      <c r="Q662" s="93"/>
    </row>
    <row r="663">
      <c r="L663" s="100"/>
      <c r="M663" s="100"/>
      <c r="N663" s="98"/>
      <c r="Q663" s="93"/>
    </row>
    <row r="664">
      <c r="L664" s="100"/>
      <c r="M664" s="100"/>
      <c r="N664" s="98"/>
      <c r="Q664" s="93"/>
    </row>
    <row r="665">
      <c r="L665" s="100"/>
      <c r="M665" s="100"/>
      <c r="N665" s="98"/>
      <c r="Q665" s="93"/>
    </row>
    <row r="666">
      <c r="L666" s="100"/>
      <c r="M666" s="100"/>
      <c r="N666" s="98"/>
      <c r="Q666" s="93"/>
    </row>
    <row r="667">
      <c r="L667" s="100"/>
      <c r="M667" s="100"/>
      <c r="N667" s="98"/>
      <c r="Q667" s="93"/>
    </row>
    <row r="668">
      <c r="L668" s="100"/>
      <c r="M668" s="100"/>
      <c r="N668" s="98"/>
      <c r="Q668" s="93"/>
    </row>
    <row r="669">
      <c r="L669" s="100"/>
      <c r="M669" s="100"/>
      <c r="N669" s="98"/>
      <c r="Q669" s="93"/>
    </row>
    <row r="670">
      <c r="L670" s="100"/>
      <c r="M670" s="100"/>
      <c r="N670" s="98"/>
      <c r="Q670" s="93"/>
    </row>
    <row r="671">
      <c r="L671" s="100"/>
      <c r="M671" s="100"/>
      <c r="N671" s="98"/>
      <c r="Q671" s="93"/>
    </row>
    <row r="672">
      <c r="L672" s="100"/>
      <c r="M672" s="100"/>
      <c r="N672" s="98"/>
      <c r="Q672" s="93"/>
    </row>
    <row r="673">
      <c r="L673" s="100"/>
      <c r="M673" s="100"/>
      <c r="N673" s="98"/>
      <c r="Q673" s="93"/>
    </row>
    <row r="674">
      <c r="L674" s="100"/>
      <c r="M674" s="100"/>
      <c r="N674" s="98"/>
      <c r="Q674" s="93"/>
    </row>
    <row r="675">
      <c r="L675" s="100"/>
      <c r="M675" s="100"/>
      <c r="N675" s="98"/>
      <c r="Q675" s="93"/>
    </row>
    <row r="676">
      <c r="L676" s="100"/>
      <c r="M676" s="100"/>
      <c r="N676" s="98"/>
      <c r="Q676" s="93"/>
    </row>
    <row r="677">
      <c r="L677" s="100"/>
      <c r="M677" s="100"/>
      <c r="N677" s="98"/>
      <c r="Q677" s="93"/>
    </row>
    <row r="678">
      <c r="L678" s="100"/>
      <c r="M678" s="100"/>
      <c r="N678" s="98"/>
      <c r="Q678" s="93"/>
    </row>
    <row r="679">
      <c r="L679" s="100"/>
      <c r="M679" s="100"/>
      <c r="N679" s="98"/>
      <c r="Q679" s="93"/>
    </row>
    <row r="680">
      <c r="L680" s="100"/>
      <c r="M680" s="100"/>
      <c r="N680" s="98"/>
      <c r="Q680" s="93"/>
    </row>
    <row r="681">
      <c r="L681" s="100"/>
      <c r="M681" s="100"/>
      <c r="N681" s="98"/>
      <c r="Q681" s="93"/>
    </row>
    <row r="682">
      <c r="L682" s="100"/>
      <c r="M682" s="100"/>
      <c r="N682" s="98"/>
      <c r="Q682" s="93"/>
    </row>
    <row r="683">
      <c r="L683" s="100"/>
      <c r="M683" s="100"/>
      <c r="N683" s="98"/>
      <c r="Q683" s="93"/>
    </row>
    <row r="684">
      <c r="L684" s="100"/>
      <c r="M684" s="100"/>
      <c r="N684" s="98"/>
      <c r="Q684" s="93"/>
    </row>
    <row r="685">
      <c r="L685" s="100"/>
      <c r="M685" s="100"/>
      <c r="N685" s="98"/>
      <c r="Q685" s="93"/>
    </row>
    <row r="686">
      <c r="L686" s="100"/>
      <c r="M686" s="100"/>
      <c r="N686" s="98"/>
      <c r="Q686" s="93"/>
    </row>
    <row r="687">
      <c r="L687" s="100"/>
      <c r="M687" s="100"/>
      <c r="N687" s="98"/>
      <c r="Q687" s="93"/>
    </row>
    <row r="688">
      <c r="L688" s="100"/>
      <c r="M688" s="100"/>
      <c r="N688" s="98"/>
      <c r="Q688" s="93"/>
    </row>
    <row r="689">
      <c r="L689" s="100"/>
      <c r="M689" s="100"/>
      <c r="N689" s="98"/>
      <c r="Q689" s="93"/>
    </row>
    <row r="690">
      <c r="L690" s="100"/>
      <c r="M690" s="100"/>
      <c r="N690" s="98"/>
      <c r="Q690" s="93"/>
    </row>
    <row r="691">
      <c r="L691" s="100"/>
      <c r="M691" s="100"/>
      <c r="N691" s="98"/>
      <c r="Q691" s="93"/>
    </row>
    <row r="692">
      <c r="L692" s="100"/>
      <c r="M692" s="100"/>
      <c r="N692" s="98"/>
      <c r="Q692" s="93"/>
    </row>
    <row r="693">
      <c r="L693" s="100"/>
      <c r="M693" s="100"/>
      <c r="N693" s="98"/>
      <c r="Q693" s="93"/>
    </row>
    <row r="694">
      <c r="L694" s="100"/>
      <c r="M694" s="100"/>
      <c r="N694" s="98"/>
      <c r="Q694" s="93"/>
    </row>
    <row r="695">
      <c r="L695" s="100"/>
      <c r="M695" s="100"/>
      <c r="N695" s="98"/>
      <c r="Q695" s="93"/>
    </row>
    <row r="696">
      <c r="L696" s="100"/>
      <c r="M696" s="100"/>
      <c r="N696" s="98"/>
      <c r="Q696" s="93"/>
    </row>
    <row r="697">
      <c r="L697" s="100"/>
      <c r="M697" s="100"/>
      <c r="N697" s="98"/>
      <c r="Q697" s="93"/>
    </row>
    <row r="698">
      <c r="L698" s="100"/>
      <c r="M698" s="100"/>
      <c r="N698" s="98"/>
      <c r="Q698" s="93"/>
    </row>
    <row r="699">
      <c r="L699" s="100"/>
      <c r="M699" s="100"/>
      <c r="N699" s="98"/>
      <c r="Q699" s="93"/>
    </row>
    <row r="700">
      <c r="L700" s="100"/>
      <c r="M700" s="100"/>
      <c r="N700" s="98"/>
      <c r="Q700" s="93"/>
    </row>
    <row r="701">
      <c r="L701" s="100"/>
      <c r="M701" s="100"/>
      <c r="N701" s="98"/>
      <c r="Q701" s="93"/>
    </row>
    <row r="702">
      <c r="L702" s="100"/>
      <c r="M702" s="100"/>
      <c r="N702" s="98"/>
      <c r="Q702" s="93"/>
    </row>
    <row r="703">
      <c r="L703" s="100"/>
      <c r="M703" s="100"/>
      <c r="N703" s="98"/>
      <c r="Q703" s="93"/>
    </row>
    <row r="704">
      <c r="L704" s="100"/>
      <c r="M704" s="100"/>
      <c r="N704" s="98"/>
      <c r="Q704" s="93"/>
    </row>
    <row r="705">
      <c r="L705" s="100"/>
      <c r="M705" s="100"/>
      <c r="N705" s="98"/>
      <c r="Q705" s="93"/>
    </row>
    <row r="706">
      <c r="L706" s="100"/>
      <c r="M706" s="100"/>
      <c r="N706" s="98"/>
      <c r="Q706" s="93"/>
    </row>
    <row r="707">
      <c r="L707" s="100"/>
      <c r="M707" s="100"/>
      <c r="N707" s="98"/>
      <c r="Q707" s="93"/>
    </row>
    <row r="708">
      <c r="L708" s="100"/>
      <c r="M708" s="100"/>
      <c r="N708" s="98"/>
      <c r="Q708" s="93"/>
    </row>
    <row r="709">
      <c r="L709" s="100"/>
      <c r="M709" s="100"/>
      <c r="N709" s="98"/>
      <c r="Q709" s="93"/>
    </row>
    <row r="710">
      <c r="L710" s="100"/>
      <c r="M710" s="100"/>
      <c r="N710" s="98"/>
      <c r="Q710" s="93"/>
    </row>
    <row r="711">
      <c r="L711" s="100"/>
      <c r="M711" s="100"/>
      <c r="N711" s="98"/>
      <c r="Q711" s="93"/>
    </row>
    <row r="712">
      <c r="L712" s="100"/>
      <c r="M712" s="100"/>
      <c r="N712" s="98"/>
      <c r="Q712" s="93"/>
    </row>
    <row r="713">
      <c r="L713" s="100"/>
      <c r="M713" s="100"/>
      <c r="N713" s="98"/>
      <c r="Q713" s="93"/>
    </row>
    <row r="714">
      <c r="L714" s="100"/>
      <c r="M714" s="100"/>
      <c r="N714" s="98"/>
      <c r="Q714" s="93"/>
    </row>
    <row r="715">
      <c r="L715" s="100"/>
      <c r="M715" s="100"/>
      <c r="N715" s="98"/>
      <c r="Q715" s="93"/>
    </row>
    <row r="716">
      <c r="L716" s="100"/>
      <c r="M716" s="100"/>
      <c r="N716" s="98"/>
      <c r="Q716" s="93"/>
    </row>
    <row r="717">
      <c r="L717" s="100"/>
      <c r="M717" s="100"/>
      <c r="N717" s="98"/>
      <c r="Q717" s="93"/>
    </row>
    <row r="718">
      <c r="L718" s="100"/>
      <c r="M718" s="100"/>
      <c r="N718" s="98"/>
      <c r="Q718" s="93"/>
    </row>
    <row r="719">
      <c r="L719" s="100"/>
      <c r="M719" s="100"/>
      <c r="N719" s="98"/>
      <c r="Q719" s="93"/>
    </row>
    <row r="720">
      <c r="L720" s="100"/>
      <c r="M720" s="100"/>
      <c r="N720" s="98"/>
      <c r="Q720" s="93"/>
    </row>
    <row r="721">
      <c r="L721" s="100"/>
      <c r="M721" s="100"/>
      <c r="N721" s="98"/>
      <c r="Q721" s="93"/>
    </row>
    <row r="722">
      <c r="L722" s="100"/>
      <c r="M722" s="100"/>
      <c r="N722" s="98"/>
      <c r="Q722" s="93"/>
    </row>
    <row r="723">
      <c r="L723" s="100"/>
      <c r="M723" s="100"/>
      <c r="N723" s="98"/>
      <c r="Q723" s="93"/>
    </row>
    <row r="724">
      <c r="L724" s="100"/>
      <c r="M724" s="100"/>
      <c r="N724" s="98"/>
      <c r="Q724" s="93"/>
    </row>
    <row r="725">
      <c r="L725" s="100"/>
      <c r="M725" s="100"/>
      <c r="N725" s="98"/>
      <c r="Q725" s="93"/>
    </row>
    <row r="726">
      <c r="L726" s="100"/>
      <c r="M726" s="100"/>
      <c r="N726" s="98"/>
      <c r="Q726" s="93"/>
    </row>
    <row r="727">
      <c r="L727" s="100"/>
      <c r="M727" s="100"/>
      <c r="N727" s="98"/>
      <c r="Q727" s="93"/>
    </row>
    <row r="728">
      <c r="L728" s="100"/>
      <c r="M728" s="100"/>
      <c r="N728" s="98"/>
      <c r="Q728" s="93"/>
    </row>
    <row r="729">
      <c r="L729" s="100"/>
      <c r="M729" s="100"/>
      <c r="N729" s="98"/>
      <c r="Q729" s="93"/>
    </row>
    <row r="730">
      <c r="L730" s="100"/>
      <c r="M730" s="100"/>
      <c r="N730" s="98"/>
      <c r="Q730" s="93"/>
    </row>
    <row r="731">
      <c r="L731" s="100"/>
      <c r="M731" s="100"/>
      <c r="N731" s="98"/>
      <c r="Q731" s="93"/>
    </row>
    <row r="732">
      <c r="L732" s="100"/>
      <c r="M732" s="100"/>
      <c r="N732" s="98"/>
      <c r="Q732" s="93"/>
    </row>
    <row r="733">
      <c r="L733" s="100"/>
      <c r="M733" s="100"/>
      <c r="N733" s="98"/>
      <c r="Q733" s="93"/>
    </row>
    <row r="734">
      <c r="L734" s="100"/>
      <c r="M734" s="100"/>
      <c r="N734" s="98"/>
      <c r="Q734" s="93"/>
    </row>
    <row r="735">
      <c r="L735" s="100"/>
      <c r="M735" s="100"/>
      <c r="N735" s="98"/>
      <c r="Q735" s="93"/>
    </row>
    <row r="736">
      <c r="L736" s="100"/>
      <c r="M736" s="100"/>
      <c r="N736" s="98"/>
      <c r="Q736" s="93"/>
    </row>
    <row r="737">
      <c r="L737" s="100"/>
      <c r="M737" s="100"/>
      <c r="N737" s="98"/>
      <c r="Q737" s="93"/>
    </row>
    <row r="738">
      <c r="L738" s="100"/>
      <c r="M738" s="100"/>
      <c r="N738" s="98"/>
      <c r="Q738" s="93"/>
    </row>
    <row r="739">
      <c r="L739" s="100"/>
      <c r="M739" s="100"/>
      <c r="N739" s="98"/>
      <c r="Q739" s="93"/>
    </row>
    <row r="740">
      <c r="L740" s="100"/>
      <c r="M740" s="100"/>
      <c r="N740" s="98"/>
      <c r="Q740" s="93"/>
    </row>
    <row r="741">
      <c r="L741" s="100"/>
      <c r="M741" s="100"/>
      <c r="N741" s="98"/>
      <c r="Q741" s="93"/>
    </row>
    <row r="742">
      <c r="L742" s="100"/>
      <c r="M742" s="100"/>
      <c r="N742" s="98"/>
      <c r="Q742" s="93"/>
    </row>
    <row r="743">
      <c r="L743" s="100"/>
      <c r="M743" s="100"/>
      <c r="N743" s="98"/>
      <c r="Q743" s="93"/>
    </row>
    <row r="744">
      <c r="L744" s="100"/>
      <c r="M744" s="100"/>
      <c r="N744" s="98"/>
      <c r="Q744" s="93"/>
    </row>
    <row r="745">
      <c r="L745" s="100"/>
      <c r="M745" s="100"/>
      <c r="N745" s="98"/>
      <c r="Q745" s="93"/>
    </row>
    <row r="746">
      <c r="L746" s="100"/>
      <c r="M746" s="100"/>
      <c r="N746" s="98"/>
      <c r="Q746" s="93"/>
    </row>
    <row r="747">
      <c r="L747" s="100"/>
      <c r="M747" s="100"/>
      <c r="N747" s="98"/>
      <c r="Q747" s="93"/>
    </row>
    <row r="748">
      <c r="L748" s="100"/>
      <c r="M748" s="100"/>
      <c r="N748" s="98"/>
      <c r="Q748" s="93"/>
    </row>
    <row r="749">
      <c r="L749" s="100"/>
      <c r="M749" s="100"/>
      <c r="N749" s="98"/>
      <c r="Q749" s="93"/>
    </row>
    <row r="750">
      <c r="L750" s="100"/>
      <c r="M750" s="100"/>
      <c r="N750" s="98"/>
      <c r="Q750" s="93"/>
    </row>
    <row r="751">
      <c r="L751" s="100"/>
      <c r="M751" s="100"/>
      <c r="N751" s="98"/>
      <c r="Q751" s="93"/>
    </row>
    <row r="752">
      <c r="L752" s="100"/>
      <c r="M752" s="100"/>
      <c r="N752" s="98"/>
      <c r="Q752" s="93"/>
    </row>
    <row r="753">
      <c r="L753" s="100"/>
      <c r="M753" s="100"/>
      <c r="N753" s="98"/>
      <c r="Q753" s="93"/>
    </row>
    <row r="754">
      <c r="L754" s="100"/>
      <c r="M754" s="100"/>
      <c r="N754" s="98"/>
      <c r="Q754" s="93"/>
    </row>
    <row r="755">
      <c r="L755" s="100"/>
      <c r="M755" s="100"/>
      <c r="N755" s="98"/>
      <c r="Q755" s="93"/>
    </row>
    <row r="756">
      <c r="L756" s="100"/>
      <c r="M756" s="100"/>
      <c r="N756" s="98"/>
      <c r="Q756" s="93"/>
    </row>
    <row r="757">
      <c r="L757" s="100"/>
      <c r="M757" s="100"/>
      <c r="N757" s="98"/>
      <c r="Q757" s="93"/>
    </row>
    <row r="758">
      <c r="L758" s="100"/>
      <c r="M758" s="100"/>
      <c r="N758" s="98"/>
      <c r="Q758" s="93"/>
    </row>
    <row r="759">
      <c r="L759" s="100"/>
      <c r="M759" s="100"/>
      <c r="N759" s="98"/>
      <c r="Q759" s="93"/>
    </row>
    <row r="760">
      <c r="L760" s="100"/>
      <c r="M760" s="100"/>
      <c r="N760" s="98"/>
      <c r="Q760" s="93"/>
    </row>
    <row r="761">
      <c r="L761" s="100"/>
      <c r="M761" s="100"/>
      <c r="N761" s="98"/>
      <c r="Q761" s="93"/>
    </row>
    <row r="762">
      <c r="L762" s="100"/>
      <c r="M762" s="100"/>
      <c r="N762" s="98"/>
      <c r="Q762" s="93"/>
    </row>
    <row r="763">
      <c r="L763" s="100"/>
      <c r="M763" s="100"/>
      <c r="N763" s="98"/>
      <c r="Q763" s="93"/>
    </row>
    <row r="764">
      <c r="L764" s="100"/>
      <c r="M764" s="100"/>
      <c r="N764" s="98"/>
      <c r="Q764" s="93"/>
    </row>
    <row r="765">
      <c r="L765" s="100"/>
      <c r="M765" s="100"/>
      <c r="N765" s="98"/>
      <c r="Q765" s="93"/>
    </row>
    <row r="766">
      <c r="L766" s="100"/>
      <c r="M766" s="100"/>
      <c r="N766" s="98"/>
      <c r="Q766" s="93"/>
    </row>
    <row r="767">
      <c r="L767" s="100"/>
      <c r="M767" s="100"/>
      <c r="N767" s="98"/>
      <c r="Q767" s="93"/>
    </row>
    <row r="768">
      <c r="L768" s="100"/>
      <c r="M768" s="100"/>
      <c r="N768" s="98"/>
      <c r="Q768" s="93"/>
    </row>
    <row r="769">
      <c r="L769" s="100"/>
      <c r="M769" s="100"/>
      <c r="N769" s="98"/>
      <c r="Q769" s="93"/>
    </row>
    <row r="770">
      <c r="L770" s="100"/>
      <c r="M770" s="100"/>
      <c r="N770" s="98"/>
      <c r="Q770" s="93"/>
    </row>
    <row r="771">
      <c r="L771" s="100"/>
      <c r="M771" s="100"/>
      <c r="N771" s="98"/>
      <c r="Q771" s="93"/>
    </row>
    <row r="772">
      <c r="L772" s="100"/>
      <c r="M772" s="100"/>
      <c r="N772" s="98"/>
      <c r="Q772" s="93"/>
    </row>
    <row r="773">
      <c r="L773" s="100"/>
      <c r="M773" s="100"/>
      <c r="N773" s="98"/>
      <c r="Q773" s="93"/>
    </row>
    <row r="774">
      <c r="L774" s="100"/>
      <c r="M774" s="100"/>
      <c r="N774" s="98"/>
      <c r="Q774" s="93"/>
    </row>
    <row r="775">
      <c r="L775" s="100"/>
      <c r="M775" s="100"/>
      <c r="N775" s="98"/>
      <c r="Q775" s="93"/>
    </row>
    <row r="776">
      <c r="L776" s="100"/>
      <c r="M776" s="100"/>
      <c r="N776" s="98"/>
      <c r="Q776" s="93"/>
    </row>
    <row r="777">
      <c r="L777" s="100"/>
      <c r="M777" s="100"/>
      <c r="N777" s="98"/>
      <c r="Q777" s="93"/>
    </row>
    <row r="778">
      <c r="L778" s="100"/>
      <c r="M778" s="100"/>
      <c r="N778" s="98"/>
      <c r="Q778" s="93"/>
    </row>
    <row r="779">
      <c r="L779" s="100"/>
      <c r="M779" s="100"/>
      <c r="N779" s="98"/>
      <c r="Q779" s="93"/>
    </row>
    <row r="780">
      <c r="L780" s="100"/>
      <c r="M780" s="100"/>
      <c r="N780" s="98"/>
      <c r="Q780" s="93"/>
    </row>
    <row r="781">
      <c r="L781" s="100"/>
      <c r="M781" s="100"/>
      <c r="N781" s="98"/>
      <c r="Q781" s="93"/>
    </row>
    <row r="782">
      <c r="L782" s="100"/>
      <c r="M782" s="100"/>
      <c r="N782" s="98"/>
      <c r="Q782" s="93"/>
    </row>
    <row r="783">
      <c r="L783" s="100"/>
      <c r="M783" s="100"/>
      <c r="N783" s="98"/>
      <c r="Q783" s="93"/>
    </row>
    <row r="784">
      <c r="L784" s="100"/>
      <c r="M784" s="100"/>
      <c r="N784" s="98"/>
      <c r="Q784" s="93"/>
    </row>
    <row r="785">
      <c r="L785" s="100"/>
      <c r="M785" s="100"/>
      <c r="N785" s="98"/>
      <c r="Q785" s="93"/>
    </row>
    <row r="786">
      <c r="L786" s="100"/>
      <c r="M786" s="100"/>
      <c r="N786" s="98"/>
      <c r="Q786" s="93"/>
    </row>
    <row r="787">
      <c r="L787" s="100"/>
      <c r="M787" s="100"/>
      <c r="N787" s="98"/>
      <c r="Q787" s="93"/>
    </row>
    <row r="788">
      <c r="L788" s="100"/>
      <c r="M788" s="100"/>
      <c r="N788" s="98"/>
      <c r="Q788" s="93"/>
    </row>
    <row r="789">
      <c r="L789" s="100"/>
      <c r="M789" s="100"/>
      <c r="N789" s="98"/>
      <c r="Q789" s="93"/>
    </row>
    <row r="790">
      <c r="L790" s="100"/>
      <c r="M790" s="100"/>
      <c r="N790" s="98"/>
      <c r="Q790" s="93"/>
    </row>
    <row r="791">
      <c r="L791" s="100"/>
      <c r="M791" s="100"/>
      <c r="N791" s="98"/>
      <c r="Q791" s="93"/>
    </row>
    <row r="792">
      <c r="L792" s="100"/>
      <c r="M792" s="100"/>
      <c r="N792" s="98"/>
      <c r="Q792" s="93"/>
    </row>
    <row r="793">
      <c r="L793" s="100"/>
      <c r="M793" s="100"/>
      <c r="N793" s="98"/>
      <c r="Q793" s="93"/>
    </row>
    <row r="794">
      <c r="L794" s="100"/>
      <c r="M794" s="100"/>
      <c r="N794" s="98"/>
      <c r="Q794" s="93"/>
    </row>
    <row r="795">
      <c r="L795" s="100"/>
      <c r="M795" s="100"/>
      <c r="N795" s="98"/>
      <c r="Q795" s="93"/>
    </row>
    <row r="796">
      <c r="L796" s="100"/>
      <c r="M796" s="100"/>
      <c r="N796" s="98"/>
      <c r="Q796" s="93"/>
    </row>
    <row r="797">
      <c r="L797" s="100"/>
      <c r="M797" s="100"/>
      <c r="N797" s="98"/>
      <c r="Q797" s="93"/>
    </row>
    <row r="798">
      <c r="L798" s="100"/>
      <c r="M798" s="100"/>
      <c r="N798" s="98"/>
      <c r="Q798" s="93"/>
    </row>
    <row r="799">
      <c r="L799" s="100"/>
      <c r="M799" s="100"/>
      <c r="N799" s="98"/>
      <c r="Q799" s="93"/>
    </row>
    <row r="800">
      <c r="L800" s="100"/>
      <c r="M800" s="100"/>
      <c r="N800" s="98"/>
      <c r="Q800" s="93"/>
    </row>
    <row r="801">
      <c r="L801" s="100"/>
      <c r="M801" s="100"/>
      <c r="N801" s="98"/>
      <c r="Q801" s="93"/>
    </row>
    <row r="802">
      <c r="L802" s="100"/>
      <c r="M802" s="100"/>
      <c r="N802" s="98"/>
      <c r="Q802" s="93"/>
    </row>
    <row r="803">
      <c r="L803" s="100"/>
      <c r="M803" s="100"/>
      <c r="N803" s="98"/>
      <c r="Q803" s="93"/>
    </row>
    <row r="804">
      <c r="L804" s="100"/>
      <c r="M804" s="100"/>
      <c r="N804" s="98"/>
      <c r="Q804" s="93"/>
    </row>
    <row r="805">
      <c r="L805" s="100"/>
      <c r="M805" s="100"/>
      <c r="N805" s="98"/>
      <c r="Q805" s="93"/>
    </row>
    <row r="806">
      <c r="L806" s="100"/>
      <c r="M806" s="100"/>
      <c r="N806" s="98"/>
      <c r="Q806" s="93"/>
    </row>
    <row r="807">
      <c r="L807" s="100"/>
      <c r="M807" s="100"/>
      <c r="N807" s="98"/>
      <c r="Q807" s="93"/>
    </row>
    <row r="808">
      <c r="L808" s="100"/>
      <c r="M808" s="100"/>
      <c r="N808" s="98"/>
      <c r="Q808" s="93"/>
    </row>
    <row r="809">
      <c r="L809" s="100"/>
      <c r="M809" s="100"/>
      <c r="N809" s="98"/>
      <c r="Q809" s="93"/>
    </row>
    <row r="810">
      <c r="L810" s="100"/>
      <c r="M810" s="100"/>
      <c r="N810" s="98"/>
      <c r="Q810" s="93"/>
    </row>
    <row r="811">
      <c r="L811" s="100"/>
      <c r="M811" s="100"/>
      <c r="N811" s="98"/>
      <c r="Q811" s="93"/>
    </row>
    <row r="812">
      <c r="L812" s="100"/>
      <c r="M812" s="100"/>
      <c r="N812" s="98"/>
      <c r="Q812" s="93"/>
    </row>
    <row r="813">
      <c r="L813" s="100"/>
      <c r="M813" s="100"/>
      <c r="N813" s="98"/>
      <c r="Q813" s="93"/>
    </row>
    <row r="814">
      <c r="L814" s="100"/>
      <c r="M814" s="100"/>
      <c r="N814" s="98"/>
      <c r="Q814" s="93"/>
    </row>
    <row r="815">
      <c r="L815" s="100"/>
      <c r="M815" s="100"/>
      <c r="N815" s="98"/>
      <c r="Q815" s="93"/>
    </row>
    <row r="816">
      <c r="L816" s="100"/>
      <c r="M816" s="100"/>
      <c r="N816" s="98"/>
      <c r="Q816" s="93"/>
    </row>
    <row r="817">
      <c r="L817" s="100"/>
      <c r="M817" s="100"/>
      <c r="N817" s="98"/>
      <c r="Q817" s="93"/>
    </row>
    <row r="818">
      <c r="L818" s="100"/>
      <c r="M818" s="100"/>
      <c r="N818" s="98"/>
      <c r="Q818" s="93"/>
    </row>
    <row r="819">
      <c r="L819" s="100"/>
      <c r="M819" s="100"/>
      <c r="N819" s="98"/>
      <c r="Q819" s="93"/>
    </row>
    <row r="820">
      <c r="L820" s="100"/>
      <c r="M820" s="100"/>
      <c r="N820" s="98"/>
      <c r="Q820" s="93"/>
    </row>
    <row r="821">
      <c r="L821" s="100"/>
      <c r="M821" s="100"/>
      <c r="N821" s="98"/>
      <c r="Q821" s="93"/>
    </row>
    <row r="822">
      <c r="L822" s="100"/>
      <c r="M822" s="100"/>
      <c r="N822" s="98"/>
      <c r="Q822" s="93"/>
    </row>
    <row r="823">
      <c r="L823" s="100"/>
      <c r="M823" s="100"/>
      <c r="N823" s="98"/>
      <c r="Q823" s="93"/>
    </row>
    <row r="824">
      <c r="L824" s="100"/>
      <c r="M824" s="100"/>
      <c r="N824" s="98"/>
      <c r="Q824" s="93"/>
    </row>
    <row r="825">
      <c r="L825" s="100"/>
      <c r="M825" s="100"/>
      <c r="N825" s="98"/>
      <c r="Q825" s="93"/>
    </row>
    <row r="826">
      <c r="L826" s="100"/>
      <c r="M826" s="100"/>
      <c r="N826" s="98"/>
      <c r="Q826" s="93"/>
    </row>
    <row r="827">
      <c r="L827" s="100"/>
      <c r="M827" s="100"/>
      <c r="N827" s="98"/>
      <c r="Q827" s="93"/>
    </row>
    <row r="828">
      <c r="L828" s="100"/>
      <c r="M828" s="100"/>
      <c r="N828" s="98"/>
      <c r="Q828" s="93"/>
    </row>
    <row r="829">
      <c r="L829" s="100"/>
      <c r="M829" s="100"/>
      <c r="N829" s="98"/>
      <c r="Q829" s="93"/>
    </row>
    <row r="830">
      <c r="L830" s="100"/>
      <c r="M830" s="100"/>
      <c r="N830" s="98"/>
      <c r="Q830" s="93"/>
    </row>
    <row r="831">
      <c r="L831" s="100"/>
      <c r="M831" s="100"/>
      <c r="N831" s="98"/>
      <c r="Q831" s="93"/>
    </row>
    <row r="832">
      <c r="L832" s="100"/>
      <c r="M832" s="100"/>
      <c r="N832" s="98"/>
      <c r="Q832" s="93"/>
    </row>
    <row r="833">
      <c r="L833" s="100"/>
      <c r="M833" s="100"/>
      <c r="N833" s="98"/>
      <c r="Q833" s="93"/>
    </row>
    <row r="834">
      <c r="L834" s="100"/>
      <c r="M834" s="100"/>
      <c r="N834" s="98"/>
      <c r="Q834" s="93"/>
    </row>
    <row r="835">
      <c r="L835" s="100"/>
      <c r="M835" s="100"/>
      <c r="N835" s="98"/>
      <c r="Q835" s="93"/>
    </row>
    <row r="836">
      <c r="L836" s="100"/>
      <c r="M836" s="100"/>
      <c r="N836" s="98"/>
      <c r="Q836" s="93"/>
    </row>
    <row r="837">
      <c r="L837" s="100"/>
      <c r="M837" s="100"/>
      <c r="N837" s="98"/>
      <c r="Q837" s="93"/>
    </row>
    <row r="838">
      <c r="L838" s="100"/>
      <c r="M838" s="100"/>
      <c r="N838" s="98"/>
      <c r="Q838" s="93"/>
    </row>
    <row r="839">
      <c r="L839" s="100"/>
      <c r="M839" s="100"/>
      <c r="N839" s="98"/>
      <c r="Q839" s="93"/>
    </row>
    <row r="840">
      <c r="L840" s="100"/>
      <c r="M840" s="100"/>
      <c r="N840" s="98"/>
      <c r="Q840" s="93"/>
    </row>
    <row r="841">
      <c r="L841" s="100"/>
      <c r="M841" s="100"/>
      <c r="N841" s="98"/>
      <c r="Q841" s="93"/>
    </row>
    <row r="842">
      <c r="L842" s="100"/>
      <c r="M842" s="100"/>
      <c r="N842" s="98"/>
      <c r="Q842" s="93"/>
    </row>
    <row r="843">
      <c r="L843" s="100"/>
      <c r="M843" s="100"/>
      <c r="N843" s="98"/>
      <c r="Q843" s="93"/>
    </row>
    <row r="844">
      <c r="L844" s="100"/>
      <c r="M844" s="100"/>
      <c r="N844" s="98"/>
      <c r="Q844" s="93"/>
    </row>
    <row r="845">
      <c r="L845" s="100"/>
      <c r="M845" s="100"/>
      <c r="N845" s="98"/>
      <c r="Q845" s="93"/>
    </row>
    <row r="846">
      <c r="L846" s="100"/>
      <c r="M846" s="100"/>
      <c r="N846" s="98"/>
      <c r="Q846" s="93"/>
    </row>
    <row r="847">
      <c r="L847" s="100"/>
      <c r="M847" s="100"/>
      <c r="N847" s="98"/>
      <c r="Q847" s="93"/>
    </row>
    <row r="848">
      <c r="L848" s="100"/>
      <c r="M848" s="100"/>
      <c r="N848" s="98"/>
      <c r="Q848" s="93"/>
    </row>
    <row r="849">
      <c r="L849" s="100"/>
      <c r="M849" s="100"/>
      <c r="N849" s="98"/>
      <c r="Q849" s="93"/>
    </row>
    <row r="850">
      <c r="L850" s="100"/>
      <c r="M850" s="100"/>
      <c r="N850" s="98"/>
      <c r="Q850" s="93"/>
    </row>
    <row r="851">
      <c r="L851" s="100"/>
      <c r="M851" s="100"/>
      <c r="N851" s="98"/>
      <c r="Q851" s="93"/>
    </row>
    <row r="852">
      <c r="L852" s="100"/>
      <c r="M852" s="100"/>
      <c r="N852" s="98"/>
      <c r="Q852" s="93"/>
    </row>
    <row r="853">
      <c r="L853" s="100"/>
      <c r="M853" s="100"/>
      <c r="N853" s="98"/>
      <c r="Q853" s="93"/>
    </row>
    <row r="854">
      <c r="L854" s="100"/>
      <c r="M854" s="100"/>
      <c r="N854" s="98"/>
      <c r="Q854" s="93"/>
    </row>
    <row r="855">
      <c r="L855" s="100"/>
      <c r="M855" s="100"/>
      <c r="N855" s="98"/>
      <c r="Q855" s="93"/>
    </row>
    <row r="856">
      <c r="L856" s="100"/>
      <c r="M856" s="100"/>
      <c r="N856" s="98"/>
      <c r="Q856" s="93"/>
    </row>
    <row r="857">
      <c r="L857" s="100"/>
      <c r="M857" s="100"/>
      <c r="N857" s="98"/>
      <c r="Q857" s="93"/>
    </row>
    <row r="858">
      <c r="L858" s="100"/>
      <c r="M858" s="100"/>
      <c r="N858" s="98"/>
      <c r="Q858" s="93"/>
    </row>
    <row r="859">
      <c r="L859" s="100"/>
      <c r="M859" s="100"/>
      <c r="N859" s="98"/>
      <c r="Q859" s="93"/>
    </row>
    <row r="860">
      <c r="L860" s="100"/>
      <c r="M860" s="100"/>
      <c r="N860" s="98"/>
      <c r="Q860" s="93"/>
    </row>
    <row r="861">
      <c r="L861" s="100"/>
      <c r="M861" s="100"/>
      <c r="N861" s="98"/>
      <c r="Q861" s="93"/>
    </row>
    <row r="862">
      <c r="L862" s="100"/>
      <c r="M862" s="100"/>
      <c r="N862" s="98"/>
      <c r="Q862" s="93"/>
    </row>
    <row r="863">
      <c r="L863" s="100"/>
      <c r="M863" s="100"/>
      <c r="N863" s="98"/>
      <c r="Q863" s="93"/>
    </row>
    <row r="864">
      <c r="L864" s="100"/>
      <c r="M864" s="100"/>
      <c r="N864" s="98"/>
      <c r="Q864" s="93"/>
    </row>
    <row r="865">
      <c r="L865" s="100"/>
      <c r="M865" s="100"/>
      <c r="N865" s="98"/>
      <c r="Q865" s="93"/>
    </row>
    <row r="866">
      <c r="L866" s="100"/>
      <c r="M866" s="100"/>
      <c r="N866" s="98"/>
      <c r="Q866" s="93"/>
    </row>
    <row r="867">
      <c r="L867" s="100"/>
      <c r="M867" s="100"/>
      <c r="N867" s="98"/>
      <c r="Q867" s="93"/>
    </row>
    <row r="868">
      <c r="L868" s="100"/>
      <c r="M868" s="100"/>
      <c r="N868" s="98"/>
      <c r="Q868" s="93"/>
    </row>
    <row r="869">
      <c r="L869" s="100"/>
      <c r="M869" s="100"/>
      <c r="N869" s="98"/>
      <c r="Q869" s="93"/>
    </row>
    <row r="870">
      <c r="L870" s="100"/>
      <c r="M870" s="100"/>
      <c r="N870" s="98"/>
      <c r="Q870" s="93"/>
    </row>
    <row r="871">
      <c r="L871" s="100"/>
      <c r="M871" s="100"/>
      <c r="N871" s="98"/>
      <c r="Q871" s="93"/>
    </row>
    <row r="872">
      <c r="L872" s="100"/>
      <c r="M872" s="100"/>
      <c r="N872" s="98"/>
      <c r="Q872" s="93"/>
    </row>
    <row r="873">
      <c r="L873" s="100"/>
      <c r="M873" s="100"/>
      <c r="N873" s="98"/>
      <c r="Q873" s="93"/>
    </row>
    <row r="874">
      <c r="L874" s="100"/>
      <c r="M874" s="100"/>
      <c r="N874" s="98"/>
      <c r="Q874" s="93"/>
    </row>
    <row r="875">
      <c r="L875" s="100"/>
      <c r="M875" s="100"/>
      <c r="N875" s="98"/>
      <c r="Q875" s="93"/>
    </row>
    <row r="876">
      <c r="L876" s="100"/>
      <c r="M876" s="100"/>
      <c r="N876" s="98"/>
      <c r="Q876" s="93"/>
    </row>
    <row r="877">
      <c r="L877" s="100"/>
      <c r="M877" s="100"/>
      <c r="N877" s="98"/>
      <c r="Q877" s="93"/>
    </row>
    <row r="878">
      <c r="L878" s="100"/>
      <c r="M878" s="100"/>
      <c r="N878" s="98"/>
      <c r="Q878" s="93"/>
    </row>
    <row r="879">
      <c r="L879" s="100"/>
      <c r="M879" s="100"/>
      <c r="N879" s="98"/>
      <c r="Q879" s="93"/>
    </row>
    <row r="880">
      <c r="L880" s="100"/>
      <c r="M880" s="100"/>
      <c r="N880" s="98"/>
      <c r="Q880" s="93"/>
    </row>
    <row r="881">
      <c r="L881" s="100"/>
      <c r="M881" s="100"/>
      <c r="N881" s="98"/>
      <c r="Q881" s="93"/>
    </row>
    <row r="882">
      <c r="L882" s="100"/>
      <c r="M882" s="100"/>
      <c r="N882" s="98"/>
      <c r="Q882" s="93"/>
    </row>
    <row r="883">
      <c r="L883" s="100"/>
      <c r="M883" s="100"/>
      <c r="N883" s="98"/>
      <c r="Q883" s="93"/>
    </row>
    <row r="884">
      <c r="L884" s="100"/>
      <c r="M884" s="100"/>
      <c r="N884" s="98"/>
      <c r="Q884" s="93"/>
    </row>
    <row r="885">
      <c r="L885" s="100"/>
      <c r="M885" s="100"/>
      <c r="N885" s="98"/>
      <c r="Q885" s="93"/>
    </row>
    <row r="886">
      <c r="L886" s="100"/>
      <c r="M886" s="100"/>
      <c r="N886" s="98"/>
      <c r="Q886" s="93"/>
    </row>
    <row r="887">
      <c r="L887" s="100"/>
      <c r="M887" s="100"/>
      <c r="N887" s="98"/>
      <c r="Q887" s="93"/>
    </row>
    <row r="888">
      <c r="L888" s="100"/>
      <c r="M888" s="100"/>
      <c r="N888" s="98"/>
      <c r="Q888" s="93"/>
    </row>
    <row r="889">
      <c r="L889" s="100"/>
      <c r="M889" s="100"/>
      <c r="N889" s="98"/>
      <c r="Q889" s="93"/>
    </row>
    <row r="890">
      <c r="L890" s="100"/>
      <c r="M890" s="100"/>
      <c r="N890" s="98"/>
      <c r="Q890" s="93"/>
    </row>
    <row r="891">
      <c r="L891" s="100"/>
      <c r="M891" s="100"/>
      <c r="N891" s="98"/>
      <c r="Q891" s="93"/>
    </row>
    <row r="892">
      <c r="L892" s="100"/>
      <c r="M892" s="100"/>
      <c r="N892" s="98"/>
      <c r="Q892" s="93"/>
    </row>
    <row r="893">
      <c r="L893" s="100"/>
      <c r="M893" s="100"/>
      <c r="N893" s="98"/>
      <c r="Q893" s="93"/>
    </row>
    <row r="894">
      <c r="L894" s="100"/>
      <c r="M894" s="100"/>
      <c r="N894" s="98"/>
      <c r="Q894" s="93"/>
    </row>
    <row r="895">
      <c r="L895" s="100"/>
      <c r="M895" s="100"/>
      <c r="N895" s="98"/>
      <c r="Q895" s="93"/>
    </row>
    <row r="896">
      <c r="L896" s="100"/>
      <c r="M896" s="100"/>
      <c r="N896" s="98"/>
      <c r="Q896" s="93"/>
    </row>
    <row r="897">
      <c r="L897" s="100"/>
      <c r="M897" s="100"/>
      <c r="N897" s="98"/>
      <c r="Q897" s="93"/>
    </row>
    <row r="898">
      <c r="L898" s="100"/>
      <c r="M898" s="100"/>
      <c r="N898" s="98"/>
      <c r="Q898" s="93"/>
    </row>
    <row r="899">
      <c r="L899" s="100"/>
      <c r="M899" s="100"/>
      <c r="N899" s="98"/>
      <c r="Q899" s="93"/>
    </row>
    <row r="900">
      <c r="L900" s="100"/>
      <c r="M900" s="100"/>
      <c r="N900" s="98"/>
      <c r="Q900" s="93"/>
    </row>
    <row r="901">
      <c r="L901" s="100"/>
      <c r="M901" s="100"/>
      <c r="N901" s="98"/>
      <c r="Q901" s="93"/>
    </row>
    <row r="902">
      <c r="L902" s="100"/>
      <c r="M902" s="100"/>
      <c r="N902" s="98"/>
      <c r="Q902" s="93"/>
    </row>
    <row r="903">
      <c r="L903" s="100"/>
      <c r="M903" s="100"/>
      <c r="N903" s="98"/>
      <c r="Q903" s="93"/>
    </row>
    <row r="904">
      <c r="L904" s="100"/>
      <c r="M904" s="100"/>
      <c r="N904" s="98"/>
      <c r="Q904" s="93"/>
    </row>
    <row r="905">
      <c r="L905" s="100"/>
      <c r="M905" s="100"/>
      <c r="N905" s="98"/>
      <c r="Q905" s="93"/>
    </row>
    <row r="906">
      <c r="L906" s="100"/>
      <c r="M906" s="100"/>
      <c r="N906" s="98"/>
      <c r="Q906" s="93"/>
    </row>
    <row r="907">
      <c r="L907" s="100"/>
      <c r="M907" s="100"/>
      <c r="N907" s="98"/>
      <c r="Q907" s="93"/>
    </row>
    <row r="908">
      <c r="L908" s="100"/>
      <c r="M908" s="100"/>
      <c r="N908" s="98"/>
      <c r="Q908" s="93"/>
    </row>
    <row r="909">
      <c r="L909" s="100"/>
      <c r="M909" s="100"/>
      <c r="N909" s="98"/>
      <c r="Q909" s="93"/>
    </row>
    <row r="910">
      <c r="L910" s="100"/>
      <c r="M910" s="100"/>
      <c r="N910" s="98"/>
      <c r="Q910" s="93"/>
    </row>
    <row r="911">
      <c r="L911" s="100"/>
      <c r="M911" s="100"/>
      <c r="N911" s="98"/>
      <c r="Q911" s="93"/>
    </row>
    <row r="912">
      <c r="L912" s="100"/>
      <c r="M912" s="100"/>
      <c r="N912" s="98"/>
      <c r="Q912" s="93"/>
    </row>
    <row r="913">
      <c r="L913" s="100"/>
      <c r="M913" s="100"/>
      <c r="N913" s="98"/>
      <c r="Q913" s="93"/>
    </row>
    <row r="914">
      <c r="L914" s="100"/>
      <c r="M914" s="100"/>
      <c r="N914" s="98"/>
      <c r="Q914" s="93"/>
    </row>
    <row r="915">
      <c r="L915" s="100"/>
      <c r="M915" s="100"/>
      <c r="N915" s="98"/>
      <c r="Q915" s="93"/>
    </row>
    <row r="916">
      <c r="L916" s="100"/>
      <c r="M916" s="100"/>
      <c r="N916" s="98"/>
      <c r="Q916" s="93"/>
    </row>
    <row r="917">
      <c r="L917" s="100"/>
      <c r="M917" s="100"/>
      <c r="N917" s="98"/>
      <c r="Q917" s="93"/>
    </row>
    <row r="918">
      <c r="L918" s="100"/>
      <c r="M918" s="100"/>
      <c r="N918" s="98"/>
      <c r="Q918" s="93"/>
    </row>
    <row r="919">
      <c r="L919" s="100"/>
      <c r="M919" s="100"/>
      <c r="N919" s="98"/>
      <c r="Q919" s="93"/>
    </row>
    <row r="920">
      <c r="L920" s="100"/>
      <c r="M920" s="100"/>
      <c r="N920" s="98"/>
      <c r="Q920" s="93"/>
    </row>
    <row r="921">
      <c r="L921" s="100"/>
      <c r="M921" s="100"/>
      <c r="N921" s="98"/>
      <c r="Q921" s="93"/>
    </row>
    <row r="922">
      <c r="L922" s="100"/>
      <c r="M922" s="100"/>
      <c r="N922" s="98"/>
      <c r="Q922" s="93"/>
    </row>
    <row r="923">
      <c r="L923" s="100"/>
      <c r="M923" s="100"/>
      <c r="N923" s="98"/>
      <c r="Q923" s="93"/>
    </row>
    <row r="924">
      <c r="L924" s="100"/>
      <c r="M924" s="100"/>
      <c r="N924" s="98"/>
      <c r="Q924" s="93"/>
    </row>
    <row r="925">
      <c r="L925" s="100"/>
      <c r="M925" s="100"/>
      <c r="N925" s="98"/>
      <c r="Q925" s="93"/>
    </row>
    <row r="926">
      <c r="L926" s="100"/>
      <c r="M926" s="100"/>
      <c r="N926" s="98"/>
      <c r="Q926" s="93"/>
    </row>
    <row r="927">
      <c r="L927" s="100"/>
      <c r="M927" s="100"/>
      <c r="N927" s="98"/>
      <c r="Q927" s="93"/>
    </row>
    <row r="928">
      <c r="L928" s="100"/>
      <c r="M928" s="100"/>
      <c r="N928" s="98"/>
      <c r="Q928" s="93"/>
    </row>
    <row r="929">
      <c r="L929" s="100"/>
      <c r="M929" s="100"/>
      <c r="N929" s="98"/>
      <c r="Q929" s="93"/>
    </row>
    <row r="930">
      <c r="L930" s="100"/>
      <c r="M930" s="100"/>
      <c r="N930" s="98"/>
      <c r="Q930" s="93"/>
    </row>
    <row r="931">
      <c r="L931" s="100"/>
      <c r="M931" s="100"/>
      <c r="N931" s="98"/>
      <c r="Q931" s="93"/>
    </row>
    <row r="932">
      <c r="L932" s="100"/>
      <c r="M932" s="100"/>
      <c r="N932" s="98"/>
      <c r="Q932" s="93"/>
    </row>
    <row r="933">
      <c r="L933" s="100"/>
      <c r="M933" s="100"/>
      <c r="N933" s="98"/>
      <c r="Q933" s="93"/>
    </row>
    <row r="934">
      <c r="L934" s="100"/>
      <c r="M934" s="100"/>
      <c r="N934" s="98"/>
      <c r="Q934" s="93"/>
    </row>
    <row r="935">
      <c r="L935" s="100"/>
      <c r="M935" s="100"/>
      <c r="N935" s="98"/>
      <c r="Q935" s="93"/>
    </row>
    <row r="936">
      <c r="L936" s="100"/>
      <c r="M936" s="100"/>
      <c r="N936" s="98"/>
      <c r="Q936" s="93"/>
    </row>
    <row r="937">
      <c r="L937" s="100"/>
      <c r="M937" s="100"/>
      <c r="N937" s="98"/>
      <c r="Q937" s="93"/>
    </row>
    <row r="938">
      <c r="L938" s="100"/>
      <c r="M938" s="100"/>
      <c r="N938" s="98"/>
      <c r="Q938" s="93"/>
    </row>
    <row r="939">
      <c r="L939" s="100"/>
      <c r="M939" s="100"/>
      <c r="N939" s="98"/>
      <c r="Q939" s="93"/>
    </row>
    <row r="940">
      <c r="L940" s="100"/>
      <c r="M940" s="100"/>
      <c r="N940" s="98"/>
      <c r="Q940" s="93"/>
    </row>
    <row r="941">
      <c r="L941" s="100"/>
      <c r="M941" s="100"/>
      <c r="N941" s="98"/>
      <c r="Q941" s="93"/>
    </row>
    <row r="942">
      <c r="L942" s="100"/>
      <c r="M942" s="100"/>
      <c r="N942" s="98"/>
      <c r="Q942" s="93"/>
    </row>
    <row r="943">
      <c r="L943" s="100"/>
      <c r="M943" s="100"/>
      <c r="N943" s="98"/>
      <c r="Q943" s="93"/>
    </row>
    <row r="944">
      <c r="L944" s="100"/>
      <c r="M944" s="100"/>
      <c r="N944" s="98"/>
      <c r="Q944" s="93"/>
    </row>
    <row r="945">
      <c r="L945" s="100"/>
      <c r="M945" s="100"/>
      <c r="N945" s="98"/>
      <c r="Q945" s="93"/>
    </row>
    <row r="946">
      <c r="L946" s="100"/>
      <c r="M946" s="100"/>
      <c r="N946" s="98"/>
      <c r="Q946" s="93"/>
    </row>
    <row r="947">
      <c r="L947" s="100"/>
      <c r="M947" s="100"/>
      <c r="N947" s="98"/>
      <c r="Q947" s="93"/>
    </row>
    <row r="948">
      <c r="L948" s="100"/>
      <c r="M948" s="100"/>
      <c r="N948" s="98"/>
      <c r="Q948" s="93"/>
    </row>
    <row r="949">
      <c r="L949" s="100"/>
      <c r="M949" s="100"/>
      <c r="N949" s="98"/>
      <c r="Q949" s="93"/>
    </row>
    <row r="950">
      <c r="L950" s="100"/>
      <c r="M950" s="100"/>
      <c r="N950" s="98"/>
      <c r="Q950" s="93"/>
    </row>
    <row r="951">
      <c r="L951" s="100"/>
      <c r="M951" s="100"/>
      <c r="N951" s="98"/>
      <c r="Q951" s="93"/>
    </row>
    <row r="952">
      <c r="L952" s="100"/>
      <c r="M952" s="100"/>
      <c r="N952" s="98"/>
      <c r="Q952" s="93"/>
    </row>
    <row r="953">
      <c r="L953" s="100"/>
      <c r="M953" s="100"/>
      <c r="N953" s="98"/>
      <c r="Q953" s="93"/>
    </row>
    <row r="954">
      <c r="L954" s="100"/>
      <c r="M954" s="100"/>
      <c r="N954" s="98"/>
      <c r="Q954" s="93"/>
    </row>
    <row r="955">
      <c r="L955" s="100"/>
      <c r="M955" s="100"/>
      <c r="N955" s="98"/>
      <c r="Q955" s="93"/>
    </row>
    <row r="956">
      <c r="L956" s="100"/>
      <c r="M956" s="100"/>
      <c r="N956" s="98"/>
      <c r="Q956" s="93"/>
    </row>
    <row r="957">
      <c r="L957" s="100"/>
      <c r="M957" s="100"/>
      <c r="N957" s="98"/>
      <c r="Q957" s="93"/>
    </row>
    <row r="958">
      <c r="L958" s="100"/>
      <c r="M958" s="100"/>
      <c r="N958" s="98"/>
      <c r="Q958" s="93"/>
    </row>
    <row r="959">
      <c r="L959" s="100"/>
      <c r="M959" s="100"/>
      <c r="N959" s="98"/>
      <c r="Q959" s="93"/>
    </row>
    <row r="960">
      <c r="L960" s="100"/>
      <c r="M960" s="100"/>
      <c r="N960" s="98"/>
      <c r="Q960" s="93"/>
    </row>
    <row r="961">
      <c r="L961" s="100"/>
      <c r="M961" s="100"/>
      <c r="N961" s="98"/>
      <c r="Q961" s="93"/>
    </row>
    <row r="962">
      <c r="L962" s="100"/>
      <c r="M962" s="100"/>
      <c r="N962" s="98"/>
      <c r="Q962" s="93"/>
    </row>
    <row r="963">
      <c r="L963" s="100"/>
      <c r="M963" s="100"/>
      <c r="N963" s="98"/>
      <c r="Q963" s="93"/>
    </row>
    <row r="964">
      <c r="L964" s="100"/>
      <c r="M964" s="100"/>
      <c r="N964" s="98"/>
      <c r="Q964" s="93"/>
    </row>
    <row r="965">
      <c r="L965" s="100"/>
      <c r="M965" s="100"/>
      <c r="N965" s="98"/>
      <c r="Q965" s="93"/>
    </row>
    <row r="966">
      <c r="L966" s="100"/>
      <c r="M966" s="100"/>
      <c r="N966" s="98"/>
      <c r="Q966" s="93"/>
    </row>
    <row r="967">
      <c r="L967" s="100"/>
      <c r="M967" s="100"/>
      <c r="N967" s="98"/>
      <c r="Q967" s="93"/>
    </row>
    <row r="968">
      <c r="L968" s="100"/>
      <c r="M968" s="100"/>
      <c r="N968" s="98"/>
      <c r="Q968" s="93"/>
    </row>
    <row r="969">
      <c r="L969" s="100"/>
      <c r="M969" s="100"/>
      <c r="N969" s="98"/>
      <c r="Q969" s="93"/>
    </row>
    <row r="970">
      <c r="L970" s="100"/>
      <c r="M970" s="100"/>
      <c r="N970" s="98"/>
      <c r="Q970" s="93"/>
    </row>
    <row r="971">
      <c r="L971" s="100"/>
      <c r="M971" s="100"/>
      <c r="N971" s="98"/>
      <c r="Q971" s="93"/>
    </row>
    <row r="972">
      <c r="L972" s="100"/>
      <c r="M972" s="100"/>
      <c r="N972" s="98"/>
      <c r="Q972" s="93"/>
    </row>
    <row r="973">
      <c r="L973" s="100"/>
      <c r="M973" s="100"/>
      <c r="N973" s="98"/>
      <c r="Q973" s="93"/>
    </row>
    <row r="974">
      <c r="L974" s="100"/>
      <c r="M974" s="100"/>
      <c r="N974" s="98"/>
      <c r="Q974" s="93"/>
    </row>
    <row r="975">
      <c r="L975" s="100"/>
      <c r="M975" s="100"/>
      <c r="N975" s="98"/>
      <c r="Q975" s="93"/>
    </row>
    <row r="976">
      <c r="L976" s="100"/>
      <c r="M976" s="100"/>
      <c r="N976" s="98"/>
      <c r="Q976" s="93"/>
    </row>
    <row r="977">
      <c r="L977" s="100"/>
      <c r="M977" s="100"/>
      <c r="N977" s="98"/>
      <c r="Q977" s="93"/>
    </row>
    <row r="978">
      <c r="L978" s="100"/>
      <c r="M978" s="100"/>
      <c r="N978" s="98"/>
      <c r="Q978" s="93"/>
    </row>
    <row r="979">
      <c r="L979" s="100"/>
      <c r="M979" s="100"/>
      <c r="N979" s="98"/>
      <c r="Q979" s="93"/>
    </row>
    <row r="980">
      <c r="L980" s="100"/>
      <c r="M980" s="100"/>
      <c r="N980" s="98"/>
      <c r="Q980" s="93"/>
    </row>
    <row r="981">
      <c r="L981" s="100"/>
      <c r="M981" s="100"/>
      <c r="N981" s="98"/>
      <c r="Q981" s="93"/>
    </row>
    <row r="982">
      <c r="L982" s="100"/>
      <c r="M982" s="100"/>
      <c r="N982" s="98"/>
      <c r="Q982" s="93"/>
    </row>
    <row r="983">
      <c r="L983" s="100"/>
      <c r="M983" s="100"/>
      <c r="N983" s="98"/>
      <c r="Q983" s="93"/>
    </row>
    <row r="984">
      <c r="L984" s="100"/>
      <c r="M984" s="100"/>
      <c r="N984" s="98"/>
      <c r="Q984" s="93"/>
    </row>
    <row r="985">
      <c r="L985" s="100"/>
      <c r="M985" s="100"/>
      <c r="N985" s="98"/>
      <c r="Q985" s="93"/>
    </row>
    <row r="986">
      <c r="L986" s="100"/>
      <c r="M986" s="100"/>
      <c r="N986" s="98"/>
      <c r="Q986" s="93"/>
    </row>
    <row r="987">
      <c r="L987" s="100"/>
      <c r="M987" s="100"/>
      <c r="N987" s="98"/>
      <c r="Q987" s="93"/>
    </row>
    <row r="988">
      <c r="L988" s="100"/>
      <c r="M988" s="100"/>
      <c r="N988" s="98"/>
      <c r="Q988" s="93"/>
    </row>
    <row r="989">
      <c r="L989" s="100"/>
      <c r="M989" s="100"/>
      <c r="N989" s="98"/>
      <c r="Q989" s="93"/>
    </row>
    <row r="990">
      <c r="L990" s="100"/>
      <c r="M990" s="100"/>
      <c r="N990" s="98"/>
      <c r="Q990" s="93"/>
    </row>
    <row r="991">
      <c r="L991" s="100"/>
      <c r="M991" s="100"/>
      <c r="N991" s="98"/>
      <c r="Q991" s="93"/>
    </row>
    <row r="992">
      <c r="L992" s="100"/>
      <c r="M992" s="100"/>
      <c r="N992" s="98"/>
      <c r="Q992" s="93"/>
    </row>
    <row r="993">
      <c r="L993" s="100"/>
      <c r="M993" s="100"/>
      <c r="N993" s="98"/>
      <c r="Q993" s="93"/>
    </row>
    <row r="994">
      <c r="L994" s="100"/>
      <c r="M994" s="100"/>
      <c r="N994" s="98"/>
      <c r="Q994" s="93"/>
    </row>
    <row r="995">
      <c r="L995" s="100"/>
      <c r="M995" s="100"/>
      <c r="N995" s="98"/>
      <c r="Q995" s="93"/>
    </row>
    <row r="996">
      <c r="L996" s="100"/>
      <c r="M996" s="100"/>
      <c r="N996" s="98"/>
      <c r="Q996" s="93"/>
    </row>
    <row r="997">
      <c r="L997" s="100"/>
      <c r="M997" s="100"/>
      <c r="N997" s="98"/>
      <c r="Q997" s="93"/>
    </row>
    <row r="998">
      <c r="L998" s="100"/>
      <c r="M998" s="100"/>
      <c r="N998" s="98"/>
      <c r="Q998" s="93"/>
    </row>
    <row r="999">
      <c r="L999" s="100"/>
      <c r="M999" s="100"/>
      <c r="N999" s="98"/>
      <c r="Q999" s="93"/>
    </row>
    <row r="1000">
      <c r="L1000" s="100"/>
      <c r="M1000" s="100"/>
      <c r="N1000" s="98"/>
      <c r="Q1000" s="93"/>
    </row>
    <row r="1001">
      <c r="L1001" s="100"/>
      <c r="M1001" s="100"/>
      <c r="N1001" s="98"/>
      <c r="Q1001" s="93"/>
    </row>
    <row r="1002">
      <c r="L1002" s="100"/>
      <c r="M1002" s="100"/>
      <c r="N1002" s="98"/>
      <c r="Q1002" s="93"/>
    </row>
    <row r="1003">
      <c r="L1003" s="100"/>
      <c r="M1003" s="100"/>
      <c r="N1003" s="98"/>
      <c r="Q1003" s="93"/>
    </row>
    <row r="1004">
      <c r="L1004" s="100"/>
      <c r="M1004" s="100"/>
      <c r="N1004" s="98"/>
      <c r="Q1004" s="93"/>
    </row>
    <row r="1005">
      <c r="L1005" s="100"/>
      <c r="M1005" s="100"/>
      <c r="N1005" s="98"/>
      <c r="Q1005" s="93"/>
    </row>
    <row r="1006">
      <c r="L1006" s="100"/>
      <c r="M1006" s="100"/>
      <c r="N1006" s="98"/>
      <c r="Q1006" s="93"/>
    </row>
    <row r="1007">
      <c r="L1007" s="100"/>
      <c r="M1007" s="100"/>
      <c r="N1007" s="98"/>
      <c r="Q1007" s="93"/>
    </row>
    <row r="1008">
      <c r="L1008" s="100"/>
      <c r="M1008" s="100"/>
      <c r="N1008" s="98"/>
      <c r="Q1008" s="93"/>
    </row>
    <row r="1009">
      <c r="L1009" s="100"/>
      <c r="M1009" s="100"/>
      <c r="N1009" s="98"/>
      <c r="Q1009" s="93"/>
    </row>
    <row r="1010">
      <c r="L1010" s="100"/>
      <c r="M1010" s="100"/>
      <c r="N1010" s="98"/>
      <c r="Q1010" s="93"/>
    </row>
    <row r="1011">
      <c r="L1011" s="100"/>
      <c r="M1011" s="100"/>
      <c r="N1011" s="98"/>
      <c r="Q1011" s="93"/>
    </row>
    <row r="1012">
      <c r="L1012" s="100"/>
      <c r="M1012" s="100"/>
      <c r="N1012" s="98"/>
      <c r="Q1012" s="93"/>
    </row>
    <row r="1013">
      <c r="L1013" s="100"/>
      <c r="M1013" s="100"/>
      <c r="N1013" s="98"/>
      <c r="Q1013" s="93"/>
    </row>
    <row r="1014">
      <c r="L1014" s="100"/>
      <c r="M1014" s="100"/>
      <c r="N1014" s="98"/>
      <c r="Q1014" s="9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>
      <c r="A1" s="1" t="s">
        <v>108</v>
      </c>
      <c r="B1" s="102">
        <f>'output for phase 1'!A21</f>
        <v>413112.3059</v>
      </c>
      <c r="E1" s="1" t="s">
        <v>109</v>
      </c>
      <c r="F1" s="1">
        <v>86.1</v>
      </c>
    </row>
    <row r="2">
      <c r="A2" s="1" t="s">
        <v>110</v>
      </c>
      <c r="B2" s="102">
        <f>'output for phase 1'!B21</f>
        <v>826224.6117</v>
      </c>
      <c r="E2" s="1" t="s">
        <v>111</v>
      </c>
      <c r="F2" s="1">
        <v>84.5</v>
      </c>
    </row>
    <row r="3">
      <c r="A3" s="1" t="s">
        <v>112</v>
      </c>
      <c r="B3" s="102">
        <f>'output for phase 1'!C21</f>
        <v>1574701.453</v>
      </c>
      <c r="E3" s="1" t="s">
        <v>113</v>
      </c>
      <c r="F3" s="1">
        <v>87.7</v>
      </c>
    </row>
    <row r="4">
      <c r="A4" s="1" t="s">
        <v>114</v>
      </c>
      <c r="B4" s="103">
        <f>max(questions!C8-65,21)</f>
        <v>21</v>
      </c>
    </row>
    <row r="5">
      <c r="A5" s="1" t="s">
        <v>115</v>
      </c>
      <c r="B5" s="1" t="s">
        <v>108</v>
      </c>
      <c r="C5" s="1" t="s">
        <v>110</v>
      </c>
      <c r="D5" s="1" t="s">
        <v>112</v>
      </c>
    </row>
    <row r="6">
      <c r="B6" s="102">
        <f>B1/B4/12</f>
        <v>1639.334547</v>
      </c>
      <c r="C6" s="102">
        <f>B2/B4/12</f>
        <v>3278.669094</v>
      </c>
      <c r="D6" s="102">
        <f>B3/B4/12</f>
        <v>6248.815291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</cols>
  <sheetData>
    <row r="1">
      <c r="A1" s="1" t="s">
        <v>116</v>
      </c>
      <c r="B1" s="102">
        <f>'output for phase 1'!B17</f>
        <v>558167.7431</v>
      </c>
      <c r="G1" s="1"/>
    </row>
    <row r="2">
      <c r="A2" s="1" t="s">
        <v>117</v>
      </c>
      <c r="B2" s="102">
        <f>'output for phase 1'!C17</f>
        <v>1116335.486</v>
      </c>
    </row>
    <row r="3">
      <c r="A3" s="1" t="s">
        <v>118</v>
      </c>
      <c r="B3" s="102">
        <f>'output for phase 1'!C21</f>
        <v>1574701.453</v>
      </c>
    </row>
    <row r="4">
      <c r="A4" s="1" t="s">
        <v>119</v>
      </c>
      <c r="B4" s="104">
        <f>calculations!Y3</f>
        <v>8640.232</v>
      </c>
    </row>
    <row r="5">
      <c r="A5" s="1" t="s">
        <v>120</v>
      </c>
      <c r="B5" s="104">
        <f t="array" ref="B5">max(B4-20000,XLOOKUP(23000,calculations!Y:Y,calculations!Y:Y,0,1)-20000)</f>
        <v>4112.808979</v>
      </c>
    </row>
    <row r="6">
      <c r="A6" s="1" t="s">
        <v>121</v>
      </c>
      <c r="B6" s="105">
        <f t="array" ref="B6">max(questions!C2,XLOOKUP(23000,calculations!Y:Y,calculations!B:B,0,1))</f>
        <v>28.33</v>
      </c>
    </row>
    <row r="7">
      <c r="A7" s="1" t="s">
        <v>122</v>
      </c>
      <c r="B7" s="99">
        <v>0.0927</v>
      </c>
      <c r="C7" s="1" t="s">
        <v>123</v>
      </c>
      <c r="D7" s="1" t="s">
        <v>124</v>
      </c>
      <c r="E7" s="1" t="s">
        <v>125</v>
      </c>
    </row>
    <row r="8">
      <c r="C8" s="106">
        <v>0.05</v>
      </c>
      <c r="D8" s="106">
        <v>0.0651</v>
      </c>
      <c r="E8" s="106">
        <v>0.0783</v>
      </c>
    </row>
    <row r="9">
      <c r="D9" s="1"/>
    </row>
    <row r="10">
      <c r="B10" s="1" t="s">
        <v>126</v>
      </c>
    </row>
    <row r="11">
      <c r="A11" s="1" t="s">
        <v>127</v>
      </c>
      <c r="B11" s="103">
        <f>roundup(max(PMT(B7/12, (55-B6)*12, B5, -'output for phase 1'!C17+'output for phase 1'!B9),100),-2)</f>
        <v>400</v>
      </c>
      <c r="C11" s="103">
        <f>roundup(max(PMT(C$8/12, (55-$B$6)*12, $B$5, -'output for phase 1'!$C$17+'output for phase 1'!$B$9),100),-2)</f>
        <v>900</v>
      </c>
      <c r="D11" s="103">
        <f>roundup(max(PMT(D$8/12, (55-$B$6)*12, $B$5, -'output for phase 1'!$C$17+'output for phase 1'!$B$9),100),-2)</f>
        <v>700</v>
      </c>
      <c r="E11" s="103">
        <f>roundup(max(PMT(E$8/12, (55-$B$6)*12, $B$5, -'output for phase 1'!$C$17+'output for phase 1'!$B$9),100),-2)</f>
        <v>500</v>
      </c>
    </row>
    <row r="12">
      <c r="A12" s="1" t="s">
        <v>128</v>
      </c>
      <c r="B12" s="103">
        <f>roundup(max(PMT(B7/12, (55-B6)*12, B5, -'output for phase 1'!C21+'output for phase 1'!B9),100),-2)</f>
        <v>800</v>
      </c>
    </row>
    <row r="13">
      <c r="A13" s="1" t="s">
        <v>129</v>
      </c>
      <c r="B13" s="103">
        <f>roundup(max(PMT(B7/12, (65-B6)*12, B5, -'output for phase 1'!C21+'output for phase 1'!B9),100),-2)</f>
        <v>300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5" max="5" width="20.5"/>
    <col customWidth="1" min="8" max="8" width="19.13"/>
  </cols>
  <sheetData>
    <row r="1">
      <c r="A1" s="1" t="s">
        <v>130</v>
      </c>
      <c r="B1" s="1">
        <v>65.0</v>
      </c>
      <c r="E1" s="1" t="s">
        <v>131</v>
      </c>
    </row>
    <row r="2">
      <c r="A2" s="1" t="s">
        <v>22</v>
      </c>
      <c r="B2" s="1">
        <v>90.0</v>
      </c>
      <c r="E2" s="1" t="s">
        <v>132</v>
      </c>
      <c r="F2" s="102">
        <f>SUM(F10:F500)</f>
        <v>2003963.559</v>
      </c>
    </row>
    <row r="3">
      <c r="A3" s="1" t="s">
        <v>133</v>
      </c>
      <c r="B3" s="99">
        <v>0.019</v>
      </c>
      <c r="E3" s="1" t="s">
        <v>134</v>
      </c>
      <c r="F3" s="102">
        <f>SUM(G10:G500)</f>
        <v>1993142.69</v>
      </c>
    </row>
    <row r="4">
      <c r="A4" s="1" t="s">
        <v>135</v>
      </c>
      <c r="B4" s="102">
        <f>'life payout table comparison'!L10</f>
        <v>8361.628713</v>
      </c>
    </row>
    <row r="5">
      <c r="A5" s="1" t="s">
        <v>136</v>
      </c>
      <c r="B5" s="102">
        <f>'life payout table comparison'!M10</f>
        <v>6613.746104</v>
      </c>
    </row>
    <row r="9">
      <c r="A9" s="1" t="s">
        <v>137</v>
      </c>
      <c r="B9" s="1" t="s">
        <v>138</v>
      </c>
      <c r="C9" s="1" t="s">
        <v>139</v>
      </c>
      <c r="D9" s="1" t="s">
        <v>140</v>
      </c>
      <c r="E9" s="1" t="s">
        <v>141</v>
      </c>
      <c r="F9" s="1" t="s">
        <v>142</v>
      </c>
      <c r="G9" s="1" t="s">
        <v>143</v>
      </c>
    </row>
    <row r="10">
      <c r="A10" s="1">
        <v>0.0</v>
      </c>
      <c r="B10" s="1">
        <v>65.0</v>
      </c>
      <c r="C10" s="102">
        <f t="shared" ref="C10:C431" si="1">IF(B10&lt;$B$2,$B$4,0)</f>
        <v>8361.628713</v>
      </c>
      <c r="D10" s="102">
        <f>B5</f>
        <v>6613.746104</v>
      </c>
      <c r="E10" s="103">
        <f>1/(1+$B$3/12)^INT(A10/12)</f>
        <v>1</v>
      </c>
      <c r="F10" s="102">
        <f t="shared" ref="F10:F431" si="2">C10*E10</f>
        <v>8361.628713</v>
      </c>
      <c r="G10" s="102">
        <f t="shared" ref="G10:G431" si="3">D10*E10</f>
        <v>6613.746104</v>
      </c>
    </row>
    <row r="11">
      <c r="A11" s="103">
        <f t="shared" ref="A11:A431" si="4">A10+1</f>
        <v>1</v>
      </c>
      <c r="B11" s="103">
        <f t="shared" ref="B11:B431" si="5">B10+1/12</f>
        <v>65.08333333</v>
      </c>
      <c r="C11" s="102">
        <f t="shared" si="1"/>
        <v>8361.628713</v>
      </c>
      <c r="D11" s="102">
        <f t="shared" ref="D11:D431" si="6">IF(B11&lt;$B$2,$B$5*(1.02)^INT((A11)/12),0)</f>
        <v>6613.746104</v>
      </c>
      <c r="E11" s="103">
        <f t="shared" ref="E11:E431" si="7">1/(1+$B$3/12)^A11</f>
        <v>0.9984191696</v>
      </c>
      <c r="F11" s="102">
        <f t="shared" si="2"/>
        <v>8348.410396</v>
      </c>
      <c r="G11" s="102">
        <f t="shared" si="3"/>
        <v>6603.290893</v>
      </c>
    </row>
    <row r="12">
      <c r="A12" s="103">
        <f t="shared" si="4"/>
        <v>2</v>
      </c>
      <c r="B12" s="103">
        <f t="shared" si="5"/>
        <v>65.16666667</v>
      </c>
      <c r="C12" s="102">
        <f t="shared" si="1"/>
        <v>8361.628713</v>
      </c>
      <c r="D12" s="102">
        <f t="shared" si="6"/>
        <v>6613.746104</v>
      </c>
      <c r="E12" s="103">
        <f t="shared" si="7"/>
        <v>0.9968408383</v>
      </c>
      <c r="F12" s="102">
        <f t="shared" si="2"/>
        <v>8335.212976</v>
      </c>
      <c r="G12" s="102">
        <f t="shared" si="3"/>
        <v>6592.85221</v>
      </c>
    </row>
    <row r="13">
      <c r="A13" s="103">
        <f t="shared" si="4"/>
        <v>3</v>
      </c>
      <c r="B13" s="103">
        <f t="shared" si="5"/>
        <v>65.25</v>
      </c>
      <c r="C13" s="102">
        <f t="shared" si="1"/>
        <v>8361.628713</v>
      </c>
      <c r="D13" s="102">
        <f t="shared" si="6"/>
        <v>6613.746104</v>
      </c>
      <c r="E13" s="103">
        <f t="shared" si="7"/>
        <v>0.9952650021</v>
      </c>
      <c r="F13" s="102">
        <f t="shared" si="2"/>
        <v>8322.036418</v>
      </c>
      <c r="G13" s="102">
        <f t="shared" si="3"/>
        <v>6582.43003</v>
      </c>
    </row>
    <row r="14">
      <c r="A14" s="103">
        <f t="shared" si="4"/>
        <v>4</v>
      </c>
      <c r="B14" s="103">
        <f t="shared" si="5"/>
        <v>65.33333333</v>
      </c>
      <c r="C14" s="102">
        <f t="shared" si="1"/>
        <v>8361.628713</v>
      </c>
      <c r="D14" s="102">
        <f t="shared" si="6"/>
        <v>6613.746104</v>
      </c>
      <c r="E14" s="103">
        <f t="shared" si="7"/>
        <v>0.9936916569</v>
      </c>
      <c r="F14" s="102">
        <f t="shared" si="2"/>
        <v>8308.88069</v>
      </c>
      <c r="G14" s="102">
        <f t="shared" si="3"/>
        <v>6572.024324</v>
      </c>
    </row>
    <row r="15">
      <c r="A15" s="103">
        <f t="shared" si="4"/>
        <v>5</v>
      </c>
      <c r="B15" s="103">
        <f t="shared" si="5"/>
        <v>65.41666667</v>
      </c>
      <c r="C15" s="102">
        <f t="shared" si="1"/>
        <v>8361.628713</v>
      </c>
      <c r="D15" s="102">
        <f t="shared" si="6"/>
        <v>6613.746104</v>
      </c>
      <c r="E15" s="103">
        <f t="shared" si="7"/>
        <v>0.992120799</v>
      </c>
      <c r="F15" s="102">
        <f t="shared" si="2"/>
        <v>8295.745759</v>
      </c>
      <c r="G15" s="102">
        <f t="shared" si="3"/>
        <v>6561.635069</v>
      </c>
    </row>
    <row r="16">
      <c r="A16" s="103">
        <f t="shared" si="4"/>
        <v>6</v>
      </c>
      <c r="B16" s="103">
        <f t="shared" si="5"/>
        <v>65.5</v>
      </c>
      <c r="C16" s="102">
        <f t="shared" si="1"/>
        <v>8361.628713</v>
      </c>
      <c r="D16" s="102">
        <f t="shared" si="6"/>
        <v>6613.746104</v>
      </c>
      <c r="E16" s="103">
        <f t="shared" si="7"/>
        <v>0.9905524243</v>
      </c>
      <c r="F16" s="102">
        <f t="shared" si="2"/>
        <v>8282.631593</v>
      </c>
      <c r="G16" s="102">
        <f t="shared" si="3"/>
        <v>6551.262237</v>
      </c>
    </row>
    <row r="17">
      <c r="A17" s="103">
        <f t="shared" si="4"/>
        <v>7</v>
      </c>
      <c r="B17" s="103">
        <f t="shared" si="5"/>
        <v>65.58333333</v>
      </c>
      <c r="C17" s="102">
        <f t="shared" si="1"/>
        <v>8361.628713</v>
      </c>
      <c r="D17" s="102">
        <f t="shared" si="6"/>
        <v>6613.746104</v>
      </c>
      <c r="E17" s="103">
        <f t="shared" si="7"/>
        <v>0.988986529</v>
      </c>
      <c r="F17" s="102">
        <f t="shared" si="2"/>
        <v>8269.538157</v>
      </c>
      <c r="G17" s="102">
        <f t="shared" si="3"/>
        <v>6540.905803</v>
      </c>
    </row>
    <row r="18">
      <c r="A18" s="103">
        <f t="shared" si="4"/>
        <v>8</v>
      </c>
      <c r="B18" s="103">
        <f t="shared" si="5"/>
        <v>65.66666667</v>
      </c>
      <c r="C18" s="102">
        <f t="shared" si="1"/>
        <v>8361.628713</v>
      </c>
      <c r="D18" s="102">
        <f t="shared" si="6"/>
        <v>6613.746104</v>
      </c>
      <c r="E18" s="103">
        <f t="shared" si="7"/>
        <v>0.9874231091</v>
      </c>
      <c r="F18" s="102">
        <f t="shared" si="2"/>
        <v>8256.46542</v>
      </c>
      <c r="G18" s="102">
        <f t="shared" si="3"/>
        <v>6530.56574</v>
      </c>
    </row>
    <row r="19">
      <c r="A19" s="103">
        <f t="shared" si="4"/>
        <v>9</v>
      </c>
      <c r="B19" s="103">
        <f t="shared" si="5"/>
        <v>65.75</v>
      </c>
      <c r="C19" s="102">
        <f t="shared" si="1"/>
        <v>8361.628713</v>
      </c>
      <c r="D19" s="102">
        <f t="shared" si="6"/>
        <v>6613.746104</v>
      </c>
      <c r="E19" s="103">
        <f t="shared" si="7"/>
        <v>0.9858621607</v>
      </c>
      <c r="F19" s="102">
        <f t="shared" si="2"/>
        <v>8243.413349</v>
      </c>
      <c r="G19" s="102">
        <f t="shared" si="3"/>
        <v>6520.242024</v>
      </c>
    </row>
    <row r="20">
      <c r="A20" s="103">
        <f t="shared" si="4"/>
        <v>10</v>
      </c>
      <c r="B20" s="103">
        <f t="shared" si="5"/>
        <v>65.83333333</v>
      </c>
      <c r="C20" s="102">
        <f t="shared" si="1"/>
        <v>8361.628713</v>
      </c>
      <c r="D20" s="102">
        <f t="shared" si="6"/>
        <v>6613.746104</v>
      </c>
      <c r="E20" s="103">
        <f t="shared" si="7"/>
        <v>0.9843036798</v>
      </c>
      <c r="F20" s="102">
        <f t="shared" si="2"/>
        <v>8230.381911</v>
      </c>
      <c r="G20" s="102">
        <f t="shared" si="3"/>
        <v>6509.934627</v>
      </c>
    </row>
    <row r="21">
      <c r="A21" s="103">
        <f t="shared" si="4"/>
        <v>11</v>
      </c>
      <c r="B21" s="103">
        <f t="shared" si="5"/>
        <v>65.91666667</v>
      </c>
      <c r="C21" s="102">
        <f t="shared" si="1"/>
        <v>8361.628713</v>
      </c>
      <c r="D21" s="102">
        <f t="shared" si="6"/>
        <v>6613.746104</v>
      </c>
      <c r="E21" s="103">
        <f t="shared" si="7"/>
        <v>0.9827476627</v>
      </c>
      <c r="F21" s="102">
        <f t="shared" si="2"/>
        <v>8217.371074</v>
      </c>
      <c r="G21" s="102">
        <f t="shared" si="3"/>
        <v>6499.643525</v>
      </c>
    </row>
    <row r="22">
      <c r="A22" s="103">
        <f t="shared" si="4"/>
        <v>12</v>
      </c>
      <c r="B22" s="103">
        <f t="shared" si="5"/>
        <v>66</v>
      </c>
      <c r="C22" s="102">
        <f t="shared" si="1"/>
        <v>8361.628713</v>
      </c>
      <c r="D22" s="102">
        <f t="shared" si="6"/>
        <v>6746.021026</v>
      </c>
      <c r="E22" s="103">
        <f t="shared" si="7"/>
        <v>0.9811941054</v>
      </c>
      <c r="F22" s="102">
        <f t="shared" si="2"/>
        <v>8204.380804</v>
      </c>
      <c r="G22" s="102">
        <f t="shared" si="3"/>
        <v>6619.156065</v>
      </c>
    </row>
    <row r="23">
      <c r="A23" s="103">
        <f t="shared" si="4"/>
        <v>13</v>
      </c>
      <c r="B23" s="103">
        <f t="shared" si="5"/>
        <v>66.08333333</v>
      </c>
      <c r="C23" s="102">
        <f t="shared" si="1"/>
        <v>8361.628713</v>
      </c>
      <c r="D23" s="102">
        <f t="shared" si="6"/>
        <v>6746.021026</v>
      </c>
      <c r="E23" s="103">
        <f t="shared" si="7"/>
        <v>0.9796430039</v>
      </c>
      <c r="F23" s="102">
        <f t="shared" si="2"/>
        <v>8191.41107</v>
      </c>
      <c r="G23" s="102">
        <f t="shared" si="3"/>
        <v>6608.692302</v>
      </c>
    </row>
    <row r="24">
      <c r="A24" s="103">
        <f t="shared" si="4"/>
        <v>14</v>
      </c>
      <c r="B24" s="103">
        <f t="shared" si="5"/>
        <v>66.16666667</v>
      </c>
      <c r="C24" s="102">
        <f t="shared" si="1"/>
        <v>8361.628713</v>
      </c>
      <c r="D24" s="102">
        <f t="shared" si="6"/>
        <v>6746.021026</v>
      </c>
      <c r="E24" s="103">
        <f t="shared" si="7"/>
        <v>0.9780943545</v>
      </c>
      <c r="F24" s="102">
        <f t="shared" si="2"/>
        <v>8178.461839</v>
      </c>
      <c r="G24" s="102">
        <f t="shared" si="3"/>
        <v>6598.245081</v>
      </c>
    </row>
    <row r="25">
      <c r="A25" s="103">
        <f t="shared" si="4"/>
        <v>15</v>
      </c>
      <c r="B25" s="103">
        <f t="shared" si="5"/>
        <v>66.25</v>
      </c>
      <c r="C25" s="102">
        <f t="shared" si="1"/>
        <v>8361.628713</v>
      </c>
      <c r="D25" s="102">
        <f t="shared" si="6"/>
        <v>6746.021026</v>
      </c>
      <c r="E25" s="103">
        <f t="shared" si="7"/>
        <v>0.9765481533</v>
      </c>
      <c r="F25" s="102">
        <f t="shared" si="2"/>
        <v>8165.533078</v>
      </c>
      <c r="G25" s="102">
        <f t="shared" si="3"/>
        <v>6587.814375</v>
      </c>
    </row>
    <row r="26">
      <c r="A26" s="103">
        <f t="shared" si="4"/>
        <v>16</v>
      </c>
      <c r="B26" s="103">
        <f t="shared" si="5"/>
        <v>66.33333333</v>
      </c>
      <c r="C26" s="102">
        <f t="shared" si="1"/>
        <v>8361.628713</v>
      </c>
      <c r="D26" s="102">
        <f t="shared" si="6"/>
        <v>6746.021026</v>
      </c>
      <c r="E26" s="103">
        <f t="shared" si="7"/>
        <v>0.9750043963</v>
      </c>
      <c r="F26" s="102">
        <f t="shared" si="2"/>
        <v>8152.624755</v>
      </c>
      <c r="G26" s="102">
        <f t="shared" si="3"/>
        <v>6577.400158</v>
      </c>
    </row>
    <row r="27">
      <c r="A27" s="103">
        <f t="shared" si="4"/>
        <v>17</v>
      </c>
      <c r="B27" s="103">
        <f t="shared" si="5"/>
        <v>66.41666667</v>
      </c>
      <c r="C27" s="102">
        <f t="shared" si="1"/>
        <v>8361.628713</v>
      </c>
      <c r="D27" s="102">
        <f t="shared" si="6"/>
        <v>6746.021026</v>
      </c>
      <c r="E27" s="103">
        <f t="shared" si="7"/>
        <v>0.9734630798</v>
      </c>
      <c r="F27" s="102">
        <f t="shared" si="2"/>
        <v>8139.736839</v>
      </c>
      <c r="G27" s="102">
        <f t="shared" si="3"/>
        <v>6567.002404</v>
      </c>
    </row>
    <row r="28">
      <c r="A28" s="103">
        <f t="shared" si="4"/>
        <v>18</v>
      </c>
      <c r="B28" s="103">
        <f t="shared" si="5"/>
        <v>66.5</v>
      </c>
      <c r="C28" s="102">
        <f t="shared" si="1"/>
        <v>8361.628713</v>
      </c>
      <c r="D28" s="102">
        <f t="shared" si="6"/>
        <v>6746.021026</v>
      </c>
      <c r="E28" s="103">
        <f t="shared" si="7"/>
        <v>0.9719241998</v>
      </c>
      <c r="F28" s="102">
        <f t="shared" si="2"/>
        <v>8126.869296</v>
      </c>
      <c r="G28" s="102">
        <f t="shared" si="3"/>
        <v>6556.621087</v>
      </c>
    </row>
    <row r="29">
      <c r="A29" s="103">
        <f t="shared" si="4"/>
        <v>19</v>
      </c>
      <c r="B29" s="103">
        <f t="shared" si="5"/>
        <v>66.58333333</v>
      </c>
      <c r="C29" s="102">
        <f t="shared" si="1"/>
        <v>8361.628713</v>
      </c>
      <c r="D29" s="102">
        <f t="shared" si="6"/>
        <v>6746.021026</v>
      </c>
      <c r="E29" s="103">
        <f t="shared" si="7"/>
        <v>0.9703877525</v>
      </c>
      <c r="F29" s="102">
        <f t="shared" si="2"/>
        <v>8114.022094</v>
      </c>
      <c r="G29" s="102">
        <f t="shared" si="3"/>
        <v>6546.256182</v>
      </c>
    </row>
    <row r="30">
      <c r="A30" s="103">
        <f t="shared" si="4"/>
        <v>20</v>
      </c>
      <c r="B30" s="103">
        <f t="shared" si="5"/>
        <v>66.66666667</v>
      </c>
      <c r="C30" s="102">
        <f t="shared" si="1"/>
        <v>8361.628713</v>
      </c>
      <c r="D30" s="102">
        <f t="shared" si="6"/>
        <v>6746.021026</v>
      </c>
      <c r="E30" s="103">
        <f t="shared" si="7"/>
        <v>0.9688537341</v>
      </c>
      <c r="F30" s="102">
        <f t="shared" si="2"/>
        <v>8101.195202</v>
      </c>
      <c r="G30" s="102">
        <f t="shared" si="3"/>
        <v>6535.907661</v>
      </c>
    </row>
    <row r="31">
      <c r="A31" s="103">
        <f t="shared" si="4"/>
        <v>21</v>
      </c>
      <c r="B31" s="103">
        <f t="shared" si="5"/>
        <v>66.75</v>
      </c>
      <c r="C31" s="102">
        <f t="shared" si="1"/>
        <v>8361.628713</v>
      </c>
      <c r="D31" s="102">
        <f t="shared" si="6"/>
        <v>6746.021026</v>
      </c>
      <c r="E31" s="103">
        <f t="shared" si="7"/>
        <v>0.9673221407</v>
      </c>
      <c r="F31" s="102">
        <f t="shared" si="2"/>
        <v>8088.388586</v>
      </c>
      <c r="G31" s="102">
        <f t="shared" si="3"/>
        <v>6525.5755</v>
      </c>
    </row>
    <row r="32">
      <c r="A32" s="103">
        <f t="shared" si="4"/>
        <v>22</v>
      </c>
      <c r="B32" s="103">
        <f t="shared" si="5"/>
        <v>66.83333333</v>
      </c>
      <c r="C32" s="102">
        <f t="shared" si="1"/>
        <v>8361.628713</v>
      </c>
      <c r="D32" s="102">
        <f t="shared" si="6"/>
        <v>6746.021026</v>
      </c>
      <c r="E32" s="103">
        <f t="shared" si="7"/>
        <v>0.9657929685</v>
      </c>
      <c r="F32" s="102">
        <f t="shared" si="2"/>
        <v>8075.602216</v>
      </c>
      <c r="G32" s="102">
        <f t="shared" si="3"/>
        <v>6515.259672</v>
      </c>
    </row>
    <row r="33">
      <c r="A33" s="103">
        <f t="shared" si="4"/>
        <v>23</v>
      </c>
      <c r="B33" s="103">
        <f t="shared" si="5"/>
        <v>66.91666667</v>
      </c>
      <c r="C33" s="102">
        <f t="shared" si="1"/>
        <v>8361.628713</v>
      </c>
      <c r="D33" s="102">
        <f t="shared" si="6"/>
        <v>6746.021026</v>
      </c>
      <c r="E33" s="103">
        <f t="shared" si="7"/>
        <v>0.9642662137</v>
      </c>
      <c r="F33" s="102">
        <f t="shared" si="2"/>
        <v>8062.836059</v>
      </c>
      <c r="G33" s="102">
        <f t="shared" si="3"/>
        <v>6504.960152</v>
      </c>
    </row>
    <row r="34">
      <c r="A34" s="103">
        <f t="shared" si="4"/>
        <v>24</v>
      </c>
      <c r="B34" s="103">
        <f t="shared" si="5"/>
        <v>67</v>
      </c>
      <c r="C34" s="102">
        <f t="shared" si="1"/>
        <v>8361.628713</v>
      </c>
      <c r="D34" s="102">
        <f t="shared" si="6"/>
        <v>6880.941446</v>
      </c>
      <c r="E34" s="103">
        <f t="shared" si="7"/>
        <v>0.9627418724</v>
      </c>
      <c r="F34" s="102">
        <f t="shared" si="2"/>
        <v>8050.090083</v>
      </c>
      <c r="G34" s="102">
        <f t="shared" si="3"/>
        <v>6624.570452</v>
      </c>
    </row>
    <row r="35">
      <c r="A35" s="103">
        <f t="shared" si="4"/>
        <v>25</v>
      </c>
      <c r="B35" s="103">
        <f t="shared" si="5"/>
        <v>67.08333333</v>
      </c>
      <c r="C35" s="102">
        <f t="shared" si="1"/>
        <v>8361.628713</v>
      </c>
      <c r="D35" s="102">
        <f t="shared" si="6"/>
        <v>6880.941446</v>
      </c>
      <c r="E35" s="103">
        <f t="shared" si="7"/>
        <v>0.9612199408</v>
      </c>
      <c r="F35" s="102">
        <f t="shared" si="2"/>
        <v>8037.364256</v>
      </c>
      <c r="G35" s="102">
        <f t="shared" si="3"/>
        <v>6614.09813</v>
      </c>
    </row>
    <row r="36">
      <c r="A36" s="103">
        <f t="shared" si="4"/>
        <v>26</v>
      </c>
      <c r="B36" s="103">
        <f t="shared" si="5"/>
        <v>67.16666667</v>
      </c>
      <c r="C36" s="102">
        <f t="shared" si="1"/>
        <v>8361.628713</v>
      </c>
      <c r="D36" s="102">
        <f t="shared" si="6"/>
        <v>6880.941446</v>
      </c>
      <c r="E36" s="103">
        <f t="shared" si="7"/>
        <v>0.9597004152</v>
      </c>
      <c r="F36" s="102">
        <f t="shared" si="2"/>
        <v>8024.658547</v>
      </c>
      <c r="G36" s="102">
        <f t="shared" si="3"/>
        <v>6603.642363</v>
      </c>
    </row>
    <row r="37">
      <c r="A37" s="103">
        <f t="shared" si="4"/>
        <v>27</v>
      </c>
      <c r="B37" s="103">
        <f t="shared" si="5"/>
        <v>67.25</v>
      </c>
      <c r="C37" s="102">
        <f t="shared" si="1"/>
        <v>8361.628713</v>
      </c>
      <c r="D37" s="102">
        <f t="shared" si="6"/>
        <v>6880.941446</v>
      </c>
      <c r="E37" s="103">
        <f t="shared" si="7"/>
        <v>0.9581832916</v>
      </c>
      <c r="F37" s="102">
        <f t="shared" si="2"/>
        <v>8011.972923</v>
      </c>
      <c r="G37" s="102">
        <f t="shared" si="3"/>
        <v>6593.203125</v>
      </c>
    </row>
    <row r="38">
      <c r="A38" s="103">
        <f t="shared" si="4"/>
        <v>28</v>
      </c>
      <c r="B38" s="103">
        <f t="shared" si="5"/>
        <v>67.33333333</v>
      </c>
      <c r="C38" s="102">
        <f t="shared" si="1"/>
        <v>8361.628713</v>
      </c>
      <c r="D38" s="102">
        <f t="shared" si="6"/>
        <v>6880.941446</v>
      </c>
      <c r="E38" s="103">
        <f t="shared" si="7"/>
        <v>0.9566685664</v>
      </c>
      <c r="F38" s="102">
        <f t="shared" si="2"/>
        <v>7999.307353</v>
      </c>
      <c r="G38" s="102">
        <f t="shared" si="3"/>
        <v>6582.780389</v>
      </c>
    </row>
    <row r="39">
      <c r="A39" s="103">
        <f t="shared" si="4"/>
        <v>29</v>
      </c>
      <c r="B39" s="103">
        <f t="shared" si="5"/>
        <v>67.41666667</v>
      </c>
      <c r="C39" s="102">
        <f t="shared" si="1"/>
        <v>8361.628713</v>
      </c>
      <c r="D39" s="102">
        <f t="shared" si="6"/>
        <v>6880.941446</v>
      </c>
      <c r="E39" s="103">
        <f t="shared" si="7"/>
        <v>0.9551562357</v>
      </c>
      <c r="F39" s="102">
        <f t="shared" si="2"/>
        <v>7986.661805</v>
      </c>
      <c r="G39" s="102">
        <f t="shared" si="3"/>
        <v>6572.37413</v>
      </c>
    </row>
    <row r="40">
      <c r="A40" s="103">
        <f t="shared" si="4"/>
        <v>30</v>
      </c>
      <c r="B40" s="103">
        <f t="shared" si="5"/>
        <v>67.5</v>
      </c>
      <c r="C40" s="102">
        <f t="shared" si="1"/>
        <v>8361.628713</v>
      </c>
      <c r="D40" s="102">
        <f t="shared" si="6"/>
        <v>6880.941446</v>
      </c>
      <c r="E40" s="103">
        <f t="shared" si="7"/>
        <v>0.9536462957</v>
      </c>
      <c r="F40" s="102">
        <f t="shared" si="2"/>
        <v>7974.036248</v>
      </c>
      <c r="G40" s="102">
        <f t="shared" si="3"/>
        <v>6561.984321</v>
      </c>
    </row>
    <row r="41">
      <c r="A41" s="103">
        <f t="shared" si="4"/>
        <v>31</v>
      </c>
      <c r="B41" s="103">
        <f t="shared" si="5"/>
        <v>67.58333333</v>
      </c>
      <c r="C41" s="102">
        <f t="shared" si="1"/>
        <v>8361.628713</v>
      </c>
      <c r="D41" s="102">
        <f t="shared" si="6"/>
        <v>6880.941446</v>
      </c>
      <c r="E41" s="103">
        <f t="shared" si="7"/>
        <v>0.9521387427</v>
      </c>
      <c r="F41" s="102">
        <f t="shared" si="2"/>
        <v>7961.430649</v>
      </c>
      <c r="G41" s="102">
        <f t="shared" si="3"/>
        <v>6551.610937</v>
      </c>
    </row>
    <row r="42">
      <c r="A42" s="103">
        <f t="shared" si="4"/>
        <v>32</v>
      </c>
      <c r="B42" s="103">
        <f t="shared" si="5"/>
        <v>67.66666667</v>
      </c>
      <c r="C42" s="102">
        <f t="shared" si="1"/>
        <v>8361.628713</v>
      </c>
      <c r="D42" s="102">
        <f t="shared" si="6"/>
        <v>6880.941446</v>
      </c>
      <c r="E42" s="103">
        <f t="shared" si="7"/>
        <v>0.9506335729</v>
      </c>
      <c r="F42" s="102">
        <f t="shared" si="2"/>
        <v>7948.844978</v>
      </c>
      <c r="G42" s="102">
        <f t="shared" si="3"/>
        <v>6541.253952</v>
      </c>
    </row>
    <row r="43">
      <c r="A43" s="103">
        <f t="shared" si="4"/>
        <v>33</v>
      </c>
      <c r="B43" s="103">
        <f t="shared" si="5"/>
        <v>67.75</v>
      </c>
      <c r="C43" s="102">
        <f t="shared" si="1"/>
        <v>8361.628713</v>
      </c>
      <c r="D43" s="102">
        <f t="shared" si="6"/>
        <v>6880.941446</v>
      </c>
      <c r="E43" s="103">
        <f t="shared" si="7"/>
        <v>0.9491307825</v>
      </c>
      <c r="F43" s="102">
        <f t="shared" si="2"/>
        <v>7936.279203</v>
      </c>
      <c r="G43" s="102">
        <f t="shared" si="3"/>
        <v>6530.913339</v>
      </c>
    </row>
    <row r="44">
      <c r="A44" s="103">
        <f t="shared" si="4"/>
        <v>34</v>
      </c>
      <c r="B44" s="103">
        <f t="shared" si="5"/>
        <v>67.83333333</v>
      </c>
      <c r="C44" s="102">
        <f t="shared" si="1"/>
        <v>8361.628713</v>
      </c>
      <c r="D44" s="102">
        <f t="shared" si="6"/>
        <v>6880.941446</v>
      </c>
      <c r="E44" s="103">
        <f t="shared" si="7"/>
        <v>0.9476303677</v>
      </c>
      <c r="F44" s="102">
        <f t="shared" si="2"/>
        <v>7923.733292</v>
      </c>
      <c r="G44" s="102">
        <f t="shared" si="3"/>
        <v>6520.589073</v>
      </c>
    </row>
    <row r="45">
      <c r="A45" s="103">
        <f t="shared" si="4"/>
        <v>35</v>
      </c>
      <c r="B45" s="103">
        <f t="shared" si="5"/>
        <v>67.91666667</v>
      </c>
      <c r="C45" s="102">
        <f t="shared" si="1"/>
        <v>8361.628713</v>
      </c>
      <c r="D45" s="102">
        <f t="shared" si="6"/>
        <v>6880.941446</v>
      </c>
      <c r="E45" s="103">
        <f t="shared" si="7"/>
        <v>0.9461323249</v>
      </c>
      <c r="F45" s="102">
        <f t="shared" si="2"/>
        <v>7911.207214</v>
      </c>
      <c r="G45" s="102">
        <f t="shared" si="3"/>
        <v>6510.281128</v>
      </c>
    </row>
    <row r="46">
      <c r="A46" s="103">
        <f t="shared" si="4"/>
        <v>36</v>
      </c>
      <c r="B46" s="103">
        <f t="shared" si="5"/>
        <v>68</v>
      </c>
      <c r="C46" s="102">
        <f t="shared" si="1"/>
        <v>8361.628713</v>
      </c>
      <c r="D46" s="102">
        <f t="shared" si="6"/>
        <v>7018.560275</v>
      </c>
      <c r="E46" s="103">
        <f t="shared" si="7"/>
        <v>0.9446366502</v>
      </c>
      <c r="F46" s="102">
        <f t="shared" si="2"/>
        <v>7898.700937</v>
      </c>
      <c r="G46" s="102">
        <f t="shared" si="3"/>
        <v>6629.989268</v>
      </c>
    </row>
    <row r="47">
      <c r="A47" s="103">
        <f t="shared" si="4"/>
        <v>37</v>
      </c>
      <c r="B47" s="103">
        <f t="shared" si="5"/>
        <v>68.08333333</v>
      </c>
      <c r="C47" s="102">
        <f t="shared" si="1"/>
        <v>8361.628713</v>
      </c>
      <c r="D47" s="102">
        <f t="shared" si="6"/>
        <v>7018.560275</v>
      </c>
      <c r="E47" s="103">
        <f t="shared" si="7"/>
        <v>0.9431433399</v>
      </c>
      <c r="F47" s="102">
        <f t="shared" si="2"/>
        <v>7886.214431</v>
      </c>
      <c r="G47" s="102">
        <f t="shared" si="3"/>
        <v>6619.508379</v>
      </c>
    </row>
    <row r="48">
      <c r="A48" s="103">
        <f t="shared" si="4"/>
        <v>38</v>
      </c>
      <c r="B48" s="103">
        <f t="shared" si="5"/>
        <v>68.16666667</v>
      </c>
      <c r="C48" s="102">
        <f t="shared" si="1"/>
        <v>8361.628713</v>
      </c>
      <c r="D48" s="102">
        <f t="shared" si="6"/>
        <v>7018.560275</v>
      </c>
      <c r="E48" s="103">
        <f t="shared" si="7"/>
        <v>0.9416523903</v>
      </c>
      <c r="F48" s="102">
        <f t="shared" si="2"/>
        <v>7873.747664</v>
      </c>
      <c r="G48" s="102">
        <f t="shared" si="3"/>
        <v>6609.04406</v>
      </c>
    </row>
    <row r="49">
      <c r="A49" s="103">
        <f t="shared" si="4"/>
        <v>39</v>
      </c>
      <c r="B49" s="103">
        <f t="shared" si="5"/>
        <v>68.25</v>
      </c>
      <c r="C49" s="102">
        <f t="shared" si="1"/>
        <v>8361.628713</v>
      </c>
      <c r="D49" s="102">
        <f t="shared" si="6"/>
        <v>7018.560275</v>
      </c>
      <c r="E49" s="103">
        <f t="shared" si="7"/>
        <v>0.9401637976</v>
      </c>
      <c r="F49" s="102">
        <f t="shared" si="2"/>
        <v>7861.300605</v>
      </c>
      <c r="G49" s="102">
        <f t="shared" si="3"/>
        <v>6598.596282</v>
      </c>
    </row>
    <row r="50">
      <c r="A50" s="103">
        <f t="shared" si="4"/>
        <v>40</v>
      </c>
      <c r="B50" s="103">
        <f t="shared" si="5"/>
        <v>68.33333333</v>
      </c>
      <c r="C50" s="102">
        <f t="shared" si="1"/>
        <v>8361.628713</v>
      </c>
      <c r="D50" s="102">
        <f t="shared" si="6"/>
        <v>7018.560275</v>
      </c>
      <c r="E50" s="103">
        <f t="shared" si="7"/>
        <v>0.9386775581</v>
      </c>
      <c r="F50" s="102">
        <f t="shared" si="2"/>
        <v>7848.873222</v>
      </c>
      <c r="G50" s="102">
        <f t="shared" si="3"/>
        <v>6588.165021</v>
      </c>
    </row>
    <row r="51">
      <c r="A51" s="103">
        <f t="shared" si="4"/>
        <v>41</v>
      </c>
      <c r="B51" s="103">
        <f t="shared" si="5"/>
        <v>68.41666667</v>
      </c>
      <c r="C51" s="102">
        <f t="shared" si="1"/>
        <v>8361.628713</v>
      </c>
      <c r="D51" s="102">
        <f t="shared" si="6"/>
        <v>7018.560275</v>
      </c>
      <c r="E51" s="103">
        <f t="shared" si="7"/>
        <v>0.9371936682</v>
      </c>
      <c r="F51" s="102">
        <f t="shared" si="2"/>
        <v>7836.465485</v>
      </c>
      <c r="G51" s="102">
        <f t="shared" si="3"/>
        <v>6577.75025</v>
      </c>
    </row>
    <row r="52">
      <c r="A52" s="103">
        <f t="shared" si="4"/>
        <v>42</v>
      </c>
      <c r="B52" s="103">
        <f t="shared" si="5"/>
        <v>68.5</v>
      </c>
      <c r="C52" s="102">
        <f t="shared" si="1"/>
        <v>8361.628713</v>
      </c>
      <c r="D52" s="102">
        <f t="shared" si="6"/>
        <v>7018.560275</v>
      </c>
      <c r="E52" s="103">
        <f t="shared" si="7"/>
        <v>0.935712124</v>
      </c>
      <c r="F52" s="102">
        <f t="shared" si="2"/>
        <v>7824.077362</v>
      </c>
      <c r="G52" s="102">
        <f t="shared" si="3"/>
        <v>6567.351942</v>
      </c>
    </row>
    <row r="53">
      <c r="A53" s="103">
        <f t="shared" si="4"/>
        <v>43</v>
      </c>
      <c r="B53" s="103">
        <f t="shared" si="5"/>
        <v>68.58333333</v>
      </c>
      <c r="C53" s="102">
        <f t="shared" si="1"/>
        <v>8361.628713</v>
      </c>
      <c r="D53" s="102">
        <f t="shared" si="6"/>
        <v>7018.560275</v>
      </c>
      <c r="E53" s="103">
        <f t="shared" si="7"/>
        <v>0.9342329218</v>
      </c>
      <c r="F53" s="102">
        <f t="shared" si="2"/>
        <v>7811.708823</v>
      </c>
      <c r="G53" s="102">
        <f t="shared" si="3"/>
        <v>6556.970073</v>
      </c>
    </row>
    <row r="54">
      <c r="A54" s="103">
        <f t="shared" si="4"/>
        <v>44</v>
      </c>
      <c r="B54" s="103">
        <f t="shared" si="5"/>
        <v>68.66666667</v>
      </c>
      <c r="C54" s="102">
        <f t="shared" si="1"/>
        <v>8361.628713</v>
      </c>
      <c r="D54" s="102">
        <f t="shared" si="6"/>
        <v>7018.560275</v>
      </c>
      <c r="E54" s="103">
        <f t="shared" si="7"/>
        <v>0.9327560581</v>
      </c>
      <c r="F54" s="102">
        <f t="shared" si="2"/>
        <v>7799.359837</v>
      </c>
      <c r="G54" s="102">
        <f t="shared" si="3"/>
        <v>6546.604616</v>
      </c>
    </row>
    <row r="55">
      <c r="A55" s="103">
        <f t="shared" si="4"/>
        <v>45</v>
      </c>
      <c r="B55" s="103">
        <f t="shared" si="5"/>
        <v>68.75</v>
      </c>
      <c r="C55" s="102">
        <f t="shared" si="1"/>
        <v>8361.628713</v>
      </c>
      <c r="D55" s="102">
        <f t="shared" si="6"/>
        <v>7018.560275</v>
      </c>
      <c r="E55" s="103">
        <f t="shared" si="7"/>
        <v>0.931281529</v>
      </c>
      <c r="F55" s="102">
        <f t="shared" si="2"/>
        <v>7787.030372</v>
      </c>
      <c r="G55" s="102">
        <f t="shared" si="3"/>
        <v>6536.255544</v>
      </c>
    </row>
    <row r="56">
      <c r="A56" s="103">
        <f t="shared" si="4"/>
        <v>46</v>
      </c>
      <c r="B56" s="103">
        <f t="shared" si="5"/>
        <v>68.83333333</v>
      </c>
      <c r="C56" s="102">
        <f t="shared" si="1"/>
        <v>8361.628713</v>
      </c>
      <c r="D56" s="102">
        <f t="shared" si="6"/>
        <v>7018.560275</v>
      </c>
      <c r="E56" s="103">
        <f t="shared" si="7"/>
        <v>0.9298093309</v>
      </c>
      <c r="F56" s="102">
        <f t="shared" si="2"/>
        <v>7774.720398</v>
      </c>
      <c r="G56" s="102">
        <f t="shared" si="3"/>
        <v>6525.922833</v>
      </c>
    </row>
    <row r="57">
      <c r="A57" s="103">
        <f t="shared" si="4"/>
        <v>47</v>
      </c>
      <c r="B57" s="103">
        <f t="shared" si="5"/>
        <v>68.91666667</v>
      </c>
      <c r="C57" s="102">
        <f t="shared" si="1"/>
        <v>8361.628713</v>
      </c>
      <c r="D57" s="102">
        <f t="shared" si="6"/>
        <v>7018.560275</v>
      </c>
      <c r="E57" s="103">
        <f t="shared" si="7"/>
        <v>0.9283394601</v>
      </c>
      <c r="F57" s="102">
        <f t="shared" si="2"/>
        <v>7762.429884</v>
      </c>
      <c r="G57" s="102">
        <f t="shared" si="3"/>
        <v>6515.606456</v>
      </c>
    </row>
    <row r="58">
      <c r="A58" s="103">
        <f t="shared" si="4"/>
        <v>48</v>
      </c>
      <c r="B58" s="103">
        <f t="shared" si="5"/>
        <v>69</v>
      </c>
      <c r="C58" s="102">
        <f t="shared" si="1"/>
        <v>8361.628713</v>
      </c>
      <c r="D58" s="102">
        <f t="shared" si="6"/>
        <v>7158.931481</v>
      </c>
      <c r="E58" s="103">
        <f t="shared" si="7"/>
        <v>0.9268719129</v>
      </c>
      <c r="F58" s="102">
        <f t="shared" si="2"/>
        <v>7750.1588</v>
      </c>
      <c r="G58" s="102">
        <f t="shared" si="3"/>
        <v>6635.412516</v>
      </c>
    </row>
    <row r="59">
      <c r="A59" s="103">
        <f t="shared" si="4"/>
        <v>49</v>
      </c>
      <c r="B59" s="103">
        <f t="shared" si="5"/>
        <v>69.08333333</v>
      </c>
      <c r="C59" s="102">
        <f t="shared" si="1"/>
        <v>8361.628713</v>
      </c>
      <c r="D59" s="102">
        <f t="shared" si="6"/>
        <v>7158.931481</v>
      </c>
      <c r="E59" s="103">
        <f t="shared" si="7"/>
        <v>0.9254066856</v>
      </c>
      <c r="F59" s="102">
        <f t="shared" si="2"/>
        <v>7737.907113</v>
      </c>
      <c r="G59" s="102">
        <f t="shared" si="3"/>
        <v>6624.923054</v>
      </c>
    </row>
    <row r="60">
      <c r="A60" s="103">
        <f t="shared" si="4"/>
        <v>50</v>
      </c>
      <c r="B60" s="103">
        <f t="shared" si="5"/>
        <v>69.16666667</v>
      </c>
      <c r="C60" s="102">
        <f t="shared" si="1"/>
        <v>8361.628713</v>
      </c>
      <c r="D60" s="102">
        <f t="shared" si="6"/>
        <v>7158.931481</v>
      </c>
      <c r="E60" s="103">
        <f t="shared" si="7"/>
        <v>0.9239437747</v>
      </c>
      <c r="F60" s="102">
        <f t="shared" si="2"/>
        <v>7725.674795</v>
      </c>
      <c r="G60" s="102">
        <f t="shared" si="3"/>
        <v>6614.450175</v>
      </c>
    </row>
    <row r="61">
      <c r="A61" s="103">
        <f t="shared" si="4"/>
        <v>51</v>
      </c>
      <c r="B61" s="103">
        <f t="shared" si="5"/>
        <v>69.25</v>
      </c>
      <c r="C61" s="102">
        <f t="shared" si="1"/>
        <v>8361.628713</v>
      </c>
      <c r="D61" s="102">
        <f t="shared" si="6"/>
        <v>7158.931481</v>
      </c>
      <c r="E61" s="103">
        <f t="shared" si="7"/>
        <v>0.9224831763</v>
      </c>
      <c r="F61" s="102">
        <f t="shared" si="2"/>
        <v>7713.461814</v>
      </c>
      <c r="G61" s="102">
        <f t="shared" si="3"/>
        <v>6603.993851</v>
      </c>
    </row>
    <row r="62">
      <c r="A62" s="103">
        <f t="shared" si="4"/>
        <v>52</v>
      </c>
      <c r="B62" s="103">
        <f t="shared" si="5"/>
        <v>69.33333333</v>
      </c>
      <c r="C62" s="102">
        <f t="shared" si="1"/>
        <v>8361.628713</v>
      </c>
      <c r="D62" s="102">
        <f t="shared" si="6"/>
        <v>7158.931481</v>
      </c>
      <c r="E62" s="103">
        <f t="shared" si="7"/>
        <v>0.9210248869</v>
      </c>
      <c r="F62" s="102">
        <f t="shared" si="2"/>
        <v>7701.268139</v>
      </c>
      <c r="G62" s="102">
        <f t="shared" si="3"/>
        <v>6593.554057</v>
      </c>
    </row>
    <row r="63">
      <c r="A63" s="103">
        <f t="shared" si="4"/>
        <v>53</v>
      </c>
      <c r="B63" s="103">
        <f t="shared" si="5"/>
        <v>69.41666667</v>
      </c>
      <c r="C63" s="102">
        <f t="shared" si="1"/>
        <v>8361.628713</v>
      </c>
      <c r="D63" s="102">
        <f t="shared" si="6"/>
        <v>7158.931481</v>
      </c>
      <c r="E63" s="103">
        <f t="shared" si="7"/>
        <v>0.9195689028</v>
      </c>
      <c r="F63" s="102">
        <f t="shared" si="2"/>
        <v>7689.093741</v>
      </c>
      <c r="G63" s="102">
        <f t="shared" si="3"/>
        <v>6583.130767</v>
      </c>
    </row>
    <row r="64">
      <c r="A64" s="103">
        <f t="shared" si="4"/>
        <v>54</v>
      </c>
      <c r="B64" s="103">
        <f t="shared" si="5"/>
        <v>69.5</v>
      </c>
      <c r="C64" s="102">
        <f t="shared" si="1"/>
        <v>8361.628713</v>
      </c>
      <c r="D64" s="102">
        <f t="shared" si="6"/>
        <v>7158.931481</v>
      </c>
      <c r="E64" s="103">
        <f t="shared" si="7"/>
        <v>0.9181152204</v>
      </c>
      <c r="F64" s="102">
        <f t="shared" si="2"/>
        <v>7676.938588</v>
      </c>
      <c r="G64" s="102">
        <f t="shared" si="3"/>
        <v>6572.723954</v>
      </c>
    </row>
    <row r="65">
      <c r="A65" s="103">
        <f t="shared" si="4"/>
        <v>55</v>
      </c>
      <c r="B65" s="103">
        <f t="shared" si="5"/>
        <v>69.58333333</v>
      </c>
      <c r="C65" s="102">
        <f t="shared" si="1"/>
        <v>8361.628713</v>
      </c>
      <c r="D65" s="102">
        <f t="shared" si="6"/>
        <v>7158.931481</v>
      </c>
      <c r="E65" s="103">
        <f t="shared" si="7"/>
        <v>0.916663836</v>
      </c>
      <c r="F65" s="102">
        <f t="shared" si="2"/>
        <v>7664.80265</v>
      </c>
      <c r="G65" s="102">
        <f t="shared" si="3"/>
        <v>6562.333592</v>
      </c>
    </row>
    <row r="66">
      <c r="A66" s="103">
        <f t="shared" si="4"/>
        <v>56</v>
      </c>
      <c r="B66" s="103">
        <f t="shared" si="5"/>
        <v>69.66666667</v>
      </c>
      <c r="C66" s="102">
        <f t="shared" si="1"/>
        <v>8361.628713</v>
      </c>
      <c r="D66" s="102">
        <f t="shared" si="6"/>
        <v>7158.931481</v>
      </c>
      <c r="E66" s="103">
        <f t="shared" si="7"/>
        <v>0.9152147459</v>
      </c>
      <c r="F66" s="102">
        <f t="shared" si="2"/>
        <v>7652.685898</v>
      </c>
      <c r="G66" s="102">
        <f t="shared" si="3"/>
        <v>6551.959656</v>
      </c>
    </row>
    <row r="67">
      <c r="A67" s="103">
        <f t="shared" si="4"/>
        <v>57</v>
      </c>
      <c r="B67" s="103">
        <f t="shared" si="5"/>
        <v>69.75</v>
      </c>
      <c r="C67" s="102">
        <f t="shared" si="1"/>
        <v>8361.628713</v>
      </c>
      <c r="D67" s="102">
        <f t="shared" si="6"/>
        <v>7158.931481</v>
      </c>
      <c r="E67" s="103">
        <f t="shared" si="7"/>
        <v>0.9137679467</v>
      </c>
      <c r="F67" s="102">
        <f t="shared" si="2"/>
        <v>7640.5883</v>
      </c>
      <c r="G67" s="102">
        <f t="shared" si="3"/>
        <v>6541.60212</v>
      </c>
    </row>
    <row r="68">
      <c r="A68" s="103">
        <f t="shared" si="4"/>
        <v>58</v>
      </c>
      <c r="B68" s="103">
        <f t="shared" si="5"/>
        <v>69.83333333</v>
      </c>
      <c r="C68" s="102">
        <f t="shared" si="1"/>
        <v>8361.628713</v>
      </c>
      <c r="D68" s="102">
        <f t="shared" si="6"/>
        <v>7158.931481</v>
      </c>
      <c r="E68" s="103">
        <f t="shared" si="7"/>
        <v>0.9123234346</v>
      </c>
      <c r="F68" s="102">
        <f t="shared" si="2"/>
        <v>7628.509826</v>
      </c>
      <c r="G68" s="102">
        <f t="shared" si="3"/>
        <v>6531.260956</v>
      </c>
    </row>
    <row r="69">
      <c r="A69" s="103">
        <f t="shared" si="4"/>
        <v>59</v>
      </c>
      <c r="B69" s="103">
        <f t="shared" si="5"/>
        <v>69.91666667</v>
      </c>
      <c r="C69" s="102">
        <f t="shared" si="1"/>
        <v>8361.628713</v>
      </c>
      <c r="D69" s="102">
        <f t="shared" si="6"/>
        <v>7158.931481</v>
      </c>
      <c r="E69" s="103">
        <f t="shared" si="7"/>
        <v>0.910881206</v>
      </c>
      <c r="F69" s="102">
        <f t="shared" si="2"/>
        <v>7616.450446</v>
      </c>
      <c r="G69" s="102">
        <f t="shared" si="3"/>
        <v>6520.936141</v>
      </c>
    </row>
    <row r="70">
      <c r="A70" s="103">
        <f t="shared" si="4"/>
        <v>60</v>
      </c>
      <c r="B70" s="103">
        <f t="shared" si="5"/>
        <v>70</v>
      </c>
      <c r="C70" s="102">
        <f t="shared" si="1"/>
        <v>8361.628713</v>
      </c>
      <c r="D70" s="102">
        <f t="shared" si="6"/>
        <v>7302.11011</v>
      </c>
      <c r="E70" s="103">
        <f t="shared" si="7"/>
        <v>0.9094412574</v>
      </c>
      <c r="F70" s="102">
        <f t="shared" si="2"/>
        <v>7604.41013</v>
      </c>
      <c r="G70" s="102">
        <f t="shared" si="3"/>
        <v>6640.8402</v>
      </c>
    </row>
    <row r="71">
      <c r="A71" s="103">
        <f t="shared" si="4"/>
        <v>61</v>
      </c>
      <c r="B71" s="103">
        <f t="shared" si="5"/>
        <v>70.08333333</v>
      </c>
      <c r="C71" s="102">
        <f t="shared" si="1"/>
        <v>8361.628713</v>
      </c>
      <c r="D71" s="102">
        <f t="shared" si="6"/>
        <v>7302.11011</v>
      </c>
      <c r="E71" s="103">
        <f t="shared" si="7"/>
        <v>0.908003585</v>
      </c>
      <c r="F71" s="102">
        <f t="shared" si="2"/>
        <v>7592.388847</v>
      </c>
      <c r="G71" s="102">
        <f t="shared" si="3"/>
        <v>6630.342158</v>
      </c>
    </row>
    <row r="72">
      <c r="A72" s="103">
        <f t="shared" si="4"/>
        <v>62</v>
      </c>
      <c r="B72" s="103">
        <f t="shared" si="5"/>
        <v>70.16666667</v>
      </c>
      <c r="C72" s="102">
        <f t="shared" si="1"/>
        <v>8361.628713</v>
      </c>
      <c r="D72" s="102">
        <f t="shared" si="6"/>
        <v>7302.11011</v>
      </c>
      <c r="E72" s="103">
        <f t="shared" si="7"/>
        <v>0.9065681854</v>
      </c>
      <c r="F72" s="102">
        <f t="shared" si="2"/>
        <v>7580.386569</v>
      </c>
      <c r="G72" s="102">
        <f t="shared" si="3"/>
        <v>6619.860712</v>
      </c>
    </row>
    <row r="73">
      <c r="A73" s="103">
        <f t="shared" si="4"/>
        <v>63</v>
      </c>
      <c r="B73" s="103">
        <f t="shared" si="5"/>
        <v>70.25</v>
      </c>
      <c r="C73" s="102">
        <f t="shared" si="1"/>
        <v>8361.628713</v>
      </c>
      <c r="D73" s="102">
        <f t="shared" si="6"/>
        <v>7302.11011</v>
      </c>
      <c r="E73" s="103">
        <f t="shared" si="7"/>
        <v>0.9051350549</v>
      </c>
      <c r="F73" s="102">
        <f t="shared" si="2"/>
        <v>7568.403264</v>
      </c>
      <c r="G73" s="102">
        <f t="shared" si="3"/>
        <v>6609.395835</v>
      </c>
    </row>
    <row r="74">
      <c r="A74" s="103">
        <f t="shared" si="4"/>
        <v>64</v>
      </c>
      <c r="B74" s="103">
        <f t="shared" si="5"/>
        <v>70.33333333</v>
      </c>
      <c r="C74" s="102">
        <f t="shared" si="1"/>
        <v>8361.628713</v>
      </c>
      <c r="D74" s="102">
        <f t="shared" si="6"/>
        <v>7302.11011</v>
      </c>
      <c r="E74" s="103">
        <f t="shared" si="7"/>
        <v>0.9037041899</v>
      </c>
      <c r="F74" s="102">
        <f t="shared" si="2"/>
        <v>7556.438902</v>
      </c>
      <c r="G74" s="102">
        <f t="shared" si="3"/>
        <v>6598.947502</v>
      </c>
    </row>
    <row r="75">
      <c r="A75" s="103">
        <f t="shared" si="4"/>
        <v>65</v>
      </c>
      <c r="B75" s="103">
        <f t="shared" si="5"/>
        <v>70.41666667</v>
      </c>
      <c r="C75" s="102">
        <f t="shared" si="1"/>
        <v>8361.628713</v>
      </c>
      <c r="D75" s="102">
        <f t="shared" si="6"/>
        <v>7302.11011</v>
      </c>
      <c r="E75" s="103">
        <f t="shared" si="7"/>
        <v>0.9022755869</v>
      </c>
      <c r="F75" s="102">
        <f t="shared" si="2"/>
        <v>7544.493454</v>
      </c>
      <c r="G75" s="102">
        <f t="shared" si="3"/>
        <v>6588.515685</v>
      </c>
    </row>
    <row r="76">
      <c r="A76" s="103">
        <f t="shared" si="4"/>
        <v>66</v>
      </c>
      <c r="B76" s="103">
        <f t="shared" si="5"/>
        <v>70.5</v>
      </c>
      <c r="C76" s="102">
        <f t="shared" si="1"/>
        <v>8361.628713</v>
      </c>
      <c r="D76" s="102">
        <f t="shared" si="6"/>
        <v>7302.11011</v>
      </c>
      <c r="E76" s="103">
        <f t="shared" si="7"/>
        <v>0.9008492423</v>
      </c>
      <c r="F76" s="102">
        <f t="shared" si="2"/>
        <v>7532.56689</v>
      </c>
      <c r="G76" s="102">
        <f t="shared" si="3"/>
        <v>6578.10036</v>
      </c>
    </row>
    <row r="77">
      <c r="A77" s="103">
        <f t="shared" si="4"/>
        <v>67</v>
      </c>
      <c r="B77" s="103">
        <f t="shared" si="5"/>
        <v>70.58333333</v>
      </c>
      <c r="C77" s="102">
        <f t="shared" si="1"/>
        <v>8361.628713</v>
      </c>
      <c r="D77" s="102">
        <f t="shared" si="6"/>
        <v>7302.11011</v>
      </c>
      <c r="E77" s="103">
        <f t="shared" si="7"/>
        <v>0.8994251524</v>
      </c>
      <c r="F77" s="102">
        <f t="shared" si="2"/>
        <v>7520.659179</v>
      </c>
      <c r="G77" s="102">
        <f t="shared" si="3"/>
        <v>6567.701499</v>
      </c>
    </row>
    <row r="78">
      <c r="A78" s="103">
        <f t="shared" si="4"/>
        <v>68</v>
      </c>
      <c r="B78" s="103">
        <f t="shared" si="5"/>
        <v>70.66666667</v>
      </c>
      <c r="C78" s="102">
        <f t="shared" si="1"/>
        <v>8361.628713</v>
      </c>
      <c r="D78" s="102">
        <f t="shared" si="6"/>
        <v>7302.11011</v>
      </c>
      <c r="E78" s="103">
        <f t="shared" si="7"/>
        <v>0.8980033139</v>
      </c>
      <c r="F78" s="102">
        <f t="shared" si="2"/>
        <v>7508.770293</v>
      </c>
      <c r="G78" s="102">
        <f t="shared" si="3"/>
        <v>6557.319077</v>
      </c>
    </row>
    <row r="79">
      <c r="A79" s="103">
        <f t="shared" si="4"/>
        <v>69</v>
      </c>
      <c r="B79" s="103">
        <f t="shared" si="5"/>
        <v>70.75</v>
      </c>
      <c r="C79" s="102">
        <f t="shared" si="1"/>
        <v>8361.628713</v>
      </c>
      <c r="D79" s="102">
        <f t="shared" si="6"/>
        <v>7302.11011</v>
      </c>
      <c r="E79" s="103">
        <f t="shared" si="7"/>
        <v>0.896583723</v>
      </c>
      <c r="F79" s="102">
        <f t="shared" si="2"/>
        <v>7496.900201</v>
      </c>
      <c r="G79" s="102">
        <f t="shared" si="3"/>
        <v>6546.953068</v>
      </c>
    </row>
    <row r="80">
      <c r="A80" s="103">
        <f t="shared" si="4"/>
        <v>70</v>
      </c>
      <c r="B80" s="103">
        <f t="shared" si="5"/>
        <v>70.83333333</v>
      </c>
      <c r="C80" s="102">
        <f t="shared" si="1"/>
        <v>8361.628713</v>
      </c>
      <c r="D80" s="102">
        <f t="shared" si="6"/>
        <v>7302.11011</v>
      </c>
      <c r="E80" s="103">
        <f t="shared" si="7"/>
        <v>0.8951663762</v>
      </c>
      <c r="F80" s="102">
        <f t="shared" si="2"/>
        <v>7485.048874</v>
      </c>
      <c r="G80" s="102">
        <f t="shared" si="3"/>
        <v>6536.603446</v>
      </c>
    </row>
    <row r="81">
      <c r="A81" s="103">
        <f t="shared" si="4"/>
        <v>71</v>
      </c>
      <c r="B81" s="103">
        <f t="shared" si="5"/>
        <v>70.91666667</v>
      </c>
      <c r="C81" s="102">
        <f t="shared" si="1"/>
        <v>8361.628713</v>
      </c>
      <c r="D81" s="102">
        <f t="shared" si="6"/>
        <v>7302.11011</v>
      </c>
      <c r="E81" s="103">
        <f t="shared" si="7"/>
        <v>0.89375127</v>
      </c>
      <c r="F81" s="102">
        <f t="shared" si="2"/>
        <v>7473.216281</v>
      </c>
      <c r="G81" s="102">
        <f t="shared" si="3"/>
        <v>6526.270185</v>
      </c>
    </row>
    <row r="82">
      <c r="A82" s="103">
        <f t="shared" si="4"/>
        <v>72</v>
      </c>
      <c r="B82" s="103">
        <f t="shared" si="5"/>
        <v>71</v>
      </c>
      <c r="C82" s="102">
        <f t="shared" si="1"/>
        <v>8361.628713</v>
      </c>
      <c r="D82" s="102">
        <f t="shared" si="6"/>
        <v>7448.152313</v>
      </c>
      <c r="E82" s="103">
        <f t="shared" si="7"/>
        <v>0.8923384009</v>
      </c>
      <c r="F82" s="102">
        <f t="shared" si="2"/>
        <v>7461.402394</v>
      </c>
      <c r="G82" s="102">
        <f t="shared" si="3"/>
        <v>6646.272324</v>
      </c>
    </row>
    <row r="83">
      <c r="A83" s="103">
        <f t="shared" si="4"/>
        <v>73</v>
      </c>
      <c r="B83" s="103">
        <f t="shared" si="5"/>
        <v>71.08333333</v>
      </c>
      <c r="C83" s="102">
        <f t="shared" si="1"/>
        <v>8361.628713</v>
      </c>
      <c r="D83" s="102">
        <f t="shared" si="6"/>
        <v>7448.152313</v>
      </c>
      <c r="E83" s="103">
        <f t="shared" si="7"/>
        <v>0.8909277653</v>
      </c>
      <c r="F83" s="102">
        <f t="shared" si="2"/>
        <v>7449.607183</v>
      </c>
      <c r="G83" s="102">
        <f t="shared" si="3"/>
        <v>6635.765695</v>
      </c>
    </row>
    <row r="84">
      <c r="A84" s="103">
        <f t="shared" si="4"/>
        <v>74</v>
      </c>
      <c r="B84" s="103">
        <f t="shared" si="5"/>
        <v>71.16666667</v>
      </c>
      <c r="C84" s="102">
        <f t="shared" si="1"/>
        <v>8361.628713</v>
      </c>
      <c r="D84" s="102">
        <f t="shared" si="6"/>
        <v>7448.152313</v>
      </c>
      <c r="E84" s="103">
        <f t="shared" si="7"/>
        <v>0.8895193596</v>
      </c>
      <c r="F84" s="102">
        <f t="shared" si="2"/>
        <v>7437.830618</v>
      </c>
      <c r="G84" s="102">
        <f t="shared" si="3"/>
        <v>6625.275675</v>
      </c>
    </row>
    <row r="85">
      <c r="A85" s="103">
        <f t="shared" si="4"/>
        <v>75</v>
      </c>
      <c r="B85" s="103">
        <f t="shared" si="5"/>
        <v>71.25</v>
      </c>
      <c r="C85" s="102">
        <f t="shared" si="1"/>
        <v>8361.628713</v>
      </c>
      <c r="D85" s="102">
        <f t="shared" si="6"/>
        <v>7448.152313</v>
      </c>
      <c r="E85" s="103">
        <f t="shared" si="7"/>
        <v>0.8881131804</v>
      </c>
      <c r="F85" s="102">
        <f t="shared" si="2"/>
        <v>7426.072669</v>
      </c>
      <c r="G85" s="102">
        <f t="shared" si="3"/>
        <v>6614.802238</v>
      </c>
    </row>
    <row r="86">
      <c r="A86" s="103">
        <f t="shared" si="4"/>
        <v>76</v>
      </c>
      <c r="B86" s="103">
        <f t="shared" si="5"/>
        <v>71.33333333</v>
      </c>
      <c r="C86" s="102">
        <f t="shared" si="1"/>
        <v>8361.628713</v>
      </c>
      <c r="D86" s="102">
        <f t="shared" si="6"/>
        <v>7448.152313</v>
      </c>
      <c r="E86" s="103">
        <f t="shared" si="7"/>
        <v>0.8867092241</v>
      </c>
      <c r="F86" s="102">
        <f t="shared" si="2"/>
        <v>7414.333308</v>
      </c>
      <c r="G86" s="102">
        <f t="shared" si="3"/>
        <v>6604.345358</v>
      </c>
    </row>
    <row r="87">
      <c r="A87" s="103">
        <f t="shared" si="4"/>
        <v>77</v>
      </c>
      <c r="B87" s="103">
        <f t="shared" si="5"/>
        <v>71.41666667</v>
      </c>
      <c r="C87" s="102">
        <f t="shared" si="1"/>
        <v>8361.628713</v>
      </c>
      <c r="D87" s="102">
        <f t="shared" si="6"/>
        <v>7448.152313</v>
      </c>
      <c r="E87" s="103">
        <f t="shared" si="7"/>
        <v>0.8853074873</v>
      </c>
      <c r="F87" s="102">
        <f t="shared" si="2"/>
        <v>7402.612505</v>
      </c>
      <c r="G87" s="102">
        <f t="shared" si="3"/>
        <v>6593.905009</v>
      </c>
    </row>
    <row r="88">
      <c r="A88" s="103">
        <f t="shared" si="4"/>
        <v>78</v>
      </c>
      <c r="B88" s="103">
        <f t="shared" si="5"/>
        <v>71.5</v>
      </c>
      <c r="C88" s="102">
        <f t="shared" si="1"/>
        <v>8361.628713</v>
      </c>
      <c r="D88" s="102">
        <f t="shared" si="6"/>
        <v>7448.152313</v>
      </c>
      <c r="E88" s="103">
        <f t="shared" si="7"/>
        <v>0.8839079663</v>
      </c>
      <c r="F88" s="102">
        <f t="shared" si="2"/>
        <v>7390.910231</v>
      </c>
      <c r="G88" s="102">
        <f t="shared" si="3"/>
        <v>6583.481164</v>
      </c>
    </row>
    <row r="89">
      <c r="A89" s="103">
        <f t="shared" si="4"/>
        <v>79</v>
      </c>
      <c r="B89" s="103">
        <f t="shared" si="5"/>
        <v>71.58333333</v>
      </c>
      <c r="C89" s="102">
        <f t="shared" si="1"/>
        <v>8361.628713</v>
      </c>
      <c r="D89" s="102">
        <f t="shared" si="6"/>
        <v>7448.152313</v>
      </c>
      <c r="E89" s="103">
        <f t="shared" si="7"/>
        <v>0.8825106578</v>
      </c>
      <c r="F89" s="102">
        <f t="shared" si="2"/>
        <v>7379.226455</v>
      </c>
      <c r="G89" s="102">
        <f t="shared" si="3"/>
        <v>6573.073797</v>
      </c>
    </row>
    <row r="90">
      <c r="A90" s="103">
        <f t="shared" si="4"/>
        <v>80</v>
      </c>
      <c r="B90" s="103">
        <f t="shared" si="5"/>
        <v>71.66666667</v>
      </c>
      <c r="C90" s="102">
        <f t="shared" si="1"/>
        <v>8361.628713</v>
      </c>
      <c r="D90" s="102">
        <f t="shared" si="6"/>
        <v>7448.152313</v>
      </c>
      <c r="E90" s="103">
        <f t="shared" si="7"/>
        <v>0.8811155582</v>
      </c>
      <c r="F90" s="102">
        <f t="shared" si="2"/>
        <v>7367.56115</v>
      </c>
      <c r="G90" s="102">
        <f t="shared" si="3"/>
        <v>6562.682882</v>
      </c>
    </row>
    <row r="91">
      <c r="A91" s="103">
        <f t="shared" si="4"/>
        <v>81</v>
      </c>
      <c r="B91" s="103">
        <f t="shared" si="5"/>
        <v>71.75</v>
      </c>
      <c r="C91" s="102">
        <f t="shared" si="1"/>
        <v>8361.628713</v>
      </c>
      <c r="D91" s="102">
        <f t="shared" si="6"/>
        <v>7448.152313</v>
      </c>
      <c r="E91" s="103">
        <f t="shared" si="7"/>
        <v>0.8797226639</v>
      </c>
      <c r="F91" s="102">
        <f t="shared" si="2"/>
        <v>7355.914286</v>
      </c>
      <c r="G91" s="102">
        <f t="shared" si="3"/>
        <v>6552.308394</v>
      </c>
    </row>
    <row r="92">
      <c r="A92" s="103">
        <f t="shared" si="4"/>
        <v>82</v>
      </c>
      <c r="B92" s="103">
        <f t="shared" si="5"/>
        <v>71.83333333</v>
      </c>
      <c r="C92" s="102">
        <f t="shared" si="1"/>
        <v>8361.628713</v>
      </c>
      <c r="D92" s="102">
        <f t="shared" si="6"/>
        <v>7448.152313</v>
      </c>
      <c r="E92" s="103">
        <f t="shared" si="7"/>
        <v>0.8783319717</v>
      </c>
      <c r="F92" s="102">
        <f t="shared" si="2"/>
        <v>7344.285833</v>
      </c>
      <c r="G92" s="102">
        <f t="shared" si="3"/>
        <v>6541.950306</v>
      </c>
    </row>
    <row r="93">
      <c r="A93" s="103">
        <f t="shared" si="4"/>
        <v>83</v>
      </c>
      <c r="B93" s="103">
        <f t="shared" si="5"/>
        <v>71.91666667</v>
      </c>
      <c r="C93" s="102">
        <f t="shared" si="1"/>
        <v>8361.628713</v>
      </c>
      <c r="D93" s="102">
        <f t="shared" si="6"/>
        <v>7448.152313</v>
      </c>
      <c r="E93" s="103">
        <f t="shared" si="7"/>
        <v>0.8769434778</v>
      </c>
      <c r="F93" s="102">
        <f t="shared" si="2"/>
        <v>7332.675763</v>
      </c>
      <c r="G93" s="102">
        <f t="shared" si="3"/>
        <v>6531.608592</v>
      </c>
    </row>
    <row r="94">
      <c r="A94" s="103">
        <f t="shared" si="4"/>
        <v>84</v>
      </c>
      <c r="B94" s="103">
        <f t="shared" si="5"/>
        <v>72</v>
      </c>
      <c r="C94" s="102">
        <f t="shared" si="1"/>
        <v>8361.628713</v>
      </c>
      <c r="D94" s="102">
        <f t="shared" si="6"/>
        <v>7597.115359</v>
      </c>
      <c r="E94" s="103">
        <f t="shared" si="7"/>
        <v>0.8755571789</v>
      </c>
      <c r="F94" s="102">
        <f t="shared" si="2"/>
        <v>7321.084047</v>
      </c>
      <c r="G94" s="102">
        <f t="shared" si="3"/>
        <v>6651.708892</v>
      </c>
    </row>
    <row r="95">
      <c r="A95" s="103">
        <f t="shared" si="4"/>
        <v>85</v>
      </c>
      <c r="B95" s="103">
        <f t="shared" si="5"/>
        <v>72.08333333</v>
      </c>
      <c r="C95" s="102">
        <f t="shared" si="1"/>
        <v>8361.628713</v>
      </c>
      <c r="D95" s="102">
        <f t="shared" si="6"/>
        <v>7597.115359</v>
      </c>
      <c r="E95" s="103">
        <f t="shared" si="7"/>
        <v>0.8741730716</v>
      </c>
      <c r="F95" s="102">
        <f t="shared" si="2"/>
        <v>7309.510655</v>
      </c>
      <c r="G95" s="102">
        <f t="shared" si="3"/>
        <v>6641.193668</v>
      </c>
    </row>
    <row r="96">
      <c r="A96" s="103">
        <f t="shared" si="4"/>
        <v>86</v>
      </c>
      <c r="B96" s="103">
        <f t="shared" si="5"/>
        <v>72.16666667</v>
      </c>
      <c r="C96" s="102">
        <f t="shared" si="1"/>
        <v>8361.628713</v>
      </c>
      <c r="D96" s="102">
        <f t="shared" si="6"/>
        <v>7597.115359</v>
      </c>
      <c r="E96" s="103">
        <f t="shared" si="7"/>
        <v>0.8727911523</v>
      </c>
      <c r="F96" s="102">
        <f t="shared" si="2"/>
        <v>7297.955559</v>
      </c>
      <c r="G96" s="102">
        <f t="shared" si="3"/>
        <v>6630.695068</v>
      </c>
    </row>
    <row r="97">
      <c r="A97" s="103">
        <f t="shared" si="4"/>
        <v>87</v>
      </c>
      <c r="B97" s="103">
        <f t="shared" si="5"/>
        <v>72.25</v>
      </c>
      <c r="C97" s="102">
        <f t="shared" si="1"/>
        <v>8361.628713</v>
      </c>
      <c r="D97" s="102">
        <f t="shared" si="6"/>
        <v>7597.115359</v>
      </c>
      <c r="E97" s="103">
        <f t="shared" si="7"/>
        <v>0.8714114175</v>
      </c>
      <c r="F97" s="102">
        <f t="shared" si="2"/>
        <v>7286.418729</v>
      </c>
      <c r="G97" s="102">
        <f t="shared" si="3"/>
        <v>6620.213064</v>
      </c>
    </row>
    <row r="98">
      <c r="A98" s="103">
        <f t="shared" si="4"/>
        <v>88</v>
      </c>
      <c r="B98" s="103">
        <f t="shared" si="5"/>
        <v>72.33333333</v>
      </c>
      <c r="C98" s="102">
        <f t="shared" si="1"/>
        <v>8361.628713</v>
      </c>
      <c r="D98" s="102">
        <f t="shared" si="6"/>
        <v>7597.115359</v>
      </c>
      <c r="E98" s="103">
        <f t="shared" si="7"/>
        <v>0.8700338639</v>
      </c>
      <c r="F98" s="102">
        <f t="shared" si="2"/>
        <v>7274.900137</v>
      </c>
      <c r="G98" s="102">
        <f t="shared" si="3"/>
        <v>6609.74763</v>
      </c>
    </row>
    <row r="99">
      <c r="A99" s="103">
        <f t="shared" si="4"/>
        <v>89</v>
      </c>
      <c r="B99" s="103">
        <f t="shared" si="5"/>
        <v>72.41666667</v>
      </c>
      <c r="C99" s="102">
        <f t="shared" si="1"/>
        <v>8361.628713</v>
      </c>
      <c r="D99" s="102">
        <f t="shared" si="6"/>
        <v>7597.115359</v>
      </c>
      <c r="E99" s="103">
        <f t="shared" si="7"/>
        <v>0.868658488</v>
      </c>
      <c r="F99" s="102">
        <f t="shared" si="2"/>
        <v>7263.399754</v>
      </c>
      <c r="G99" s="102">
        <f t="shared" si="3"/>
        <v>6599.29874</v>
      </c>
    </row>
    <row r="100">
      <c r="A100" s="103">
        <f t="shared" si="4"/>
        <v>90</v>
      </c>
      <c r="B100" s="103">
        <f t="shared" si="5"/>
        <v>72.5</v>
      </c>
      <c r="C100" s="102">
        <f t="shared" si="1"/>
        <v>8361.628713</v>
      </c>
      <c r="D100" s="102">
        <f t="shared" si="6"/>
        <v>7597.115359</v>
      </c>
      <c r="E100" s="103">
        <f t="shared" si="7"/>
        <v>0.8672852863</v>
      </c>
      <c r="F100" s="102">
        <f t="shared" si="2"/>
        <v>7251.917551</v>
      </c>
      <c r="G100" s="102">
        <f t="shared" si="3"/>
        <v>6588.866369</v>
      </c>
    </row>
    <row r="101">
      <c r="A101" s="103">
        <f t="shared" si="4"/>
        <v>91</v>
      </c>
      <c r="B101" s="103">
        <f t="shared" si="5"/>
        <v>72.58333333</v>
      </c>
      <c r="C101" s="102">
        <f t="shared" si="1"/>
        <v>8361.628713</v>
      </c>
      <c r="D101" s="102">
        <f t="shared" si="6"/>
        <v>7597.115359</v>
      </c>
      <c r="E101" s="103">
        <f t="shared" si="7"/>
        <v>0.8659142553</v>
      </c>
      <c r="F101" s="102">
        <f t="shared" si="2"/>
        <v>7240.4535</v>
      </c>
      <c r="G101" s="102">
        <f t="shared" si="3"/>
        <v>6578.450489</v>
      </c>
    </row>
    <row r="102">
      <c r="A102" s="103">
        <f t="shared" si="4"/>
        <v>92</v>
      </c>
      <c r="B102" s="103">
        <f t="shared" si="5"/>
        <v>72.66666667</v>
      </c>
      <c r="C102" s="102">
        <f t="shared" si="1"/>
        <v>8361.628713</v>
      </c>
      <c r="D102" s="102">
        <f t="shared" si="6"/>
        <v>7597.115359</v>
      </c>
      <c r="E102" s="103">
        <f t="shared" si="7"/>
        <v>0.8645453918</v>
      </c>
      <c r="F102" s="102">
        <f t="shared" si="2"/>
        <v>7229.007571</v>
      </c>
      <c r="G102" s="102">
        <f t="shared" si="3"/>
        <v>6568.051075</v>
      </c>
    </row>
    <row r="103">
      <c r="A103" s="103">
        <f t="shared" si="4"/>
        <v>93</v>
      </c>
      <c r="B103" s="103">
        <f t="shared" si="5"/>
        <v>72.75</v>
      </c>
      <c r="C103" s="102">
        <f t="shared" si="1"/>
        <v>8361.628713</v>
      </c>
      <c r="D103" s="102">
        <f t="shared" si="6"/>
        <v>7597.115359</v>
      </c>
      <c r="E103" s="103">
        <f t="shared" si="7"/>
        <v>0.8631786922</v>
      </c>
      <c r="F103" s="102">
        <f t="shared" si="2"/>
        <v>7217.579737</v>
      </c>
      <c r="G103" s="102">
        <f t="shared" si="3"/>
        <v>6557.6681</v>
      </c>
    </row>
    <row r="104">
      <c r="A104" s="103">
        <f t="shared" si="4"/>
        <v>94</v>
      </c>
      <c r="B104" s="103">
        <f t="shared" si="5"/>
        <v>72.83333333</v>
      </c>
      <c r="C104" s="102">
        <f t="shared" si="1"/>
        <v>8361.628713</v>
      </c>
      <c r="D104" s="102">
        <f t="shared" si="6"/>
        <v>7597.115359</v>
      </c>
      <c r="E104" s="103">
        <f t="shared" si="7"/>
        <v>0.8618141531</v>
      </c>
      <c r="F104" s="102">
        <f t="shared" si="2"/>
        <v>7206.169968</v>
      </c>
      <c r="G104" s="102">
        <f t="shared" si="3"/>
        <v>6547.301539</v>
      </c>
    </row>
    <row r="105">
      <c r="A105" s="103">
        <f t="shared" si="4"/>
        <v>95</v>
      </c>
      <c r="B105" s="103">
        <f t="shared" si="5"/>
        <v>72.91666667</v>
      </c>
      <c r="C105" s="102">
        <f t="shared" si="1"/>
        <v>8361.628713</v>
      </c>
      <c r="D105" s="102">
        <f t="shared" si="6"/>
        <v>7597.115359</v>
      </c>
      <c r="E105" s="103">
        <f t="shared" si="7"/>
        <v>0.8604517712</v>
      </c>
      <c r="F105" s="102">
        <f t="shared" si="2"/>
        <v>7194.778236</v>
      </c>
      <c r="G105" s="102">
        <f t="shared" si="3"/>
        <v>6536.951366</v>
      </c>
    </row>
    <row r="106">
      <c r="A106" s="103">
        <f t="shared" si="4"/>
        <v>96</v>
      </c>
      <c r="B106" s="103">
        <f t="shared" si="5"/>
        <v>73</v>
      </c>
      <c r="C106" s="102">
        <f t="shared" si="1"/>
        <v>8361.628713</v>
      </c>
      <c r="D106" s="102">
        <f t="shared" si="6"/>
        <v>7749.057666</v>
      </c>
      <c r="E106" s="103">
        <f t="shared" si="7"/>
        <v>0.8590915429</v>
      </c>
      <c r="F106" s="102">
        <f t="shared" si="2"/>
        <v>7183.404512</v>
      </c>
      <c r="G106" s="102">
        <f t="shared" si="3"/>
        <v>6657.149906</v>
      </c>
    </row>
    <row r="107">
      <c r="A107" s="103">
        <f t="shared" si="4"/>
        <v>97</v>
      </c>
      <c r="B107" s="103">
        <f t="shared" si="5"/>
        <v>73.08333333</v>
      </c>
      <c r="C107" s="102">
        <f t="shared" si="1"/>
        <v>8361.628713</v>
      </c>
      <c r="D107" s="102">
        <f t="shared" si="6"/>
        <v>7749.057666</v>
      </c>
      <c r="E107" s="103">
        <f t="shared" si="7"/>
        <v>0.8577334649</v>
      </c>
      <c r="F107" s="102">
        <f t="shared" si="2"/>
        <v>7172.048768</v>
      </c>
      <c r="G107" s="102">
        <f t="shared" si="3"/>
        <v>6646.626082</v>
      </c>
    </row>
    <row r="108">
      <c r="A108" s="103">
        <f t="shared" si="4"/>
        <v>98</v>
      </c>
      <c r="B108" s="103">
        <f t="shared" si="5"/>
        <v>73.16666667</v>
      </c>
      <c r="C108" s="102">
        <f t="shared" si="1"/>
        <v>8361.628713</v>
      </c>
      <c r="D108" s="102">
        <f t="shared" si="6"/>
        <v>7749.057666</v>
      </c>
      <c r="E108" s="103">
        <f t="shared" si="7"/>
        <v>0.8563775338</v>
      </c>
      <c r="F108" s="102">
        <f t="shared" si="2"/>
        <v>7160.710975</v>
      </c>
      <c r="G108" s="102">
        <f t="shared" si="3"/>
        <v>6636.118893</v>
      </c>
    </row>
    <row r="109">
      <c r="A109" s="103">
        <f t="shared" si="4"/>
        <v>99</v>
      </c>
      <c r="B109" s="103">
        <f t="shared" si="5"/>
        <v>73.25</v>
      </c>
      <c r="C109" s="102">
        <f t="shared" si="1"/>
        <v>8361.628713</v>
      </c>
      <c r="D109" s="102">
        <f t="shared" si="6"/>
        <v>7749.057666</v>
      </c>
      <c r="E109" s="103">
        <f t="shared" si="7"/>
        <v>0.8550237462</v>
      </c>
      <c r="F109" s="102">
        <f t="shared" si="2"/>
        <v>7149.391106</v>
      </c>
      <c r="G109" s="102">
        <f t="shared" si="3"/>
        <v>6625.628315</v>
      </c>
    </row>
    <row r="110">
      <c r="A110" s="103">
        <f t="shared" si="4"/>
        <v>100</v>
      </c>
      <c r="B110" s="103">
        <f t="shared" si="5"/>
        <v>73.33333333</v>
      </c>
      <c r="C110" s="102">
        <f t="shared" si="1"/>
        <v>8361.628713</v>
      </c>
      <c r="D110" s="102">
        <f t="shared" si="6"/>
        <v>7749.057666</v>
      </c>
      <c r="E110" s="103">
        <f t="shared" si="7"/>
        <v>0.8536720987</v>
      </c>
      <c r="F110" s="102">
        <f t="shared" si="2"/>
        <v>7138.089132</v>
      </c>
      <c r="G110" s="102">
        <f t="shared" si="3"/>
        <v>6615.154321</v>
      </c>
    </row>
    <row r="111">
      <c r="A111" s="103">
        <f t="shared" si="4"/>
        <v>101</v>
      </c>
      <c r="B111" s="103">
        <f t="shared" si="5"/>
        <v>73.41666667</v>
      </c>
      <c r="C111" s="102">
        <f t="shared" si="1"/>
        <v>8361.628713</v>
      </c>
      <c r="D111" s="102">
        <f t="shared" si="6"/>
        <v>7749.057666</v>
      </c>
      <c r="E111" s="103">
        <f t="shared" si="7"/>
        <v>0.852322588</v>
      </c>
      <c r="F111" s="102">
        <f t="shared" si="2"/>
        <v>7126.805024</v>
      </c>
      <c r="G111" s="102">
        <f t="shared" si="3"/>
        <v>6604.696884</v>
      </c>
    </row>
    <row r="112">
      <c r="A112" s="103">
        <f t="shared" si="4"/>
        <v>102</v>
      </c>
      <c r="B112" s="103">
        <f t="shared" si="5"/>
        <v>73.5</v>
      </c>
      <c r="C112" s="102">
        <f t="shared" si="1"/>
        <v>8361.628713</v>
      </c>
      <c r="D112" s="102">
        <f t="shared" si="6"/>
        <v>7749.057666</v>
      </c>
      <c r="E112" s="103">
        <f t="shared" si="7"/>
        <v>0.8509752105</v>
      </c>
      <c r="F112" s="102">
        <f t="shared" si="2"/>
        <v>7115.538754</v>
      </c>
      <c r="G112" s="102">
        <f t="shared" si="3"/>
        <v>6594.255979</v>
      </c>
    </row>
    <row r="113">
      <c r="A113" s="103">
        <f t="shared" si="4"/>
        <v>103</v>
      </c>
      <c r="B113" s="103">
        <f t="shared" si="5"/>
        <v>73.58333333</v>
      </c>
      <c r="C113" s="102">
        <f t="shared" si="1"/>
        <v>8361.628713</v>
      </c>
      <c r="D113" s="102">
        <f t="shared" si="6"/>
        <v>7749.057666</v>
      </c>
      <c r="E113" s="103">
        <f t="shared" si="7"/>
        <v>0.8496299631</v>
      </c>
      <c r="F113" s="102">
        <f t="shared" si="2"/>
        <v>7104.290295</v>
      </c>
      <c r="G113" s="102">
        <f t="shared" si="3"/>
        <v>6583.831579</v>
      </c>
    </row>
    <row r="114">
      <c r="A114" s="103">
        <f t="shared" si="4"/>
        <v>104</v>
      </c>
      <c r="B114" s="103">
        <f t="shared" si="5"/>
        <v>73.66666667</v>
      </c>
      <c r="C114" s="102">
        <f t="shared" si="1"/>
        <v>8361.628713</v>
      </c>
      <c r="D114" s="102">
        <f t="shared" si="6"/>
        <v>7749.057666</v>
      </c>
      <c r="E114" s="103">
        <f t="shared" si="7"/>
        <v>0.8482868423</v>
      </c>
      <c r="F114" s="102">
        <f t="shared" si="2"/>
        <v>7093.059617</v>
      </c>
      <c r="G114" s="102">
        <f t="shared" si="3"/>
        <v>6573.423658</v>
      </c>
    </row>
    <row r="115">
      <c r="A115" s="103">
        <f t="shared" si="4"/>
        <v>105</v>
      </c>
      <c r="B115" s="103">
        <f t="shared" si="5"/>
        <v>73.75</v>
      </c>
      <c r="C115" s="102">
        <f t="shared" si="1"/>
        <v>8361.628713</v>
      </c>
      <c r="D115" s="102">
        <f t="shared" si="6"/>
        <v>7749.057666</v>
      </c>
      <c r="E115" s="103">
        <f t="shared" si="7"/>
        <v>0.8469458447</v>
      </c>
      <c r="F115" s="102">
        <f t="shared" si="2"/>
        <v>7081.846693</v>
      </c>
      <c r="G115" s="102">
        <f t="shared" si="3"/>
        <v>6563.03219</v>
      </c>
    </row>
    <row r="116">
      <c r="A116" s="103">
        <f t="shared" si="4"/>
        <v>106</v>
      </c>
      <c r="B116" s="103">
        <f t="shared" si="5"/>
        <v>73.83333333</v>
      </c>
      <c r="C116" s="102">
        <f t="shared" si="1"/>
        <v>8361.628713</v>
      </c>
      <c r="D116" s="102">
        <f t="shared" si="6"/>
        <v>7749.057666</v>
      </c>
      <c r="E116" s="103">
        <f t="shared" si="7"/>
        <v>0.845606967</v>
      </c>
      <c r="F116" s="102">
        <f t="shared" si="2"/>
        <v>7070.651495</v>
      </c>
      <c r="G116" s="102">
        <f t="shared" si="3"/>
        <v>6552.65715</v>
      </c>
    </row>
    <row r="117">
      <c r="A117" s="103">
        <f t="shared" si="4"/>
        <v>107</v>
      </c>
      <c r="B117" s="103">
        <f t="shared" si="5"/>
        <v>73.91666667</v>
      </c>
      <c r="C117" s="102">
        <f t="shared" si="1"/>
        <v>8361.628713</v>
      </c>
      <c r="D117" s="102">
        <f t="shared" si="6"/>
        <v>7749.057666</v>
      </c>
      <c r="E117" s="103">
        <f t="shared" si="7"/>
        <v>0.8442702058</v>
      </c>
      <c r="F117" s="102">
        <f t="shared" si="2"/>
        <v>7059.473994</v>
      </c>
      <c r="G117" s="102">
        <f t="shared" si="3"/>
        <v>6542.298511</v>
      </c>
    </row>
    <row r="118">
      <c r="A118" s="103">
        <f t="shared" si="4"/>
        <v>108</v>
      </c>
      <c r="B118" s="103">
        <f t="shared" si="5"/>
        <v>74</v>
      </c>
      <c r="C118" s="102">
        <f t="shared" si="1"/>
        <v>8361.628713</v>
      </c>
      <c r="D118" s="102">
        <f t="shared" si="6"/>
        <v>7904.038819</v>
      </c>
      <c r="E118" s="103">
        <f t="shared" si="7"/>
        <v>0.8429355579</v>
      </c>
      <c r="F118" s="102">
        <f t="shared" si="2"/>
        <v>7048.314163</v>
      </c>
      <c r="G118" s="102">
        <f t="shared" si="3"/>
        <v>6662.595371</v>
      </c>
    </row>
    <row r="119">
      <c r="A119" s="103">
        <f t="shared" si="4"/>
        <v>109</v>
      </c>
      <c r="B119" s="103">
        <f t="shared" si="5"/>
        <v>74.08333333</v>
      </c>
      <c r="C119" s="102">
        <f t="shared" si="1"/>
        <v>8361.628713</v>
      </c>
      <c r="D119" s="102">
        <f t="shared" si="6"/>
        <v>7904.038819</v>
      </c>
      <c r="E119" s="103">
        <f t="shared" si="7"/>
        <v>0.8416030197</v>
      </c>
      <c r="F119" s="102">
        <f t="shared" si="2"/>
        <v>7037.171974</v>
      </c>
      <c r="G119" s="102">
        <f t="shared" si="3"/>
        <v>6652.062938</v>
      </c>
    </row>
    <row r="120">
      <c r="A120" s="103">
        <f t="shared" si="4"/>
        <v>110</v>
      </c>
      <c r="B120" s="103">
        <f t="shared" si="5"/>
        <v>74.16666667</v>
      </c>
      <c r="C120" s="102">
        <f t="shared" si="1"/>
        <v>8361.628713</v>
      </c>
      <c r="D120" s="102">
        <f t="shared" si="6"/>
        <v>7904.038819</v>
      </c>
      <c r="E120" s="103">
        <f t="shared" si="7"/>
        <v>0.8402725881</v>
      </c>
      <c r="F120" s="102">
        <f t="shared" si="2"/>
        <v>7026.047399</v>
      </c>
      <c r="G120" s="102">
        <f t="shared" si="3"/>
        <v>6641.547155</v>
      </c>
    </row>
    <row r="121">
      <c r="A121" s="103">
        <f t="shared" si="4"/>
        <v>111</v>
      </c>
      <c r="B121" s="103">
        <f t="shared" si="5"/>
        <v>74.25</v>
      </c>
      <c r="C121" s="102">
        <f t="shared" si="1"/>
        <v>8361.628713</v>
      </c>
      <c r="D121" s="102">
        <f t="shared" si="6"/>
        <v>7904.038819</v>
      </c>
      <c r="E121" s="103">
        <f t="shared" si="7"/>
        <v>0.8389442597</v>
      </c>
      <c r="F121" s="102">
        <f t="shared" si="2"/>
        <v>7014.94041</v>
      </c>
      <c r="G121" s="102">
        <f t="shared" si="3"/>
        <v>6631.047996</v>
      </c>
    </row>
    <row r="122">
      <c r="A122" s="103">
        <f t="shared" si="4"/>
        <v>112</v>
      </c>
      <c r="B122" s="103">
        <f t="shared" si="5"/>
        <v>74.33333333</v>
      </c>
      <c r="C122" s="102">
        <f t="shared" si="1"/>
        <v>8361.628713</v>
      </c>
      <c r="D122" s="102">
        <f t="shared" si="6"/>
        <v>7904.038819</v>
      </c>
      <c r="E122" s="103">
        <f t="shared" si="7"/>
        <v>0.8376180312</v>
      </c>
      <c r="F122" s="102">
        <f t="shared" si="2"/>
        <v>7003.85098</v>
      </c>
      <c r="G122" s="102">
        <f t="shared" si="3"/>
        <v>6620.565434</v>
      </c>
    </row>
    <row r="123">
      <c r="A123" s="103">
        <f t="shared" si="4"/>
        <v>113</v>
      </c>
      <c r="B123" s="103">
        <f t="shared" si="5"/>
        <v>74.41666667</v>
      </c>
      <c r="C123" s="102">
        <f t="shared" si="1"/>
        <v>8361.628713</v>
      </c>
      <c r="D123" s="102">
        <f t="shared" si="6"/>
        <v>7904.038819</v>
      </c>
      <c r="E123" s="103">
        <f t="shared" si="7"/>
        <v>0.8362938992</v>
      </c>
      <c r="F123" s="102">
        <f t="shared" si="2"/>
        <v>6992.779079</v>
      </c>
      <c r="G123" s="102">
        <f t="shared" si="3"/>
        <v>6610.099443</v>
      </c>
    </row>
    <row r="124">
      <c r="A124" s="103">
        <f t="shared" si="4"/>
        <v>114</v>
      </c>
      <c r="B124" s="103">
        <f t="shared" si="5"/>
        <v>74.5</v>
      </c>
      <c r="C124" s="102">
        <f t="shared" si="1"/>
        <v>8361.628713</v>
      </c>
      <c r="D124" s="102">
        <f t="shared" si="6"/>
        <v>7904.038819</v>
      </c>
      <c r="E124" s="103">
        <f t="shared" si="7"/>
        <v>0.8349718604</v>
      </c>
      <c r="F124" s="102">
        <f t="shared" si="2"/>
        <v>6981.724682</v>
      </c>
      <c r="G124" s="102">
        <f t="shared" si="3"/>
        <v>6599.649998</v>
      </c>
    </row>
    <row r="125">
      <c r="A125" s="103">
        <f t="shared" si="4"/>
        <v>115</v>
      </c>
      <c r="B125" s="103">
        <f t="shared" si="5"/>
        <v>74.58333333</v>
      </c>
      <c r="C125" s="102">
        <f t="shared" si="1"/>
        <v>8361.628713</v>
      </c>
      <c r="D125" s="102">
        <f t="shared" si="6"/>
        <v>7904.038819</v>
      </c>
      <c r="E125" s="103">
        <f t="shared" si="7"/>
        <v>0.8336519115</v>
      </c>
      <c r="F125" s="102">
        <f t="shared" si="2"/>
        <v>6970.68776</v>
      </c>
      <c r="G125" s="102">
        <f t="shared" si="3"/>
        <v>6589.217071</v>
      </c>
    </row>
    <row r="126">
      <c r="A126" s="103">
        <f t="shared" si="4"/>
        <v>116</v>
      </c>
      <c r="B126" s="103">
        <f t="shared" si="5"/>
        <v>74.66666667</v>
      </c>
      <c r="C126" s="102">
        <f t="shared" si="1"/>
        <v>8361.628713</v>
      </c>
      <c r="D126" s="102">
        <f t="shared" si="6"/>
        <v>7904.038819</v>
      </c>
      <c r="E126" s="103">
        <f t="shared" si="7"/>
        <v>0.8323340493</v>
      </c>
      <c r="F126" s="102">
        <f t="shared" si="2"/>
        <v>6959.668285</v>
      </c>
      <c r="G126" s="102">
        <f t="shared" si="3"/>
        <v>6578.800636</v>
      </c>
    </row>
    <row r="127">
      <c r="A127" s="103">
        <f t="shared" si="4"/>
        <v>117</v>
      </c>
      <c r="B127" s="103">
        <f t="shared" si="5"/>
        <v>74.75</v>
      </c>
      <c r="C127" s="102">
        <f t="shared" si="1"/>
        <v>8361.628713</v>
      </c>
      <c r="D127" s="102">
        <f t="shared" si="6"/>
        <v>7904.038819</v>
      </c>
      <c r="E127" s="103">
        <f t="shared" si="7"/>
        <v>0.8310182704</v>
      </c>
      <c r="F127" s="102">
        <f t="shared" si="2"/>
        <v>6948.66623</v>
      </c>
      <c r="G127" s="102">
        <f t="shared" si="3"/>
        <v>6568.400669</v>
      </c>
    </row>
    <row r="128">
      <c r="A128" s="103">
        <f t="shared" si="4"/>
        <v>118</v>
      </c>
      <c r="B128" s="103">
        <f t="shared" si="5"/>
        <v>74.83333333</v>
      </c>
      <c r="C128" s="102">
        <f t="shared" si="1"/>
        <v>8361.628713</v>
      </c>
      <c r="D128" s="102">
        <f t="shared" si="6"/>
        <v>7904.038819</v>
      </c>
      <c r="E128" s="103">
        <f t="shared" si="7"/>
        <v>0.8297045715</v>
      </c>
      <c r="F128" s="102">
        <f t="shared" si="2"/>
        <v>6937.681568</v>
      </c>
      <c r="G128" s="102">
        <f t="shared" si="3"/>
        <v>6558.017141</v>
      </c>
    </row>
    <row r="129">
      <c r="A129" s="103">
        <f t="shared" si="4"/>
        <v>119</v>
      </c>
      <c r="B129" s="103">
        <f t="shared" si="5"/>
        <v>74.91666667</v>
      </c>
      <c r="C129" s="102">
        <f t="shared" si="1"/>
        <v>8361.628713</v>
      </c>
      <c r="D129" s="102">
        <f t="shared" si="6"/>
        <v>7904.038819</v>
      </c>
      <c r="E129" s="103">
        <f t="shared" si="7"/>
        <v>0.8283929493</v>
      </c>
      <c r="F129" s="102">
        <f t="shared" si="2"/>
        <v>6926.71427</v>
      </c>
      <c r="G129" s="102">
        <f t="shared" si="3"/>
        <v>6547.650029</v>
      </c>
    </row>
    <row r="130">
      <c r="A130" s="103">
        <f t="shared" si="4"/>
        <v>120</v>
      </c>
      <c r="B130" s="103">
        <f t="shared" si="5"/>
        <v>75</v>
      </c>
      <c r="C130" s="102">
        <f t="shared" si="1"/>
        <v>8361.628713</v>
      </c>
      <c r="D130" s="102">
        <f t="shared" si="6"/>
        <v>8062.119596</v>
      </c>
      <c r="E130" s="103">
        <f t="shared" si="7"/>
        <v>0.8270834006</v>
      </c>
      <c r="F130" s="102">
        <f t="shared" si="2"/>
        <v>6915.76431</v>
      </c>
      <c r="G130" s="102">
        <f t="shared" si="3"/>
        <v>6668.045291</v>
      </c>
    </row>
    <row r="131">
      <c r="A131" s="103">
        <f t="shared" si="4"/>
        <v>121</v>
      </c>
      <c r="B131" s="103">
        <f t="shared" si="5"/>
        <v>75.08333333</v>
      </c>
      <c r="C131" s="102">
        <f t="shared" si="1"/>
        <v>8361.628713</v>
      </c>
      <c r="D131" s="102">
        <f t="shared" si="6"/>
        <v>8062.119596</v>
      </c>
      <c r="E131" s="103">
        <f t="shared" si="7"/>
        <v>0.825775922</v>
      </c>
      <c r="F131" s="102">
        <f t="shared" si="2"/>
        <v>6904.83166</v>
      </c>
      <c r="G131" s="102">
        <f t="shared" si="3"/>
        <v>6657.504243</v>
      </c>
    </row>
    <row r="132">
      <c r="A132" s="103">
        <f t="shared" si="4"/>
        <v>122</v>
      </c>
      <c r="B132" s="103">
        <f t="shared" si="5"/>
        <v>75.16666667</v>
      </c>
      <c r="C132" s="102">
        <f t="shared" si="1"/>
        <v>8361.628713</v>
      </c>
      <c r="D132" s="102">
        <f t="shared" si="6"/>
        <v>8062.119596</v>
      </c>
      <c r="E132" s="103">
        <f t="shared" si="7"/>
        <v>0.8244705104</v>
      </c>
      <c r="F132" s="102">
        <f t="shared" si="2"/>
        <v>6893.916292</v>
      </c>
      <c r="G132" s="102">
        <f t="shared" si="3"/>
        <v>6646.979858</v>
      </c>
    </row>
    <row r="133">
      <c r="A133" s="103">
        <f t="shared" si="4"/>
        <v>123</v>
      </c>
      <c r="B133" s="103">
        <f t="shared" si="5"/>
        <v>75.25</v>
      </c>
      <c r="C133" s="102">
        <f t="shared" si="1"/>
        <v>8361.628713</v>
      </c>
      <c r="D133" s="102">
        <f t="shared" si="6"/>
        <v>8062.119596</v>
      </c>
      <c r="E133" s="103">
        <f t="shared" si="7"/>
        <v>0.8231671624</v>
      </c>
      <c r="F133" s="102">
        <f t="shared" si="2"/>
        <v>6883.01818</v>
      </c>
      <c r="G133" s="102">
        <f t="shared" si="3"/>
        <v>6636.47211</v>
      </c>
    </row>
    <row r="134">
      <c r="A134" s="103">
        <f t="shared" si="4"/>
        <v>124</v>
      </c>
      <c r="B134" s="103">
        <f t="shared" si="5"/>
        <v>75.33333333</v>
      </c>
      <c r="C134" s="102">
        <f t="shared" si="1"/>
        <v>8361.628713</v>
      </c>
      <c r="D134" s="102">
        <f t="shared" si="6"/>
        <v>8062.119596</v>
      </c>
      <c r="E134" s="103">
        <f t="shared" si="7"/>
        <v>0.8218658747</v>
      </c>
      <c r="F134" s="102">
        <f t="shared" si="2"/>
        <v>6872.137296</v>
      </c>
      <c r="G134" s="102">
        <f t="shared" si="3"/>
        <v>6625.980974</v>
      </c>
    </row>
    <row r="135">
      <c r="A135" s="103">
        <f t="shared" si="4"/>
        <v>125</v>
      </c>
      <c r="B135" s="103">
        <f t="shared" si="5"/>
        <v>75.41666667</v>
      </c>
      <c r="C135" s="102">
        <f t="shared" si="1"/>
        <v>8361.628713</v>
      </c>
      <c r="D135" s="102">
        <f t="shared" si="6"/>
        <v>8062.119596</v>
      </c>
      <c r="E135" s="103">
        <f t="shared" si="7"/>
        <v>0.8205666442</v>
      </c>
      <c r="F135" s="102">
        <f t="shared" si="2"/>
        <v>6861.273613</v>
      </c>
      <c r="G135" s="102">
        <f t="shared" si="3"/>
        <v>6615.506422</v>
      </c>
    </row>
    <row r="136">
      <c r="A136" s="103">
        <f t="shared" si="4"/>
        <v>126</v>
      </c>
      <c r="B136" s="103">
        <f t="shared" si="5"/>
        <v>75.5</v>
      </c>
      <c r="C136" s="102">
        <f t="shared" si="1"/>
        <v>8361.628713</v>
      </c>
      <c r="D136" s="102">
        <f t="shared" si="6"/>
        <v>8062.119596</v>
      </c>
      <c r="E136" s="103">
        <f t="shared" si="7"/>
        <v>0.8192694676</v>
      </c>
      <c r="F136" s="102">
        <f t="shared" si="2"/>
        <v>6850.427103</v>
      </c>
      <c r="G136" s="102">
        <f t="shared" si="3"/>
        <v>6605.048429</v>
      </c>
    </row>
    <row r="137">
      <c r="A137" s="103">
        <f t="shared" si="4"/>
        <v>127</v>
      </c>
      <c r="B137" s="103">
        <f t="shared" si="5"/>
        <v>75.58333333</v>
      </c>
      <c r="C137" s="102">
        <f t="shared" si="1"/>
        <v>8361.628713</v>
      </c>
      <c r="D137" s="102">
        <f t="shared" si="6"/>
        <v>8062.119596</v>
      </c>
      <c r="E137" s="103">
        <f t="shared" si="7"/>
        <v>0.8179743415</v>
      </c>
      <c r="F137" s="102">
        <f t="shared" si="2"/>
        <v>6839.59774</v>
      </c>
      <c r="G137" s="102">
        <f t="shared" si="3"/>
        <v>6594.606968</v>
      </c>
    </row>
    <row r="138">
      <c r="A138" s="103">
        <f t="shared" si="4"/>
        <v>128</v>
      </c>
      <c r="B138" s="103">
        <f t="shared" si="5"/>
        <v>75.66666667</v>
      </c>
      <c r="C138" s="102">
        <f t="shared" si="1"/>
        <v>8361.628713</v>
      </c>
      <c r="D138" s="102">
        <f t="shared" si="6"/>
        <v>8062.119596</v>
      </c>
      <c r="E138" s="103">
        <f t="shared" si="7"/>
        <v>0.8166812629</v>
      </c>
      <c r="F138" s="102">
        <f t="shared" si="2"/>
        <v>6828.785497</v>
      </c>
      <c r="G138" s="102">
        <f t="shared" si="3"/>
        <v>6584.182013</v>
      </c>
    </row>
    <row r="139">
      <c r="A139" s="103">
        <f t="shared" si="4"/>
        <v>129</v>
      </c>
      <c r="B139" s="103">
        <f t="shared" si="5"/>
        <v>75.75</v>
      </c>
      <c r="C139" s="102">
        <f t="shared" si="1"/>
        <v>8361.628713</v>
      </c>
      <c r="D139" s="102">
        <f t="shared" si="6"/>
        <v>8062.119596</v>
      </c>
      <c r="E139" s="103">
        <f t="shared" si="7"/>
        <v>0.8153902283</v>
      </c>
      <c r="F139" s="102">
        <f t="shared" si="2"/>
        <v>6817.990345</v>
      </c>
      <c r="G139" s="102">
        <f t="shared" si="3"/>
        <v>6573.773538</v>
      </c>
    </row>
    <row r="140">
      <c r="A140" s="103">
        <f t="shared" si="4"/>
        <v>130</v>
      </c>
      <c r="B140" s="103">
        <f t="shared" si="5"/>
        <v>75.83333333</v>
      </c>
      <c r="C140" s="102">
        <f t="shared" si="1"/>
        <v>8361.628713</v>
      </c>
      <c r="D140" s="102">
        <f t="shared" si="6"/>
        <v>8062.119596</v>
      </c>
      <c r="E140" s="103">
        <f t="shared" si="7"/>
        <v>0.8141012347</v>
      </c>
      <c r="F140" s="102">
        <f t="shared" si="2"/>
        <v>6807.212259</v>
      </c>
      <c r="G140" s="102">
        <f t="shared" si="3"/>
        <v>6563.381517</v>
      </c>
    </row>
    <row r="141">
      <c r="A141" s="103">
        <f t="shared" si="4"/>
        <v>131</v>
      </c>
      <c r="B141" s="103">
        <f t="shared" si="5"/>
        <v>75.91666667</v>
      </c>
      <c r="C141" s="102">
        <f t="shared" si="1"/>
        <v>8361.628713</v>
      </c>
      <c r="D141" s="102">
        <f t="shared" si="6"/>
        <v>8062.119596</v>
      </c>
      <c r="E141" s="103">
        <f t="shared" si="7"/>
        <v>0.8128142788</v>
      </c>
      <c r="F141" s="102">
        <f t="shared" si="2"/>
        <v>6796.451211</v>
      </c>
      <c r="G141" s="102">
        <f t="shared" si="3"/>
        <v>6553.005925</v>
      </c>
    </row>
    <row r="142">
      <c r="A142" s="103">
        <f t="shared" si="4"/>
        <v>132</v>
      </c>
      <c r="B142" s="103">
        <f t="shared" si="5"/>
        <v>76</v>
      </c>
      <c r="C142" s="102">
        <f t="shared" si="1"/>
        <v>8361.628713</v>
      </c>
      <c r="D142" s="102">
        <f t="shared" si="6"/>
        <v>8223.361988</v>
      </c>
      <c r="E142" s="103">
        <f t="shared" si="7"/>
        <v>0.8115293573</v>
      </c>
      <c r="F142" s="102">
        <f t="shared" si="2"/>
        <v>6785.707175</v>
      </c>
      <c r="G142" s="102">
        <f t="shared" si="3"/>
        <v>6673.499669</v>
      </c>
    </row>
    <row r="143">
      <c r="A143" s="103">
        <f t="shared" si="4"/>
        <v>133</v>
      </c>
      <c r="B143" s="103">
        <f t="shared" si="5"/>
        <v>76.08333333</v>
      </c>
      <c r="C143" s="102">
        <f t="shared" si="1"/>
        <v>8361.628713</v>
      </c>
      <c r="D143" s="102">
        <f t="shared" si="6"/>
        <v>8223.361988</v>
      </c>
      <c r="E143" s="103">
        <f t="shared" si="7"/>
        <v>0.810246467</v>
      </c>
      <c r="F143" s="102">
        <f t="shared" si="2"/>
        <v>6774.980123</v>
      </c>
      <c r="G143" s="102">
        <f t="shared" si="3"/>
        <v>6662.949998</v>
      </c>
    </row>
    <row r="144">
      <c r="A144" s="103">
        <f t="shared" si="4"/>
        <v>134</v>
      </c>
      <c r="B144" s="103">
        <f t="shared" si="5"/>
        <v>76.16666667</v>
      </c>
      <c r="C144" s="102">
        <f t="shared" si="1"/>
        <v>8361.628713</v>
      </c>
      <c r="D144" s="102">
        <f t="shared" si="6"/>
        <v>8223.361988</v>
      </c>
      <c r="E144" s="103">
        <f t="shared" si="7"/>
        <v>0.8089656048</v>
      </c>
      <c r="F144" s="102">
        <f t="shared" si="2"/>
        <v>6764.270029</v>
      </c>
      <c r="G144" s="102">
        <f t="shared" si="3"/>
        <v>6652.417004</v>
      </c>
    </row>
    <row r="145">
      <c r="A145" s="103">
        <f t="shared" si="4"/>
        <v>135</v>
      </c>
      <c r="B145" s="103">
        <f t="shared" si="5"/>
        <v>76.25</v>
      </c>
      <c r="C145" s="102">
        <f t="shared" si="1"/>
        <v>8361.628713</v>
      </c>
      <c r="D145" s="102">
        <f t="shared" si="6"/>
        <v>8223.361988</v>
      </c>
      <c r="E145" s="103">
        <f t="shared" si="7"/>
        <v>0.8076867675</v>
      </c>
      <c r="F145" s="102">
        <f t="shared" si="2"/>
        <v>6753.576866</v>
      </c>
      <c r="G145" s="102">
        <f t="shared" si="3"/>
        <v>6641.900661</v>
      </c>
    </row>
    <row r="146">
      <c r="A146" s="103">
        <f t="shared" si="4"/>
        <v>136</v>
      </c>
      <c r="B146" s="103">
        <f t="shared" si="5"/>
        <v>76.33333333</v>
      </c>
      <c r="C146" s="102">
        <f t="shared" si="1"/>
        <v>8361.628713</v>
      </c>
      <c r="D146" s="102">
        <f t="shared" si="6"/>
        <v>8223.361988</v>
      </c>
      <c r="E146" s="103">
        <f t="shared" si="7"/>
        <v>0.8064099517</v>
      </c>
      <c r="F146" s="102">
        <f t="shared" si="2"/>
        <v>6742.900606</v>
      </c>
      <c r="G146" s="102">
        <f t="shared" si="3"/>
        <v>6631.400943</v>
      </c>
    </row>
    <row r="147">
      <c r="A147" s="103">
        <f t="shared" si="4"/>
        <v>137</v>
      </c>
      <c r="B147" s="103">
        <f t="shared" si="5"/>
        <v>76.41666667</v>
      </c>
      <c r="C147" s="102">
        <f t="shared" si="1"/>
        <v>8361.628713</v>
      </c>
      <c r="D147" s="102">
        <f t="shared" si="6"/>
        <v>8223.361988</v>
      </c>
      <c r="E147" s="103">
        <f t="shared" si="7"/>
        <v>0.8051351544</v>
      </c>
      <c r="F147" s="102">
        <f t="shared" si="2"/>
        <v>6732.241224</v>
      </c>
      <c r="G147" s="102">
        <f t="shared" si="3"/>
        <v>6620.917823</v>
      </c>
    </row>
    <row r="148">
      <c r="A148" s="103">
        <f t="shared" si="4"/>
        <v>138</v>
      </c>
      <c r="B148" s="103">
        <f t="shared" si="5"/>
        <v>76.5</v>
      </c>
      <c r="C148" s="102">
        <f t="shared" si="1"/>
        <v>8361.628713</v>
      </c>
      <c r="D148" s="102">
        <f t="shared" si="6"/>
        <v>8223.361988</v>
      </c>
      <c r="E148" s="103">
        <f t="shared" si="7"/>
        <v>0.8038623723</v>
      </c>
      <c r="F148" s="102">
        <f t="shared" si="2"/>
        <v>6721.598693</v>
      </c>
      <c r="G148" s="102">
        <f t="shared" si="3"/>
        <v>6610.451276</v>
      </c>
    </row>
    <row r="149">
      <c r="A149" s="103">
        <f t="shared" si="4"/>
        <v>139</v>
      </c>
      <c r="B149" s="103">
        <f t="shared" si="5"/>
        <v>76.58333333</v>
      </c>
      <c r="C149" s="102">
        <f t="shared" si="1"/>
        <v>8361.628713</v>
      </c>
      <c r="D149" s="102">
        <f t="shared" si="6"/>
        <v>8223.361988</v>
      </c>
      <c r="E149" s="103">
        <f t="shared" si="7"/>
        <v>0.8025916022</v>
      </c>
      <c r="F149" s="102">
        <f t="shared" si="2"/>
        <v>6710.972986</v>
      </c>
      <c r="G149" s="102">
        <f t="shared" si="3"/>
        <v>6600.001274</v>
      </c>
    </row>
    <row r="150">
      <c r="A150" s="103">
        <f t="shared" si="4"/>
        <v>140</v>
      </c>
      <c r="B150" s="103">
        <f t="shared" si="5"/>
        <v>76.66666667</v>
      </c>
      <c r="C150" s="102">
        <f t="shared" si="1"/>
        <v>8361.628713</v>
      </c>
      <c r="D150" s="102">
        <f t="shared" si="6"/>
        <v>8223.361988</v>
      </c>
      <c r="E150" s="103">
        <f t="shared" si="7"/>
        <v>0.8013228411</v>
      </c>
      <c r="F150" s="102">
        <f t="shared" si="2"/>
        <v>6700.364076</v>
      </c>
      <c r="G150" s="102">
        <f t="shared" si="3"/>
        <v>6589.567791</v>
      </c>
    </row>
    <row r="151">
      <c r="A151" s="103">
        <f t="shared" si="4"/>
        <v>141</v>
      </c>
      <c r="B151" s="103">
        <f t="shared" si="5"/>
        <v>76.75</v>
      </c>
      <c r="C151" s="102">
        <f t="shared" si="1"/>
        <v>8361.628713</v>
      </c>
      <c r="D151" s="102">
        <f t="shared" si="6"/>
        <v>8223.361988</v>
      </c>
      <c r="E151" s="103">
        <f t="shared" si="7"/>
        <v>0.8000560856</v>
      </c>
      <c r="F151" s="102">
        <f t="shared" si="2"/>
        <v>6689.771937</v>
      </c>
      <c r="G151" s="102">
        <f t="shared" si="3"/>
        <v>6579.150802</v>
      </c>
    </row>
    <row r="152">
      <c r="A152" s="103">
        <f t="shared" si="4"/>
        <v>142</v>
      </c>
      <c r="B152" s="103">
        <f t="shared" si="5"/>
        <v>76.83333333</v>
      </c>
      <c r="C152" s="102">
        <f t="shared" si="1"/>
        <v>8361.628713</v>
      </c>
      <c r="D152" s="102">
        <f t="shared" si="6"/>
        <v>8223.361988</v>
      </c>
      <c r="E152" s="103">
        <f t="shared" si="7"/>
        <v>0.7987913327</v>
      </c>
      <c r="F152" s="102">
        <f t="shared" si="2"/>
        <v>6679.196543</v>
      </c>
      <c r="G152" s="102">
        <f t="shared" si="3"/>
        <v>6568.750281</v>
      </c>
    </row>
    <row r="153">
      <c r="A153" s="103">
        <f t="shared" si="4"/>
        <v>143</v>
      </c>
      <c r="B153" s="103">
        <f t="shared" si="5"/>
        <v>76.91666667</v>
      </c>
      <c r="C153" s="102">
        <f t="shared" si="1"/>
        <v>8361.628713</v>
      </c>
      <c r="D153" s="102">
        <f t="shared" si="6"/>
        <v>8223.361988</v>
      </c>
      <c r="E153" s="103">
        <f t="shared" si="7"/>
        <v>0.7975285791</v>
      </c>
      <c r="F153" s="102">
        <f t="shared" si="2"/>
        <v>6668.637866</v>
      </c>
      <c r="G153" s="102">
        <f t="shared" si="3"/>
        <v>6558.366201</v>
      </c>
    </row>
    <row r="154">
      <c r="A154" s="103">
        <f t="shared" si="4"/>
        <v>144</v>
      </c>
      <c r="B154" s="103">
        <f t="shared" si="5"/>
        <v>77</v>
      </c>
      <c r="C154" s="102">
        <f t="shared" si="1"/>
        <v>8361.628713</v>
      </c>
      <c r="D154" s="102">
        <f t="shared" si="6"/>
        <v>8387.829227</v>
      </c>
      <c r="E154" s="103">
        <f t="shared" si="7"/>
        <v>0.7962678217</v>
      </c>
      <c r="F154" s="102">
        <f t="shared" si="2"/>
        <v>6658.095881</v>
      </c>
      <c r="G154" s="102">
        <f t="shared" si="3"/>
        <v>6678.958508</v>
      </c>
    </row>
    <row r="155">
      <c r="A155" s="103">
        <f t="shared" si="4"/>
        <v>145</v>
      </c>
      <c r="B155" s="103">
        <f t="shared" si="5"/>
        <v>77.08333333</v>
      </c>
      <c r="C155" s="102">
        <f t="shared" si="1"/>
        <v>8361.628713</v>
      </c>
      <c r="D155" s="102">
        <f t="shared" si="6"/>
        <v>8387.829227</v>
      </c>
      <c r="E155" s="103">
        <f t="shared" si="7"/>
        <v>0.7950090574</v>
      </c>
      <c r="F155" s="102">
        <f t="shared" si="2"/>
        <v>6647.570561</v>
      </c>
      <c r="G155" s="102">
        <f t="shared" si="3"/>
        <v>6668.400207</v>
      </c>
    </row>
    <row r="156">
      <c r="A156" s="103">
        <f t="shared" si="4"/>
        <v>146</v>
      </c>
      <c r="B156" s="103">
        <f t="shared" si="5"/>
        <v>77.16666667</v>
      </c>
      <c r="C156" s="102">
        <f t="shared" si="1"/>
        <v>8361.628713</v>
      </c>
      <c r="D156" s="102">
        <f t="shared" si="6"/>
        <v>8387.829227</v>
      </c>
      <c r="E156" s="103">
        <f t="shared" si="7"/>
        <v>0.7937522829</v>
      </c>
      <c r="F156" s="102">
        <f t="shared" si="2"/>
        <v>6637.061879</v>
      </c>
      <c r="G156" s="102">
        <f t="shared" si="3"/>
        <v>6657.858598</v>
      </c>
    </row>
    <row r="157">
      <c r="A157" s="103">
        <f t="shared" si="4"/>
        <v>147</v>
      </c>
      <c r="B157" s="103">
        <f t="shared" si="5"/>
        <v>77.25</v>
      </c>
      <c r="C157" s="102">
        <f t="shared" si="1"/>
        <v>8361.628713</v>
      </c>
      <c r="D157" s="102">
        <f t="shared" si="6"/>
        <v>8387.829227</v>
      </c>
      <c r="E157" s="103">
        <f t="shared" si="7"/>
        <v>0.7924974952</v>
      </c>
      <c r="F157" s="102">
        <f t="shared" si="2"/>
        <v>6626.569811</v>
      </c>
      <c r="G157" s="102">
        <f t="shared" si="3"/>
        <v>6647.333653</v>
      </c>
    </row>
    <row r="158">
      <c r="A158" s="103">
        <f t="shared" si="4"/>
        <v>148</v>
      </c>
      <c r="B158" s="103">
        <f t="shared" si="5"/>
        <v>77.33333333</v>
      </c>
      <c r="C158" s="102">
        <f t="shared" si="1"/>
        <v>8361.628713</v>
      </c>
      <c r="D158" s="102">
        <f t="shared" si="6"/>
        <v>8387.829227</v>
      </c>
      <c r="E158" s="103">
        <f t="shared" si="7"/>
        <v>0.7912446911</v>
      </c>
      <c r="F158" s="102">
        <f t="shared" si="2"/>
        <v>6616.094328</v>
      </c>
      <c r="G158" s="102">
        <f t="shared" si="3"/>
        <v>6636.825346</v>
      </c>
    </row>
    <row r="159">
      <c r="A159" s="103">
        <f t="shared" si="4"/>
        <v>149</v>
      </c>
      <c r="B159" s="103">
        <f t="shared" si="5"/>
        <v>77.41666667</v>
      </c>
      <c r="C159" s="102">
        <f t="shared" si="1"/>
        <v>8361.628713</v>
      </c>
      <c r="D159" s="102">
        <f t="shared" si="6"/>
        <v>8387.829227</v>
      </c>
      <c r="E159" s="103">
        <f t="shared" si="7"/>
        <v>0.7899938675</v>
      </c>
      <c r="F159" s="102">
        <f t="shared" si="2"/>
        <v>6605.635405</v>
      </c>
      <c r="G159" s="102">
        <f t="shared" si="3"/>
        <v>6626.333651</v>
      </c>
    </row>
    <row r="160">
      <c r="A160" s="103">
        <f t="shared" si="4"/>
        <v>150</v>
      </c>
      <c r="B160" s="103">
        <f t="shared" si="5"/>
        <v>77.5</v>
      </c>
      <c r="C160" s="102">
        <f t="shared" si="1"/>
        <v>8361.628713</v>
      </c>
      <c r="D160" s="102">
        <f t="shared" si="6"/>
        <v>8387.829227</v>
      </c>
      <c r="E160" s="103">
        <f t="shared" si="7"/>
        <v>0.7887450212</v>
      </c>
      <c r="F160" s="102">
        <f t="shared" si="2"/>
        <v>6595.193016</v>
      </c>
      <c r="G160" s="102">
        <f t="shared" si="3"/>
        <v>6615.858542</v>
      </c>
    </row>
    <row r="161">
      <c r="A161" s="103">
        <f t="shared" si="4"/>
        <v>151</v>
      </c>
      <c r="B161" s="103">
        <f t="shared" si="5"/>
        <v>77.58333333</v>
      </c>
      <c r="C161" s="102">
        <f t="shared" si="1"/>
        <v>8361.628713</v>
      </c>
      <c r="D161" s="102">
        <f t="shared" si="6"/>
        <v>8387.829227</v>
      </c>
      <c r="E161" s="103">
        <f t="shared" si="7"/>
        <v>0.7874981491</v>
      </c>
      <c r="F161" s="102">
        <f t="shared" si="2"/>
        <v>6584.767135</v>
      </c>
      <c r="G161" s="102">
        <f t="shared" si="3"/>
        <v>6605.399992</v>
      </c>
    </row>
    <row r="162">
      <c r="A162" s="103">
        <f t="shared" si="4"/>
        <v>152</v>
      </c>
      <c r="B162" s="103">
        <f t="shared" si="5"/>
        <v>77.66666667</v>
      </c>
      <c r="C162" s="102">
        <f t="shared" si="1"/>
        <v>8361.628713</v>
      </c>
      <c r="D162" s="102">
        <f t="shared" si="6"/>
        <v>8387.829227</v>
      </c>
      <c r="E162" s="103">
        <f t="shared" si="7"/>
        <v>0.7862532482</v>
      </c>
      <c r="F162" s="102">
        <f t="shared" si="2"/>
        <v>6574.357735</v>
      </c>
      <c r="G162" s="102">
        <f t="shared" si="3"/>
        <v>6594.957975</v>
      </c>
    </row>
    <row r="163">
      <c r="A163" s="103">
        <f t="shared" si="4"/>
        <v>153</v>
      </c>
      <c r="B163" s="103">
        <f t="shared" si="5"/>
        <v>77.75</v>
      </c>
      <c r="C163" s="102">
        <f t="shared" si="1"/>
        <v>8361.628713</v>
      </c>
      <c r="D163" s="102">
        <f t="shared" si="6"/>
        <v>8387.829227</v>
      </c>
      <c r="E163" s="103">
        <f t="shared" si="7"/>
        <v>0.7850103152</v>
      </c>
      <c r="F163" s="102">
        <f t="shared" si="2"/>
        <v>6563.964791</v>
      </c>
      <c r="G163" s="102">
        <f t="shared" si="3"/>
        <v>6584.532465</v>
      </c>
    </row>
    <row r="164">
      <c r="A164" s="103">
        <f t="shared" si="4"/>
        <v>154</v>
      </c>
      <c r="B164" s="103">
        <f t="shared" si="5"/>
        <v>77.83333333</v>
      </c>
      <c r="C164" s="102">
        <f t="shared" si="1"/>
        <v>8361.628713</v>
      </c>
      <c r="D164" s="102">
        <f t="shared" si="6"/>
        <v>8387.829227</v>
      </c>
      <c r="E164" s="103">
        <f t="shared" si="7"/>
        <v>0.783769347</v>
      </c>
      <c r="F164" s="102">
        <f t="shared" si="2"/>
        <v>6553.588276</v>
      </c>
      <c r="G164" s="102">
        <f t="shared" si="3"/>
        <v>6574.123437</v>
      </c>
    </row>
    <row r="165">
      <c r="A165" s="103">
        <f t="shared" si="4"/>
        <v>155</v>
      </c>
      <c r="B165" s="103">
        <f t="shared" si="5"/>
        <v>77.91666667</v>
      </c>
      <c r="C165" s="102">
        <f t="shared" si="1"/>
        <v>8361.628713</v>
      </c>
      <c r="D165" s="102">
        <f t="shared" si="6"/>
        <v>8387.829227</v>
      </c>
      <c r="E165" s="103">
        <f t="shared" si="7"/>
        <v>0.7825303407</v>
      </c>
      <c r="F165" s="102">
        <f t="shared" si="2"/>
        <v>6543.228165</v>
      </c>
      <c r="G165" s="102">
        <f t="shared" si="3"/>
        <v>6563.730863</v>
      </c>
    </row>
    <row r="166">
      <c r="A166" s="103">
        <f t="shared" si="4"/>
        <v>156</v>
      </c>
      <c r="B166" s="103">
        <f t="shared" si="5"/>
        <v>78</v>
      </c>
      <c r="C166" s="102">
        <f t="shared" si="1"/>
        <v>8361.628713</v>
      </c>
      <c r="D166" s="102">
        <f t="shared" si="6"/>
        <v>8555.585812</v>
      </c>
      <c r="E166" s="103">
        <f t="shared" si="7"/>
        <v>0.7812932929</v>
      </c>
      <c r="F166" s="102">
        <f t="shared" si="2"/>
        <v>6532.884431</v>
      </c>
      <c r="G166" s="102">
        <f t="shared" si="3"/>
        <v>6684.421812</v>
      </c>
    </row>
    <row r="167">
      <c r="A167" s="103">
        <f t="shared" si="4"/>
        <v>157</v>
      </c>
      <c r="B167" s="103">
        <f t="shared" si="5"/>
        <v>78.08333333</v>
      </c>
      <c r="C167" s="102">
        <f t="shared" si="1"/>
        <v>8361.628713</v>
      </c>
      <c r="D167" s="102">
        <f t="shared" si="6"/>
        <v>8555.585812</v>
      </c>
      <c r="E167" s="103">
        <f t="shared" si="7"/>
        <v>0.7800582008</v>
      </c>
      <c r="F167" s="102">
        <f t="shared" si="2"/>
        <v>6522.557049</v>
      </c>
      <c r="G167" s="102">
        <f t="shared" si="3"/>
        <v>6673.854875</v>
      </c>
    </row>
    <row r="168">
      <c r="A168" s="103">
        <f t="shared" si="4"/>
        <v>158</v>
      </c>
      <c r="B168" s="103">
        <f t="shared" si="5"/>
        <v>78.16666667</v>
      </c>
      <c r="C168" s="102">
        <f t="shared" si="1"/>
        <v>8361.628713</v>
      </c>
      <c r="D168" s="102">
        <f t="shared" si="6"/>
        <v>8555.585812</v>
      </c>
      <c r="E168" s="103">
        <f t="shared" si="7"/>
        <v>0.7788250611</v>
      </c>
      <c r="F168" s="102">
        <f t="shared" si="2"/>
        <v>6512.245993</v>
      </c>
      <c r="G168" s="102">
        <f t="shared" si="3"/>
        <v>6663.304643</v>
      </c>
    </row>
    <row r="169">
      <c r="A169" s="103">
        <f t="shared" si="4"/>
        <v>159</v>
      </c>
      <c r="B169" s="103">
        <f t="shared" si="5"/>
        <v>78.25</v>
      </c>
      <c r="C169" s="102">
        <f t="shared" si="1"/>
        <v>8361.628713</v>
      </c>
      <c r="D169" s="102">
        <f t="shared" si="6"/>
        <v>8555.585812</v>
      </c>
      <c r="E169" s="103">
        <f t="shared" si="7"/>
        <v>0.7775938708</v>
      </c>
      <c r="F169" s="102">
        <f t="shared" si="2"/>
        <v>6501.951237</v>
      </c>
      <c r="G169" s="102">
        <f t="shared" si="3"/>
        <v>6652.771089</v>
      </c>
    </row>
    <row r="170">
      <c r="A170" s="103">
        <f t="shared" si="4"/>
        <v>160</v>
      </c>
      <c r="B170" s="103">
        <f t="shared" si="5"/>
        <v>78.33333333</v>
      </c>
      <c r="C170" s="102">
        <f t="shared" si="1"/>
        <v>8361.628713</v>
      </c>
      <c r="D170" s="102">
        <f t="shared" si="6"/>
        <v>8555.585812</v>
      </c>
      <c r="E170" s="103">
        <f t="shared" si="7"/>
        <v>0.7763646268</v>
      </c>
      <c r="F170" s="102">
        <f t="shared" si="2"/>
        <v>6491.672755</v>
      </c>
      <c r="G170" s="102">
        <f t="shared" si="3"/>
        <v>6642.254186</v>
      </c>
    </row>
    <row r="171">
      <c r="A171" s="103">
        <f t="shared" si="4"/>
        <v>161</v>
      </c>
      <c r="B171" s="103">
        <f t="shared" si="5"/>
        <v>78.41666667</v>
      </c>
      <c r="C171" s="102">
        <f t="shared" si="1"/>
        <v>8361.628713</v>
      </c>
      <c r="D171" s="102">
        <f t="shared" si="6"/>
        <v>8555.585812</v>
      </c>
      <c r="E171" s="103">
        <f t="shared" si="7"/>
        <v>0.7751373261</v>
      </c>
      <c r="F171" s="102">
        <f t="shared" si="2"/>
        <v>6481.410522</v>
      </c>
      <c r="G171" s="102">
        <f t="shared" si="3"/>
        <v>6631.753909</v>
      </c>
    </row>
    <row r="172">
      <c r="A172" s="103">
        <f t="shared" si="4"/>
        <v>162</v>
      </c>
      <c r="B172" s="103">
        <f t="shared" si="5"/>
        <v>78.5</v>
      </c>
      <c r="C172" s="102">
        <f t="shared" si="1"/>
        <v>8361.628713</v>
      </c>
      <c r="D172" s="102">
        <f t="shared" si="6"/>
        <v>8555.585812</v>
      </c>
      <c r="E172" s="103">
        <f t="shared" si="7"/>
        <v>0.7739119655</v>
      </c>
      <c r="F172" s="102">
        <f t="shared" si="2"/>
        <v>6471.164511</v>
      </c>
      <c r="G172" s="102">
        <f t="shared" si="3"/>
        <v>6621.270231</v>
      </c>
    </row>
    <row r="173">
      <c r="A173" s="103">
        <f t="shared" si="4"/>
        <v>163</v>
      </c>
      <c r="B173" s="103">
        <f t="shared" si="5"/>
        <v>78.58333333</v>
      </c>
      <c r="C173" s="102">
        <f t="shared" si="1"/>
        <v>8361.628713</v>
      </c>
      <c r="D173" s="102">
        <f t="shared" si="6"/>
        <v>8555.585812</v>
      </c>
      <c r="E173" s="103">
        <f t="shared" si="7"/>
        <v>0.7726885419</v>
      </c>
      <c r="F173" s="102">
        <f t="shared" si="2"/>
        <v>6460.934698</v>
      </c>
      <c r="G173" s="102">
        <f t="shared" si="3"/>
        <v>6610.803126</v>
      </c>
    </row>
    <row r="174">
      <c r="A174" s="103">
        <f t="shared" si="4"/>
        <v>164</v>
      </c>
      <c r="B174" s="103">
        <f t="shared" si="5"/>
        <v>78.66666667</v>
      </c>
      <c r="C174" s="102">
        <f t="shared" si="1"/>
        <v>8361.628713</v>
      </c>
      <c r="D174" s="102">
        <f t="shared" si="6"/>
        <v>8555.585812</v>
      </c>
      <c r="E174" s="103">
        <f t="shared" si="7"/>
        <v>0.7714670524</v>
      </c>
      <c r="F174" s="102">
        <f t="shared" si="2"/>
        <v>6450.721056</v>
      </c>
      <c r="G174" s="102">
        <f t="shared" si="3"/>
        <v>6600.352568</v>
      </c>
    </row>
    <row r="175">
      <c r="A175" s="103">
        <f t="shared" si="4"/>
        <v>165</v>
      </c>
      <c r="B175" s="103">
        <f t="shared" si="5"/>
        <v>78.75</v>
      </c>
      <c r="C175" s="102">
        <f t="shared" si="1"/>
        <v>8361.628713</v>
      </c>
      <c r="D175" s="102">
        <f t="shared" si="6"/>
        <v>8555.585812</v>
      </c>
      <c r="E175" s="103">
        <f t="shared" si="7"/>
        <v>0.7702474939</v>
      </c>
      <c r="F175" s="102">
        <f t="shared" si="2"/>
        <v>6440.523561</v>
      </c>
      <c r="G175" s="102">
        <f t="shared" si="3"/>
        <v>6589.91853</v>
      </c>
    </row>
    <row r="176">
      <c r="A176" s="103">
        <f t="shared" si="4"/>
        <v>166</v>
      </c>
      <c r="B176" s="103">
        <f t="shared" si="5"/>
        <v>78.83333333</v>
      </c>
      <c r="C176" s="102">
        <f t="shared" si="1"/>
        <v>8361.628713</v>
      </c>
      <c r="D176" s="102">
        <f t="shared" si="6"/>
        <v>8555.585812</v>
      </c>
      <c r="E176" s="103">
        <f t="shared" si="7"/>
        <v>0.7690298633</v>
      </c>
      <c r="F176" s="102">
        <f t="shared" si="2"/>
        <v>6430.342186</v>
      </c>
      <c r="G176" s="102">
        <f t="shared" si="3"/>
        <v>6579.500987</v>
      </c>
    </row>
    <row r="177">
      <c r="A177" s="103">
        <f t="shared" si="4"/>
        <v>167</v>
      </c>
      <c r="B177" s="103">
        <f t="shared" si="5"/>
        <v>78.91666667</v>
      </c>
      <c r="C177" s="102">
        <f t="shared" si="1"/>
        <v>8361.628713</v>
      </c>
      <c r="D177" s="102">
        <f t="shared" si="6"/>
        <v>8555.585812</v>
      </c>
      <c r="E177" s="103">
        <f t="shared" si="7"/>
        <v>0.7678141575</v>
      </c>
      <c r="F177" s="102">
        <f t="shared" si="2"/>
        <v>6420.176905</v>
      </c>
      <c r="G177" s="102">
        <f t="shared" si="3"/>
        <v>6569.099912</v>
      </c>
    </row>
    <row r="178">
      <c r="A178" s="103">
        <f t="shared" si="4"/>
        <v>168</v>
      </c>
      <c r="B178" s="103">
        <f t="shared" si="5"/>
        <v>79</v>
      </c>
      <c r="C178" s="102">
        <f t="shared" si="1"/>
        <v>8361.628713</v>
      </c>
      <c r="D178" s="102">
        <f t="shared" si="6"/>
        <v>8726.697528</v>
      </c>
      <c r="E178" s="103">
        <f t="shared" si="7"/>
        <v>0.7666003736</v>
      </c>
      <c r="F178" s="102">
        <f t="shared" si="2"/>
        <v>6410.027695</v>
      </c>
      <c r="G178" s="102">
        <f t="shared" si="3"/>
        <v>6689.889585</v>
      </c>
    </row>
    <row r="179">
      <c r="A179" s="103">
        <f t="shared" si="4"/>
        <v>169</v>
      </c>
      <c r="B179" s="103">
        <f t="shared" si="5"/>
        <v>79.08333333</v>
      </c>
      <c r="C179" s="102">
        <f t="shared" si="1"/>
        <v>8361.628713</v>
      </c>
      <c r="D179" s="102">
        <f t="shared" si="6"/>
        <v>8726.697528</v>
      </c>
      <c r="E179" s="103">
        <f t="shared" si="7"/>
        <v>0.7653885085</v>
      </c>
      <c r="F179" s="102">
        <f t="shared" si="2"/>
        <v>6399.894529</v>
      </c>
      <c r="G179" s="102">
        <f t="shared" si="3"/>
        <v>6679.314005</v>
      </c>
    </row>
    <row r="180">
      <c r="A180" s="103">
        <f t="shared" si="4"/>
        <v>170</v>
      </c>
      <c r="B180" s="103">
        <f t="shared" si="5"/>
        <v>79.16666667</v>
      </c>
      <c r="C180" s="102">
        <f t="shared" si="1"/>
        <v>8361.628713</v>
      </c>
      <c r="D180" s="102">
        <f t="shared" si="6"/>
        <v>8726.697528</v>
      </c>
      <c r="E180" s="103">
        <f t="shared" si="7"/>
        <v>0.7641785591</v>
      </c>
      <c r="F180" s="102">
        <f t="shared" si="2"/>
        <v>6389.777381</v>
      </c>
      <c r="G180" s="102">
        <f t="shared" si="3"/>
        <v>6668.755143</v>
      </c>
    </row>
    <row r="181">
      <c r="A181" s="103">
        <f t="shared" si="4"/>
        <v>171</v>
      </c>
      <c r="B181" s="103">
        <f t="shared" si="5"/>
        <v>79.25</v>
      </c>
      <c r="C181" s="102">
        <f t="shared" si="1"/>
        <v>8361.628713</v>
      </c>
      <c r="D181" s="102">
        <f t="shared" si="6"/>
        <v>8726.697528</v>
      </c>
      <c r="E181" s="103">
        <f t="shared" si="7"/>
        <v>0.7629705224</v>
      </c>
      <c r="F181" s="102">
        <f t="shared" si="2"/>
        <v>6379.676227</v>
      </c>
      <c r="G181" s="102">
        <f t="shared" si="3"/>
        <v>6658.212972</v>
      </c>
    </row>
    <row r="182">
      <c r="A182" s="103">
        <f t="shared" si="4"/>
        <v>172</v>
      </c>
      <c r="B182" s="103">
        <f t="shared" si="5"/>
        <v>79.33333333</v>
      </c>
      <c r="C182" s="102">
        <f t="shared" si="1"/>
        <v>8361.628713</v>
      </c>
      <c r="D182" s="102">
        <f t="shared" si="6"/>
        <v>8726.697528</v>
      </c>
      <c r="E182" s="103">
        <f t="shared" si="7"/>
        <v>0.7617643955</v>
      </c>
      <c r="F182" s="102">
        <f t="shared" si="2"/>
        <v>6369.591041</v>
      </c>
      <c r="G182" s="102">
        <f t="shared" si="3"/>
        <v>6647.687467</v>
      </c>
    </row>
    <row r="183">
      <c r="A183" s="103">
        <f t="shared" si="4"/>
        <v>173</v>
      </c>
      <c r="B183" s="103">
        <f t="shared" si="5"/>
        <v>79.41666667</v>
      </c>
      <c r="C183" s="102">
        <f t="shared" si="1"/>
        <v>8361.628713</v>
      </c>
      <c r="D183" s="102">
        <f t="shared" si="6"/>
        <v>8726.697528</v>
      </c>
      <c r="E183" s="103">
        <f t="shared" si="7"/>
        <v>0.7605601752</v>
      </c>
      <c r="F183" s="102">
        <f t="shared" si="2"/>
        <v>6359.521798</v>
      </c>
      <c r="G183" s="102">
        <f t="shared" si="3"/>
        <v>6637.178601</v>
      </c>
    </row>
    <row r="184">
      <c r="A184" s="103">
        <f t="shared" si="4"/>
        <v>174</v>
      </c>
      <c r="B184" s="103">
        <f t="shared" si="5"/>
        <v>79.5</v>
      </c>
      <c r="C184" s="102">
        <f t="shared" si="1"/>
        <v>8361.628713</v>
      </c>
      <c r="D184" s="102">
        <f t="shared" si="6"/>
        <v>8726.697528</v>
      </c>
      <c r="E184" s="103">
        <f t="shared" si="7"/>
        <v>0.7593578586</v>
      </c>
      <c r="F184" s="102">
        <f t="shared" si="2"/>
        <v>6349.468473</v>
      </c>
      <c r="G184" s="102">
        <f t="shared" si="3"/>
        <v>6626.686347</v>
      </c>
    </row>
    <row r="185">
      <c r="A185" s="103">
        <f t="shared" si="4"/>
        <v>175</v>
      </c>
      <c r="B185" s="103">
        <f t="shared" si="5"/>
        <v>79.58333333</v>
      </c>
      <c r="C185" s="102">
        <f t="shared" si="1"/>
        <v>8361.628713</v>
      </c>
      <c r="D185" s="102">
        <f t="shared" si="6"/>
        <v>8726.697528</v>
      </c>
      <c r="E185" s="103">
        <f t="shared" si="7"/>
        <v>0.7581574426</v>
      </c>
      <c r="F185" s="102">
        <f t="shared" si="2"/>
        <v>6339.431041</v>
      </c>
      <c r="G185" s="102">
        <f t="shared" si="3"/>
        <v>6616.21068</v>
      </c>
    </row>
    <row r="186">
      <c r="A186" s="103">
        <f t="shared" si="4"/>
        <v>176</v>
      </c>
      <c r="B186" s="103">
        <f t="shared" si="5"/>
        <v>79.66666667</v>
      </c>
      <c r="C186" s="102">
        <f t="shared" si="1"/>
        <v>8361.628713</v>
      </c>
      <c r="D186" s="102">
        <f t="shared" si="6"/>
        <v>8726.697528</v>
      </c>
      <c r="E186" s="103">
        <f t="shared" si="7"/>
        <v>0.7569589243</v>
      </c>
      <c r="F186" s="102">
        <f t="shared" si="2"/>
        <v>6329.409476</v>
      </c>
      <c r="G186" s="102">
        <f t="shared" si="3"/>
        <v>6605.751574</v>
      </c>
    </row>
    <row r="187">
      <c r="A187" s="103">
        <f t="shared" si="4"/>
        <v>177</v>
      </c>
      <c r="B187" s="103">
        <f t="shared" si="5"/>
        <v>79.75</v>
      </c>
      <c r="C187" s="102">
        <f t="shared" si="1"/>
        <v>8361.628713</v>
      </c>
      <c r="D187" s="102">
        <f t="shared" si="6"/>
        <v>8726.697528</v>
      </c>
      <c r="E187" s="103">
        <f t="shared" si="7"/>
        <v>0.7557623007</v>
      </c>
      <c r="F187" s="102">
        <f t="shared" si="2"/>
        <v>6319.403753</v>
      </c>
      <c r="G187" s="102">
        <f t="shared" si="3"/>
        <v>6595.309001</v>
      </c>
    </row>
    <row r="188">
      <c r="A188" s="103">
        <f t="shared" si="4"/>
        <v>178</v>
      </c>
      <c r="B188" s="103">
        <f t="shared" si="5"/>
        <v>79.83333333</v>
      </c>
      <c r="C188" s="102">
        <f t="shared" si="1"/>
        <v>8361.628713</v>
      </c>
      <c r="D188" s="102">
        <f t="shared" si="6"/>
        <v>8726.697528</v>
      </c>
      <c r="E188" s="103">
        <f t="shared" si="7"/>
        <v>0.7545675687</v>
      </c>
      <c r="F188" s="102">
        <f t="shared" si="2"/>
        <v>6309.413848</v>
      </c>
      <c r="G188" s="102">
        <f t="shared" si="3"/>
        <v>6584.882937</v>
      </c>
    </row>
    <row r="189">
      <c r="A189" s="103">
        <f t="shared" si="4"/>
        <v>179</v>
      </c>
      <c r="B189" s="103">
        <f t="shared" si="5"/>
        <v>79.91666667</v>
      </c>
      <c r="C189" s="102">
        <f t="shared" si="1"/>
        <v>8361.628713</v>
      </c>
      <c r="D189" s="102">
        <f t="shared" si="6"/>
        <v>8726.697528</v>
      </c>
      <c r="E189" s="103">
        <f t="shared" si="7"/>
        <v>0.7533747254</v>
      </c>
      <c r="F189" s="102">
        <f t="shared" si="2"/>
        <v>6299.439735</v>
      </c>
      <c r="G189" s="102">
        <f t="shared" si="3"/>
        <v>6574.473354</v>
      </c>
    </row>
    <row r="190">
      <c r="A190" s="103">
        <f t="shared" si="4"/>
        <v>180</v>
      </c>
      <c r="B190" s="103">
        <f t="shared" si="5"/>
        <v>80</v>
      </c>
      <c r="C190" s="102">
        <f t="shared" si="1"/>
        <v>8361.628713</v>
      </c>
      <c r="D190" s="102">
        <f t="shared" si="6"/>
        <v>8901.231479</v>
      </c>
      <c r="E190" s="103">
        <f t="shared" si="7"/>
        <v>0.7521837678</v>
      </c>
      <c r="F190" s="102">
        <f t="shared" si="2"/>
        <v>6289.48139</v>
      </c>
      <c r="G190" s="102">
        <f t="shared" si="3"/>
        <v>6695.361831</v>
      </c>
    </row>
    <row r="191">
      <c r="A191" s="103">
        <f t="shared" si="4"/>
        <v>181</v>
      </c>
      <c r="B191" s="103">
        <f t="shared" si="5"/>
        <v>80.08333333</v>
      </c>
      <c r="C191" s="102">
        <f t="shared" si="1"/>
        <v>8361.628713</v>
      </c>
      <c r="D191" s="102">
        <f t="shared" si="6"/>
        <v>8901.231479</v>
      </c>
      <c r="E191" s="103">
        <f t="shared" si="7"/>
        <v>0.7509946928</v>
      </c>
      <c r="F191" s="102">
        <f t="shared" si="2"/>
        <v>6279.538786</v>
      </c>
      <c r="G191" s="102">
        <f t="shared" si="3"/>
        <v>6684.7776</v>
      </c>
    </row>
    <row r="192">
      <c r="A192" s="103">
        <f t="shared" si="4"/>
        <v>182</v>
      </c>
      <c r="B192" s="103">
        <f t="shared" si="5"/>
        <v>80.16666667</v>
      </c>
      <c r="C192" s="102">
        <f t="shared" si="1"/>
        <v>8361.628713</v>
      </c>
      <c r="D192" s="102">
        <f t="shared" si="6"/>
        <v>8901.231479</v>
      </c>
      <c r="E192" s="103">
        <f t="shared" si="7"/>
        <v>0.7498074976</v>
      </c>
      <c r="F192" s="102">
        <f t="shared" si="2"/>
        <v>6269.611901</v>
      </c>
      <c r="G192" s="102">
        <f t="shared" si="3"/>
        <v>6674.210101</v>
      </c>
    </row>
    <row r="193">
      <c r="A193" s="103">
        <f t="shared" si="4"/>
        <v>183</v>
      </c>
      <c r="B193" s="103">
        <f t="shared" si="5"/>
        <v>80.25</v>
      </c>
      <c r="C193" s="102">
        <f t="shared" si="1"/>
        <v>8361.628713</v>
      </c>
      <c r="D193" s="102">
        <f t="shared" si="6"/>
        <v>8901.231479</v>
      </c>
      <c r="E193" s="103">
        <f t="shared" si="7"/>
        <v>0.7486221792</v>
      </c>
      <c r="F193" s="102">
        <f t="shared" si="2"/>
        <v>6259.700708</v>
      </c>
      <c r="G193" s="102">
        <f t="shared" si="3"/>
        <v>6663.659307</v>
      </c>
    </row>
    <row r="194">
      <c r="A194" s="103">
        <f t="shared" si="4"/>
        <v>184</v>
      </c>
      <c r="B194" s="103">
        <f t="shared" si="5"/>
        <v>80.33333333</v>
      </c>
      <c r="C194" s="102">
        <f t="shared" si="1"/>
        <v>8361.628713</v>
      </c>
      <c r="D194" s="102">
        <f t="shared" si="6"/>
        <v>8901.231479</v>
      </c>
      <c r="E194" s="103">
        <f t="shared" si="7"/>
        <v>0.7474387345</v>
      </c>
      <c r="F194" s="102">
        <f t="shared" si="2"/>
        <v>6249.805183</v>
      </c>
      <c r="G194" s="102">
        <f t="shared" si="3"/>
        <v>6653.125192</v>
      </c>
    </row>
    <row r="195">
      <c r="A195" s="103">
        <f t="shared" si="4"/>
        <v>185</v>
      </c>
      <c r="B195" s="103">
        <f t="shared" si="5"/>
        <v>80.41666667</v>
      </c>
      <c r="C195" s="102">
        <f t="shared" si="1"/>
        <v>8361.628713</v>
      </c>
      <c r="D195" s="102">
        <f t="shared" si="6"/>
        <v>8901.231479</v>
      </c>
      <c r="E195" s="103">
        <f t="shared" si="7"/>
        <v>0.7462571607</v>
      </c>
      <c r="F195" s="102">
        <f t="shared" si="2"/>
        <v>6239.925302</v>
      </c>
      <c r="G195" s="102">
        <f t="shared" si="3"/>
        <v>6642.60773</v>
      </c>
    </row>
    <row r="196">
      <c r="A196" s="103">
        <f t="shared" si="4"/>
        <v>186</v>
      </c>
      <c r="B196" s="103">
        <f t="shared" si="5"/>
        <v>80.5</v>
      </c>
      <c r="C196" s="102">
        <f t="shared" si="1"/>
        <v>8361.628713</v>
      </c>
      <c r="D196" s="102">
        <f t="shared" si="6"/>
        <v>8901.231479</v>
      </c>
      <c r="E196" s="103">
        <f t="shared" si="7"/>
        <v>0.7450774547</v>
      </c>
      <c r="F196" s="102">
        <f t="shared" si="2"/>
        <v>6230.061038</v>
      </c>
      <c r="G196" s="102">
        <f t="shared" si="3"/>
        <v>6632.106894</v>
      </c>
    </row>
    <row r="197">
      <c r="A197" s="103">
        <f t="shared" si="4"/>
        <v>187</v>
      </c>
      <c r="B197" s="103">
        <f t="shared" si="5"/>
        <v>80.58333333</v>
      </c>
      <c r="C197" s="102">
        <f t="shared" si="1"/>
        <v>8361.628713</v>
      </c>
      <c r="D197" s="102">
        <f t="shared" si="6"/>
        <v>8901.231479</v>
      </c>
      <c r="E197" s="103">
        <f t="shared" si="7"/>
        <v>0.7438996136</v>
      </c>
      <c r="F197" s="102">
        <f t="shared" si="2"/>
        <v>6220.212369</v>
      </c>
      <c r="G197" s="102">
        <f t="shared" si="3"/>
        <v>6621.622658</v>
      </c>
    </row>
    <row r="198">
      <c r="A198" s="103">
        <f t="shared" si="4"/>
        <v>188</v>
      </c>
      <c r="B198" s="103">
        <f t="shared" si="5"/>
        <v>80.66666667</v>
      </c>
      <c r="C198" s="102">
        <f t="shared" si="1"/>
        <v>8361.628713</v>
      </c>
      <c r="D198" s="102">
        <f t="shared" si="6"/>
        <v>8901.231479</v>
      </c>
      <c r="E198" s="103">
        <f t="shared" si="7"/>
        <v>0.7427236346</v>
      </c>
      <c r="F198" s="102">
        <f t="shared" si="2"/>
        <v>6210.379268</v>
      </c>
      <c r="G198" s="102">
        <f t="shared" si="3"/>
        <v>6611.154996</v>
      </c>
    </row>
    <row r="199">
      <c r="A199" s="103">
        <f t="shared" si="4"/>
        <v>189</v>
      </c>
      <c r="B199" s="103">
        <f t="shared" si="5"/>
        <v>80.75</v>
      </c>
      <c r="C199" s="102">
        <f t="shared" si="1"/>
        <v>8361.628713</v>
      </c>
      <c r="D199" s="102">
        <f t="shared" si="6"/>
        <v>8901.231479</v>
      </c>
      <c r="E199" s="103">
        <f t="shared" si="7"/>
        <v>0.7415495145</v>
      </c>
      <c r="F199" s="102">
        <f t="shared" si="2"/>
        <v>6200.561712</v>
      </c>
      <c r="G199" s="102">
        <f t="shared" si="3"/>
        <v>6600.703881</v>
      </c>
    </row>
    <row r="200">
      <c r="A200" s="103">
        <f t="shared" si="4"/>
        <v>190</v>
      </c>
      <c r="B200" s="103">
        <f t="shared" si="5"/>
        <v>80.83333333</v>
      </c>
      <c r="C200" s="102">
        <f t="shared" si="1"/>
        <v>8361.628713</v>
      </c>
      <c r="D200" s="102">
        <f t="shared" si="6"/>
        <v>8901.231479</v>
      </c>
      <c r="E200" s="103">
        <f t="shared" si="7"/>
        <v>0.7403772505</v>
      </c>
      <c r="F200" s="102">
        <f t="shared" si="2"/>
        <v>6190.759676</v>
      </c>
      <c r="G200" s="102">
        <f t="shared" si="3"/>
        <v>6590.269288</v>
      </c>
    </row>
    <row r="201">
      <c r="A201" s="103">
        <f t="shared" si="4"/>
        <v>191</v>
      </c>
      <c r="B201" s="103">
        <f t="shared" si="5"/>
        <v>80.91666667</v>
      </c>
      <c r="C201" s="102">
        <f t="shared" si="1"/>
        <v>8361.628713</v>
      </c>
      <c r="D201" s="102">
        <f t="shared" si="6"/>
        <v>8901.231479</v>
      </c>
      <c r="E201" s="103">
        <f t="shared" si="7"/>
        <v>0.7392068397</v>
      </c>
      <c r="F201" s="102">
        <f t="shared" si="2"/>
        <v>6180.973135</v>
      </c>
      <c r="G201" s="102">
        <f t="shared" si="3"/>
        <v>6579.851191</v>
      </c>
    </row>
    <row r="202">
      <c r="A202" s="103">
        <f t="shared" si="4"/>
        <v>192</v>
      </c>
      <c r="B202" s="103">
        <f t="shared" si="5"/>
        <v>81</v>
      </c>
      <c r="C202" s="102">
        <f t="shared" si="1"/>
        <v>8361.628713</v>
      </c>
      <c r="D202" s="102">
        <f t="shared" si="6"/>
        <v>9079.256108</v>
      </c>
      <c r="E202" s="103">
        <f t="shared" si="7"/>
        <v>0.7380382791</v>
      </c>
      <c r="F202" s="102">
        <f t="shared" si="2"/>
        <v>6171.202065</v>
      </c>
      <c r="G202" s="102">
        <f t="shared" si="3"/>
        <v>6700.838553</v>
      </c>
    </row>
    <row r="203">
      <c r="A203" s="103">
        <f t="shared" si="4"/>
        <v>193</v>
      </c>
      <c r="B203" s="103">
        <f t="shared" si="5"/>
        <v>81.08333333</v>
      </c>
      <c r="C203" s="102">
        <f t="shared" si="1"/>
        <v>8361.628713</v>
      </c>
      <c r="D203" s="102">
        <f t="shared" si="6"/>
        <v>9079.256108</v>
      </c>
      <c r="E203" s="103">
        <f t="shared" si="7"/>
        <v>0.7368715658</v>
      </c>
      <c r="F203" s="102">
        <f t="shared" si="2"/>
        <v>6161.446442</v>
      </c>
      <c r="G203" s="102">
        <f t="shared" si="3"/>
        <v>6690.245664</v>
      </c>
    </row>
    <row r="204">
      <c r="A204" s="103">
        <f t="shared" si="4"/>
        <v>194</v>
      </c>
      <c r="B204" s="103">
        <f t="shared" si="5"/>
        <v>81.16666667</v>
      </c>
      <c r="C204" s="102">
        <f t="shared" si="1"/>
        <v>8361.628713</v>
      </c>
      <c r="D204" s="102">
        <f t="shared" si="6"/>
        <v>9079.256108</v>
      </c>
      <c r="E204" s="103">
        <f t="shared" si="7"/>
        <v>0.7357066968</v>
      </c>
      <c r="F204" s="102">
        <f t="shared" si="2"/>
        <v>6151.70624</v>
      </c>
      <c r="G204" s="102">
        <f t="shared" si="3"/>
        <v>6679.669521</v>
      </c>
    </row>
    <row r="205">
      <c r="A205" s="103">
        <f t="shared" si="4"/>
        <v>195</v>
      </c>
      <c r="B205" s="103">
        <f t="shared" si="5"/>
        <v>81.25</v>
      </c>
      <c r="C205" s="102">
        <f t="shared" si="1"/>
        <v>8361.628713</v>
      </c>
      <c r="D205" s="102">
        <f t="shared" si="6"/>
        <v>9079.256108</v>
      </c>
      <c r="E205" s="103">
        <f t="shared" si="7"/>
        <v>0.7345436693</v>
      </c>
      <c r="F205" s="102">
        <f t="shared" si="2"/>
        <v>6141.981436</v>
      </c>
      <c r="G205" s="102">
        <f t="shared" si="3"/>
        <v>6669.110097</v>
      </c>
    </row>
    <row r="206">
      <c r="A206" s="103">
        <f t="shared" si="4"/>
        <v>196</v>
      </c>
      <c r="B206" s="103">
        <f t="shared" si="5"/>
        <v>81.33333333</v>
      </c>
      <c r="C206" s="102">
        <f t="shared" si="1"/>
        <v>8361.628713</v>
      </c>
      <c r="D206" s="102">
        <f t="shared" si="6"/>
        <v>9079.256108</v>
      </c>
      <c r="E206" s="103">
        <f t="shared" si="7"/>
        <v>0.7333824804</v>
      </c>
      <c r="F206" s="102">
        <f t="shared" si="2"/>
        <v>6132.272006</v>
      </c>
      <c r="G206" s="102">
        <f t="shared" si="3"/>
        <v>6658.567365</v>
      </c>
    </row>
    <row r="207">
      <c r="A207" s="103">
        <f t="shared" si="4"/>
        <v>197</v>
      </c>
      <c r="B207" s="103">
        <f t="shared" si="5"/>
        <v>81.41666667</v>
      </c>
      <c r="C207" s="102">
        <f t="shared" si="1"/>
        <v>8361.628713</v>
      </c>
      <c r="D207" s="102">
        <f t="shared" si="6"/>
        <v>9079.256108</v>
      </c>
      <c r="E207" s="103">
        <f t="shared" si="7"/>
        <v>0.7322231271</v>
      </c>
      <c r="F207" s="102">
        <f t="shared" si="2"/>
        <v>6122.577924</v>
      </c>
      <c r="G207" s="102">
        <f t="shared" si="3"/>
        <v>6648.0413</v>
      </c>
    </row>
    <row r="208">
      <c r="A208" s="103">
        <f t="shared" si="4"/>
        <v>198</v>
      </c>
      <c r="B208" s="103">
        <f t="shared" si="5"/>
        <v>81.5</v>
      </c>
      <c r="C208" s="102">
        <f t="shared" si="1"/>
        <v>8361.628713</v>
      </c>
      <c r="D208" s="102">
        <f t="shared" si="6"/>
        <v>9079.256108</v>
      </c>
      <c r="E208" s="103">
        <f t="shared" si="7"/>
        <v>0.7310656066</v>
      </c>
      <c r="F208" s="102">
        <f t="shared" si="2"/>
        <v>6112.899167</v>
      </c>
      <c r="G208" s="102">
        <f t="shared" si="3"/>
        <v>6637.531874</v>
      </c>
    </row>
    <row r="209">
      <c r="A209" s="103">
        <f t="shared" si="4"/>
        <v>199</v>
      </c>
      <c r="B209" s="103">
        <f t="shared" si="5"/>
        <v>81.58333333</v>
      </c>
      <c r="C209" s="102">
        <f t="shared" si="1"/>
        <v>8361.628713</v>
      </c>
      <c r="D209" s="102">
        <f t="shared" si="6"/>
        <v>9079.256108</v>
      </c>
      <c r="E209" s="103">
        <f t="shared" si="7"/>
        <v>0.7299099159</v>
      </c>
      <c r="F209" s="102">
        <f t="shared" si="2"/>
        <v>6103.23571</v>
      </c>
      <c r="G209" s="102">
        <f t="shared" si="3"/>
        <v>6627.039062</v>
      </c>
    </row>
    <row r="210">
      <c r="A210" s="103">
        <f t="shared" si="4"/>
        <v>200</v>
      </c>
      <c r="B210" s="103">
        <f t="shared" si="5"/>
        <v>81.66666667</v>
      </c>
      <c r="C210" s="102">
        <f t="shared" si="1"/>
        <v>8361.628713</v>
      </c>
      <c r="D210" s="102">
        <f t="shared" si="6"/>
        <v>9079.256108</v>
      </c>
      <c r="E210" s="103">
        <f t="shared" si="7"/>
        <v>0.7287560521</v>
      </c>
      <c r="F210" s="102">
        <f t="shared" si="2"/>
        <v>6093.58753</v>
      </c>
      <c r="G210" s="102">
        <f t="shared" si="3"/>
        <v>6616.562838</v>
      </c>
    </row>
    <row r="211">
      <c r="A211" s="103">
        <f t="shared" si="4"/>
        <v>201</v>
      </c>
      <c r="B211" s="103">
        <f t="shared" si="5"/>
        <v>81.75</v>
      </c>
      <c r="C211" s="102">
        <f t="shared" si="1"/>
        <v>8361.628713</v>
      </c>
      <c r="D211" s="102">
        <f t="shared" si="6"/>
        <v>9079.256108</v>
      </c>
      <c r="E211" s="103">
        <f t="shared" si="7"/>
        <v>0.7276040125</v>
      </c>
      <c r="F211" s="102">
        <f t="shared" si="2"/>
        <v>6083.954602</v>
      </c>
      <c r="G211" s="102">
        <f t="shared" si="3"/>
        <v>6606.103174</v>
      </c>
    </row>
    <row r="212">
      <c r="A212" s="103">
        <f t="shared" si="4"/>
        <v>202</v>
      </c>
      <c r="B212" s="103">
        <f t="shared" si="5"/>
        <v>81.83333333</v>
      </c>
      <c r="C212" s="102">
        <f t="shared" si="1"/>
        <v>8361.628713</v>
      </c>
      <c r="D212" s="102">
        <f t="shared" si="6"/>
        <v>9079.256108</v>
      </c>
      <c r="E212" s="103">
        <f t="shared" si="7"/>
        <v>0.7264537939</v>
      </c>
      <c r="F212" s="102">
        <f t="shared" si="2"/>
        <v>6074.336902</v>
      </c>
      <c r="G212" s="102">
        <f t="shared" si="3"/>
        <v>6595.660046</v>
      </c>
    </row>
    <row r="213">
      <c r="A213" s="103">
        <f t="shared" si="4"/>
        <v>203</v>
      </c>
      <c r="B213" s="103">
        <f t="shared" si="5"/>
        <v>81.91666667</v>
      </c>
      <c r="C213" s="102">
        <f t="shared" si="1"/>
        <v>8361.628713</v>
      </c>
      <c r="D213" s="102">
        <f t="shared" si="6"/>
        <v>9079.256108</v>
      </c>
      <c r="E213" s="103">
        <f t="shared" si="7"/>
        <v>0.7253053937</v>
      </c>
      <c r="F213" s="102">
        <f t="shared" si="2"/>
        <v>6064.734406</v>
      </c>
      <c r="G213" s="102">
        <f t="shared" si="3"/>
        <v>6585.233426</v>
      </c>
    </row>
    <row r="214">
      <c r="A214" s="103">
        <f t="shared" si="4"/>
        <v>204</v>
      </c>
      <c r="B214" s="103">
        <f t="shared" si="5"/>
        <v>82</v>
      </c>
      <c r="C214" s="102">
        <f t="shared" si="1"/>
        <v>8361.628713</v>
      </c>
      <c r="D214" s="102">
        <f t="shared" si="6"/>
        <v>9260.84123</v>
      </c>
      <c r="E214" s="103">
        <f t="shared" si="7"/>
        <v>0.724158809</v>
      </c>
      <c r="F214" s="102">
        <f t="shared" si="2"/>
        <v>6055.147089</v>
      </c>
      <c r="G214" s="102">
        <f t="shared" si="3"/>
        <v>6706.319755</v>
      </c>
    </row>
    <row r="215">
      <c r="A215" s="103">
        <f t="shared" si="4"/>
        <v>205</v>
      </c>
      <c r="B215" s="103">
        <f t="shared" si="5"/>
        <v>82.08333333</v>
      </c>
      <c r="C215" s="102">
        <f t="shared" si="1"/>
        <v>8361.628713</v>
      </c>
      <c r="D215" s="102">
        <f t="shared" si="6"/>
        <v>9260.84123</v>
      </c>
      <c r="E215" s="103">
        <f t="shared" si="7"/>
        <v>0.7230140367</v>
      </c>
      <c r="F215" s="102">
        <f t="shared" si="2"/>
        <v>6045.574929</v>
      </c>
      <c r="G215" s="102">
        <f t="shared" si="3"/>
        <v>6695.718202</v>
      </c>
    </row>
    <row r="216">
      <c r="A216" s="103">
        <f t="shared" si="4"/>
        <v>206</v>
      </c>
      <c r="B216" s="103">
        <f t="shared" si="5"/>
        <v>82.16666667</v>
      </c>
      <c r="C216" s="102">
        <f t="shared" si="1"/>
        <v>8361.628713</v>
      </c>
      <c r="D216" s="102">
        <f t="shared" si="6"/>
        <v>9260.84123</v>
      </c>
      <c r="E216" s="103">
        <f t="shared" si="7"/>
        <v>0.7218710742</v>
      </c>
      <c r="F216" s="102">
        <f t="shared" si="2"/>
        <v>6036.017901</v>
      </c>
      <c r="G216" s="102">
        <f t="shared" si="3"/>
        <v>6685.133407</v>
      </c>
    </row>
    <row r="217">
      <c r="A217" s="103">
        <f t="shared" si="4"/>
        <v>207</v>
      </c>
      <c r="B217" s="103">
        <f t="shared" si="5"/>
        <v>82.25</v>
      </c>
      <c r="C217" s="102">
        <f t="shared" si="1"/>
        <v>8361.628713</v>
      </c>
      <c r="D217" s="102">
        <f t="shared" si="6"/>
        <v>9260.84123</v>
      </c>
      <c r="E217" s="103">
        <f t="shared" si="7"/>
        <v>0.7207299185</v>
      </c>
      <c r="F217" s="102">
        <f t="shared" si="2"/>
        <v>6026.47598</v>
      </c>
      <c r="G217" s="102">
        <f t="shared" si="3"/>
        <v>6674.565345</v>
      </c>
    </row>
    <row r="218">
      <c r="A218" s="103">
        <f t="shared" si="4"/>
        <v>208</v>
      </c>
      <c r="B218" s="103">
        <f t="shared" si="5"/>
        <v>82.33333333</v>
      </c>
      <c r="C218" s="102">
        <f t="shared" si="1"/>
        <v>8361.628713</v>
      </c>
      <c r="D218" s="102">
        <f t="shared" si="6"/>
        <v>9260.84123</v>
      </c>
      <c r="E218" s="103">
        <f t="shared" si="7"/>
        <v>0.7195905668</v>
      </c>
      <c r="F218" s="102">
        <f t="shared" si="2"/>
        <v>6016.949144</v>
      </c>
      <c r="G218" s="102">
        <f t="shared" si="3"/>
        <v>6664.01399</v>
      </c>
    </row>
    <row r="219">
      <c r="A219" s="103">
        <f t="shared" si="4"/>
        <v>209</v>
      </c>
      <c r="B219" s="103">
        <f t="shared" si="5"/>
        <v>82.41666667</v>
      </c>
      <c r="C219" s="102">
        <f t="shared" si="1"/>
        <v>8361.628713</v>
      </c>
      <c r="D219" s="102">
        <f t="shared" si="6"/>
        <v>9260.84123</v>
      </c>
      <c r="E219" s="103">
        <f t="shared" si="7"/>
        <v>0.7184530162</v>
      </c>
      <c r="F219" s="102">
        <f t="shared" si="2"/>
        <v>6007.437368</v>
      </c>
      <c r="G219" s="102">
        <f t="shared" si="3"/>
        <v>6653.479314</v>
      </c>
    </row>
    <row r="220">
      <c r="A220" s="103">
        <f t="shared" si="4"/>
        <v>210</v>
      </c>
      <c r="B220" s="103">
        <f t="shared" si="5"/>
        <v>82.5</v>
      </c>
      <c r="C220" s="102">
        <f t="shared" si="1"/>
        <v>8361.628713</v>
      </c>
      <c r="D220" s="102">
        <f t="shared" si="6"/>
        <v>9260.84123</v>
      </c>
      <c r="E220" s="103">
        <f t="shared" si="7"/>
        <v>0.7173172638</v>
      </c>
      <c r="F220" s="102">
        <f t="shared" si="2"/>
        <v>5997.940629</v>
      </c>
      <c r="G220" s="102">
        <f t="shared" si="3"/>
        <v>6642.961292</v>
      </c>
    </row>
    <row r="221">
      <c r="A221" s="103">
        <f t="shared" si="4"/>
        <v>211</v>
      </c>
      <c r="B221" s="103">
        <f t="shared" si="5"/>
        <v>82.58333333</v>
      </c>
      <c r="C221" s="102">
        <f t="shared" si="1"/>
        <v>8361.628713</v>
      </c>
      <c r="D221" s="102">
        <f t="shared" si="6"/>
        <v>9260.84123</v>
      </c>
      <c r="E221" s="103">
        <f t="shared" si="7"/>
        <v>0.7161833069</v>
      </c>
      <c r="F221" s="102">
        <f t="shared" si="2"/>
        <v>5988.458903</v>
      </c>
      <c r="G221" s="102">
        <f t="shared" si="3"/>
        <v>6632.459897</v>
      </c>
    </row>
    <row r="222">
      <c r="A222" s="103">
        <f t="shared" si="4"/>
        <v>212</v>
      </c>
      <c r="B222" s="103">
        <f t="shared" si="5"/>
        <v>82.66666667</v>
      </c>
      <c r="C222" s="102">
        <f t="shared" si="1"/>
        <v>8361.628713</v>
      </c>
      <c r="D222" s="102">
        <f t="shared" si="6"/>
        <v>9260.84123</v>
      </c>
      <c r="E222" s="103">
        <f t="shared" si="7"/>
        <v>0.7150511426</v>
      </c>
      <c r="F222" s="102">
        <f t="shared" si="2"/>
        <v>5978.992165</v>
      </c>
      <c r="G222" s="102">
        <f t="shared" si="3"/>
        <v>6621.975103</v>
      </c>
    </row>
    <row r="223">
      <c r="A223" s="103">
        <f t="shared" si="4"/>
        <v>213</v>
      </c>
      <c r="B223" s="103">
        <f t="shared" si="5"/>
        <v>82.75</v>
      </c>
      <c r="C223" s="102">
        <f t="shared" si="1"/>
        <v>8361.628713</v>
      </c>
      <c r="D223" s="102">
        <f t="shared" si="6"/>
        <v>9260.84123</v>
      </c>
      <c r="E223" s="103">
        <f t="shared" si="7"/>
        <v>0.7139207681</v>
      </c>
      <c r="F223" s="102">
        <f t="shared" si="2"/>
        <v>5969.540393</v>
      </c>
      <c r="G223" s="102">
        <f t="shared" si="3"/>
        <v>6611.506884</v>
      </c>
    </row>
    <row r="224">
      <c r="A224" s="103">
        <f t="shared" si="4"/>
        <v>214</v>
      </c>
      <c r="B224" s="103">
        <f t="shared" si="5"/>
        <v>82.83333333</v>
      </c>
      <c r="C224" s="102">
        <f t="shared" si="1"/>
        <v>8361.628713</v>
      </c>
      <c r="D224" s="102">
        <f t="shared" si="6"/>
        <v>9260.84123</v>
      </c>
      <c r="E224" s="103">
        <f t="shared" si="7"/>
        <v>0.7127921804</v>
      </c>
      <c r="F224" s="102">
        <f t="shared" si="2"/>
        <v>5960.103562</v>
      </c>
      <c r="G224" s="102">
        <f t="shared" si="3"/>
        <v>6601.055213</v>
      </c>
    </row>
    <row r="225">
      <c r="A225" s="103">
        <f t="shared" si="4"/>
        <v>215</v>
      </c>
      <c r="B225" s="103">
        <f t="shared" si="5"/>
        <v>82.91666667</v>
      </c>
      <c r="C225" s="102">
        <f t="shared" si="1"/>
        <v>8361.628713</v>
      </c>
      <c r="D225" s="102">
        <f t="shared" si="6"/>
        <v>9260.84123</v>
      </c>
      <c r="E225" s="103">
        <f t="shared" si="7"/>
        <v>0.7116653769</v>
      </c>
      <c r="F225" s="102">
        <f t="shared" si="2"/>
        <v>5950.681649</v>
      </c>
      <c r="G225" s="102">
        <f t="shared" si="3"/>
        <v>6590.620065</v>
      </c>
    </row>
    <row r="226">
      <c r="A226" s="103">
        <f t="shared" si="4"/>
        <v>216</v>
      </c>
      <c r="B226" s="103">
        <f t="shared" si="5"/>
        <v>83</v>
      </c>
      <c r="C226" s="102">
        <f t="shared" si="1"/>
        <v>8361.628713</v>
      </c>
      <c r="D226" s="102">
        <f t="shared" si="6"/>
        <v>9446.058055</v>
      </c>
      <c r="E226" s="103">
        <f t="shared" si="7"/>
        <v>0.7105403547</v>
      </c>
      <c r="F226" s="102">
        <f t="shared" si="2"/>
        <v>5941.274631</v>
      </c>
      <c r="G226" s="102">
        <f t="shared" si="3"/>
        <v>6711.805441</v>
      </c>
    </row>
    <row r="227">
      <c r="A227" s="103">
        <f t="shared" si="4"/>
        <v>217</v>
      </c>
      <c r="B227" s="103">
        <f t="shared" si="5"/>
        <v>83.08333333</v>
      </c>
      <c r="C227" s="102">
        <f t="shared" si="1"/>
        <v>8361.628713</v>
      </c>
      <c r="D227" s="102">
        <f t="shared" si="6"/>
        <v>9446.058055</v>
      </c>
      <c r="E227" s="103">
        <f t="shared" si="7"/>
        <v>0.7094171109</v>
      </c>
      <c r="F227" s="102">
        <f t="shared" si="2"/>
        <v>5931.882484</v>
      </c>
      <c r="G227" s="102">
        <f t="shared" si="3"/>
        <v>6701.195215</v>
      </c>
    </row>
    <row r="228">
      <c r="A228" s="103">
        <f t="shared" si="4"/>
        <v>218</v>
      </c>
      <c r="B228" s="103">
        <f t="shared" si="5"/>
        <v>83.16666667</v>
      </c>
      <c r="C228" s="102">
        <f t="shared" si="1"/>
        <v>8361.628713</v>
      </c>
      <c r="D228" s="102">
        <f t="shared" si="6"/>
        <v>9446.058055</v>
      </c>
      <c r="E228" s="103">
        <f t="shared" si="7"/>
        <v>0.7082956428</v>
      </c>
      <c r="F228" s="102">
        <f t="shared" si="2"/>
        <v>5922.505184</v>
      </c>
      <c r="G228" s="102">
        <f t="shared" si="3"/>
        <v>6690.601762</v>
      </c>
    </row>
    <row r="229">
      <c r="A229" s="103">
        <f t="shared" si="4"/>
        <v>219</v>
      </c>
      <c r="B229" s="103">
        <f t="shared" si="5"/>
        <v>83.25</v>
      </c>
      <c r="C229" s="102">
        <f t="shared" si="1"/>
        <v>8361.628713</v>
      </c>
      <c r="D229" s="102">
        <f t="shared" si="6"/>
        <v>9446.058055</v>
      </c>
      <c r="E229" s="103">
        <f t="shared" si="7"/>
        <v>0.7071759476</v>
      </c>
      <c r="F229" s="102">
        <f t="shared" si="2"/>
        <v>5913.142708</v>
      </c>
      <c r="G229" s="102">
        <f t="shared" si="3"/>
        <v>6680.025056</v>
      </c>
    </row>
    <row r="230">
      <c r="A230" s="103">
        <f t="shared" si="4"/>
        <v>220</v>
      </c>
      <c r="B230" s="103">
        <f t="shared" si="5"/>
        <v>83.33333333</v>
      </c>
      <c r="C230" s="102">
        <f t="shared" si="1"/>
        <v>8361.628713</v>
      </c>
      <c r="D230" s="102">
        <f t="shared" si="6"/>
        <v>9446.058055</v>
      </c>
      <c r="E230" s="103">
        <f t="shared" si="7"/>
        <v>0.7060580224</v>
      </c>
      <c r="F230" s="102">
        <f t="shared" si="2"/>
        <v>5903.795033</v>
      </c>
      <c r="G230" s="102">
        <f t="shared" si="3"/>
        <v>6669.46507</v>
      </c>
    </row>
    <row r="231">
      <c r="A231" s="103">
        <f t="shared" si="4"/>
        <v>221</v>
      </c>
      <c r="B231" s="103">
        <f t="shared" si="5"/>
        <v>83.41666667</v>
      </c>
      <c r="C231" s="102">
        <f t="shared" si="1"/>
        <v>8361.628713</v>
      </c>
      <c r="D231" s="102">
        <f t="shared" si="6"/>
        <v>9446.058055</v>
      </c>
      <c r="E231" s="103">
        <f t="shared" si="7"/>
        <v>0.7049418644</v>
      </c>
      <c r="F231" s="102">
        <f t="shared" si="2"/>
        <v>5894.462134</v>
      </c>
      <c r="G231" s="102">
        <f t="shared" si="3"/>
        <v>6658.921777</v>
      </c>
    </row>
    <row r="232">
      <c r="A232" s="103">
        <f t="shared" si="4"/>
        <v>222</v>
      </c>
      <c r="B232" s="103">
        <f t="shared" si="5"/>
        <v>83.5</v>
      </c>
      <c r="C232" s="102">
        <f t="shared" si="1"/>
        <v>8361.628713</v>
      </c>
      <c r="D232" s="102">
        <f t="shared" si="6"/>
        <v>9446.058055</v>
      </c>
      <c r="E232" s="103">
        <f t="shared" si="7"/>
        <v>0.7038274709</v>
      </c>
      <c r="F232" s="102">
        <f t="shared" si="2"/>
        <v>5885.14399</v>
      </c>
      <c r="G232" s="102">
        <f t="shared" si="3"/>
        <v>6648.395151</v>
      </c>
    </row>
    <row r="233">
      <c r="A233" s="103">
        <f t="shared" si="4"/>
        <v>223</v>
      </c>
      <c r="B233" s="103">
        <f t="shared" si="5"/>
        <v>83.58333333</v>
      </c>
      <c r="C233" s="102">
        <f t="shared" si="1"/>
        <v>8361.628713</v>
      </c>
      <c r="D233" s="102">
        <f t="shared" si="6"/>
        <v>9446.058055</v>
      </c>
      <c r="E233" s="103">
        <f t="shared" si="7"/>
        <v>0.7027148391</v>
      </c>
      <c r="F233" s="102">
        <f t="shared" si="2"/>
        <v>5875.840575</v>
      </c>
      <c r="G233" s="102">
        <f t="shared" si="3"/>
        <v>6637.885166</v>
      </c>
    </row>
    <row r="234">
      <c r="A234" s="103">
        <f t="shared" si="4"/>
        <v>224</v>
      </c>
      <c r="B234" s="103">
        <f t="shared" si="5"/>
        <v>83.66666667</v>
      </c>
      <c r="C234" s="102">
        <f t="shared" si="1"/>
        <v>8361.628713</v>
      </c>
      <c r="D234" s="102">
        <f t="shared" si="6"/>
        <v>9446.058055</v>
      </c>
      <c r="E234" s="103">
        <f t="shared" si="7"/>
        <v>0.7016039662</v>
      </c>
      <c r="F234" s="102">
        <f t="shared" si="2"/>
        <v>5866.551868</v>
      </c>
      <c r="G234" s="102">
        <f t="shared" si="3"/>
        <v>6627.391796</v>
      </c>
    </row>
    <row r="235">
      <c r="A235" s="103">
        <f t="shared" si="4"/>
        <v>225</v>
      </c>
      <c r="B235" s="103">
        <f t="shared" si="5"/>
        <v>83.75</v>
      </c>
      <c r="C235" s="102">
        <f t="shared" si="1"/>
        <v>8361.628713</v>
      </c>
      <c r="D235" s="102">
        <f t="shared" si="6"/>
        <v>9446.058055</v>
      </c>
      <c r="E235" s="103">
        <f t="shared" si="7"/>
        <v>0.7004948493</v>
      </c>
      <c r="F235" s="102">
        <f t="shared" si="2"/>
        <v>5857.277845</v>
      </c>
      <c r="G235" s="102">
        <f t="shared" si="3"/>
        <v>6616.915014</v>
      </c>
    </row>
    <row r="236">
      <c r="A236" s="103">
        <f t="shared" si="4"/>
        <v>226</v>
      </c>
      <c r="B236" s="103">
        <f t="shared" si="5"/>
        <v>83.83333333</v>
      </c>
      <c r="C236" s="102">
        <f t="shared" si="1"/>
        <v>8361.628713</v>
      </c>
      <c r="D236" s="102">
        <f t="shared" si="6"/>
        <v>9446.058055</v>
      </c>
      <c r="E236" s="103">
        <f t="shared" si="7"/>
        <v>0.6993874858</v>
      </c>
      <c r="F236" s="102">
        <f t="shared" si="2"/>
        <v>5848.018482</v>
      </c>
      <c r="G236" s="102">
        <f t="shared" si="3"/>
        <v>6606.454794</v>
      </c>
    </row>
    <row r="237">
      <c r="A237" s="103">
        <f t="shared" si="4"/>
        <v>227</v>
      </c>
      <c r="B237" s="103">
        <f t="shared" si="5"/>
        <v>83.91666667</v>
      </c>
      <c r="C237" s="102">
        <f t="shared" si="1"/>
        <v>8361.628713</v>
      </c>
      <c r="D237" s="102">
        <f t="shared" si="6"/>
        <v>9446.058055</v>
      </c>
      <c r="E237" s="103">
        <f t="shared" si="7"/>
        <v>0.6982818728</v>
      </c>
      <c r="F237" s="102">
        <f t="shared" si="2"/>
        <v>5838.773757</v>
      </c>
      <c r="G237" s="102">
        <f t="shared" si="3"/>
        <v>6596.01111</v>
      </c>
    </row>
    <row r="238">
      <c r="A238" s="103">
        <f t="shared" si="4"/>
        <v>228</v>
      </c>
      <c r="B238" s="103">
        <f t="shared" si="5"/>
        <v>84</v>
      </c>
      <c r="C238" s="102">
        <f t="shared" si="1"/>
        <v>8361.628713</v>
      </c>
      <c r="D238" s="102">
        <f t="shared" si="6"/>
        <v>9634.979216</v>
      </c>
      <c r="E238" s="103">
        <f t="shared" si="7"/>
        <v>0.6971780077</v>
      </c>
      <c r="F238" s="102">
        <f t="shared" si="2"/>
        <v>5829.543647</v>
      </c>
      <c r="G238" s="102">
        <f t="shared" si="3"/>
        <v>6717.295614</v>
      </c>
    </row>
    <row r="239">
      <c r="A239" s="103">
        <f t="shared" si="4"/>
        <v>229</v>
      </c>
      <c r="B239" s="103">
        <f t="shared" si="5"/>
        <v>84.08333333</v>
      </c>
      <c r="C239" s="102">
        <f t="shared" si="1"/>
        <v>8361.628713</v>
      </c>
      <c r="D239" s="102">
        <f t="shared" si="6"/>
        <v>9634.979216</v>
      </c>
      <c r="E239" s="103">
        <f t="shared" si="7"/>
        <v>0.6960758875</v>
      </c>
      <c r="F239" s="102">
        <f t="shared" si="2"/>
        <v>5820.328127</v>
      </c>
      <c r="G239" s="102">
        <f t="shared" si="3"/>
        <v>6706.676709</v>
      </c>
    </row>
    <row r="240">
      <c r="A240" s="103">
        <f t="shared" si="4"/>
        <v>230</v>
      </c>
      <c r="B240" s="103">
        <f t="shared" si="5"/>
        <v>84.16666667</v>
      </c>
      <c r="C240" s="102">
        <f t="shared" si="1"/>
        <v>8361.628713</v>
      </c>
      <c r="D240" s="102">
        <f t="shared" si="6"/>
        <v>9634.979216</v>
      </c>
      <c r="E240" s="103">
        <f t="shared" si="7"/>
        <v>0.6949755096</v>
      </c>
      <c r="F240" s="102">
        <f t="shared" si="2"/>
        <v>5811.127176</v>
      </c>
      <c r="G240" s="102">
        <f t="shared" si="3"/>
        <v>6696.074591</v>
      </c>
    </row>
    <row r="241">
      <c r="A241" s="103">
        <f t="shared" si="4"/>
        <v>231</v>
      </c>
      <c r="B241" s="103">
        <f t="shared" si="5"/>
        <v>84.25</v>
      </c>
      <c r="C241" s="102">
        <f t="shared" si="1"/>
        <v>8361.628713</v>
      </c>
      <c r="D241" s="102">
        <f t="shared" si="6"/>
        <v>9634.979216</v>
      </c>
      <c r="E241" s="103">
        <f t="shared" si="7"/>
        <v>0.6938768712</v>
      </c>
      <c r="F241" s="102">
        <f t="shared" si="2"/>
        <v>5801.940769</v>
      </c>
      <c r="G241" s="102">
        <f t="shared" si="3"/>
        <v>6685.489233</v>
      </c>
    </row>
    <row r="242">
      <c r="A242" s="103">
        <f t="shared" si="4"/>
        <v>232</v>
      </c>
      <c r="B242" s="103">
        <f t="shared" si="5"/>
        <v>84.33333333</v>
      </c>
      <c r="C242" s="102">
        <f t="shared" si="1"/>
        <v>8361.628713</v>
      </c>
      <c r="D242" s="102">
        <f t="shared" si="6"/>
        <v>9634.979216</v>
      </c>
      <c r="E242" s="103">
        <f t="shared" si="7"/>
        <v>0.6927799696</v>
      </c>
      <c r="F242" s="102">
        <f t="shared" si="2"/>
        <v>5792.768885</v>
      </c>
      <c r="G242" s="102">
        <f t="shared" si="3"/>
        <v>6674.920609</v>
      </c>
    </row>
    <row r="243">
      <c r="A243" s="103">
        <f t="shared" si="4"/>
        <v>233</v>
      </c>
      <c r="B243" s="103">
        <f t="shared" si="5"/>
        <v>84.41666667</v>
      </c>
      <c r="C243" s="102">
        <f t="shared" si="1"/>
        <v>8361.628713</v>
      </c>
      <c r="D243" s="102">
        <f t="shared" si="6"/>
        <v>9634.979216</v>
      </c>
      <c r="E243" s="103">
        <f t="shared" si="7"/>
        <v>0.691684802</v>
      </c>
      <c r="F243" s="102">
        <f t="shared" si="2"/>
        <v>5783.611501</v>
      </c>
      <c r="G243" s="102">
        <f t="shared" si="3"/>
        <v>6664.368691</v>
      </c>
    </row>
    <row r="244">
      <c r="A244" s="103">
        <f t="shared" si="4"/>
        <v>234</v>
      </c>
      <c r="B244" s="103">
        <f t="shared" si="5"/>
        <v>84.5</v>
      </c>
      <c r="C244" s="102">
        <f t="shared" si="1"/>
        <v>8361.628713</v>
      </c>
      <c r="D244" s="102">
        <f t="shared" si="6"/>
        <v>9634.979216</v>
      </c>
      <c r="E244" s="103">
        <f t="shared" si="7"/>
        <v>0.6905913657</v>
      </c>
      <c r="F244" s="102">
        <f t="shared" si="2"/>
        <v>5774.468592</v>
      </c>
      <c r="G244" s="102">
        <f t="shared" si="3"/>
        <v>6653.833455</v>
      </c>
    </row>
    <row r="245">
      <c r="A245" s="103">
        <f t="shared" si="4"/>
        <v>235</v>
      </c>
      <c r="B245" s="103">
        <f t="shared" si="5"/>
        <v>84.58333333</v>
      </c>
      <c r="C245" s="102">
        <f t="shared" si="1"/>
        <v>8361.628713</v>
      </c>
      <c r="D245" s="102">
        <f t="shared" si="6"/>
        <v>9634.979216</v>
      </c>
      <c r="E245" s="103">
        <f t="shared" si="7"/>
        <v>0.6894996579</v>
      </c>
      <c r="F245" s="102">
        <f t="shared" si="2"/>
        <v>5765.340137</v>
      </c>
      <c r="G245" s="102">
        <f t="shared" si="3"/>
        <v>6643.314873</v>
      </c>
    </row>
    <row r="246">
      <c r="A246" s="103">
        <f t="shared" si="4"/>
        <v>236</v>
      </c>
      <c r="B246" s="103">
        <f t="shared" si="5"/>
        <v>84.66666667</v>
      </c>
      <c r="C246" s="102">
        <f t="shared" si="1"/>
        <v>8361.628713</v>
      </c>
      <c r="D246" s="102">
        <f t="shared" si="6"/>
        <v>9634.979216</v>
      </c>
      <c r="E246" s="103">
        <f t="shared" si="7"/>
        <v>0.6884096759</v>
      </c>
      <c r="F246" s="102">
        <f t="shared" si="2"/>
        <v>5756.226112</v>
      </c>
      <c r="G246" s="102">
        <f t="shared" si="3"/>
        <v>6632.81292</v>
      </c>
    </row>
    <row r="247">
      <c r="A247" s="103">
        <f t="shared" si="4"/>
        <v>237</v>
      </c>
      <c r="B247" s="103">
        <f t="shared" si="5"/>
        <v>84.75</v>
      </c>
      <c r="C247" s="102">
        <f t="shared" si="1"/>
        <v>8361.628713</v>
      </c>
      <c r="D247" s="102">
        <f t="shared" si="6"/>
        <v>9634.979216</v>
      </c>
      <c r="E247" s="103">
        <f t="shared" si="7"/>
        <v>0.687321417</v>
      </c>
      <c r="F247" s="102">
        <f t="shared" si="2"/>
        <v>5747.126495</v>
      </c>
      <c r="G247" s="102">
        <f t="shared" si="3"/>
        <v>6622.327568</v>
      </c>
    </row>
    <row r="248">
      <c r="A248" s="103">
        <f t="shared" si="4"/>
        <v>238</v>
      </c>
      <c r="B248" s="103">
        <f t="shared" si="5"/>
        <v>84.83333333</v>
      </c>
      <c r="C248" s="102">
        <f t="shared" si="1"/>
        <v>8361.628713</v>
      </c>
      <c r="D248" s="102">
        <f t="shared" si="6"/>
        <v>9634.979216</v>
      </c>
      <c r="E248" s="103">
        <f t="shared" si="7"/>
        <v>0.6862348784</v>
      </c>
      <c r="F248" s="102">
        <f t="shared" si="2"/>
        <v>5738.041263</v>
      </c>
      <c r="G248" s="102">
        <f t="shared" si="3"/>
        <v>6611.858791</v>
      </c>
    </row>
    <row r="249">
      <c r="A249" s="103">
        <f t="shared" si="4"/>
        <v>239</v>
      </c>
      <c r="B249" s="103">
        <f t="shared" si="5"/>
        <v>84.91666667</v>
      </c>
      <c r="C249" s="102">
        <f t="shared" si="1"/>
        <v>8361.628713</v>
      </c>
      <c r="D249" s="102">
        <f t="shared" si="6"/>
        <v>9634.979216</v>
      </c>
      <c r="E249" s="103">
        <f t="shared" si="7"/>
        <v>0.6851500575</v>
      </c>
      <c r="F249" s="102">
        <f t="shared" si="2"/>
        <v>5728.970393</v>
      </c>
      <c r="G249" s="102">
        <f t="shared" si="3"/>
        <v>6601.406564</v>
      </c>
    </row>
    <row r="250">
      <c r="A250" s="103">
        <f t="shared" si="4"/>
        <v>240</v>
      </c>
      <c r="B250" s="103">
        <f t="shared" si="5"/>
        <v>85</v>
      </c>
      <c r="C250" s="102">
        <f t="shared" si="1"/>
        <v>8361.628713</v>
      </c>
      <c r="D250" s="102">
        <f t="shared" si="6"/>
        <v>9827.6788</v>
      </c>
      <c r="E250" s="103">
        <f t="shared" si="7"/>
        <v>0.6840669515</v>
      </c>
      <c r="F250" s="102">
        <f t="shared" si="2"/>
        <v>5719.913863</v>
      </c>
      <c r="G250" s="102">
        <f t="shared" si="3"/>
        <v>6722.790277</v>
      </c>
    </row>
    <row r="251">
      <c r="A251" s="103">
        <f t="shared" si="4"/>
        <v>241</v>
      </c>
      <c r="B251" s="103">
        <f t="shared" si="5"/>
        <v>85.08333333</v>
      </c>
      <c r="C251" s="102">
        <f t="shared" si="1"/>
        <v>8361.628713</v>
      </c>
      <c r="D251" s="102">
        <f t="shared" si="6"/>
        <v>9827.6788</v>
      </c>
      <c r="E251" s="103">
        <f t="shared" si="7"/>
        <v>0.6829855577</v>
      </c>
      <c r="F251" s="102">
        <f t="shared" si="2"/>
        <v>5710.87165</v>
      </c>
      <c r="G251" s="102">
        <f t="shared" si="3"/>
        <v>6712.162686</v>
      </c>
    </row>
    <row r="252">
      <c r="A252" s="103">
        <f t="shared" si="4"/>
        <v>242</v>
      </c>
      <c r="B252" s="103">
        <f t="shared" si="5"/>
        <v>85.16666667</v>
      </c>
      <c r="C252" s="102">
        <f t="shared" si="1"/>
        <v>8361.628713</v>
      </c>
      <c r="D252" s="102">
        <f t="shared" si="6"/>
        <v>9827.6788</v>
      </c>
      <c r="E252" s="103">
        <f t="shared" si="7"/>
        <v>0.6819058734</v>
      </c>
      <c r="F252" s="102">
        <f t="shared" si="2"/>
        <v>5701.84373</v>
      </c>
      <c r="G252" s="102">
        <f t="shared" si="3"/>
        <v>6701.551896</v>
      </c>
    </row>
    <row r="253">
      <c r="A253" s="103">
        <f t="shared" si="4"/>
        <v>243</v>
      </c>
      <c r="B253" s="103">
        <f t="shared" si="5"/>
        <v>85.25</v>
      </c>
      <c r="C253" s="102">
        <f t="shared" si="1"/>
        <v>8361.628713</v>
      </c>
      <c r="D253" s="102">
        <f t="shared" si="6"/>
        <v>9827.6788</v>
      </c>
      <c r="E253" s="103">
        <f t="shared" si="7"/>
        <v>0.6808278959</v>
      </c>
      <c r="F253" s="102">
        <f t="shared" si="2"/>
        <v>5692.830083</v>
      </c>
      <c r="G253" s="102">
        <f t="shared" si="3"/>
        <v>6690.957879</v>
      </c>
    </row>
    <row r="254">
      <c r="A254" s="103">
        <f t="shared" si="4"/>
        <v>244</v>
      </c>
      <c r="B254" s="103">
        <f t="shared" si="5"/>
        <v>85.33333333</v>
      </c>
      <c r="C254" s="102">
        <f t="shared" si="1"/>
        <v>8361.628713</v>
      </c>
      <c r="D254" s="102">
        <f t="shared" si="6"/>
        <v>9827.6788</v>
      </c>
      <c r="E254" s="103">
        <f t="shared" si="7"/>
        <v>0.6797516225</v>
      </c>
      <c r="F254" s="102">
        <f t="shared" si="2"/>
        <v>5683.830684</v>
      </c>
      <c r="G254" s="102">
        <f t="shared" si="3"/>
        <v>6680.38061</v>
      </c>
    </row>
    <row r="255">
      <c r="A255" s="103">
        <f t="shared" si="4"/>
        <v>245</v>
      </c>
      <c r="B255" s="103">
        <f t="shared" si="5"/>
        <v>85.41666667</v>
      </c>
      <c r="C255" s="102">
        <f t="shared" si="1"/>
        <v>8361.628713</v>
      </c>
      <c r="D255" s="102">
        <f t="shared" si="6"/>
        <v>9827.6788</v>
      </c>
      <c r="E255" s="103">
        <f t="shared" si="7"/>
        <v>0.6786770505</v>
      </c>
      <c r="F255" s="102">
        <f t="shared" si="2"/>
        <v>5674.845512</v>
      </c>
      <c r="G255" s="102">
        <f t="shared" si="3"/>
        <v>6669.820062</v>
      </c>
    </row>
    <row r="256">
      <c r="A256" s="103">
        <f t="shared" si="4"/>
        <v>246</v>
      </c>
      <c r="B256" s="103">
        <f t="shared" si="5"/>
        <v>85.5</v>
      </c>
      <c r="C256" s="102">
        <f t="shared" si="1"/>
        <v>8361.628713</v>
      </c>
      <c r="D256" s="102">
        <f t="shared" si="6"/>
        <v>9827.6788</v>
      </c>
      <c r="E256" s="103">
        <f t="shared" si="7"/>
        <v>0.6776041772</v>
      </c>
      <c r="F256" s="102">
        <f t="shared" si="2"/>
        <v>5665.874544</v>
      </c>
      <c r="G256" s="102">
        <f t="shared" si="3"/>
        <v>6659.276208</v>
      </c>
    </row>
    <row r="257">
      <c r="A257" s="103">
        <f t="shared" si="4"/>
        <v>247</v>
      </c>
      <c r="B257" s="103">
        <f t="shared" si="5"/>
        <v>85.58333333</v>
      </c>
      <c r="C257" s="102">
        <f t="shared" si="1"/>
        <v>8361.628713</v>
      </c>
      <c r="D257" s="102">
        <f t="shared" si="6"/>
        <v>9827.6788</v>
      </c>
      <c r="E257" s="103">
        <f t="shared" si="7"/>
        <v>0.676533</v>
      </c>
      <c r="F257" s="102">
        <f t="shared" si="2"/>
        <v>5656.917758</v>
      </c>
      <c r="G257" s="102">
        <f t="shared" si="3"/>
        <v>6648.749022</v>
      </c>
    </row>
    <row r="258">
      <c r="A258" s="103">
        <f t="shared" si="4"/>
        <v>248</v>
      </c>
      <c r="B258" s="103">
        <f t="shared" si="5"/>
        <v>85.66666667</v>
      </c>
      <c r="C258" s="102">
        <f t="shared" si="1"/>
        <v>8361.628713</v>
      </c>
      <c r="D258" s="102">
        <f t="shared" si="6"/>
        <v>9827.6788</v>
      </c>
      <c r="E258" s="103">
        <f t="shared" si="7"/>
        <v>0.6754635161</v>
      </c>
      <c r="F258" s="102">
        <f t="shared" si="2"/>
        <v>5647.97513</v>
      </c>
      <c r="G258" s="102">
        <f t="shared" si="3"/>
        <v>6638.238477</v>
      </c>
    </row>
    <row r="259">
      <c r="A259" s="103">
        <f t="shared" si="4"/>
        <v>249</v>
      </c>
      <c r="B259" s="103">
        <f t="shared" si="5"/>
        <v>85.75</v>
      </c>
      <c r="C259" s="102">
        <f t="shared" si="1"/>
        <v>8361.628713</v>
      </c>
      <c r="D259" s="102">
        <f t="shared" si="6"/>
        <v>9827.6788</v>
      </c>
      <c r="E259" s="103">
        <f t="shared" si="7"/>
        <v>0.6743957228</v>
      </c>
      <c r="F259" s="102">
        <f t="shared" si="2"/>
        <v>5639.04664</v>
      </c>
      <c r="G259" s="102">
        <f t="shared" si="3"/>
        <v>6627.744549</v>
      </c>
    </row>
    <row r="260">
      <c r="A260" s="103">
        <f t="shared" si="4"/>
        <v>250</v>
      </c>
      <c r="B260" s="103">
        <f t="shared" si="5"/>
        <v>85.83333333</v>
      </c>
      <c r="C260" s="102">
        <f t="shared" si="1"/>
        <v>8361.628713</v>
      </c>
      <c r="D260" s="102">
        <f t="shared" si="6"/>
        <v>9827.6788</v>
      </c>
      <c r="E260" s="103">
        <f t="shared" si="7"/>
        <v>0.6733296176</v>
      </c>
      <c r="F260" s="102">
        <f t="shared" si="2"/>
        <v>5630.132264</v>
      </c>
      <c r="G260" s="102">
        <f t="shared" si="3"/>
        <v>6617.267209</v>
      </c>
    </row>
    <row r="261">
      <c r="A261" s="103">
        <f t="shared" si="4"/>
        <v>251</v>
      </c>
      <c r="B261" s="103">
        <f t="shared" si="5"/>
        <v>85.91666667</v>
      </c>
      <c r="C261" s="102">
        <f t="shared" si="1"/>
        <v>8361.628713</v>
      </c>
      <c r="D261" s="102">
        <f t="shared" si="6"/>
        <v>9827.6788</v>
      </c>
      <c r="E261" s="103">
        <f t="shared" si="7"/>
        <v>0.6722651977</v>
      </c>
      <c r="F261" s="102">
        <f t="shared" si="2"/>
        <v>5621.23198</v>
      </c>
      <c r="G261" s="102">
        <f t="shared" si="3"/>
        <v>6606.806432</v>
      </c>
    </row>
    <row r="262">
      <c r="A262" s="103">
        <f t="shared" si="4"/>
        <v>252</v>
      </c>
      <c r="B262" s="103">
        <f t="shared" si="5"/>
        <v>86</v>
      </c>
      <c r="C262" s="102">
        <f t="shared" si="1"/>
        <v>8361.628713</v>
      </c>
      <c r="D262" s="102">
        <f t="shared" si="6"/>
        <v>10024.23238</v>
      </c>
      <c r="E262" s="103">
        <f t="shared" si="7"/>
        <v>0.6712024605</v>
      </c>
      <c r="F262" s="102">
        <f t="shared" si="2"/>
        <v>5612.345766</v>
      </c>
      <c r="G262" s="102">
        <f t="shared" si="3"/>
        <v>6728.289436</v>
      </c>
    </row>
    <row r="263">
      <c r="A263" s="103">
        <f t="shared" si="4"/>
        <v>253</v>
      </c>
      <c r="B263" s="103">
        <f t="shared" si="5"/>
        <v>86.08333333</v>
      </c>
      <c r="C263" s="102">
        <f t="shared" si="1"/>
        <v>8361.628713</v>
      </c>
      <c r="D263" s="102">
        <f t="shared" si="6"/>
        <v>10024.23238</v>
      </c>
      <c r="E263" s="103">
        <f t="shared" si="7"/>
        <v>0.6701414033</v>
      </c>
      <c r="F263" s="102">
        <f t="shared" si="2"/>
        <v>5603.473599</v>
      </c>
      <c r="G263" s="102">
        <f t="shared" si="3"/>
        <v>6717.653151</v>
      </c>
    </row>
    <row r="264">
      <c r="A264" s="103">
        <f t="shared" si="4"/>
        <v>254</v>
      </c>
      <c r="B264" s="103">
        <f t="shared" si="5"/>
        <v>86.16666667</v>
      </c>
      <c r="C264" s="102">
        <f t="shared" si="1"/>
        <v>8361.628713</v>
      </c>
      <c r="D264" s="102">
        <f t="shared" si="6"/>
        <v>10024.23238</v>
      </c>
      <c r="E264" s="103">
        <f t="shared" si="7"/>
        <v>0.6690820234</v>
      </c>
      <c r="F264" s="102">
        <f t="shared" si="2"/>
        <v>5594.615458</v>
      </c>
      <c r="G264" s="102">
        <f t="shared" si="3"/>
        <v>6707.033681</v>
      </c>
    </row>
    <row r="265">
      <c r="A265" s="103">
        <f t="shared" si="4"/>
        <v>255</v>
      </c>
      <c r="B265" s="103">
        <f t="shared" si="5"/>
        <v>86.25</v>
      </c>
      <c r="C265" s="102">
        <f t="shared" si="1"/>
        <v>8361.628713</v>
      </c>
      <c r="D265" s="102">
        <f t="shared" si="6"/>
        <v>10024.23238</v>
      </c>
      <c r="E265" s="103">
        <f t="shared" si="7"/>
        <v>0.6680243182</v>
      </c>
      <c r="F265" s="102">
        <f t="shared" si="2"/>
        <v>5585.77132</v>
      </c>
      <c r="G265" s="102">
        <f t="shared" si="3"/>
        <v>6696.430999</v>
      </c>
    </row>
    <row r="266">
      <c r="A266" s="103">
        <f t="shared" si="4"/>
        <v>256</v>
      </c>
      <c r="B266" s="103">
        <f t="shared" si="5"/>
        <v>86.33333333</v>
      </c>
      <c r="C266" s="102">
        <f t="shared" si="1"/>
        <v>8361.628713</v>
      </c>
      <c r="D266" s="102">
        <f t="shared" si="6"/>
        <v>10024.23238</v>
      </c>
      <c r="E266" s="103">
        <f t="shared" si="7"/>
        <v>0.6669682851</v>
      </c>
      <c r="F266" s="102">
        <f t="shared" si="2"/>
        <v>5576.941163</v>
      </c>
      <c r="G266" s="102">
        <f t="shared" si="3"/>
        <v>6685.845078</v>
      </c>
    </row>
    <row r="267">
      <c r="A267" s="103">
        <f t="shared" si="4"/>
        <v>257</v>
      </c>
      <c r="B267" s="103">
        <f t="shared" si="5"/>
        <v>86.41666667</v>
      </c>
      <c r="C267" s="102">
        <f t="shared" si="1"/>
        <v>8361.628713</v>
      </c>
      <c r="D267" s="102">
        <f t="shared" si="6"/>
        <v>10024.23238</v>
      </c>
      <c r="E267" s="103">
        <f t="shared" si="7"/>
        <v>0.6659139214</v>
      </c>
      <c r="F267" s="102">
        <f t="shared" si="2"/>
        <v>5568.124965</v>
      </c>
      <c r="G267" s="102">
        <f t="shared" si="3"/>
        <v>6675.275891</v>
      </c>
    </row>
    <row r="268">
      <c r="A268" s="103">
        <f t="shared" si="4"/>
        <v>258</v>
      </c>
      <c r="B268" s="103">
        <f t="shared" si="5"/>
        <v>86.5</v>
      </c>
      <c r="C268" s="102">
        <f t="shared" si="1"/>
        <v>8361.628713</v>
      </c>
      <c r="D268" s="102">
        <f t="shared" si="6"/>
        <v>10024.23238</v>
      </c>
      <c r="E268" s="103">
        <f t="shared" si="7"/>
        <v>0.6648612245</v>
      </c>
      <c r="F268" s="102">
        <f t="shared" si="2"/>
        <v>5559.322704</v>
      </c>
      <c r="G268" s="102">
        <f t="shared" si="3"/>
        <v>6664.723412</v>
      </c>
    </row>
    <row r="269">
      <c r="A269" s="103">
        <f t="shared" si="4"/>
        <v>259</v>
      </c>
      <c r="B269" s="103">
        <f t="shared" si="5"/>
        <v>86.58333333</v>
      </c>
      <c r="C269" s="102">
        <f t="shared" si="1"/>
        <v>8361.628713</v>
      </c>
      <c r="D269" s="102">
        <f t="shared" si="6"/>
        <v>10024.23238</v>
      </c>
      <c r="E269" s="103">
        <f t="shared" si="7"/>
        <v>0.6638101917</v>
      </c>
      <c r="F269" s="102">
        <f t="shared" si="2"/>
        <v>5550.534358</v>
      </c>
      <c r="G269" s="102">
        <f t="shared" si="3"/>
        <v>6654.187615</v>
      </c>
    </row>
    <row r="270">
      <c r="A270" s="103">
        <f t="shared" si="4"/>
        <v>260</v>
      </c>
      <c r="B270" s="103">
        <f t="shared" si="5"/>
        <v>86.66666667</v>
      </c>
      <c r="C270" s="102">
        <f t="shared" si="1"/>
        <v>8361.628713</v>
      </c>
      <c r="D270" s="102">
        <f t="shared" si="6"/>
        <v>10024.23238</v>
      </c>
      <c r="E270" s="103">
        <f t="shared" si="7"/>
        <v>0.6627608204</v>
      </c>
      <c r="F270" s="102">
        <f t="shared" si="2"/>
        <v>5541.759905</v>
      </c>
      <c r="G270" s="102">
        <f t="shared" si="3"/>
        <v>6643.668473</v>
      </c>
    </row>
    <row r="271">
      <c r="A271" s="103">
        <f t="shared" si="4"/>
        <v>261</v>
      </c>
      <c r="B271" s="103">
        <f t="shared" si="5"/>
        <v>86.75</v>
      </c>
      <c r="C271" s="102">
        <f t="shared" si="1"/>
        <v>8361.628713</v>
      </c>
      <c r="D271" s="102">
        <f t="shared" si="6"/>
        <v>10024.23238</v>
      </c>
      <c r="E271" s="103">
        <f t="shared" si="7"/>
        <v>0.6617131079</v>
      </c>
      <c r="F271" s="102">
        <f t="shared" si="2"/>
        <v>5532.999323</v>
      </c>
      <c r="G271" s="102">
        <f t="shared" si="3"/>
        <v>6633.165961</v>
      </c>
    </row>
    <row r="272">
      <c r="A272" s="103">
        <f t="shared" si="4"/>
        <v>262</v>
      </c>
      <c r="B272" s="103">
        <f t="shared" si="5"/>
        <v>86.83333333</v>
      </c>
      <c r="C272" s="102">
        <f t="shared" si="1"/>
        <v>8361.628713</v>
      </c>
      <c r="D272" s="102">
        <f t="shared" si="6"/>
        <v>10024.23238</v>
      </c>
      <c r="E272" s="103">
        <f t="shared" si="7"/>
        <v>0.6606670518</v>
      </c>
      <c r="F272" s="102">
        <f t="shared" si="2"/>
        <v>5524.25259</v>
      </c>
      <c r="G272" s="102">
        <f t="shared" si="3"/>
        <v>6622.68005</v>
      </c>
    </row>
    <row r="273">
      <c r="A273" s="103">
        <f t="shared" si="4"/>
        <v>263</v>
      </c>
      <c r="B273" s="103">
        <f t="shared" si="5"/>
        <v>86.91666667</v>
      </c>
      <c r="C273" s="102">
        <f t="shared" si="1"/>
        <v>8361.628713</v>
      </c>
      <c r="D273" s="102">
        <f t="shared" si="6"/>
        <v>10024.23238</v>
      </c>
      <c r="E273" s="103">
        <f t="shared" si="7"/>
        <v>0.6596226492</v>
      </c>
      <c r="F273" s="102">
        <f t="shared" si="2"/>
        <v>5515.519683</v>
      </c>
      <c r="G273" s="102">
        <f t="shared" si="3"/>
        <v>6612.210717</v>
      </c>
    </row>
    <row r="274">
      <c r="A274" s="103">
        <f t="shared" si="4"/>
        <v>264</v>
      </c>
      <c r="B274" s="103">
        <f t="shared" si="5"/>
        <v>87</v>
      </c>
      <c r="C274" s="102">
        <f t="shared" si="1"/>
        <v>8361.628713</v>
      </c>
      <c r="D274" s="102">
        <f t="shared" si="6"/>
        <v>10224.71702</v>
      </c>
      <c r="E274" s="103">
        <f t="shared" si="7"/>
        <v>0.6585798977</v>
      </c>
      <c r="F274" s="102">
        <f t="shared" si="2"/>
        <v>5506.800582</v>
      </c>
      <c r="G274" s="102">
        <f t="shared" si="3"/>
        <v>6733.793092</v>
      </c>
    </row>
    <row r="275">
      <c r="A275" s="103">
        <f t="shared" si="4"/>
        <v>265</v>
      </c>
      <c r="B275" s="103">
        <f t="shared" si="5"/>
        <v>87.08333333</v>
      </c>
      <c r="C275" s="102">
        <f t="shared" si="1"/>
        <v>8361.628713</v>
      </c>
      <c r="D275" s="102">
        <f t="shared" si="6"/>
        <v>10224.71702</v>
      </c>
      <c r="E275" s="103">
        <f t="shared" si="7"/>
        <v>0.6575387946</v>
      </c>
      <c r="F275" s="102">
        <f t="shared" si="2"/>
        <v>5498.095265</v>
      </c>
      <c r="G275" s="102">
        <f t="shared" si="3"/>
        <v>6723.148108</v>
      </c>
    </row>
    <row r="276">
      <c r="A276" s="103">
        <f t="shared" si="4"/>
        <v>266</v>
      </c>
      <c r="B276" s="103">
        <f t="shared" si="5"/>
        <v>87.16666667</v>
      </c>
      <c r="C276" s="102">
        <f t="shared" si="1"/>
        <v>8361.628713</v>
      </c>
      <c r="D276" s="102">
        <f t="shared" si="6"/>
        <v>10224.71702</v>
      </c>
      <c r="E276" s="103">
        <f t="shared" si="7"/>
        <v>0.6564993374</v>
      </c>
      <c r="F276" s="102">
        <f t="shared" si="2"/>
        <v>5489.403709</v>
      </c>
      <c r="G276" s="102">
        <f t="shared" si="3"/>
        <v>6712.519951</v>
      </c>
    </row>
    <row r="277">
      <c r="A277" s="103">
        <f t="shared" si="4"/>
        <v>267</v>
      </c>
      <c r="B277" s="103">
        <f t="shared" si="5"/>
        <v>87.25</v>
      </c>
      <c r="C277" s="102">
        <f t="shared" si="1"/>
        <v>8361.628713</v>
      </c>
      <c r="D277" s="102">
        <f t="shared" si="6"/>
        <v>10224.71702</v>
      </c>
      <c r="E277" s="103">
        <f t="shared" si="7"/>
        <v>0.6554615233</v>
      </c>
      <c r="F277" s="102">
        <f t="shared" si="2"/>
        <v>5480.725893</v>
      </c>
      <c r="G277" s="102">
        <f t="shared" si="3"/>
        <v>6701.908596</v>
      </c>
    </row>
    <row r="278">
      <c r="A278" s="103">
        <f t="shared" si="4"/>
        <v>268</v>
      </c>
      <c r="B278" s="103">
        <f t="shared" si="5"/>
        <v>87.33333333</v>
      </c>
      <c r="C278" s="102">
        <f t="shared" si="1"/>
        <v>8361.628713</v>
      </c>
      <c r="D278" s="102">
        <f t="shared" si="6"/>
        <v>10224.71702</v>
      </c>
      <c r="E278" s="103">
        <f t="shared" si="7"/>
        <v>0.6544253498</v>
      </c>
      <c r="F278" s="102">
        <f t="shared" si="2"/>
        <v>5472.061795</v>
      </c>
      <c r="G278" s="102">
        <f t="shared" si="3"/>
        <v>6691.314015</v>
      </c>
    </row>
    <row r="279">
      <c r="A279" s="103">
        <f t="shared" si="4"/>
        <v>269</v>
      </c>
      <c r="B279" s="103">
        <f t="shared" si="5"/>
        <v>87.41666667</v>
      </c>
      <c r="C279" s="102">
        <f t="shared" si="1"/>
        <v>8361.628713</v>
      </c>
      <c r="D279" s="102">
        <f t="shared" si="6"/>
        <v>10224.71702</v>
      </c>
      <c r="E279" s="103">
        <f t="shared" si="7"/>
        <v>0.6533908144</v>
      </c>
      <c r="F279" s="102">
        <f t="shared" si="2"/>
        <v>5463.411394</v>
      </c>
      <c r="G279" s="102">
        <f t="shared" si="3"/>
        <v>6680.736183</v>
      </c>
    </row>
    <row r="280">
      <c r="A280" s="103">
        <f t="shared" si="4"/>
        <v>270</v>
      </c>
      <c r="B280" s="103">
        <f t="shared" si="5"/>
        <v>87.5</v>
      </c>
      <c r="C280" s="102">
        <f t="shared" si="1"/>
        <v>8361.628713</v>
      </c>
      <c r="D280" s="102">
        <f t="shared" si="6"/>
        <v>10224.71702</v>
      </c>
      <c r="E280" s="103">
        <f t="shared" si="7"/>
        <v>0.6523579143</v>
      </c>
      <c r="F280" s="102">
        <f t="shared" si="2"/>
        <v>5454.774667</v>
      </c>
      <c r="G280" s="102">
        <f t="shared" si="3"/>
        <v>6670.175072</v>
      </c>
    </row>
    <row r="281">
      <c r="A281" s="103">
        <f t="shared" si="4"/>
        <v>271</v>
      </c>
      <c r="B281" s="103">
        <f t="shared" si="5"/>
        <v>87.58333333</v>
      </c>
      <c r="C281" s="102">
        <f t="shared" si="1"/>
        <v>8361.628713</v>
      </c>
      <c r="D281" s="102">
        <f t="shared" si="6"/>
        <v>10224.71702</v>
      </c>
      <c r="E281" s="103">
        <f t="shared" si="7"/>
        <v>0.6513266471</v>
      </c>
      <c r="F281" s="102">
        <f t="shared" si="2"/>
        <v>5446.151594</v>
      </c>
      <c r="G281" s="102">
        <f t="shared" si="3"/>
        <v>6659.630657</v>
      </c>
    </row>
    <row r="282">
      <c r="A282" s="103">
        <f t="shared" si="4"/>
        <v>272</v>
      </c>
      <c r="B282" s="103">
        <f t="shared" si="5"/>
        <v>87.66666667</v>
      </c>
      <c r="C282" s="102">
        <f t="shared" si="1"/>
        <v>8361.628713</v>
      </c>
      <c r="D282" s="102">
        <f t="shared" si="6"/>
        <v>10224.71702</v>
      </c>
      <c r="E282" s="103">
        <f t="shared" si="7"/>
        <v>0.6502970102</v>
      </c>
      <c r="F282" s="102">
        <f t="shared" si="2"/>
        <v>5437.542152</v>
      </c>
      <c r="G282" s="102">
        <f t="shared" si="3"/>
        <v>6649.102911</v>
      </c>
    </row>
    <row r="283">
      <c r="A283" s="103">
        <f t="shared" si="4"/>
        <v>273</v>
      </c>
      <c r="B283" s="103">
        <f t="shared" si="5"/>
        <v>87.75</v>
      </c>
      <c r="C283" s="102">
        <f t="shared" si="1"/>
        <v>8361.628713</v>
      </c>
      <c r="D283" s="102">
        <f t="shared" si="6"/>
        <v>10224.71702</v>
      </c>
      <c r="E283" s="103">
        <f t="shared" si="7"/>
        <v>0.649269001</v>
      </c>
      <c r="F283" s="102">
        <f t="shared" si="2"/>
        <v>5428.946321</v>
      </c>
      <c r="G283" s="102">
        <f t="shared" si="3"/>
        <v>6638.591807</v>
      </c>
    </row>
    <row r="284">
      <c r="A284" s="103">
        <f t="shared" si="4"/>
        <v>274</v>
      </c>
      <c r="B284" s="103">
        <f t="shared" si="5"/>
        <v>87.83333333</v>
      </c>
      <c r="C284" s="102">
        <f t="shared" si="1"/>
        <v>8361.628713</v>
      </c>
      <c r="D284" s="102">
        <f t="shared" si="6"/>
        <v>10224.71702</v>
      </c>
      <c r="E284" s="103">
        <f t="shared" si="7"/>
        <v>0.6482426168</v>
      </c>
      <c r="F284" s="102">
        <f t="shared" si="2"/>
        <v>5420.364077</v>
      </c>
      <c r="G284" s="102">
        <f t="shared" si="3"/>
        <v>6628.09732</v>
      </c>
    </row>
    <row r="285">
      <c r="A285" s="103">
        <f t="shared" si="4"/>
        <v>275</v>
      </c>
      <c r="B285" s="103">
        <f t="shared" si="5"/>
        <v>87.91666667</v>
      </c>
      <c r="C285" s="102">
        <f t="shared" si="1"/>
        <v>8361.628713</v>
      </c>
      <c r="D285" s="102">
        <f t="shared" si="6"/>
        <v>10224.71702</v>
      </c>
      <c r="E285" s="103">
        <f t="shared" si="7"/>
        <v>0.6472178552</v>
      </c>
      <c r="F285" s="102">
        <f t="shared" si="2"/>
        <v>5411.795401</v>
      </c>
      <c r="G285" s="102">
        <f t="shared" si="3"/>
        <v>6617.619422</v>
      </c>
    </row>
    <row r="286">
      <c r="A286" s="103">
        <f t="shared" si="4"/>
        <v>276</v>
      </c>
      <c r="B286" s="103">
        <f t="shared" si="5"/>
        <v>88</v>
      </c>
      <c r="C286" s="102">
        <f t="shared" si="1"/>
        <v>8361.628713</v>
      </c>
      <c r="D286" s="102">
        <f t="shared" si="6"/>
        <v>10429.21136</v>
      </c>
      <c r="E286" s="103">
        <f t="shared" si="7"/>
        <v>0.6461947136</v>
      </c>
      <c r="F286" s="102">
        <f t="shared" si="2"/>
        <v>5403.240271</v>
      </c>
      <c r="G286" s="102">
        <f t="shared" si="3"/>
        <v>6739.301251</v>
      </c>
    </row>
    <row r="287">
      <c r="A287" s="103">
        <f t="shared" si="4"/>
        <v>277</v>
      </c>
      <c r="B287" s="103">
        <f t="shared" si="5"/>
        <v>88.08333333</v>
      </c>
      <c r="C287" s="102">
        <f t="shared" si="1"/>
        <v>8361.628713</v>
      </c>
      <c r="D287" s="102">
        <f t="shared" si="6"/>
        <v>10429.21136</v>
      </c>
      <c r="E287" s="103">
        <f t="shared" si="7"/>
        <v>0.6451731894</v>
      </c>
      <c r="F287" s="102">
        <f t="shared" si="2"/>
        <v>5394.698665</v>
      </c>
      <c r="G287" s="102">
        <f t="shared" si="3"/>
        <v>6728.647559</v>
      </c>
    </row>
    <row r="288">
      <c r="A288" s="103">
        <f t="shared" si="4"/>
        <v>278</v>
      </c>
      <c r="B288" s="103">
        <f t="shared" si="5"/>
        <v>88.16666667</v>
      </c>
      <c r="C288" s="102">
        <f t="shared" si="1"/>
        <v>8361.628713</v>
      </c>
      <c r="D288" s="102">
        <f t="shared" si="6"/>
        <v>10429.21136</v>
      </c>
      <c r="E288" s="103">
        <f t="shared" si="7"/>
        <v>0.64415328</v>
      </c>
      <c r="F288" s="102">
        <f t="shared" si="2"/>
        <v>5386.170561</v>
      </c>
      <c r="G288" s="102">
        <f t="shared" si="3"/>
        <v>6718.010708</v>
      </c>
    </row>
    <row r="289">
      <c r="A289" s="103">
        <f t="shared" si="4"/>
        <v>279</v>
      </c>
      <c r="B289" s="103">
        <f t="shared" si="5"/>
        <v>88.25</v>
      </c>
      <c r="C289" s="102">
        <f t="shared" si="1"/>
        <v>8361.628713</v>
      </c>
      <c r="D289" s="102">
        <f t="shared" si="6"/>
        <v>10429.21136</v>
      </c>
      <c r="E289" s="103">
        <f t="shared" si="7"/>
        <v>0.6431349829</v>
      </c>
      <c r="F289" s="102">
        <f t="shared" si="2"/>
        <v>5377.655939</v>
      </c>
      <c r="G289" s="102">
        <f t="shared" si="3"/>
        <v>6707.390673</v>
      </c>
    </row>
    <row r="290">
      <c r="A290" s="103">
        <f t="shared" si="4"/>
        <v>280</v>
      </c>
      <c r="B290" s="103">
        <f t="shared" si="5"/>
        <v>88.33333333</v>
      </c>
      <c r="C290" s="102">
        <f t="shared" si="1"/>
        <v>8361.628713</v>
      </c>
      <c r="D290" s="102">
        <f t="shared" si="6"/>
        <v>10429.21136</v>
      </c>
      <c r="E290" s="103">
        <f t="shared" si="7"/>
        <v>0.6421182956</v>
      </c>
      <c r="F290" s="102">
        <f t="shared" si="2"/>
        <v>5369.154778</v>
      </c>
      <c r="G290" s="102">
        <f t="shared" si="3"/>
        <v>6696.787426</v>
      </c>
    </row>
    <row r="291">
      <c r="A291" s="103">
        <f t="shared" si="4"/>
        <v>281</v>
      </c>
      <c r="B291" s="103">
        <f t="shared" si="5"/>
        <v>88.41666667</v>
      </c>
      <c r="C291" s="102">
        <f t="shared" si="1"/>
        <v>8361.628713</v>
      </c>
      <c r="D291" s="102">
        <f t="shared" si="6"/>
        <v>10429.21136</v>
      </c>
      <c r="E291" s="103">
        <f t="shared" si="7"/>
        <v>0.6411032156</v>
      </c>
      <c r="F291" s="102">
        <f t="shared" si="2"/>
        <v>5360.667055</v>
      </c>
      <c r="G291" s="102">
        <f t="shared" si="3"/>
        <v>6686.200941</v>
      </c>
    </row>
    <row r="292">
      <c r="A292" s="103">
        <f t="shared" si="4"/>
        <v>282</v>
      </c>
      <c r="B292" s="103">
        <f t="shared" si="5"/>
        <v>88.5</v>
      </c>
      <c r="C292" s="102">
        <f t="shared" si="1"/>
        <v>8361.628713</v>
      </c>
      <c r="D292" s="102">
        <f t="shared" si="6"/>
        <v>10429.21136</v>
      </c>
      <c r="E292" s="103">
        <f t="shared" si="7"/>
        <v>0.6400897401</v>
      </c>
      <c r="F292" s="102">
        <f t="shared" si="2"/>
        <v>5352.19275</v>
      </c>
      <c r="G292" s="102">
        <f t="shared" si="3"/>
        <v>6675.631192</v>
      </c>
    </row>
    <row r="293">
      <c r="A293" s="103">
        <f t="shared" si="4"/>
        <v>283</v>
      </c>
      <c r="B293" s="103">
        <f t="shared" si="5"/>
        <v>88.58333333</v>
      </c>
      <c r="C293" s="102">
        <f t="shared" si="1"/>
        <v>8361.628713</v>
      </c>
      <c r="D293" s="102">
        <f t="shared" si="6"/>
        <v>10429.21136</v>
      </c>
      <c r="E293" s="103">
        <f t="shared" si="7"/>
        <v>0.6390778668</v>
      </c>
      <c r="F293" s="102">
        <f t="shared" si="2"/>
        <v>5343.731841</v>
      </c>
      <c r="G293" s="102">
        <f t="shared" si="3"/>
        <v>6665.078152</v>
      </c>
    </row>
    <row r="294">
      <c r="A294" s="103">
        <f t="shared" si="4"/>
        <v>284</v>
      </c>
      <c r="B294" s="103">
        <f t="shared" si="5"/>
        <v>88.66666667</v>
      </c>
      <c r="C294" s="102">
        <f t="shared" si="1"/>
        <v>8361.628713</v>
      </c>
      <c r="D294" s="102">
        <f t="shared" si="6"/>
        <v>10429.21136</v>
      </c>
      <c r="E294" s="103">
        <f t="shared" si="7"/>
        <v>0.6380675931</v>
      </c>
      <c r="F294" s="102">
        <f t="shared" si="2"/>
        <v>5335.284307</v>
      </c>
      <c r="G294" s="102">
        <f t="shared" si="3"/>
        <v>6654.541794</v>
      </c>
    </row>
    <row r="295">
      <c r="A295" s="103">
        <f t="shared" si="4"/>
        <v>285</v>
      </c>
      <c r="B295" s="103">
        <f t="shared" si="5"/>
        <v>88.75</v>
      </c>
      <c r="C295" s="102">
        <f t="shared" si="1"/>
        <v>8361.628713</v>
      </c>
      <c r="D295" s="102">
        <f t="shared" si="6"/>
        <v>10429.21136</v>
      </c>
      <c r="E295" s="103">
        <f t="shared" si="7"/>
        <v>0.6370589165</v>
      </c>
      <c r="F295" s="102">
        <f t="shared" si="2"/>
        <v>5326.850128</v>
      </c>
      <c r="G295" s="102">
        <f t="shared" si="3"/>
        <v>6644.022092</v>
      </c>
    </row>
    <row r="296">
      <c r="A296" s="103">
        <f t="shared" si="4"/>
        <v>286</v>
      </c>
      <c r="B296" s="103">
        <f t="shared" si="5"/>
        <v>88.83333333</v>
      </c>
      <c r="C296" s="102">
        <f t="shared" si="1"/>
        <v>8361.628713</v>
      </c>
      <c r="D296" s="102">
        <f t="shared" si="6"/>
        <v>10429.21136</v>
      </c>
      <c r="E296" s="103">
        <f t="shared" si="7"/>
        <v>0.6360518345</v>
      </c>
      <c r="F296" s="102">
        <f t="shared" si="2"/>
        <v>5318.429282</v>
      </c>
      <c r="G296" s="102">
        <f t="shared" si="3"/>
        <v>6633.51902</v>
      </c>
    </row>
    <row r="297">
      <c r="A297" s="103">
        <f t="shared" si="4"/>
        <v>287</v>
      </c>
      <c r="B297" s="103">
        <f t="shared" si="5"/>
        <v>88.91666667</v>
      </c>
      <c r="C297" s="102">
        <f t="shared" si="1"/>
        <v>8361.628713</v>
      </c>
      <c r="D297" s="102">
        <f t="shared" si="6"/>
        <v>10429.21136</v>
      </c>
      <c r="E297" s="103">
        <f t="shared" si="7"/>
        <v>0.6350463444</v>
      </c>
      <c r="F297" s="102">
        <f t="shared" si="2"/>
        <v>5310.021747</v>
      </c>
      <c r="G297" s="102">
        <f t="shared" si="3"/>
        <v>6623.032552</v>
      </c>
    </row>
    <row r="298">
      <c r="A298" s="103">
        <f t="shared" si="4"/>
        <v>288</v>
      </c>
      <c r="B298" s="103">
        <f t="shared" si="5"/>
        <v>89</v>
      </c>
      <c r="C298" s="102">
        <f t="shared" si="1"/>
        <v>8361.628713</v>
      </c>
      <c r="D298" s="102">
        <f t="shared" si="6"/>
        <v>10637.79559</v>
      </c>
      <c r="E298" s="103">
        <f t="shared" si="7"/>
        <v>0.6340424439</v>
      </c>
      <c r="F298" s="102">
        <f t="shared" si="2"/>
        <v>5301.627504</v>
      </c>
      <c r="G298" s="102">
        <f t="shared" si="3"/>
        <v>6744.813915</v>
      </c>
    </row>
    <row r="299">
      <c r="A299" s="103">
        <f t="shared" si="4"/>
        <v>289</v>
      </c>
      <c r="B299" s="103">
        <f t="shared" si="5"/>
        <v>89.08333333</v>
      </c>
      <c r="C299" s="102">
        <f t="shared" si="1"/>
        <v>8361.628713</v>
      </c>
      <c r="D299" s="102">
        <f t="shared" si="6"/>
        <v>10637.79559</v>
      </c>
      <c r="E299" s="103">
        <f t="shared" si="7"/>
        <v>0.6330401303</v>
      </c>
      <c r="F299" s="102">
        <f t="shared" si="2"/>
        <v>5293.24653</v>
      </c>
      <c r="G299" s="102">
        <f t="shared" si="3"/>
        <v>6734.151508</v>
      </c>
    </row>
    <row r="300">
      <c r="A300" s="103">
        <f t="shared" si="4"/>
        <v>290</v>
      </c>
      <c r="B300" s="103">
        <f t="shared" si="5"/>
        <v>89.16666667</v>
      </c>
      <c r="C300" s="102">
        <f t="shared" si="1"/>
        <v>8361.628713</v>
      </c>
      <c r="D300" s="102">
        <f t="shared" si="6"/>
        <v>10637.79559</v>
      </c>
      <c r="E300" s="103">
        <f t="shared" si="7"/>
        <v>0.6320394013</v>
      </c>
      <c r="F300" s="102">
        <f t="shared" si="2"/>
        <v>5284.878805</v>
      </c>
      <c r="G300" s="102">
        <f t="shared" si="3"/>
        <v>6723.505957</v>
      </c>
    </row>
    <row r="301">
      <c r="A301" s="103">
        <f t="shared" si="4"/>
        <v>291</v>
      </c>
      <c r="B301" s="103">
        <f t="shared" si="5"/>
        <v>89.25</v>
      </c>
      <c r="C301" s="102">
        <f t="shared" si="1"/>
        <v>8361.628713</v>
      </c>
      <c r="D301" s="102">
        <f t="shared" si="6"/>
        <v>10637.79559</v>
      </c>
      <c r="E301" s="103">
        <f t="shared" si="7"/>
        <v>0.6310402542</v>
      </c>
      <c r="F301" s="102">
        <f t="shared" si="2"/>
        <v>5276.524308</v>
      </c>
      <c r="G301" s="102">
        <f t="shared" si="3"/>
        <v>6712.877235</v>
      </c>
    </row>
    <row r="302">
      <c r="A302" s="103">
        <f t="shared" si="4"/>
        <v>292</v>
      </c>
      <c r="B302" s="103">
        <f t="shared" si="5"/>
        <v>89.33333333</v>
      </c>
      <c r="C302" s="102">
        <f t="shared" si="1"/>
        <v>8361.628713</v>
      </c>
      <c r="D302" s="102">
        <f t="shared" si="6"/>
        <v>10637.79559</v>
      </c>
      <c r="E302" s="103">
        <f t="shared" si="7"/>
        <v>0.6300426866</v>
      </c>
      <c r="F302" s="102">
        <f t="shared" si="2"/>
        <v>5268.183019</v>
      </c>
      <c r="G302" s="102">
        <f t="shared" si="3"/>
        <v>6702.265314</v>
      </c>
    </row>
    <row r="303">
      <c r="A303" s="103">
        <f t="shared" si="4"/>
        <v>293</v>
      </c>
      <c r="B303" s="103">
        <f t="shared" si="5"/>
        <v>89.41666667</v>
      </c>
      <c r="C303" s="102">
        <f t="shared" si="1"/>
        <v>8361.628713</v>
      </c>
      <c r="D303" s="102">
        <f t="shared" si="6"/>
        <v>10637.79559</v>
      </c>
      <c r="E303" s="103">
        <f t="shared" si="7"/>
        <v>0.629046696</v>
      </c>
      <c r="F303" s="102">
        <f t="shared" si="2"/>
        <v>5259.854915</v>
      </c>
      <c r="G303" s="102">
        <f t="shared" si="3"/>
        <v>6691.67017</v>
      </c>
    </row>
    <row r="304">
      <c r="A304" s="103">
        <f t="shared" si="4"/>
        <v>294</v>
      </c>
      <c r="B304" s="103">
        <f t="shared" si="5"/>
        <v>89.5</v>
      </c>
      <c r="C304" s="102">
        <f t="shared" si="1"/>
        <v>8361.628713</v>
      </c>
      <c r="D304" s="102">
        <f t="shared" si="6"/>
        <v>10637.79559</v>
      </c>
      <c r="E304" s="103">
        <f t="shared" si="7"/>
        <v>0.6280522799</v>
      </c>
      <c r="F304" s="102">
        <f t="shared" si="2"/>
        <v>5251.539977</v>
      </c>
      <c r="G304" s="102">
        <f t="shared" si="3"/>
        <v>6681.091775</v>
      </c>
    </row>
    <row r="305">
      <c r="A305" s="103">
        <f t="shared" si="4"/>
        <v>295</v>
      </c>
      <c r="B305" s="103">
        <f t="shared" si="5"/>
        <v>89.58333333</v>
      </c>
      <c r="C305" s="102">
        <f t="shared" si="1"/>
        <v>8361.628713</v>
      </c>
      <c r="D305" s="102">
        <f t="shared" si="6"/>
        <v>10637.79559</v>
      </c>
      <c r="E305" s="103">
        <f t="shared" si="7"/>
        <v>0.6270594358</v>
      </c>
      <c r="F305" s="102">
        <f t="shared" si="2"/>
        <v>5243.238183</v>
      </c>
      <c r="G305" s="102">
        <f t="shared" si="3"/>
        <v>6670.530102</v>
      </c>
    </row>
    <row r="306">
      <c r="A306" s="103">
        <f t="shared" si="4"/>
        <v>296</v>
      </c>
      <c r="B306" s="103">
        <f t="shared" si="5"/>
        <v>89.66666667</v>
      </c>
      <c r="C306" s="102">
        <f t="shared" si="1"/>
        <v>8361.628713</v>
      </c>
      <c r="D306" s="102">
        <f t="shared" si="6"/>
        <v>10637.79559</v>
      </c>
      <c r="E306" s="103">
        <f t="shared" si="7"/>
        <v>0.6260681612</v>
      </c>
      <c r="F306" s="102">
        <f t="shared" si="2"/>
        <v>5234.949513</v>
      </c>
      <c r="G306" s="102">
        <f t="shared" si="3"/>
        <v>6659.985126</v>
      </c>
    </row>
    <row r="307">
      <c r="A307" s="103">
        <f t="shared" si="4"/>
        <v>297</v>
      </c>
      <c r="B307" s="103">
        <f t="shared" si="5"/>
        <v>89.75</v>
      </c>
      <c r="C307" s="102">
        <f t="shared" si="1"/>
        <v>8361.628713</v>
      </c>
      <c r="D307" s="102">
        <f t="shared" si="6"/>
        <v>10637.79559</v>
      </c>
      <c r="E307" s="103">
        <f t="shared" si="7"/>
        <v>0.6250784537</v>
      </c>
      <c r="F307" s="102">
        <f t="shared" si="2"/>
        <v>5226.673946</v>
      </c>
      <c r="G307" s="102">
        <f t="shared" si="3"/>
        <v>6649.456819</v>
      </c>
    </row>
    <row r="308">
      <c r="A308" s="103">
        <f t="shared" si="4"/>
        <v>298</v>
      </c>
      <c r="B308" s="103">
        <f t="shared" si="5"/>
        <v>89.83333333</v>
      </c>
      <c r="C308" s="102">
        <f t="shared" si="1"/>
        <v>8361.628713</v>
      </c>
      <c r="D308" s="102">
        <f t="shared" si="6"/>
        <v>10637.79559</v>
      </c>
      <c r="E308" s="103">
        <f t="shared" si="7"/>
        <v>0.6240903107</v>
      </c>
      <c r="F308" s="102">
        <f t="shared" si="2"/>
        <v>5218.411461</v>
      </c>
      <c r="G308" s="102">
        <f t="shared" si="3"/>
        <v>6638.945156</v>
      </c>
    </row>
    <row r="309">
      <c r="A309" s="103">
        <f t="shared" si="4"/>
        <v>299</v>
      </c>
      <c r="B309" s="103">
        <f t="shared" si="5"/>
        <v>89.91666667</v>
      </c>
      <c r="C309" s="102">
        <f t="shared" si="1"/>
        <v>8361.628713</v>
      </c>
      <c r="D309" s="102">
        <f t="shared" si="6"/>
        <v>10637.79559</v>
      </c>
      <c r="E309" s="103">
        <f t="shared" si="7"/>
        <v>0.6231037298</v>
      </c>
      <c r="F309" s="102">
        <f t="shared" si="2"/>
        <v>5210.162038</v>
      </c>
      <c r="G309" s="102">
        <f t="shared" si="3"/>
        <v>6628.45011</v>
      </c>
    </row>
    <row r="310">
      <c r="A310" s="103">
        <f t="shared" si="4"/>
        <v>300</v>
      </c>
      <c r="B310" s="103">
        <f t="shared" si="5"/>
        <v>90</v>
      </c>
      <c r="C310" s="102">
        <f t="shared" si="1"/>
        <v>8361.628713</v>
      </c>
      <c r="D310" s="102">
        <f t="shared" si="6"/>
        <v>10850.5515</v>
      </c>
      <c r="E310" s="103">
        <f t="shared" si="7"/>
        <v>0.6221187085</v>
      </c>
      <c r="F310" s="102">
        <f t="shared" si="2"/>
        <v>5201.925655</v>
      </c>
      <c r="G310" s="102">
        <f t="shared" si="3"/>
        <v>6750.331088</v>
      </c>
    </row>
    <row r="311">
      <c r="A311" s="103">
        <f t="shared" si="4"/>
        <v>301</v>
      </c>
      <c r="B311" s="103">
        <f t="shared" si="5"/>
        <v>90.08333333</v>
      </c>
      <c r="C311" s="103">
        <f t="shared" si="1"/>
        <v>0</v>
      </c>
      <c r="D311" s="103">
        <f t="shared" si="6"/>
        <v>0</v>
      </c>
      <c r="E311" s="103">
        <f t="shared" si="7"/>
        <v>0.6211352443</v>
      </c>
      <c r="F311" s="103">
        <f t="shared" si="2"/>
        <v>0</v>
      </c>
      <c r="G311" s="103">
        <f t="shared" si="3"/>
        <v>0</v>
      </c>
    </row>
    <row r="312">
      <c r="A312" s="103">
        <f t="shared" si="4"/>
        <v>302</v>
      </c>
      <c r="B312" s="103">
        <f t="shared" si="5"/>
        <v>90.16666667</v>
      </c>
      <c r="C312" s="103">
        <f t="shared" si="1"/>
        <v>0</v>
      </c>
      <c r="D312" s="103">
        <f t="shared" si="6"/>
        <v>0</v>
      </c>
      <c r="E312" s="103">
        <f t="shared" si="7"/>
        <v>0.6201533349</v>
      </c>
      <c r="F312" s="103">
        <f t="shared" si="2"/>
        <v>0</v>
      </c>
      <c r="G312" s="103">
        <f t="shared" si="3"/>
        <v>0</v>
      </c>
    </row>
    <row r="313">
      <c r="A313" s="103">
        <f t="shared" si="4"/>
        <v>303</v>
      </c>
      <c r="B313" s="103">
        <f t="shared" si="5"/>
        <v>90.25</v>
      </c>
      <c r="C313" s="103">
        <f t="shared" si="1"/>
        <v>0</v>
      </c>
      <c r="D313" s="103">
        <f t="shared" si="6"/>
        <v>0</v>
      </c>
      <c r="E313" s="103">
        <f t="shared" si="7"/>
        <v>0.6191729777</v>
      </c>
      <c r="F313" s="103">
        <f t="shared" si="2"/>
        <v>0</v>
      </c>
      <c r="G313" s="103">
        <f t="shared" si="3"/>
        <v>0</v>
      </c>
    </row>
    <row r="314">
      <c r="A314" s="103">
        <f t="shared" si="4"/>
        <v>304</v>
      </c>
      <c r="B314" s="103">
        <f t="shared" si="5"/>
        <v>90.33333333</v>
      </c>
      <c r="C314" s="103">
        <f t="shared" si="1"/>
        <v>0</v>
      </c>
      <c r="D314" s="103">
        <f t="shared" si="6"/>
        <v>0</v>
      </c>
      <c r="E314" s="103">
        <f t="shared" si="7"/>
        <v>0.6181941703</v>
      </c>
      <c r="F314" s="103">
        <f t="shared" si="2"/>
        <v>0</v>
      </c>
      <c r="G314" s="103">
        <f t="shared" si="3"/>
        <v>0</v>
      </c>
    </row>
    <row r="315">
      <c r="A315" s="103">
        <f t="shared" si="4"/>
        <v>305</v>
      </c>
      <c r="B315" s="103">
        <f t="shared" si="5"/>
        <v>90.41666667</v>
      </c>
      <c r="C315" s="103">
        <f t="shared" si="1"/>
        <v>0</v>
      </c>
      <c r="D315" s="103">
        <f t="shared" si="6"/>
        <v>0</v>
      </c>
      <c r="E315" s="103">
        <f t="shared" si="7"/>
        <v>0.6172169101</v>
      </c>
      <c r="F315" s="103">
        <f t="shared" si="2"/>
        <v>0</v>
      </c>
      <c r="G315" s="103">
        <f t="shared" si="3"/>
        <v>0</v>
      </c>
    </row>
    <row r="316">
      <c r="A316" s="103">
        <f t="shared" si="4"/>
        <v>306</v>
      </c>
      <c r="B316" s="103">
        <f t="shared" si="5"/>
        <v>90.5</v>
      </c>
      <c r="C316" s="103">
        <f t="shared" si="1"/>
        <v>0</v>
      </c>
      <c r="D316" s="103">
        <f t="shared" si="6"/>
        <v>0</v>
      </c>
      <c r="E316" s="103">
        <f t="shared" si="7"/>
        <v>0.6162411949</v>
      </c>
      <c r="F316" s="103">
        <f t="shared" si="2"/>
        <v>0</v>
      </c>
      <c r="G316" s="103">
        <f t="shared" si="3"/>
        <v>0</v>
      </c>
    </row>
    <row r="317">
      <c r="A317" s="103">
        <f t="shared" si="4"/>
        <v>307</v>
      </c>
      <c r="B317" s="103">
        <f t="shared" si="5"/>
        <v>90.58333333</v>
      </c>
      <c r="C317" s="103">
        <f t="shared" si="1"/>
        <v>0</v>
      </c>
      <c r="D317" s="103">
        <f t="shared" si="6"/>
        <v>0</v>
      </c>
      <c r="E317" s="103">
        <f t="shared" si="7"/>
        <v>0.6152670221</v>
      </c>
      <c r="F317" s="103">
        <f t="shared" si="2"/>
        <v>0</v>
      </c>
      <c r="G317" s="103">
        <f t="shared" si="3"/>
        <v>0</v>
      </c>
    </row>
    <row r="318">
      <c r="A318" s="103">
        <f t="shared" si="4"/>
        <v>308</v>
      </c>
      <c r="B318" s="103">
        <f t="shared" si="5"/>
        <v>90.66666667</v>
      </c>
      <c r="C318" s="103">
        <f t="shared" si="1"/>
        <v>0</v>
      </c>
      <c r="D318" s="103">
        <f t="shared" si="6"/>
        <v>0</v>
      </c>
      <c r="E318" s="103">
        <f t="shared" si="7"/>
        <v>0.6142943894</v>
      </c>
      <c r="F318" s="103">
        <f t="shared" si="2"/>
        <v>0</v>
      </c>
      <c r="G318" s="103">
        <f t="shared" si="3"/>
        <v>0</v>
      </c>
    </row>
    <row r="319">
      <c r="A319" s="103">
        <f t="shared" si="4"/>
        <v>309</v>
      </c>
      <c r="B319" s="103">
        <f t="shared" si="5"/>
        <v>90.75</v>
      </c>
      <c r="C319" s="103">
        <f t="shared" si="1"/>
        <v>0</v>
      </c>
      <c r="D319" s="103">
        <f t="shared" si="6"/>
        <v>0</v>
      </c>
      <c r="E319" s="103">
        <f t="shared" si="7"/>
        <v>0.6133232941</v>
      </c>
      <c r="F319" s="103">
        <f t="shared" si="2"/>
        <v>0</v>
      </c>
      <c r="G319" s="103">
        <f t="shared" si="3"/>
        <v>0</v>
      </c>
    </row>
    <row r="320">
      <c r="A320" s="103">
        <f t="shared" si="4"/>
        <v>310</v>
      </c>
      <c r="B320" s="103">
        <f t="shared" si="5"/>
        <v>90.83333333</v>
      </c>
      <c r="C320" s="103">
        <f t="shared" si="1"/>
        <v>0</v>
      </c>
      <c r="D320" s="103">
        <f t="shared" si="6"/>
        <v>0</v>
      </c>
      <c r="E320" s="103">
        <f t="shared" si="7"/>
        <v>0.6123537341</v>
      </c>
      <c r="F320" s="103">
        <f t="shared" si="2"/>
        <v>0</v>
      </c>
      <c r="G320" s="103">
        <f t="shared" si="3"/>
        <v>0</v>
      </c>
    </row>
    <row r="321">
      <c r="A321" s="103">
        <f t="shared" si="4"/>
        <v>311</v>
      </c>
      <c r="B321" s="103">
        <f t="shared" si="5"/>
        <v>90.91666667</v>
      </c>
      <c r="C321" s="103">
        <f t="shared" si="1"/>
        <v>0</v>
      </c>
      <c r="D321" s="103">
        <f t="shared" si="6"/>
        <v>0</v>
      </c>
      <c r="E321" s="103">
        <f t="shared" si="7"/>
        <v>0.6113857067</v>
      </c>
      <c r="F321" s="103">
        <f t="shared" si="2"/>
        <v>0</v>
      </c>
      <c r="G321" s="103">
        <f t="shared" si="3"/>
        <v>0</v>
      </c>
    </row>
    <row r="322">
      <c r="A322" s="103">
        <f t="shared" si="4"/>
        <v>312</v>
      </c>
      <c r="B322" s="103">
        <f t="shared" si="5"/>
        <v>91</v>
      </c>
      <c r="C322" s="103">
        <f t="shared" si="1"/>
        <v>0</v>
      </c>
      <c r="D322" s="103">
        <f t="shared" si="6"/>
        <v>0</v>
      </c>
      <c r="E322" s="103">
        <f t="shared" si="7"/>
        <v>0.6104192096</v>
      </c>
      <c r="F322" s="103">
        <f t="shared" si="2"/>
        <v>0</v>
      </c>
      <c r="G322" s="103">
        <f t="shared" si="3"/>
        <v>0</v>
      </c>
    </row>
    <row r="323">
      <c r="A323" s="103">
        <f t="shared" si="4"/>
        <v>313</v>
      </c>
      <c r="B323" s="103">
        <f t="shared" si="5"/>
        <v>91.08333333</v>
      </c>
      <c r="C323" s="103">
        <f t="shared" si="1"/>
        <v>0</v>
      </c>
      <c r="D323" s="103">
        <f t="shared" si="6"/>
        <v>0</v>
      </c>
      <c r="E323" s="103">
        <f t="shared" si="7"/>
        <v>0.6094542404</v>
      </c>
      <c r="F323" s="103">
        <f t="shared" si="2"/>
        <v>0</v>
      </c>
      <c r="G323" s="103">
        <f t="shared" si="3"/>
        <v>0</v>
      </c>
    </row>
    <row r="324">
      <c r="A324" s="103">
        <f t="shared" si="4"/>
        <v>314</v>
      </c>
      <c r="B324" s="103">
        <f t="shared" si="5"/>
        <v>91.16666667</v>
      </c>
      <c r="C324" s="103">
        <f t="shared" si="1"/>
        <v>0</v>
      </c>
      <c r="D324" s="103">
        <f t="shared" si="6"/>
        <v>0</v>
      </c>
      <c r="E324" s="103">
        <f t="shared" si="7"/>
        <v>0.6084907966</v>
      </c>
      <c r="F324" s="103">
        <f t="shared" si="2"/>
        <v>0</v>
      </c>
      <c r="G324" s="103">
        <f t="shared" si="3"/>
        <v>0</v>
      </c>
    </row>
    <row r="325">
      <c r="A325" s="103">
        <f t="shared" si="4"/>
        <v>315</v>
      </c>
      <c r="B325" s="103">
        <f t="shared" si="5"/>
        <v>91.25</v>
      </c>
      <c r="C325" s="103">
        <f t="shared" si="1"/>
        <v>0</v>
      </c>
      <c r="D325" s="103">
        <f t="shared" si="6"/>
        <v>0</v>
      </c>
      <c r="E325" s="103">
        <f t="shared" si="7"/>
        <v>0.6075288759</v>
      </c>
      <c r="F325" s="103">
        <f t="shared" si="2"/>
        <v>0</v>
      </c>
      <c r="G325" s="103">
        <f t="shared" si="3"/>
        <v>0</v>
      </c>
    </row>
    <row r="326">
      <c r="A326" s="103">
        <f t="shared" si="4"/>
        <v>316</v>
      </c>
      <c r="B326" s="103">
        <f t="shared" si="5"/>
        <v>91.33333333</v>
      </c>
      <c r="C326" s="103">
        <f t="shared" si="1"/>
        <v>0</v>
      </c>
      <c r="D326" s="103">
        <f t="shared" si="6"/>
        <v>0</v>
      </c>
      <c r="E326" s="103">
        <f t="shared" si="7"/>
        <v>0.6065684758</v>
      </c>
      <c r="F326" s="103">
        <f t="shared" si="2"/>
        <v>0</v>
      </c>
      <c r="G326" s="103">
        <f t="shared" si="3"/>
        <v>0</v>
      </c>
    </row>
    <row r="327">
      <c r="A327" s="103">
        <f t="shared" si="4"/>
        <v>317</v>
      </c>
      <c r="B327" s="103">
        <f t="shared" si="5"/>
        <v>91.41666667</v>
      </c>
      <c r="C327" s="103">
        <f t="shared" si="1"/>
        <v>0</v>
      </c>
      <c r="D327" s="103">
        <f t="shared" si="6"/>
        <v>0</v>
      </c>
      <c r="E327" s="103">
        <f t="shared" si="7"/>
        <v>0.605609594</v>
      </c>
      <c r="F327" s="103">
        <f t="shared" si="2"/>
        <v>0</v>
      </c>
      <c r="G327" s="103">
        <f t="shared" si="3"/>
        <v>0</v>
      </c>
    </row>
    <row r="328">
      <c r="A328" s="103">
        <f t="shared" si="4"/>
        <v>318</v>
      </c>
      <c r="B328" s="103">
        <f t="shared" si="5"/>
        <v>91.5</v>
      </c>
      <c r="C328" s="103">
        <f t="shared" si="1"/>
        <v>0</v>
      </c>
      <c r="D328" s="103">
        <f t="shared" si="6"/>
        <v>0</v>
      </c>
      <c r="E328" s="103">
        <f t="shared" si="7"/>
        <v>0.6046522279</v>
      </c>
      <c r="F328" s="103">
        <f t="shared" si="2"/>
        <v>0</v>
      </c>
      <c r="G328" s="103">
        <f t="shared" si="3"/>
        <v>0</v>
      </c>
    </row>
    <row r="329">
      <c r="A329" s="103">
        <f t="shared" si="4"/>
        <v>319</v>
      </c>
      <c r="B329" s="103">
        <f t="shared" si="5"/>
        <v>91.58333333</v>
      </c>
      <c r="C329" s="103">
        <f t="shared" si="1"/>
        <v>0</v>
      </c>
      <c r="D329" s="103">
        <f t="shared" si="6"/>
        <v>0</v>
      </c>
      <c r="E329" s="103">
        <f t="shared" si="7"/>
        <v>0.6036963753</v>
      </c>
      <c r="F329" s="103">
        <f t="shared" si="2"/>
        <v>0</v>
      </c>
      <c r="G329" s="103">
        <f t="shared" si="3"/>
        <v>0</v>
      </c>
    </row>
    <row r="330">
      <c r="A330" s="103">
        <f t="shared" si="4"/>
        <v>320</v>
      </c>
      <c r="B330" s="103">
        <f t="shared" si="5"/>
        <v>91.66666667</v>
      </c>
      <c r="C330" s="103">
        <f t="shared" si="1"/>
        <v>0</v>
      </c>
      <c r="D330" s="103">
        <f t="shared" si="6"/>
        <v>0</v>
      </c>
      <c r="E330" s="103">
        <f t="shared" si="7"/>
        <v>0.6027420338</v>
      </c>
      <c r="F330" s="103">
        <f t="shared" si="2"/>
        <v>0</v>
      </c>
      <c r="G330" s="103">
        <f t="shared" si="3"/>
        <v>0</v>
      </c>
    </row>
    <row r="331">
      <c r="A331" s="103">
        <f t="shared" si="4"/>
        <v>321</v>
      </c>
      <c r="B331" s="103">
        <f t="shared" si="5"/>
        <v>91.75</v>
      </c>
      <c r="C331" s="103">
        <f t="shared" si="1"/>
        <v>0</v>
      </c>
      <c r="D331" s="103">
        <f t="shared" si="6"/>
        <v>0</v>
      </c>
      <c r="E331" s="103">
        <f t="shared" si="7"/>
        <v>0.6017892009</v>
      </c>
      <c r="F331" s="103">
        <f t="shared" si="2"/>
        <v>0</v>
      </c>
      <c r="G331" s="103">
        <f t="shared" si="3"/>
        <v>0</v>
      </c>
    </row>
    <row r="332">
      <c r="A332" s="103">
        <f t="shared" si="4"/>
        <v>322</v>
      </c>
      <c r="B332" s="103">
        <f t="shared" si="5"/>
        <v>91.83333333</v>
      </c>
      <c r="C332" s="103">
        <f t="shared" si="1"/>
        <v>0</v>
      </c>
      <c r="D332" s="103">
        <f t="shared" si="6"/>
        <v>0</v>
      </c>
      <c r="E332" s="103">
        <f t="shared" si="7"/>
        <v>0.6008378743</v>
      </c>
      <c r="F332" s="103">
        <f t="shared" si="2"/>
        <v>0</v>
      </c>
      <c r="G332" s="103">
        <f t="shared" si="3"/>
        <v>0</v>
      </c>
    </row>
    <row r="333">
      <c r="A333" s="103">
        <f t="shared" si="4"/>
        <v>323</v>
      </c>
      <c r="B333" s="103">
        <f t="shared" si="5"/>
        <v>91.91666667</v>
      </c>
      <c r="C333" s="103">
        <f t="shared" si="1"/>
        <v>0</v>
      </c>
      <c r="D333" s="103">
        <f t="shared" si="6"/>
        <v>0</v>
      </c>
      <c r="E333" s="103">
        <f t="shared" si="7"/>
        <v>0.5998880515</v>
      </c>
      <c r="F333" s="103">
        <f t="shared" si="2"/>
        <v>0</v>
      </c>
      <c r="G333" s="103">
        <f t="shared" si="3"/>
        <v>0</v>
      </c>
    </row>
    <row r="334">
      <c r="A334" s="103">
        <f t="shared" si="4"/>
        <v>324</v>
      </c>
      <c r="B334" s="103">
        <f t="shared" si="5"/>
        <v>92</v>
      </c>
      <c r="C334" s="103">
        <f t="shared" si="1"/>
        <v>0</v>
      </c>
      <c r="D334" s="103">
        <f t="shared" si="6"/>
        <v>0</v>
      </c>
      <c r="E334" s="103">
        <f t="shared" si="7"/>
        <v>0.5989397303</v>
      </c>
      <c r="F334" s="103">
        <f t="shared" si="2"/>
        <v>0</v>
      </c>
      <c r="G334" s="103">
        <f t="shared" si="3"/>
        <v>0</v>
      </c>
    </row>
    <row r="335">
      <c r="A335" s="103">
        <f t="shared" si="4"/>
        <v>325</v>
      </c>
      <c r="B335" s="103">
        <f t="shared" si="5"/>
        <v>92.08333333</v>
      </c>
      <c r="C335" s="103">
        <f t="shared" si="1"/>
        <v>0</v>
      </c>
      <c r="D335" s="103">
        <f t="shared" si="6"/>
        <v>0</v>
      </c>
      <c r="E335" s="103">
        <f t="shared" si="7"/>
        <v>0.5979929082</v>
      </c>
      <c r="F335" s="103">
        <f t="shared" si="2"/>
        <v>0</v>
      </c>
      <c r="G335" s="103">
        <f t="shared" si="3"/>
        <v>0</v>
      </c>
    </row>
    <row r="336">
      <c r="A336" s="103">
        <f t="shared" si="4"/>
        <v>326</v>
      </c>
      <c r="B336" s="103">
        <f t="shared" si="5"/>
        <v>92.16666667</v>
      </c>
      <c r="C336" s="103">
        <f t="shared" si="1"/>
        <v>0</v>
      </c>
      <c r="D336" s="103">
        <f t="shared" si="6"/>
        <v>0</v>
      </c>
      <c r="E336" s="103">
        <f t="shared" si="7"/>
        <v>0.5970475828</v>
      </c>
      <c r="F336" s="103">
        <f t="shared" si="2"/>
        <v>0</v>
      </c>
      <c r="G336" s="103">
        <f t="shared" si="3"/>
        <v>0</v>
      </c>
    </row>
    <row r="337">
      <c r="A337" s="103">
        <f t="shared" si="4"/>
        <v>327</v>
      </c>
      <c r="B337" s="103">
        <f t="shared" si="5"/>
        <v>92.25</v>
      </c>
      <c r="C337" s="103">
        <f t="shared" si="1"/>
        <v>0</v>
      </c>
      <c r="D337" s="103">
        <f t="shared" si="6"/>
        <v>0</v>
      </c>
      <c r="E337" s="103">
        <f t="shared" si="7"/>
        <v>0.5961037519</v>
      </c>
      <c r="F337" s="103">
        <f t="shared" si="2"/>
        <v>0</v>
      </c>
      <c r="G337" s="103">
        <f t="shared" si="3"/>
        <v>0</v>
      </c>
    </row>
    <row r="338">
      <c r="A338" s="103">
        <f t="shared" si="4"/>
        <v>328</v>
      </c>
      <c r="B338" s="103">
        <f t="shared" si="5"/>
        <v>92.33333333</v>
      </c>
      <c r="C338" s="103">
        <f t="shared" si="1"/>
        <v>0</v>
      </c>
      <c r="D338" s="103">
        <f t="shared" si="6"/>
        <v>0</v>
      </c>
      <c r="E338" s="103">
        <f t="shared" si="7"/>
        <v>0.595161413</v>
      </c>
      <c r="F338" s="103">
        <f t="shared" si="2"/>
        <v>0</v>
      </c>
      <c r="G338" s="103">
        <f t="shared" si="3"/>
        <v>0</v>
      </c>
    </row>
    <row r="339">
      <c r="A339" s="103">
        <f t="shared" si="4"/>
        <v>329</v>
      </c>
      <c r="B339" s="103">
        <f t="shared" si="5"/>
        <v>92.41666667</v>
      </c>
      <c r="C339" s="103">
        <f t="shared" si="1"/>
        <v>0</v>
      </c>
      <c r="D339" s="103">
        <f t="shared" si="6"/>
        <v>0</v>
      </c>
      <c r="E339" s="103">
        <f t="shared" si="7"/>
        <v>0.5942205638</v>
      </c>
      <c r="F339" s="103">
        <f t="shared" si="2"/>
        <v>0</v>
      </c>
      <c r="G339" s="103">
        <f t="shared" si="3"/>
        <v>0</v>
      </c>
    </row>
    <row r="340">
      <c r="A340" s="103">
        <f t="shared" si="4"/>
        <v>330</v>
      </c>
      <c r="B340" s="103">
        <f t="shared" si="5"/>
        <v>92.5</v>
      </c>
      <c r="C340" s="103">
        <f t="shared" si="1"/>
        <v>0</v>
      </c>
      <c r="D340" s="103">
        <f t="shared" si="6"/>
        <v>0</v>
      </c>
      <c r="E340" s="103">
        <f t="shared" si="7"/>
        <v>0.5932812018</v>
      </c>
      <c r="F340" s="103">
        <f t="shared" si="2"/>
        <v>0</v>
      </c>
      <c r="G340" s="103">
        <f t="shared" si="3"/>
        <v>0</v>
      </c>
    </row>
    <row r="341">
      <c r="A341" s="103">
        <f t="shared" si="4"/>
        <v>331</v>
      </c>
      <c r="B341" s="103">
        <f t="shared" si="5"/>
        <v>92.58333333</v>
      </c>
      <c r="C341" s="103">
        <f t="shared" si="1"/>
        <v>0</v>
      </c>
      <c r="D341" s="103">
        <f t="shared" si="6"/>
        <v>0</v>
      </c>
      <c r="E341" s="103">
        <f t="shared" si="7"/>
        <v>0.5923433249</v>
      </c>
      <c r="F341" s="103">
        <f t="shared" si="2"/>
        <v>0</v>
      </c>
      <c r="G341" s="103">
        <f t="shared" si="3"/>
        <v>0</v>
      </c>
    </row>
    <row r="342">
      <c r="A342" s="103">
        <f t="shared" si="4"/>
        <v>332</v>
      </c>
      <c r="B342" s="103">
        <f t="shared" si="5"/>
        <v>92.66666667</v>
      </c>
      <c r="C342" s="103">
        <f t="shared" si="1"/>
        <v>0</v>
      </c>
      <c r="D342" s="103">
        <f t="shared" si="6"/>
        <v>0</v>
      </c>
      <c r="E342" s="103">
        <f t="shared" si="7"/>
        <v>0.5914069306</v>
      </c>
      <c r="F342" s="103">
        <f t="shared" si="2"/>
        <v>0</v>
      </c>
      <c r="G342" s="103">
        <f t="shared" si="3"/>
        <v>0</v>
      </c>
    </row>
    <row r="343">
      <c r="A343" s="103">
        <f t="shared" si="4"/>
        <v>333</v>
      </c>
      <c r="B343" s="103">
        <f t="shared" si="5"/>
        <v>92.75</v>
      </c>
      <c r="C343" s="103">
        <f t="shared" si="1"/>
        <v>0</v>
      </c>
      <c r="D343" s="103">
        <f t="shared" si="6"/>
        <v>0</v>
      </c>
      <c r="E343" s="103">
        <f t="shared" si="7"/>
        <v>0.5904720166</v>
      </c>
      <c r="F343" s="103">
        <f t="shared" si="2"/>
        <v>0</v>
      </c>
      <c r="G343" s="103">
        <f t="shared" si="3"/>
        <v>0</v>
      </c>
    </row>
    <row r="344">
      <c r="A344" s="103">
        <f t="shared" si="4"/>
        <v>334</v>
      </c>
      <c r="B344" s="103">
        <f t="shared" si="5"/>
        <v>92.83333333</v>
      </c>
      <c r="C344" s="103">
        <f t="shared" si="1"/>
        <v>0</v>
      </c>
      <c r="D344" s="103">
        <f t="shared" si="6"/>
        <v>0</v>
      </c>
      <c r="E344" s="103">
        <f t="shared" si="7"/>
        <v>0.5895385805</v>
      </c>
      <c r="F344" s="103">
        <f t="shared" si="2"/>
        <v>0</v>
      </c>
      <c r="G344" s="103">
        <f t="shared" si="3"/>
        <v>0</v>
      </c>
    </row>
    <row r="345">
      <c r="A345" s="103">
        <f t="shared" si="4"/>
        <v>335</v>
      </c>
      <c r="B345" s="103">
        <f t="shared" si="5"/>
        <v>92.91666667</v>
      </c>
      <c r="C345" s="103">
        <f t="shared" si="1"/>
        <v>0</v>
      </c>
      <c r="D345" s="103">
        <f t="shared" si="6"/>
        <v>0</v>
      </c>
      <c r="E345" s="103">
        <f t="shared" si="7"/>
        <v>0.58860662</v>
      </c>
      <c r="F345" s="103">
        <f t="shared" si="2"/>
        <v>0</v>
      </c>
      <c r="G345" s="103">
        <f t="shared" si="3"/>
        <v>0</v>
      </c>
    </row>
    <row r="346">
      <c r="A346" s="103">
        <f t="shared" si="4"/>
        <v>336</v>
      </c>
      <c r="B346" s="103">
        <f t="shared" si="5"/>
        <v>93</v>
      </c>
      <c r="C346" s="103">
        <f t="shared" si="1"/>
        <v>0</v>
      </c>
      <c r="D346" s="103">
        <f t="shared" si="6"/>
        <v>0</v>
      </c>
      <c r="E346" s="103">
        <f t="shared" si="7"/>
        <v>0.5876761328</v>
      </c>
      <c r="F346" s="103">
        <f t="shared" si="2"/>
        <v>0</v>
      </c>
      <c r="G346" s="103">
        <f t="shared" si="3"/>
        <v>0</v>
      </c>
    </row>
    <row r="347">
      <c r="A347" s="103">
        <f t="shared" si="4"/>
        <v>337</v>
      </c>
      <c r="B347" s="103">
        <f t="shared" si="5"/>
        <v>93.08333333</v>
      </c>
      <c r="C347" s="103">
        <f t="shared" si="1"/>
        <v>0</v>
      </c>
      <c r="D347" s="103">
        <f t="shared" si="6"/>
        <v>0</v>
      </c>
      <c r="E347" s="103">
        <f t="shared" si="7"/>
        <v>0.5867471165</v>
      </c>
      <c r="F347" s="103">
        <f t="shared" si="2"/>
        <v>0</v>
      </c>
      <c r="G347" s="103">
        <f t="shared" si="3"/>
        <v>0</v>
      </c>
    </row>
    <row r="348">
      <c r="A348" s="103">
        <f t="shared" si="4"/>
        <v>338</v>
      </c>
      <c r="B348" s="103">
        <f t="shared" si="5"/>
        <v>93.16666667</v>
      </c>
      <c r="C348" s="103">
        <f t="shared" si="1"/>
        <v>0</v>
      </c>
      <c r="D348" s="103">
        <f t="shared" si="6"/>
        <v>0</v>
      </c>
      <c r="E348" s="103">
        <f t="shared" si="7"/>
        <v>0.5858195689</v>
      </c>
      <c r="F348" s="103">
        <f t="shared" si="2"/>
        <v>0</v>
      </c>
      <c r="G348" s="103">
        <f t="shared" si="3"/>
        <v>0</v>
      </c>
    </row>
    <row r="349">
      <c r="A349" s="103">
        <f t="shared" si="4"/>
        <v>339</v>
      </c>
      <c r="B349" s="103">
        <f t="shared" si="5"/>
        <v>93.25</v>
      </c>
      <c r="C349" s="103">
        <f t="shared" si="1"/>
        <v>0</v>
      </c>
      <c r="D349" s="103">
        <f t="shared" si="6"/>
        <v>0</v>
      </c>
      <c r="E349" s="103">
        <f t="shared" si="7"/>
        <v>0.5848934875</v>
      </c>
      <c r="F349" s="103">
        <f t="shared" si="2"/>
        <v>0</v>
      </c>
      <c r="G349" s="103">
        <f t="shared" si="3"/>
        <v>0</v>
      </c>
    </row>
    <row r="350">
      <c r="A350" s="103">
        <f t="shared" si="4"/>
        <v>340</v>
      </c>
      <c r="B350" s="103">
        <f t="shared" si="5"/>
        <v>93.33333333</v>
      </c>
      <c r="C350" s="103">
        <f t="shared" si="1"/>
        <v>0</v>
      </c>
      <c r="D350" s="103">
        <f t="shared" si="6"/>
        <v>0</v>
      </c>
      <c r="E350" s="103">
        <f t="shared" si="7"/>
        <v>0.5839688702</v>
      </c>
      <c r="F350" s="103">
        <f t="shared" si="2"/>
        <v>0</v>
      </c>
      <c r="G350" s="103">
        <f t="shared" si="3"/>
        <v>0</v>
      </c>
    </row>
    <row r="351">
      <c r="A351" s="103">
        <f t="shared" si="4"/>
        <v>341</v>
      </c>
      <c r="B351" s="103">
        <f t="shared" si="5"/>
        <v>93.41666667</v>
      </c>
      <c r="C351" s="103">
        <f t="shared" si="1"/>
        <v>0</v>
      </c>
      <c r="D351" s="103">
        <f t="shared" si="6"/>
        <v>0</v>
      </c>
      <c r="E351" s="103">
        <f t="shared" si="7"/>
        <v>0.5830457144</v>
      </c>
      <c r="F351" s="103">
        <f t="shared" si="2"/>
        <v>0</v>
      </c>
      <c r="G351" s="103">
        <f t="shared" si="3"/>
        <v>0</v>
      </c>
    </row>
    <row r="352">
      <c r="A352" s="103">
        <f t="shared" si="4"/>
        <v>342</v>
      </c>
      <c r="B352" s="103">
        <f t="shared" si="5"/>
        <v>93.5</v>
      </c>
      <c r="C352" s="103">
        <f t="shared" si="1"/>
        <v>0</v>
      </c>
      <c r="D352" s="103">
        <f t="shared" si="6"/>
        <v>0</v>
      </c>
      <c r="E352" s="103">
        <f t="shared" si="7"/>
        <v>0.5821240181</v>
      </c>
      <c r="F352" s="103">
        <f t="shared" si="2"/>
        <v>0</v>
      </c>
      <c r="G352" s="103">
        <f t="shared" si="3"/>
        <v>0</v>
      </c>
    </row>
    <row r="353">
      <c r="A353" s="103">
        <f t="shared" si="4"/>
        <v>343</v>
      </c>
      <c r="B353" s="103">
        <f t="shared" si="5"/>
        <v>93.58333333</v>
      </c>
      <c r="C353" s="103">
        <f t="shared" si="1"/>
        <v>0</v>
      </c>
      <c r="D353" s="103">
        <f t="shared" si="6"/>
        <v>0</v>
      </c>
      <c r="E353" s="103">
        <f t="shared" si="7"/>
        <v>0.5812037788</v>
      </c>
      <c r="F353" s="103">
        <f t="shared" si="2"/>
        <v>0</v>
      </c>
      <c r="G353" s="103">
        <f t="shared" si="3"/>
        <v>0</v>
      </c>
    </row>
    <row r="354">
      <c r="A354" s="103">
        <f t="shared" si="4"/>
        <v>344</v>
      </c>
      <c r="B354" s="103">
        <f t="shared" si="5"/>
        <v>93.66666667</v>
      </c>
      <c r="C354" s="103">
        <f t="shared" si="1"/>
        <v>0</v>
      </c>
      <c r="D354" s="103">
        <f t="shared" si="6"/>
        <v>0</v>
      </c>
      <c r="E354" s="103">
        <f t="shared" si="7"/>
        <v>0.5802849942</v>
      </c>
      <c r="F354" s="103">
        <f t="shared" si="2"/>
        <v>0</v>
      </c>
      <c r="G354" s="103">
        <f t="shared" si="3"/>
        <v>0</v>
      </c>
    </row>
    <row r="355">
      <c r="A355" s="103">
        <f t="shared" si="4"/>
        <v>345</v>
      </c>
      <c r="B355" s="103">
        <f t="shared" si="5"/>
        <v>93.75</v>
      </c>
      <c r="C355" s="103">
        <f t="shared" si="1"/>
        <v>0</v>
      </c>
      <c r="D355" s="103">
        <f t="shared" si="6"/>
        <v>0</v>
      </c>
      <c r="E355" s="103">
        <f t="shared" si="7"/>
        <v>0.5793676621</v>
      </c>
      <c r="F355" s="103">
        <f t="shared" si="2"/>
        <v>0</v>
      </c>
      <c r="G355" s="103">
        <f t="shared" si="3"/>
        <v>0</v>
      </c>
    </row>
    <row r="356">
      <c r="A356" s="103">
        <f t="shared" si="4"/>
        <v>346</v>
      </c>
      <c r="B356" s="103">
        <f t="shared" si="5"/>
        <v>93.83333333</v>
      </c>
      <c r="C356" s="103">
        <f t="shared" si="1"/>
        <v>0</v>
      </c>
      <c r="D356" s="103">
        <f t="shared" si="6"/>
        <v>0</v>
      </c>
      <c r="E356" s="103">
        <f t="shared" si="7"/>
        <v>0.5784517801</v>
      </c>
      <c r="F356" s="103">
        <f t="shared" si="2"/>
        <v>0</v>
      </c>
      <c r="G356" s="103">
        <f t="shared" si="3"/>
        <v>0</v>
      </c>
    </row>
    <row r="357">
      <c r="A357" s="103">
        <f t="shared" si="4"/>
        <v>347</v>
      </c>
      <c r="B357" s="103">
        <f t="shared" si="5"/>
        <v>93.91666667</v>
      </c>
      <c r="C357" s="103">
        <f t="shared" si="1"/>
        <v>0</v>
      </c>
      <c r="D357" s="103">
        <f t="shared" si="6"/>
        <v>0</v>
      </c>
      <c r="E357" s="103">
        <f t="shared" si="7"/>
        <v>0.5775373459</v>
      </c>
      <c r="F357" s="103">
        <f t="shared" si="2"/>
        <v>0</v>
      </c>
      <c r="G357" s="103">
        <f t="shared" si="3"/>
        <v>0</v>
      </c>
    </row>
    <row r="358">
      <c r="A358" s="103">
        <f t="shared" si="4"/>
        <v>348</v>
      </c>
      <c r="B358" s="103">
        <f t="shared" si="5"/>
        <v>94</v>
      </c>
      <c r="C358" s="103">
        <f t="shared" si="1"/>
        <v>0</v>
      </c>
      <c r="D358" s="103">
        <f t="shared" si="6"/>
        <v>0</v>
      </c>
      <c r="E358" s="103">
        <f t="shared" si="7"/>
        <v>0.5766243574</v>
      </c>
      <c r="F358" s="103">
        <f t="shared" si="2"/>
        <v>0</v>
      </c>
      <c r="G358" s="103">
        <f t="shared" si="3"/>
        <v>0</v>
      </c>
    </row>
    <row r="359">
      <c r="A359" s="103">
        <f t="shared" si="4"/>
        <v>349</v>
      </c>
      <c r="B359" s="103">
        <f t="shared" si="5"/>
        <v>94.08333333</v>
      </c>
      <c r="C359" s="103">
        <f t="shared" si="1"/>
        <v>0</v>
      </c>
      <c r="D359" s="103">
        <f t="shared" si="6"/>
        <v>0</v>
      </c>
      <c r="E359" s="103">
        <f t="shared" si="7"/>
        <v>0.5757128121</v>
      </c>
      <c r="F359" s="103">
        <f t="shared" si="2"/>
        <v>0</v>
      </c>
      <c r="G359" s="103">
        <f t="shared" si="3"/>
        <v>0</v>
      </c>
    </row>
    <row r="360">
      <c r="A360" s="103">
        <f t="shared" si="4"/>
        <v>350</v>
      </c>
      <c r="B360" s="103">
        <f t="shared" si="5"/>
        <v>94.16666667</v>
      </c>
      <c r="C360" s="103">
        <f t="shared" si="1"/>
        <v>0</v>
      </c>
      <c r="D360" s="103">
        <f t="shared" si="6"/>
        <v>0</v>
      </c>
      <c r="E360" s="103">
        <f t="shared" si="7"/>
        <v>0.5748027078</v>
      </c>
      <c r="F360" s="103">
        <f t="shared" si="2"/>
        <v>0</v>
      </c>
      <c r="G360" s="103">
        <f t="shared" si="3"/>
        <v>0</v>
      </c>
    </row>
    <row r="361">
      <c r="A361" s="103">
        <f t="shared" si="4"/>
        <v>351</v>
      </c>
      <c r="B361" s="103">
        <f t="shared" si="5"/>
        <v>94.25</v>
      </c>
      <c r="C361" s="103">
        <f t="shared" si="1"/>
        <v>0</v>
      </c>
      <c r="D361" s="103">
        <f t="shared" si="6"/>
        <v>0</v>
      </c>
      <c r="E361" s="103">
        <f t="shared" si="7"/>
        <v>0.5738940422</v>
      </c>
      <c r="F361" s="103">
        <f t="shared" si="2"/>
        <v>0</v>
      </c>
      <c r="G361" s="103">
        <f t="shared" si="3"/>
        <v>0</v>
      </c>
    </row>
    <row r="362">
      <c r="A362" s="103">
        <f t="shared" si="4"/>
        <v>352</v>
      </c>
      <c r="B362" s="103">
        <f t="shared" si="5"/>
        <v>94.33333333</v>
      </c>
      <c r="C362" s="103">
        <f t="shared" si="1"/>
        <v>0</v>
      </c>
      <c r="D362" s="103">
        <f t="shared" si="6"/>
        <v>0</v>
      </c>
      <c r="E362" s="103">
        <f t="shared" si="7"/>
        <v>0.5729868131</v>
      </c>
      <c r="F362" s="103">
        <f t="shared" si="2"/>
        <v>0</v>
      </c>
      <c r="G362" s="103">
        <f t="shared" si="3"/>
        <v>0</v>
      </c>
    </row>
    <row r="363">
      <c r="A363" s="103">
        <f t="shared" si="4"/>
        <v>353</v>
      </c>
      <c r="B363" s="103">
        <f t="shared" si="5"/>
        <v>94.41666667</v>
      </c>
      <c r="C363" s="103">
        <f t="shared" si="1"/>
        <v>0</v>
      </c>
      <c r="D363" s="103">
        <f t="shared" si="6"/>
        <v>0</v>
      </c>
      <c r="E363" s="103">
        <f t="shared" si="7"/>
        <v>0.5720810182</v>
      </c>
      <c r="F363" s="103">
        <f t="shared" si="2"/>
        <v>0</v>
      </c>
      <c r="G363" s="103">
        <f t="shared" si="3"/>
        <v>0</v>
      </c>
    </row>
    <row r="364">
      <c r="A364" s="103">
        <f t="shared" si="4"/>
        <v>354</v>
      </c>
      <c r="B364" s="103">
        <f t="shared" si="5"/>
        <v>94.5</v>
      </c>
      <c r="C364" s="103">
        <f t="shared" si="1"/>
        <v>0</v>
      </c>
      <c r="D364" s="103">
        <f t="shared" si="6"/>
        <v>0</v>
      </c>
      <c r="E364" s="103">
        <f t="shared" si="7"/>
        <v>0.5711766551</v>
      </c>
      <c r="F364" s="103">
        <f t="shared" si="2"/>
        <v>0</v>
      </c>
      <c r="G364" s="103">
        <f t="shared" si="3"/>
        <v>0</v>
      </c>
    </row>
    <row r="365">
      <c r="A365" s="103">
        <f t="shared" si="4"/>
        <v>355</v>
      </c>
      <c r="B365" s="103">
        <f t="shared" si="5"/>
        <v>94.58333333</v>
      </c>
      <c r="C365" s="103">
        <f t="shared" si="1"/>
        <v>0</v>
      </c>
      <c r="D365" s="103">
        <f t="shared" si="6"/>
        <v>0</v>
      </c>
      <c r="E365" s="103">
        <f t="shared" si="7"/>
        <v>0.5702737217</v>
      </c>
      <c r="F365" s="103">
        <f t="shared" si="2"/>
        <v>0</v>
      </c>
      <c r="G365" s="103">
        <f t="shared" si="3"/>
        <v>0</v>
      </c>
    </row>
    <row r="366">
      <c r="A366" s="103">
        <f t="shared" si="4"/>
        <v>356</v>
      </c>
      <c r="B366" s="103">
        <f t="shared" si="5"/>
        <v>94.66666667</v>
      </c>
      <c r="C366" s="103">
        <f t="shared" si="1"/>
        <v>0</v>
      </c>
      <c r="D366" s="103">
        <f t="shared" si="6"/>
        <v>0</v>
      </c>
      <c r="E366" s="103">
        <f t="shared" si="7"/>
        <v>0.5693722157</v>
      </c>
      <c r="F366" s="103">
        <f t="shared" si="2"/>
        <v>0</v>
      </c>
      <c r="G366" s="103">
        <f t="shared" si="3"/>
        <v>0</v>
      </c>
    </row>
    <row r="367">
      <c r="A367" s="103">
        <f t="shared" si="4"/>
        <v>357</v>
      </c>
      <c r="B367" s="103">
        <f t="shared" si="5"/>
        <v>94.75</v>
      </c>
      <c r="C367" s="103">
        <f t="shared" si="1"/>
        <v>0</v>
      </c>
      <c r="D367" s="103">
        <f t="shared" si="6"/>
        <v>0</v>
      </c>
      <c r="E367" s="103">
        <f t="shared" si="7"/>
        <v>0.5684721349</v>
      </c>
      <c r="F367" s="103">
        <f t="shared" si="2"/>
        <v>0</v>
      </c>
      <c r="G367" s="103">
        <f t="shared" si="3"/>
        <v>0</v>
      </c>
    </row>
    <row r="368">
      <c r="A368" s="103">
        <f t="shared" si="4"/>
        <v>358</v>
      </c>
      <c r="B368" s="103">
        <f t="shared" si="5"/>
        <v>94.83333333</v>
      </c>
      <c r="C368" s="103">
        <f t="shared" si="1"/>
        <v>0</v>
      </c>
      <c r="D368" s="103">
        <f t="shared" si="6"/>
        <v>0</v>
      </c>
      <c r="E368" s="103">
        <f t="shared" si="7"/>
        <v>0.5675734768</v>
      </c>
      <c r="F368" s="103">
        <f t="shared" si="2"/>
        <v>0</v>
      </c>
      <c r="G368" s="103">
        <f t="shared" si="3"/>
        <v>0</v>
      </c>
    </row>
    <row r="369">
      <c r="A369" s="103">
        <f t="shared" si="4"/>
        <v>359</v>
      </c>
      <c r="B369" s="103">
        <f t="shared" si="5"/>
        <v>94.91666667</v>
      </c>
      <c r="C369" s="103">
        <f t="shared" si="1"/>
        <v>0</v>
      </c>
      <c r="D369" s="103">
        <f t="shared" si="6"/>
        <v>0</v>
      </c>
      <c r="E369" s="103">
        <f t="shared" si="7"/>
        <v>0.5666762395</v>
      </c>
      <c r="F369" s="103">
        <f t="shared" si="2"/>
        <v>0</v>
      </c>
      <c r="G369" s="103">
        <f t="shared" si="3"/>
        <v>0</v>
      </c>
    </row>
    <row r="370">
      <c r="A370" s="103">
        <f t="shared" si="4"/>
        <v>360</v>
      </c>
      <c r="B370" s="103">
        <f t="shared" si="5"/>
        <v>95</v>
      </c>
      <c r="C370" s="103">
        <f t="shared" si="1"/>
        <v>0</v>
      </c>
      <c r="D370" s="103">
        <f t="shared" si="6"/>
        <v>0</v>
      </c>
      <c r="E370" s="103">
        <f t="shared" si="7"/>
        <v>0.5657804205</v>
      </c>
      <c r="F370" s="103">
        <f t="shared" si="2"/>
        <v>0</v>
      </c>
      <c r="G370" s="103">
        <f t="shared" si="3"/>
        <v>0</v>
      </c>
    </row>
    <row r="371">
      <c r="A371" s="103">
        <f t="shared" si="4"/>
        <v>361</v>
      </c>
      <c r="B371" s="103">
        <f t="shared" si="5"/>
        <v>95.08333333</v>
      </c>
      <c r="C371" s="103">
        <f t="shared" si="1"/>
        <v>0</v>
      </c>
      <c r="D371" s="103">
        <f t="shared" si="6"/>
        <v>0</v>
      </c>
      <c r="E371" s="103">
        <f t="shared" si="7"/>
        <v>0.5648860176</v>
      </c>
      <c r="F371" s="103">
        <f t="shared" si="2"/>
        <v>0</v>
      </c>
      <c r="G371" s="103">
        <f t="shared" si="3"/>
        <v>0</v>
      </c>
    </row>
    <row r="372">
      <c r="A372" s="103">
        <f t="shared" si="4"/>
        <v>362</v>
      </c>
      <c r="B372" s="103">
        <f t="shared" si="5"/>
        <v>95.16666667</v>
      </c>
      <c r="C372" s="103">
        <f t="shared" si="1"/>
        <v>0</v>
      </c>
      <c r="D372" s="103">
        <f t="shared" si="6"/>
        <v>0</v>
      </c>
      <c r="E372" s="103">
        <f t="shared" si="7"/>
        <v>0.5639930286</v>
      </c>
      <c r="F372" s="103">
        <f t="shared" si="2"/>
        <v>0</v>
      </c>
      <c r="G372" s="103">
        <f t="shared" si="3"/>
        <v>0</v>
      </c>
    </row>
    <row r="373">
      <c r="A373" s="103">
        <f t="shared" si="4"/>
        <v>363</v>
      </c>
      <c r="B373" s="103">
        <f t="shared" si="5"/>
        <v>95.25</v>
      </c>
      <c r="C373" s="103">
        <f t="shared" si="1"/>
        <v>0</v>
      </c>
      <c r="D373" s="103">
        <f t="shared" si="6"/>
        <v>0</v>
      </c>
      <c r="E373" s="103">
        <f t="shared" si="7"/>
        <v>0.5631014513</v>
      </c>
      <c r="F373" s="103">
        <f t="shared" si="2"/>
        <v>0</v>
      </c>
      <c r="G373" s="103">
        <f t="shared" si="3"/>
        <v>0</v>
      </c>
    </row>
    <row r="374">
      <c r="A374" s="103">
        <f t="shared" si="4"/>
        <v>364</v>
      </c>
      <c r="B374" s="103">
        <f t="shared" si="5"/>
        <v>95.33333333</v>
      </c>
      <c r="C374" s="103">
        <f t="shared" si="1"/>
        <v>0</v>
      </c>
      <c r="D374" s="103">
        <f t="shared" si="6"/>
        <v>0</v>
      </c>
      <c r="E374" s="103">
        <f t="shared" si="7"/>
        <v>0.5622112835</v>
      </c>
      <c r="F374" s="103">
        <f t="shared" si="2"/>
        <v>0</v>
      </c>
      <c r="G374" s="103">
        <f t="shared" si="3"/>
        <v>0</v>
      </c>
    </row>
    <row r="375">
      <c r="A375" s="103">
        <f t="shared" si="4"/>
        <v>365</v>
      </c>
      <c r="B375" s="103">
        <f t="shared" si="5"/>
        <v>95.41666667</v>
      </c>
      <c r="C375" s="103">
        <f t="shared" si="1"/>
        <v>0</v>
      </c>
      <c r="D375" s="103">
        <f t="shared" si="6"/>
        <v>0</v>
      </c>
      <c r="E375" s="103">
        <f t="shared" si="7"/>
        <v>0.5613225228</v>
      </c>
      <c r="F375" s="103">
        <f t="shared" si="2"/>
        <v>0</v>
      </c>
      <c r="G375" s="103">
        <f t="shared" si="3"/>
        <v>0</v>
      </c>
    </row>
    <row r="376">
      <c r="A376" s="103">
        <f t="shared" si="4"/>
        <v>366</v>
      </c>
      <c r="B376" s="103">
        <f t="shared" si="5"/>
        <v>95.5</v>
      </c>
      <c r="C376" s="103">
        <f t="shared" si="1"/>
        <v>0</v>
      </c>
      <c r="D376" s="103">
        <f t="shared" si="6"/>
        <v>0</v>
      </c>
      <c r="E376" s="103">
        <f t="shared" si="7"/>
        <v>0.5604351671</v>
      </c>
      <c r="F376" s="103">
        <f t="shared" si="2"/>
        <v>0</v>
      </c>
      <c r="G376" s="103">
        <f t="shared" si="3"/>
        <v>0</v>
      </c>
    </row>
    <row r="377">
      <c r="A377" s="103">
        <f t="shared" si="4"/>
        <v>367</v>
      </c>
      <c r="B377" s="103">
        <f t="shared" si="5"/>
        <v>95.58333333</v>
      </c>
      <c r="C377" s="103">
        <f t="shared" si="1"/>
        <v>0</v>
      </c>
      <c r="D377" s="103">
        <f t="shared" si="6"/>
        <v>0</v>
      </c>
      <c r="E377" s="103">
        <f t="shared" si="7"/>
        <v>0.5595492142</v>
      </c>
      <c r="F377" s="103">
        <f t="shared" si="2"/>
        <v>0</v>
      </c>
      <c r="G377" s="103">
        <f t="shared" si="3"/>
        <v>0</v>
      </c>
    </row>
    <row r="378">
      <c r="A378" s="103">
        <f t="shared" si="4"/>
        <v>368</v>
      </c>
      <c r="B378" s="103">
        <f t="shared" si="5"/>
        <v>95.66666667</v>
      </c>
      <c r="C378" s="103">
        <f t="shared" si="1"/>
        <v>0</v>
      </c>
      <c r="D378" s="103">
        <f t="shared" si="6"/>
        <v>0</v>
      </c>
      <c r="E378" s="103">
        <f t="shared" si="7"/>
        <v>0.5586646618</v>
      </c>
      <c r="F378" s="103">
        <f t="shared" si="2"/>
        <v>0</v>
      </c>
      <c r="G378" s="103">
        <f t="shared" si="3"/>
        <v>0</v>
      </c>
    </row>
    <row r="379">
      <c r="A379" s="103">
        <f t="shared" si="4"/>
        <v>369</v>
      </c>
      <c r="B379" s="103">
        <f t="shared" si="5"/>
        <v>95.75</v>
      </c>
      <c r="C379" s="103">
        <f t="shared" si="1"/>
        <v>0</v>
      </c>
      <c r="D379" s="103">
        <f t="shared" si="6"/>
        <v>0</v>
      </c>
      <c r="E379" s="103">
        <f t="shared" si="7"/>
        <v>0.5577815078</v>
      </c>
      <c r="F379" s="103">
        <f t="shared" si="2"/>
        <v>0</v>
      </c>
      <c r="G379" s="103">
        <f t="shared" si="3"/>
        <v>0</v>
      </c>
    </row>
    <row r="380">
      <c r="A380" s="103">
        <f t="shared" si="4"/>
        <v>370</v>
      </c>
      <c r="B380" s="103">
        <f t="shared" si="5"/>
        <v>95.83333333</v>
      </c>
      <c r="C380" s="103">
        <f t="shared" si="1"/>
        <v>0</v>
      </c>
      <c r="D380" s="103">
        <f t="shared" si="6"/>
        <v>0</v>
      </c>
      <c r="E380" s="103">
        <f t="shared" si="7"/>
        <v>0.5568997498</v>
      </c>
      <c r="F380" s="103">
        <f t="shared" si="2"/>
        <v>0</v>
      </c>
      <c r="G380" s="103">
        <f t="shared" si="3"/>
        <v>0</v>
      </c>
    </row>
    <row r="381">
      <c r="A381" s="103">
        <f t="shared" si="4"/>
        <v>371</v>
      </c>
      <c r="B381" s="103">
        <f t="shared" si="5"/>
        <v>95.91666667</v>
      </c>
      <c r="C381" s="103">
        <f t="shared" si="1"/>
        <v>0</v>
      </c>
      <c r="D381" s="103">
        <f t="shared" si="6"/>
        <v>0</v>
      </c>
      <c r="E381" s="103">
        <f t="shared" si="7"/>
        <v>0.5560193858</v>
      </c>
      <c r="F381" s="103">
        <f t="shared" si="2"/>
        <v>0</v>
      </c>
      <c r="G381" s="103">
        <f t="shared" si="3"/>
        <v>0</v>
      </c>
    </row>
    <row r="382">
      <c r="A382" s="103">
        <f t="shared" si="4"/>
        <v>372</v>
      </c>
      <c r="B382" s="103">
        <f t="shared" si="5"/>
        <v>96</v>
      </c>
      <c r="C382" s="103">
        <f t="shared" si="1"/>
        <v>0</v>
      </c>
      <c r="D382" s="103">
        <f t="shared" si="6"/>
        <v>0</v>
      </c>
      <c r="E382" s="103">
        <f t="shared" si="7"/>
        <v>0.5551404135</v>
      </c>
      <c r="F382" s="103">
        <f t="shared" si="2"/>
        <v>0</v>
      </c>
      <c r="G382" s="103">
        <f t="shared" si="3"/>
        <v>0</v>
      </c>
    </row>
    <row r="383">
      <c r="A383" s="103">
        <f t="shared" si="4"/>
        <v>373</v>
      </c>
      <c r="B383" s="103">
        <f t="shared" si="5"/>
        <v>96.08333333</v>
      </c>
      <c r="C383" s="103">
        <f t="shared" si="1"/>
        <v>0</v>
      </c>
      <c r="D383" s="103">
        <f t="shared" si="6"/>
        <v>0</v>
      </c>
      <c r="E383" s="103">
        <f t="shared" si="7"/>
        <v>0.5542628307</v>
      </c>
      <c r="F383" s="103">
        <f t="shared" si="2"/>
        <v>0</v>
      </c>
      <c r="G383" s="103">
        <f t="shared" si="3"/>
        <v>0</v>
      </c>
    </row>
    <row r="384">
      <c r="A384" s="103">
        <f t="shared" si="4"/>
        <v>374</v>
      </c>
      <c r="B384" s="103">
        <f t="shared" si="5"/>
        <v>96.16666667</v>
      </c>
      <c r="C384" s="103">
        <f t="shared" si="1"/>
        <v>0</v>
      </c>
      <c r="D384" s="103">
        <f t="shared" si="6"/>
        <v>0</v>
      </c>
      <c r="E384" s="103">
        <f t="shared" si="7"/>
        <v>0.5533866352</v>
      </c>
      <c r="F384" s="103">
        <f t="shared" si="2"/>
        <v>0</v>
      </c>
      <c r="G384" s="103">
        <f t="shared" si="3"/>
        <v>0</v>
      </c>
    </row>
    <row r="385">
      <c r="A385" s="103">
        <f t="shared" si="4"/>
        <v>375</v>
      </c>
      <c r="B385" s="103">
        <f t="shared" si="5"/>
        <v>96.25</v>
      </c>
      <c r="C385" s="103">
        <f t="shared" si="1"/>
        <v>0</v>
      </c>
      <c r="D385" s="103">
        <f t="shared" si="6"/>
        <v>0</v>
      </c>
      <c r="E385" s="103">
        <f t="shared" si="7"/>
        <v>0.5525118248</v>
      </c>
      <c r="F385" s="103">
        <f t="shared" si="2"/>
        <v>0</v>
      </c>
      <c r="G385" s="103">
        <f t="shared" si="3"/>
        <v>0</v>
      </c>
    </row>
    <row r="386">
      <c r="A386" s="103">
        <f t="shared" si="4"/>
        <v>376</v>
      </c>
      <c r="B386" s="103">
        <f t="shared" si="5"/>
        <v>96.33333333</v>
      </c>
      <c r="C386" s="103">
        <f t="shared" si="1"/>
        <v>0</v>
      </c>
      <c r="D386" s="103">
        <f t="shared" si="6"/>
        <v>0</v>
      </c>
      <c r="E386" s="103">
        <f t="shared" si="7"/>
        <v>0.5516383973</v>
      </c>
      <c r="F386" s="103">
        <f t="shared" si="2"/>
        <v>0</v>
      </c>
      <c r="G386" s="103">
        <f t="shared" si="3"/>
        <v>0</v>
      </c>
    </row>
    <row r="387">
      <c r="A387" s="103">
        <f t="shared" si="4"/>
        <v>377</v>
      </c>
      <c r="B387" s="103">
        <f t="shared" si="5"/>
        <v>96.41666667</v>
      </c>
      <c r="C387" s="103">
        <f t="shared" si="1"/>
        <v>0</v>
      </c>
      <c r="D387" s="103">
        <f t="shared" si="6"/>
        <v>0</v>
      </c>
      <c r="E387" s="103">
        <f t="shared" si="7"/>
        <v>0.5507663506</v>
      </c>
      <c r="F387" s="103">
        <f t="shared" si="2"/>
        <v>0</v>
      </c>
      <c r="G387" s="103">
        <f t="shared" si="3"/>
        <v>0</v>
      </c>
    </row>
    <row r="388">
      <c r="A388" s="103">
        <f t="shared" si="4"/>
        <v>378</v>
      </c>
      <c r="B388" s="103">
        <f t="shared" si="5"/>
        <v>96.5</v>
      </c>
      <c r="C388" s="103">
        <f t="shared" si="1"/>
        <v>0</v>
      </c>
      <c r="D388" s="103">
        <f t="shared" si="6"/>
        <v>0</v>
      </c>
      <c r="E388" s="103">
        <f t="shared" si="7"/>
        <v>0.5498956824</v>
      </c>
      <c r="F388" s="103">
        <f t="shared" si="2"/>
        <v>0</v>
      </c>
      <c r="G388" s="103">
        <f t="shared" si="3"/>
        <v>0</v>
      </c>
    </row>
    <row r="389">
      <c r="A389" s="103">
        <f t="shared" si="4"/>
        <v>379</v>
      </c>
      <c r="B389" s="103">
        <f t="shared" si="5"/>
        <v>96.58333333</v>
      </c>
      <c r="C389" s="103">
        <f t="shared" si="1"/>
        <v>0</v>
      </c>
      <c r="D389" s="103">
        <f t="shared" si="6"/>
        <v>0</v>
      </c>
      <c r="E389" s="103">
        <f t="shared" si="7"/>
        <v>0.5490263907</v>
      </c>
      <c r="F389" s="103">
        <f t="shared" si="2"/>
        <v>0</v>
      </c>
      <c r="G389" s="103">
        <f t="shared" si="3"/>
        <v>0</v>
      </c>
    </row>
    <row r="390">
      <c r="A390" s="103">
        <f t="shared" si="4"/>
        <v>380</v>
      </c>
      <c r="B390" s="103">
        <f t="shared" si="5"/>
        <v>96.66666667</v>
      </c>
      <c r="C390" s="103">
        <f t="shared" si="1"/>
        <v>0</v>
      </c>
      <c r="D390" s="103">
        <f t="shared" si="6"/>
        <v>0</v>
      </c>
      <c r="E390" s="103">
        <f t="shared" si="7"/>
        <v>0.5481584731</v>
      </c>
      <c r="F390" s="103">
        <f t="shared" si="2"/>
        <v>0</v>
      </c>
      <c r="G390" s="103">
        <f t="shared" si="3"/>
        <v>0</v>
      </c>
    </row>
    <row r="391">
      <c r="A391" s="103">
        <f t="shared" si="4"/>
        <v>381</v>
      </c>
      <c r="B391" s="103">
        <f t="shared" si="5"/>
        <v>96.75</v>
      </c>
      <c r="C391" s="103">
        <f t="shared" si="1"/>
        <v>0</v>
      </c>
      <c r="D391" s="103">
        <f t="shared" si="6"/>
        <v>0</v>
      </c>
      <c r="E391" s="103">
        <f t="shared" si="7"/>
        <v>0.5472919275</v>
      </c>
      <c r="F391" s="103">
        <f t="shared" si="2"/>
        <v>0</v>
      </c>
      <c r="G391" s="103">
        <f t="shared" si="3"/>
        <v>0</v>
      </c>
    </row>
    <row r="392">
      <c r="A392" s="103">
        <f t="shared" si="4"/>
        <v>382</v>
      </c>
      <c r="B392" s="103">
        <f t="shared" si="5"/>
        <v>96.83333333</v>
      </c>
      <c r="C392" s="103">
        <f t="shared" si="1"/>
        <v>0</v>
      </c>
      <c r="D392" s="103">
        <f t="shared" si="6"/>
        <v>0</v>
      </c>
      <c r="E392" s="103">
        <f t="shared" si="7"/>
        <v>0.5464267518</v>
      </c>
      <c r="F392" s="103">
        <f t="shared" si="2"/>
        <v>0</v>
      </c>
      <c r="G392" s="103">
        <f t="shared" si="3"/>
        <v>0</v>
      </c>
    </row>
    <row r="393">
      <c r="A393" s="103">
        <f t="shared" si="4"/>
        <v>383</v>
      </c>
      <c r="B393" s="103">
        <f t="shared" si="5"/>
        <v>96.91666667</v>
      </c>
      <c r="C393" s="103">
        <f t="shared" si="1"/>
        <v>0</v>
      </c>
      <c r="D393" s="103">
        <f t="shared" si="6"/>
        <v>0</v>
      </c>
      <c r="E393" s="103">
        <f t="shared" si="7"/>
        <v>0.5455629438</v>
      </c>
      <c r="F393" s="103">
        <f t="shared" si="2"/>
        <v>0</v>
      </c>
      <c r="G393" s="103">
        <f t="shared" si="3"/>
        <v>0</v>
      </c>
    </row>
    <row r="394">
      <c r="A394" s="103">
        <f t="shared" si="4"/>
        <v>384</v>
      </c>
      <c r="B394" s="103">
        <f t="shared" si="5"/>
        <v>97</v>
      </c>
      <c r="C394" s="103">
        <f t="shared" si="1"/>
        <v>0</v>
      </c>
      <c r="D394" s="103">
        <f t="shared" si="6"/>
        <v>0</v>
      </c>
      <c r="E394" s="103">
        <f t="shared" si="7"/>
        <v>0.5447005014</v>
      </c>
      <c r="F394" s="103">
        <f t="shared" si="2"/>
        <v>0</v>
      </c>
      <c r="G394" s="103">
        <f t="shared" si="3"/>
        <v>0</v>
      </c>
    </row>
    <row r="395">
      <c r="A395" s="103">
        <f t="shared" si="4"/>
        <v>385</v>
      </c>
      <c r="B395" s="103">
        <f t="shared" si="5"/>
        <v>97.08333333</v>
      </c>
      <c r="C395" s="103">
        <f t="shared" si="1"/>
        <v>0</v>
      </c>
      <c r="D395" s="103">
        <f t="shared" si="6"/>
        <v>0</v>
      </c>
      <c r="E395" s="103">
        <f t="shared" si="7"/>
        <v>0.5438394223</v>
      </c>
      <c r="F395" s="103">
        <f t="shared" si="2"/>
        <v>0</v>
      </c>
      <c r="G395" s="103">
        <f t="shared" si="3"/>
        <v>0</v>
      </c>
    </row>
    <row r="396">
      <c r="A396" s="103">
        <f t="shared" si="4"/>
        <v>386</v>
      </c>
      <c r="B396" s="103">
        <f t="shared" si="5"/>
        <v>97.16666667</v>
      </c>
      <c r="C396" s="103">
        <f t="shared" si="1"/>
        <v>0</v>
      </c>
      <c r="D396" s="103">
        <f t="shared" si="6"/>
        <v>0</v>
      </c>
      <c r="E396" s="103">
        <f t="shared" si="7"/>
        <v>0.5429797044</v>
      </c>
      <c r="F396" s="103">
        <f t="shared" si="2"/>
        <v>0</v>
      </c>
      <c r="G396" s="103">
        <f t="shared" si="3"/>
        <v>0</v>
      </c>
    </row>
    <row r="397">
      <c r="A397" s="103">
        <f t="shared" si="4"/>
        <v>387</v>
      </c>
      <c r="B397" s="103">
        <f t="shared" si="5"/>
        <v>97.25</v>
      </c>
      <c r="C397" s="103">
        <f t="shared" si="1"/>
        <v>0</v>
      </c>
      <c r="D397" s="103">
        <f t="shared" si="6"/>
        <v>0</v>
      </c>
      <c r="E397" s="103">
        <f t="shared" si="7"/>
        <v>0.5421213456</v>
      </c>
      <c r="F397" s="103">
        <f t="shared" si="2"/>
        <v>0</v>
      </c>
      <c r="G397" s="103">
        <f t="shared" si="3"/>
        <v>0</v>
      </c>
    </row>
    <row r="398">
      <c r="A398" s="103">
        <f t="shared" si="4"/>
        <v>388</v>
      </c>
      <c r="B398" s="103">
        <f t="shared" si="5"/>
        <v>97.33333333</v>
      </c>
      <c r="C398" s="103">
        <f t="shared" si="1"/>
        <v>0</v>
      </c>
      <c r="D398" s="103">
        <f t="shared" si="6"/>
        <v>0</v>
      </c>
      <c r="E398" s="103">
        <f t="shared" si="7"/>
        <v>0.5412643437</v>
      </c>
      <c r="F398" s="103">
        <f t="shared" si="2"/>
        <v>0</v>
      </c>
      <c r="G398" s="103">
        <f t="shared" si="3"/>
        <v>0</v>
      </c>
    </row>
    <row r="399">
      <c r="A399" s="103">
        <f t="shared" si="4"/>
        <v>389</v>
      </c>
      <c r="B399" s="103">
        <f t="shared" si="5"/>
        <v>97.41666667</v>
      </c>
      <c r="C399" s="103">
        <f t="shared" si="1"/>
        <v>0</v>
      </c>
      <c r="D399" s="103">
        <f t="shared" si="6"/>
        <v>0</v>
      </c>
      <c r="E399" s="103">
        <f t="shared" si="7"/>
        <v>0.5404086966</v>
      </c>
      <c r="F399" s="103">
        <f t="shared" si="2"/>
        <v>0</v>
      </c>
      <c r="G399" s="103">
        <f t="shared" si="3"/>
        <v>0</v>
      </c>
    </row>
    <row r="400">
      <c r="A400" s="103">
        <f t="shared" si="4"/>
        <v>390</v>
      </c>
      <c r="B400" s="103">
        <f t="shared" si="5"/>
        <v>97.5</v>
      </c>
      <c r="C400" s="103">
        <f t="shared" si="1"/>
        <v>0</v>
      </c>
      <c r="D400" s="103">
        <f t="shared" si="6"/>
        <v>0</v>
      </c>
      <c r="E400" s="103">
        <f t="shared" si="7"/>
        <v>0.5395544022</v>
      </c>
      <c r="F400" s="103">
        <f t="shared" si="2"/>
        <v>0</v>
      </c>
      <c r="G400" s="103">
        <f t="shared" si="3"/>
        <v>0</v>
      </c>
    </row>
    <row r="401">
      <c r="A401" s="103">
        <f t="shared" si="4"/>
        <v>391</v>
      </c>
      <c r="B401" s="103">
        <f t="shared" si="5"/>
        <v>97.58333333</v>
      </c>
      <c r="C401" s="103">
        <f t="shared" si="1"/>
        <v>0</v>
      </c>
      <c r="D401" s="103">
        <f t="shared" si="6"/>
        <v>0</v>
      </c>
      <c r="E401" s="103">
        <f t="shared" si="7"/>
        <v>0.5387014582</v>
      </c>
      <c r="F401" s="103">
        <f t="shared" si="2"/>
        <v>0</v>
      </c>
      <c r="G401" s="103">
        <f t="shared" si="3"/>
        <v>0</v>
      </c>
    </row>
    <row r="402">
      <c r="A402" s="103">
        <f t="shared" si="4"/>
        <v>392</v>
      </c>
      <c r="B402" s="103">
        <f t="shared" si="5"/>
        <v>97.66666667</v>
      </c>
      <c r="C402" s="103">
        <f t="shared" si="1"/>
        <v>0</v>
      </c>
      <c r="D402" s="103">
        <f t="shared" si="6"/>
        <v>0</v>
      </c>
      <c r="E402" s="103">
        <f t="shared" si="7"/>
        <v>0.5378498626</v>
      </c>
      <c r="F402" s="103">
        <f t="shared" si="2"/>
        <v>0</v>
      </c>
      <c r="G402" s="103">
        <f t="shared" si="3"/>
        <v>0</v>
      </c>
    </row>
    <row r="403">
      <c r="A403" s="103">
        <f t="shared" si="4"/>
        <v>393</v>
      </c>
      <c r="B403" s="103">
        <f t="shared" si="5"/>
        <v>97.75</v>
      </c>
      <c r="C403" s="103">
        <f t="shared" si="1"/>
        <v>0</v>
      </c>
      <c r="D403" s="103">
        <f t="shared" si="6"/>
        <v>0</v>
      </c>
      <c r="E403" s="103">
        <f t="shared" si="7"/>
        <v>0.5369996132</v>
      </c>
      <c r="F403" s="103">
        <f t="shared" si="2"/>
        <v>0</v>
      </c>
      <c r="G403" s="103">
        <f t="shared" si="3"/>
        <v>0</v>
      </c>
    </row>
    <row r="404">
      <c r="A404" s="103">
        <f t="shared" si="4"/>
        <v>394</v>
      </c>
      <c r="B404" s="103">
        <f t="shared" si="5"/>
        <v>97.83333333</v>
      </c>
      <c r="C404" s="103">
        <f t="shared" si="1"/>
        <v>0</v>
      </c>
      <c r="D404" s="103">
        <f t="shared" si="6"/>
        <v>0</v>
      </c>
      <c r="E404" s="103">
        <f t="shared" si="7"/>
        <v>0.5361507079</v>
      </c>
      <c r="F404" s="103">
        <f t="shared" si="2"/>
        <v>0</v>
      </c>
      <c r="G404" s="103">
        <f t="shared" si="3"/>
        <v>0</v>
      </c>
    </row>
    <row r="405">
      <c r="A405" s="103">
        <f t="shared" si="4"/>
        <v>395</v>
      </c>
      <c r="B405" s="103">
        <f t="shared" si="5"/>
        <v>97.91666667</v>
      </c>
      <c r="C405" s="103">
        <f t="shared" si="1"/>
        <v>0</v>
      </c>
      <c r="D405" s="103">
        <f t="shared" si="6"/>
        <v>0</v>
      </c>
      <c r="E405" s="103">
        <f t="shared" si="7"/>
        <v>0.5353031446</v>
      </c>
      <c r="F405" s="103">
        <f t="shared" si="2"/>
        <v>0</v>
      </c>
      <c r="G405" s="103">
        <f t="shared" si="3"/>
        <v>0</v>
      </c>
    </row>
    <row r="406">
      <c r="A406" s="103">
        <f t="shared" si="4"/>
        <v>396</v>
      </c>
      <c r="B406" s="103">
        <f t="shared" si="5"/>
        <v>98</v>
      </c>
      <c r="C406" s="103">
        <f t="shared" si="1"/>
        <v>0</v>
      </c>
      <c r="D406" s="103">
        <f t="shared" si="6"/>
        <v>0</v>
      </c>
      <c r="E406" s="103">
        <f t="shared" si="7"/>
        <v>0.5344569211</v>
      </c>
      <c r="F406" s="103">
        <f t="shared" si="2"/>
        <v>0</v>
      </c>
      <c r="G406" s="103">
        <f t="shared" si="3"/>
        <v>0</v>
      </c>
    </row>
    <row r="407">
      <c r="A407" s="103">
        <f t="shared" si="4"/>
        <v>397</v>
      </c>
      <c r="B407" s="103">
        <f t="shared" si="5"/>
        <v>98.08333333</v>
      </c>
      <c r="C407" s="103">
        <f t="shared" si="1"/>
        <v>0</v>
      </c>
      <c r="D407" s="103">
        <f t="shared" si="6"/>
        <v>0</v>
      </c>
      <c r="E407" s="103">
        <f t="shared" si="7"/>
        <v>0.5336120354</v>
      </c>
      <c r="F407" s="103">
        <f t="shared" si="2"/>
        <v>0</v>
      </c>
      <c r="G407" s="103">
        <f t="shared" si="3"/>
        <v>0</v>
      </c>
    </row>
    <row r="408">
      <c r="A408" s="103">
        <f t="shared" si="4"/>
        <v>398</v>
      </c>
      <c r="B408" s="103">
        <f t="shared" si="5"/>
        <v>98.16666667</v>
      </c>
      <c r="C408" s="103">
        <f t="shared" si="1"/>
        <v>0</v>
      </c>
      <c r="D408" s="103">
        <f t="shared" si="6"/>
        <v>0</v>
      </c>
      <c r="E408" s="103">
        <f t="shared" si="7"/>
        <v>0.5327684853</v>
      </c>
      <c r="F408" s="103">
        <f t="shared" si="2"/>
        <v>0</v>
      </c>
      <c r="G408" s="103">
        <f t="shared" si="3"/>
        <v>0</v>
      </c>
    </row>
    <row r="409">
      <c r="A409" s="103">
        <f t="shared" si="4"/>
        <v>399</v>
      </c>
      <c r="B409" s="103">
        <f t="shared" si="5"/>
        <v>98.25</v>
      </c>
      <c r="C409" s="103">
        <f t="shared" si="1"/>
        <v>0</v>
      </c>
      <c r="D409" s="103">
        <f t="shared" si="6"/>
        <v>0</v>
      </c>
      <c r="E409" s="103">
        <f t="shared" si="7"/>
        <v>0.5319262687</v>
      </c>
      <c r="F409" s="103">
        <f t="shared" si="2"/>
        <v>0</v>
      </c>
      <c r="G409" s="103">
        <f t="shared" si="3"/>
        <v>0</v>
      </c>
    </row>
    <row r="410">
      <c r="A410" s="103">
        <f t="shared" si="4"/>
        <v>400</v>
      </c>
      <c r="B410" s="103">
        <f t="shared" si="5"/>
        <v>98.33333333</v>
      </c>
      <c r="C410" s="103">
        <f t="shared" si="1"/>
        <v>0</v>
      </c>
      <c r="D410" s="103">
        <f t="shared" si="6"/>
        <v>0</v>
      </c>
      <c r="E410" s="103">
        <f t="shared" si="7"/>
        <v>0.5310853835</v>
      </c>
      <c r="F410" s="103">
        <f t="shared" si="2"/>
        <v>0</v>
      </c>
      <c r="G410" s="103">
        <f t="shared" si="3"/>
        <v>0</v>
      </c>
    </row>
    <row r="411">
      <c r="A411" s="103">
        <f t="shared" si="4"/>
        <v>401</v>
      </c>
      <c r="B411" s="103">
        <f t="shared" si="5"/>
        <v>98.41666667</v>
      </c>
      <c r="C411" s="103">
        <f t="shared" si="1"/>
        <v>0</v>
      </c>
      <c r="D411" s="103">
        <f t="shared" si="6"/>
        <v>0</v>
      </c>
      <c r="E411" s="103">
        <f t="shared" si="7"/>
        <v>0.5302458276</v>
      </c>
      <c r="F411" s="103">
        <f t="shared" si="2"/>
        <v>0</v>
      </c>
      <c r="G411" s="103">
        <f t="shared" si="3"/>
        <v>0</v>
      </c>
    </row>
    <row r="412">
      <c r="A412" s="103">
        <f t="shared" si="4"/>
        <v>402</v>
      </c>
      <c r="B412" s="103">
        <f t="shared" si="5"/>
        <v>98.5</v>
      </c>
      <c r="C412" s="103">
        <f t="shared" si="1"/>
        <v>0</v>
      </c>
      <c r="D412" s="103">
        <f t="shared" si="6"/>
        <v>0</v>
      </c>
      <c r="E412" s="103">
        <f t="shared" si="7"/>
        <v>0.5294075989</v>
      </c>
      <c r="F412" s="103">
        <f t="shared" si="2"/>
        <v>0</v>
      </c>
      <c r="G412" s="103">
        <f t="shared" si="3"/>
        <v>0</v>
      </c>
    </row>
    <row r="413">
      <c r="A413" s="103">
        <f t="shared" si="4"/>
        <v>403</v>
      </c>
      <c r="B413" s="103">
        <f t="shared" si="5"/>
        <v>98.58333333</v>
      </c>
      <c r="C413" s="103">
        <f t="shared" si="1"/>
        <v>0</v>
      </c>
      <c r="D413" s="103">
        <f t="shared" si="6"/>
        <v>0</v>
      </c>
      <c r="E413" s="103">
        <f t="shared" si="7"/>
        <v>0.5285706953</v>
      </c>
      <c r="F413" s="103">
        <f t="shared" si="2"/>
        <v>0</v>
      </c>
      <c r="G413" s="103">
        <f t="shared" si="3"/>
        <v>0</v>
      </c>
    </row>
    <row r="414">
      <c r="A414" s="103">
        <f t="shared" si="4"/>
        <v>404</v>
      </c>
      <c r="B414" s="103">
        <f t="shared" si="5"/>
        <v>98.66666667</v>
      </c>
      <c r="C414" s="103">
        <f t="shared" si="1"/>
        <v>0</v>
      </c>
      <c r="D414" s="103">
        <f t="shared" si="6"/>
        <v>0</v>
      </c>
      <c r="E414" s="103">
        <f t="shared" si="7"/>
        <v>0.5277351147</v>
      </c>
      <c r="F414" s="103">
        <f t="shared" si="2"/>
        <v>0</v>
      </c>
      <c r="G414" s="103">
        <f t="shared" si="3"/>
        <v>0</v>
      </c>
    </row>
    <row r="415">
      <c r="A415" s="103">
        <f t="shared" si="4"/>
        <v>405</v>
      </c>
      <c r="B415" s="103">
        <f t="shared" si="5"/>
        <v>98.75</v>
      </c>
      <c r="C415" s="103">
        <f t="shared" si="1"/>
        <v>0</v>
      </c>
      <c r="D415" s="103">
        <f t="shared" si="6"/>
        <v>0</v>
      </c>
      <c r="E415" s="103">
        <f t="shared" si="7"/>
        <v>0.5269008551</v>
      </c>
      <c r="F415" s="103">
        <f t="shared" si="2"/>
        <v>0</v>
      </c>
      <c r="G415" s="103">
        <f t="shared" si="3"/>
        <v>0</v>
      </c>
    </row>
    <row r="416">
      <c r="A416" s="103">
        <f t="shared" si="4"/>
        <v>406</v>
      </c>
      <c r="B416" s="103">
        <f t="shared" si="5"/>
        <v>98.83333333</v>
      </c>
      <c r="C416" s="103">
        <f t="shared" si="1"/>
        <v>0</v>
      </c>
      <c r="D416" s="103">
        <f t="shared" si="6"/>
        <v>0</v>
      </c>
      <c r="E416" s="103">
        <f t="shared" si="7"/>
        <v>0.5260679142</v>
      </c>
      <c r="F416" s="103">
        <f t="shared" si="2"/>
        <v>0</v>
      </c>
      <c r="G416" s="103">
        <f t="shared" si="3"/>
        <v>0</v>
      </c>
    </row>
    <row r="417">
      <c r="A417" s="103">
        <f t="shared" si="4"/>
        <v>407</v>
      </c>
      <c r="B417" s="103">
        <f t="shared" si="5"/>
        <v>98.91666667</v>
      </c>
      <c r="C417" s="103">
        <f t="shared" si="1"/>
        <v>0</v>
      </c>
      <c r="D417" s="103">
        <f t="shared" si="6"/>
        <v>0</v>
      </c>
      <c r="E417" s="103">
        <f t="shared" si="7"/>
        <v>0.5252362901</v>
      </c>
      <c r="F417" s="103">
        <f t="shared" si="2"/>
        <v>0</v>
      </c>
      <c r="G417" s="103">
        <f t="shared" si="3"/>
        <v>0</v>
      </c>
    </row>
    <row r="418">
      <c r="A418" s="103">
        <f t="shared" si="4"/>
        <v>408</v>
      </c>
      <c r="B418" s="103">
        <f t="shared" si="5"/>
        <v>99</v>
      </c>
      <c r="C418" s="103">
        <f t="shared" si="1"/>
        <v>0</v>
      </c>
      <c r="D418" s="103">
        <f t="shared" si="6"/>
        <v>0</v>
      </c>
      <c r="E418" s="103">
        <f t="shared" si="7"/>
        <v>0.5244059806</v>
      </c>
      <c r="F418" s="103">
        <f t="shared" si="2"/>
        <v>0</v>
      </c>
      <c r="G418" s="103">
        <f t="shared" si="3"/>
        <v>0</v>
      </c>
    </row>
    <row r="419">
      <c r="A419" s="103">
        <f t="shared" si="4"/>
        <v>409</v>
      </c>
      <c r="B419" s="103">
        <f t="shared" si="5"/>
        <v>99.08333333</v>
      </c>
      <c r="C419" s="103">
        <f t="shared" si="1"/>
        <v>0</v>
      </c>
      <c r="D419" s="103">
        <f t="shared" si="6"/>
        <v>0</v>
      </c>
      <c r="E419" s="103">
        <f t="shared" si="7"/>
        <v>0.5235769837</v>
      </c>
      <c r="F419" s="103">
        <f t="shared" si="2"/>
        <v>0</v>
      </c>
      <c r="G419" s="103">
        <f t="shared" si="3"/>
        <v>0</v>
      </c>
    </row>
    <row r="420">
      <c r="A420" s="103">
        <f t="shared" si="4"/>
        <v>410</v>
      </c>
      <c r="B420" s="103">
        <f t="shared" si="5"/>
        <v>99.16666667</v>
      </c>
      <c r="C420" s="103">
        <f t="shared" si="1"/>
        <v>0</v>
      </c>
      <c r="D420" s="103">
        <f t="shared" si="6"/>
        <v>0</v>
      </c>
      <c r="E420" s="103">
        <f t="shared" si="7"/>
        <v>0.5227492973</v>
      </c>
      <c r="F420" s="103">
        <f t="shared" si="2"/>
        <v>0</v>
      </c>
      <c r="G420" s="103">
        <f t="shared" si="3"/>
        <v>0</v>
      </c>
    </row>
    <row r="421">
      <c r="A421" s="103">
        <f t="shared" si="4"/>
        <v>411</v>
      </c>
      <c r="B421" s="103">
        <f t="shared" si="5"/>
        <v>99.25</v>
      </c>
      <c r="C421" s="103">
        <f t="shared" si="1"/>
        <v>0</v>
      </c>
      <c r="D421" s="103">
        <f t="shared" si="6"/>
        <v>0</v>
      </c>
      <c r="E421" s="103">
        <f t="shared" si="7"/>
        <v>0.5219229194</v>
      </c>
      <c r="F421" s="103">
        <f t="shared" si="2"/>
        <v>0</v>
      </c>
      <c r="G421" s="103">
        <f t="shared" si="3"/>
        <v>0</v>
      </c>
    </row>
    <row r="422">
      <c r="A422" s="103">
        <f t="shared" si="4"/>
        <v>412</v>
      </c>
      <c r="B422" s="103">
        <f t="shared" si="5"/>
        <v>99.33333333</v>
      </c>
      <c r="C422" s="103">
        <f t="shared" si="1"/>
        <v>0</v>
      </c>
      <c r="D422" s="103">
        <f t="shared" si="6"/>
        <v>0</v>
      </c>
      <c r="E422" s="103">
        <f t="shared" si="7"/>
        <v>0.5210978478</v>
      </c>
      <c r="F422" s="103">
        <f t="shared" si="2"/>
        <v>0</v>
      </c>
      <c r="G422" s="103">
        <f t="shared" si="3"/>
        <v>0</v>
      </c>
    </row>
    <row r="423">
      <c r="A423" s="103">
        <f t="shared" si="4"/>
        <v>413</v>
      </c>
      <c r="B423" s="103">
        <f t="shared" si="5"/>
        <v>99.41666667</v>
      </c>
      <c r="C423" s="103">
        <f t="shared" si="1"/>
        <v>0</v>
      </c>
      <c r="D423" s="103">
        <f t="shared" si="6"/>
        <v>0</v>
      </c>
      <c r="E423" s="103">
        <f t="shared" si="7"/>
        <v>0.5202740805</v>
      </c>
      <c r="F423" s="103">
        <f t="shared" si="2"/>
        <v>0</v>
      </c>
      <c r="G423" s="103">
        <f t="shared" si="3"/>
        <v>0</v>
      </c>
    </row>
    <row r="424">
      <c r="A424" s="103">
        <f t="shared" si="4"/>
        <v>414</v>
      </c>
      <c r="B424" s="103">
        <f t="shared" si="5"/>
        <v>99.5</v>
      </c>
      <c r="C424" s="103">
        <f t="shared" si="1"/>
        <v>0</v>
      </c>
      <c r="D424" s="103">
        <f t="shared" si="6"/>
        <v>0</v>
      </c>
      <c r="E424" s="103">
        <f t="shared" si="7"/>
        <v>0.5194516154</v>
      </c>
      <c r="F424" s="103">
        <f t="shared" si="2"/>
        <v>0</v>
      </c>
      <c r="G424" s="103">
        <f t="shared" si="3"/>
        <v>0</v>
      </c>
    </row>
    <row r="425">
      <c r="A425" s="103">
        <f t="shared" si="4"/>
        <v>415</v>
      </c>
      <c r="B425" s="103">
        <f t="shared" si="5"/>
        <v>99.58333333</v>
      </c>
      <c r="C425" s="103">
        <f t="shared" si="1"/>
        <v>0</v>
      </c>
      <c r="D425" s="103">
        <f t="shared" si="6"/>
        <v>0</v>
      </c>
      <c r="E425" s="103">
        <f t="shared" si="7"/>
        <v>0.5186304505</v>
      </c>
      <c r="F425" s="103">
        <f t="shared" si="2"/>
        <v>0</v>
      </c>
      <c r="G425" s="103">
        <f t="shared" si="3"/>
        <v>0</v>
      </c>
    </row>
    <row r="426">
      <c r="A426" s="103">
        <f t="shared" si="4"/>
        <v>416</v>
      </c>
      <c r="B426" s="103">
        <f t="shared" si="5"/>
        <v>99.66666667</v>
      </c>
      <c r="C426" s="103">
        <f t="shared" si="1"/>
        <v>0</v>
      </c>
      <c r="D426" s="103">
        <f t="shared" si="6"/>
        <v>0</v>
      </c>
      <c r="E426" s="103">
        <f t="shared" si="7"/>
        <v>0.5178105838</v>
      </c>
      <c r="F426" s="103">
        <f t="shared" si="2"/>
        <v>0</v>
      </c>
      <c r="G426" s="103">
        <f t="shared" si="3"/>
        <v>0</v>
      </c>
    </row>
    <row r="427">
      <c r="A427" s="103">
        <f t="shared" si="4"/>
        <v>417</v>
      </c>
      <c r="B427" s="103">
        <f t="shared" si="5"/>
        <v>99.75</v>
      </c>
      <c r="C427" s="103">
        <f t="shared" si="1"/>
        <v>0</v>
      </c>
      <c r="D427" s="103">
        <f t="shared" si="6"/>
        <v>0</v>
      </c>
      <c r="E427" s="103">
        <f t="shared" si="7"/>
        <v>0.5169920131</v>
      </c>
      <c r="F427" s="103">
        <f t="shared" si="2"/>
        <v>0</v>
      </c>
      <c r="G427" s="103">
        <f t="shared" si="3"/>
        <v>0</v>
      </c>
    </row>
    <row r="428">
      <c r="A428" s="103">
        <f t="shared" si="4"/>
        <v>418</v>
      </c>
      <c r="B428" s="103">
        <f t="shared" si="5"/>
        <v>99.83333333</v>
      </c>
      <c r="C428" s="103">
        <f t="shared" si="1"/>
        <v>0</v>
      </c>
      <c r="D428" s="103">
        <f t="shared" si="6"/>
        <v>0</v>
      </c>
      <c r="E428" s="103">
        <f t="shared" si="7"/>
        <v>0.5161747364</v>
      </c>
      <c r="F428" s="103">
        <f t="shared" si="2"/>
        <v>0</v>
      </c>
      <c r="G428" s="103">
        <f t="shared" si="3"/>
        <v>0</v>
      </c>
    </row>
    <row r="429">
      <c r="A429" s="103">
        <f t="shared" si="4"/>
        <v>419</v>
      </c>
      <c r="B429" s="103">
        <f t="shared" si="5"/>
        <v>99.91666667</v>
      </c>
      <c r="C429" s="103">
        <f t="shared" si="1"/>
        <v>0</v>
      </c>
      <c r="D429" s="103">
        <f t="shared" si="6"/>
        <v>0</v>
      </c>
      <c r="E429" s="103">
        <f t="shared" si="7"/>
        <v>0.5153587517</v>
      </c>
      <c r="F429" s="103">
        <f t="shared" si="2"/>
        <v>0</v>
      </c>
      <c r="G429" s="103">
        <f t="shared" si="3"/>
        <v>0</v>
      </c>
    </row>
    <row r="430">
      <c r="A430" s="103">
        <f t="shared" si="4"/>
        <v>420</v>
      </c>
      <c r="B430" s="103">
        <f t="shared" si="5"/>
        <v>100</v>
      </c>
      <c r="C430" s="103">
        <f t="shared" si="1"/>
        <v>0</v>
      </c>
      <c r="D430" s="103">
        <f t="shared" si="6"/>
        <v>0</v>
      </c>
      <c r="E430" s="103">
        <f t="shared" si="7"/>
        <v>0.514544057</v>
      </c>
      <c r="F430" s="103">
        <f t="shared" si="2"/>
        <v>0</v>
      </c>
      <c r="G430" s="103">
        <f t="shared" si="3"/>
        <v>0</v>
      </c>
    </row>
    <row r="431">
      <c r="A431" s="103">
        <f t="shared" si="4"/>
        <v>421</v>
      </c>
      <c r="B431" s="103">
        <f t="shared" si="5"/>
        <v>100.0833333</v>
      </c>
      <c r="C431" s="103">
        <f t="shared" si="1"/>
        <v>0</v>
      </c>
      <c r="D431" s="103">
        <f t="shared" si="6"/>
        <v>0</v>
      </c>
      <c r="E431" s="103">
        <f t="shared" si="7"/>
        <v>0.5137306501</v>
      </c>
      <c r="F431" s="103">
        <f t="shared" si="2"/>
        <v>0</v>
      </c>
      <c r="G431" s="103">
        <f t="shared" si="3"/>
        <v>0</v>
      </c>
    </row>
  </sheetData>
  <conditionalFormatting sqref="F2:F3">
    <cfRule type="colorScale" priority="1">
      <colorScale>
        <cfvo type="min"/>
        <cfvo type="max"/>
        <color rgb="FFFFFFFF"/>
        <color rgb="FF57BB8A"/>
      </colorScale>
    </cfRule>
  </conditionalFormatting>
  <conditionalFormatting sqref="I2:I3">
    <cfRule type="colorScale" priority="2">
      <colorScale>
        <cfvo type="min"/>
        <cfvo type="max"/>
        <color rgb="FFFFFFFF"/>
        <color rgb="FF57BB8A"/>
      </colorScale>
    </cfRule>
  </conditionalFormatting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5.75"/>
    <col customWidth="1" min="3" max="3" width="8.0"/>
    <col customWidth="1" min="4" max="4" width="9.38"/>
    <col customWidth="1" min="5" max="5" width="8.5"/>
    <col customWidth="1" min="6" max="6" width="15.75"/>
    <col customWidth="1" min="7" max="7" width="8.0"/>
    <col customWidth="1" min="8" max="8" width="7.5"/>
    <col customWidth="1" min="9" max="9" width="8.5"/>
    <col customWidth="1" min="10" max="10" width="15.75"/>
    <col customWidth="1" min="11" max="11" width="9.0"/>
    <col customWidth="1" min="12" max="12" width="7.5"/>
    <col customWidth="1" min="13" max="13" width="8.5"/>
    <col customWidth="1" min="15" max="15" width="12.88"/>
  </cols>
  <sheetData>
    <row r="1">
      <c r="A1" s="1" t="s">
        <v>144</v>
      </c>
      <c r="B1" s="107" t="s">
        <v>108</v>
      </c>
      <c r="C1" s="107" t="s">
        <v>110</v>
      </c>
      <c r="D1" s="107" t="s">
        <v>112</v>
      </c>
    </row>
    <row r="2">
      <c r="B2" s="107">
        <f>'output for phase 1'!A21</f>
        <v>413112.3059</v>
      </c>
      <c r="C2" s="102">
        <f>'output for phase 1'!B21</f>
        <v>826224.6117</v>
      </c>
      <c r="D2" s="102">
        <f>'output for phase 1'!C21</f>
        <v>1574701.453</v>
      </c>
    </row>
    <row r="3">
      <c r="A3" s="1" t="s">
        <v>145</v>
      </c>
      <c r="B3" s="107" t="s">
        <v>146</v>
      </c>
      <c r="C3" s="102"/>
      <c r="D3" s="102"/>
    </row>
    <row r="4">
      <c r="A4" s="1" t="s">
        <v>147</v>
      </c>
      <c r="B4" s="1" t="s">
        <v>148</v>
      </c>
      <c r="C4" s="102"/>
      <c r="D4" s="102"/>
    </row>
    <row r="5">
      <c r="A5" s="1" t="s">
        <v>149</v>
      </c>
      <c r="B5" s="99">
        <v>1.0</v>
      </c>
      <c r="C5" s="102"/>
      <c r="D5" s="102"/>
    </row>
    <row r="6">
      <c r="A6" s="1" t="s">
        <v>150</v>
      </c>
      <c r="B6" s="99">
        <v>1.0</v>
      </c>
      <c r="C6" s="102"/>
      <c r="D6" s="102"/>
    </row>
    <row r="7">
      <c r="B7" s="102"/>
      <c r="C7" s="102"/>
      <c r="D7" s="102"/>
    </row>
    <row r="8">
      <c r="B8" s="108" t="s">
        <v>108</v>
      </c>
      <c r="F8" s="109" t="s">
        <v>110</v>
      </c>
      <c r="J8" s="110" t="s">
        <v>112</v>
      </c>
    </row>
    <row r="9">
      <c r="A9" s="1" t="s">
        <v>151</v>
      </c>
      <c r="B9" s="1" t="s">
        <v>152</v>
      </c>
      <c r="C9" s="1" t="s">
        <v>147</v>
      </c>
      <c r="D9" s="1" t="s">
        <v>149</v>
      </c>
      <c r="E9" s="1" t="s">
        <v>150</v>
      </c>
      <c r="F9" s="1" t="s">
        <v>152</v>
      </c>
      <c r="G9" s="1" t="s">
        <v>147</v>
      </c>
      <c r="H9" s="1" t="s">
        <v>149</v>
      </c>
      <c r="I9" s="1" t="s">
        <v>150</v>
      </c>
      <c r="J9" s="1" t="s">
        <v>152</v>
      </c>
      <c r="K9" s="1" t="s">
        <v>147</v>
      </c>
      <c r="L9" s="1" t="s">
        <v>149</v>
      </c>
      <c r="M9" s="1" t="s">
        <v>150</v>
      </c>
    </row>
    <row r="10">
      <c r="A10" s="1">
        <v>65.0</v>
      </c>
      <c r="B10" s="111">
        <f>B2</f>
        <v>413112.3059</v>
      </c>
      <c r="C10" s="102">
        <f>PMT(((B10*0.04+0.01*60000+0.01*30000) / B10)/12, 25*12, -B10*0.9)</f>
        <v>2007.502711</v>
      </c>
      <c r="D10" s="102">
        <f>PMT(((B10*0.04+0.01*60000+0.01*30000) / B10)/12, 25*12, -B10)</f>
        <v>2230.558567</v>
      </c>
      <c r="E10" s="102">
        <f>0.0042*B10</f>
        <v>1735.071685</v>
      </c>
      <c r="F10" s="111">
        <f>C2</f>
        <v>826224.6117</v>
      </c>
      <c r="G10" s="102">
        <f>PMT(((F10*0.04+0.01*60000+0.01*30000) / F10)/12, 25*12, -F10*0.9)</f>
        <v>3969.868433</v>
      </c>
      <c r="H10" s="102">
        <f>PMT(((F10*0.04+0.01*60000+0.01*30000) / F10)/12, 25*12, -F10)</f>
        <v>4410.964926</v>
      </c>
      <c r="I10" s="102">
        <f>0.0042*F10</f>
        <v>3470.143369</v>
      </c>
      <c r="J10" s="111">
        <f>D2</f>
        <v>1574701.453</v>
      </c>
      <c r="K10" s="102">
        <f>PMT(((J10*0.04+0.01*60000+0.01*30000) / J10)/12, 25*12, -J10*0.9)</f>
        <v>7525.465841</v>
      </c>
      <c r="L10" s="102">
        <f>PMT(((J10*0.04+0.01*60000+0.01*30000) / J10)/12, 25*12, -J10)</f>
        <v>8361.628713</v>
      </c>
      <c r="M10" s="102">
        <f>0.0042*J10</f>
        <v>6613.746104</v>
      </c>
    </row>
    <row r="11">
      <c r="A11" s="1">
        <v>66.0</v>
      </c>
      <c r="B11" s="111">
        <f t="shared" ref="B11:B15" si="1">B10*1.04+0.01*60000+0.01*30000</f>
        <v>430536.7981</v>
      </c>
      <c r="C11" s="102">
        <f>PMT(((B11*0.04+0.01*60000+0.01*30000) / B11)/12, 24*12, -B11*0.89)</f>
        <v>2115.887782</v>
      </c>
      <c r="D11" s="102">
        <f>PMT(((B11*0.04+0.01*60000+0.01*30000) / B11)/12, 24*12, -B11)</f>
        <v>2377.402002</v>
      </c>
      <c r="E11" s="102">
        <f>0.0043*B11</f>
        <v>1851.308232</v>
      </c>
      <c r="F11" s="111">
        <f t="shared" ref="F11:F15" si="2">F10*1.04+0.01*60000+0.01*30000</f>
        <v>860173.5962</v>
      </c>
      <c r="G11" s="102">
        <f>PMT(((F11*0.04+0.01*60000+0.01*30000) / F11)/12, 24*12, -F11*0.89)</f>
        <v>4183.237483</v>
      </c>
      <c r="H11" s="102">
        <f>PMT(((F11*0.04+0.01*60000+0.01*30000) / F11)/12, 24*12, -F11)</f>
        <v>4700.266835</v>
      </c>
      <c r="I11" s="102">
        <f>0.0043*F11</f>
        <v>3698.746464</v>
      </c>
      <c r="J11" s="111">
        <f t="shared" ref="J11:J15" si="3">J10*1.04+0.01*60000+0.01*30000</f>
        <v>1638589.511</v>
      </c>
      <c r="K11" s="102">
        <f>PMT(((J11*0.04+0.01*60000+0.01*30000) / J11)/12, 24*12, -J11*0.89)</f>
        <v>7929.029661</v>
      </c>
      <c r="L11" s="102">
        <f>PMT(((J11*0.04+0.01*60000+0.01*30000) / J11)/12, 24*12, -J11)</f>
        <v>8909.022091</v>
      </c>
      <c r="M11" s="102">
        <f>0.0043*J11</f>
        <v>7045.934899</v>
      </c>
    </row>
    <row r="12">
      <c r="A12" s="1">
        <v>67.0</v>
      </c>
      <c r="B12" s="111">
        <f t="shared" si="1"/>
        <v>448658.27</v>
      </c>
      <c r="C12" s="102">
        <f>PMT(((B12*0.04+0.01*60000+0.01*30000) / B12)/12, 23*12, -B12*0.88)</f>
        <v>2233.432017</v>
      </c>
      <c r="D12" s="102">
        <f>PMT(((B12*0.04+0.01*60000+0.01*30000) / B12)/12, 23*12, -B12)</f>
        <v>2537.990928</v>
      </c>
      <c r="E12" s="102">
        <f>0.0044*B12</f>
        <v>1974.096388</v>
      </c>
      <c r="F12" s="111">
        <f t="shared" si="2"/>
        <v>895480.5401</v>
      </c>
      <c r="G12" s="102">
        <f>PMT(((F12*0.04+0.01*60000+0.01*30000) / F12)/12, 23*12, -F12*0.88)</f>
        <v>4414.615344</v>
      </c>
      <c r="H12" s="102">
        <f>PMT(((F12*0.04+0.01*60000+0.01*30000) / F12)/12, 23*12, -F12)</f>
        <v>5016.608346</v>
      </c>
      <c r="I12" s="102">
        <f>0.0044*F12</f>
        <v>3940.114376</v>
      </c>
      <c r="J12" s="111">
        <f t="shared" si="3"/>
        <v>1705033.092</v>
      </c>
      <c r="K12" s="102">
        <f>PMT(((J12*0.04+0.01*60000+0.01*30000) / J12)/12, 23*12, -J12*0.88)</f>
        <v>8366.637022</v>
      </c>
      <c r="L12" s="102">
        <f>PMT(((J12*0.04+0.01*60000+0.01*30000) / J12)/12, 23*12, -J12)</f>
        <v>9507.54207</v>
      </c>
      <c r="M12" s="102">
        <f>0.0044*J12</f>
        <v>7502.145604</v>
      </c>
    </row>
    <row r="13">
      <c r="A13" s="1">
        <v>68.0</v>
      </c>
      <c r="B13" s="111">
        <f t="shared" si="1"/>
        <v>467504.6008</v>
      </c>
      <c r="C13" s="102">
        <f>PMT(((B13*0.04+0.01*60000+0.01*30000) / B13)/12, 22*12, -B13*0.87)</f>
        <v>2361.359036</v>
      </c>
      <c r="D13" s="102">
        <f>PMT(((B13*0.04+0.01*60000+0.01*30000) / B13)/12, 22*12, -B13)</f>
        <v>2714.205788</v>
      </c>
      <c r="E13" s="102">
        <f>0.0045*B13</f>
        <v>2103.770704</v>
      </c>
      <c r="F13" s="111">
        <f t="shared" si="2"/>
        <v>932199.7617</v>
      </c>
      <c r="G13" s="102">
        <f>PMT(((F13*0.04+0.01*60000+0.01*30000) / F13)/12, 22*12, -F13*0.87)</f>
        <v>4666.408848</v>
      </c>
      <c r="H13" s="102">
        <f>PMT(((F13*0.04+0.01*60000+0.01*30000) / F13)/12, 22*12, -F13)</f>
        <v>5363.688331</v>
      </c>
      <c r="I13" s="102">
        <f>0.0045*F13</f>
        <v>4194.898928</v>
      </c>
      <c r="J13" s="111">
        <f t="shared" si="3"/>
        <v>1774134.416</v>
      </c>
      <c r="K13" s="102">
        <f>PMT(((J13*0.04+0.01*60000+0.01*30000) / J13)/12, 22*12, -J13*0.87)</f>
        <v>8842.83845</v>
      </c>
      <c r="L13" s="102">
        <f>PMT(((J13*0.04+0.01*60000+0.01*30000) / J13)/12, 22*12, -J13)</f>
        <v>10164.18213</v>
      </c>
      <c r="M13" s="102">
        <f>0.0045*J13</f>
        <v>7983.60487</v>
      </c>
    </row>
    <row r="14">
      <c r="A14" s="1">
        <v>69.0</v>
      </c>
      <c r="B14" s="111">
        <f t="shared" si="1"/>
        <v>487104.7849</v>
      </c>
      <c r="C14" s="102">
        <f>PMT(((B14*0.04+0.01*60000+0.01*30000) / B14)/12, 21*12, -B14*0.86)</f>
        <v>2501.125004</v>
      </c>
      <c r="D14" s="102">
        <f>PMT(((B14*0.04+0.01*60000+0.01*30000) / B14)/12, 21*12, -B14)</f>
        <v>2908.284889</v>
      </c>
      <c r="E14" s="102">
        <f>0.0046*B14</f>
        <v>2240.68201</v>
      </c>
      <c r="F14" s="111">
        <f t="shared" si="2"/>
        <v>970387.7521</v>
      </c>
      <c r="G14" s="102">
        <f>PMT(((F14*0.04+0.01*60000+0.01*30000) / F14)/12, 21*12, -F14*0.86)</f>
        <v>4941.482254</v>
      </c>
      <c r="H14" s="102">
        <f>PMT(((F14*0.04+0.01*60000+0.01*30000) / F14)/12, 21*12, -F14)</f>
        <v>5745.909598</v>
      </c>
      <c r="I14" s="102">
        <f>0.0046*F14</f>
        <v>4463.78366</v>
      </c>
      <c r="J14" s="111">
        <f t="shared" si="3"/>
        <v>1845999.792</v>
      </c>
      <c r="K14" s="102">
        <f>PMT(((J14*0.04+0.01*60000+0.01*30000) / J14)/12, 21*12, -J14*0.86)</f>
        <v>9363.049346</v>
      </c>
      <c r="L14" s="102">
        <f>PMT(((J14*0.04+0.01*60000+0.01*30000) / J14)/12, 21*12, -J14)</f>
        <v>10887.26668</v>
      </c>
      <c r="M14" s="102">
        <f>0.0046*J14</f>
        <v>8491.599044</v>
      </c>
    </row>
    <row r="15">
      <c r="A15" s="1">
        <v>70.0</v>
      </c>
      <c r="B15" s="111">
        <f t="shared" si="1"/>
        <v>507488.9763</v>
      </c>
      <c r="C15" s="102">
        <f>PMT(((B15*0.04+0.01*60000+0.01*30000) / B15)/12, 20*12, -B15*0.85)</f>
        <v>2654.476781</v>
      </c>
      <c r="D15" s="102">
        <f>PMT(((B15*0.04+0.01*60000+0.01*30000) / B15)/12, 20*12, -B15)</f>
        <v>3122.91386</v>
      </c>
      <c r="E15" s="102">
        <f>0.0047*B15</f>
        <v>2385.198188</v>
      </c>
      <c r="F15" s="111">
        <f t="shared" si="2"/>
        <v>1010103.262</v>
      </c>
      <c r="G15" s="102">
        <f>PMT(((F15*0.04+0.01*60000+0.01*30000) / F15)/12, 20*12, -F15*0.85)</f>
        <v>5243.271628</v>
      </c>
      <c r="H15" s="102">
        <f>PMT(((F15*0.04+0.01*60000+0.01*30000) / F15)/12, 20*12, -F15)</f>
        <v>6168.554856</v>
      </c>
      <c r="I15" s="102">
        <f>0.0047*F15</f>
        <v>4747.485332</v>
      </c>
      <c r="J15" s="111">
        <f t="shared" si="3"/>
        <v>1920739.784</v>
      </c>
      <c r="K15" s="102">
        <f>PMT(((J15*0.04+0.01*60000+0.01*30000) / J15)/12, 20*12, -J15*0.85)</f>
        <v>9933.766239</v>
      </c>
      <c r="L15" s="102">
        <f>PMT(((J15*0.04+0.01*60000+0.01*30000) / J15)/12, 20*12, -J15)</f>
        <v>11686.78381</v>
      </c>
      <c r="M15" s="102">
        <f>0.0047*J15</f>
        <v>9027.476984</v>
      </c>
    </row>
    <row r="16">
      <c r="B16" s="102"/>
      <c r="C16" s="102"/>
    </row>
    <row r="17">
      <c r="A17" s="3" t="s">
        <v>153</v>
      </c>
      <c r="B17" s="70" t="s">
        <v>108</v>
      </c>
      <c r="H17" s="112" t="s">
        <v>110</v>
      </c>
      <c r="N17" s="113" t="s">
        <v>112</v>
      </c>
    </row>
    <row r="18">
      <c r="A18" s="1" t="s">
        <v>154</v>
      </c>
      <c r="B18" s="89">
        <v>65.0</v>
      </c>
      <c r="C18" s="89">
        <v>66.0</v>
      </c>
      <c r="D18" s="89">
        <v>67.0</v>
      </c>
      <c r="E18" s="89">
        <v>68.0</v>
      </c>
      <c r="F18" s="89">
        <v>69.0</v>
      </c>
      <c r="G18" s="89">
        <v>70.0</v>
      </c>
      <c r="H18" s="89">
        <v>65.0</v>
      </c>
      <c r="I18" s="89">
        <v>66.0</v>
      </c>
      <c r="J18" s="89">
        <v>67.0</v>
      </c>
      <c r="K18" s="89">
        <v>68.0</v>
      </c>
      <c r="L18" s="89">
        <v>69.0</v>
      </c>
      <c r="M18" s="89">
        <v>70.0</v>
      </c>
      <c r="N18" s="89">
        <v>65.0</v>
      </c>
      <c r="O18" s="89">
        <v>66.0</v>
      </c>
      <c r="P18" s="89">
        <v>67.0</v>
      </c>
      <c r="Q18" s="89">
        <v>68.0</v>
      </c>
      <c r="R18" s="89">
        <v>69.0</v>
      </c>
      <c r="S18" s="89">
        <v>70.0</v>
      </c>
    </row>
    <row r="19">
      <c r="A19" s="1">
        <v>65.0</v>
      </c>
      <c r="B19" s="102">
        <f>E10</f>
        <v>1735.071685</v>
      </c>
      <c r="C19" s="114"/>
      <c r="D19" s="114"/>
      <c r="E19" s="115"/>
      <c r="F19" s="115"/>
      <c r="G19" s="115"/>
      <c r="H19" s="102">
        <f>I10</f>
        <v>3470.143369</v>
      </c>
      <c r="I19" s="115"/>
      <c r="J19" s="115"/>
      <c r="K19" s="115"/>
      <c r="L19" s="115"/>
      <c r="M19" s="115"/>
      <c r="N19" s="102">
        <f>M10</f>
        <v>6613.746104</v>
      </c>
      <c r="O19" s="115"/>
      <c r="P19" s="115"/>
      <c r="Q19" s="115"/>
      <c r="R19" s="115"/>
      <c r="S19" s="115"/>
    </row>
    <row r="20">
      <c r="A20" s="103">
        <f t="shared" ref="A20:A54" si="4">A19+1</f>
        <v>66</v>
      </c>
      <c r="B20" s="102">
        <f t="shared" ref="B20:B54" si="5">B19*1.02</f>
        <v>1769.773118</v>
      </c>
      <c r="C20" s="102">
        <f>E11</f>
        <v>1851.308232</v>
      </c>
      <c r="D20" s="114"/>
      <c r="E20" s="115"/>
      <c r="F20" s="115"/>
      <c r="G20" s="115"/>
      <c r="H20" s="102">
        <f t="shared" ref="H20:H24" si="6">H19*1.02</f>
        <v>3539.546237</v>
      </c>
      <c r="I20" s="102">
        <f>I11</f>
        <v>3698.746464</v>
      </c>
      <c r="J20" s="115"/>
      <c r="K20" s="115"/>
      <c r="L20" s="115"/>
      <c r="M20" s="115"/>
      <c r="N20" s="102">
        <f t="shared" ref="N20:N24" si="7">N19*1.02</f>
        <v>6746.021026</v>
      </c>
      <c r="O20" s="102">
        <f>M11</f>
        <v>7045.934899</v>
      </c>
      <c r="P20" s="115"/>
      <c r="Q20" s="115"/>
      <c r="R20" s="115"/>
      <c r="S20" s="115"/>
    </row>
    <row r="21">
      <c r="A21" s="103">
        <f t="shared" si="4"/>
        <v>67</v>
      </c>
      <c r="B21" s="102">
        <f t="shared" si="5"/>
        <v>1805.168581</v>
      </c>
      <c r="C21" s="102">
        <f t="shared" ref="C21:C54" si="8">C20*1.02</f>
        <v>1888.334397</v>
      </c>
      <c r="D21" s="102">
        <f>E12</f>
        <v>1974.096388</v>
      </c>
      <c r="E21" s="115"/>
      <c r="F21" s="115"/>
      <c r="G21" s="115"/>
      <c r="H21" s="102">
        <f t="shared" si="6"/>
        <v>3610.337161</v>
      </c>
      <c r="I21" s="102">
        <f t="shared" ref="I21:I24" si="9">I20*1.02</f>
        <v>3772.721393</v>
      </c>
      <c r="J21" s="102">
        <f>I12</f>
        <v>3940.114376</v>
      </c>
      <c r="K21" s="115"/>
      <c r="L21" s="115"/>
      <c r="M21" s="115"/>
      <c r="N21" s="102">
        <f t="shared" si="7"/>
        <v>6880.941446</v>
      </c>
      <c r="O21" s="102">
        <f t="shared" ref="O21:O24" si="10">O20*1.02</f>
        <v>7186.853597</v>
      </c>
      <c r="P21" s="102">
        <f>M12</f>
        <v>7502.145604</v>
      </c>
      <c r="Q21" s="115"/>
      <c r="R21" s="115"/>
      <c r="S21" s="115"/>
    </row>
    <row r="22">
      <c r="A22" s="103">
        <f t="shared" si="4"/>
        <v>68</v>
      </c>
      <c r="B22" s="102">
        <f t="shared" si="5"/>
        <v>1841.271952</v>
      </c>
      <c r="C22" s="102">
        <f t="shared" si="8"/>
        <v>1926.101084</v>
      </c>
      <c r="D22" s="102">
        <f t="shared" ref="D22:D54" si="11">D21*1.02</f>
        <v>2013.578316</v>
      </c>
      <c r="E22" s="102">
        <f>E13</f>
        <v>2103.770704</v>
      </c>
      <c r="F22" s="115"/>
      <c r="G22" s="115"/>
      <c r="H22" s="102">
        <f t="shared" si="6"/>
        <v>3682.543905</v>
      </c>
      <c r="I22" s="102">
        <f t="shared" si="9"/>
        <v>3848.175821</v>
      </c>
      <c r="J22" s="102">
        <f t="shared" ref="J22:J24" si="12">J21*1.02</f>
        <v>4018.916664</v>
      </c>
      <c r="K22" s="102">
        <f>I13</f>
        <v>4194.898928</v>
      </c>
      <c r="L22" s="115"/>
      <c r="M22" s="115"/>
      <c r="N22" s="102">
        <f t="shared" si="7"/>
        <v>7018.560275</v>
      </c>
      <c r="O22" s="102">
        <f t="shared" si="10"/>
        <v>7330.590669</v>
      </c>
      <c r="P22" s="102">
        <f t="shared" ref="P22:P24" si="13">P21*1.02</f>
        <v>7652.188516</v>
      </c>
      <c r="Q22" s="102">
        <f>M13</f>
        <v>7983.60487</v>
      </c>
      <c r="R22" s="115"/>
      <c r="S22" s="115"/>
    </row>
    <row r="23">
      <c r="A23" s="103">
        <f t="shared" si="4"/>
        <v>69</v>
      </c>
      <c r="B23" s="102">
        <f t="shared" si="5"/>
        <v>1878.097391</v>
      </c>
      <c r="C23" s="102">
        <f t="shared" si="8"/>
        <v>1964.623106</v>
      </c>
      <c r="D23" s="102">
        <f t="shared" si="11"/>
        <v>2053.849882</v>
      </c>
      <c r="E23" s="102">
        <f t="shared" ref="E23:E54" si="14">E22*1.02</f>
        <v>2145.846118</v>
      </c>
      <c r="F23" s="102">
        <f>E14</f>
        <v>2240.68201</v>
      </c>
      <c r="G23" s="115"/>
      <c r="H23" s="102">
        <f t="shared" si="6"/>
        <v>3756.194783</v>
      </c>
      <c r="I23" s="102">
        <f t="shared" si="9"/>
        <v>3925.139337</v>
      </c>
      <c r="J23" s="102">
        <f t="shared" si="12"/>
        <v>4099.294997</v>
      </c>
      <c r="K23" s="102">
        <f t="shared" ref="K23:K24" si="15">K22*1.02</f>
        <v>4278.796906</v>
      </c>
      <c r="L23" s="102">
        <f>I14</f>
        <v>4463.78366</v>
      </c>
      <c r="M23" s="115"/>
      <c r="N23" s="102">
        <f t="shared" si="7"/>
        <v>7158.931481</v>
      </c>
      <c r="O23" s="102">
        <f t="shared" si="10"/>
        <v>7477.202482</v>
      </c>
      <c r="P23" s="102">
        <f t="shared" si="13"/>
        <v>7805.232287</v>
      </c>
      <c r="Q23" s="102">
        <f t="shared" ref="Q23:Q24" si="16">Q22*1.02</f>
        <v>8143.276967</v>
      </c>
      <c r="R23" s="102">
        <f>M14</f>
        <v>8491.599044</v>
      </c>
      <c r="S23" s="115"/>
    </row>
    <row r="24">
      <c r="A24" s="103">
        <f t="shared" si="4"/>
        <v>70</v>
      </c>
      <c r="B24" s="102">
        <f t="shared" si="5"/>
        <v>1915.659339</v>
      </c>
      <c r="C24" s="102">
        <f t="shared" si="8"/>
        <v>2003.915568</v>
      </c>
      <c r="D24" s="102">
        <f t="shared" si="11"/>
        <v>2094.92688</v>
      </c>
      <c r="E24" s="102">
        <f t="shared" si="14"/>
        <v>2188.76304</v>
      </c>
      <c r="F24" s="102">
        <f t="shared" ref="F24:F54" si="17">F23*1.02</f>
        <v>2285.495651</v>
      </c>
      <c r="G24" s="102">
        <f>E15</f>
        <v>2385.198188</v>
      </c>
      <c r="H24" s="102">
        <f t="shared" si="6"/>
        <v>3831.318678</v>
      </c>
      <c r="I24" s="102">
        <f t="shared" si="9"/>
        <v>4003.642124</v>
      </c>
      <c r="J24" s="102">
        <f t="shared" si="12"/>
        <v>4181.280897</v>
      </c>
      <c r="K24" s="102">
        <f t="shared" si="15"/>
        <v>4364.372844</v>
      </c>
      <c r="L24" s="102">
        <f>L23*1.02</f>
        <v>4553.059333</v>
      </c>
      <c r="M24" s="102">
        <f>I15</f>
        <v>4747.485332</v>
      </c>
      <c r="N24" s="102">
        <f t="shared" si="7"/>
        <v>7302.11011</v>
      </c>
      <c r="O24" s="102">
        <f t="shared" si="10"/>
        <v>7626.746532</v>
      </c>
      <c r="P24" s="102">
        <f t="shared" si="13"/>
        <v>7961.336932</v>
      </c>
      <c r="Q24" s="102">
        <f t="shared" si="16"/>
        <v>8306.142507</v>
      </c>
      <c r="R24" s="102">
        <f>R23*1.02</f>
        <v>8661.431025</v>
      </c>
      <c r="S24" s="102">
        <f>M15</f>
        <v>9027.476984</v>
      </c>
    </row>
    <row r="25">
      <c r="A25" s="103">
        <f t="shared" si="4"/>
        <v>71</v>
      </c>
      <c r="B25" s="102">
        <f t="shared" si="5"/>
        <v>1953.972526</v>
      </c>
      <c r="C25" s="102">
        <f t="shared" si="8"/>
        <v>2043.99388</v>
      </c>
      <c r="D25" s="102">
        <f t="shared" si="11"/>
        <v>2136.825417</v>
      </c>
      <c r="E25" s="102">
        <f t="shared" si="14"/>
        <v>2232.538301</v>
      </c>
      <c r="F25" s="102">
        <f t="shared" si="17"/>
        <v>2331.205564</v>
      </c>
      <c r="G25" s="102">
        <f t="shared" ref="G25:S25" si="18">G24*1.02</f>
        <v>2432.902152</v>
      </c>
      <c r="H25" s="102">
        <f t="shared" si="18"/>
        <v>3907.945052</v>
      </c>
      <c r="I25" s="102">
        <f t="shared" si="18"/>
        <v>4083.714967</v>
      </c>
      <c r="J25" s="102">
        <f t="shared" si="18"/>
        <v>4264.906515</v>
      </c>
      <c r="K25" s="102">
        <f t="shared" si="18"/>
        <v>4451.660301</v>
      </c>
      <c r="L25" s="102">
        <f t="shared" si="18"/>
        <v>4644.12052</v>
      </c>
      <c r="M25" s="102">
        <f t="shared" si="18"/>
        <v>4842.435039</v>
      </c>
      <c r="N25" s="102">
        <f t="shared" si="18"/>
        <v>7448.152313</v>
      </c>
      <c r="O25" s="102">
        <f t="shared" si="18"/>
        <v>7779.281463</v>
      </c>
      <c r="P25" s="102">
        <f t="shared" si="18"/>
        <v>8120.563671</v>
      </c>
      <c r="Q25" s="102">
        <f t="shared" si="18"/>
        <v>8472.265357</v>
      </c>
      <c r="R25" s="102">
        <f t="shared" si="18"/>
        <v>8834.659645</v>
      </c>
      <c r="S25" s="102">
        <f t="shared" si="18"/>
        <v>9208.026524</v>
      </c>
    </row>
    <row r="26">
      <c r="A26" s="103">
        <f t="shared" si="4"/>
        <v>72</v>
      </c>
      <c r="B26" s="102">
        <f t="shared" si="5"/>
        <v>1993.051977</v>
      </c>
      <c r="C26" s="102">
        <f t="shared" si="8"/>
        <v>2084.873757</v>
      </c>
      <c r="D26" s="102">
        <f t="shared" si="11"/>
        <v>2179.561926</v>
      </c>
      <c r="E26" s="102">
        <f t="shared" si="14"/>
        <v>2277.189067</v>
      </c>
      <c r="F26" s="102">
        <f t="shared" si="17"/>
        <v>2377.829675</v>
      </c>
      <c r="G26" s="102">
        <f t="shared" ref="G26:S26" si="19">G25*1.02</f>
        <v>2481.560195</v>
      </c>
      <c r="H26" s="102">
        <f t="shared" si="19"/>
        <v>3986.103953</v>
      </c>
      <c r="I26" s="102">
        <f t="shared" si="19"/>
        <v>4165.389266</v>
      </c>
      <c r="J26" s="102">
        <f t="shared" si="19"/>
        <v>4350.204645</v>
      </c>
      <c r="K26" s="102">
        <f t="shared" si="19"/>
        <v>4540.693507</v>
      </c>
      <c r="L26" s="102">
        <f t="shared" si="19"/>
        <v>4737.00293</v>
      </c>
      <c r="M26" s="102">
        <f t="shared" si="19"/>
        <v>4939.28374</v>
      </c>
      <c r="N26" s="102">
        <f t="shared" si="19"/>
        <v>7597.115359</v>
      </c>
      <c r="O26" s="102">
        <f t="shared" si="19"/>
        <v>7934.867092</v>
      </c>
      <c r="P26" s="102">
        <f t="shared" si="19"/>
        <v>8282.974944</v>
      </c>
      <c r="Q26" s="102">
        <f t="shared" si="19"/>
        <v>8641.710664</v>
      </c>
      <c r="R26" s="102">
        <f t="shared" si="19"/>
        <v>9011.352838</v>
      </c>
      <c r="S26" s="102">
        <f t="shared" si="19"/>
        <v>9392.187054</v>
      </c>
    </row>
    <row r="27">
      <c r="A27" s="103">
        <f t="shared" si="4"/>
        <v>73</v>
      </c>
      <c r="B27" s="102">
        <f t="shared" si="5"/>
        <v>2032.913016</v>
      </c>
      <c r="C27" s="102">
        <f t="shared" si="8"/>
        <v>2126.571232</v>
      </c>
      <c r="D27" s="102">
        <f t="shared" si="11"/>
        <v>2223.153164</v>
      </c>
      <c r="E27" s="102">
        <f t="shared" si="14"/>
        <v>2322.732848</v>
      </c>
      <c r="F27" s="102">
        <f t="shared" si="17"/>
        <v>2425.386268</v>
      </c>
      <c r="G27" s="102">
        <f t="shared" ref="G27:S27" si="20">G26*1.02</f>
        <v>2531.191399</v>
      </c>
      <c r="H27" s="102">
        <f t="shared" si="20"/>
        <v>4065.826032</v>
      </c>
      <c r="I27" s="102">
        <f t="shared" si="20"/>
        <v>4248.697051</v>
      </c>
      <c r="J27" s="102">
        <f t="shared" si="20"/>
        <v>4437.208738</v>
      </c>
      <c r="K27" s="102">
        <f t="shared" si="20"/>
        <v>4631.507377</v>
      </c>
      <c r="L27" s="102">
        <f t="shared" si="20"/>
        <v>4831.742989</v>
      </c>
      <c r="M27" s="102">
        <f t="shared" si="20"/>
        <v>5038.069415</v>
      </c>
      <c r="N27" s="102">
        <f t="shared" si="20"/>
        <v>7749.057666</v>
      </c>
      <c r="O27" s="102">
        <f t="shared" si="20"/>
        <v>8093.564434</v>
      </c>
      <c r="P27" s="102">
        <f t="shared" si="20"/>
        <v>8448.634443</v>
      </c>
      <c r="Q27" s="102">
        <f t="shared" si="20"/>
        <v>8814.544877</v>
      </c>
      <c r="R27" s="102">
        <f t="shared" si="20"/>
        <v>9191.579895</v>
      </c>
      <c r="S27" s="102">
        <f t="shared" si="20"/>
        <v>9580.030795</v>
      </c>
    </row>
    <row r="28">
      <c r="A28" s="103">
        <f t="shared" si="4"/>
        <v>74</v>
      </c>
      <c r="B28" s="102">
        <f t="shared" si="5"/>
        <v>2073.571276</v>
      </c>
      <c r="C28" s="102">
        <f t="shared" si="8"/>
        <v>2169.102657</v>
      </c>
      <c r="D28" s="102">
        <f t="shared" si="11"/>
        <v>2267.616228</v>
      </c>
      <c r="E28" s="102">
        <f t="shared" si="14"/>
        <v>2369.187505</v>
      </c>
      <c r="F28" s="102">
        <f t="shared" si="17"/>
        <v>2473.893994</v>
      </c>
      <c r="G28" s="102">
        <f t="shared" ref="G28:S28" si="21">G27*1.02</f>
        <v>2581.815227</v>
      </c>
      <c r="H28" s="102">
        <f t="shared" si="21"/>
        <v>4147.142553</v>
      </c>
      <c r="I28" s="102">
        <f t="shared" si="21"/>
        <v>4333.670992</v>
      </c>
      <c r="J28" s="102">
        <f t="shared" si="21"/>
        <v>4525.952913</v>
      </c>
      <c r="K28" s="102">
        <f t="shared" si="21"/>
        <v>4724.137525</v>
      </c>
      <c r="L28" s="102">
        <f t="shared" si="21"/>
        <v>4928.377848</v>
      </c>
      <c r="M28" s="102">
        <f t="shared" si="21"/>
        <v>5138.830803</v>
      </c>
      <c r="N28" s="102">
        <f t="shared" si="21"/>
        <v>7904.038819</v>
      </c>
      <c r="O28" s="102">
        <f t="shared" si="21"/>
        <v>8255.435722</v>
      </c>
      <c r="P28" s="102">
        <f t="shared" si="21"/>
        <v>8617.607132</v>
      </c>
      <c r="Q28" s="102">
        <f t="shared" si="21"/>
        <v>8990.835775</v>
      </c>
      <c r="R28" s="102">
        <f t="shared" si="21"/>
        <v>9375.411493</v>
      </c>
      <c r="S28" s="102">
        <f t="shared" si="21"/>
        <v>9771.631411</v>
      </c>
    </row>
    <row r="29">
      <c r="A29" s="103">
        <f t="shared" si="4"/>
        <v>75</v>
      </c>
      <c r="B29" s="102">
        <f t="shared" si="5"/>
        <v>2115.042702</v>
      </c>
      <c r="C29" s="102">
        <f t="shared" si="8"/>
        <v>2212.48471</v>
      </c>
      <c r="D29" s="102">
        <f t="shared" si="11"/>
        <v>2312.968552</v>
      </c>
      <c r="E29" s="102">
        <f t="shared" si="14"/>
        <v>2416.571255</v>
      </c>
      <c r="F29" s="102">
        <f t="shared" si="17"/>
        <v>2523.371874</v>
      </c>
      <c r="G29" s="102">
        <f t="shared" ref="G29:S29" si="22">G28*1.02</f>
        <v>2633.451532</v>
      </c>
      <c r="H29" s="102">
        <f t="shared" si="22"/>
        <v>4230.085404</v>
      </c>
      <c r="I29" s="102">
        <f t="shared" si="22"/>
        <v>4420.344412</v>
      </c>
      <c r="J29" s="102">
        <f t="shared" si="22"/>
        <v>4616.471971</v>
      </c>
      <c r="K29" s="102">
        <f t="shared" si="22"/>
        <v>4818.620275</v>
      </c>
      <c r="L29" s="102">
        <f t="shared" si="22"/>
        <v>5026.945405</v>
      </c>
      <c r="M29" s="102">
        <f t="shared" si="22"/>
        <v>5241.607419</v>
      </c>
      <c r="N29" s="102">
        <f t="shared" si="22"/>
        <v>8062.119596</v>
      </c>
      <c r="O29" s="102">
        <f t="shared" si="22"/>
        <v>8420.544437</v>
      </c>
      <c r="P29" s="102">
        <f t="shared" si="22"/>
        <v>8789.959275</v>
      </c>
      <c r="Q29" s="102">
        <f t="shared" si="22"/>
        <v>9170.65249</v>
      </c>
      <c r="R29" s="102">
        <f t="shared" si="22"/>
        <v>9562.919723</v>
      </c>
      <c r="S29" s="102">
        <f t="shared" si="22"/>
        <v>9967.064039</v>
      </c>
    </row>
    <row r="30">
      <c r="A30" s="103">
        <f t="shared" si="4"/>
        <v>76</v>
      </c>
      <c r="B30" s="102">
        <f t="shared" si="5"/>
        <v>2157.343556</v>
      </c>
      <c r="C30" s="102">
        <f t="shared" si="8"/>
        <v>2256.734404</v>
      </c>
      <c r="D30" s="102">
        <f t="shared" si="11"/>
        <v>2359.227923</v>
      </c>
      <c r="E30" s="102">
        <f t="shared" si="14"/>
        <v>2464.902681</v>
      </c>
      <c r="F30" s="102">
        <f t="shared" si="17"/>
        <v>2573.839311</v>
      </c>
      <c r="G30" s="102">
        <f t="shared" ref="G30:S30" si="23">G29*1.02</f>
        <v>2686.120562</v>
      </c>
      <c r="H30" s="102">
        <f t="shared" si="23"/>
        <v>4314.687112</v>
      </c>
      <c r="I30" s="102">
        <f t="shared" si="23"/>
        <v>4508.7513</v>
      </c>
      <c r="J30" s="102">
        <f t="shared" si="23"/>
        <v>4708.801411</v>
      </c>
      <c r="K30" s="102">
        <f t="shared" si="23"/>
        <v>4914.992681</v>
      </c>
      <c r="L30" s="102">
        <f t="shared" si="23"/>
        <v>5127.484314</v>
      </c>
      <c r="M30" s="102">
        <f t="shared" si="23"/>
        <v>5346.439567</v>
      </c>
      <c r="N30" s="102">
        <f t="shared" si="23"/>
        <v>8223.361988</v>
      </c>
      <c r="O30" s="102">
        <f t="shared" si="23"/>
        <v>8588.955326</v>
      </c>
      <c r="P30" s="102">
        <f t="shared" si="23"/>
        <v>8965.75846</v>
      </c>
      <c r="Q30" s="102">
        <f t="shared" si="23"/>
        <v>9354.06554</v>
      </c>
      <c r="R30" s="102">
        <f t="shared" si="23"/>
        <v>9754.178117</v>
      </c>
      <c r="S30" s="102">
        <f t="shared" si="23"/>
        <v>10166.40532</v>
      </c>
    </row>
    <row r="31">
      <c r="A31" s="103">
        <f t="shared" si="4"/>
        <v>77</v>
      </c>
      <c r="B31" s="102">
        <f t="shared" si="5"/>
        <v>2200.490427</v>
      </c>
      <c r="C31" s="102">
        <f t="shared" si="8"/>
        <v>2301.869092</v>
      </c>
      <c r="D31" s="102">
        <f t="shared" si="11"/>
        <v>2406.412482</v>
      </c>
      <c r="E31" s="102">
        <f t="shared" si="14"/>
        <v>2514.200734</v>
      </c>
      <c r="F31" s="102">
        <f t="shared" si="17"/>
        <v>2625.316097</v>
      </c>
      <c r="G31" s="102">
        <f t="shared" ref="G31:S31" si="24">G30*1.02</f>
        <v>2739.842974</v>
      </c>
      <c r="H31" s="102">
        <f t="shared" si="24"/>
        <v>4400.980854</v>
      </c>
      <c r="I31" s="102">
        <f t="shared" si="24"/>
        <v>4598.926326</v>
      </c>
      <c r="J31" s="102">
        <f t="shared" si="24"/>
        <v>4802.977439</v>
      </c>
      <c r="K31" s="102">
        <f t="shared" si="24"/>
        <v>5013.292534</v>
      </c>
      <c r="L31" s="102">
        <f t="shared" si="24"/>
        <v>5230.034</v>
      </c>
      <c r="M31" s="102">
        <f t="shared" si="24"/>
        <v>5453.368359</v>
      </c>
      <c r="N31" s="102">
        <f t="shared" si="24"/>
        <v>8387.829227</v>
      </c>
      <c r="O31" s="102">
        <f t="shared" si="24"/>
        <v>8760.734432</v>
      </c>
      <c r="P31" s="102">
        <f t="shared" si="24"/>
        <v>9145.073629</v>
      </c>
      <c r="Q31" s="102">
        <f t="shared" si="24"/>
        <v>9541.146851</v>
      </c>
      <c r="R31" s="102">
        <f t="shared" si="24"/>
        <v>9949.261679</v>
      </c>
      <c r="S31" s="102">
        <f t="shared" si="24"/>
        <v>10369.73343</v>
      </c>
    </row>
    <row r="32">
      <c r="A32" s="103">
        <f t="shared" si="4"/>
        <v>78</v>
      </c>
      <c r="B32" s="102">
        <f t="shared" si="5"/>
        <v>2244.500236</v>
      </c>
      <c r="C32" s="102">
        <f t="shared" si="8"/>
        <v>2347.906474</v>
      </c>
      <c r="D32" s="102">
        <f t="shared" si="11"/>
        <v>2454.540731</v>
      </c>
      <c r="E32" s="102">
        <f t="shared" si="14"/>
        <v>2564.484749</v>
      </c>
      <c r="F32" s="102">
        <f t="shared" si="17"/>
        <v>2677.822419</v>
      </c>
      <c r="G32" s="102">
        <f t="shared" ref="G32:S32" si="25">G31*1.02</f>
        <v>2794.639833</v>
      </c>
      <c r="H32" s="102">
        <f t="shared" si="25"/>
        <v>4489.000471</v>
      </c>
      <c r="I32" s="102">
        <f t="shared" si="25"/>
        <v>4690.904853</v>
      </c>
      <c r="J32" s="102">
        <f t="shared" si="25"/>
        <v>4899.036988</v>
      </c>
      <c r="K32" s="102">
        <f t="shared" si="25"/>
        <v>5113.558385</v>
      </c>
      <c r="L32" s="102">
        <f t="shared" si="25"/>
        <v>5334.63468</v>
      </c>
      <c r="M32" s="102">
        <f t="shared" si="25"/>
        <v>5562.435726</v>
      </c>
      <c r="N32" s="102">
        <f t="shared" si="25"/>
        <v>8555.585812</v>
      </c>
      <c r="O32" s="102">
        <f t="shared" si="25"/>
        <v>8935.949121</v>
      </c>
      <c r="P32" s="102">
        <f t="shared" si="25"/>
        <v>9327.975102</v>
      </c>
      <c r="Q32" s="102">
        <f t="shared" si="25"/>
        <v>9731.969788</v>
      </c>
      <c r="R32" s="102">
        <f t="shared" si="25"/>
        <v>10148.24691</v>
      </c>
      <c r="S32" s="102">
        <f t="shared" si="25"/>
        <v>10577.1281</v>
      </c>
    </row>
    <row r="33">
      <c r="A33" s="103">
        <f t="shared" si="4"/>
        <v>79</v>
      </c>
      <c r="B33" s="102">
        <f t="shared" si="5"/>
        <v>2289.39024</v>
      </c>
      <c r="C33" s="102">
        <f t="shared" si="8"/>
        <v>2394.864604</v>
      </c>
      <c r="D33" s="102">
        <f t="shared" si="11"/>
        <v>2503.631546</v>
      </c>
      <c r="E33" s="102">
        <f t="shared" si="14"/>
        <v>2615.774444</v>
      </c>
      <c r="F33" s="102">
        <f t="shared" si="17"/>
        <v>2731.378868</v>
      </c>
      <c r="G33" s="102">
        <f t="shared" ref="G33:S33" si="26">G32*1.02</f>
        <v>2850.53263</v>
      </c>
      <c r="H33" s="102">
        <f t="shared" si="26"/>
        <v>4578.780481</v>
      </c>
      <c r="I33" s="102">
        <f t="shared" si="26"/>
        <v>4784.72295</v>
      </c>
      <c r="J33" s="102">
        <f t="shared" si="26"/>
        <v>4997.017727</v>
      </c>
      <c r="K33" s="102">
        <f t="shared" si="26"/>
        <v>5215.829553</v>
      </c>
      <c r="L33" s="102">
        <f t="shared" si="26"/>
        <v>5441.327373</v>
      </c>
      <c r="M33" s="102">
        <f t="shared" si="26"/>
        <v>5673.68444</v>
      </c>
      <c r="N33" s="102">
        <f t="shared" si="26"/>
        <v>8726.697528</v>
      </c>
      <c r="O33" s="102">
        <f t="shared" si="26"/>
        <v>9114.668103</v>
      </c>
      <c r="P33" s="102">
        <f t="shared" si="26"/>
        <v>9514.534604</v>
      </c>
      <c r="Q33" s="102">
        <f t="shared" si="26"/>
        <v>9926.609184</v>
      </c>
      <c r="R33" s="102">
        <f t="shared" si="26"/>
        <v>10351.21185</v>
      </c>
      <c r="S33" s="102">
        <f t="shared" si="26"/>
        <v>10788.67066</v>
      </c>
    </row>
    <row r="34">
      <c r="A34" s="103">
        <f t="shared" si="4"/>
        <v>80</v>
      </c>
      <c r="B34" s="102">
        <f t="shared" si="5"/>
        <v>2335.178045</v>
      </c>
      <c r="C34" s="102">
        <f t="shared" si="8"/>
        <v>2442.761896</v>
      </c>
      <c r="D34" s="102">
        <f t="shared" si="11"/>
        <v>2553.704177</v>
      </c>
      <c r="E34" s="102">
        <f t="shared" si="14"/>
        <v>2668.089933</v>
      </c>
      <c r="F34" s="102">
        <f t="shared" si="17"/>
        <v>2786.006445</v>
      </c>
      <c r="G34" s="102">
        <f t="shared" ref="G34:S34" si="27">G33*1.02</f>
        <v>2907.543282</v>
      </c>
      <c r="H34" s="102">
        <f t="shared" si="27"/>
        <v>4670.35609</v>
      </c>
      <c r="I34" s="102">
        <f t="shared" si="27"/>
        <v>4880.417409</v>
      </c>
      <c r="J34" s="102">
        <f t="shared" si="27"/>
        <v>5096.958082</v>
      </c>
      <c r="K34" s="102">
        <f t="shared" si="27"/>
        <v>5320.146144</v>
      </c>
      <c r="L34" s="102">
        <f t="shared" si="27"/>
        <v>5550.153921</v>
      </c>
      <c r="M34" s="102">
        <f t="shared" si="27"/>
        <v>5787.158129</v>
      </c>
      <c r="N34" s="102">
        <f t="shared" si="27"/>
        <v>8901.231479</v>
      </c>
      <c r="O34" s="102">
        <f t="shared" si="27"/>
        <v>9296.961465</v>
      </c>
      <c r="P34" s="102">
        <f t="shared" si="27"/>
        <v>9704.825296</v>
      </c>
      <c r="Q34" s="102">
        <f t="shared" si="27"/>
        <v>10125.14137</v>
      </c>
      <c r="R34" s="102">
        <f t="shared" si="27"/>
        <v>10558.23609</v>
      </c>
      <c r="S34" s="102">
        <f t="shared" si="27"/>
        <v>11004.44407</v>
      </c>
    </row>
    <row r="35">
      <c r="A35" s="103">
        <f t="shared" si="4"/>
        <v>81</v>
      </c>
      <c r="B35" s="102">
        <f t="shared" si="5"/>
        <v>2381.881606</v>
      </c>
      <c r="C35" s="102">
        <f t="shared" si="8"/>
        <v>2491.617134</v>
      </c>
      <c r="D35" s="102">
        <f t="shared" si="11"/>
        <v>2604.77826</v>
      </c>
      <c r="E35" s="102">
        <f t="shared" si="14"/>
        <v>2721.451731</v>
      </c>
      <c r="F35" s="102">
        <f t="shared" si="17"/>
        <v>2841.726574</v>
      </c>
      <c r="G35" s="102">
        <f t="shared" ref="G35:S35" si="28">G34*1.02</f>
        <v>2965.694148</v>
      </c>
      <c r="H35" s="102">
        <f t="shared" si="28"/>
        <v>4763.763212</v>
      </c>
      <c r="I35" s="102">
        <f t="shared" si="28"/>
        <v>4978.025757</v>
      </c>
      <c r="J35" s="102">
        <f t="shared" si="28"/>
        <v>5198.897244</v>
      </c>
      <c r="K35" s="102">
        <f t="shared" si="28"/>
        <v>5426.549067</v>
      </c>
      <c r="L35" s="102">
        <f t="shared" si="28"/>
        <v>5661.156999</v>
      </c>
      <c r="M35" s="102">
        <f t="shared" si="28"/>
        <v>5902.901292</v>
      </c>
      <c r="N35" s="102">
        <f t="shared" si="28"/>
        <v>9079.256108</v>
      </c>
      <c r="O35" s="102">
        <f t="shared" si="28"/>
        <v>9482.900694</v>
      </c>
      <c r="P35" s="102">
        <f t="shared" si="28"/>
        <v>9898.921802</v>
      </c>
      <c r="Q35" s="102">
        <f t="shared" si="28"/>
        <v>10327.64419</v>
      </c>
      <c r="R35" s="102">
        <f t="shared" si="28"/>
        <v>10769.40081</v>
      </c>
      <c r="S35" s="102">
        <f t="shared" si="28"/>
        <v>11224.53295</v>
      </c>
    </row>
    <row r="36">
      <c r="A36" s="103">
        <f t="shared" si="4"/>
        <v>82</v>
      </c>
      <c r="B36" s="102">
        <f t="shared" si="5"/>
        <v>2429.519238</v>
      </c>
      <c r="C36" s="102">
        <f t="shared" si="8"/>
        <v>2541.449476</v>
      </c>
      <c r="D36" s="102">
        <f t="shared" si="11"/>
        <v>2656.873826</v>
      </c>
      <c r="E36" s="102">
        <f t="shared" si="14"/>
        <v>2775.880766</v>
      </c>
      <c r="F36" s="102">
        <f t="shared" si="17"/>
        <v>2898.561105</v>
      </c>
      <c r="G36" s="102">
        <f t="shared" ref="G36:S36" si="29">G35*1.02</f>
        <v>3025.008031</v>
      </c>
      <c r="H36" s="102">
        <f t="shared" si="29"/>
        <v>4859.038476</v>
      </c>
      <c r="I36" s="102">
        <f t="shared" si="29"/>
        <v>5077.586272</v>
      </c>
      <c r="J36" s="102">
        <f t="shared" si="29"/>
        <v>5302.875188</v>
      </c>
      <c r="K36" s="102">
        <f t="shared" si="29"/>
        <v>5535.080048</v>
      </c>
      <c r="L36" s="102">
        <f t="shared" si="29"/>
        <v>5774.380139</v>
      </c>
      <c r="M36" s="102">
        <f t="shared" si="29"/>
        <v>6020.959318</v>
      </c>
      <c r="N36" s="102">
        <f t="shared" si="29"/>
        <v>9260.84123</v>
      </c>
      <c r="O36" s="102">
        <f t="shared" si="29"/>
        <v>9672.558708</v>
      </c>
      <c r="P36" s="102">
        <f t="shared" si="29"/>
        <v>10096.90024</v>
      </c>
      <c r="Q36" s="102">
        <f t="shared" si="29"/>
        <v>10534.19708</v>
      </c>
      <c r="R36" s="102">
        <f t="shared" si="29"/>
        <v>10984.78883</v>
      </c>
      <c r="S36" s="102">
        <f t="shared" si="29"/>
        <v>11449.02361</v>
      </c>
    </row>
    <row r="37">
      <c r="A37" s="103">
        <f t="shared" si="4"/>
        <v>83</v>
      </c>
      <c r="B37" s="102">
        <f t="shared" si="5"/>
        <v>2478.109623</v>
      </c>
      <c r="C37" s="102">
        <f t="shared" si="8"/>
        <v>2592.278466</v>
      </c>
      <c r="D37" s="102">
        <f t="shared" si="11"/>
        <v>2710.011302</v>
      </c>
      <c r="E37" s="102">
        <f t="shared" si="14"/>
        <v>2831.398381</v>
      </c>
      <c r="F37" s="102">
        <f t="shared" si="17"/>
        <v>2956.532327</v>
      </c>
      <c r="G37" s="102">
        <f t="shared" ref="G37:S37" si="30">G36*1.02</f>
        <v>3085.508192</v>
      </c>
      <c r="H37" s="102">
        <f t="shared" si="30"/>
        <v>4956.219246</v>
      </c>
      <c r="I37" s="102">
        <f t="shared" si="30"/>
        <v>5179.137998</v>
      </c>
      <c r="J37" s="102">
        <f t="shared" si="30"/>
        <v>5408.932692</v>
      </c>
      <c r="K37" s="102">
        <f t="shared" si="30"/>
        <v>5645.781649</v>
      </c>
      <c r="L37" s="102">
        <f t="shared" si="30"/>
        <v>5889.867742</v>
      </c>
      <c r="M37" s="102">
        <f t="shared" si="30"/>
        <v>6141.378504</v>
      </c>
      <c r="N37" s="102">
        <f t="shared" si="30"/>
        <v>9446.058055</v>
      </c>
      <c r="O37" s="102">
        <f t="shared" si="30"/>
        <v>9866.009883</v>
      </c>
      <c r="P37" s="102">
        <f t="shared" si="30"/>
        <v>10298.83824</v>
      </c>
      <c r="Q37" s="102">
        <f t="shared" si="30"/>
        <v>10744.88102</v>
      </c>
      <c r="R37" s="102">
        <f t="shared" si="30"/>
        <v>11204.4846</v>
      </c>
      <c r="S37" s="102">
        <f t="shared" si="30"/>
        <v>11678.00408</v>
      </c>
    </row>
    <row r="38">
      <c r="A38" s="103">
        <f t="shared" si="4"/>
        <v>84</v>
      </c>
      <c r="B38" s="102">
        <f t="shared" si="5"/>
        <v>2527.671815</v>
      </c>
      <c r="C38" s="102">
        <f t="shared" si="8"/>
        <v>2644.124035</v>
      </c>
      <c r="D38" s="102">
        <f t="shared" si="11"/>
        <v>2764.211528</v>
      </c>
      <c r="E38" s="102">
        <f t="shared" si="14"/>
        <v>2888.026349</v>
      </c>
      <c r="F38" s="102">
        <f t="shared" si="17"/>
        <v>3015.662974</v>
      </c>
      <c r="G38" s="102">
        <f t="shared" ref="G38:S38" si="31">G37*1.02</f>
        <v>3147.218355</v>
      </c>
      <c r="H38" s="102">
        <f t="shared" si="31"/>
        <v>5055.343631</v>
      </c>
      <c r="I38" s="102">
        <f t="shared" si="31"/>
        <v>5282.720758</v>
      </c>
      <c r="J38" s="102">
        <f t="shared" si="31"/>
        <v>5517.111346</v>
      </c>
      <c r="K38" s="102">
        <f t="shared" si="31"/>
        <v>5758.697282</v>
      </c>
      <c r="L38" s="102">
        <f t="shared" si="31"/>
        <v>6007.665097</v>
      </c>
      <c r="M38" s="102">
        <f t="shared" si="31"/>
        <v>6264.206074</v>
      </c>
      <c r="N38" s="102">
        <f t="shared" si="31"/>
        <v>9634.979216</v>
      </c>
      <c r="O38" s="102">
        <f t="shared" si="31"/>
        <v>10063.33008</v>
      </c>
      <c r="P38" s="102">
        <f t="shared" si="31"/>
        <v>10504.81501</v>
      </c>
      <c r="Q38" s="102">
        <f t="shared" si="31"/>
        <v>10959.77864</v>
      </c>
      <c r="R38" s="102">
        <f t="shared" si="31"/>
        <v>11428.57429</v>
      </c>
      <c r="S38" s="102">
        <f t="shared" si="31"/>
        <v>11911.56416</v>
      </c>
    </row>
    <row r="39">
      <c r="A39" s="103">
        <f t="shared" si="4"/>
        <v>85</v>
      </c>
      <c r="B39" s="102">
        <f t="shared" si="5"/>
        <v>2578.225252</v>
      </c>
      <c r="C39" s="102">
        <f t="shared" si="8"/>
        <v>2697.006516</v>
      </c>
      <c r="D39" s="102">
        <f t="shared" si="11"/>
        <v>2819.495759</v>
      </c>
      <c r="E39" s="102">
        <f t="shared" si="14"/>
        <v>2945.786876</v>
      </c>
      <c r="F39" s="102">
        <f t="shared" si="17"/>
        <v>3075.976234</v>
      </c>
      <c r="G39" s="102">
        <f t="shared" ref="G39:S39" si="32">G38*1.02</f>
        <v>3210.162722</v>
      </c>
      <c r="H39" s="102">
        <f t="shared" si="32"/>
        <v>5156.450503</v>
      </c>
      <c r="I39" s="102">
        <f t="shared" si="32"/>
        <v>5388.375173</v>
      </c>
      <c r="J39" s="102">
        <f t="shared" si="32"/>
        <v>5627.453573</v>
      </c>
      <c r="K39" s="102">
        <f t="shared" si="32"/>
        <v>5873.871228</v>
      </c>
      <c r="L39" s="102">
        <f t="shared" si="32"/>
        <v>6127.818399</v>
      </c>
      <c r="M39" s="102">
        <f t="shared" si="32"/>
        <v>6389.490196</v>
      </c>
      <c r="N39" s="102">
        <f t="shared" si="32"/>
        <v>9827.6788</v>
      </c>
      <c r="O39" s="102">
        <f t="shared" si="32"/>
        <v>10264.59668</v>
      </c>
      <c r="P39" s="102">
        <f t="shared" si="32"/>
        <v>10714.91131</v>
      </c>
      <c r="Q39" s="102">
        <f t="shared" si="32"/>
        <v>11178.97421</v>
      </c>
      <c r="R39" s="102">
        <f t="shared" si="32"/>
        <v>11657.14578</v>
      </c>
      <c r="S39" s="102">
        <f t="shared" si="32"/>
        <v>12149.79545</v>
      </c>
    </row>
    <row r="40">
      <c r="A40" s="103">
        <f t="shared" si="4"/>
        <v>86</v>
      </c>
      <c r="B40" s="102">
        <f t="shared" si="5"/>
        <v>2629.789757</v>
      </c>
      <c r="C40" s="102">
        <f t="shared" si="8"/>
        <v>2750.946646</v>
      </c>
      <c r="D40" s="102">
        <f t="shared" si="11"/>
        <v>2875.885674</v>
      </c>
      <c r="E40" s="102">
        <f t="shared" si="14"/>
        <v>3004.702613</v>
      </c>
      <c r="F40" s="102">
        <f t="shared" si="17"/>
        <v>3137.495758</v>
      </c>
      <c r="G40" s="102">
        <f t="shared" ref="G40:S40" si="33">G39*1.02</f>
        <v>3274.365977</v>
      </c>
      <c r="H40" s="102">
        <f t="shared" si="33"/>
        <v>5259.579513</v>
      </c>
      <c r="I40" s="102">
        <f t="shared" si="33"/>
        <v>5496.142676</v>
      </c>
      <c r="J40" s="102">
        <f t="shared" si="33"/>
        <v>5740.002644</v>
      </c>
      <c r="K40" s="102">
        <f t="shared" si="33"/>
        <v>5991.348652</v>
      </c>
      <c r="L40" s="102">
        <f t="shared" si="33"/>
        <v>6250.374767</v>
      </c>
      <c r="M40" s="102">
        <f t="shared" si="33"/>
        <v>6517.28</v>
      </c>
      <c r="N40" s="102">
        <f t="shared" si="33"/>
        <v>10024.23238</v>
      </c>
      <c r="O40" s="102">
        <f t="shared" si="33"/>
        <v>10469.88862</v>
      </c>
      <c r="P40" s="102">
        <f t="shared" si="33"/>
        <v>10929.20953</v>
      </c>
      <c r="Q40" s="102">
        <f t="shared" si="33"/>
        <v>11402.5537</v>
      </c>
      <c r="R40" s="102">
        <f t="shared" si="33"/>
        <v>11890.2887</v>
      </c>
      <c r="S40" s="102">
        <f t="shared" si="33"/>
        <v>12392.79136</v>
      </c>
    </row>
    <row r="41">
      <c r="A41" s="103">
        <f t="shared" si="4"/>
        <v>87</v>
      </c>
      <c r="B41" s="102">
        <f t="shared" si="5"/>
        <v>2682.385552</v>
      </c>
      <c r="C41" s="102">
        <f t="shared" si="8"/>
        <v>2805.965579</v>
      </c>
      <c r="D41" s="102">
        <f t="shared" si="11"/>
        <v>2933.403387</v>
      </c>
      <c r="E41" s="102">
        <f t="shared" si="14"/>
        <v>3064.796666</v>
      </c>
      <c r="F41" s="102">
        <f t="shared" si="17"/>
        <v>3200.245673</v>
      </c>
      <c r="G41" s="102">
        <f t="shared" ref="G41:S41" si="34">G40*1.02</f>
        <v>3339.853296</v>
      </c>
      <c r="H41" s="102">
        <f t="shared" si="34"/>
        <v>5364.771104</v>
      </c>
      <c r="I41" s="102">
        <f t="shared" si="34"/>
        <v>5606.06553</v>
      </c>
      <c r="J41" s="102">
        <f t="shared" si="34"/>
        <v>5854.802697</v>
      </c>
      <c r="K41" s="102">
        <f t="shared" si="34"/>
        <v>6111.175625</v>
      </c>
      <c r="L41" s="102">
        <f t="shared" si="34"/>
        <v>6375.382262</v>
      </c>
      <c r="M41" s="102">
        <f t="shared" si="34"/>
        <v>6647.625599</v>
      </c>
      <c r="N41" s="102">
        <f t="shared" si="34"/>
        <v>10224.71702</v>
      </c>
      <c r="O41" s="102">
        <f t="shared" si="34"/>
        <v>10679.28639</v>
      </c>
      <c r="P41" s="102">
        <f t="shared" si="34"/>
        <v>11147.79372</v>
      </c>
      <c r="Q41" s="102">
        <f t="shared" si="34"/>
        <v>11630.60477</v>
      </c>
      <c r="R41" s="102">
        <f t="shared" si="34"/>
        <v>12128.09447</v>
      </c>
      <c r="S41" s="102">
        <f t="shared" si="34"/>
        <v>12640.64718</v>
      </c>
    </row>
    <row r="42">
      <c r="A42" s="103">
        <f t="shared" si="4"/>
        <v>88</v>
      </c>
      <c r="B42" s="102">
        <f t="shared" si="5"/>
        <v>2736.033263</v>
      </c>
      <c r="C42" s="102">
        <f t="shared" si="8"/>
        <v>2862.084891</v>
      </c>
      <c r="D42" s="102">
        <f t="shared" si="11"/>
        <v>2992.071455</v>
      </c>
      <c r="E42" s="102">
        <f t="shared" si="14"/>
        <v>3126.092599</v>
      </c>
      <c r="F42" s="102">
        <f t="shared" si="17"/>
        <v>3264.250587</v>
      </c>
      <c r="G42" s="102">
        <f t="shared" ref="G42:S42" si="35">G41*1.02</f>
        <v>3406.650362</v>
      </c>
      <c r="H42" s="102">
        <f t="shared" si="35"/>
        <v>5472.066526</v>
      </c>
      <c r="I42" s="102">
        <f t="shared" si="35"/>
        <v>5718.18684</v>
      </c>
      <c r="J42" s="102">
        <f t="shared" si="35"/>
        <v>5971.898751</v>
      </c>
      <c r="K42" s="102">
        <f t="shared" si="35"/>
        <v>6233.399138</v>
      </c>
      <c r="L42" s="102">
        <f t="shared" si="35"/>
        <v>6502.889907</v>
      </c>
      <c r="M42" s="102">
        <f t="shared" si="35"/>
        <v>6780.578111</v>
      </c>
      <c r="N42" s="102">
        <f t="shared" si="35"/>
        <v>10429.21136</v>
      </c>
      <c r="O42" s="102">
        <f t="shared" si="35"/>
        <v>10892.87212</v>
      </c>
      <c r="P42" s="102">
        <f t="shared" si="35"/>
        <v>11370.7496</v>
      </c>
      <c r="Q42" s="102">
        <f t="shared" si="35"/>
        <v>11863.21687</v>
      </c>
      <c r="R42" s="102">
        <f t="shared" si="35"/>
        <v>12370.65636</v>
      </c>
      <c r="S42" s="102">
        <f t="shared" si="35"/>
        <v>12893.46013</v>
      </c>
    </row>
    <row r="43">
      <c r="A43" s="103">
        <f t="shared" si="4"/>
        <v>89</v>
      </c>
      <c r="B43" s="102">
        <f t="shared" si="5"/>
        <v>2790.753928</v>
      </c>
      <c r="C43" s="102">
        <f t="shared" si="8"/>
        <v>2919.326589</v>
      </c>
      <c r="D43" s="102">
        <f t="shared" si="11"/>
        <v>3051.912884</v>
      </c>
      <c r="E43" s="102">
        <f t="shared" si="14"/>
        <v>3188.614451</v>
      </c>
      <c r="F43" s="102">
        <f t="shared" si="17"/>
        <v>3329.535599</v>
      </c>
      <c r="G43" s="102">
        <f t="shared" ref="G43:S43" si="36">G42*1.02</f>
        <v>3474.78337</v>
      </c>
      <c r="H43" s="102">
        <f t="shared" si="36"/>
        <v>5581.507856</v>
      </c>
      <c r="I43" s="102">
        <f t="shared" si="36"/>
        <v>5832.550577</v>
      </c>
      <c r="J43" s="102">
        <f t="shared" si="36"/>
        <v>6091.336726</v>
      </c>
      <c r="K43" s="102">
        <f t="shared" si="36"/>
        <v>6358.06712</v>
      </c>
      <c r="L43" s="102">
        <f t="shared" si="36"/>
        <v>6632.947706</v>
      </c>
      <c r="M43" s="102">
        <f t="shared" si="36"/>
        <v>6916.189674</v>
      </c>
      <c r="N43" s="102">
        <f t="shared" si="36"/>
        <v>10637.79559</v>
      </c>
      <c r="O43" s="102">
        <f t="shared" si="36"/>
        <v>11110.72956</v>
      </c>
      <c r="P43" s="102">
        <f t="shared" si="36"/>
        <v>11598.16459</v>
      </c>
      <c r="Q43" s="102">
        <f t="shared" si="36"/>
        <v>12100.4812</v>
      </c>
      <c r="R43" s="102">
        <f t="shared" si="36"/>
        <v>12618.06949</v>
      </c>
      <c r="S43" s="102">
        <f t="shared" si="36"/>
        <v>13151.32933</v>
      </c>
    </row>
    <row r="44">
      <c r="A44" s="103">
        <f t="shared" si="4"/>
        <v>90</v>
      </c>
      <c r="B44" s="102">
        <f t="shared" si="5"/>
        <v>2846.569007</v>
      </c>
      <c r="C44" s="102">
        <f t="shared" si="8"/>
        <v>2977.71312</v>
      </c>
      <c r="D44" s="102">
        <f t="shared" si="11"/>
        <v>3112.951142</v>
      </c>
      <c r="E44" s="102">
        <f t="shared" si="14"/>
        <v>3252.38674</v>
      </c>
      <c r="F44" s="102">
        <f t="shared" si="17"/>
        <v>3396.126311</v>
      </c>
      <c r="G44" s="102">
        <f t="shared" ref="G44:S44" si="37">G43*1.02</f>
        <v>3544.279037</v>
      </c>
      <c r="H44" s="102">
        <f t="shared" si="37"/>
        <v>5693.138013</v>
      </c>
      <c r="I44" s="102">
        <f t="shared" si="37"/>
        <v>5949.201589</v>
      </c>
      <c r="J44" s="102">
        <f t="shared" si="37"/>
        <v>6213.163461</v>
      </c>
      <c r="K44" s="102">
        <f t="shared" si="37"/>
        <v>6485.228463</v>
      </c>
      <c r="L44" s="102">
        <f t="shared" si="37"/>
        <v>6765.60666</v>
      </c>
      <c r="M44" s="102">
        <f t="shared" si="37"/>
        <v>7054.513467</v>
      </c>
      <c r="N44" s="102">
        <f t="shared" si="37"/>
        <v>10850.5515</v>
      </c>
      <c r="O44" s="102">
        <f t="shared" si="37"/>
        <v>11332.94415</v>
      </c>
      <c r="P44" s="102">
        <f t="shared" si="37"/>
        <v>11830.12788</v>
      </c>
      <c r="Q44" s="102">
        <f t="shared" si="37"/>
        <v>12342.49083</v>
      </c>
      <c r="R44" s="102">
        <f t="shared" si="37"/>
        <v>12870.43088</v>
      </c>
      <c r="S44" s="102">
        <f t="shared" si="37"/>
        <v>13414.35592</v>
      </c>
    </row>
    <row r="45">
      <c r="A45" s="103">
        <f t="shared" si="4"/>
        <v>91</v>
      </c>
      <c r="B45" s="102">
        <f t="shared" si="5"/>
        <v>2903.500387</v>
      </c>
      <c r="C45" s="102">
        <f t="shared" si="8"/>
        <v>3037.267383</v>
      </c>
      <c r="D45" s="102">
        <f t="shared" si="11"/>
        <v>3175.210165</v>
      </c>
      <c r="E45" s="102">
        <f t="shared" si="14"/>
        <v>3317.434475</v>
      </c>
      <c r="F45" s="102">
        <f t="shared" si="17"/>
        <v>3464.048837</v>
      </c>
      <c r="G45" s="102">
        <f t="shared" ref="G45:S45" si="38">G44*1.02</f>
        <v>3615.164618</v>
      </c>
      <c r="H45" s="102">
        <f t="shared" si="38"/>
        <v>5807.000774</v>
      </c>
      <c r="I45" s="102">
        <f t="shared" si="38"/>
        <v>6068.18562</v>
      </c>
      <c r="J45" s="102">
        <f t="shared" si="38"/>
        <v>6337.42673</v>
      </c>
      <c r="K45" s="102">
        <f t="shared" si="38"/>
        <v>6614.933032</v>
      </c>
      <c r="L45" s="102">
        <f t="shared" si="38"/>
        <v>6900.918793</v>
      </c>
      <c r="M45" s="102">
        <f t="shared" si="38"/>
        <v>7195.603737</v>
      </c>
      <c r="N45" s="102">
        <f t="shared" si="38"/>
        <v>11067.56253</v>
      </c>
      <c r="O45" s="102">
        <f t="shared" si="38"/>
        <v>11559.60303</v>
      </c>
      <c r="P45" s="102">
        <f t="shared" si="38"/>
        <v>12066.73044</v>
      </c>
      <c r="Q45" s="102">
        <f t="shared" si="38"/>
        <v>12589.34064</v>
      </c>
      <c r="R45" s="102">
        <f t="shared" si="38"/>
        <v>13127.83949</v>
      </c>
      <c r="S45" s="102">
        <f t="shared" si="38"/>
        <v>13682.64304</v>
      </c>
    </row>
    <row r="46">
      <c r="A46" s="103">
        <f t="shared" si="4"/>
        <v>92</v>
      </c>
      <c r="B46" s="102">
        <f t="shared" si="5"/>
        <v>2961.570395</v>
      </c>
      <c r="C46" s="102">
        <f t="shared" si="8"/>
        <v>3098.01273</v>
      </c>
      <c r="D46" s="102">
        <f t="shared" si="11"/>
        <v>3238.714368</v>
      </c>
      <c r="E46" s="102">
        <f t="shared" si="14"/>
        <v>3383.783164</v>
      </c>
      <c r="F46" s="102">
        <f t="shared" si="17"/>
        <v>3533.329813</v>
      </c>
      <c r="G46" s="102">
        <f t="shared" ref="G46:S46" si="39">G45*1.02</f>
        <v>3687.46791</v>
      </c>
      <c r="H46" s="102">
        <f t="shared" si="39"/>
        <v>5923.140789</v>
      </c>
      <c r="I46" s="102">
        <f t="shared" si="39"/>
        <v>6189.549333</v>
      </c>
      <c r="J46" s="102">
        <f t="shared" si="39"/>
        <v>6464.175265</v>
      </c>
      <c r="K46" s="102">
        <f t="shared" si="39"/>
        <v>6747.231693</v>
      </c>
      <c r="L46" s="102">
        <f t="shared" si="39"/>
        <v>7038.937169</v>
      </c>
      <c r="M46" s="102">
        <f t="shared" si="39"/>
        <v>7339.515811</v>
      </c>
      <c r="N46" s="102">
        <f t="shared" si="39"/>
        <v>11288.91378</v>
      </c>
      <c r="O46" s="102">
        <f t="shared" si="39"/>
        <v>11790.79509</v>
      </c>
      <c r="P46" s="102">
        <f t="shared" si="39"/>
        <v>12308.06505</v>
      </c>
      <c r="Q46" s="102">
        <f t="shared" si="39"/>
        <v>12841.12746</v>
      </c>
      <c r="R46" s="102">
        <f t="shared" si="39"/>
        <v>13390.39628</v>
      </c>
      <c r="S46" s="102">
        <f t="shared" si="39"/>
        <v>13956.2959</v>
      </c>
    </row>
    <row r="47">
      <c r="A47" s="103">
        <f t="shared" si="4"/>
        <v>93</v>
      </c>
      <c r="B47" s="102">
        <f t="shared" si="5"/>
        <v>3020.801802</v>
      </c>
      <c r="C47" s="102">
        <f t="shared" si="8"/>
        <v>3159.972985</v>
      </c>
      <c r="D47" s="102">
        <f t="shared" si="11"/>
        <v>3303.488655</v>
      </c>
      <c r="E47" s="102">
        <f t="shared" si="14"/>
        <v>3451.458828</v>
      </c>
      <c r="F47" s="102">
        <f t="shared" si="17"/>
        <v>3603.99641</v>
      </c>
      <c r="G47" s="102">
        <f t="shared" ref="G47:S47" si="40">G46*1.02</f>
        <v>3761.217268</v>
      </c>
      <c r="H47" s="102">
        <f t="shared" si="40"/>
        <v>6041.603605</v>
      </c>
      <c r="I47" s="102">
        <f t="shared" si="40"/>
        <v>6313.340319</v>
      </c>
      <c r="J47" s="102">
        <f t="shared" si="40"/>
        <v>6593.45877</v>
      </c>
      <c r="K47" s="102">
        <f t="shared" si="40"/>
        <v>6882.176327</v>
      </c>
      <c r="L47" s="102">
        <f t="shared" si="40"/>
        <v>7179.715912</v>
      </c>
      <c r="M47" s="102">
        <f t="shared" si="40"/>
        <v>7486.306127</v>
      </c>
      <c r="N47" s="102">
        <f t="shared" si="40"/>
        <v>11514.69206</v>
      </c>
      <c r="O47" s="102">
        <f t="shared" si="40"/>
        <v>12026.61099</v>
      </c>
      <c r="P47" s="102">
        <f t="shared" si="40"/>
        <v>12554.22635</v>
      </c>
      <c r="Q47" s="102">
        <f t="shared" si="40"/>
        <v>13097.95001</v>
      </c>
      <c r="R47" s="102">
        <f t="shared" si="40"/>
        <v>13658.20421</v>
      </c>
      <c r="S47" s="102">
        <f t="shared" si="40"/>
        <v>14235.42181</v>
      </c>
    </row>
    <row r="48">
      <c r="A48" s="103">
        <f t="shared" si="4"/>
        <v>94</v>
      </c>
      <c r="B48" s="102">
        <f t="shared" si="5"/>
        <v>3081.217839</v>
      </c>
      <c r="C48" s="102">
        <f t="shared" si="8"/>
        <v>3223.172445</v>
      </c>
      <c r="D48" s="102">
        <f t="shared" si="11"/>
        <v>3369.558429</v>
      </c>
      <c r="E48" s="102">
        <f t="shared" si="14"/>
        <v>3520.488004</v>
      </c>
      <c r="F48" s="102">
        <f t="shared" si="17"/>
        <v>3676.076338</v>
      </c>
      <c r="G48" s="102">
        <f t="shared" ref="G48:S48" si="41">G47*1.02</f>
        <v>3836.441614</v>
      </c>
      <c r="H48" s="102">
        <f t="shared" si="41"/>
        <v>6162.435677</v>
      </c>
      <c r="I48" s="102">
        <f t="shared" si="41"/>
        <v>6439.607126</v>
      </c>
      <c r="J48" s="102">
        <f t="shared" si="41"/>
        <v>6725.327945</v>
      </c>
      <c r="K48" s="102">
        <f t="shared" si="41"/>
        <v>7019.819853</v>
      </c>
      <c r="L48" s="102">
        <f t="shared" si="41"/>
        <v>7323.31023</v>
      </c>
      <c r="M48" s="102">
        <f t="shared" si="41"/>
        <v>7636.03225</v>
      </c>
      <c r="N48" s="102">
        <f t="shared" si="41"/>
        <v>11744.9859</v>
      </c>
      <c r="O48" s="102">
        <f t="shared" si="41"/>
        <v>12267.14321</v>
      </c>
      <c r="P48" s="102">
        <f t="shared" si="41"/>
        <v>12805.31088</v>
      </c>
      <c r="Q48" s="102">
        <f t="shared" si="41"/>
        <v>13359.90901</v>
      </c>
      <c r="R48" s="102">
        <f t="shared" si="41"/>
        <v>13931.36829</v>
      </c>
      <c r="S48" s="102">
        <f t="shared" si="41"/>
        <v>14520.13025</v>
      </c>
    </row>
    <row r="49">
      <c r="A49" s="103">
        <f t="shared" si="4"/>
        <v>95</v>
      </c>
      <c r="B49" s="102">
        <f t="shared" si="5"/>
        <v>3142.842195</v>
      </c>
      <c r="C49" s="102">
        <f t="shared" si="8"/>
        <v>3287.635894</v>
      </c>
      <c r="D49" s="102">
        <f t="shared" si="11"/>
        <v>3436.949597</v>
      </c>
      <c r="E49" s="102">
        <f t="shared" si="14"/>
        <v>3590.897764</v>
      </c>
      <c r="F49" s="102">
        <f t="shared" si="17"/>
        <v>3749.597865</v>
      </c>
      <c r="G49" s="102">
        <f t="shared" ref="G49:S49" si="42">G48*1.02</f>
        <v>3913.170446</v>
      </c>
      <c r="H49" s="102">
        <f t="shared" si="42"/>
        <v>6285.684391</v>
      </c>
      <c r="I49" s="102">
        <f t="shared" si="42"/>
        <v>6568.399268</v>
      </c>
      <c r="J49" s="102">
        <f t="shared" si="42"/>
        <v>6859.834504</v>
      </c>
      <c r="K49" s="102">
        <f t="shared" si="42"/>
        <v>7160.21625</v>
      </c>
      <c r="L49" s="102">
        <f t="shared" si="42"/>
        <v>7469.776435</v>
      </c>
      <c r="M49" s="102">
        <f t="shared" si="42"/>
        <v>7788.752895</v>
      </c>
      <c r="N49" s="102">
        <f t="shared" si="42"/>
        <v>11979.88562</v>
      </c>
      <c r="O49" s="102">
        <f t="shared" si="42"/>
        <v>12512.48608</v>
      </c>
      <c r="P49" s="102">
        <f t="shared" si="42"/>
        <v>13061.4171</v>
      </c>
      <c r="Q49" s="102">
        <f t="shared" si="42"/>
        <v>13627.10719</v>
      </c>
      <c r="R49" s="102">
        <f t="shared" si="42"/>
        <v>14209.99566</v>
      </c>
      <c r="S49" s="102">
        <f t="shared" si="42"/>
        <v>14810.53285</v>
      </c>
    </row>
    <row r="50">
      <c r="A50" s="103">
        <f t="shared" si="4"/>
        <v>96</v>
      </c>
      <c r="B50" s="102">
        <f t="shared" si="5"/>
        <v>3205.699039</v>
      </c>
      <c r="C50" s="102">
        <f t="shared" si="8"/>
        <v>3353.388612</v>
      </c>
      <c r="D50" s="102">
        <f t="shared" si="11"/>
        <v>3505.688589</v>
      </c>
      <c r="E50" s="102">
        <f t="shared" si="14"/>
        <v>3662.715719</v>
      </c>
      <c r="F50" s="102">
        <f t="shared" si="17"/>
        <v>3824.589822</v>
      </c>
      <c r="G50" s="102">
        <f t="shared" ref="G50:S50" si="43">G49*1.02</f>
        <v>3991.433855</v>
      </c>
      <c r="H50" s="102">
        <f t="shared" si="43"/>
        <v>6411.398078</v>
      </c>
      <c r="I50" s="102">
        <f t="shared" si="43"/>
        <v>6699.767254</v>
      </c>
      <c r="J50" s="102">
        <f t="shared" si="43"/>
        <v>6997.031194</v>
      </c>
      <c r="K50" s="102">
        <f t="shared" si="43"/>
        <v>7303.420575</v>
      </c>
      <c r="L50" s="102">
        <f t="shared" si="43"/>
        <v>7619.171964</v>
      </c>
      <c r="M50" s="102">
        <f t="shared" si="43"/>
        <v>7944.527953</v>
      </c>
      <c r="N50" s="102">
        <f t="shared" si="43"/>
        <v>12219.48333</v>
      </c>
      <c r="O50" s="102">
        <f t="shared" si="43"/>
        <v>12762.7358</v>
      </c>
      <c r="P50" s="102">
        <f t="shared" si="43"/>
        <v>13322.64544</v>
      </c>
      <c r="Q50" s="102">
        <f t="shared" si="43"/>
        <v>13899.64933</v>
      </c>
      <c r="R50" s="102">
        <f t="shared" si="43"/>
        <v>14494.19557</v>
      </c>
      <c r="S50" s="102">
        <f t="shared" si="43"/>
        <v>15106.74351</v>
      </c>
    </row>
    <row r="51">
      <c r="A51" s="103">
        <f t="shared" si="4"/>
        <v>97</v>
      </c>
      <c r="B51" s="102">
        <f t="shared" si="5"/>
        <v>3269.81302</v>
      </c>
      <c r="C51" s="102">
        <f t="shared" si="8"/>
        <v>3420.456384</v>
      </c>
      <c r="D51" s="102">
        <f t="shared" si="11"/>
        <v>3575.802361</v>
      </c>
      <c r="E51" s="102">
        <f t="shared" si="14"/>
        <v>3735.970034</v>
      </c>
      <c r="F51" s="102">
        <f t="shared" si="17"/>
        <v>3901.081618</v>
      </c>
      <c r="G51" s="102">
        <f t="shared" ref="G51:S51" si="44">G50*1.02</f>
        <v>4071.262532</v>
      </c>
      <c r="H51" s="102">
        <f t="shared" si="44"/>
        <v>6539.62604</v>
      </c>
      <c r="I51" s="102">
        <f t="shared" si="44"/>
        <v>6833.762599</v>
      </c>
      <c r="J51" s="102">
        <f t="shared" si="44"/>
        <v>7136.971818</v>
      </c>
      <c r="K51" s="102">
        <f t="shared" si="44"/>
        <v>7449.488987</v>
      </c>
      <c r="L51" s="102">
        <f t="shared" si="44"/>
        <v>7771.555403</v>
      </c>
      <c r="M51" s="102">
        <f t="shared" si="44"/>
        <v>8103.418512</v>
      </c>
      <c r="N51" s="102">
        <f t="shared" si="44"/>
        <v>12463.873</v>
      </c>
      <c r="O51" s="102">
        <f t="shared" si="44"/>
        <v>13017.99052</v>
      </c>
      <c r="P51" s="102">
        <f t="shared" si="44"/>
        <v>13589.09835</v>
      </c>
      <c r="Q51" s="102">
        <f t="shared" si="44"/>
        <v>14177.64232</v>
      </c>
      <c r="R51" s="102">
        <f t="shared" si="44"/>
        <v>14784.07948</v>
      </c>
      <c r="S51" s="102">
        <f t="shared" si="44"/>
        <v>15408.87838</v>
      </c>
    </row>
    <row r="52">
      <c r="A52" s="103">
        <f t="shared" si="4"/>
        <v>98</v>
      </c>
      <c r="B52" s="102">
        <f t="shared" si="5"/>
        <v>3335.20928</v>
      </c>
      <c r="C52" s="102">
        <f t="shared" si="8"/>
        <v>3488.865511</v>
      </c>
      <c r="D52" s="102">
        <f t="shared" si="11"/>
        <v>3647.318408</v>
      </c>
      <c r="E52" s="102">
        <f t="shared" si="14"/>
        <v>3810.689435</v>
      </c>
      <c r="F52" s="102">
        <f t="shared" si="17"/>
        <v>3979.103251</v>
      </c>
      <c r="G52" s="102">
        <f t="shared" ref="G52:S52" si="45">G51*1.02</f>
        <v>4152.687783</v>
      </c>
      <c r="H52" s="102">
        <f t="shared" si="45"/>
        <v>6670.418561</v>
      </c>
      <c r="I52" s="102">
        <f t="shared" si="45"/>
        <v>6970.437851</v>
      </c>
      <c r="J52" s="102">
        <f t="shared" si="45"/>
        <v>7279.711255</v>
      </c>
      <c r="K52" s="102">
        <f t="shared" si="45"/>
        <v>7598.478766</v>
      </c>
      <c r="L52" s="102">
        <f t="shared" si="45"/>
        <v>7926.986511</v>
      </c>
      <c r="M52" s="102">
        <f t="shared" si="45"/>
        <v>8265.486882</v>
      </c>
      <c r="N52" s="102">
        <f t="shared" si="45"/>
        <v>12713.15046</v>
      </c>
      <c r="O52" s="102">
        <f t="shared" si="45"/>
        <v>13278.35033</v>
      </c>
      <c r="P52" s="102">
        <f t="shared" si="45"/>
        <v>13860.88031</v>
      </c>
      <c r="Q52" s="102">
        <f t="shared" si="45"/>
        <v>14461.19516</v>
      </c>
      <c r="R52" s="102">
        <f t="shared" si="45"/>
        <v>15079.76107</v>
      </c>
      <c r="S52" s="102">
        <f t="shared" si="45"/>
        <v>15717.05595</v>
      </c>
    </row>
    <row r="53">
      <c r="A53" s="103">
        <f t="shared" si="4"/>
        <v>99</v>
      </c>
      <c r="B53" s="102">
        <f t="shared" si="5"/>
        <v>3401.913466</v>
      </c>
      <c r="C53" s="102">
        <f t="shared" si="8"/>
        <v>3558.642822</v>
      </c>
      <c r="D53" s="102">
        <f t="shared" si="11"/>
        <v>3720.264776</v>
      </c>
      <c r="E53" s="102">
        <f t="shared" si="14"/>
        <v>3886.903223</v>
      </c>
      <c r="F53" s="102">
        <f t="shared" si="17"/>
        <v>4058.685316</v>
      </c>
      <c r="G53" s="102">
        <f t="shared" ref="G53:S53" si="46">G52*1.02</f>
        <v>4235.741538</v>
      </c>
      <c r="H53" s="102">
        <f t="shared" si="46"/>
        <v>6803.826932</v>
      </c>
      <c r="I53" s="102">
        <f t="shared" si="46"/>
        <v>7109.846608</v>
      </c>
      <c r="J53" s="102">
        <f t="shared" si="46"/>
        <v>7425.30548</v>
      </c>
      <c r="K53" s="102">
        <f t="shared" si="46"/>
        <v>7750.448342</v>
      </c>
      <c r="L53" s="102">
        <f t="shared" si="46"/>
        <v>8085.526241</v>
      </c>
      <c r="M53" s="102">
        <f t="shared" si="46"/>
        <v>8430.79662</v>
      </c>
      <c r="N53" s="102">
        <f t="shared" si="46"/>
        <v>12967.41347</v>
      </c>
      <c r="O53" s="102">
        <f t="shared" si="46"/>
        <v>13543.91733</v>
      </c>
      <c r="P53" s="102">
        <f t="shared" si="46"/>
        <v>14138.09792</v>
      </c>
      <c r="Q53" s="102">
        <f t="shared" si="46"/>
        <v>14750.41907</v>
      </c>
      <c r="R53" s="102">
        <f t="shared" si="46"/>
        <v>15381.3563</v>
      </c>
      <c r="S53" s="102">
        <f t="shared" si="46"/>
        <v>16031.39707</v>
      </c>
    </row>
    <row r="54">
      <c r="A54" s="103">
        <f t="shared" si="4"/>
        <v>100</v>
      </c>
      <c r="B54" s="102">
        <f t="shared" si="5"/>
        <v>3469.951735</v>
      </c>
      <c r="C54" s="102">
        <f t="shared" si="8"/>
        <v>3629.815678</v>
      </c>
      <c r="D54" s="102">
        <f t="shared" si="11"/>
        <v>3794.670072</v>
      </c>
      <c r="E54" s="102">
        <f t="shared" si="14"/>
        <v>3964.641288</v>
      </c>
      <c r="F54" s="102">
        <f t="shared" si="17"/>
        <v>4139.859022</v>
      </c>
      <c r="G54" s="102">
        <f t="shared" ref="G54:S54" si="47">G53*1.02</f>
        <v>4320.456369</v>
      </c>
      <c r="H54" s="102">
        <f t="shared" si="47"/>
        <v>6939.903471</v>
      </c>
      <c r="I54" s="102">
        <f t="shared" si="47"/>
        <v>7252.04354</v>
      </c>
      <c r="J54" s="102">
        <f t="shared" si="47"/>
        <v>7573.811589</v>
      </c>
      <c r="K54" s="102">
        <f t="shared" si="47"/>
        <v>7905.457309</v>
      </c>
      <c r="L54" s="102">
        <f t="shared" si="47"/>
        <v>8247.236766</v>
      </c>
      <c r="M54" s="102">
        <f t="shared" si="47"/>
        <v>8599.412552</v>
      </c>
      <c r="N54" s="102">
        <f t="shared" si="47"/>
        <v>13226.76174</v>
      </c>
      <c r="O54" s="102">
        <f t="shared" si="47"/>
        <v>13814.79568</v>
      </c>
      <c r="P54" s="102">
        <f t="shared" si="47"/>
        <v>14420.85988</v>
      </c>
      <c r="Q54" s="102">
        <f t="shared" si="47"/>
        <v>15045.42745</v>
      </c>
      <c r="R54" s="102">
        <f t="shared" si="47"/>
        <v>15688.98342</v>
      </c>
      <c r="S54" s="102">
        <f t="shared" si="47"/>
        <v>16352.02501</v>
      </c>
    </row>
    <row r="55">
      <c r="B55" s="102"/>
      <c r="C55" s="102"/>
      <c r="D55" s="102"/>
    </row>
    <row r="56">
      <c r="A56" s="1" t="s">
        <v>155</v>
      </c>
      <c r="B56" s="102"/>
      <c r="C56" s="102"/>
      <c r="D56" s="102"/>
    </row>
    <row r="57">
      <c r="A57" s="1" t="s">
        <v>156</v>
      </c>
      <c r="B57" s="107">
        <v>270000.0</v>
      </c>
      <c r="C57" s="102"/>
      <c r="D57" s="102"/>
    </row>
    <row r="58">
      <c r="B58" s="116">
        <v>0.04</v>
      </c>
      <c r="C58" s="102"/>
      <c r="D58" s="102"/>
    </row>
    <row r="59">
      <c r="B59" s="116">
        <v>0.06</v>
      </c>
      <c r="C59" s="102"/>
      <c r="D59" s="102"/>
    </row>
    <row r="60">
      <c r="B60" s="116">
        <v>0.05</v>
      </c>
      <c r="C60" s="102"/>
      <c r="D60" s="102"/>
    </row>
    <row r="61">
      <c r="B61" s="117">
        <f>(((MIN(B57, 30000) * 0.06) + (MAX(0, MIN(B57-30000, 30000)) * 0.05) + (MAX(0, B57-60000) * 0.04)) / B57)</f>
        <v>0.04333333333</v>
      </c>
      <c r="C61" s="102"/>
      <c r="D61" s="102"/>
    </row>
    <row r="62">
      <c r="B62" s="102">
        <f>PMT((((MIN(B57, 30000) * 0.06) + (MAX(0, MIN(B57-30000, 30000)) * 0.05) + (MAX(0, B57-60000) * 0.04)) / B57)/12, 25*12, -B57)</f>
        <v>1475.320219</v>
      </c>
      <c r="C62" s="102"/>
      <c r="D62" s="102"/>
    </row>
    <row r="63">
      <c r="B63" s="102"/>
      <c r="C63" s="102"/>
      <c r="D63" s="102"/>
    </row>
    <row r="64">
      <c r="B64" s="102"/>
      <c r="C64" s="102"/>
      <c r="D64" s="102"/>
    </row>
    <row r="65">
      <c r="B65" s="102"/>
      <c r="C65" s="102"/>
      <c r="D65" s="102"/>
    </row>
    <row r="66">
      <c r="B66" s="102"/>
      <c r="C66" s="102"/>
      <c r="D66" s="102"/>
    </row>
    <row r="67">
      <c r="B67" s="102"/>
      <c r="C67" s="102"/>
      <c r="D67" s="102"/>
    </row>
    <row r="68">
      <c r="B68" s="102"/>
      <c r="C68" s="102"/>
      <c r="D68" s="102"/>
    </row>
    <row r="69">
      <c r="B69" s="102"/>
      <c r="C69" s="102"/>
      <c r="D69" s="102"/>
    </row>
    <row r="70">
      <c r="B70" s="102"/>
      <c r="C70" s="102"/>
      <c r="D70" s="102"/>
    </row>
    <row r="71">
      <c r="B71" s="102"/>
      <c r="C71" s="102"/>
      <c r="D71" s="102"/>
    </row>
    <row r="72">
      <c r="B72" s="102"/>
      <c r="C72" s="102"/>
      <c r="D72" s="102"/>
    </row>
    <row r="73">
      <c r="B73" s="102"/>
      <c r="C73" s="102"/>
      <c r="D73" s="102"/>
    </row>
    <row r="74">
      <c r="B74" s="102"/>
      <c r="C74" s="102"/>
      <c r="D74" s="102"/>
    </row>
    <row r="75">
      <c r="B75" s="102"/>
      <c r="C75" s="102"/>
      <c r="D75" s="102"/>
    </row>
    <row r="76">
      <c r="B76" s="102"/>
      <c r="C76" s="102"/>
      <c r="D76" s="102"/>
    </row>
    <row r="77">
      <c r="B77" s="102"/>
      <c r="C77" s="102"/>
      <c r="D77" s="102"/>
    </row>
    <row r="78">
      <c r="B78" s="102"/>
      <c r="C78" s="102"/>
      <c r="D78" s="102"/>
    </row>
    <row r="79">
      <c r="B79" s="102"/>
      <c r="C79" s="102"/>
      <c r="D79" s="102"/>
    </row>
    <row r="80">
      <c r="B80" s="102"/>
      <c r="C80" s="102"/>
      <c r="D80" s="102"/>
    </row>
    <row r="81">
      <c r="B81" s="102"/>
      <c r="C81" s="102"/>
      <c r="D81" s="102"/>
    </row>
    <row r="82">
      <c r="B82" s="102"/>
      <c r="C82" s="102"/>
      <c r="D82" s="102"/>
    </row>
    <row r="83">
      <c r="B83" s="102"/>
      <c r="C83" s="102"/>
      <c r="D83" s="102"/>
    </row>
    <row r="84">
      <c r="B84" s="102"/>
      <c r="C84" s="102"/>
      <c r="D84" s="102"/>
    </row>
    <row r="85">
      <c r="B85" s="102"/>
      <c r="C85" s="102"/>
      <c r="D85" s="102"/>
    </row>
    <row r="86">
      <c r="B86" s="102"/>
      <c r="C86" s="102"/>
      <c r="D86" s="102"/>
    </row>
    <row r="87">
      <c r="B87" s="102"/>
      <c r="C87" s="102"/>
      <c r="D87" s="102"/>
    </row>
    <row r="88">
      <c r="B88" s="102"/>
      <c r="C88" s="102"/>
      <c r="D88" s="102"/>
    </row>
    <row r="89">
      <c r="B89" s="102"/>
      <c r="C89" s="102"/>
      <c r="D89" s="102"/>
    </row>
    <row r="90">
      <c r="B90" s="102"/>
      <c r="C90" s="102"/>
      <c r="D90" s="102"/>
    </row>
    <row r="91">
      <c r="B91" s="102"/>
      <c r="C91" s="102"/>
      <c r="D91" s="102"/>
    </row>
    <row r="92">
      <c r="B92" s="102"/>
      <c r="C92" s="102"/>
      <c r="D92" s="102"/>
    </row>
    <row r="93">
      <c r="B93" s="102"/>
      <c r="C93" s="102"/>
      <c r="D93" s="102"/>
    </row>
    <row r="94">
      <c r="B94" s="102"/>
      <c r="C94" s="102"/>
      <c r="D94" s="102"/>
    </row>
    <row r="95">
      <c r="B95" s="102"/>
      <c r="C95" s="102"/>
      <c r="D95" s="102"/>
    </row>
    <row r="96">
      <c r="B96" s="102"/>
      <c r="C96" s="102"/>
      <c r="D96" s="102"/>
    </row>
    <row r="97">
      <c r="B97" s="102"/>
      <c r="C97" s="102"/>
      <c r="D97" s="102"/>
    </row>
    <row r="98">
      <c r="B98" s="102"/>
      <c r="C98" s="102"/>
      <c r="D98" s="102"/>
    </row>
    <row r="99">
      <c r="B99" s="102"/>
      <c r="C99" s="102"/>
      <c r="D99" s="102"/>
    </row>
    <row r="100">
      <c r="B100" s="102"/>
      <c r="C100" s="102"/>
      <c r="D100" s="102"/>
    </row>
    <row r="101">
      <c r="B101" s="102"/>
      <c r="C101" s="102"/>
      <c r="D101" s="102"/>
    </row>
    <row r="102">
      <c r="B102" s="102"/>
      <c r="C102" s="102"/>
      <c r="D102" s="102"/>
    </row>
    <row r="103">
      <c r="B103" s="102"/>
      <c r="C103" s="102"/>
      <c r="D103" s="102"/>
    </row>
    <row r="104">
      <c r="B104" s="102"/>
      <c r="C104" s="102"/>
      <c r="D104" s="102"/>
    </row>
    <row r="105">
      <c r="B105" s="102"/>
      <c r="C105" s="102"/>
      <c r="D105" s="102"/>
    </row>
    <row r="106">
      <c r="B106" s="102"/>
      <c r="C106" s="102"/>
      <c r="D106" s="102"/>
    </row>
    <row r="107">
      <c r="B107" s="102"/>
      <c r="C107" s="102"/>
      <c r="D107" s="102"/>
    </row>
    <row r="108">
      <c r="B108" s="102"/>
      <c r="C108" s="102"/>
      <c r="D108" s="102"/>
    </row>
    <row r="109">
      <c r="B109" s="102"/>
      <c r="C109" s="102"/>
      <c r="D109" s="102"/>
    </row>
    <row r="110">
      <c r="B110" s="102"/>
      <c r="C110" s="102"/>
      <c r="D110" s="102"/>
    </row>
    <row r="111">
      <c r="B111" s="102"/>
      <c r="C111" s="102"/>
      <c r="D111" s="102"/>
    </row>
    <row r="112">
      <c r="B112" s="102"/>
      <c r="C112" s="102"/>
      <c r="D112" s="102"/>
    </row>
    <row r="113">
      <c r="B113" s="102"/>
      <c r="C113" s="102"/>
      <c r="D113" s="102"/>
    </row>
    <row r="114">
      <c r="B114" s="102"/>
      <c r="C114" s="102"/>
      <c r="D114" s="102"/>
    </row>
    <row r="115">
      <c r="B115" s="102"/>
      <c r="C115" s="102"/>
      <c r="D115" s="102"/>
    </row>
    <row r="116">
      <c r="B116" s="102"/>
      <c r="C116" s="102"/>
      <c r="D116" s="102"/>
    </row>
    <row r="117">
      <c r="B117" s="102"/>
      <c r="C117" s="102"/>
      <c r="D117" s="102"/>
    </row>
    <row r="118">
      <c r="B118" s="102"/>
      <c r="C118" s="102"/>
      <c r="D118" s="102"/>
    </row>
    <row r="119">
      <c r="B119" s="102"/>
      <c r="C119" s="102"/>
      <c r="D119" s="102"/>
    </row>
    <row r="120">
      <c r="B120" s="102"/>
      <c r="C120" s="102"/>
      <c r="D120" s="102"/>
    </row>
    <row r="121">
      <c r="B121" s="102"/>
      <c r="C121" s="102"/>
      <c r="D121" s="102"/>
    </row>
    <row r="122">
      <c r="B122" s="102"/>
      <c r="C122" s="102"/>
      <c r="D122" s="102"/>
    </row>
    <row r="123">
      <c r="B123" s="102"/>
      <c r="C123" s="102"/>
      <c r="D123" s="102"/>
    </row>
    <row r="124">
      <c r="B124" s="102"/>
      <c r="C124" s="102"/>
      <c r="D124" s="102"/>
    </row>
    <row r="125">
      <c r="B125" s="102"/>
      <c r="C125" s="102"/>
      <c r="D125" s="102"/>
    </row>
    <row r="126">
      <c r="B126" s="102"/>
      <c r="C126" s="102"/>
      <c r="D126" s="102"/>
    </row>
    <row r="127">
      <c r="B127" s="102"/>
      <c r="C127" s="102"/>
      <c r="D127" s="102"/>
    </row>
    <row r="128">
      <c r="B128" s="102"/>
      <c r="C128" s="102"/>
      <c r="D128" s="102"/>
    </row>
    <row r="129">
      <c r="B129" s="102"/>
      <c r="C129" s="102"/>
      <c r="D129" s="102"/>
    </row>
    <row r="130">
      <c r="B130" s="102"/>
      <c r="C130" s="102"/>
      <c r="D130" s="102"/>
    </row>
    <row r="131">
      <c r="B131" s="102"/>
      <c r="C131" s="102"/>
      <c r="D131" s="102"/>
    </row>
    <row r="132">
      <c r="B132" s="102"/>
      <c r="C132" s="102"/>
      <c r="D132" s="102"/>
    </row>
    <row r="133">
      <c r="B133" s="102"/>
      <c r="C133" s="102"/>
      <c r="D133" s="102"/>
    </row>
    <row r="134">
      <c r="B134" s="102"/>
      <c r="C134" s="102"/>
      <c r="D134" s="102"/>
    </row>
    <row r="135">
      <c r="B135" s="102"/>
      <c r="C135" s="102"/>
      <c r="D135" s="102"/>
    </row>
    <row r="136">
      <c r="B136" s="102"/>
      <c r="C136" s="102"/>
      <c r="D136" s="102"/>
    </row>
    <row r="137">
      <c r="B137" s="102"/>
      <c r="C137" s="102"/>
      <c r="D137" s="102"/>
    </row>
    <row r="138">
      <c r="B138" s="102"/>
      <c r="C138" s="102"/>
      <c r="D138" s="102"/>
    </row>
    <row r="139">
      <c r="B139" s="102"/>
      <c r="C139" s="102"/>
      <c r="D139" s="102"/>
    </row>
    <row r="140">
      <c r="B140" s="102"/>
      <c r="C140" s="102"/>
      <c r="D140" s="102"/>
    </row>
    <row r="141">
      <c r="B141" s="102"/>
      <c r="C141" s="102"/>
      <c r="D141" s="102"/>
    </row>
    <row r="142">
      <c r="B142" s="102"/>
      <c r="C142" s="102"/>
      <c r="D142" s="102"/>
    </row>
    <row r="143">
      <c r="B143" s="102"/>
      <c r="C143" s="102"/>
      <c r="D143" s="102"/>
    </row>
    <row r="144">
      <c r="B144" s="102"/>
      <c r="C144" s="102"/>
      <c r="D144" s="102"/>
    </row>
    <row r="145">
      <c r="B145" s="102"/>
      <c r="C145" s="102"/>
      <c r="D145" s="102"/>
    </row>
    <row r="146">
      <c r="B146" s="102"/>
      <c r="C146" s="102"/>
      <c r="D146" s="102"/>
    </row>
    <row r="147">
      <c r="B147" s="102"/>
      <c r="C147" s="102"/>
      <c r="D147" s="102"/>
    </row>
    <row r="148">
      <c r="B148" s="102"/>
      <c r="C148" s="102"/>
      <c r="D148" s="102"/>
    </row>
    <row r="149">
      <c r="B149" s="102"/>
      <c r="C149" s="102"/>
      <c r="D149" s="102"/>
    </row>
    <row r="150">
      <c r="B150" s="102"/>
      <c r="C150" s="102"/>
      <c r="D150" s="102"/>
    </row>
    <row r="151">
      <c r="B151" s="102"/>
      <c r="C151" s="102"/>
      <c r="D151" s="102"/>
    </row>
    <row r="152">
      <c r="B152" s="102"/>
      <c r="C152" s="102"/>
      <c r="D152" s="102"/>
    </row>
    <row r="153">
      <c r="B153" s="102"/>
      <c r="C153" s="102"/>
      <c r="D153" s="102"/>
    </row>
    <row r="154">
      <c r="B154" s="102"/>
      <c r="C154" s="102"/>
      <c r="D154" s="102"/>
    </row>
    <row r="155">
      <c r="B155" s="102"/>
      <c r="C155" s="102"/>
      <c r="D155" s="102"/>
    </row>
    <row r="156">
      <c r="B156" s="102"/>
      <c r="C156" s="102"/>
      <c r="D156" s="102"/>
    </row>
    <row r="157">
      <c r="B157" s="102"/>
      <c r="C157" s="102"/>
      <c r="D157" s="102"/>
    </row>
    <row r="158">
      <c r="B158" s="102"/>
      <c r="C158" s="102"/>
      <c r="D158" s="102"/>
    </row>
    <row r="159">
      <c r="B159" s="102"/>
      <c r="C159" s="102"/>
      <c r="D159" s="102"/>
    </row>
    <row r="160">
      <c r="B160" s="102"/>
      <c r="C160" s="102"/>
      <c r="D160" s="102"/>
    </row>
    <row r="161">
      <c r="B161" s="102"/>
      <c r="C161" s="102"/>
      <c r="D161" s="102"/>
    </row>
    <row r="162">
      <c r="B162" s="102"/>
      <c r="C162" s="102"/>
      <c r="D162" s="102"/>
    </row>
    <row r="163">
      <c r="B163" s="102"/>
      <c r="C163" s="102"/>
      <c r="D163" s="102"/>
    </row>
    <row r="164">
      <c r="B164" s="102"/>
      <c r="C164" s="102"/>
      <c r="D164" s="102"/>
    </row>
    <row r="165">
      <c r="B165" s="102"/>
      <c r="C165" s="102"/>
      <c r="D165" s="102"/>
    </row>
    <row r="166">
      <c r="B166" s="102"/>
      <c r="C166" s="102"/>
      <c r="D166" s="102"/>
    </row>
    <row r="167">
      <c r="B167" s="102"/>
      <c r="C167" s="102"/>
      <c r="D167" s="102"/>
    </row>
    <row r="168">
      <c r="B168" s="102"/>
      <c r="C168" s="102"/>
      <c r="D168" s="102"/>
    </row>
    <row r="169">
      <c r="B169" s="102"/>
      <c r="C169" s="102"/>
      <c r="D169" s="102"/>
    </row>
    <row r="170">
      <c r="B170" s="102"/>
      <c r="C170" s="102"/>
      <c r="D170" s="102"/>
    </row>
    <row r="171">
      <c r="B171" s="102"/>
      <c r="C171" s="102"/>
      <c r="D171" s="102"/>
    </row>
    <row r="172">
      <c r="B172" s="102"/>
      <c r="C172" s="102"/>
      <c r="D172" s="102"/>
    </row>
    <row r="173">
      <c r="B173" s="102"/>
      <c r="C173" s="102"/>
      <c r="D173" s="102"/>
    </row>
    <row r="174">
      <c r="B174" s="102"/>
      <c r="C174" s="102"/>
      <c r="D174" s="102"/>
    </row>
    <row r="175">
      <c r="B175" s="102"/>
      <c r="C175" s="102"/>
      <c r="D175" s="102"/>
    </row>
    <row r="176">
      <c r="B176" s="102"/>
      <c r="C176" s="102"/>
      <c r="D176" s="102"/>
    </row>
    <row r="177">
      <c r="B177" s="102"/>
      <c r="C177" s="102"/>
      <c r="D177" s="102"/>
    </row>
    <row r="178">
      <c r="B178" s="102"/>
      <c r="C178" s="102"/>
      <c r="D178" s="102"/>
    </row>
    <row r="179">
      <c r="B179" s="102"/>
      <c r="C179" s="102"/>
      <c r="D179" s="102"/>
    </row>
    <row r="180">
      <c r="B180" s="102"/>
      <c r="C180" s="102"/>
      <c r="D180" s="102"/>
    </row>
    <row r="181">
      <c r="B181" s="102"/>
      <c r="C181" s="102"/>
      <c r="D181" s="102"/>
    </row>
    <row r="182">
      <c r="B182" s="102"/>
      <c r="C182" s="102"/>
      <c r="D182" s="102"/>
    </row>
    <row r="183">
      <c r="B183" s="102"/>
      <c r="C183" s="102"/>
      <c r="D183" s="102"/>
    </row>
    <row r="184">
      <c r="B184" s="102"/>
      <c r="C184" s="102"/>
      <c r="D184" s="102"/>
    </row>
    <row r="185">
      <c r="B185" s="102"/>
      <c r="C185" s="102"/>
      <c r="D185" s="102"/>
    </row>
    <row r="186">
      <c r="B186" s="102"/>
      <c r="C186" s="102"/>
      <c r="D186" s="102"/>
    </row>
    <row r="187">
      <c r="B187" s="102"/>
      <c r="C187" s="102"/>
      <c r="D187" s="102"/>
    </row>
    <row r="188">
      <c r="B188" s="102"/>
      <c r="C188" s="102"/>
      <c r="D188" s="102"/>
    </row>
    <row r="189">
      <c r="B189" s="102"/>
      <c r="C189" s="102"/>
      <c r="D189" s="102"/>
    </row>
    <row r="190">
      <c r="B190" s="102"/>
      <c r="C190" s="102"/>
      <c r="D190" s="102"/>
    </row>
    <row r="191">
      <c r="B191" s="102"/>
      <c r="C191" s="102"/>
      <c r="D191" s="102"/>
    </row>
    <row r="192">
      <c r="B192" s="102"/>
      <c r="C192" s="102"/>
      <c r="D192" s="102"/>
    </row>
    <row r="193">
      <c r="B193" s="102"/>
      <c r="C193" s="102"/>
      <c r="D193" s="102"/>
    </row>
    <row r="194">
      <c r="B194" s="102"/>
      <c r="C194" s="102"/>
      <c r="D194" s="102"/>
    </row>
    <row r="195">
      <c r="B195" s="102"/>
      <c r="C195" s="102"/>
      <c r="D195" s="102"/>
    </row>
    <row r="196">
      <c r="B196" s="102"/>
      <c r="C196" s="102"/>
      <c r="D196" s="102"/>
    </row>
    <row r="197">
      <c r="B197" s="102"/>
      <c r="C197" s="102"/>
      <c r="D197" s="102"/>
    </row>
    <row r="198">
      <c r="B198" s="102"/>
      <c r="C198" s="102"/>
      <c r="D198" s="102"/>
    </row>
    <row r="199">
      <c r="B199" s="102"/>
      <c r="C199" s="102"/>
      <c r="D199" s="102"/>
    </row>
    <row r="200">
      <c r="B200" s="102"/>
      <c r="C200" s="102"/>
      <c r="D200" s="102"/>
    </row>
    <row r="201">
      <c r="B201" s="102"/>
      <c r="C201" s="102"/>
      <c r="D201" s="102"/>
    </row>
    <row r="202">
      <c r="B202" s="102"/>
      <c r="C202" s="102"/>
      <c r="D202" s="102"/>
    </row>
    <row r="203">
      <c r="B203" s="102"/>
      <c r="C203" s="102"/>
      <c r="D203" s="102"/>
    </row>
    <row r="204">
      <c r="B204" s="102"/>
      <c r="C204" s="102"/>
      <c r="D204" s="102"/>
    </row>
    <row r="205">
      <c r="B205" s="102"/>
      <c r="C205" s="102"/>
      <c r="D205" s="102"/>
    </row>
    <row r="206">
      <c r="B206" s="102"/>
      <c r="C206" s="102"/>
      <c r="D206" s="102"/>
    </row>
    <row r="207">
      <c r="B207" s="102"/>
      <c r="C207" s="102"/>
      <c r="D207" s="102"/>
    </row>
    <row r="208">
      <c r="B208" s="102"/>
      <c r="C208" s="102"/>
      <c r="D208" s="102"/>
    </row>
    <row r="209">
      <c r="B209" s="102"/>
      <c r="C209" s="102"/>
      <c r="D209" s="102"/>
    </row>
    <row r="210">
      <c r="B210" s="102"/>
      <c r="C210" s="102"/>
      <c r="D210" s="102"/>
    </row>
    <row r="211">
      <c r="B211" s="102"/>
      <c r="C211" s="102"/>
      <c r="D211" s="102"/>
    </row>
    <row r="212">
      <c r="B212" s="102"/>
      <c r="C212" s="102"/>
      <c r="D212" s="102"/>
    </row>
    <row r="213">
      <c r="B213" s="102"/>
      <c r="C213" s="102"/>
      <c r="D213" s="102"/>
    </row>
    <row r="214">
      <c r="B214" s="102"/>
      <c r="C214" s="102"/>
      <c r="D214" s="102"/>
    </row>
    <row r="215">
      <c r="B215" s="102"/>
      <c r="C215" s="102"/>
      <c r="D215" s="102"/>
    </row>
    <row r="216">
      <c r="B216" s="102"/>
      <c r="C216" s="102"/>
      <c r="D216" s="102"/>
    </row>
    <row r="217">
      <c r="B217" s="102"/>
      <c r="C217" s="102"/>
      <c r="D217" s="102"/>
    </row>
    <row r="218">
      <c r="B218" s="102"/>
      <c r="C218" s="102"/>
      <c r="D218" s="102"/>
    </row>
    <row r="219">
      <c r="B219" s="102"/>
      <c r="C219" s="102"/>
      <c r="D219" s="102"/>
    </row>
    <row r="220">
      <c r="B220" s="102"/>
      <c r="C220" s="102"/>
      <c r="D220" s="102"/>
    </row>
    <row r="221">
      <c r="B221" s="102"/>
      <c r="C221" s="102"/>
      <c r="D221" s="102"/>
    </row>
    <row r="222">
      <c r="B222" s="102"/>
      <c r="C222" s="102"/>
      <c r="D222" s="102"/>
    </row>
    <row r="223">
      <c r="B223" s="102"/>
      <c r="C223" s="102"/>
      <c r="D223" s="102"/>
    </row>
    <row r="224">
      <c r="B224" s="102"/>
      <c r="C224" s="102"/>
      <c r="D224" s="102"/>
    </row>
    <row r="225">
      <c r="B225" s="102"/>
      <c r="C225" s="102"/>
      <c r="D225" s="102"/>
    </row>
    <row r="226">
      <c r="B226" s="102"/>
      <c r="C226" s="102"/>
      <c r="D226" s="102"/>
    </row>
    <row r="227">
      <c r="B227" s="102"/>
      <c r="C227" s="102"/>
      <c r="D227" s="102"/>
    </row>
    <row r="228">
      <c r="B228" s="102"/>
      <c r="C228" s="102"/>
      <c r="D228" s="102"/>
    </row>
    <row r="229">
      <c r="B229" s="102"/>
      <c r="C229" s="102"/>
      <c r="D229" s="102"/>
    </row>
    <row r="230">
      <c r="B230" s="102"/>
      <c r="C230" s="102"/>
      <c r="D230" s="102"/>
    </row>
    <row r="231">
      <c r="B231" s="102"/>
      <c r="C231" s="102"/>
      <c r="D231" s="102"/>
    </row>
    <row r="232">
      <c r="B232" s="102"/>
      <c r="C232" s="102"/>
      <c r="D232" s="102"/>
    </row>
    <row r="233">
      <c r="B233" s="102"/>
      <c r="C233" s="102"/>
      <c r="D233" s="102"/>
    </row>
    <row r="234">
      <c r="B234" s="102"/>
      <c r="C234" s="102"/>
      <c r="D234" s="102"/>
    </row>
    <row r="235">
      <c r="B235" s="102"/>
      <c r="C235" s="102"/>
      <c r="D235" s="102"/>
    </row>
    <row r="236">
      <c r="B236" s="102"/>
      <c r="C236" s="102"/>
      <c r="D236" s="102"/>
    </row>
    <row r="237">
      <c r="B237" s="102"/>
      <c r="C237" s="102"/>
      <c r="D237" s="102"/>
    </row>
    <row r="238">
      <c r="B238" s="102"/>
      <c r="C238" s="102"/>
      <c r="D238" s="102"/>
    </row>
    <row r="239">
      <c r="B239" s="102"/>
      <c r="C239" s="102"/>
      <c r="D239" s="102"/>
    </row>
    <row r="240">
      <c r="B240" s="102"/>
      <c r="C240" s="102"/>
      <c r="D240" s="102"/>
    </row>
    <row r="241">
      <c r="B241" s="102"/>
      <c r="C241" s="102"/>
      <c r="D241" s="102"/>
    </row>
    <row r="242">
      <c r="B242" s="102"/>
      <c r="C242" s="102"/>
      <c r="D242" s="102"/>
    </row>
    <row r="243">
      <c r="B243" s="102"/>
      <c r="C243" s="102"/>
      <c r="D243" s="102"/>
    </row>
    <row r="244">
      <c r="B244" s="102"/>
      <c r="C244" s="102"/>
      <c r="D244" s="102"/>
    </row>
    <row r="245">
      <c r="B245" s="102"/>
      <c r="C245" s="102"/>
      <c r="D245" s="102"/>
    </row>
    <row r="246">
      <c r="B246" s="102"/>
      <c r="C246" s="102"/>
      <c r="D246" s="102"/>
    </row>
    <row r="247">
      <c r="B247" s="102"/>
      <c r="C247" s="102"/>
      <c r="D247" s="102"/>
    </row>
    <row r="248">
      <c r="B248" s="102"/>
      <c r="C248" s="102"/>
      <c r="D248" s="102"/>
    </row>
    <row r="249">
      <c r="B249" s="102"/>
      <c r="C249" s="102"/>
      <c r="D249" s="102"/>
    </row>
    <row r="250">
      <c r="B250" s="102"/>
      <c r="C250" s="102"/>
      <c r="D250" s="102"/>
    </row>
    <row r="251">
      <c r="B251" s="102"/>
      <c r="C251" s="102"/>
      <c r="D251" s="102"/>
    </row>
    <row r="252">
      <c r="B252" s="102"/>
      <c r="C252" s="102"/>
      <c r="D252" s="102"/>
    </row>
    <row r="253">
      <c r="B253" s="102"/>
      <c r="C253" s="102"/>
      <c r="D253" s="102"/>
    </row>
    <row r="254">
      <c r="B254" s="102"/>
      <c r="C254" s="102"/>
      <c r="D254" s="102"/>
    </row>
    <row r="255">
      <c r="B255" s="102"/>
      <c r="C255" s="102"/>
      <c r="D255" s="102"/>
    </row>
    <row r="256">
      <c r="B256" s="102"/>
      <c r="C256" s="102"/>
      <c r="D256" s="102"/>
    </row>
    <row r="257">
      <c r="B257" s="102"/>
      <c r="C257" s="102"/>
      <c r="D257" s="102"/>
    </row>
    <row r="258">
      <c r="B258" s="102"/>
      <c r="C258" s="102"/>
      <c r="D258" s="102"/>
    </row>
    <row r="259">
      <c r="B259" s="102"/>
      <c r="C259" s="102"/>
      <c r="D259" s="102"/>
    </row>
    <row r="260">
      <c r="B260" s="102"/>
      <c r="C260" s="102"/>
      <c r="D260" s="102"/>
    </row>
    <row r="261">
      <c r="B261" s="102"/>
      <c r="C261" s="102"/>
      <c r="D261" s="102"/>
    </row>
    <row r="262">
      <c r="B262" s="102"/>
      <c r="C262" s="102"/>
      <c r="D262" s="102"/>
    </row>
    <row r="263">
      <c r="B263" s="102"/>
      <c r="C263" s="102"/>
      <c r="D263" s="102"/>
    </row>
    <row r="264">
      <c r="B264" s="102"/>
      <c r="C264" s="102"/>
      <c r="D264" s="102"/>
    </row>
    <row r="265">
      <c r="B265" s="102"/>
      <c r="C265" s="102"/>
      <c r="D265" s="102"/>
    </row>
    <row r="266">
      <c r="B266" s="102"/>
      <c r="C266" s="102"/>
      <c r="D266" s="102"/>
    </row>
    <row r="267">
      <c r="B267" s="102"/>
      <c r="C267" s="102"/>
      <c r="D267" s="102"/>
    </row>
    <row r="268">
      <c r="B268" s="102"/>
      <c r="C268" s="102"/>
      <c r="D268" s="102"/>
    </row>
    <row r="269">
      <c r="B269" s="102"/>
      <c r="C269" s="102"/>
      <c r="D269" s="102"/>
    </row>
    <row r="270">
      <c r="B270" s="102"/>
      <c r="C270" s="102"/>
      <c r="D270" s="102"/>
    </row>
    <row r="271">
      <c r="B271" s="102"/>
      <c r="C271" s="102"/>
      <c r="D271" s="102"/>
    </row>
    <row r="272">
      <c r="B272" s="102"/>
      <c r="C272" s="102"/>
      <c r="D272" s="102"/>
    </row>
    <row r="273">
      <c r="B273" s="102"/>
      <c r="C273" s="102"/>
      <c r="D273" s="102"/>
    </row>
    <row r="274">
      <c r="B274" s="102"/>
      <c r="C274" s="102"/>
      <c r="D274" s="102"/>
    </row>
    <row r="275">
      <c r="B275" s="102"/>
      <c r="C275" s="102"/>
      <c r="D275" s="102"/>
    </row>
    <row r="276">
      <c r="B276" s="102"/>
      <c r="C276" s="102"/>
      <c r="D276" s="102"/>
    </row>
    <row r="277">
      <c r="B277" s="102"/>
      <c r="C277" s="102"/>
      <c r="D277" s="102"/>
    </row>
    <row r="278">
      <c r="B278" s="102"/>
      <c r="C278" s="102"/>
      <c r="D278" s="102"/>
    </row>
    <row r="279">
      <c r="B279" s="102"/>
      <c r="C279" s="102"/>
      <c r="D279" s="102"/>
    </row>
    <row r="280">
      <c r="B280" s="102"/>
      <c r="C280" s="102"/>
      <c r="D280" s="102"/>
    </row>
    <row r="281">
      <c r="B281" s="102"/>
      <c r="C281" s="102"/>
      <c r="D281" s="102"/>
    </row>
    <row r="282">
      <c r="B282" s="102"/>
      <c r="C282" s="102"/>
      <c r="D282" s="102"/>
    </row>
    <row r="283">
      <c r="B283" s="102"/>
      <c r="C283" s="102"/>
      <c r="D283" s="102"/>
    </row>
    <row r="284">
      <c r="B284" s="102"/>
      <c r="C284" s="102"/>
      <c r="D284" s="102"/>
    </row>
    <row r="285">
      <c r="B285" s="102"/>
      <c r="C285" s="102"/>
      <c r="D285" s="102"/>
    </row>
    <row r="286">
      <c r="B286" s="102"/>
      <c r="C286" s="102"/>
      <c r="D286" s="102"/>
    </row>
    <row r="287">
      <c r="B287" s="102"/>
      <c r="C287" s="102"/>
      <c r="D287" s="102"/>
    </row>
    <row r="288">
      <c r="B288" s="102"/>
      <c r="C288" s="102"/>
      <c r="D288" s="102"/>
    </row>
    <row r="289">
      <c r="B289" s="102"/>
      <c r="C289" s="102"/>
      <c r="D289" s="102"/>
    </row>
    <row r="290">
      <c r="B290" s="102"/>
      <c r="C290" s="102"/>
      <c r="D290" s="102"/>
    </row>
    <row r="291">
      <c r="B291" s="102"/>
      <c r="C291" s="102"/>
      <c r="D291" s="102"/>
    </row>
    <row r="292">
      <c r="B292" s="102"/>
      <c r="C292" s="102"/>
      <c r="D292" s="102"/>
    </row>
    <row r="293">
      <c r="B293" s="102"/>
      <c r="C293" s="102"/>
      <c r="D293" s="102"/>
    </row>
    <row r="294">
      <c r="B294" s="102"/>
      <c r="C294" s="102"/>
      <c r="D294" s="102"/>
    </row>
    <row r="295">
      <c r="B295" s="102"/>
      <c r="C295" s="102"/>
      <c r="D295" s="102"/>
    </row>
    <row r="296">
      <c r="B296" s="102"/>
      <c r="C296" s="102"/>
      <c r="D296" s="102"/>
    </row>
    <row r="297">
      <c r="B297" s="102"/>
      <c r="C297" s="102"/>
      <c r="D297" s="102"/>
    </row>
    <row r="298">
      <c r="B298" s="102"/>
      <c r="C298" s="102"/>
      <c r="D298" s="102"/>
    </row>
    <row r="299">
      <c r="B299" s="102"/>
      <c r="C299" s="102"/>
      <c r="D299" s="102"/>
    </row>
    <row r="300">
      <c r="B300" s="102"/>
      <c r="C300" s="102"/>
      <c r="D300" s="102"/>
    </row>
    <row r="301">
      <c r="B301" s="102"/>
      <c r="C301" s="102"/>
      <c r="D301" s="102"/>
    </row>
    <row r="302">
      <c r="B302" s="102"/>
      <c r="C302" s="102"/>
      <c r="D302" s="102"/>
    </row>
    <row r="303">
      <c r="B303" s="102"/>
      <c r="C303" s="102"/>
      <c r="D303" s="102"/>
    </row>
    <row r="304">
      <c r="B304" s="102"/>
      <c r="C304" s="102"/>
      <c r="D304" s="102"/>
    </row>
    <row r="305">
      <c r="B305" s="102"/>
      <c r="C305" s="102"/>
      <c r="D305" s="102"/>
    </row>
    <row r="306">
      <c r="B306" s="102"/>
      <c r="C306" s="102"/>
      <c r="D306" s="102"/>
    </row>
    <row r="307">
      <c r="B307" s="102"/>
      <c r="C307" s="102"/>
      <c r="D307" s="102"/>
    </row>
    <row r="308">
      <c r="B308" s="102"/>
      <c r="C308" s="102"/>
      <c r="D308" s="102"/>
    </row>
    <row r="309">
      <c r="B309" s="102"/>
      <c r="C309" s="102"/>
      <c r="D309" s="102"/>
    </row>
    <row r="310">
      <c r="B310" s="102"/>
      <c r="C310" s="102"/>
      <c r="D310" s="102"/>
    </row>
    <row r="311">
      <c r="B311" s="102"/>
      <c r="C311" s="102"/>
      <c r="D311" s="102"/>
    </row>
    <row r="312">
      <c r="B312" s="102"/>
      <c r="C312" s="102"/>
      <c r="D312" s="102"/>
    </row>
    <row r="313">
      <c r="B313" s="102"/>
      <c r="C313" s="102"/>
      <c r="D313" s="102"/>
    </row>
    <row r="314">
      <c r="B314" s="102"/>
      <c r="C314" s="102"/>
      <c r="D314" s="102"/>
    </row>
    <row r="315">
      <c r="B315" s="102"/>
      <c r="C315" s="102"/>
      <c r="D315" s="102"/>
    </row>
    <row r="316">
      <c r="B316" s="102"/>
      <c r="C316" s="102"/>
      <c r="D316" s="102"/>
    </row>
    <row r="317">
      <c r="B317" s="102"/>
      <c r="C317" s="102"/>
      <c r="D317" s="102"/>
    </row>
    <row r="318">
      <c r="B318" s="102"/>
      <c r="C318" s="102"/>
      <c r="D318" s="102"/>
    </row>
    <row r="319">
      <c r="B319" s="102"/>
      <c r="C319" s="102"/>
      <c r="D319" s="102"/>
    </row>
    <row r="320">
      <c r="B320" s="102"/>
      <c r="C320" s="102"/>
      <c r="D320" s="102"/>
    </row>
    <row r="321">
      <c r="B321" s="102"/>
      <c r="C321" s="102"/>
      <c r="D321" s="102"/>
    </row>
    <row r="322">
      <c r="B322" s="102"/>
      <c r="C322" s="102"/>
      <c r="D322" s="102"/>
    </row>
    <row r="323">
      <c r="B323" s="102"/>
      <c r="C323" s="102"/>
      <c r="D323" s="102"/>
    </row>
    <row r="324">
      <c r="B324" s="102"/>
      <c r="C324" s="102"/>
      <c r="D324" s="102"/>
    </row>
    <row r="325">
      <c r="B325" s="102"/>
      <c r="C325" s="102"/>
      <c r="D325" s="102"/>
    </row>
    <row r="326">
      <c r="B326" s="102"/>
      <c r="C326" s="102"/>
      <c r="D326" s="102"/>
    </row>
    <row r="327">
      <c r="B327" s="102"/>
      <c r="C327" s="102"/>
      <c r="D327" s="102"/>
    </row>
    <row r="328">
      <c r="B328" s="102"/>
      <c r="C328" s="102"/>
      <c r="D328" s="102"/>
    </row>
    <row r="329">
      <c r="B329" s="102"/>
      <c r="C329" s="102"/>
      <c r="D329" s="102"/>
    </row>
    <row r="330">
      <c r="B330" s="102"/>
      <c r="C330" s="102"/>
      <c r="D330" s="102"/>
    </row>
    <row r="331">
      <c r="B331" s="102"/>
      <c r="C331" s="102"/>
      <c r="D331" s="102"/>
    </row>
    <row r="332">
      <c r="B332" s="102"/>
      <c r="C332" s="102"/>
      <c r="D332" s="102"/>
    </row>
    <row r="333">
      <c r="B333" s="102"/>
      <c r="C333" s="102"/>
      <c r="D333" s="102"/>
    </row>
    <row r="334">
      <c r="B334" s="102"/>
      <c r="C334" s="102"/>
      <c r="D334" s="102"/>
    </row>
    <row r="335">
      <c r="B335" s="102"/>
      <c r="C335" s="102"/>
      <c r="D335" s="102"/>
    </row>
    <row r="336">
      <c r="B336" s="102"/>
      <c r="C336" s="102"/>
      <c r="D336" s="102"/>
    </row>
    <row r="337">
      <c r="B337" s="102"/>
      <c r="C337" s="102"/>
      <c r="D337" s="102"/>
    </row>
    <row r="338">
      <c r="B338" s="102"/>
      <c r="C338" s="102"/>
      <c r="D338" s="102"/>
    </row>
    <row r="339">
      <c r="B339" s="102"/>
      <c r="C339" s="102"/>
      <c r="D339" s="102"/>
    </row>
    <row r="340">
      <c r="B340" s="102"/>
      <c r="C340" s="102"/>
      <c r="D340" s="102"/>
    </row>
    <row r="341">
      <c r="B341" s="102"/>
      <c r="C341" s="102"/>
      <c r="D341" s="102"/>
    </row>
    <row r="342">
      <c r="B342" s="102"/>
      <c r="C342" s="102"/>
      <c r="D342" s="102"/>
    </row>
    <row r="343">
      <c r="B343" s="102"/>
      <c r="C343" s="102"/>
      <c r="D343" s="102"/>
    </row>
    <row r="344">
      <c r="B344" s="102"/>
      <c r="C344" s="102"/>
      <c r="D344" s="102"/>
    </row>
    <row r="345">
      <c r="B345" s="102"/>
      <c r="C345" s="102"/>
      <c r="D345" s="102"/>
    </row>
    <row r="346">
      <c r="B346" s="102"/>
      <c r="C346" s="102"/>
      <c r="D346" s="102"/>
    </row>
    <row r="347">
      <c r="B347" s="102"/>
      <c r="C347" s="102"/>
      <c r="D347" s="102"/>
    </row>
    <row r="348">
      <c r="B348" s="102"/>
      <c r="C348" s="102"/>
      <c r="D348" s="102"/>
    </row>
    <row r="349">
      <c r="B349" s="102"/>
      <c r="C349" s="102"/>
      <c r="D349" s="102"/>
    </row>
    <row r="350">
      <c r="B350" s="102"/>
      <c r="C350" s="102"/>
      <c r="D350" s="102"/>
    </row>
    <row r="351">
      <c r="B351" s="102"/>
      <c r="C351" s="102"/>
      <c r="D351" s="102"/>
    </row>
    <row r="352">
      <c r="B352" s="102"/>
      <c r="C352" s="102"/>
      <c r="D352" s="102"/>
    </row>
    <row r="353">
      <c r="B353" s="102"/>
      <c r="C353" s="102"/>
      <c r="D353" s="102"/>
    </row>
    <row r="354">
      <c r="B354" s="102"/>
      <c r="C354" s="102"/>
      <c r="D354" s="102"/>
    </row>
    <row r="355">
      <c r="B355" s="102"/>
      <c r="C355" s="102"/>
      <c r="D355" s="102"/>
    </row>
    <row r="356">
      <c r="B356" s="102"/>
      <c r="C356" s="102"/>
      <c r="D356" s="102"/>
    </row>
    <row r="357">
      <c r="B357" s="102"/>
      <c r="C357" s="102"/>
      <c r="D357" s="102"/>
    </row>
    <row r="358">
      <c r="B358" s="102"/>
      <c r="C358" s="102"/>
      <c r="D358" s="102"/>
    </row>
    <row r="359">
      <c r="B359" s="102"/>
      <c r="C359" s="102"/>
      <c r="D359" s="102"/>
    </row>
    <row r="360">
      <c r="B360" s="102"/>
      <c r="C360" s="102"/>
      <c r="D360" s="102"/>
    </row>
    <row r="361">
      <c r="B361" s="102"/>
      <c r="C361" s="102"/>
      <c r="D361" s="102"/>
    </row>
    <row r="362">
      <c r="B362" s="102"/>
      <c r="C362" s="102"/>
      <c r="D362" s="102"/>
    </row>
    <row r="363">
      <c r="B363" s="102"/>
      <c r="C363" s="102"/>
      <c r="D363" s="102"/>
    </row>
    <row r="364">
      <c r="B364" s="102"/>
      <c r="C364" s="102"/>
      <c r="D364" s="102"/>
    </row>
    <row r="365">
      <c r="B365" s="102"/>
      <c r="C365" s="102"/>
      <c r="D365" s="102"/>
    </row>
    <row r="366">
      <c r="B366" s="102"/>
      <c r="C366" s="102"/>
      <c r="D366" s="102"/>
    </row>
    <row r="367">
      <c r="B367" s="102"/>
      <c r="C367" s="102"/>
      <c r="D367" s="102"/>
    </row>
    <row r="368">
      <c r="B368" s="102"/>
      <c r="C368" s="102"/>
      <c r="D368" s="102"/>
    </row>
    <row r="369">
      <c r="B369" s="102"/>
      <c r="C369" s="102"/>
      <c r="D369" s="102"/>
    </row>
    <row r="370">
      <c r="B370" s="102"/>
      <c r="C370" s="102"/>
      <c r="D370" s="102"/>
    </row>
    <row r="371">
      <c r="B371" s="102"/>
      <c r="C371" s="102"/>
      <c r="D371" s="102"/>
    </row>
    <row r="372">
      <c r="B372" s="102"/>
      <c r="C372" s="102"/>
      <c r="D372" s="102"/>
    </row>
    <row r="373">
      <c r="B373" s="102"/>
      <c r="C373" s="102"/>
      <c r="D373" s="102"/>
    </row>
    <row r="374">
      <c r="B374" s="102"/>
      <c r="C374" s="102"/>
      <c r="D374" s="102"/>
    </row>
    <row r="375">
      <c r="B375" s="102"/>
      <c r="C375" s="102"/>
      <c r="D375" s="102"/>
    </row>
    <row r="376">
      <c r="B376" s="102"/>
      <c r="C376" s="102"/>
      <c r="D376" s="102"/>
    </row>
    <row r="377">
      <c r="B377" s="102"/>
      <c r="C377" s="102"/>
      <c r="D377" s="102"/>
    </row>
    <row r="378">
      <c r="B378" s="102"/>
      <c r="C378" s="102"/>
      <c r="D378" s="102"/>
    </row>
    <row r="379">
      <c r="B379" s="102"/>
      <c r="C379" s="102"/>
      <c r="D379" s="102"/>
    </row>
    <row r="380">
      <c r="B380" s="102"/>
      <c r="C380" s="102"/>
      <c r="D380" s="102"/>
    </row>
    <row r="381">
      <c r="B381" s="102"/>
      <c r="C381" s="102"/>
      <c r="D381" s="102"/>
    </row>
    <row r="382">
      <c r="B382" s="102"/>
      <c r="C382" s="102"/>
      <c r="D382" s="102"/>
    </row>
    <row r="383">
      <c r="B383" s="102"/>
      <c r="C383" s="102"/>
      <c r="D383" s="102"/>
    </row>
    <row r="384">
      <c r="B384" s="102"/>
      <c r="C384" s="102"/>
      <c r="D384" s="102"/>
    </row>
    <row r="385">
      <c r="B385" s="102"/>
      <c r="C385" s="102"/>
      <c r="D385" s="102"/>
    </row>
    <row r="386">
      <c r="B386" s="102"/>
      <c r="C386" s="102"/>
      <c r="D386" s="102"/>
    </row>
    <row r="387">
      <c r="B387" s="102"/>
      <c r="C387" s="102"/>
      <c r="D387" s="102"/>
    </row>
    <row r="388">
      <c r="B388" s="102"/>
      <c r="C388" s="102"/>
      <c r="D388" s="102"/>
    </row>
    <row r="389">
      <c r="B389" s="102"/>
      <c r="C389" s="102"/>
      <c r="D389" s="102"/>
    </row>
    <row r="390">
      <c r="B390" s="102"/>
      <c r="C390" s="102"/>
      <c r="D390" s="102"/>
    </row>
    <row r="391">
      <c r="B391" s="102"/>
      <c r="C391" s="102"/>
      <c r="D391" s="102"/>
    </row>
    <row r="392">
      <c r="B392" s="102"/>
      <c r="C392" s="102"/>
      <c r="D392" s="102"/>
    </row>
    <row r="393">
      <c r="B393" s="102"/>
      <c r="C393" s="102"/>
      <c r="D393" s="102"/>
    </row>
    <row r="394">
      <c r="B394" s="102"/>
      <c r="C394" s="102"/>
      <c r="D394" s="102"/>
    </row>
    <row r="395">
      <c r="B395" s="102"/>
      <c r="C395" s="102"/>
      <c r="D395" s="102"/>
    </row>
    <row r="396">
      <c r="B396" s="102"/>
      <c r="C396" s="102"/>
      <c r="D396" s="102"/>
    </row>
    <row r="397">
      <c r="B397" s="102"/>
      <c r="C397" s="102"/>
      <c r="D397" s="102"/>
    </row>
    <row r="398">
      <c r="B398" s="102"/>
      <c r="C398" s="102"/>
      <c r="D398" s="102"/>
    </row>
    <row r="399">
      <c r="B399" s="102"/>
      <c r="C399" s="102"/>
      <c r="D399" s="102"/>
    </row>
    <row r="400">
      <c r="B400" s="102"/>
      <c r="C400" s="102"/>
      <c r="D400" s="102"/>
    </row>
    <row r="401">
      <c r="B401" s="102"/>
      <c r="C401" s="102"/>
      <c r="D401" s="102"/>
    </row>
    <row r="402">
      <c r="B402" s="102"/>
      <c r="C402" s="102"/>
      <c r="D402" s="102"/>
    </row>
    <row r="403">
      <c r="B403" s="102"/>
      <c r="C403" s="102"/>
      <c r="D403" s="102"/>
    </row>
    <row r="404">
      <c r="B404" s="102"/>
      <c r="C404" s="102"/>
      <c r="D404" s="102"/>
    </row>
    <row r="405">
      <c r="B405" s="102"/>
      <c r="C405" s="102"/>
      <c r="D405" s="102"/>
    </row>
    <row r="406">
      <c r="B406" s="102"/>
      <c r="C406" s="102"/>
      <c r="D406" s="102"/>
    </row>
    <row r="407">
      <c r="B407" s="102"/>
      <c r="C407" s="102"/>
      <c r="D407" s="102"/>
    </row>
    <row r="408">
      <c r="B408" s="102"/>
      <c r="C408" s="102"/>
      <c r="D408" s="102"/>
    </row>
    <row r="409">
      <c r="B409" s="102"/>
      <c r="C409" s="102"/>
      <c r="D409" s="102"/>
    </row>
    <row r="410">
      <c r="B410" s="102"/>
      <c r="C410" s="102"/>
      <c r="D410" s="102"/>
    </row>
    <row r="411">
      <c r="B411" s="102"/>
      <c r="C411" s="102"/>
      <c r="D411" s="102"/>
    </row>
    <row r="412">
      <c r="B412" s="102"/>
      <c r="C412" s="102"/>
      <c r="D412" s="102"/>
    </row>
    <row r="413">
      <c r="B413" s="102"/>
      <c r="C413" s="102"/>
      <c r="D413" s="102"/>
    </row>
    <row r="414">
      <c r="B414" s="102"/>
      <c r="C414" s="102"/>
      <c r="D414" s="102"/>
    </row>
    <row r="415">
      <c r="B415" s="102"/>
      <c r="C415" s="102"/>
      <c r="D415" s="102"/>
    </row>
    <row r="416">
      <c r="B416" s="102"/>
      <c r="C416" s="102"/>
      <c r="D416" s="102"/>
    </row>
    <row r="417">
      <c r="B417" s="102"/>
      <c r="C417" s="102"/>
      <c r="D417" s="102"/>
    </row>
    <row r="418">
      <c r="B418" s="102"/>
      <c r="C418" s="102"/>
      <c r="D418" s="102"/>
    </row>
    <row r="419">
      <c r="B419" s="102"/>
      <c r="C419" s="102"/>
      <c r="D419" s="102"/>
    </row>
    <row r="420">
      <c r="B420" s="102"/>
      <c r="C420" s="102"/>
      <c r="D420" s="102"/>
    </row>
    <row r="421">
      <c r="B421" s="102"/>
      <c r="C421" s="102"/>
      <c r="D421" s="102"/>
    </row>
    <row r="422">
      <c r="B422" s="102"/>
      <c r="C422" s="102"/>
      <c r="D422" s="102"/>
    </row>
    <row r="423">
      <c r="B423" s="102"/>
      <c r="C423" s="102"/>
      <c r="D423" s="102"/>
    </row>
    <row r="424">
      <c r="B424" s="102"/>
      <c r="C424" s="102"/>
      <c r="D424" s="102"/>
    </row>
    <row r="425">
      <c r="B425" s="102"/>
      <c r="C425" s="102"/>
      <c r="D425" s="102"/>
    </row>
    <row r="426">
      <c r="B426" s="102"/>
      <c r="C426" s="102"/>
      <c r="D426" s="102"/>
    </row>
    <row r="427">
      <c r="B427" s="102"/>
      <c r="C427" s="102"/>
      <c r="D427" s="102"/>
    </row>
    <row r="428">
      <c r="B428" s="102"/>
      <c r="C428" s="102"/>
      <c r="D428" s="102"/>
    </row>
    <row r="429">
      <c r="B429" s="102"/>
      <c r="C429" s="102"/>
      <c r="D429" s="102"/>
    </row>
    <row r="430">
      <c r="B430" s="102"/>
      <c r="C430" s="102"/>
      <c r="D430" s="102"/>
    </row>
    <row r="431">
      <c r="B431" s="102"/>
      <c r="C431" s="102"/>
      <c r="D431" s="102"/>
    </row>
    <row r="432">
      <c r="B432" s="102"/>
      <c r="C432" s="102"/>
      <c r="D432" s="102"/>
    </row>
    <row r="433">
      <c r="B433" s="102"/>
      <c r="C433" s="102"/>
      <c r="D433" s="102"/>
    </row>
    <row r="434">
      <c r="B434" s="102"/>
      <c r="C434" s="102"/>
      <c r="D434" s="102"/>
    </row>
    <row r="435">
      <c r="B435" s="102"/>
      <c r="C435" s="102"/>
      <c r="D435" s="102"/>
    </row>
    <row r="436">
      <c r="B436" s="102"/>
      <c r="C436" s="102"/>
      <c r="D436" s="102"/>
    </row>
    <row r="437">
      <c r="B437" s="102"/>
      <c r="C437" s="102"/>
      <c r="D437" s="102"/>
    </row>
    <row r="438">
      <c r="B438" s="102"/>
      <c r="C438" s="102"/>
      <c r="D438" s="102"/>
    </row>
    <row r="439">
      <c r="B439" s="102"/>
      <c r="C439" s="102"/>
      <c r="D439" s="102"/>
    </row>
    <row r="440">
      <c r="B440" s="102"/>
      <c r="C440" s="102"/>
      <c r="D440" s="102"/>
    </row>
    <row r="441">
      <c r="B441" s="102"/>
      <c r="C441" s="102"/>
      <c r="D441" s="102"/>
    </row>
    <row r="442">
      <c r="B442" s="102"/>
      <c r="C442" s="102"/>
      <c r="D442" s="102"/>
    </row>
    <row r="443">
      <c r="B443" s="102"/>
      <c r="C443" s="102"/>
      <c r="D443" s="102"/>
    </row>
    <row r="444">
      <c r="B444" s="102"/>
      <c r="C444" s="102"/>
      <c r="D444" s="102"/>
    </row>
    <row r="445">
      <c r="B445" s="102"/>
      <c r="C445" s="102"/>
      <c r="D445" s="102"/>
    </row>
    <row r="446">
      <c r="B446" s="102"/>
      <c r="C446" s="102"/>
      <c r="D446" s="102"/>
    </row>
    <row r="447">
      <c r="B447" s="102"/>
      <c r="C447" s="102"/>
      <c r="D447" s="102"/>
    </row>
    <row r="448">
      <c r="B448" s="102"/>
      <c r="C448" s="102"/>
      <c r="D448" s="102"/>
    </row>
    <row r="449">
      <c r="B449" s="102"/>
      <c r="C449" s="102"/>
      <c r="D449" s="102"/>
    </row>
    <row r="450">
      <c r="B450" s="102"/>
      <c r="C450" s="102"/>
      <c r="D450" s="102"/>
    </row>
    <row r="451">
      <c r="B451" s="102"/>
      <c r="C451" s="102"/>
      <c r="D451" s="102"/>
    </row>
    <row r="452">
      <c r="B452" s="102"/>
      <c r="C452" s="102"/>
      <c r="D452" s="102"/>
    </row>
    <row r="453">
      <c r="B453" s="102"/>
      <c r="C453" s="102"/>
      <c r="D453" s="102"/>
    </row>
    <row r="454">
      <c r="B454" s="102"/>
      <c r="C454" s="102"/>
      <c r="D454" s="102"/>
    </row>
    <row r="455">
      <c r="B455" s="102"/>
      <c r="C455" s="102"/>
      <c r="D455" s="102"/>
    </row>
    <row r="456">
      <c r="B456" s="102"/>
      <c r="C456" s="102"/>
      <c r="D456" s="102"/>
    </row>
    <row r="457">
      <c r="B457" s="102"/>
      <c r="C457" s="102"/>
      <c r="D457" s="102"/>
    </row>
    <row r="458">
      <c r="B458" s="102"/>
      <c r="C458" s="102"/>
      <c r="D458" s="102"/>
    </row>
    <row r="459">
      <c r="B459" s="102"/>
      <c r="C459" s="102"/>
      <c r="D459" s="102"/>
    </row>
    <row r="460">
      <c r="B460" s="102"/>
      <c r="C460" s="102"/>
      <c r="D460" s="102"/>
    </row>
    <row r="461">
      <c r="B461" s="102"/>
      <c r="C461" s="102"/>
      <c r="D461" s="102"/>
    </row>
    <row r="462">
      <c r="B462" s="102"/>
      <c r="C462" s="102"/>
      <c r="D462" s="102"/>
    </row>
    <row r="463">
      <c r="B463" s="102"/>
      <c r="C463" s="102"/>
      <c r="D463" s="102"/>
    </row>
    <row r="464">
      <c r="B464" s="102"/>
      <c r="C464" s="102"/>
      <c r="D464" s="102"/>
    </row>
    <row r="465">
      <c r="B465" s="102"/>
      <c r="C465" s="102"/>
      <c r="D465" s="102"/>
    </row>
    <row r="466">
      <c r="B466" s="102"/>
      <c r="C466" s="102"/>
      <c r="D466" s="102"/>
    </row>
    <row r="467">
      <c r="B467" s="102"/>
      <c r="C467" s="102"/>
      <c r="D467" s="102"/>
    </row>
    <row r="468">
      <c r="B468" s="102"/>
      <c r="C468" s="102"/>
      <c r="D468" s="102"/>
    </row>
    <row r="469">
      <c r="B469" s="102"/>
      <c r="C469" s="102"/>
      <c r="D469" s="102"/>
    </row>
    <row r="470">
      <c r="B470" s="102"/>
      <c r="C470" s="102"/>
      <c r="D470" s="102"/>
    </row>
    <row r="471">
      <c r="B471" s="102"/>
      <c r="C471" s="102"/>
      <c r="D471" s="102"/>
    </row>
    <row r="472">
      <c r="B472" s="102"/>
      <c r="C472" s="102"/>
      <c r="D472" s="102"/>
    </row>
    <row r="473">
      <c r="B473" s="102"/>
      <c r="C473" s="102"/>
      <c r="D473" s="102"/>
    </row>
    <row r="474">
      <c r="B474" s="102"/>
      <c r="C474" s="102"/>
      <c r="D474" s="102"/>
    </row>
    <row r="475">
      <c r="B475" s="102"/>
      <c r="C475" s="102"/>
      <c r="D475" s="102"/>
    </row>
    <row r="476">
      <c r="B476" s="102"/>
      <c r="C476" s="102"/>
      <c r="D476" s="102"/>
    </row>
    <row r="477">
      <c r="B477" s="102"/>
      <c r="C477" s="102"/>
      <c r="D477" s="102"/>
    </row>
    <row r="478">
      <c r="B478" s="102"/>
      <c r="C478" s="102"/>
      <c r="D478" s="102"/>
    </row>
    <row r="479">
      <c r="B479" s="102"/>
      <c r="C479" s="102"/>
      <c r="D479" s="102"/>
    </row>
    <row r="480">
      <c r="B480" s="102"/>
      <c r="C480" s="102"/>
      <c r="D480" s="102"/>
    </row>
    <row r="481">
      <c r="B481" s="102"/>
      <c r="C481" s="102"/>
      <c r="D481" s="102"/>
    </row>
    <row r="482">
      <c r="B482" s="102"/>
      <c r="C482" s="102"/>
      <c r="D482" s="102"/>
    </row>
    <row r="483">
      <c r="B483" s="102"/>
      <c r="C483" s="102"/>
      <c r="D483" s="102"/>
    </row>
    <row r="484">
      <c r="B484" s="102"/>
      <c r="C484" s="102"/>
      <c r="D484" s="102"/>
    </row>
    <row r="485">
      <c r="B485" s="102"/>
      <c r="C485" s="102"/>
      <c r="D485" s="102"/>
    </row>
    <row r="486">
      <c r="B486" s="102"/>
      <c r="C486" s="102"/>
      <c r="D486" s="102"/>
    </row>
    <row r="487">
      <c r="B487" s="102"/>
      <c r="C487" s="102"/>
      <c r="D487" s="102"/>
    </row>
    <row r="488">
      <c r="B488" s="102"/>
      <c r="C488" s="102"/>
      <c r="D488" s="102"/>
    </row>
    <row r="489">
      <c r="B489" s="102"/>
      <c r="C489" s="102"/>
      <c r="D489" s="102"/>
    </row>
    <row r="490">
      <c r="B490" s="102"/>
      <c r="C490" s="102"/>
      <c r="D490" s="102"/>
    </row>
    <row r="491">
      <c r="B491" s="102"/>
      <c r="C491" s="102"/>
      <c r="D491" s="102"/>
    </row>
    <row r="492">
      <c r="B492" s="102"/>
      <c r="C492" s="102"/>
      <c r="D492" s="102"/>
    </row>
    <row r="493">
      <c r="B493" s="102"/>
      <c r="C493" s="102"/>
      <c r="D493" s="102"/>
    </row>
    <row r="494">
      <c r="B494" s="102"/>
      <c r="C494" s="102"/>
      <c r="D494" s="102"/>
    </row>
    <row r="495">
      <c r="B495" s="102"/>
      <c r="C495" s="102"/>
      <c r="D495" s="102"/>
    </row>
    <row r="496">
      <c r="B496" s="102"/>
      <c r="C496" s="102"/>
      <c r="D496" s="102"/>
    </row>
    <row r="497">
      <c r="B497" s="102"/>
      <c r="C497" s="102"/>
      <c r="D497" s="102"/>
    </row>
    <row r="498">
      <c r="B498" s="102"/>
      <c r="C498" s="102"/>
      <c r="D498" s="102"/>
    </row>
    <row r="499">
      <c r="B499" s="102"/>
      <c r="C499" s="102"/>
      <c r="D499" s="102"/>
    </row>
    <row r="500">
      <c r="B500" s="102"/>
      <c r="C500" s="102"/>
      <c r="D500" s="102"/>
    </row>
    <row r="501">
      <c r="B501" s="102"/>
      <c r="C501" s="102"/>
      <c r="D501" s="102"/>
    </row>
    <row r="502">
      <c r="B502" s="102"/>
      <c r="C502" s="102"/>
      <c r="D502" s="102"/>
    </row>
    <row r="503">
      <c r="B503" s="102"/>
      <c r="C503" s="102"/>
      <c r="D503" s="102"/>
    </row>
    <row r="504">
      <c r="B504" s="102"/>
      <c r="C504" s="102"/>
      <c r="D504" s="102"/>
    </row>
    <row r="505">
      <c r="B505" s="102"/>
      <c r="C505" s="102"/>
      <c r="D505" s="102"/>
    </row>
    <row r="506">
      <c r="B506" s="102"/>
      <c r="C506" s="102"/>
      <c r="D506" s="102"/>
    </row>
    <row r="507">
      <c r="B507" s="102"/>
      <c r="C507" s="102"/>
      <c r="D507" s="102"/>
    </row>
    <row r="508">
      <c r="B508" s="102"/>
      <c r="C508" s="102"/>
      <c r="D508" s="102"/>
    </row>
    <row r="509">
      <c r="B509" s="102"/>
      <c r="C509" s="102"/>
      <c r="D509" s="102"/>
    </row>
    <row r="510">
      <c r="B510" s="102"/>
      <c r="C510" s="102"/>
      <c r="D510" s="102"/>
    </row>
    <row r="511">
      <c r="B511" s="102"/>
      <c r="C511" s="102"/>
      <c r="D511" s="102"/>
    </row>
    <row r="512">
      <c r="B512" s="102"/>
      <c r="C512" s="102"/>
      <c r="D512" s="102"/>
    </row>
    <row r="513">
      <c r="B513" s="102"/>
      <c r="C513" s="102"/>
      <c r="D513" s="102"/>
    </row>
    <row r="514">
      <c r="B514" s="102"/>
      <c r="C514" s="102"/>
      <c r="D514" s="102"/>
    </row>
    <row r="515">
      <c r="B515" s="102"/>
      <c r="C515" s="102"/>
      <c r="D515" s="102"/>
    </row>
    <row r="516">
      <c r="B516" s="102"/>
      <c r="C516" s="102"/>
      <c r="D516" s="102"/>
    </row>
    <row r="517">
      <c r="B517" s="102"/>
      <c r="C517" s="102"/>
      <c r="D517" s="102"/>
    </row>
    <row r="518">
      <c r="B518" s="102"/>
      <c r="C518" s="102"/>
      <c r="D518" s="102"/>
    </row>
    <row r="519">
      <c r="B519" s="102"/>
      <c r="C519" s="102"/>
      <c r="D519" s="102"/>
    </row>
    <row r="520">
      <c r="B520" s="102"/>
      <c r="C520" s="102"/>
      <c r="D520" s="102"/>
    </row>
    <row r="521">
      <c r="B521" s="102"/>
      <c r="C521" s="102"/>
      <c r="D521" s="102"/>
    </row>
    <row r="522">
      <c r="B522" s="102"/>
      <c r="C522" s="102"/>
      <c r="D522" s="102"/>
    </row>
    <row r="523">
      <c r="B523" s="102"/>
      <c r="C523" s="102"/>
      <c r="D523" s="102"/>
    </row>
    <row r="524">
      <c r="B524" s="102"/>
      <c r="C524" s="102"/>
      <c r="D524" s="102"/>
    </row>
    <row r="525">
      <c r="B525" s="102"/>
      <c r="C525" s="102"/>
      <c r="D525" s="102"/>
    </row>
    <row r="526">
      <c r="B526" s="102"/>
      <c r="C526" s="102"/>
      <c r="D526" s="102"/>
    </row>
    <row r="527">
      <c r="B527" s="102"/>
      <c r="C527" s="102"/>
      <c r="D527" s="102"/>
    </row>
    <row r="528">
      <c r="B528" s="102"/>
      <c r="C528" s="102"/>
      <c r="D528" s="102"/>
    </row>
    <row r="529">
      <c r="B529" s="102"/>
      <c r="C529" s="102"/>
      <c r="D529" s="102"/>
    </row>
    <row r="530">
      <c r="B530" s="102"/>
      <c r="C530" s="102"/>
      <c r="D530" s="102"/>
    </row>
    <row r="531">
      <c r="B531" s="102"/>
      <c r="C531" s="102"/>
      <c r="D531" s="102"/>
    </row>
    <row r="532">
      <c r="B532" s="102"/>
      <c r="C532" s="102"/>
      <c r="D532" s="102"/>
    </row>
    <row r="533">
      <c r="B533" s="102"/>
      <c r="C533" s="102"/>
      <c r="D533" s="102"/>
    </row>
    <row r="534">
      <c r="B534" s="102"/>
      <c r="C534" s="102"/>
      <c r="D534" s="102"/>
    </row>
    <row r="535">
      <c r="B535" s="102"/>
      <c r="C535" s="102"/>
      <c r="D535" s="102"/>
    </row>
    <row r="536">
      <c r="B536" s="102"/>
      <c r="C536" s="102"/>
      <c r="D536" s="102"/>
    </row>
    <row r="537">
      <c r="B537" s="102"/>
      <c r="C537" s="102"/>
      <c r="D537" s="102"/>
    </row>
    <row r="538">
      <c r="B538" s="102"/>
      <c r="C538" s="102"/>
      <c r="D538" s="102"/>
    </row>
    <row r="539">
      <c r="B539" s="102"/>
      <c r="C539" s="102"/>
      <c r="D539" s="102"/>
    </row>
    <row r="540">
      <c r="B540" s="102"/>
      <c r="C540" s="102"/>
      <c r="D540" s="102"/>
    </row>
    <row r="541">
      <c r="B541" s="102"/>
      <c r="C541" s="102"/>
      <c r="D541" s="102"/>
    </row>
    <row r="542">
      <c r="B542" s="102"/>
      <c r="C542" s="102"/>
      <c r="D542" s="102"/>
    </row>
    <row r="543">
      <c r="B543" s="102"/>
      <c r="C543" s="102"/>
      <c r="D543" s="102"/>
    </row>
    <row r="544">
      <c r="B544" s="102"/>
      <c r="C544" s="102"/>
      <c r="D544" s="102"/>
    </row>
    <row r="545">
      <c r="B545" s="102"/>
      <c r="C545" s="102"/>
      <c r="D545" s="102"/>
    </row>
    <row r="546">
      <c r="B546" s="102"/>
      <c r="C546" s="102"/>
      <c r="D546" s="102"/>
    </row>
    <row r="547">
      <c r="B547" s="102"/>
      <c r="C547" s="102"/>
      <c r="D547" s="102"/>
    </row>
    <row r="548">
      <c r="B548" s="102"/>
      <c r="C548" s="102"/>
      <c r="D548" s="102"/>
    </row>
    <row r="549">
      <c r="B549" s="102"/>
      <c r="C549" s="102"/>
      <c r="D549" s="102"/>
    </row>
    <row r="550">
      <c r="B550" s="102"/>
      <c r="C550" s="102"/>
      <c r="D550" s="102"/>
    </row>
    <row r="551">
      <c r="B551" s="102"/>
      <c r="C551" s="102"/>
      <c r="D551" s="102"/>
    </row>
    <row r="552">
      <c r="B552" s="102"/>
      <c r="C552" s="102"/>
      <c r="D552" s="102"/>
    </row>
    <row r="553">
      <c r="B553" s="102"/>
      <c r="C553" s="102"/>
      <c r="D553" s="102"/>
    </row>
    <row r="554">
      <c r="B554" s="102"/>
      <c r="C554" s="102"/>
      <c r="D554" s="102"/>
    </row>
    <row r="555">
      <c r="B555" s="102"/>
      <c r="C555" s="102"/>
      <c r="D555" s="102"/>
    </row>
    <row r="556">
      <c r="B556" s="102"/>
      <c r="C556" s="102"/>
      <c r="D556" s="102"/>
    </row>
    <row r="557">
      <c r="B557" s="102"/>
      <c r="C557" s="102"/>
      <c r="D557" s="102"/>
    </row>
    <row r="558">
      <c r="B558" s="102"/>
      <c r="C558" s="102"/>
      <c r="D558" s="102"/>
    </row>
    <row r="559">
      <c r="B559" s="102"/>
      <c r="C559" s="102"/>
      <c r="D559" s="102"/>
    </row>
    <row r="560">
      <c r="B560" s="102"/>
      <c r="C560" s="102"/>
      <c r="D560" s="102"/>
    </row>
    <row r="561">
      <c r="B561" s="102"/>
      <c r="C561" s="102"/>
      <c r="D561" s="102"/>
    </row>
    <row r="562">
      <c r="B562" s="102"/>
      <c r="C562" s="102"/>
      <c r="D562" s="102"/>
    </row>
    <row r="563">
      <c r="B563" s="102"/>
      <c r="C563" s="102"/>
      <c r="D563" s="102"/>
    </row>
    <row r="564">
      <c r="B564" s="102"/>
      <c r="C564" s="102"/>
      <c r="D564" s="102"/>
    </row>
    <row r="565">
      <c r="B565" s="102"/>
      <c r="C565" s="102"/>
      <c r="D565" s="102"/>
    </row>
    <row r="566">
      <c r="B566" s="102"/>
      <c r="C566" s="102"/>
      <c r="D566" s="102"/>
    </row>
    <row r="567">
      <c r="B567" s="102"/>
      <c r="C567" s="102"/>
      <c r="D567" s="102"/>
    </row>
    <row r="568">
      <c r="B568" s="102"/>
      <c r="C568" s="102"/>
      <c r="D568" s="102"/>
    </row>
    <row r="569">
      <c r="B569" s="102"/>
      <c r="C569" s="102"/>
      <c r="D569" s="102"/>
    </row>
    <row r="570">
      <c r="B570" s="102"/>
      <c r="C570" s="102"/>
      <c r="D570" s="102"/>
    </row>
    <row r="571">
      <c r="B571" s="102"/>
      <c r="C571" s="102"/>
      <c r="D571" s="102"/>
    </row>
    <row r="572">
      <c r="B572" s="102"/>
      <c r="C572" s="102"/>
      <c r="D572" s="102"/>
    </row>
    <row r="573">
      <c r="B573" s="102"/>
      <c r="C573" s="102"/>
      <c r="D573" s="102"/>
    </row>
    <row r="574">
      <c r="B574" s="102"/>
      <c r="C574" s="102"/>
      <c r="D574" s="102"/>
    </row>
    <row r="575">
      <c r="B575" s="102"/>
      <c r="C575" s="102"/>
      <c r="D575" s="102"/>
    </row>
    <row r="576">
      <c r="B576" s="102"/>
      <c r="C576" s="102"/>
      <c r="D576" s="102"/>
    </row>
    <row r="577">
      <c r="B577" s="102"/>
      <c r="C577" s="102"/>
      <c r="D577" s="102"/>
    </row>
    <row r="578">
      <c r="B578" s="102"/>
      <c r="C578" s="102"/>
      <c r="D578" s="102"/>
    </row>
    <row r="579">
      <c r="B579" s="102"/>
      <c r="C579" s="102"/>
      <c r="D579" s="102"/>
    </row>
    <row r="580">
      <c r="B580" s="102"/>
      <c r="C580" s="102"/>
      <c r="D580" s="102"/>
    </row>
    <row r="581">
      <c r="B581" s="102"/>
      <c r="C581" s="102"/>
      <c r="D581" s="102"/>
    </row>
    <row r="582">
      <c r="B582" s="102"/>
      <c r="C582" s="102"/>
      <c r="D582" s="102"/>
    </row>
    <row r="583">
      <c r="B583" s="102"/>
      <c r="C583" s="102"/>
      <c r="D583" s="102"/>
    </row>
    <row r="584">
      <c r="B584" s="102"/>
      <c r="C584" s="102"/>
      <c r="D584" s="102"/>
    </row>
    <row r="585">
      <c r="B585" s="102"/>
      <c r="C585" s="102"/>
      <c r="D585" s="102"/>
    </row>
    <row r="586">
      <c r="B586" s="102"/>
      <c r="C586" s="102"/>
      <c r="D586" s="102"/>
    </row>
    <row r="587">
      <c r="B587" s="102"/>
      <c r="C587" s="102"/>
      <c r="D587" s="102"/>
    </row>
    <row r="588">
      <c r="B588" s="102"/>
      <c r="C588" s="102"/>
      <c r="D588" s="102"/>
    </row>
    <row r="589">
      <c r="B589" s="102"/>
      <c r="C589" s="102"/>
      <c r="D589" s="102"/>
    </row>
    <row r="590">
      <c r="B590" s="102"/>
      <c r="C590" s="102"/>
      <c r="D590" s="102"/>
    </row>
    <row r="591">
      <c r="B591" s="102"/>
      <c r="C591" s="102"/>
      <c r="D591" s="102"/>
    </row>
    <row r="592">
      <c r="B592" s="102"/>
      <c r="C592" s="102"/>
      <c r="D592" s="102"/>
    </row>
    <row r="593">
      <c r="B593" s="102"/>
      <c r="C593" s="102"/>
      <c r="D593" s="102"/>
    </row>
    <row r="594">
      <c r="B594" s="102"/>
      <c r="C594" s="102"/>
      <c r="D594" s="102"/>
    </row>
    <row r="595">
      <c r="B595" s="102"/>
      <c r="C595" s="102"/>
      <c r="D595" s="102"/>
    </row>
    <row r="596">
      <c r="B596" s="102"/>
      <c r="C596" s="102"/>
      <c r="D596" s="102"/>
    </row>
    <row r="597">
      <c r="B597" s="102"/>
      <c r="C597" s="102"/>
      <c r="D597" s="102"/>
    </row>
    <row r="598">
      <c r="B598" s="102"/>
      <c r="C598" s="102"/>
      <c r="D598" s="102"/>
    </row>
    <row r="599">
      <c r="B599" s="102"/>
      <c r="C599" s="102"/>
      <c r="D599" s="102"/>
    </row>
    <row r="600">
      <c r="B600" s="102"/>
      <c r="C600" s="102"/>
      <c r="D600" s="102"/>
    </row>
    <row r="601">
      <c r="B601" s="102"/>
      <c r="C601" s="102"/>
      <c r="D601" s="102"/>
    </row>
    <row r="602">
      <c r="B602" s="102"/>
      <c r="C602" s="102"/>
      <c r="D602" s="102"/>
    </row>
    <row r="603">
      <c r="B603" s="102"/>
      <c r="C603" s="102"/>
      <c r="D603" s="102"/>
    </row>
    <row r="604">
      <c r="B604" s="102"/>
      <c r="C604" s="102"/>
      <c r="D604" s="102"/>
    </row>
    <row r="605">
      <c r="B605" s="102"/>
      <c r="C605" s="102"/>
      <c r="D605" s="102"/>
    </row>
    <row r="606">
      <c r="B606" s="102"/>
      <c r="C606" s="102"/>
      <c r="D606" s="102"/>
    </row>
    <row r="607">
      <c r="B607" s="102"/>
      <c r="C607" s="102"/>
      <c r="D607" s="102"/>
    </row>
    <row r="608">
      <c r="B608" s="102"/>
      <c r="C608" s="102"/>
      <c r="D608" s="102"/>
    </row>
    <row r="609">
      <c r="B609" s="102"/>
      <c r="C609" s="102"/>
      <c r="D609" s="102"/>
    </row>
    <row r="610">
      <c r="B610" s="102"/>
      <c r="C610" s="102"/>
      <c r="D610" s="102"/>
    </row>
    <row r="611">
      <c r="B611" s="102"/>
      <c r="C611" s="102"/>
      <c r="D611" s="102"/>
    </row>
    <row r="612">
      <c r="B612" s="102"/>
      <c r="C612" s="102"/>
      <c r="D612" s="102"/>
    </row>
    <row r="613">
      <c r="B613" s="102"/>
      <c r="C613" s="102"/>
      <c r="D613" s="102"/>
    </row>
    <row r="614">
      <c r="B614" s="102"/>
      <c r="C614" s="102"/>
      <c r="D614" s="102"/>
    </row>
    <row r="615">
      <c r="B615" s="102"/>
      <c r="C615" s="102"/>
      <c r="D615" s="102"/>
    </row>
    <row r="616">
      <c r="B616" s="102"/>
      <c r="C616" s="102"/>
      <c r="D616" s="102"/>
    </row>
    <row r="617">
      <c r="B617" s="102"/>
      <c r="C617" s="102"/>
      <c r="D617" s="102"/>
    </row>
    <row r="618">
      <c r="B618" s="102"/>
      <c r="C618" s="102"/>
      <c r="D618" s="102"/>
    </row>
    <row r="619">
      <c r="B619" s="102"/>
      <c r="C619" s="102"/>
      <c r="D619" s="102"/>
    </row>
    <row r="620">
      <c r="B620" s="102"/>
      <c r="C620" s="102"/>
      <c r="D620" s="102"/>
    </row>
    <row r="621">
      <c r="B621" s="102"/>
      <c r="C621" s="102"/>
      <c r="D621" s="102"/>
    </row>
    <row r="622">
      <c r="B622" s="102"/>
      <c r="C622" s="102"/>
      <c r="D622" s="102"/>
    </row>
    <row r="623">
      <c r="B623" s="102"/>
      <c r="C623" s="102"/>
      <c r="D623" s="102"/>
    </row>
    <row r="624">
      <c r="B624" s="102"/>
      <c r="C624" s="102"/>
      <c r="D624" s="102"/>
    </row>
    <row r="625">
      <c r="B625" s="102"/>
      <c r="C625" s="102"/>
      <c r="D625" s="102"/>
    </row>
    <row r="626">
      <c r="B626" s="102"/>
      <c r="C626" s="102"/>
      <c r="D626" s="102"/>
    </row>
    <row r="627">
      <c r="B627" s="102"/>
      <c r="C627" s="102"/>
      <c r="D627" s="102"/>
    </row>
    <row r="628">
      <c r="B628" s="102"/>
      <c r="C628" s="102"/>
      <c r="D628" s="102"/>
    </row>
    <row r="629">
      <c r="B629" s="102"/>
      <c r="C629" s="102"/>
      <c r="D629" s="102"/>
    </row>
    <row r="630">
      <c r="B630" s="102"/>
      <c r="C630" s="102"/>
      <c r="D630" s="102"/>
    </row>
    <row r="631">
      <c r="B631" s="102"/>
      <c r="C631" s="102"/>
      <c r="D631" s="102"/>
    </row>
    <row r="632">
      <c r="B632" s="102"/>
      <c r="C632" s="102"/>
      <c r="D632" s="102"/>
    </row>
    <row r="633">
      <c r="B633" s="102"/>
      <c r="C633" s="102"/>
      <c r="D633" s="102"/>
    </row>
    <row r="634">
      <c r="B634" s="102"/>
      <c r="C634" s="102"/>
      <c r="D634" s="102"/>
    </row>
    <row r="635">
      <c r="B635" s="102"/>
      <c r="C635" s="102"/>
      <c r="D635" s="102"/>
    </row>
    <row r="636">
      <c r="B636" s="102"/>
      <c r="C636" s="102"/>
      <c r="D636" s="102"/>
    </row>
    <row r="637">
      <c r="B637" s="102"/>
      <c r="C637" s="102"/>
      <c r="D637" s="102"/>
    </row>
    <row r="638">
      <c r="B638" s="102"/>
      <c r="C638" s="102"/>
      <c r="D638" s="102"/>
    </row>
    <row r="639">
      <c r="B639" s="102"/>
      <c r="C639" s="102"/>
      <c r="D639" s="102"/>
    </row>
    <row r="640">
      <c r="B640" s="102"/>
      <c r="C640" s="102"/>
      <c r="D640" s="102"/>
    </row>
    <row r="641">
      <c r="B641" s="102"/>
      <c r="C641" s="102"/>
      <c r="D641" s="102"/>
    </row>
    <row r="642">
      <c r="B642" s="102"/>
      <c r="C642" s="102"/>
      <c r="D642" s="102"/>
    </row>
    <row r="643">
      <c r="B643" s="102"/>
      <c r="C643" s="102"/>
      <c r="D643" s="102"/>
    </row>
    <row r="644">
      <c r="B644" s="102"/>
      <c r="C644" s="102"/>
      <c r="D644" s="102"/>
    </row>
    <row r="645">
      <c r="B645" s="102"/>
      <c r="C645" s="102"/>
      <c r="D645" s="102"/>
    </row>
    <row r="646">
      <c r="B646" s="102"/>
      <c r="C646" s="102"/>
      <c r="D646" s="102"/>
    </row>
    <row r="647">
      <c r="B647" s="102"/>
      <c r="C647" s="102"/>
      <c r="D647" s="102"/>
    </row>
    <row r="648">
      <c r="B648" s="102"/>
      <c r="C648" s="102"/>
      <c r="D648" s="102"/>
    </row>
    <row r="649">
      <c r="B649" s="102"/>
      <c r="C649" s="102"/>
      <c r="D649" s="102"/>
    </row>
    <row r="650">
      <c r="B650" s="102"/>
      <c r="C650" s="102"/>
      <c r="D650" s="102"/>
    </row>
    <row r="651">
      <c r="B651" s="102"/>
      <c r="C651" s="102"/>
      <c r="D651" s="102"/>
    </row>
    <row r="652">
      <c r="B652" s="102"/>
      <c r="C652" s="102"/>
      <c r="D652" s="102"/>
    </row>
    <row r="653">
      <c r="B653" s="102"/>
      <c r="C653" s="102"/>
      <c r="D653" s="102"/>
    </row>
    <row r="654">
      <c r="B654" s="102"/>
      <c r="C654" s="102"/>
      <c r="D654" s="102"/>
    </row>
    <row r="655">
      <c r="B655" s="102"/>
      <c r="C655" s="102"/>
      <c r="D655" s="102"/>
    </row>
    <row r="656">
      <c r="B656" s="102"/>
      <c r="C656" s="102"/>
      <c r="D656" s="102"/>
    </row>
    <row r="657">
      <c r="B657" s="102"/>
      <c r="C657" s="102"/>
      <c r="D657" s="102"/>
    </row>
    <row r="658">
      <c r="B658" s="102"/>
      <c r="C658" s="102"/>
      <c r="D658" s="102"/>
    </row>
    <row r="659">
      <c r="B659" s="102"/>
      <c r="C659" s="102"/>
      <c r="D659" s="102"/>
    </row>
    <row r="660">
      <c r="B660" s="102"/>
      <c r="C660" s="102"/>
      <c r="D660" s="102"/>
    </row>
    <row r="661">
      <c r="B661" s="102"/>
      <c r="C661" s="102"/>
      <c r="D661" s="102"/>
    </row>
    <row r="662">
      <c r="B662" s="102"/>
      <c r="C662" s="102"/>
      <c r="D662" s="102"/>
    </row>
    <row r="663">
      <c r="B663" s="102"/>
      <c r="C663" s="102"/>
      <c r="D663" s="102"/>
    </row>
    <row r="664">
      <c r="B664" s="102"/>
      <c r="C664" s="102"/>
      <c r="D664" s="102"/>
    </row>
    <row r="665">
      <c r="B665" s="102"/>
      <c r="C665" s="102"/>
      <c r="D665" s="102"/>
    </row>
    <row r="666">
      <c r="B666" s="102"/>
      <c r="C666" s="102"/>
      <c r="D666" s="102"/>
    </row>
    <row r="667">
      <c r="B667" s="102"/>
      <c r="C667" s="102"/>
      <c r="D667" s="102"/>
    </row>
    <row r="668">
      <c r="B668" s="102"/>
      <c r="C668" s="102"/>
      <c r="D668" s="102"/>
    </row>
    <row r="669">
      <c r="B669" s="102"/>
      <c r="C669" s="102"/>
      <c r="D669" s="102"/>
    </row>
    <row r="670">
      <c r="B670" s="102"/>
      <c r="C670" s="102"/>
      <c r="D670" s="102"/>
    </row>
    <row r="671">
      <c r="B671" s="102"/>
      <c r="C671" s="102"/>
      <c r="D671" s="102"/>
    </row>
    <row r="672">
      <c r="B672" s="102"/>
      <c r="C672" s="102"/>
      <c r="D672" s="102"/>
    </row>
    <row r="673">
      <c r="B673" s="102"/>
      <c r="C673" s="102"/>
      <c r="D673" s="102"/>
    </row>
    <row r="674">
      <c r="B674" s="102"/>
      <c r="C674" s="102"/>
      <c r="D674" s="102"/>
    </row>
    <row r="675">
      <c r="B675" s="102"/>
      <c r="C675" s="102"/>
      <c r="D675" s="102"/>
    </row>
    <row r="676">
      <c r="B676" s="102"/>
      <c r="C676" s="102"/>
      <c r="D676" s="102"/>
    </row>
    <row r="677">
      <c r="B677" s="102"/>
      <c r="C677" s="102"/>
      <c r="D677" s="102"/>
    </row>
    <row r="678">
      <c r="B678" s="102"/>
      <c r="C678" s="102"/>
      <c r="D678" s="102"/>
    </row>
    <row r="679">
      <c r="B679" s="102"/>
      <c r="C679" s="102"/>
      <c r="D679" s="102"/>
    </row>
    <row r="680">
      <c r="B680" s="102"/>
      <c r="C680" s="102"/>
      <c r="D680" s="102"/>
    </row>
    <row r="681">
      <c r="B681" s="102"/>
      <c r="C681" s="102"/>
      <c r="D681" s="102"/>
    </row>
    <row r="682">
      <c r="B682" s="102"/>
      <c r="C682" s="102"/>
      <c r="D682" s="102"/>
    </row>
    <row r="683">
      <c r="B683" s="102"/>
      <c r="C683" s="102"/>
      <c r="D683" s="102"/>
    </row>
    <row r="684">
      <c r="B684" s="102"/>
      <c r="C684" s="102"/>
      <c r="D684" s="102"/>
    </row>
    <row r="685">
      <c r="B685" s="102"/>
      <c r="C685" s="102"/>
      <c r="D685" s="102"/>
    </row>
    <row r="686">
      <c r="B686" s="102"/>
      <c r="C686" s="102"/>
      <c r="D686" s="102"/>
    </row>
    <row r="687">
      <c r="B687" s="102"/>
      <c r="C687" s="102"/>
      <c r="D687" s="102"/>
    </row>
    <row r="688">
      <c r="B688" s="102"/>
      <c r="C688" s="102"/>
      <c r="D688" s="102"/>
    </row>
    <row r="689">
      <c r="B689" s="102"/>
      <c r="C689" s="102"/>
      <c r="D689" s="102"/>
    </row>
    <row r="690">
      <c r="B690" s="102"/>
      <c r="C690" s="102"/>
      <c r="D690" s="102"/>
    </row>
    <row r="691">
      <c r="B691" s="102"/>
      <c r="C691" s="102"/>
      <c r="D691" s="102"/>
    </row>
    <row r="692">
      <c r="B692" s="102"/>
      <c r="C692" s="102"/>
      <c r="D692" s="102"/>
    </row>
    <row r="693">
      <c r="B693" s="102"/>
      <c r="C693" s="102"/>
      <c r="D693" s="102"/>
    </row>
    <row r="694">
      <c r="B694" s="102"/>
      <c r="C694" s="102"/>
      <c r="D694" s="102"/>
    </row>
    <row r="695">
      <c r="B695" s="102"/>
      <c r="C695" s="102"/>
      <c r="D695" s="102"/>
    </row>
    <row r="696">
      <c r="B696" s="102"/>
      <c r="C696" s="102"/>
      <c r="D696" s="102"/>
    </row>
    <row r="697">
      <c r="B697" s="102"/>
      <c r="C697" s="102"/>
      <c r="D697" s="102"/>
    </row>
    <row r="698">
      <c r="B698" s="102"/>
      <c r="C698" s="102"/>
      <c r="D698" s="102"/>
    </row>
    <row r="699">
      <c r="B699" s="102"/>
      <c r="C699" s="102"/>
      <c r="D699" s="102"/>
    </row>
    <row r="700">
      <c r="B700" s="102"/>
      <c r="C700" s="102"/>
      <c r="D700" s="102"/>
    </row>
    <row r="701">
      <c r="B701" s="102"/>
      <c r="C701" s="102"/>
      <c r="D701" s="102"/>
    </row>
    <row r="702">
      <c r="B702" s="102"/>
      <c r="C702" s="102"/>
      <c r="D702" s="102"/>
    </row>
    <row r="703">
      <c r="B703" s="102"/>
      <c r="C703" s="102"/>
      <c r="D703" s="102"/>
    </row>
    <row r="704">
      <c r="B704" s="102"/>
      <c r="C704" s="102"/>
      <c r="D704" s="102"/>
    </row>
    <row r="705">
      <c r="B705" s="102"/>
      <c r="C705" s="102"/>
      <c r="D705" s="102"/>
    </row>
    <row r="706">
      <c r="B706" s="102"/>
      <c r="C706" s="102"/>
      <c r="D706" s="102"/>
    </row>
    <row r="707">
      <c r="B707" s="102"/>
      <c r="C707" s="102"/>
      <c r="D707" s="102"/>
    </row>
    <row r="708">
      <c r="B708" s="102"/>
      <c r="C708" s="102"/>
      <c r="D708" s="102"/>
    </row>
    <row r="709">
      <c r="B709" s="102"/>
      <c r="C709" s="102"/>
      <c r="D709" s="102"/>
    </row>
    <row r="710">
      <c r="B710" s="102"/>
      <c r="C710" s="102"/>
      <c r="D710" s="102"/>
    </row>
    <row r="711">
      <c r="B711" s="102"/>
      <c r="C711" s="102"/>
      <c r="D711" s="102"/>
    </row>
    <row r="712">
      <c r="B712" s="102"/>
      <c r="C712" s="102"/>
      <c r="D712" s="102"/>
    </row>
    <row r="713">
      <c r="B713" s="102"/>
      <c r="C713" s="102"/>
      <c r="D713" s="102"/>
    </row>
    <row r="714">
      <c r="B714" s="102"/>
      <c r="C714" s="102"/>
      <c r="D714" s="102"/>
    </row>
    <row r="715">
      <c r="B715" s="102"/>
      <c r="C715" s="102"/>
      <c r="D715" s="102"/>
    </row>
    <row r="716">
      <c r="B716" s="102"/>
      <c r="C716" s="102"/>
      <c r="D716" s="102"/>
    </row>
    <row r="717">
      <c r="B717" s="102"/>
      <c r="C717" s="102"/>
      <c r="D717" s="102"/>
    </row>
    <row r="718">
      <c r="B718" s="102"/>
      <c r="C718" s="102"/>
      <c r="D718" s="102"/>
    </row>
    <row r="719">
      <c r="B719" s="102"/>
      <c r="C719" s="102"/>
      <c r="D719" s="102"/>
    </row>
    <row r="720">
      <c r="B720" s="102"/>
      <c r="C720" s="102"/>
      <c r="D720" s="102"/>
    </row>
    <row r="721">
      <c r="B721" s="102"/>
      <c r="C721" s="102"/>
      <c r="D721" s="102"/>
    </row>
    <row r="722">
      <c r="B722" s="102"/>
      <c r="C722" s="102"/>
      <c r="D722" s="102"/>
    </row>
    <row r="723">
      <c r="B723" s="102"/>
      <c r="C723" s="102"/>
      <c r="D723" s="102"/>
    </row>
    <row r="724">
      <c r="B724" s="102"/>
      <c r="C724" s="102"/>
      <c r="D724" s="102"/>
    </row>
    <row r="725">
      <c r="B725" s="102"/>
      <c r="C725" s="102"/>
      <c r="D725" s="102"/>
    </row>
    <row r="726">
      <c r="B726" s="102"/>
      <c r="C726" s="102"/>
      <c r="D726" s="102"/>
    </row>
    <row r="727">
      <c r="B727" s="102"/>
      <c r="C727" s="102"/>
      <c r="D727" s="102"/>
    </row>
    <row r="728">
      <c r="B728" s="102"/>
      <c r="C728" s="102"/>
      <c r="D728" s="102"/>
    </row>
    <row r="729">
      <c r="B729" s="102"/>
      <c r="C729" s="102"/>
      <c r="D729" s="102"/>
    </row>
    <row r="730">
      <c r="B730" s="102"/>
      <c r="C730" s="102"/>
      <c r="D730" s="102"/>
    </row>
    <row r="731">
      <c r="B731" s="102"/>
      <c r="C731" s="102"/>
      <c r="D731" s="102"/>
    </row>
    <row r="732">
      <c r="B732" s="102"/>
      <c r="C732" s="102"/>
      <c r="D732" s="102"/>
    </row>
    <row r="733">
      <c r="B733" s="102"/>
      <c r="C733" s="102"/>
      <c r="D733" s="102"/>
    </row>
    <row r="734">
      <c r="B734" s="102"/>
      <c r="C734" s="102"/>
      <c r="D734" s="102"/>
    </row>
    <row r="735">
      <c r="B735" s="102"/>
      <c r="C735" s="102"/>
      <c r="D735" s="102"/>
    </row>
    <row r="736">
      <c r="B736" s="102"/>
      <c r="C736" s="102"/>
      <c r="D736" s="102"/>
    </row>
    <row r="737">
      <c r="B737" s="102"/>
      <c r="C737" s="102"/>
      <c r="D737" s="102"/>
    </row>
    <row r="738">
      <c r="B738" s="102"/>
      <c r="C738" s="102"/>
      <c r="D738" s="102"/>
    </row>
    <row r="739">
      <c r="B739" s="102"/>
      <c r="C739" s="102"/>
      <c r="D739" s="102"/>
    </row>
    <row r="740">
      <c r="B740" s="102"/>
      <c r="C740" s="102"/>
      <c r="D740" s="102"/>
    </row>
    <row r="741">
      <c r="B741" s="102"/>
      <c r="C741" s="102"/>
      <c r="D741" s="102"/>
    </row>
    <row r="742">
      <c r="B742" s="102"/>
      <c r="C742" s="102"/>
      <c r="D742" s="102"/>
    </row>
    <row r="743">
      <c r="B743" s="102"/>
      <c r="C743" s="102"/>
      <c r="D743" s="102"/>
    </row>
    <row r="744">
      <c r="B744" s="102"/>
      <c r="C744" s="102"/>
      <c r="D744" s="102"/>
    </row>
    <row r="745">
      <c r="B745" s="102"/>
      <c r="C745" s="102"/>
      <c r="D745" s="102"/>
    </row>
    <row r="746">
      <c r="B746" s="102"/>
      <c r="C746" s="102"/>
      <c r="D746" s="102"/>
    </row>
    <row r="747">
      <c r="B747" s="102"/>
      <c r="C747" s="102"/>
      <c r="D747" s="102"/>
    </row>
    <row r="748">
      <c r="B748" s="102"/>
      <c r="C748" s="102"/>
      <c r="D748" s="102"/>
    </row>
    <row r="749">
      <c r="B749" s="102"/>
      <c r="C749" s="102"/>
      <c r="D749" s="102"/>
    </row>
    <row r="750">
      <c r="B750" s="102"/>
      <c r="C750" s="102"/>
      <c r="D750" s="102"/>
    </row>
    <row r="751">
      <c r="B751" s="102"/>
      <c r="C751" s="102"/>
      <c r="D751" s="102"/>
    </row>
    <row r="752">
      <c r="B752" s="102"/>
      <c r="C752" s="102"/>
      <c r="D752" s="102"/>
    </row>
    <row r="753">
      <c r="B753" s="102"/>
      <c r="C753" s="102"/>
      <c r="D753" s="102"/>
    </row>
    <row r="754">
      <c r="B754" s="102"/>
      <c r="C754" s="102"/>
      <c r="D754" s="102"/>
    </row>
    <row r="755">
      <c r="B755" s="102"/>
      <c r="C755" s="102"/>
      <c r="D755" s="102"/>
    </row>
    <row r="756">
      <c r="B756" s="102"/>
      <c r="C756" s="102"/>
      <c r="D756" s="102"/>
    </row>
    <row r="757">
      <c r="B757" s="102"/>
      <c r="C757" s="102"/>
      <c r="D757" s="102"/>
    </row>
    <row r="758">
      <c r="B758" s="102"/>
      <c r="C758" s="102"/>
      <c r="D758" s="102"/>
    </row>
    <row r="759">
      <c r="B759" s="102"/>
      <c r="C759" s="102"/>
      <c r="D759" s="102"/>
    </row>
    <row r="760">
      <c r="B760" s="102"/>
      <c r="C760" s="102"/>
      <c r="D760" s="102"/>
    </row>
    <row r="761">
      <c r="B761" s="102"/>
      <c r="C761" s="102"/>
      <c r="D761" s="102"/>
    </row>
    <row r="762">
      <c r="B762" s="102"/>
      <c r="C762" s="102"/>
      <c r="D762" s="102"/>
    </row>
    <row r="763">
      <c r="B763" s="102"/>
      <c r="C763" s="102"/>
      <c r="D763" s="102"/>
    </row>
    <row r="764">
      <c r="B764" s="102"/>
      <c r="C764" s="102"/>
      <c r="D764" s="102"/>
    </row>
    <row r="765">
      <c r="B765" s="102"/>
      <c r="C765" s="102"/>
      <c r="D765" s="102"/>
    </row>
    <row r="766">
      <c r="B766" s="102"/>
      <c r="C766" s="102"/>
      <c r="D766" s="102"/>
    </row>
    <row r="767">
      <c r="B767" s="102"/>
      <c r="C767" s="102"/>
      <c r="D767" s="102"/>
    </row>
    <row r="768">
      <c r="B768" s="102"/>
      <c r="C768" s="102"/>
      <c r="D768" s="102"/>
    </row>
    <row r="769">
      <c r="B769" s="102"/>
      <c r="C769" s="102"/>
      <c r="D769" s="102"/>
    </row>
    <row r="770">
      <c r="B770" s="102"/>
      <c r="C770" s="102"/>
      <c r="D770" s="102"/>
    </row>
    <row r="771">
      <c r="B771" s="102"/>
      <c r="C771" s="102"/>
      <c r="D771" s="102"/>
    </row>
    <row r="772">
      <c r="B772" s="102"/>
      <c r="C772" s="102"/>
      <c r="D772" s="102"/>
    </row>
    <row r="773">
      <c r="B773" s="102"/>
      <c r="C773" s="102"/>
      <c r="D773" s="102"/>
    </row>
    <row r="774">
      <c r="B774" s="102"/>
      <c r="C774" s="102"/>
      <c r="D774" s="102"/>
    </row>
    <row r="775">
      <c r="B775" s="102"/>
      <c r="C775" s="102"/>
      <c r="D775" s="102"/>
    </row>
    <row r="776">
      <c r="B776" s="102"/>
      <c r="C776" s="102"/>
      <c r="D776" s="102"/>
    </row>
    <row r="777">
      <c r="B777" s="102"/>
      <c r="C777" s="102"/>
      <c r="D777" s="102"/>
    </row>
    <row r="778">
      <c r="B778" s="102"/>
      <c r="C778" s="102"/>
      <c r="D778" s="102"/>
    </row>
    <row r="779">
      <c r="B779" s="102"/>
      <c r="C779" s="102"/>
      <c r="D779" s="102"/>
    </row>
    <row r="780">
      <c r="B780" s="102"/>
      <c r="C780" s="102"/>
      <c r="D780" s="102"/>
    </row>
    <row r="781">
      <c r="B781" s="102"/>
      <c r="C781" s="102"/>
      <c r="D781" s="102"/>
    </row>
    <row r="782">
      <c r="B782" s="102"/>
      <c r="C782" s="102"/>
      <c r="D782" s="102"/>
    </row>
    <row r="783">
      <c r="B783" s="102"/>
      <c r="C783" s="102"/>
      <c r="D783" s="102"/>
    </row>
    <row r="784">
      <c r="B784" s="102"/>
      <c r="C784" s="102"/>
      <c r="D784" s="102"/>
    </row>
    <row r="785">
      <c r="B785" s="102"/>
      <c r="C785" s="102"/>
      <c r="D785" s="102"/>
    </row>
    <row r="786">
      <c r="B786" s="102"/>
      <c r="C786" s="102"/>
      <c r="D786" s="102"/>
    </row>
    <row r="787">
      <c r="B787" s="102"/>
      <c r="C787" s="102"/>
      <c r="D787" s="102"/>
    </row>
    <row r="788">
      <c r="B788" s="102"/>
      <c r="C788" s="102"/>
      <c r="D788" s="102"/>
    </row>
    <row r="789">
      <c r="B789" s="102"/>
      <c r="C789" s="102"/>
      <c r="D789" s="102"/>
    </row>
    <row r="790">
      <c r="B790" s="102"/>
      <c r="C790" s="102"/>
      <c r="D790" s="102"/>
    </row>
    <row r="791">
      <c r="B791" s="102"/>
      <c r="C791" s="102"/>
      <c r="D791" s="102"/>
    </row>
    <row r="792">
      <c r="B792" s="102"/>
      <c r="C792" s="102"/>
      <c r="D792" s="102"/>
    </row>
    <row r="793">
      <c r="B793" s="102"/>
      <c r="C793" s="102"/>
      <c r="D793" s="102"/>
    </row>
    <row r="794">
      <c r="B794" s="102"/>
      <c r="C794" s="102"/>
      <c r="D794" s="102"/>
    </row>
    <row r="795">
      <c r="B795" s="102"/>
      <c r="C795" s="102"/>
      <c r="D795" s="102"/>
    </row>
    <row r="796">
      <c r="B796" s="102"/>
      <c r="C796" s="102"/>
      <c r="D796" s="102"/>
    </row>
    <row r="797">
      <c r="B797" s="102"/>
      <c r="C797" s="102"/>
      <c r="D797" s="102"/>
    </row>
    <row r="798">
      <c r="B798" s="102"/>
      <c r="C798" s="102"/>
      <c r="D798" s="102"/>
    </row>
    <row r="799">
      <c r="B799" s="102"/>
      <c r="C799" s="102"/>
      <c r="D799" s="102"/>
    </row>
    <row r="800">
      <c r="B800" s="102"/>
      <c r="C800" s="102"/>
      <c r="D800" s="102"/>
    </row>
    <row r="801">
      <c r="B801" s="102"/>
      <c r="C801" s="102"/>
      <c r="D801" s="102"/>
    </row>
    <row r="802">
      <c r="B802" s="102"/>
      <c r="C802" s="102"/>
      <c r="D802" s="102"/>
    </row>
    <row r="803">
      <c r="B803" s="102"/>
      <c r="C803" s="102"/>
      <c r="D803" s="102"/>
    </row>
    <row r="804">
      <c r="B804" s="102"/>
      <c r="C804" s="102"/>
      <c r="D804" s="102"/>
    </row>
    <row r="805">
      <c r="B805" s="102"/>
      <c r="C805" s="102"/>
      <c r="D805" s="102"/>
    </row>
    <row r="806">
      <c r="B806" s="102"/>
      <c r="C806" s="102"/>
      <c r="D806" s="102"/>
    </row>
    <row r="807">
      <c r="B807" s="102"/>
      <c r="C807" s="102"/>
      <c r="D807" s="102"/>
    </row>
    <row r="808">
      <c r="B808" s="102"/>
      <c r="C808" s="102"/>
      <c r="D808" s="102"/>
    </row>
    <row r="809">
      <c r="B809" s="102"/>
      <c r="C809" s="102"/>
      <c r="D809" s="102"/>
    </row>
    <row r="810">
      <c r="B810" s="102"/>
      <c r="C810" s="102"/>
      <c r="D810" s="102"/>
    </row>
    <row r="811">
      <c r="B811" s="102"/>
      <c r="C811" s="102"/>
      <c r="D811" s="102"/>
    </row>
    <row r="812">
      <c r="B812" s="102"/>
      <c r="C812" s="102"/>
      <c r="D812" s="102"/>
    </row>
    <row r="813">
      <c r="B813" s="102"/>
      <c r="C813" s="102"/>
      <c r="D813" s="102"/>
    </row>
    <row r="814">
      <c r="B814" s="102"/>
      <c r="C814" s="102"/>
      <c r="D814" s="102"/>
    </row>
    <row r="815">
      <c r="B815" s="102"/>
      <c r="C815" s="102"/>
      <c r="D815" s="102"/>
    </row>
    <row r="816">
      <c r="B816" s="102"/>
      <c r="C816" s="102"/>
      <c r="D816" s="102"/>
    </row>
    <row r="817">
      <c r="B817" s="102"/>
      <c r="C817" s="102"/>
      <c r="D817" s="102"/>
    </row>
    <row r="818">
      <c r="B818" s="102"/>
      <c r="C818" s="102"/>
      <c r="D818" s="102"/>
    </row>
    <row r="819">
      <c r="B819" s="102"/>
      <c r="C819" s="102"/>
      <c r="D819" s="102"/>
    </row>
    <row r="820">
      <c r="B820" s="102"/>
      <c r="C820" s="102"/>
      <c r="D820" s="102"/>
    </row>
    <row r="821">
      <c r="B821" s="102"/>
      <c r="C821" s="102"/>
      <c r="D821" s="102"/>
    </row>
    <row r="822">
      <c r="B822" s="102"/>
      <c r="C822" s="102"/>
      <c r="D822" s="102"/>
    </row>
    <row r="823">
      <c r="B823" s="102"/>
      <c r="C823" s="102"/>
      <c r="D823" s="102"/>
    </row>
    <row r="824">
      <c r="B824" s="102"/>
      <c r="C824" s="102"/>
      <c r="D824" s="102"/>
    </row>
    <row r="825">
      <c r="B825" s="102"/>
      <c r="C825" s="102"/>
      <c r="D825" s="102"/>
    </row>
    <row r="826">
      <c r="B826" s="102"/>
      <c r="C826" s="102"/>
      <c r="D826" s="102"/>
    </row>
    <row r="827">
      <c r="B827" s="102"/>
      <c r="C827" s="102"/>
      <c r="D827" s="102"/>
    </row>
    <row r="828">
      <c r="B828" s="102"/>
      <c r="C828" s="102"/>
      <c r="D828" s="102"/>
    </row>
    <row r="829">
      <c r="B829" s="102"/>
      <c r="C829" s="102"/>
      <c r="D829" s="102"/>
    </row>
    <row r="830">
      <c r="B830" s="102"/>
      <c r="C830" s="102"/>
      <c r="D830" s="102"/>
    </row>
    <row r="831">
      <c r="B831" s="102"/>
      <c r="C831" s="102"/>
      <c r="D831" s="102"/>
    </row>
    <row r="832">
      <c r="B832" s="102"/>
      <c r="C832" s="102"/>
      <c r="D832" s="102"/>
    </row>
    <row r="833">
      <c r="B833" s="102"/>
      <c r="C833" s="102"/>
      <c r="D833" s="102"/>
    </row>
    <row r="834">
      <c r="B834" s="102"/>
      <c r="C834" s="102"/>
      <c r="D834" s="102"/>
    </row>
    <row r="835">
      <c r="B835" s="102"/>
      <c r="C835" s="102"/>
      <c r="D835" s="102"/>
    </row>
    <row r="836">
      <c r="B836" s="102"/>
      <c r="C836" s="102"/>
      <c r="D836" s="102"/>
    </row>
    <row r="837">
      <c r="B837" s="102"/>
      <c r="C837" s="102"/>
      <c r="D837" s="102"/>
    </row>
    <row r="838">
      <c r="B838" s="102"/>
      <c r="C838" s="102"/>
      <c r="D838" s="102"/>
    </row>
    <row r="839">
      <c r="B839" s="102"/>
      <c r="C839" s="102"/>
      <c r="D839" s="102"/>
    </row>
    <row r="840">
      <c r="B840" s="102"/>
      <c r="C840" s="102"/>
      <c r="D840" s="102"/>
    </row>
    <row r="841">
      <c r="B841" s="102"/>
      <c r="C841" s="102"/>
      <c r="D841" s="102"/>
    </row>
    <row r="842">
      <c r="B842" s="102"/>
      <c r="C842" s="102"/>
      <c r="D842" s="102"/>
    </row>
    <row r="843">
      <c r="B843" s="102"/>
      <c r="C843" s="102"/>
      <c r="D843" s="102"/>
    </row>
    <row r="844">
      <c r="B844" s="102"/>
      <c r="C844" s="102"/>
      <c r="D844" s="102"/>
    </row>
    <row r="845">
      <c r="B845" s="102"/>
      <c r="C845" s="102"/>
      <c r="D845" s="102"/>
    </row>
    <row r="846">
      <c r="B846" s="102"/>
      <c r="C846" s="102"/>
      <c r="D846" s="102"/>
    </row>
    <row r="847">
      <c r="B847" s="102"/>
      <c r="C847" s="102"/>
      <c r="D847" s="102"/>
    </row>
    <row r="848">
      <c r="B848" s="102"/>
      <c r="C848" s="102"/>
      <c r="D848" s="102"/>
    </row>
    <row r="849">
      <c r="B849" s="102"/>
      <c r="C849" s="102"/>
      <c r="D849" s="102"/>
    </row>
    <row r="850">
      <c r="B850" s="102"/>
      <c r="C850" s="102"/>
      <c r="D850" s="102"/>
    </row>
    <row r="851">
      <c r="B851" s="102"/>
      <c r="C851" s="102"/>
      <c r="D851" s="102"/>
    </row>
    <row r="852">
      <c r="B852" s="102"/>
      <c r="C852" s="102"/>
      <c r="D852" s="102"/>
    </row>
    <row r="853">
      <c r="B853" s="102"/>
      <c r="C853" s="102"/>
      <c r="D853" s="102"/>
    </row>
    <row r="854">
      <c r="B854" s="102"/>
      <c r="C854" s="102"/>
      <c r="D854" s="102"/>
    </row>
    <row r="855">
      <c r="B855" s="102"/>
      <c r="C855" s="102"/>
      <c r="D855" s="102"/>
    </row>
    <row r="856">
      <c r="B856" s="102"/>
      <c r="C856" s="102"/>
      <c r="D856" s="102"/>
    </row>
    <row r="857">
      <c r="B857" s="102"/>
      <c r="C857" s="102"/>
      <c r="D857" s="102"/>
    </row>
    <row r="858">
      <c r="B858" s="102"/>
      <c r="C858" s="102"/>
      <c r="D858" s="102"/>
    </row>
    <row r="859">
      <c r="B859" s="102"/>
      <c r="C859" s="102"/>
      <c r="D859" s="102"/>
    </row>
    <row r="860">
      <c r="B860" s="102"/>
      <c r="C860" s="102"/>
      <c r="D860" s="102"/>
    </row>
    <row r="861">
      <c r="B861" s="102"/>
      <c r="C861" s="102"/>
      <c r="D861" s="102"/>
    </row>
    <row r="862">
      <c r="B862" s="102"/>
      <c r="C862" s="102"/>
      <c r="D862" s="102"/>
    </row>
    <row r="863">
      <c r="B863" s="102"/>
      <c r="C863" s="102"/>
      <c r="D863" s="102"/>
    </row>
    <row r="864">
      <c r="B864" s="102"/>
      <c r="C864" s="102"/>
      <c r="D864" s="102"/>
    </row>
    <row r="865">
      <c r="B865" s="102"/>
      <c r="C865" s="102"/>
      <c r="D865" s="102"/>
    </row>
    <row r="866">
      <c r="B866" s="102"/>
      <c r="C866" s="102"/>
      <c r="D866" s="102"/>
    </row>
    <row r="867">
      <c r="B867" s="102"/>
      <c r="C867" s="102"/>
      <c r="D867" s="102"/>
    </row>
    <row r="868">
      <c r="B868" s="102"/>
      <c r="C868" s="102"/>
      <c r="D868" s="102"/>
    </row>
    <row r="869">
      <c r="B869" s="102"/>
      <c r="C869" s="102"/>
      <c r="D869" s="102"/>
    </row>
    <row r="870">
      <c r="B870" s="102"/>
      <c r="C870" s="102"/>
      <c r="D870" s="102"/>
    </row>
    <row r="871">
      <c r="B871" s="102"/>
      <c r="C871" s="102"/>
      <c r="D871" s="102"/>
    </row>
    <row r="872">
      <c r="B872" s="102"/>
      <c r="C872" s="102"/>
      <c r="D872" s="102"/>
    </row>
    <row r="873">
      <c r="B873" s="102"/>
      <c r="C873" s="102"/>
      <c r="D873" s="102"/>
    </row>
    <row r="874">
      <c r="B874" s="102"/>
      <c r="C874" s="102"/>
      <c r="D874" s="102"/>
    </row>
    <row r="875">
      <c r="B875" s="102"/>
      <c r="C875" s="102"/>
      <c r="D875" s="102"/>
    </row>
    <row r="876">
      <c r="B876" s="102"/>
      <c r="C876" s="102"/>
      <c r="D876" s="102"/>
    </row>
    <row r="877">
      <c r="B877" s="102"/>
      <c r="C877" s="102"/>
      <c r="D877" s="102"/>
    </row>
    <row r="878">
      <c r="B878" s="102"/>
      <c r="C878" s="102"/>
      <c r="D878" s="102"/>
    </row>
    <row r="879">
      <c r="B879" s="102"/>
      <c r="C879" s="102"/>
      <c r="D879" s="102"/>
    </row>
    <row r="880">
      <c r="B880" s="102"/>
      <c r="C880" s="102"/>
      <c r="D880" s="102"/>
    </row>
    <row r="881">
      <c r="B881" s="102"/>
      <c r="C881" s="102"/>
      <c r="D881" s="102"/>
    </row>
    <row r="882">
      <c r="B882" s="102"/>
      <c r="C882" s="102"/>
      <c r="D882" s="102"/>
    </row>
    <row r="883">
      <c r="B883" s="102"/>
      <c r="C883" s="102"/>
      <c r="D883" s="102"/>
    </row>
    <row r="884">
      <c r="B884" s="102"/>
      <c r="C884" s="102"/>
      <c r="D884" s="102"/>
    </row>
    <row r="885">
      <c r="B885" s="102"/>
      <c r="C885" s="102"/>
      <c r="D885" s="102"/>
    </row>
    <row r="886">
      <c r="B886" s="102"/>
      <c r="C886" s="102"/>
      <c r="D886" s="102"/>
    </row>
    <row r="887">
      <c r="B887" s="102"/>
      <c r="C887" s="102"/>
      <c r="D887" s="102"/>
    </row>
    <row r="888">
      <c r="B888" s="102"/>
      <c r="C888" s="102"/>
      <c r="D888" s="102"/>
    </row>
    <row r="889">
      <c r="B889" s="102"/>
      <c r="C889" s="102"/>
      <c r="D889" s="102"/>
    </row>
    <row r="890">
      <c r="B890" s="102"/>
      <c r="C890" s="102"/>
      <c r="D890" s="102"/>
    </row>
    <row r="891">
      <c r="B891" s="102"/>
      <c r="C891" s="102"/>
      <c r="D891" s="102"/>
    </row>
    <row r="892">
      <c r="B892" s="102"/>
      <c r="C892" s="102"/>
      <c r="D892" s="102"/>
    </row>
    <row r="893">
      <c r="B893" s="102"/>
      <c r="C893" s="102"/>
      <c r="D893" s="102"/>
    </row>
    <row r="894">
      <c r="B894" s="102"/>
      <c r="C894" s="102"/>
      <c r="D894" s="102"/>
    </row>
    <row r="895">
      <c r="B895" s="102"/>
      <c r="C895" s="102"/>
      <c r="D895" s="102"/>
    </row>
    <row r="896">
      <c r="B896" s="102"/>
      <c r="C896" s="102"/>
      <c r="D896" s="102"/>
    </row>
    <row r="897">
      <c r="B897" s="102"/>
      <c r="C897" s="102"/>
      <c r="D897" s="102"/>
    </row>
    <row r="898">
      <c r="B898" s="102"/>
      <c r="C898" s="102"/>
      <c r="D898" s="102"/>
    </row>
    <row r="899">
      <c r="B899" s="102"/>
      <c r="C899" s="102"/>
      <c r="D899" s="102"/>
    </row>
    <row r="900">
      <c r="B900" s="102"/>
      <c r="C900" s="102"/>
      <c r="D900" s="102"/>
    </row>
    <row r="901">
      <c r="B901" s="102"/>
      <c r="C901" s="102"/>
      <c r="D901" s="102"/>
    </row>
    <row r="902">
      <c r="B902" s="102"/>
      <c r="C902" s="102"/>
      <c r="D902" s="102"/>
    </row>
    <row r="903">
      <c r="B903" s="102"/>
      <c r="C903" s="102"/>
      <c r="D903" s="102"/>
    </row>
    <row r="904">
      <c r="B904" s="102"/>
      <c r="C904" s="102"/>
      <c r="D904" s="102"/>
    </row>
    <row r="905">
      <c r="B905" s="102"/>
      <c r="C905" s="102"/>
      <c r="D905" s="102"/>
    </row>
    <row r="906">
      <c r="B906" s="102"/>
      <c r="C906" s="102"/>
      <c r="D906" s="102"/>
    </row>
    <row r="907">
      <c r="B907" s="102"/>
      <c r="C907" s="102"/>
      <c r="D907" s="102"/>
    </row>
    <row r="908">
      <c r="B908" s="102"/>
      <c r="C908" s="102"/>
      <c r="D908" s="102"/>
    </row>
    <row r="909">
      <c r="B909" s="102"/>
      <c r="C909" s="102"/>
      <c r="D909" s="102"/>
    </row>
    <row r="910">
      <c r="B910" s="102"/>
      <c r="C910" s="102"/>
      <c r="D910" s="102"/>
    </row>
    <row r="911">
      <c r="B911" s="102"/>
      <c r="C911" s="102"/>
      <c r="D911" s="102"/>
    </row>
    <row r="912">
      <c r="B912" s="102"/>
      <c r="C912" s="102"/>
      <c r="D912" s="102"/>
    </row>
    <row r="913">
      <c r="B913" s="102"/>
      <c r="C913" s="102"/>
      <c r="D913" s="102"/>
    </row>
    <row r="914">
      <c r="B914" s="102"/>
      <c r="C914" s="102"/>
      <c r="D914" s="102"/>
    </row>
    <row r="915">
      <c r="B915" s="102"/>
      <c r="C915" s="102"/>
      <c r="D915" s="102"/>
    </row>
    <row r="916">
      <c r="B916" s="102"/>
      <c r="C916" s="102"/>
      <c r="D916" s="102"/>
    </row>
    <row r="917">
      <c r="B917" s="102"/>
      <c r="C917" s="102"/>
      <c r="D917" s="102"/>
    </row>
    <row r="918">
      <c r="B918" s="102"/>
      <c r="C918" s="102"/>
      <c r="D918" s="102"/>
    </row>
    <row r="919">
      <c r="B919" s="102"/>
      <c r="C919" s="102"/>
      <c r="D919" s="102"/>
    </row>
    <row r="920">
      <c r="B920" s="102"/>
      <c r="C920" s="102"/>
      <c r="D920" s="102"/>
    </row>
    <row r="921">
      <c r="B921" s="102"/>
      <c r="C921" s="102"/>
      <c r="D921" s="102"/>
    </row>
    <row r="922">
      <c r="B922" s="102"/>
      <c r="C922" s="102"/>
      <c r="D922" s="102"/>
    </row>
    <row r="923">
      <c r="B923" s="102"/>
      <c r="C923" s="102"/>
      <c r="D923" s="102"/>
    </row>
    <row r="924">
      <c r="B924" s="102"/>
      <c r="C924" s="102"/>
      <c r="D924" s="102"/>
    </row>
    <row r="925">
      <c r="B925" s="102"/>
      <c r="C925" s="102"/>
      <c r="D925" s="102"/>
    </row>
    <row r="926">
      <c r="B926" s="102"/>
      <c r="C926" s="102"/>
      <c r="D926" s="102"/>
    </row>
    <row r="927">
      <c r="B927" s="102"/>
      <c r="C927" s="102"/>
      <c r="D927" s="102"/>
    </row>
    <row r="928">
      <c r="B928" s="102"/>
      <c r="C928" s="102"/>
      <c r="D928" s="102"/>
    </row>
    <row r="929">
      <c r="B929" s="102"/>
      <c r="C929" s="102"/>
      <c r="D929" s="102"/>
    </row>
    <row r="930">
      <c r="B930" s="102"/>
      <c r="C930" s="102"/>
      <c r="D930" s="102"/>
    </row>
    <row r="931">
      <c r="B931" s="102"/>
      <c r="C931" s="102"/>
      <c r="D931" s="102"/>
    </row>
    <row r="932">
      <c r="B932" s="102"/>
      <c r="C932" s="102"/>
      <c r="D932" s="102"/>
    </row>
    <row r="933">
      <c r="B933" s="102"/>
      <c r="C933" s="102"/>
      <c r="D933" s="102"/>
    </row>
    <row r="934">
      <c r="B934" s="102"/>
      <c r="C934" s="102"/>
      <c r="D934" s="102"/>
    </row>
    <row r="935">
      <c r="B935" s="102"/>
      <c r="C935" s="102"/>
      <c r="D935" s="102"/>
    </row>
    <row r="936">
      <c r="B936" s="102"/>
      <c r="C936" s="102"/>
      <c r="D936" s="102"/>
    </row>
    <row r="937">
      <c r="B937" s="102"/>
      <c r="C937" s="102"/>
      <c r="D937" s="102"/>
    </row>
    <row r="938">
      <c r="B938" s="102"/>
      <c r="C938" s="102"/>
      <c r="D938" s="102"/>
    </row>
    <row r="939">
      <c r="B939" s="102"/>
      <c r="C939" s="102"/>
      <c r="D939" s="102"/>
    </row>
    <row r="940">
      <c r="B940" s="102"/>
      <c r="C940" s="102"/>
      <c r="D940" s="102"/>
    </row>
    <row r="941">
      <c r="B941" s="102"/>
      <c r="C941" s="102"/>
      <c r="D941" s="102"/>
    </row>
    <row r="942">
      <c r="B942" s="102"/>
      <c r="C942" s="102"/>
      <c r="D942" s="102"/>
    </row>
    <row r="943">
      <c r="B943" s="102"/>
      <c r="C943" s="102"/>
      <c r="D943" s="102"/>
    </row>
    <row r="944">
      <c r="B944" s="102"/>
      <c r="C944" s="102"/>
      <c r="D944" s="102"/>
    </row>
    <row r="945">
      <c r="B945" s="102"/>
      <c r="C945" s="102"/>
      <c r="D945" s="102"/>
    </row>
    <row r="946">
      <c r="B946" s="102"/>
      <c r="C946" s="102"/>
      <c r="D946" s="102"/>
    </row>
    <row r="947">
      <c r="B947" s="102"/>
      <c r="C947" s="102"/>
      <c r="D947" s="102"/>
    </row>
    <row r="948">
      <c r="B948" s="102"/>
      <c r="C948" s="102"/>
      <c r="D948" s="102"/>
    </row>
    <row r="949">
      <c r="B949" s="102"/>
      <c r="C949" s="102"/>
      <c r="D949" s="102"/>
    </row>
    <row r="950">
      <c r="B950" s="102"/>
      <c r="C950" s="102"/>
      <c r="D950" s="102"/>
    </row>
    <row r="951">
      <c r="B951" s="102"/>
      <c r="C951" s="102"/>
      <c r="D951" s="102"/>
    </row>
    <row r="952">
      <c r="B952" s="102"/>
      <c r="C952" s="102"/>
      <c r="D952" s="102"/>
    </row>
    <row r="953">
      <c r="B953" s="102"/>
      <c r="C953" s="102"/>
      <c r="D953" s="102"/>
    </row>
    <row r="954">
      <c r="B954" s="102"/>
      <c r="C954" s="102"/>
      <c r="D954" s="102"/>
    </row>
    <row r="955">
      <c r="B955" s="102"/>
      <c r="C955" s="102"/>
      <c r="D955" s="102"/>
    </row>
    <row r="956">
      <c r="B956" s="102"/>
      <c r="C956" s="102"/>
      <c r="D956" s="102"/>
    </row>
    <row r="957">
      <c r="B957" s="102"/>
      <c r="C957" s="102"/>
      <c r="D957" s="102"/>
    </row>
    <row r="958">
      <c r="B958" s="102"/>
      <c r="C958" s="102"/>
      <c r="D958" s="102"/>
    </row>
    <row r="959">
      <c r="B959" s="102"/>
      <c r="C959" s="102"/>
      <c r="D959" s="102"/>
    </row>
    <row r="960">
      <c r="B960" s="102"/>
      <c r="C960" s="102"/>
      <c r="D960" s="102"/>
    </row>
    <row r="961">
      <c r="B961" s="102"/>
      <c r="C961" s="102"/>
      <c r="D961" s="102"/>
    </row>
    <row r="962">
      <c r="B962" s="102"/>
      <c r="C962" s="102"/>
      <c r="D962" s="102"/>
    </row>
    <row r="963">
      <c r="B963" s="102"/>
      <c r="C963" s="102"/>
      <c r="D963" s="102"/>
    </row>
    <row r="964">
      <c r="B964" s="102"/>
      <c r="C964" s="102"/>
      <c r="D964" s="102"/>
    </row>
    <row r="965">
      <c r="B965" s="102"/>
      <c r="C965" s="102"/>
      <c r="D965" s="102"/>
    </row>
    <row r="966">
      <c r="B966" s="102"/>
      <c r="C966" s="102"/>
      <c r="D966" s="102"/>
    </row>
    <row r="967">
      <c r="B967" s="102"/>
      <c r="C967" s="102"/>
      <c r="D967" s="102"/>
    </row>
    <row r="968">
      <c r="B968" s="102"/>
      <c r="C968" s="102"/>
      <c r="D968" s="102"/>
    </row>
    <row r="969">
      <c r="B969" s="102"/>
      <c r="C969" s="102"/>
      <c r="D969" s="102"/>
    </row>
    <row r="970">
      <c r="B970" s="102"/>
      <c r="C970" s="102"/>
      <c r="D970" s="102"/>
    </row>
    <row r="971">
      <c r="B971" s="102"/>
      <c r="C971" s="102"/>
      <c r="D971" s="102"/>
    </row>
    <row r="972">
      <c r="B972" s="102"/>
      <c r="C972" s="102"/>
      <c r="D972" s="102"/>
    </row>
    <row r="973">
      <c r="B973" s="102"/>
      <c r="C973" s="102"/>
      <c r="D973" s="102"/>
    </row>
    <row r="974">
      <c r="B974" s="102"/>
      <c r="C974" s="102"/>
      <c r="D974" s="102"/>
    </row>
    <row r="975">
      <c r="B975" s="102"/>
      <c r="C975" s="102"/>
      <c r="D975" s="102"/>
    </row>
    <row r="976">
      <c r="B976" s="102"/>
      <c r="C976" s="102"/>
      <c r="D976" s="102"/>
    </row>
    <row r="977">
      <c r="B977" s="102"/>
      <c r="C977" s="102"/>
      <c r="D977" s="102"/>
    </row>
    <row r="978">
      <c r="B978" s="102"/>
      <c r="C978" s="102"/>
      <c r="D978" s="102"/>
    </row>
    <row r="979">
      <c r="B979" s="102"/>
      <c r="C979" s="102"/>
      <c r="D979" s="102"/>
    </row>
    <row r="980">
      <c r="B980" s="102"/>
      <c r="C980" s="102"/>
      <c r="D980" s="102"/>
    </row>
    <row r="981">
      <c r="B981" s="102"/>
      <c r="C981" s="102"/>
      <c r="D981" s="102"/>
    </row>
    <row r="982">
      <c r="B982" s="102"/>
      <c r="C982" s="102"/>
      <c r="D982" s="102"/>
    </row>
    <row r="983">
      <c r="B983" s="102"/>
      <c r="C983" s="102"/>
      <c r="D983" s="102"/>
    </row>
    <row r="984">
      <c r="B984" s="102"/>
      <c r="C984" s="102"/>
      <c r="D984" s="102"/>
    </row>
    <row r="985">
      <c r="B985" s="102"/>
      <c r="C985" s="102"/>
      <c r="D985" s="102"/>
    </row>
    <row r="986">
      <c r="B986" s="102"/>
      <c r="C986" s="102"/>
      <c r="D986" s="102"/>
    </row>
    <row r="987">
      <c r="B987" s="102"/>
      <c r="C987" s="102"/>
      <c r="D987" s="102"/>
    </row>
    <row r="988">
      <c r="B988" s="102"/>
      <c r="C988" s="102"/>
      <c r="D988" s="102"/>
    </row>
    <row r="989">
      <c r="B989" s="102"/>
      <c r="C989" s="102"/>
      <c r="D989" s="102"/>
    </row>
    <row r="990">
      <c r="B990" s="102"/>
      <c r="C990" s="102"/>
      <c r="D990" s="102"/>
    </row>
    <row r="991">
      <c r="B991" s="102"/>
      <c r="C991" s="102"/>
      <c r="D991" s="102"/>
    </row>
    <row r="992">
      <c r="B992" s="102"/>
      <c r="C992" s="102"/>
      <c r="D992" s="102"/>
    </row>
  </sheetData>
  <mergeCells count="6">
    <mergeCell ref="B8:E8"/>
    <mergeCell ref="F8:I8"/>
    <mergeCell ref="J8:M8"/>
    <mergeCell ref="B17:G17"/>
    <mergeCell ref="H17:M17"/>
    <mergeCell ref="N17:S1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157</v>
      </c>
      <c r="B1" s="8">
        <v>3500.0</v>
      </c>
      <c r="D1" s="6" t="s">
        <v>7</v>
      </c>
    </row>
    <row r="2">
      <c r="A2" s="1" t="s">
        <v>158</v>
      </c>
      <c r="B2" s="118">
        <f>round(B1*(1+0.027)^B5,0)</f>
        <v>9533</v>
      </c>
      <c r="D2" s="8" t="s">
        <v>10</v>
      </c>
    </row>
    <row r="3">
      <c r="A3" s="1" t="s">
        <v>159</v>
      </c>
      <c r="B3" s="8">
        <v>65.0</v>
      </c>
      <c r="D3" s="10" t="s">
        <v>13</v>
      </c>
    </row>
    <row r="4">
      <c r="A4" s="1" t="s">
        <v>160</v>
      </c>
      <c r="B4" s="8">
        <v>85.0</v>
      </c>
    </row>
    <row r="5">
      <c r="A5" s="1" t="s">
        <v>161</v>
      </c>
      <c r="B5" s="119">
        <f>B3-questions!C2</f>
        <v>37.60821918</v>
      </c>
    </row>
    <row r="6">
      <c r="A6" s="1" t="s">
        <v>162</v>
      </c>
      <c r="B6" s="118">
        <f>(B4-B3)*12</f>
        <v>240</v>
      </c>
    </row>
    <row r="7">
      <c r="A7" s="1" t="s">
        <v>163</v>
      </c>
      <c r="B7" s="118">
        <f>B2*B6</f>
        <v>2287920</v>
      </c>
    </row>
    <row r="8">
      <c r="A8" s="1" t="s">
        <v>164</v>
      </c>
      <c r="B8" s="118">
        <f>round(VLOOKUP(0,A10:B1001,2),0)</f>
        <v>989413</v>
      </c>
    </row>
    <row r="10">
      <c r="A10" s="1" t="s">
        <v>165</v>
      </c>
      <c r="B10" s="103">
        <f>B1</f>
        <v>3500</v>
      </c>
    </row>
    <row r="11">
      <c r="A11" s="103">
        <f>(B4-B3)*12</f>
        <v>240</v>
      </c>
      <c r="B11" s="1">
        <v>0.0</v>
      </c>
    </row>
    <row r="12">
      <c r="A12" s="103">
        <f t="shared" ref="A12:A1001" si="1">A11-1</f>
        <v>239</v>
      </c>
      <c r="B12" s="103">
        <f t="shared" ref="B12:B1001" si="2">LET(
  target, B11 + $B$10,
  a, (target - 75) / (1 + 0.04/12),
  b, (target - 25) / (1 + 0.05/12),
  c, target / (1 + 0.06/12),
  IF(a &gt;= 60000, a, IF(b &gt;= 30000, b, c))
)</f>
        <v>3482.587065</v>
      </c>
    </row>
    <row r="13">
      <c r="A13" s="103">
        <f t="shared" si="1"/>
        <v>238</v>
      </c>
      <c r="B13" s="103">
        <f t="shared" si="2"/>
        <v>6947.847826</v>
      </c>
    </row>
    <row r="14">
      <c r="A14" s="103">
        <f t="shared" si="1"/>
        <v>237</v>
      </c>
      <c r="B14" s="103">
        <f t="shared" si="2"/>
        <v>10395.86848</v>
      </c>
    </row>
    <row r="15">
      <c r="A15" s="103">
        <f t="shared" si="1"/>
        <v>236</v>
      </c>
      <c r="B15" s="103">
        <f t="shared" si="2"/>
        <v>13826.73481</v>
      </c>
    </row>
    <row r="16">
      <c r="A16" s="103">
        <f t="shared" si="1"/>
        <v>235</v>
      </c>
      <c r="B16" s="103">
        <f t="shared" si="2"/>
        <v>17240.53215</v>
      </c>
    </row>
    <row r="17">
      <c r="A17" s="103">
        <f t="shared" si="1"/>
        <v>234</v>
      </c>
      <c r="B17" s="103">
        <f t="shared" si="2"/>
        <v>20637.34542</v>
      </c>
    </row>
    <row r="18">
      <c r="A18" s="103">
        <f t="shared" si="1"/>
        <v>233</v>
      </c>
      <c r="B18" s="103">
        <f t="shared" si="2"/>
        <v>24017.25913</v>
      </c>
    </row>
    <row r="19">
      <c r="A19" s="103">
        <f t="shared" si="1"/>
        <v>232</v>
      </c>
      <c r="B19" s="103">
        <f t="shared" si="2"/>
        <v>27380.35734</v>
      </c>
    </row>
    <row r="20">
      <c r="A20" s="103">
        <f t="shared" si="1"/>
        <v>231</v>
      </c>
      <c r="B20" s="103">
        <f t="shared" si="2"/>
        <v>30727.32681</v>
      </c>
    </row>
    <row r="21">
      <c r="A21" s="103">
        <f t="shared" si="1"/>
        <v>230</v>
      </c>
      <c r="B21" s="103">
        <f t="shared" si="2"/>
        <v>34060.40844</v>
      </c>
    </row>
    <row r="22">
      <c r="A22" s="103">
        <f t="shared" si="1"/>
        <v>229</v>
      </c>
      <c r="B22" s="103">
        <f t="shared" si="2"/>
        <v>37379.65986</v>
      </c>
    </row>
    <row r="23">
      <c r="A23" s="103">
        <f t="shared" si="1"/>
        <v>228</v>
      </c>
      <c r="B23" s="103">
        <f t="shared" si="2"/>
        <v>40685.13845</v>
      </c>
    </row>
    <row r="24">
      <c r="A24" s="103">
        <f t="shared" si="1"/>
        <v>227</v>
      </c>
      <c r="B24" s="103">
        <f t="shared" si="2"/>
        <v>43976.90136</v>
      </c>
    </row>
    <row r="25">
      <c r="A25" s="103">
        <f t="shared" si="1"/>
        <v>226</v>
      </c>
      <c r="B25" s="103">
        <f t="shared" si="2"/>
        <v>47255.0055</v>
      </c>
    </row>
    <row r="26">
      <c r="A26" s="103">
        <f t="shared" si="1"/>
        <v>225</v>
      </c>
      <c r="B26" s="103">
        <f t="shared" si="2"/>
        <v>50519.50756</v>
      </c>
    </row>
    <row r="27">
      <c r="A27" s="103">
        <f t="shared" si="1"/>
        <v>224</v>
      </c>
      <c r="B27" s="103">
        <f t="shared" si="2"/>
        <v>53770.46396</v>
      </c>
    </row>
    <row r="28">
      <c r="A28" s="103">
        <f t="shared" si="1"/>
        <v>223</v>
      </c>
      <c r="B28" s="103">
        <f t="shared" si="2"/>
        <v>57007.93091</v>
      </c>
    </row>
    <row r="29">
      <c r="A29" s="103">
        <f t="shared" si="1"/>
        <v>222</v>
      </c>
      <c r="B29" s="103">
        <f t="shared" si="2"/>
        <v>60232.15705</v>
      </c>
    </row>
    <row r="30">
      <c r="A30" s="103">
        <f t="shared" si="1"/>
        <v>221</v>
      </c>
      <c r="B30" s="103">
        <f t="shared" si="2"/>
        <v>63445.67148</v>
      </c>
    </row>
    <row r="31">
      <c r="A31" s="103">
        <f t="shared" si="1"/>
        <v>220</v>
      </c>
      <c r="B31" s="103">
        <f t="shared" si="2"/>
        <v>66648.50978</v>
      </c>
    </row>
    <row r="32">
      <c r="A32" s="103">
        <f t="shared" si="1"/>
        <v>219</v>
      </c>
      <c r="B32" s="103">
        <f t="shared" si="2"/>
        <v>69840.70742</v>
      </c>
    </row>
    <row r="33">
      <c r="A33" s="103">
        <f t="shared" si="1"/>
        <v>218</v>
      </c>
      <c r="B33" s="103">
        <f t="shared" si="2"/>
        <v>73022.29976</v>
      </c>
    </row>
    <row r="34">
      <c r="A34" s="103">
        <f t="shared" si="1"/>
        <v>217</v>
      </c>
      <c r="B34" s="103">
        <f t="shared" si="2"/>
        <v>76193.32202</v>
      </c>
    </row>
    <row r="35">
      <c r="A35" s="103">
        <f t="shared" si="1"/>
        <v>216</v>
      </c>
      <c r="B35" s="103">
        <f t="shared" si="2"/>
        <v>79353.80932</v>
      </c>
    </row>
    <row r="36">
      <c r="A36" s="103">
        <f t="shared" si="1"/>
        <v>215</v>
      </c>
      <c r="B36" s="103">
        <f t="shared" si="2"/>
        <v>82503.79667</v>
      </c>
    </row>
    <row r="37">
      <c r="A37" s="103">
        <f t="shared" si="1"/>
        <v>214</v>
      </c>
      <c r="B37" s="103">
        <f t="shared" si="2"/>
        <v>85643.31894</v>
      </c>
    </row>
    <row r="38">
      <c r="A38" s="103">
        <f t="shared" si="1"/>
        <v>213</v>
      </c>
      <c r="B38" s="103">
        <f t="shared" si="2"/>
        <v>88772.4109</v>
      </c>
    </row>
    <row r="39">
      <c r="A39" s="103">
        <f t="shared" si="1"/>
        <v>212</v>
      </c>
      <c r="B39" s="103">
        <f t="shared" si="2"/>
        <v>91891.10721</v>
      </c>
    </row>
    <row r="40">
      <c r="A40" s="103">
        <f t="shared" si="1"/>
        <v>211</v>
      </c>
      <c r="B40" s="103">
        <f t="shared" si="2"/>
        <v>94999.4424</v>
      </c>
    </row>
    <row r="41">
      <c r="A41" s="103">
        <f t="shared" si="1"/>
        <v>210</v>
      </c>
      <c r="B41" s="103">
        <f t="shared" si="2"/>
        <v>98097.4509</v>
      </c>
    </row>
    <row r="42">
      <c r="A42" s="103">
        <f t="shared" si="1"/>
        <v>209</v>
      </c>
      <c r="B42" s="103">
        <f t="shared" si="2"/>
        <v>101185.167</v>
      </c>
    </row>
    <row r="43">
      <c r="A43" s="103">
        <f t="shared" si="1"/>
        <v>208</v>
      </c>
      <c r="B43" s="103">
        <f t="shared" si="2"/>
        <v>104262.6249</v>
      </c>
    </row>
    <row r="44">
      <c r="A44" s="103">
        <f t="shared" si="1"/>
        <v>207</v>
      </c>
      <c r="B44" s="103">
        <f t="shared" si="2"/>
        <v>107329.8587</v>
      </c>
    </row>
    <row r="45">
      <c r="A45" s="103">
        <f t="shared" si="1"/>
        <v>206</v>
      </c>
      <c r="B45" s="103">
        <f t="shared" si="2"/>
        <v>110386.9024</v>
      </c>
    </row>
    <row r="46">
      <c r="A46" s="103">
        <f t="shared" si="1"/>
        <v>205</v>
      </c>
      <c r="B46" s="103">
        <f t="shared" si="2"/>
        <v>113433.7898</v>
      </c>
    </row>
    <row r="47">
      <c r="A47" s="103">
        <f t="shared" si="1"/>
        <v>204</v>
      </c>
      <c r="B47" s="103">
        <f t="shared" si="2"/>
        <v>116470.5546</v>
      </c>
    </row>
    <row r="48">
      <c r="A48" s="103">
        <f t="shared" si="1"/>
        <v>203</v>
      </c>
      <c r="B48" s="103">
        <f t="shared" si="2"/>
        <v>119497.2305</v>
      </c>
    </row>
    <row r="49">
      <c r="A49" s="103">
        <f t="shared" si="1"/>
        <v>202</v>
      </c>
      <c r="B49" s="103">
        <f t="shared" si="2"/>
        <v>122513.851</v>
      </c>
    </row>
    <row r="50">
      <c r="A50" s="103">
        <f t="shared" si="1"/>
        <v>201</v>
      </c>
      <c r="B50" s="103">
        <f t="shared" si="2"/>
        <v>125520.4495</v>
      </c>
    </row>
    <row r="51">
      <c r="A51" s="103">
        <f t="shared" si="1"/>
        <v>200</v>
      </c>
      <c r="B51" s="103">
        <f t="shared" si="2"/>
        <v>128517.0593</v>
      </c>
    </row>
    <row r="52">
      <c r="A52" s="103">
        <f t="shared" si="1"/>
        <v>199</v>
      </c>
      <c r="B52" s="103">
        <f t="shared" si="2"/>
        <v>131503.7136</v>
      </c>
    </row>
    <row r="53">
      <c r="A53" s="103">
        <f t="shared" si="1"/>
        <v>198</v>
      </c>
      <c r="B53" s="103">
        <f t="shared" si="2"/>
        <v>134480.4454</v>
      </c>
    </row>
    <row r="54">
      <c r="A54" s="103">
        <f t="shared" si="1"/>
        <v>197</v>
      </c>
      <c r="B54" s="103">
        <f t="shared" si="2"/>
        <v>137447.2878</v>
      </c>
    </row>
    <row r="55">
      <c r="A55" s="103">
        <f t="shared" si="1"/>
        <v>196</v>
      </c>
      <c r="B55" s="103">
        <f t="shared" si="2"/>
        <v>140404.2735</v>
      </c>
    </row>
    <row r="56">
      <c r="A56" s="103">
        <f t="shared" si="1"/>
        <v>195</v>
      </c>
      <c r="B56" s="103">
        <f t="shared" si="2"/>
        <v>143351.4354</v>
      </c>
    </row>
    <row r="57">
      <c r="A57" s="103">
        <f t="shared" si="1"/>
        <v>194</v>
      </c>
      <c r="B57" s="103">
        <f t="shared" si="2"/>
        <v>146288.8061</v>
      </c>
    </row>
    <row r="58">
      <c r="A58" s="103">
        <f t="shared" si="1"/>
        <v>193</v>
      </c>
      <c r="B58" s="103">
        <f t="shared" si="2"/>
        <v>149216.418</v>
      </c>
    </row>
    <row r="59">
      <c r="A59" s="103">
        <f t="shared" si="1"/>
        <v>192</v>
      </c>
      <c r="B59" s="103">
        <f t="shared" si="2"/>
        <v>152134.3037</v>
      </c>
    </row>
    <row r="60">
      <c r="A60" s="103">
        <f t="shared" si="1"/>
        <v>191</v>
      </c>
      <c r="B60" s="103">
        <f t="shared" si="2"/>
        <v>155042.4953</v>
      </c>
    </row>
    <row r="61">
      <c r="A61" s="103">
        <f t="shared" si="1"/>
        <v>190</v>
      </c>
      <c r="B61" s="103">
        <f t="shared" si="2"/>
        <v>157941.0253</v>
      </c>
    </row>
    <row r="62">
      <c r="A62" s="103">
        <f t="shared" si="1"/>
        <v>189</v>
      </c>
      <c r="B62" s="103">
        <f t="shared" si="2"/>
        <v>160829.9255</v>
      </c>
    </row>
    <row r="63">
      <c r="A63" s="103">
        <f t="shared" si="1"/>
        <v>188</v>
      </c>
      <c r="B63" s="103">
        <f t="shared" si="2"/>
        <v>163709.2281</v>
      </c>
    </row>
    <row r="64">
      <c r="A64" s="103">
        <f t="shared" si="1"/>
        <v>187</v>
      </c>
      <c r="B64" s="103">
        <f t="shared" si="2"/>
        <v>166578.9649</v>
      </c>
    </row>
    <row r="65">
      <c r="A65" s="103">
        <f t="shared" si="1"/>
        <v>186</v>
      </c>
      <c r="B65" s="103">
        <f t="shared" si="2"/>
        <v>169439.1676</v>
      </c>
    </row>
    <row r="66">
      <c r="A66" s="103">
        <f t="shared" si="1"/>
        <v>185</v>
      </c>
      <c r="B66" s="103">
        <f t="shared" si="2"/>
        <v>172289.8681</v>
      </c>
    </row>
    <row r="67">
      <c r="A67" s="103">
        <f t="shared" si="1"/>
        <v>184</v>
      </c>
      <c r="B67" s="103">
        <f t="shared" si="2"/>
        <v>175131.0978</v>
      </c>
    </row>
    <row r="68">
      <c r="A68" s="103">
        <f t="shared" si="1"/>
        <v>183</v>
      </c>
      <c r="B68" s="103">
        <f t="shared" si="2"/>
        <v>177962.8881</v>
      </c>
    </row>
    <row r="69">
      <c r="A69" s="103">
        <f t="shared" si="1"/>
        <v>182</v>
      </c>
      <c r="B69" s="103">
        <f t="shared" si="2"/>
        <v>180785.2706</v>
      </c>
    </row>
    <row r="70">
      <c r="A70" s="103">
        <f t="shared" si="1"/>
        <v>181</v>
      </c>
      <c r="B70" s="103">
        <f t="shared" si="2"/>
        <v>183598.2763</v>
      </c>
    </row>
    <row r="71">
      <c r="A71" s="103">
        <f t="shared" si="1"/>
        <v>180</v>
      </c>
      <c r="B71" s="103">
        <f t="shared" si="2"/>
        <v>186401.9365</v>
      </c>
    </row>
    <row r="72">
      <c r="A72" s="103">
        <f t="shared" si="1"/>
        <v>179</v>
      </c>
      <c r="B72" s="103">
        <f t="shared" si="2"/>
        <v>189196.2822</v>
      </c>
    </row>
    <row r="73">
      <c r="A73" s="103">
        <f t="shared" si="1"/>
        <v>178</v>
      </c>
      <c r="B73" s="103">
        <f t="shared" si="2"/>
        <v>191981.3444</v>
      </c>
    </row>
    <row r="74">
      <c r="A74" s="103">
        <f t="shared" si="1"/>
        <v>177</v>
      </c>
      <c r="B74" s="103">
        <f t="shared" si="2"/>
        <v>194757.1539</v>
      </c>
    </row>
    <row r="75">
      <c r="A75" s="103">
        <f t="shared" si="1"/>
        <v>176</v>
      </c>
      <c r="B75" s="103">
        <f t="shared" si="2"/>
        <v>197523.7414</v>
      </c>
    </row>
    <row r="76">
      <c r="A76" s="103">
        <f t="shared" si="1"/>
        <v>175</v>
      </c>
      <c r="B76" s="103">
        <f t="shared" si="2"/>
        <v>200281.1376</v>
      </c>
    </row>
    <row r="77">
      <c r="A77" s="103">
        <f t="shared" si="1"/>
        <v>174</v>
      </c>
      <c r="B77" s="103">
        <f t="shared" si="2"/>
        <v>203029.3731</v>
      </c>
    </row>
    <row r="78">
      <c r="A78" s="103">
        <f t="shared" si="1"/>
        <v>173</v>
      </c>
      <c r="B78" s="103">
        <f t="shared" si="2"/>
        <v>205768.4781</v>
      </c>
    </row>
    <row r="79">
      <c r="A79" s="103">
        <f t="shared" si="1"/>
        <v>172</v>
      </c>
      <c r="B79" s="103">
        <f t="shared" si="2"/>
        <v>208498.4832</v>
      </c>
    </row>
    <row r="80">
      <c r="A80" s="103">
        <f t="shared" si="1"/>
        <v>171</v>
      </c>
      <c r="B80" s="103">
        <f t="shared" si="2"/>
        <v>211219.4185</v>
      </c>
    </row>
    <row r="81">
      <c r="A81" s="103">
        <f t="shared" si="1"/>
        <v>170</v>
      </c>
      <c r="B81" s="103">
        <f t="shared" si="2"/>
        <v>213931.3141</v>
      </c>
    </row>
    <row r="82">
      <c r="A82" s="103">
        <f t="shared" si="1"/>
        <v>169</v>
      </c>
      <c r="B82" s="103">
        <f t="shared" si="2"/>
        <v>216634.2001</v>
      </c>
    </row>
    <row r="83">
      <c r="A83" s="103">
        <f t="shared" si="1"/>
        <v>168</v>
      </c>
      <c r="B83" s="103">
        <f t="shared" si="2"/>
        <v>219328.1064</v>
      </c>
    </row>
    <row r="84">
      <c r="A84" s="103">
        <f t="shared" si="1"/>
        <v>167</v>
      </c>
      <c r="B84" s="103">
        <f t="shared" si="2"/>
        <v>222013.0629</v>
      </c>
    </row>
    <row r="85">
      <c r="A85" s="103">
        <f t="shared" si="1"/>
        <v>166</v>
      </c>
      <c r="B85" s="103">
        <f t="shared" si="2"/>
        <v>224689.0992</v>
      </c>
    </row>
    <row r="86">
      <c r="A86" s="103">
        <f t="shared" si="1"/>
        <v>165</v>
      </c>
      <c r="B86" s="103">
        <f t="shared" si="2"/>
        <v>227356.245</v>
      </c>
    </row>
    <row r="87">
      <c r="A87" s="103">
        <f t="shared" si="1"/>
        <v>164</v>
      </c>
      <c r="B87" s="103">
        <f t="shared" si="2"/>
        <v>230014.5299</v>
      </c>
    </row>
    <row r="88">
      <c r="A88" s="103">
        <f t="shared" si="1"/>
        <v>163</v>
      </c>
      <c r="B88" s="103">
        <f t="shared" si="2"/>
        <v>232663.9833</v>
      </c>
    </row>
    <row r="89">
      <c r="A89" s="103">
        <f t="shared" si="1"/>
        <v>162</v>
      </c>
      <c r="B89" s="103">
        <f t="shared" si="2"/>
        <v>235304.6346</v>
      </c>
    </row>
    <row r="90">
      <c r="A90" s="103">
        <f t="shared" si="1"/>
        <v>161</v>
      </c>
      <c r="B90" s="103">
        <f t="shared" si="2"/>
        <v>237936.5128</v>
      </c>
    </row>
    <row r="91">
      <c r="A91" s="103">
        <f t="shared" si="1"/>
        <v>160</v>
      </c>
      <c r="B91" s="103">
        <f t="shared" si="2"/>
        <v>240559.6474</v>
      </c>
    </row>
    <row r="92">
      <c r="A92" s="103">
        <f t="shared" si="1"/>
        <v>159</v>
      </c>
      <c r="B92" s="103">
        <f t="shared" si="2"/>
        <v>243174.0671</v>
      </c>
    </row>
    <row r="93">
      <c r="A93" s="103">
        <f t="shared" si="1"/>
        <v>158</v>
      </c>
      <c r="B93" s="103">
        <f t="shared" si="2"/>
        <v>245779.8011</v>
      </c>
    </row>
    <row r="94">
      <c r="A94" s="103">
        <f t="shared" si="1"/>
        <v>157</v>
      </c>
      <c r="B94" s="103">
        <f t="shared" si="2"/>
        <v>248376.8782</v>
      </c>
    </row>
    <row r="95">
      <c r="A95" s="103">
        <f t="shared" si="1"/>
        <v>156</v>
      </c>
      <c r="B95" s="103">
        <f t="shared" si="2"/>
        <v>250965.3271</v>
      </c>
    </row>
    <row r="96">
      <c r="A96" s="103">
        <f t="shared" si="1"/>
        <v>155</v>
      </c>
      <c r="B96" s="103">
        <f t="shared" si="2"/>
        <v>253545.1765</v>
      </c>
    </row>
    <row r="97">
      <c r="A97" s="103">
        <f t="shared" si="1"/>
        <v>154</v>
      </c>
      <c r="B97" s="103">
        <f t="shared" si="2"/>
        <v>256116.455</v>
      </c>
    </row>
    <row r="98">
      <c r="A98" s="103">
        <f t="shared" si="1"/>
        <v>153</v>
      </c>
      <c r="B98" s="103">
        <f t="shared" si="2"/>
        <v>258679.191</v>
      </c>
    </row>
    <row r="99">
      <c r="A99" s="103">
        <f t="shared" si="1"/>
        <v>152</v>
      </c>
      <c r="B99" s="103">
        <f t="shared" si="2"/>
        <v>261233.413</v>
      </c>
    </row>
    <row r="100">
      <c r="A100" s="103">
        <f t="shared" si="1"/>
        <v>151</v>
      </c>
      <c r="B100" s="103">
        <f t="shared" si="2"/>
        <v>263779.1492</v>
      </c>
    </row>
    <row r="101">
      <c r="A101" s="103">
        <f t="shared" si="1"/>
        <v>150</v>
      </c>
      <c r="B101" s="103">
        <f t="shared" si="2"/>
        <v>266316.4277</v>
      </c>
    </row>
    <row r="102">
      <c r="A102" s="103">
        <f t="shared" si="1"/>
        <v>149</v>
      </c>
      <c r="B102" s="103">
        <f t="shared" si="2"/>
        <v>268845.2768</v>
      </c>
    </row>
    <row r="103">
      <c r="A103" s="103">
        <f t="shared" si="1"/>
        <v>148</v>
      </c>
      <c r="B103" s="103">
        <f t="shared" si="2"/>
        <v>271365.7244</v>
      </c>
    </row>
    <row r="104">
      <c r="A104" s="103">
        <f t="shared" si="1"/>
        <v>147</v>
      </c>
      <c r="B104" s="103">
        <f t="shared" si="2"/>
        <v>273877.7984</v>
      </c>
    </row>
    <row r="105">
      <c r="A105" s="103">
        <f t="shared" si="1"/>
        <v>146</v>
      </c>
      <c r="B105" s="103">
        <f t="shared" si="2"/>
        <v>276381.5266</v>
      </c>
    </row>
    <row r="106">
      <c r="A106" s="103">
        <f t="shared" si="1"/>
        <v>145</v>
      </c>
      <c r="B106" s="103">
        <f t="shared" si="2"/>
        <v>278876.9369</v>
      </c>
    </row>
    <row r="107">
      <c r="A107" s="103">
        <f t="shared" si="1"/>
        <v>144</v>
      </c>
      <c r="B107" s="103">
        <f t="shared" si="2"/>
        <v>281364.0567</v>
      </c>
    </row>
    <row r="108">
      <c r="A108" s="103">
        <f t="shared" si="1"/>
        <v>143</v>
      </c>
      <c r="B108" s="103">
        <f t="shared" si="2"/>
        <v>283842.9136</v>
      </c>
    </row>
    <row r="109">
      <c r="A109" s="103">
        <f t="shared" si="1"/>
        <v>142</v>
      </c>
      <c r="B109" s="103">
        <f t="shared" si="2"/>
        <v>286313.5352</v>
      </c>
    </row>
    <row r="110">
      <c r="A110" s="103">
        <f t="shared" si="1"/>
        <v>141</v>
      </c>
      <c r="B110" s="103">
        <f t="shared" si="2"/>
        <v>288775.9487</v>
      </c>
    </row>
    <row r="111">
      <c r="A111" s="103">
        <f t="shared" si="1"/>
        <v>140</v>
      </c>
      <c r="B111" s="103">
        <f t="shared" si="2"/>
        <v>291230.1814</v>
      </c>
    </row>
    <row r="112">
      <c r="A112" s="103">
        <f t="shared" si="1"/>
        <v>139</v>
      </c>
      <c r="B112" s="103">
        <f t="shared" si="2"/>
        <v>293676.2605</v>
      </c>
    </row>
    <row r="113">
      <c r="A113" s="103">
        <f t="shared" si="1"/>
        <v>138</v>
      </c>
      <c r="B113" s="103">
        <f t="shared" si="2"/>
        <v>296114.2132</v>
      </c>
    </row>
    <row r="114">
      <c r="A114" s="103">
        <f t="shared" si="1"/>
        <v>137</v>
      </c>
      <c r="B114" s="103">
        <f t="shared" si="2"/>
        <v>298544.0663</v>
      </c>
    </row>
    <row r="115">
      <c r="A115" s="103">
        <f t="shared" si="1"/>
        <v>136</v>
      </c>
      <c r="B115" s="103">
        <f t="shared" si="2"/>
        <v>300965.8468</v>
      </c>
    </row>
    <row r="116">
      <c r="A116" s="103">
        <f t="shared" si="1"/>
        <v>135</v>
      </c>
      <c r="B116" s="103">
        <f t="shared" si="2"/>
        <v>303379.5815</v>
      </c>
    </row>
    <row r="117">
      <c r="A117" s="103">
        <f t="shared" si="1"/>
        <v>134</v>
      </c>
      <c r="B117" s="103">
        <f t="shared" si="2"/>
        <v>305785.2972</v>
      </c>
    </row>
    <row r="118">
      <c r="A118" s="103">
        <f t="shared" si="1"/>
        <v>133</v>
      </c>
      <c r="B118" s="103">
        <f t="shared" si="2"/>
        <v>308183.0205</v>
      </c>
    </row>
    <row r="119">
      <c r="A119" s="103">
        <f t="shared" si="1"/>
        <v>132</v>
      </c>
      <c r="B119" s="103">
        <f t="shared" si="2"/>
        <v>310572.7779</v>
      </c>
    </row>
    <row r="120">
      <c r="A120" s="103">
        <f t="shared" si="1"/>
        <v>131</v>
      </c>
      <c r="B120" s="103">
        <f t="shared" si="2"/>
        <v>312954.5959</v>
      </c>
    </row>
    <row r="121">
      <c r="A121" s="103">
        <f t="shared" si="1"/>
        <v>130</v>
      </c>
      <c r="B121" s="103">
        <f t="shared" si="2"/>
        <v>315328.5009</v>
      </c>
    </row>
    <row r="122">
      <c r="A122" s="103">
        <f t="shared" si="1"/>
        <v>129</v>
      </c>
      <c r="B122" s="103">
        <f t="shared" si="2"/>
        <v>317694.5191</v>
      </c>
    </row>
    <row r="123">
      <c r="A123" s="103">
        <f t="shared" si="1"/>
        <v>128</v>
      </c>
      <c r="B123" s="103">
        <f t="shared" si="2"/>
        <v>320052.6769</v>
      </c>
    </row>
    <row r="124">
      <c r="A124" s="103">
        <f t="shared" si="1"/>
        <v>127</v>
      </c>
      <c r="B124" s="103">
        <f t="shared" si="2"/>
        <v>322403.0002</v>
      </c>
    </row>
    <row r="125">
      <c r="A125" s="103">
        <f t="shared" si="1"/>
        <v>126</v>
      </c>
      <c r="B125" s="103">
        <f t="shared" si="2"/>
        <v>324745.5152</v>
      </c>
    </row>
    <row r="126">
      <c r="A126" s="103">
        <f t="shared" si="1"/>
        <v>125</v>
      </c>
      <c r="B126" s="103">
        <f t="shared" si="2"/>
        <v>327080.2477</v>
      </c>
    </row>
    <row r="127">
      <c r="A127" s="103">
        <f t="shared" si="1"/>
        <v>124</v>
      </c>
      <c r="B127" s="103">
        <f t="shared" si="2"/>
        <v>329407.2236</v>
      </c>
    </row>
    <row r="128">
      <c r="A128" s="103">
        <f t="shared" si="1"/>
        <v>123</v>
      </c>
      <c r="B128" s="103">
        <f t="shared" si="2"/>
        <v>331726.4687</v>
      </c>
    </row>
    <row r="129">
      <c r="A129" s="103">
        <f t="shared" si="1"/>
        <v>122</v>
      </c>
      <c r="B129" s="103">
        <f t="shared" si="2"/>
        <v>334038.0087</v>
      </c>
    </row>
    <row r="130">
      <c r="A130" s="103">
        <f t="shared" si="1"/>
        <v>121</v>
      </c>
      <c r="B130" s="103">
        <f t="shared" si="2"/>
        <v>336341.8691</v>
      </c>
    </row>
    <row r="131">
      <c r="A131" s="103">
        <f t="shared" si="1"/>
        <v>120</v>
      </c>
      <c r="B131" s="103">
        <f t="shared" si="2"/>
        <v>338638.0755</v>
      </c>
    </row>
    <row r="132">
      <c r="A132" s="103">
        <f t="shared" si="1"/>
        <v>119</v>
      </c>
      <c r="B132" s="103">
        <f t="shared" si="2"/>
        <v>340926.6533</v>
      </c>
    </row>
    <row r="133">
      <c r="A133" s="103">
        <f t="shared" si="1"/>
        <v>118</v>
      </c>
      <c r="B133" s="103">
        <f t="shared" si="2"/>
        <v>343207.6279</v>
      </c>
    </row>
    <row r="134">
      <c r="A134" s="103">
        <f t="shared" si="1"/>
        <v>117</v>
      </c>
      <c r="B134" s="103">
        <f t="shared" si="2"/>
        <v>345481.0245</v>
      </c>
    </row>
    <row r="135">
      <c r="A135" s="103">
        <f t="shared" si="1"/>
        <v>116</v>
      </c>
      <c r="B135" s="103">
        <f t="shared" si="2"/>
        <v>347746.8683</v>
      </c>
    </row>
    <row r="136">
      <c r="A136" s="103">
        <f t="shared" si="1"/>
        <v>115</v>
      </c>
      <c r="B136" s="103">
        <f t="shared" si="2"/>
        <v>350005.1843</v>
      </c>
    </row>
    <row r="137">
      <c r="A137" s="103">
        <f t="shared" si="1"/>
        <v>114</v>
      </c>
      <c r="B137" s="103">
        <f t="shared" si="2"/>
        <v>352255.9977</v>
      </c>
    </row>
    <row r="138">
      <c r="A138" s="103">
        <f t="shared" si="1"/>
        <v>113</v>
      </c>
      <c r="B138" s="103">
        <f t="shared" si="2"/>
        <v>354499.3332</v>
      </c>
    </row>
    <row r="139">
      <c r="A139" s="103">
        <f t="shared" si="1"/>
        <v>112</v>
      </c>
      <c r="B139" s="103">
        <f t="shared" si="2"/>
        <v>356735.2158</v>
      </c>
    </row>
    <row r="140">
      <c r="A140" s="103">
        <f t="shared" si="1"/>
        <v>111</v>
      </c>
      <c r="B140" s="103">
        <f t="shared" si="2"/>
        <v>358963.6703</v>
      </c>
    </row>
    <row r="141">
      <c r="A141" s="103">
        <f t="shared" si="1"/>
        <v>110</v>
      </c>
      <c r="B141" s="103">
        <f t="shared" si="2"/>
        <v>361184.7212</v>
      </c>
    </row>
    <row r="142">
      <c r="A142" s="103">
        <f t="shared" si="1"/>
        <v>109</v>
      </c>
      <c r="B142" s="103">
        <f t="shared" si="2"/>
        <v>363398.3932</v>
      </c>
    </row>
    <row r="143">
      <c r="A143" s="103">
        <f t="shared" si="1"/>
        <v>108</v>
      </c>
      <c r="B143" s="103">
        <f t="shared" si="2"/>
        <v>365604.7109</v>
      </c>
    </row>
    <row r="144">
      <c r="A144" s="103">
        <f t="shared" si="1"/>
        <v>107</v>
      </c>
      <c r="B144" s="103">
        <f t="shared" si="2"/>
        <v>367803.6985</v>
      </c>
    </row>
    <row r="145">
      <c r="A145" s="103">
        <f t="shared" si="1"/>
        <v>106</v>
      </c>
      <c r="B145" s="103">
        <f t="shared" si="2"/>
        <v>369995.3806</v>
      </c>
    </row>
    <row r="146">
      <c r="A146" s="103">
        <f t="shared" si="1"/>
        <v>105</v>
      </c>
      <c r="B146" s="103">
        <f t="shared" si="2"/>
        <v>372179.7813</v>
      </c>
    </row>
    <row r="147">
      <c r="A147" s="103">
        <f t="shared" si="1"/>
        <v>104</v>
      </c>
      <c r="B147" s="103">
        <f t="shared" si="2"/>
        <v>374356.9249</v>
      </c>
    </row>
    <row r="148">
      <c r="A148" s="103">
        <f t="shared" si="1"/>
        <v>103</v>
      </c>
      <c r="B148" s="103">
        <f t="shared" si="2"/>
        <v>376526.8354</v>
      </c>
    </row>
    <row r="149">
      <c r="A149" s="103">
        <f t="shared" si="1"/>
        <v>102</v>
      </c>
      <c r="B149" s="103">
        <f t="shared" si="2"/>
        <v>378689.537</v>
      </c>
    </row>
    <row r="150">
      <c r="A150" s="103">
        <f t="shared" si="1"/>
        <v>101</v>
      </c>
      <c r="B150" s="103">
        <f t="shared" si="2"/>
        <v>380845.0535</v>
      </c>
    </row>
    <row r="151">
      <c r="A151" s="103">
        <f t="shared" si="1"/>
        <v>100</v>
      </c>
      <c r="B151" s="103">
        <f t="shared" si="2"/>
        <v>382993.4088</v>
      </c>
    </row>
    <row r="152">
      <c r="A152" s="103">
        <f t="shared" si="1"/>
        <v>99</v>
      </c>
      <c r="B152" s="103">
        <f t="shared" si="2"/>
        <v>385134.6267</v>
      </c>
    </row>
    <row r="153">
      <c r="A153" s="103">
        <f t="shared" si="1"/>
        <v>98</v>
      </c>
      <c r="B153" s="103">
        <f t="shared" si="2"/>
        <v>387268.7309</v>
      </c>
    </row>
    <row r="154">
      <c r="A154" s="103">
        <f t="shared" si="1"/>
        <v>97</v>
      </c>
      <c r="B154" s="103">
        <f t="shared" si="2"/>
        <v>389395.7451</v>
      </c>
    </row>
    <row r="155">
      <c r="A155" s="103">
        <f t="shared" si="1"/>
        <v>96</v>
      </c>
      <c r="B155" s="103">
        <f t="shared" si="2"/>
        <v>391515.6928</v>
      </c>
    </row>
    <row r="156">
      <c r="A156" s="103">
        <f t="shared" si="1"/>
        <v>95</v>
      </c>
      <c r="B156" s="103">
        <f t="shared" si="2"/>
        <v>393628.5975</v>
      </c>
    </row>
    <row r="157">
      <c r="A157" s="103">
        <f t="shared" si="1"/>
        <v>94</v>
      </c>
      <c r="B157" s="103">
        <f t="shared" si="2"/>
        <v>395734.4825</v>
      </c>
    </row>
    <row r="158">
      <c r="A158" s="103">
        <f t="shared" si="1"/>
        <v>93</v>
      </c>
      <c r="B158" s="103">
        <f t="shared" si="2"/>
        <v>397833.3713</v>
      </c>
    </row>
    <row r="159">
      <c r="A159" s="103">
        <f t="shared" si="1"/>
        <v>92</v>
      </c>
      <c r="B159" s="103">
        <f t="shared" si="2"/>
        <v>399925.287</v>
      </c>
    </row>
    <row r="160">
      <c r="A160" s="103">
        <f t="shared" si="1"/>
        <v>91</v>
      </c>
      <c r="B160" s="103">
        <f t="shared" si="2"/>
        <v>402010.2528</v>
      </c>
    </row>
    <row r="161">
      <c r="A161" s="103">
        <f t="shared" si="1"/>
        <v>90</v>
      </c>
      <c r="B161" s="103">
        <f t="shared" si="2"/>
        <v>404088.2919</v>
      </c>
    </row>
    <row r="162">
      <c r="A162" s="103">
        <f t="shared" si="1"/>
        <v>89</v>
      </c>
      <c r="B162" s="103">
        <f t="shared" si="2"/>
        <v>406159.4271</v>
      </c>
    </row>
    <row r="163">
      <c r="A163" s="103">
        <f t="shared" si="1"/>
        <v>88</v>
      </c>
      <c r="B163" s="103">
        <f t="shared" si="2"/>
        <v>408223.6815</v>
      </c>
    </row>
    <row r="164">
      <c r="A164" s="103">
        <f t="shared" si="1"/>
        <v>87</v>
      </c>
      <c r="B164" s="103">
        <f t="shared" si="2"/>
        <v>410281.0779</v>
      </c>
    </row>
    <row r="165">
      <c r="A165" s="103">
        <f t="shared" si="1"/>
        <v>86</v>
      </c>
      <c r="B165" s="103">
        <f t="shared" si="2"/>
        <v>412331.6391</v>
      </c>
    </row>
    <row r="166">
      <c r="A166" s="103">
        <f t="shared" si="1"/>
        <v>85</v>
      </c>
      <c r="B166" s="103">
        <f t="shared" si="2"/>
        <v>414375.3878</v>
      </c>
    </row>
    <row r="167">
      <c r="A167" s="103">
        <f t="shared" si="1"/>
        <v>84</v>
      </c>
      <c r="B167" s="103">
        <f t="shared" si="2"/>
        <v>416412.3467</v>
      </c>
    </row>
    <row r="168">
      <c r="A168" s="103">
        <f t="shared" si="1"/>
        <v>83</v>
      </c>
      <c r="B168" s="103">
        <f t="shared" si="2"/>
        <v>418442.5382</v>
      </c>
    </row>
    <row r="169">
      <c r="A169" s="103">
        <f t="shared" si="1"/>
        <v>82</v>
      </c>
      <c r="B169" s="103">
        <f t="shared" si="2"/>
        <v>420465.9849</v>
      </c>
    </row>
    <row r="170">
      <c r="A170" s="103">
        <f t="shared" si="1"/>
        <v>81</v>
      </c>
      <c r="B170" s="103">
        <f t="shared" si="2"/>
        <v>422482.7092</v>
      </c>
    </row>
    <row r="171">
      <c r="A171" s="103">
        <f t="shared" si="1"/>
        <v>80</v>
      </c>
      <c r="B171" s="103">
        <f t="shared" si="2"/>
        <v>424492.7334</v>
      </c>
    </row>
    <row r="172">
      <c r="A172" s="103">
        <f t="shared" si="1"/>
        <v>79</v>
      </c>
      <c r="B172" s="103">
        <f t="shared" si="2"/>
        <v>426496.0798</v>
      </c>
    </row>
    <row r="173">
      <c r="A173" s="103">
        <f t="shared" si="1"/>
        <v>78</v>
      </c>
      <c r="B173" s="103">
        <f t="shared" si="2"/>
        <v>428492.7706</v>
      </c>
    </row>
    <row r="174">
      <c r="A174" s="103">
        <f t="shared" si="1"/>
        <v>77</v>
      </c>
      <c r="B174" s="103">
        <f t="shared" si="2"/>
        <v>430482.8278</v>
      </c>
    </row>
    <row r="175">
      <c r="A175" s="103">
        <f t="shared" si="1"/>
        <v>76</v>
      </c>
      <c r="B175" s="103">
        <f t="shared" si="2"/>
        <v>432466.2736</v>
      </c>
    </row>
    <row r="176">
      <c r="A176" s="103">
        <f t="shared" si="1"/>
        <v>75</v>
      </c>
      <c r="B176" s="103">
        <f t="shared" si="2"/>
        <v>434443.1298</v>
      </c>
    </row>
    <row r="177">
      <c r="A177" s="103">
        <f t="shared" si="1"/>
        <v>74</v>
      </c>
      <c r="B177" s="103">
        <f t="shared" si="2"/>
        <v>436413.4184</v>
      </c>
    </row>
    <row r="178">
      <c r="A178" s="103">
        <f t="shared" si="1"/>
        <v>73</v>
      </c>
      <c r="B178" s="103">
        <f t="shared" si="2"/>
        <v>438377.1612</v>
      </c>
    </row>
    <row r="179">
      <c r="A179" s="103">
        <f t="shared" si="1"/>
        <v>72</v>
      </c>
      <c r="B179" s="103">
        <f t="shared" si="2"/>
        <v>440334.38</v>
      </c>
    </row>
    <row r="180">
      <c r="A180" s="103">
        <f t="shared" si="1"/>
        <v>71</v>
      </c>
      <c r="B180" s="103">
        <f t="shared" si="2"/>
        <v>442285.0963</v>
      </c>
    </row>
    <row r="181">
      <c r="A181" s="103">
        <f t="shared" si="1"/>
        <v>70</v>
      </c>
      <c r="B181" s="103">
        <f t="shared" si="2"/>
        <v>444229.3319</v>
      </c>
    </row>
    <row r="182">
      <c r="A182" s="103">
        <f t="shared" si="1"/>
        <v>69</v>
      </c>
      <c r="B182" s="103">
        <f t="shared" si="2"/>
        <v>446167.1082</v>
      </c>
    </row>
    <row r="183">
      <c r="A183" s="103">
        <f t="shared" si="1"/>
        <v>68</v>
      </c>
      <c r="B183" s="103">
        <f t="shared" si="2"/>
        <v>448098.4467</v>
      </c>
    </row>
    <row r="184">
      <c r="A184" s="103">
        <f t="shared" si="1"/>
        <v>67</v>
      </c>
      <c r="B184" s="103">
        <f t="shared" si="2"/>
        <v>450023.3688</v>
      </c>
    </row>
    <row r="185">
      <c r="A185" s="103">
        <f t="shared" si="1"/>
        <v>66</v>
      </c>
      <c r="B185" s="103">
        <f t="shared" si="2"/>
        <v>451941.8958</v>
      </c>
    </row>
    <row r="186">
      <c r="A186" s="103">
        <f t="shared" si="1"/>
        <v>65</v>
      </c>
      <c r="B186" s="103">
        <f t="shared" si="2"/>
        <v>453854.049</v>
      </c>
    </row>
    <row r="187">
      <c r="A187" s="103">
        <f t="shared" si="1"/>
        <v>64</v>
      </c>
      <c r="B187" s="103">
        <f t="shared" si="2"/>
        <v>455759.8495</v>
      </c>
    </row>
    <row r="188">
      <c r="A188" s="103">
        <f t="shared" si="1"/>
        <v>63</v>
      </c>
      <c r="B188" s="103">
        <f t="shared" si="2"/>
        <v>457659.3184</v>
      </c>
    </row>
    <row r="189">
      <c r="A189" s="103">
        <f t="shared" si="1"/>
        <v>62</v>
      </c>
      <c r="B189" s="103">
        <f t="shared" si="2"/>
        <v>459552.4768</v>
      </c>
    </row>
    <row r="190">
      <c r="A190" s="103">
        <f t="shared" si="1"/>
        <v>61</v>
      </c>
      <c r="B190" s="103">
        <f t="shared" si="2"/>
        <v>461439.3457</v>
      </c>
    </row>
    <row r="191">
      <c r="A191" s="103">
        <f t="shared" si="1"/>
        <v>60</v>
      </c>
      <c r="B191" s="103">
        <f t="shared" si="2"/>
        <v>463319.9459</v>
      </c>
    </row>
    <row r="192">
      <c r="A192" s="103">
        <f t="shared" si="1"/>
        <v>59</v>
      </c>
      <c r="B192" s="103">
        <f t="shared" si="2"/>
        <v>465194.2982</v>
      </c>
    </row>
    <row r="193">
      <c r="A193" s="103">
        <f t="shared" si="1"/>
        <v>58</v>
      </c>
      <c r="B193" s="103">
        <f t="shared" si="2"/>
        <v>467062.4235</v>
      </c>
    </row>
    <row r="194">
      <c r="A194" s="103">
        <f t="shared" si="1"/>
        <v>57</v>
      </c>
      <c r="B194" s="103">
        <f t="shared" si="2"/>
        <v>468924.3423</v>
      </c>
    </row>
    <row r="195">
      <c r="A195" s="103">
        <f t="shared" si="1"/>
        <v>56</v>
      </c>
      <c r="B195" s="103">
        <f t="shared" si="2"/>
        <v>470780.0754</v>
      </c>
    </row>
    <row r="196">
      <c r="A196" s="103">
        <f t="shared" si="1"/>
        <v>55</v>
      </c>
      <c r="B196" s="103">
        <f t="shared" si="2"/>
        <v>472629.6432</v>
      </c>
    </row>
    <row r="197">
      <c r="A197" s="103">
        <f t="shared" si="1"/>
        <v>54</v>
      </c>
      <c r="B197" s="103">
        <f t="shared" si="2"/>
        <v>474473.0664</v>
      </c>
    </row>
    <row r="198">
      <c r="A198" s="103">
        <f t="shared" si="1"/>
        <v>53</v>
      </c>
      <c r="B198" s="103">
        <f t="shared" si="2"/>
        <v>476310.3651</v>
      </c>
    </row>
    <row r="199">
      <c r="A199" s="103">
        <f t="shared" si="1"/>
        <v>52</v>
      </c>
      <c r="B199" s="103">
        <f t="shared" si="2"/>
        <v>478141.5599</v>
      </c>
    </row>
    <row r="200">
      <c r="A200" s="103">
        <f t="shared" si="1"/>
        <v>51</v>
      </c>
      <c r="B200" s="103">
        <f t="shared" si="2"/>
        <v>479966.671</v>
      </c>
    </row>
    <row r="201">
      <c r="A201" s="103">
        <f t="shared" si="1"/>
        <v>50</v>
      </c>
      <c r="B201" s="103">
        <f t="shared" si="2"/>
        <v>481785.7186</v>
      </c>
    </row>
    <row r="202">
      <c r="A202" s="103">
        <f t="shared" si="1"/>
        <v>49</v>
      </c>
      <c r="B202" s="103">
        <f t="shared" si="2"/>
        <v>483598.7229</v>
      </c>
    </row>
    <row r="203">
      <c r="A203" s="103">
        <f t="shared" si="1"/>
        <v>48</v>
      </c>
      <c r="B203" s="103">
        <f t="shared" si="2"/>
        <v>485405.7039</v>
      </c>
    </row>
    <row r="204">
      <c r="A204" s="103">
        <f t="shared" si="1"/>
        <v>47</v>
      </c>
      <c r="B204" s="103">
        <f t="shared" si="2"/>
        <v>487206.6816</v>
      </c>
    </row>
    <row r="205">
      <c r="A205" s="103">
        <f t="shared" si="1"/>
        <v>46</v>
      </c>
      <c r="B205" s="103">
        <f t="shared" si="2"/>
        <v>489001.676</v>
      </c>
    </row>
    <row r="206">
      <c r="A206" s="103">
        <f t="shared" si="1"/>
        <v>45</v>
      </c>
      <c r="B206" s="103">
        <f t="shared" si="2"/>
        <v>490790.707</v>
      </c>
    </row>
    <row r="207">
      <c r="A207" s="103">
        <f t="shared" si="1"/>
        <v>44</v>
      </c>
      <c r="B207" s="103">
        <f t="shared" si="2"/>
        <v>492573.7944</v>
      </c>
    </row>
    <row r="208">
      <c r="A208" s="103">
        <f t="shared" si="1"/>
        <v>43</v>
      </c>
      <c r="B208" s="103">
        <f t="shared" si="2"/>
        <v>494350.9578</v>
      </c>
    </row>
    <row r="209">
      <c r="A209" s="103">
        <f t="shared" si="1"/>
        <v>42</v>
      </c>
      <c r="B209" s="103">
        <f t="shared" si="2"/>
        <v>496122.2171</v>
      </c>
    </row>
    <row r="210">
      <c r="A210" s="103">
        <f t="shared" si="1"/>
        <v>41</v>
      </c>
      <c r="B210" s="103">
        <f t="shared" si="2"/>
        <v>497887.5918</v>
      </c>
    </row>
    <row r="211">
      <c r="A211" s="103">
        <f t="shared" si="1"/>
        <v>40</v>
      </c>
      <c r="B211" s="103">
        <f t="shared" si="2"/>
        <v>499647.1015</v>
      </c>
    </row>
    <row r="212">
      <c r="A212" s="103">
        <f t="shared" si="1"/>
        <v>39</v>
      </c>
      <c r="B212" s="103">
        <f t="shared" si="2"/>
        <v>501400.7656</v>
      </c>
    </row>
    <row r="213">
      <c r="A213" s="103">
        <f t="shared" si="1"/>
        <v>38</v>
      </c>
      <c r="B213" s="103">
        <f t="shared" si="2"/>
        <v>503148.6036</v>
      </c>
    </row>
    <row r="214">
      <c r="A214" s="103">
        <f t="shared" si="1"/>
        <v>37</v>
      </c>
      <c r="B214" s="103">
        <f t="shared" si="2"/>
        <v>504890.6348</v>
      </c>
    </row>
    <row r="215">
      <c r="A215" s="103">
        <f t="shared" si="1"/>
        <v>36</v>
      </c>
      <c r="B215" s="103">
        <f t="shared" si="2"/>
        <v>506626.8785</v>
      </c>
    </row>
    <row r="216">
      <c r="A216" s="103">
        <f t="shared" si="1"/>
        <v>35</v>
      </c>
      <c r="B216" s="103">
        <f t="shared" si="2"/>
        <v>508357.354</v>
      </c>
    </row>
    <row r="217">
      <c r="A217" s="103">
        <f t="shared" si="1"/>
        <v>34</v>
      </c>
      <c r="B217" s="103">
        <f t="shared" si="2"/>
        <v>510082.0804</v>
      </c>
    </row>
    <row r="218">
      <c r="A218" s="103">
        <f t="shared" si="1"/>
        <v>33</v>
      </c>
      <c r="B218" s="103">
        <f t="shared" si="2"/>
        <v>511801.0768</v>
      </c>
    </row>
    <row r="219">
      <c r="A219" s="103">
        <f t="shared" si="1"/>
        <v>32</v>
      </c>
      <c r="B219" s="103">
        <f t="shared" si="2"/>
        <v>513514.3623</v>
      </c>
    </row>
    <row r="220">
      <c r="A220" s="103">
        <f t="shared" si="1"/>
        <v>31</v>
      </c>
      <c r="B220" s="103">
        <f t="shared" si="2"/>
        <v>515221.9558</v>
      </c>
    </row>
    <row r="221">
      <c r="A221" s="103">
        <f t="shared" si="1"/>
        <v>30</v>
      </c>
      <c r="B221" s="103">
        <f t="shared" si="2"/>
        <v>516923.8762</v>
      </c>
    </row>
    <row r="222">
      <c r="A222" s="103">
        <f t="shared" si="1"/>
        <v>29</v>
      </c>
      <c r="B222" s="103">
        <f t="shared" si="2"/>
        <v>518620.1424</v>
      </c>
    </row>
    <row r="223">
      <c r="A223" s="103">
        <f t="shared" si="1"/>
        <v>28</v>
      </c>
      <c r="B223" s="103">
        <f t="shared" si="2"/>
        <v>520310.7731</v>
      </c>
    </row>
    <row r="224">
      <c r="A224" s="103">
        <f t="shared" si="1"/>
        <v>27</v>
      </c>
      <c r="B224" s="103">
        <f t="shared" si="2"/>
        <v>521995.7872</v>
      </c>
    </row>
    <row r="225">
      <c r="A225" s="103">
        <f t="shared" si="1"/>
        <v>26</v>
      </c>
      <c r="B225" s="103">
        <f t="shared" si="2"/>
        <v>523675.2032</v>
      </c>
    </row>
    <row r="226">
      <c r="A226" s="103">
        <f t="shared" si="1"/>
        <v>25</v>
      </c>
      <c r="B226" s="103">
        <f t="shared" si="2"/>
        <v>525349.0397</v>
      </c>
    </row>
    <row r="227">
      <c r="A227" s="103">
        <f t="shared" si="1"/>
        <v>24</v>
      </c>
      <c r="B227" s="103">
        <f t="shared" si="2"/>
        <v>527017.3153</v>
      </c>
    </row>
    <row r="228">
      <c r="A228" s="103">
        <f t="shared" si="1"/>
        <v>23</v>
      </c>
      <c r="B228" s="103">
        <f t="shared" si="2"/>
        <v>528680.0485</v>
      </c>
    </row>
    <row r="229">
      <c r="A229" s="103">
        <f t="shared" si="1"/>
        <v>22</v>
      </c>
      <c r="B229" s="103">
        <f t="shared" si="2"/>
        <v>530337.2576</v>
      </c>
    </row>
    <row r="230">
      <c r="A230" s="103">
        <f t="shared" si="1"/>
        <v>21</v>
      </c>
      <c r="B230" s="103">
        <f t="shared" si="2"/>
        <v>531988.9611</v>
      </c>
    </row>
    <row r="231">
      <c r="A231" s="103">
        <f t="shared" si="1"/>
        <v>20</v>
      </c>
      <c r="B231" s="103">
        <f t="shared" si="2"/>
        <v>533635.1772</v>
      </c>
    </row>
    <row r="232">
      <c r="A232" s="103">
        <f t="shared" si="1"/>
        <v>19</v>
      </c>
      <c r="B232" s="103">
        <f t="shared" si="2"/>
        <v>535275.9241</v>
      </c>
    </row>
    <row r="233">
      <c r="A233" s="103">
        <f t="shared" si="1"/>
        <v>18</v>
      </c>
      <c r="B233" s="103">
        <f t="shared" si="2"/>
        <v>536911.22</v>
      </c>
    </row>
    <row r="234">
      <c r="A234" s="103">
        <f t="shared" si="1"/>
        <v>17</v>
      </c>
      <c r="B234" s="103">
        <f t="shared" si="2"/>
        <v>538541.0831</v>
      </c>
    </row>
    <row r="235">
      <c r="A235" s="103">
        <f t="shared" si="1"/>
        <v>16</v>
      </c>
      <c r="B235" s="103">
        <f t="shared" si="2"/>
        <v>540165.5313</v>
      </c>
    </row>
    <row r="236">
      <c r="A236" s="103">
        <f t="shared" si="1"/>
        <v>15</v>
      </c>
      <c r="B236" s="103">
        <f t="shared" si="2"/>
        <v>541784.5827</v>
      </c>
    </row>
    <row r="237">
      <c r="A237" s="103">
        <f t="shared" si="1"/>
        <v>14</v>
      </c>
      <c r="B237" s="103">
        <f t="shared" si="2"/>
        <v>543398.2552</v>
      </c>
    </row>
    <row r="238">
      <c r="A238" s="103">
        <f t="shared" si="1"/>
        <v>13</v>
      </c>
      <c r="B238" s="103">
        <f t="shared" si="2"/>
        <v>545006.5666</v>
      </c>
    </row>
    <row r="239">
      <c r="A239" s="103">
        <f t="shared" si="1"/>
        <v>12</v>
      </c>
      <c r="B239" s="103">
        <f t="shared" si="2"/>
        <v>546609.5348</v>
      </c>
    </row>
    <row r="240">
      <c r="A240" s="103">
        <f t="shared" si="1"/>
        <v>11</v>
      </c>
      <c r="B240" s="103">
        <f t="shared" si="2"/>
        <v>548207.1776</v>
      </c>
    </row>
    <row r="241">
      <c r="A241" s="103">
        <f t="shared" si="1"/>
        <v>10</v>
      </c>
      <c r="B241" s="103">
        <f t="shared" si="2"/>
        <v>549799.5125</v>
      </c>
    </row>
    <row r="242">
      <c r="A242" s="103">
        <f t="shared" si="1"/>
        <v>9</v>
      </c>
      <c r="B242" s="103">
        <f t="shared" si="2"/>
        <v>551386.5573</v>
      </c>
    </row>
    <row r="243">
      <c r="A243" s="103">
        <f t="shared" si="1"/>
        <v>8</v>
      </c>
      <c r="B243" s="103">
        <f t="shared" si="2"/>
        <v>552968.3296</v>
      </c>
    </row>
    <row r="244">
      <c r="A244" s="103">
        <f t="shared" si="1"/>
        <v>7</v>
      </c>
      <c r="B244" s="103">
        <f t="shared" si="2"/>
        <v>554544.8467</v>
      </c>
    </row>
    <row r="245">
      <c r="A245" s="103">
        <f t="shared" si="1"/>
        <v>6</v>
      </c>
      <c r="B245" s="103">
        <f t="shared" si="2"/>
        <v>556116.1263</v>
      </c>
    </row>
    <row r="246">
      <c r="A246" s="103">
        <f t="shared" si="1"/>
        <v>5</v>
      </c>
      <c r="B246" s="103">
        <f t="shared" si="2"/>
        <v>557682.1857</v>
      </c>
    </row>
    <row r="247">
      <c r="A247" s="103">
        <f t="shared" si="1"/>
        <v>4</v>
      </c>
      <c r="B247" s="103">
        <f t="shared" si="2"/>
        <v>559243.0422</v>
      </c>
    </row>
    <row r="248">
      <c r="A248" s="103">
        <f t="shared" si="1"/>
        <v>3</v>
      </c>
      <c r="B248" s="103">
        <f t="shared" si="2"/>
        <v>560798.7132</v>
      </c>
    </row>
    <row r="249">
      <c r="A249" s="103">
        <f t="shared" si="1"/>
        <v>2</v>
      </c>
      <c r="B249" s="103">
        <f t="shared" si="2"/>
        <v>562349.2158</v>
      </c>
    </row>
    <row r="250">
      <c r="A250" s="103">
        <f t="shared" si="1"/>
        <v>1</v>
      </c>
      <c r="B250" s="103">
        <f t="shared" si="2"/>
        <v>563894.5672</v>
      </c>
    </row>
    <row r="251">
      <c r="A251" s="103">
        <f t="shared" si="1"/>
        <v>0</v>
      </c>
      <c r="B251" s="103">
        <f t="shared" si="2"/>
        <v>565434.7846</v>
      </c>
    </row>
    <row r="252">
      <c r="A252" s="103">
        <f t="shared" si="1"/>
        <v>-1</v>
      </c>
      <c r="B252" s="103">
        <f t="shared" si="2"/>
        <v>566969.885</v>
      </c>
    </row>
    <row r="253">
      <c r="A253" s="103">
        <f t="shared" si="1"/>
        <v>-2</v>
      </c>
      <c r="B253" s="103">
        <f t="shared" si="2"/>
        <v>568499.8854</v>
      </c>
    </row>
    <row r="254">
      <c r="A254" s="103">
        <f t="shared" si="1"/>
        <v>-3</v>
      </c>
      <c r="B254" s="103">
        <f t="shared" si="2"/>
        <v>570024.8027</v>
      </c>
    </row>
    <row r="255">
      <c r="A255" s="103">
        <f t="shared" si="1"/>
        <v>-4</v>
      </c>
      <c r="B255" s="103">
        <f t="shared" si="2"/>
        <v>571544.6539</v>
      </c>
    </row>
    <row r="256">
      <c r="A256" s="103">
        <f t="shared" si="1"/>
        <v>-5</v>
      </c>
      <c r="B256" s="103">
        <f t="shared" si="2"/>
        <v>573059.4557</v>
      </c>
    </row>
    <row r="257">
      <c r="A257" s="103">
        <f t="shared" si="1"/>
        <v>-6</v>
      </c>
      <c r="B257" s="103">
        <f t="shared" si="2"/>
        <v>574569.2249</v>
      </c>
    </row>
    <row r="258">
      <c r="A258" s="103">
        <f t="shared" si="1"/>
        <v>-7</v>
      </c>
      <c r="B258" s="103">
        <f t="shared" si="2"/>
        <v>576073.9783</v>
      </c>
    </row>
    <row r="259">
      <c r="A259" s="103">
        <f t="shared" si="1"/>
        <v>-8</v>
      </c>
      <c r="B259" s="103">
        <f t="shared" si="2"/>
        <v>577573.7326</v>
      </c>
    </row>
    <row r="260">
      <c r="A260" s="103">
        <f t="shared" si="1"/>
        <v>-9</v>
      </c>
      <c r="B260" s="103">
        <f t="shared" si="2"/>
        <v>579068.5042</v>
      </c>
    </row>
    <row r="261">
      <c r="A261" s="103">
        <f t="shared" si="1"/>
        <v>-10</v>
      </c>
      <c r="B261" s="103">
        <f t="shared" si="2"/>
        <v>580558.3099</v>
      </c>
    </row>
    <row r="262">
      <c r="A262" s="103">
        <f t="shared" si="1"/>
        <v>-11</v>
      </c>
      <c r="B262" s="103">
        <f t="shared" si="2"/>
        <v>582043.166</v>
      </c>
    </row>
    <row r="263">
      <c r="A263" s="103">
        <f t="shared" si="1"/>
        <v>-12</v>
      </c>
      <c r="B263" s="103">
        <f t="shared" si="2"/>
        <v>583523.089</v>
      </c>
    </row>
    <row r="264">
      <c r="A264" s="103">
        <f t="shared" si="1"/>
        <v>-13</v>
      </c>
      <c r="B264" s="103">
        <f t="shared" si="2"/>
        <v>584998.0954</v>
      </c>
    </row>
    <row r="265">
      <c r="A265" s="103">
        <f t="shared" si="1"/>
        <v>-14</v>
      </c>
      <c r="B265" s="103">
        <f t="shared" si="2"/>
        <v>586468.2014</v>
      </c>
    </row>
    <row r="266">
      <c r="A266" s="103">
        <f t="shared" si="1"/>
        <v>-15</v>
      </c>
      <c r="B266" s="103">
        <f t="shared" si="2"/>
        <v>587933.4233</v>
      </c>
    </row>
    <row r="267">
      <c r="A267" s="103">
        <f t="shared" si="1"/>
        <v>-16</v>
      </c>
      <c r="B267" s="103">
        <f t="shared" si="2"/>
        <v>589393.7773</v>
      </c>
    </row>
    <row r="268">
      <c r="A268" s="103">
        <f t="shared" si="1"/>
        <v>-17</v>
      </c>
      <c r="B268" s="103">
        <f t="shared" si="2"/>
        <v>590849.2797</v>
      </c>
    </row>
    <row r="269">
      <c r="A269" s="103">
        <f t="shared" si="1"/>
        <v>-18</v>
      </c>
      <c r="B269" s="103">
        <f t="shared" si="2"/>
        <v>592299.9466</v>
      </c>
    </row>
    <row r="270">
      <c r="A270" s="103">
        <f t="shared" si="1"/>
        <v>-19</v>
      </c>
      <c r="B270" s="103">
        <f t="shared" si="2"/>
        <v>593745.7939</v>
      </c>
    </row>
    <row r="271">
      <c r="A271" s="103">
        <f t="shared" si="1"/>
        <v>-20</v>
      </c>
      <c r="B271" s="103">
        <f t="shared" si="2"/>
        <v>595186.8378</v>
      </c>
    </row>
    <row r="272">
      <c r="A272" s="103">
        <f t="shared" si="1"/>
        <v>-21</v>
      </c>
      <c r="B272" s="103">
        <f t="shared" si="2"/>
        <v>596623.0942</v>
      </c>
    </row>
    <row r="273">
      <c r="A273" s="103">
        <f t="shared" si="1"/>
        <v>-22</v>
      </c>
      <c r="B273" s="103">
        <f t="shared" si="2"/>
        <v>598054.5789</v>
      </c>
    </row>
    <row r="274">
      <c r="A274" s="103">
        <f t="shared" si="1"/>
        <v>-23</v>
      </c>
      <c r="B274" s="103">
        <f t="shared" si="2"/>
        <v>599481.3079</v>
      </c>
    </row>
    <row r="275">
      <c r="A275" s="103">
        <f t="shared" si="1"/>
        <v>-24</v>
      </c>
      <c r="B275" s="103">
        <f t="shared" si="2"/>
        <v>600903.2969</v>
      </c>
    </row>
    <row r="276">
      <c r="A276" s="103">
        <f t="shared" si="1"/>
        <v>-25</v>
      </c>
      <c r="B276" s="103">
        <f t="shared" si="2"/>
        <v>602320.5617</v>
      </c>
    </row>
    <row r="277">
      <c r="A277" s="103">
        <f t="shared" si="1"/>
        <v>-26</v>
      </c>
      <c r="B277" s="103">
        <f t="shared" si="2"/>
        <v>603733.118</v>
      </c>
    </row>
    <row r="278">
      <c r="A278" s="103">
        <f t="shared" si="1"/>
        <v>-27</v>
      </c>
      <c r="B278" s="103">
        <f t="shared" si="2"/>
        <v>605140.9814</v>
      </c>
    </row>
    <row r="279">
      <c r="A279" s="103">
        <f t="shared" si="1"/>
        <v>-28</v>
      </c>
      <c r="B279" s="103">
        <f t="shared" si="2"/>
        <v>606544.1675</v>
      </c>
    </row>
    <row r="280">
      <c r="A280" s="103">
        <f t="shared" si="1"/>
        <v>-29</v>
      </c>
      <c r="B280" s="103">
        <f t="shared" si="2"/>
        <v>607942.6918</v>
      </c>
    </row>
    <row r="281">
      <c r="A281" s="103">
        <f t="shared" si="1"/>
        <v>-30</v>
      </c>
      <c r="B281" s="103">
        <f t="shared" si="2"/>
        <v>609336.5699</v>
      </c>
    </row>
    <row r="282">
      <c r="A282" s="103">
        <f t="shared" si="1"/>
        <v>-31</v>
      </c>
      <c r="B282" s="103">
        <f t="shared" si="2"/>
        <v>610725.8172</v>
      </c>
    </row>
    <row r="283">
      <c r="A283" s="103">
        <f t="shared" si="1"/>
        <v>-32</v>
      </c>
      <c r="B283" s="103">
        <f t="shared" si="2"/>
        <v>612110.449</v>
      </c>
    </row>
    <row r="284">
      <c r="A284" s="103">
        <f t="shared" si="1"/>
        <v>-33</v>
      </c>
      <c r="B284" s="103">
        <f t="shared" si="2"/>
        <v>613490.4808</v>
      </c>
    </row>
    <row r="285">
      <c r="A285" s="103">
        <f t="shared" si="1"/>
        <v>-34</v>
      </c>
      <c r="B285" s="103">
        <f t="shared" si="2"/>
        <v>614865.9277</v>
      </c>
    </row>
    <row r="286">
      <c r="A286" s="103">
        <f t="shared" si="1"/>
        <v>-35</v>
      </c>
      <c r="B286" s="103">
        <f t="shared" si="2"/>
        <v>616236.805</v>
      </c>
    </row>
    <row r="287">
      <c r="A287" s="103">
        <f t="shared" si="1"/>
        <v>-36</v>
      </c>
      <c r="B287" s="103">
        <f t="shared" si="2"/>
        <v>617603.1279</v>
      </c>
    </row>
    <row r="288">
      <c r="A288" s="103">
        <f t="shared" si="1"/>
        <v>-37</v>
      </c>
      <c r="B288" s="103">
        <f t="shared" si="2"/>
        <v>618964.9115</v>
      </c>
    </row>
    <row r="289">
      <c r="A289" s="103">
        <f t="shared" si="1"/>
        <v>-38</v>
      </c>
      <c r="B289" s="103">
        <f t="shared" si="2"/>
        <v>620322.171</v>
      </c>
    </row>
    <row r="290">
      <c r="A290" s="103">
        <f t="shared" si="1"/>
        <v>-39</v>
      </c>
      <c r="B290" s="103">
        <f t="shared" si="2"/>
        <v>621674.9212</v>
      </c>
    </row>
    <row r="291">
      <c r="A291" s="103">
        <f t="shared" si="1"/>
        <v>-40</v>
      </c>
      <c r="B291" s="103">
        <f t="shared" si="2"/>
        <v>623023.1773</v>
      </c>
    </row>
    <row r="292">
      <c r="A292" s="103">
        <f t="shared" si="1"/>
        <v>-41</v>
      </c>
      <c r="B292" s="103">
        <f t="shared" si="2"/>
        <v>624366.9541</v>
      </c>
    </row>
    <row r="293">
      <c r="A293" s="103">
        <f t="shared" si="1"/>
        <v>-42</v>
      </c>
      <c r="B293" s="103">
        <f t="shared" si="2"/>
        <v>625706.2666</v>
      </c>
    </row>
    <row r="294">
      <c r="A294" s="103">
        <f t="shared" si="1"/>
        <v>-43</v>
      </c>
      <c r="B294" s="103">
        <f t="shared" si="2"/>
        <v>627041.1295</v>
      </c>
    </row>
    <row r="295">
      <c r="A295" s="103">
        <f t="shared" si="1"/>
        <v>-44</v>
      </c>
      <c r="B295" s="103">
        <f t="shared" si="2"/>
        <v>628371.5576</v>
      </c>
    </row>
    <row r="296">
      <c r="A296" s="103">
        <f t="shared" si="1"/>
        <v>-45</v>
      </c>
      <c r="B296" s="103">
        <f t="shared" si="2"/>
        <v>629697.5657</v>
      </c>
    </row>
    <row r="297">
      <c r="A297" s="103">
        <f t="shared" si="1"/>
        <v>-46</v>
      </c>
      <c r="B297" s="103">
        <f t="shared" si="2"/>
        <v>631019.1685</v>
      </c>
    </row>
    <row r="298">
      <c r="A298" s="103">
        <f t="shared" si="1"/>
        <v>-47</v>
      </c>
      <c r="B298" s="103">
        <f t="shared" si="2"/>
        <v>632336.3806</v>
      </c>
    </row>
    <row r="299">
      <c r="A299" s="103">
        <f t="shared" si="1"/>
        <v>-48</v>
      </c>
      <c r="B299" s="103">
        <f t="shared" si="2"/>
        <v>633649.2165</v>
      </c>
    </row>
    <row r="300">
      <c r="A300" s="103">
        <f t="shared" si="1"/>
        <v>-49</v>
      </c>
      <c r="B300" s="103">
        <f t="shared" si="2"/>
        <v>634957.6909</v>
      </c>
    </row>
    <row r="301">
      <c r="A301" s="103">
        <f t="shared" si="1"/>
        <v>-50</v>
      </c>
      <c r="B301" s="103">
        <f t="shared" si="2"/>
        <v>636261.8181</v>
      </c>
    </row>
    <row r="302">
      <c r="A302" s="103">
        <f t="shared" si="1"/>
        <v>-51</v>
      </c>
      <c r="B302" s="103">
        <f t="shared" si="2"/>
        <v>637561.6128</v>
      </c>
    </row>
    <row r="303">
      <c r="A303" s="103">
        <f t="shared" si="1"/>
        <v>-52</v>
      </c>
      <c r="B303" s="103">
        <f t="shared" si="2"/>
        <v>638857.0891</v>
      </c>
    </row>
    <row r="304">
      <c r="A304" s="103">
        <f t="shared" si="1"/>
        <v>-53</v>
      </c>
      <c r="B304" s="103">
        <f t="shared" si="2"/>
        <v>640148.2616</v>
      </c>
    </row>
    <row r="305">
      <c r="A305" s="103">
        <f t="shared" si="1"/>
        <v>-54</v>
      </c>
      <c r="B305" s="103">
        <f t="shared" si="2"/>
        <v>641435.1444</v>
      </c>
    </row>
    <row r="306">
      <c r="A306" s="103">
        <f t="shared" si="1"/>
        <v>-55</v>
      </c>
      <c r="B306" s="103">
        <f t="shared" si="2"/>
        <v>642717.7519</v>
      </c>
    </row>
    <row r="307">
      <c r="A307" s="103">
        <f t="shared" si="1"/>
        <v>-56</v>
      </c>
      <c r="B307" s="103">
        <f t="shared" si="2"/>
        <v>643996.0983</v>
      </c>
    </row>
    <row r="308">
      <c r="A308" s="103">
        <f t="shared" si="1"/>
        <v>-57</v>
      </c>
      <c r="B308" s="103">
        <f t="shared" si="2"/>
        <v>645270.1976</v>
      </c>
    </row>
    <row r="309">
      <c r="A309" s="103">
        <f t="shared" si="1"/>
        <v>-58</v>
      </c>
      <c r="B309" s="103">
        <f t="shared" si="2"/>
        <v>646540.0641</v>
      </c>
    </row>
    <row r="310">
      <c r="A310" s="103">
        <f t="shared" si="1"/>
        <v>-59</v>
      </c>
      <c r="B310" s="103">
        <f t="shared" si="2"/>
        <v>647805.7117</v>
      </c>
    </row>
    <row r="311">
      <c r="A311" s="103">
        <f t="shared" si="1"/>
        <v>-60</v>
      </c>
      <c r="B311" s="103">
        <f t="shared" si="2"/>
        <v>649067.1545</v>
      </c>
    </row>
    <row r="312">
      <c r="A312" s="103">
        <f t="shared" si="1"/>
        <v>-61</v>
      </c>
      <c r="B312" s="103">
        <f t="shared" si="2"/>
        <v>650324.4065</v>
      </c>
    </row>
    <row r="313">
      <c r="A313" s="103">
        <f t="shared" si="1"/>
        <v>-62</v>
      </c>
      <c r="B313" s="103">
        <f t="shared" si="2"/>
        <v>651577.4816</v>
      </c>
    </row>
    <row r="314">
      <c r="A314" s="103">
        <f t="shared" si="1"/>
        <v>-63</v>
      </c>
      <c r="B314" s="103">
        <f t="shared" si="2"/>
        <v>652826.3936</v>
      </c>
    </row>
    <row r="315">
      <c r="A315" s="103">
        <f t="shared" si="1"/>
        <v>-64</v>
      </c>
      <c r="B315" s="103">
        <f t="shared" si="2"/>
        <v>654071.1564</v>
      </c>
    </row>
    <row r="316">
      <c r="A316" s="103">
        <f t="shared" si="1"/>
        <v>-65</v>
      </c>
      <c r="B316" s="103">
        <f t="shared" si="2"/>
        <v>655311.7838</v>
      </c>
    </row>
    <row r="317">
      <c r="A317" s="103">
        <f t="shared" si="1"/>
        <v>-66</v>
      </c>
      <c r="B317" s="103">
        <f t="shared" si="2"/>
        <v>656548.2895</v>
      </c>
    </row>
    <row r="318">
      <c r="A318" s="103">
        <f t="shared" si="1"/>
        <v>-67</v>
      </c>
      <c r="B318" s="103">
        <f t="shared" si="2"/>
        <v>657780.6872</v>
      </c>
    </row>
    <row r="319">
      <c r="A319" s="103">
        <f t="shared" si="1"/>
        <v>-68</v>
      </c>
      <c r="B319" s="103">
        <f t="shared" si="2"/>
        <v>659008.9906</v>
      </c>
    </row>
    <row r="320">
      <c r="A320" s="103">
        <f t="shared" si="1"/>
        <v>-69</v>
      </c>
      <c r="B320" s="103">
        <f t="shared" si="2"/>
        <v>660233.2132</v>
      </c>
    </row>
    <row r="321">
      <c r="A321" s="103">
        <f t="shared" si="1"/>
        <v>-70</v>
      </c>
      <c r="B321" s="103">
        <f t="shared" si="2"/>
        <v>661453.3686</v>
      </c>
    </row>
    <row r="322">
      <c r="A322" s="103">
        <f t="shared" si="1"/>
        <v>-71</v>
      </c>
      <c r="B322" s="103">
        <f t="shared" si="2"/>
        <v>662669.4704</v>
      </c>
    </row>
    <row r="323">
      <c r="A323" s="103">
        <f t="shared" si="1"/>
        <v>-72</v>
      </c>
      <c r="B323" s="103">
        <f t="shared" si="2"/>
        <v>663881.5319</v>
      </c>
    </row>
    <row r="324">
      <c r="A324" s="103">
        <f t="shared" si="1"/>
        <v>-73</v>
      </c>
      <c r="B324" s="103">
        <f t="shared" si="2"/>
        <v>665089.5667</v>
      </c>
    </row>
    <row r="325">
      <c r="A325" s="103">
        <f t="shared" si="1"/>
        <v>-74</v>
      </c>
      <c r="B325" s="103">
        <f t="shared" si="2"/>
        <v>666293.5881</v>
      </c>
    </row>
    <row r="326">
      <c r="A326" s="103">
        <f t="shared" si="1"/>
        <v>-75</v>
      </c>
      <c r="B326" s="103">
        <f t="shared" si="2"/>
        <v>667493.6094</v>
      </c>
    </row>
    <row r="327">
      <c r="A327" s="103">
        <f t="shared" si="1"/>
        <v>-76</v>
      </c>
      <c r="B327" s="103">
        <f t="shared" si="2"/>
        <v>668689.6439</v>
      </c>
    </row>
    <row r="328">
      <c r="A328" s="103">
        <f t="shared" si="1"/>
        <v>-77</v>
      </c>
      <c r="B328" s="103">
        <f t="shared" si="2"/>
        <v>669881.7049</v>
      </c>
    </row>
    <row r="329">
      <c r="A329" s="103">
        <f t="shared" si="1"/>
        <v>-78</v>
      </c>
      <c r="B329" s="103">
        <f t="shared" si="2"/>
        <v>671069.8055</v>
      </c>
    </row>
    <row r="330">
      <c r="A330" s="103">
        <f t="shared" si="1"/>
        <v>-79</v>
      </c>
      <c r="B330" s="103">
        <f t="shared" si="2"/>
        <v>672253.959</v>
      </c>
    </row>
    <row r="331">
      <c r="A331" s="103">
        <f t="shared" si="1"/>
        <v>-80</v>
      </c>
      <c r="B331" s="103">
        <f t="shared" si="2"/>
        <v>673434.1784</v>
      </c>
    </row>
    <row r="332">
      <c r="A332" s="103">
        <f t="shared" si="1"/>
        <v>-81</v>
      </c>
      <c r="B332" s="103">
        <f t="shared" si="2"/>
        <v>674610.4768</v>
      </c>
    </row>
    <row r="333">
      <c r="A333" s="103">
        <f t="shared" si="1"/>
        <v>-82</v>
      </c>
      <c r="B333" s="103">
        <f t="shared" si="2"/>
        <v>675782.8673</v>
      </c>
    </row>
    <row r="334">
      <c r="A334" s="103">
        <f t="shared" si="1"/>
        <v>-83</v>
      </c>
      <c r="B334" s="103">
        <f t="shared" si="2"/>
        <v>676951.3627</v>
      </c>
    </row>
    <row r="335">
      <c r="A335" s="103">
        <f t="shared" si="1"/>
        <v>-84</v>
      </c>
      <c r="B335" s="103">
        <f t="shared" si="2"/>
        <v>678115.9761</v>
      </c>
    </row>
    <row r="336">
      <c r="A336" s="103">
        <f t="shared" si="1"/>
        <v>-85</v>
      </c>
      <c r="B336" s="103">
        <f t="shared" si="2"/>
        <v>679276.7204</v>
      </c>
    </row>
    <row r="337">
      <c r="A337" s="103">
        <f t="shared" si="1"/>
        <v>-86</v>
      </c>
      <c r="B337" s="103">
        <f t="shared" si="2"/>
        <v>680433.6084</v>
      </c>
    </row>
    <row r="338">
      <c r="A338" s="103">
        <f t="shared" si="1"/>
        <v>-87</v>
      </c>
      <c r="B338" s="103">
        <f t="shared" si="2"/>
        <v>681586.6529</v>
      </c>
    </row>
    <row r="339">
      <c r="A339" s="103">
        <f t="shared" si="1"/>
        <v>-88</v>
      </c>
      <c r="B339" s="103">
        <f t="shared" si="2"/>
        <v>682735.8667</v>
      </c>
    </row>
    <row r="340">
      <c r="A340" s="103">
        <f t="shared" si="1"/>
        <v>-89</v>
      </c>
      <c r="B340" s="103">
        <f t="shared" si="2"/>
        <v>683881.2624</v>
      </c>
    </row>
    <row r="341">
      <c r="A341" s="103">
        <f t="shared" si="1"/>
        <v>-90</v>
      </c>
      <c r="B341" s="103">
        <f t="shared" si="2"/>
        <v>685022.8529</v>
      </c>
    </row>
    <row r="342">
      <c r="A342" s="103">
        <f t="shared" si="1"/>
        <v>-91</v>
      </c>
      <c r="B342" s="103">
        <f t="shared" si="2"/>
        <v>686160.6508</v>
      </c>
    </row>
    <row r="343">
      <c r="A343" s="103">
        <f t="shared" si="1"/>
        <v>-92</v>
      </c>
      <c r="B343" s="103">
        <f t="shared" si="2"/>
        <v>687294.6685</v>
      </c>
    </row>
    <row r="344">
      <c r="A344" s="103">
        <f t="shared" si="1"/>
        <v>-93</v>
      </c>
      <c r="B344" s="103">
        <f t="shared" si="2"/>
        <v>688424.9188</v>
      </c>
    </row>
    <row r="345">
      <c r="A345" s="103">
        <f t="shared" si="1"/>
        <v>-94</v>
      </c>
      <c r="B345" s="103">
        <f t="shared" si="2"/>
        <v>689551.4141</v>
      </c>
    </row>
    <row r="346">
      <c r="A346" s="103">
        <f t="shared" si="1"/>
        <v>-95</v>
      </c>
      <c r="B346" s="103">
        <f t="shared" si="2"/>
        <v>690674.1669</v>
      </c>
    </row>
    <row r="347">
      <c r="A347" s="103">
        <f t="shared" si="1"/>
        <v>-96</v>
      </c>
      <c r="B347" s="103">
        <f t="shared" si="2"/>
        <v>691793.1896</v>
      </c>
    </row>
    <row r="348">
      <c r="A348" s="103">
        <f t="shared" si="1"/>
        <v>-97</v>
      </c>
      <c r="B348" s="103">
        <f t="shared" si="2"/>
        <v>692908.4946</v>
      </c>
    </row>
    <row r="349">
      <c r="A349" s="103">
        <f t="shared" si="1"/>
        <v>-98</v>
      </c>
      <c r="B349" s="103">
        <f t="shared" si="2"/>
        <v>694020.0943</v>
      </c>
    </row>
    <row r="350">
      <c r="A350" s="103">
        <f t="shared" si="1"/>
        <v>-99</v>
      </c>
      <c r="B350" s="103">
        <f t="shared" si="2"/>
        <v>695128.0009</v>
      </c>
    </row>
    <row r="351">
      <c r="A351" s="103">
        <f t="shared" si="1"/>
        <v>-100</v>
      </c>
      <c r="B351" s="103">
        <f t="shared" si="2"/>
        <v>696232.2268</v>
      </c>
    </row>
    <row r="352">
      <c r="A352" s="103">
        <f t="shared" si="1"/>
        <v>-101</v>
      </c>
      <c r="B352" s="103">
        <f t="shared" si="2"/>
        <v>697332.7842</v>
      </c>
    </row>
    <row r="353">
      <c r="A353" s="103">
        <f t="shared" si="1"/>
        <v>-102</v>
      </c>
      <c r="B353" s="103">
        <f t="shared" si="2"/>
        <v>698429.6853</v>
      </c>
    </row>
    <row r="354">
      <c r="A354" s="103">
        <f t="shared" si="1"/>
        <v>-103</v>
      </c>
      <c r="B354" s="103">
        <f t="shared" si="2"/>
        <v>699522.9421</v>
      </c>
    </row>
    <row r="355">
      <c r="A355" s="103">
        <f t="shared" si="1"/>
        <v>-104</v>
      </c>
      <c r="B355" s="103">
        <f t="shared" si="2"/>
        <v>700612.5669</v>
      </c>
    </row>
    <row r="356">
      <c r="A356" s="103">
        <f t="shared" si="1"/>
        <v>-105</v>
      </c>
      <c r="B356" s="103">
        <f t="shared" si="2"/>
        <v>701698.5717</v>
      </c>
    </row>
    <row r="357">
      <c r="A357" s="103">
        <f t="shared" si="1"/>
        <v>-106</v>
      </c>
      <c r="B357" s="103">
        <f t="shared" si="2"/>
        <v>702780.9685</v>
      </c>
    </row>
    <row r="358">
      <c r="A358" s="103">
        <f t="shared" si="1"/>
        <v>-107</v>
      </c>
      <c r="B358" s="103">
        <f t="shared" si="2"/>
        <v>703859.7692</v>
      </c>
    </row>
    <row r="359">
      <c r="A359" s="103">
        <f t="shared" si="1"/>
        <v>-108</v>
      </c>
      <c r="B359" s="103">
        <f t="shared" si="2"/>
        <v>704934.9859</v>
      </c>
    </row>
    <row r="360">
      <c r="A360" s="103">
        <f t="shared" si="1"/>
        <v>-109</v>
      </c>
      <c r="B360" s="103">
        <f t="shared" si="2"/>
        <v>706006.6305</v>
      </c>
    </row>
    <row r="361">
      <c r="A361" s="103">
        <f t="shared" si="1"/>
        <v>-110</v>
      </c>
      <c r="B361" s="103">
        <f t="shared" si="2"/>
        <v>707074.7148</v>
      </c>
    </row>
    <row r="362">
      <c r="A362" s="103">
        <f t="shared" si="1"/>
        <v>-111</v>
      </c>
      <c r="B362" s="103">
        <f t="shared" si="2"/>
        <v>708139.2506</v>
      </c>
    </row>
    <row r="363">
      <c r="A363" s="103">
        <f t="shared" si="1"/>
        <v>-112</v>
      </c>
      <c r="B363" s="103">
        <f t="shared" si="2"/>
        <v>709200.2498</v>
      </c>
    </row>
    <row r="364">
      <c r="A364" s="103">
        <f t="shared" si="1"/>
        <v>-113</v>
      </c>
      <c r="B364" s="103">
        <f t="shared" si="2"/>
        <v>710257.724</v>
      </c>
    </row>
    <row r="365">
      <c r="A365" s="103">
        <f t="shared" si="1"/>
        <v>-114</v>
      </c>
      <c r="B365" s="103">
        <f t="shared" si="2"/>
        <v>711311.6851</v>
      </c>
    </row>
    <row r="366">
      <c r="A366" s="103">
        <f t="shared" si="1"/>
        <v>-115</v>
      </c>
      <c r="B366" s="103">
        <f t="shared" si="2"/>
        <v>712362.1446</v>
      </c>
    </row>
    <row r="367">
      <c r="A367" s="103">
        <f t="shared" si="1"/>
        <v>-116</v>
      </c>
      <c r="B367" s="103">
        <f t="shared" si="2"/>
        <v>713409.1142</v>
      </c>
    </row>
    <row r="368">
      <c r="A368" s="103">
        <f t="shared" si="1"/>
        <v>-117</v>
      </c>
      <c r="B368" s="103">
        <f t="shared" si="2"/>
        <v>714452.6055</v>
      </c>
    </row>
    <row r="369">
      <c r="A369" s="103">
        <f t="shared" si="1"/>
        <v>-118</v>
      </c>
      <c r="B369" s="103">
        <f t="shared" si="2"/>
        <v>715492.6301</v>
      </c>
    </row>
    <row r="370">
      <c r="A370" s="103">
        <f t="shared" si="1"/>
        <v>-119</v>
      </c>
      <c r="B370" s="103">
        <f t="shared" si="2"/>
        <v>716529.1994</v>
      </c>
    </row>
    <row r="371">
      <c r="A371" s="103">
        <f t="shared" si="1"/>
        <v>-120</v>
      </c>
      <c r="B371" s="103">
        <f t="shared" si="2"/>
        <v>717562.325</v>
      </c>
    </row>
    <row r="372">
      <c r="A372" s="103">
        <f t="shared" si="1"/>
        <v>-121</v>
      </c>
      <c r="B372" s="103">
        <f t="shared" si="2"/>
        <v>718592.0183</v>
      </c>
    </row>
    <row r="373">
      <c r="A373" s="103">
        <f t="shared" si="1"/>
        <v>-122</v>
      </c>
      <c r="B373" s="103">
        <f t="shared" si="2"/>
        <v>719618.2907</v>
      </c>
    </row>
    <row r="374">
      <c r="A374" s="103">
        <f t="shared" si="1"/>
        <v>-123</v>
      </c>
      <c r="B374" s="103">
        <f t="shared" si="2"/>
        <v>720641.1535</v>
      </c>
    </row>
    <row r="375">
      <c r="A375" s="103">
        <f t="shared" si="1"/>
        <v>-124</v>
      </c>
      <c r="B375" s="103">
        <f t="shared" si="2"/>
        <v>721660.6181</v>
      </c>
    </row>
    <row r="376">
      <c r="A376" s="103">
        <f t="shared" si="1"/>
        <v>-125</v>
      </c>
      <c r="B376" s="103">
        <f t="shared" si="2"/>
        <v>722676.6958</v>
      </c>
    </row>
    <row r="377">
      <c r="A377" s="103">
        <f t="shared" si="1"/>
        <v>-126</v>
      </c>
      <c r="B377" s="103">
        <f t="shared" si="2"/>
        <v>723689.3978</v>
      </c>
    </row>
    <row r="378">
      <c r="A378" s="103">
        <f t="shared" si="1"/>
        <v>-127</v>
      </c>
      <c r="B378" s="103">
        <f t="shared" si="2"/>
        <v>724698.7353</v>
      </c>
    </row>
    <row r="379">
      <c r="A379" s="103">
        <f t="shared" si="1"/>
        <v>-128</v>
      </c>
      <c r="B379" s="103">
        <f t="shared" si="2"/>
        <v>725704.7196</v>
      </c>
    </row>
    <row r="380">
      <c r="A380" s="103">
        <f t="shared" si="1"/>
        <v>-129</v>
      </c>
      <c r="B380" s="103">
        <f t="shared" si="2"/>
        <v>726707.3617</v>
      </c>
    </row>
    <row r="381">
      <c r="A381" s="103">
        <f t="shared" si="1"/>
        <v>-130</v>
      </c>
      <c r="B381" s="103">
        <f t="shared" si="2"/>
        <v>727706.6728</v>
      </c>
    </row>
    <row r="382">
      <c r="A382" s="103">
        <f t="shared" si="1"/>
        <v>-131</v>
      </c>
      <c r="B382" s="103">
        <f t="shared" si="2"/>
        <v>728702.6639</v>
      </c>
    </row>
    <row r="383">
      <c r="A383" s="103">
        <f t="shared" si="1"/>
        <v>-132</v>
      </c>
      <c r="B383" s="103">
        <f t="shared" si="2"/>
        <v>729695.3461</v>
      </c>
    </row>
    <row r="384">
      <c r="A384" s="103">
        <f t="shared" si="1"/>
        <v>-133</v>
      </c>
      <c r="B384" s="103">
        <f t="shared" si="2"/>
        <v>730684.7303</v>
      </c>
    </row>
    <row r="385">
      <c r="A385" s="103">
        <f t="shared" si="1"/>
        <v>-134</v>
      </c>
      <c r="B385" s="103">
        <f t="shared" si="2"/>
        <v>731670.8276</v>
      </c>
    </row>
    <row r="386">
      <c r="A386" s="103">
        <f t="shared" si="1"/>
        <v>-135</v>
      </c>
      <c r="B386" s="103">
        <f t="shared" si="2"/>
        <v>732653.6488</v>
      </c>
    </row>
    <row r="387">
      <c r="A387" s="103">
        <f t="shared" si="1"/>
        <v>-136</v>
      </c>
      <c r="B387" s="103">
        <f t="shared" si="2"/>
        <v>733633.2047</v>
      </c>
    </row>
    <row r="388">
      <c r="A388" s="103">
        <f t="shared" si="1"/>
        <v>-137</v>
      </c>
      <c r="B388" s="103">
        <f t="shared" si="2"/>
        <v>734609.5064</v>
      </c>
    </row>
    <row r="389">
      <c r="A389" s="103">
        <f t="shared" si="1"/>
        <v>-138</v>
      </c>
      <c r="B389" s="103">
        <f t="shared" si="2"/>
        <v>735582.5645</v>
      </c>
    </row>
    <row r="390">
      <c r="A390" s="103">
        <f t="shared" si="1"/>
        <v>-139</v>
      </c>
      <c r="B390" s="103">
        <f t="shared" si="2"/>
        <v>736552.3899</v>
      </c>
    </row>
    <row r="391">
      <c r="A391" s="103">
        <f t="shared" si="1"/>
        <v>-140</v>
      </c>
      <c r="B391" s="103">
        <f t="shared" si="2"/>
        <v>737518.9932</v>
      </c>
    </row>
    <row r="392">
      <c r="A392" s="103">
        <f t="shared" si="1"/>
        <v>-141</v>
      </c>
      <c r="B392" s="103">
        <f t="shared" si="2"/>
        <v>738482.3853</v>
      </c>
    </row>
    <row r="393">
      <c r="A393" s="103">
        <f t="shared" si="1"/>
        <v>-142</v>
      </c>
      <c r="B393" s="103">
        <f t="shared" si="2"/>
        <v>739442.5767</v>
      </c>
    </row>
    <row r="394">
      <c r="A394" s="103">
        <f t="shared" si="1"/>
        <v>-143</v>
      </c>
      <c r="B394" s="103">
        <f t="shared" si="2"/>
        <v>740399.5781</v>
      </c>
    </row>
    <row r="395">
      <c r="A395" s="103">
        <f t="shared" si="1"/>
        <v>-144</v>
      </c>
      <c r="B395" s="103">
        <f t="shared" si="2"/>
        <v>741353.4001</v>
      </c>
    </row>
    <row r="396">
      <c r="A396" s="103">
        <f t="shared" si="1"/>
        <v>-145</v>
      </c>
      <c r="B396" s="103">
        <f t="shared" si="2"/>
        <v>742304.0532</v>
      </c>
    </row>
    <row r="397">
      <c r="A397" s="103">
        <f t="shared" si="1"/>
        <v>-146</v>
      </c>
      <c r="B397" s="103">
        <f t="shared" si="2"/>
        <v>743251.5481</v>
      </c>
    </row>
    <row r="398">
      <c r="A398" s="103">
        <f t="shared" si="1"/>
        <v>-147</v>
      </c>
      <c r="B398" s="103">
        <f t="shared" si="2"/>
        <v>744195.8951</v>
      </c>
    </row>
    <row r="399">
      <c r="A399" s="103">
        <f t="shared" si="1"/>
        <v>-148</v>
      </c>
      <c r="B399" s="103">
        <f t="shared" si="2"/>
        <v>745137.1048</v>
      </c>
    </row>
    <row r="400">
      <c r="A400" s="103">
        <f t="shared" si="1"/>
        <v>-149</v>
      </c>
      <c r="B400" s="103">
        <f t="shared" si="2"/>
        <v>746075.1875</v>
      </c>
    </row>
    <row r="401">
      <c r="A401" s="103">
        <f t="shared" si="1"/>
        <v>-150</v>
      </c>
      <c r="B401" s="103">
        <f t="shared" si="2"/>
        <v>747010.1536</v>
      </c>
    </row>
    <row r="402">
      <c r="A402" s="103">
        <f t="shared" si="1"/>
        <v>-151</v>
      </c>
      <c r="B402" s="103">
        <f t="shared" si="2"/>
        <v>747942.0136</v>
      </c>
    </row>
    <row r="403">
      <c r="A403" s="103">
        <f t="shared" si="1"/>
        <v>-152</v>
      </c>
      <c r="B403" s="103">
        <f t="shared" si="2"/>
        <v>748870.7776</v>
      </c>
    </row>
    <row r="404">
      <c r="A404" s="103">
        <f t="shared" si="1"/>
        <v>-153</v>
      </c>
      <c r="B404" s="103">
        <f t="shared" si="2"/>
        <v>749796.4561</v>
      </c>
    </row>
    <row r="405">
      <c r="A405" s="103">
        <f t="shared" si="1"/>
        <v>-154</v>
      </c>
      <c r="B405" s="103">
        <f t="shared" si="2"/>
        <v>750719.0593</v>
      </c>
    </row>
    <row r="406">
      <c r="A406" s="103">
        <f t="shared" si="1"/>
        <v>-155</v>
      </c>
      <c r="B406" s="103">
        <f t="shared" si="2"/>
        <v>751638.5973</v>
      </c>
    </row>
    <row r="407">
      <c r="A407" s="103">
        <f t="shared" si="1"/>
        <v>-156</v>
      </c>
      <c r="B407" s="103">
        <f t="shared" si="2"/>
        <v>752555.0803</v>
      </c>
    </row>
    <row r="408">
      <c r="A408" s="103">
        <f t="shared" si="1"/>
        <v>-157</v>
      </c>
      <c r="B408" s="103">
        <f t="shared" si="2"/>
        <v>753468.5186</v>
      </c>
    </row>
    <row r="409">
      <c r="A409" s="103">
        <f t="shared" si="1"/>
        <v>-158</v>
      </c>
      <c r="B409" s="103">
        <f t="shared" si="2"/>
        <v>754378.9222</v>
      </c>
    </row>
    <row r="410">
      <c r="A410" s="103">
        <f t="shared" si="1"/>
        <v>-159</v>
      </c>
      <c r="B410" s="103">
        <f t="shared" si="2"/>
        <v>755286.3012</v>
      </c>
    </row>
    <row r="411">
      <c r="A411" s="103">
        <f t="shared" si="1"/>
        <v>-160</v>
      </c>
      <c r="B411" s="103">
        <f t="shared" si="2"/>
        <v>756190.6656</v>
      </c>
    </row>
    <row r="412">
      <c r="A412" s="103">
        <f t="shared" si="1"/>
        <v>-161</v>
      </c>
      <c r="B412" s="103">
        <f t="shared" si="2"/>
        <v>757092.0256</v>
      </c>
    </row>
    <row r="413">
      <c r="A413" s="103">
        <f t="shared" si="1"/>
        <v>-162</v>
      </c>
      <c r="B413" s="103">
        <f t="shared" si="2"/>
        <v>757990.3909</v>
      </c>
    </row>
    <row r="414">
      <c r="A414" s="103">
        <f t="shared" si="1"/>
        <v>-163</v>
      </c>
      <c r="B414" s="103">
        <f t="shared" si="2"/>
        <v>758885.7717</v>
      </c>
    </row>
    <row r="415">
      <c r="A415" s="103">
        <f t="shared" si="1"/>
        <v>-164</v>
      </c>
      <c r="B415" s="103">
        <f t="shared" si="2"/>
        <v>759778.1778</v>
      </c>
    </row>
    <row r="416">
      <c r="A416" s="103">
        <f t="shared" si="1"/>
        <v>-165</v>
      </c>
      <c r="B416" s="103">
        <f t="shared" si="2"/>
        <v>760667.619</v>
      </c>
    </row>
    <row r="417">
      <c r="A417" s="103">
        <f t="shared" si="1"/>
        <v>-166</v>
      </c>
      <c r="B417" s="103">
        <f t="shared" si="2"/>
        <v>761554.1053</v>
      </c>
    </row>
    <row r="418">
      <c r="A418" s="103">
        <f t="shared" si="1"/>
        <v>-167</v>
      </c>
      <c r="B418" s="103">
        <f t="shared" si="2"/>
        <v>762437.6465</v>
      </c>
    </row>
    <row r="419">
      <c r="A419" s="103">
        <f t="shared" si="1"/>
        <v>-168</v>
      </c>
      <c r="B419" s="103">
        <f t="shared" si="2"/>
        <v>763318.2523</v>
      </c>
    </row>
    <row r="420">
      <c r="A420" s="103">
        <f t="shared" si="1"/>
        <v>-169</v>
      </c>
      <c r="B420" s="103">
        <f t="shared" si="2"/>
        <v>764195.9326</v>
      </c>
    </row>
    <row r="421">
      <c r="A421" s="103">
        <f t="shared" si="1"/>
        <v>-170</v>
      </c>
      <c r="B421" s="103">
        <f t="shared" si="2"/>
        <v>765070.6969</v>
      </c>
    </row>
    <row r="422">
      <c r="A422" s="103">
        <f t="shared" si="1"/>
        <v>-171</v>
      </c>
      <c r="B422" s="103">
        <f t="shared" si="2"/>
        <v>765942.5551</v>
      </c>
    </row>
    <row r="423">
      <c r="A423" s="103">
        <f t="shared" si="1"/>
        <v>-172</v>
      </c>
      <c r="B423" s="103">
        <f t="shared" si="2"/>
        <v>766811.5167</v>
      </c>
    </row>
    <row r="424">
      <c r="A424" s="103">
        <f t="shared" si="1"/>
        <v>-173</v>
      </c>
      <c r="B424" s="103">
        <f t="shared" si="2"/>
        <v>767677.5914</v>
      </c>
    </row>
    <row r="425">
      <c r="A425" s="103">
        <f t="shared" si="1"/>
        <v>-174</v>
      </c>
      <c r="B425" s="103">
        <f t="shared" si="2"/>
        <v>768540.7887</v>
      </c>
    </row>
    <row r="426">
      <c r="A426" s="103">
        <f t="shared" si="1"/>
        <v>-175</v>
      </c>
      <c r="B426" s="103">
        <f t="shared" si="2"/>
        <v>769401.1183</v>
      </c>
    </row>
    <row r="427">
      <c r="A427" s="103">
        <f t="shared" si="1"/>
        <v>-176</v>
      </c>
      <c r="B427" s="103">
        <f t="shared" si="2"/>
        <v>770258.5897</v>
      </c>
    </row>
    <row r="428">
      <c r="A428" s="103">
        <f t="shared" si="1"/>
        <v>-177</v>
      </c>
      <c r="B428" s="103">
        <f t="shared" si="2"/>
        <v>771113.2123</v>
      </c>
    </row>
    <row r="429">
      <c r="A429" s="103">
        <f t="shared" si="1"/>
        <v>-178</v>
      </c>
      <c r="B429" s="103">
        <f t="shared" si="2"/>
        <v>771964.9957</v>
      </c>
    </row>
    <row r="430">
      <c r="A430" s="103">
        <f t="shared" si="1"/>
        <v>-179</v>
      </c>
      <c r="B430" s="103">
        <f t="shared" si="2"/>
        <v>772813.9492</v>
      </c>
    </row>
    <row r="431">
      <c r="A431" s="103">
        <f t="shared" si="1"/>
        <v>-180</v>
      </c>
      <c r="B431" s="103">
        <f t="shared" si="2"/>
        <v>773660.0823</v>
      </c>
    </row>
    <row r="432">
      <c r="A432" s="103">
        <f t="shared" si="1"/>
        <v>-181</v>
      </c>
      <c r="B432" s="103">
        <f t="shared" si="2"/>
        <v>774503.4042</v>
      </c>
    </row>
    <row r="433">
      <c r="A433" s="103">
        <f t="shared" si="1"/>
        <v>-182</v>
      </c>
      <c r="B433" s="103">
        <f t="shared" si="2"/>
        <v>775343.9245</v>
      </c>
    </row>
    <row r="434">
      <c r="A434" s="103">
        <f t="shared" si="1"/>
        <v>-183</v>
      </c>
      <c r="B434" s="103">
        <f t="shared" si="2"/>
        <v>776181.6523</v>
      </c>
    </row>
    <row r="435">
      <c r="A435" s="103">
        <f t="shared" si="1"/>
        <v>-184</v>
      </c>
      <c r="B435" s="103">
        <f t="shared" si="2"/>
        <v>777016.597</v>
      </c>
    </row>
    <row r="436">
      <c r="A436" s="103">
        <f t="shared" si="1"/>
        <v>-185</v>
      </c>
      <c r="B436" s="103">
        <f t="shared" si="2"/>
        <v>777848.7678</v>
      </c>
    </row>
    <row r="437">
      <c r="A437" s="103">
        <f t="shared" si="1"/>
        <v>-186</v>
      </c>
      <c r="B437" s="103">
        <f t="shared" si="2"/>
        <v>778678.1739</v>
      </c>
    </row>
    <row r="438">
      <c r="A438" s="103">
        <f t="shared" si="1"/>
        <v>-187</v>
      </c>
      <c r="B438" s="103">
        <f t="shared" si="2"/>
        <v>779504.8244</v>
      </c>
    </row>
    <row r="439">
      <c r="A439" s="103">
        <f t="shared" si="1"/>
        <v>-188</v>
      </c>
      <c r="B439" s="103">
        <f t="shared" si="2"/>
        <v>780328.7287</v>
      </c>
    </row>
    <row r="440">
      <c r="A440" s="103">
        <f t="shared" si="1"/>
        <v>-189</v>
      </c>
      <c r="B440" s="103">
        <f t="shared" si="2"/>
        <v>781149.8957</v>
      </c>
    </row>
    <row r="441">
      <c r="A441" s="103">
        <f t="shared" si="1"/>
        <v>-190</v>
      </c>
      <c r="B441" s="103">
        <f t="shared" si="2"/>
        <v>781968.3346</v>
      </c>
    </row>
    <row r="442">
      <c r="A442" s="103">
        <f t="shared" si="1"/>
        <v>-191</v>
      </c>
      <c r="B442" s="103">
        <f t="shared" si="2"/>
        <v>782784.0544</v>
      </c>
    </row>
    <row r="443">
      <c r="A443" s="103">
        <f t="shared" si="1"/>
        <v>-192</v>
      </c>
      <c r="B443" s="103">
        <f t="shared" si="2"/>
        <v>783597.0642</v>
      </c>
    </row>
    <row r="444">
      <c r="A444" s="103">
        <f t="shared" si="1"/>
        <v>-193</v>
      </c>
      <c r="B444" s="103">
        <f t="shared" si="2"/>
        <v>784407.3729</v>
      </c>
    </row>
    <row r="445">
      <c r="A445" s="103">
        <f t="shared" si="1"/>
        <v>-194</v>
      </c>
      <c r="B445" s="103">
        <f t="shared" si="2"/>
        <v>785214.9896</v>
      </c>
    </row>
    <row r="446">
      <c r="A446" s="103">
        <f t="shared" si="1"/>
        <v>-195</v>
      </c>
      <c r="B446" s="103">
        <f t="shared" si="2"/>
        <v>786019.9232</v>
      </c>
    </row>
    <row r="447">
      <c r="A447" s="103">
        <f t="shared" si="1"/>
        <v>-196</v>
      </c>
      <c r="B447" s="103">
        <f t="shared" si="2"/>
        <v>786822.1826</v>
      </c>
    </row>
    <row r="448">
      <c r="A448" s="103">
        <f t="shared" si="1"/>
        <v>-197</v>
      </c>
      <c r="B448" s="103">
        <f t="shared" si="2"/>
        <v>787621.7767</v>
      </c>
    </row>
    <row r="449">
      <c r="A449" s="103">
        <f t="shared" si="1"/>
        <v>-198</v>
      </c>
      <c r="B449" s="103">
        <f t="shared" si="2"/>
        <v>788418.7143</v>
      </c>
    </row>
    <row r="450">
      <c r="A450" s="103">
        <f t="shared" si="1"/>
        <v>-199</v>
      </c>
      <c r="B450" s="103">
        <f t="shared" si="2"/>
        <v>789213.0043</v>
      </c>
    </row>
    <row r="451">
      <c r="A451" s="103">
        <f t="shared" si="1"/>
        <v>-200</v>
      </c>
      <c r="B451" s="103">
        <f t="shared" si="2"/>
        <v>790004.6554</v>
      </c>
    </row>
    <row r="452">
      <c r="A452" s="103">
        <f t="shared" si="1"/>
        <v>-201</v>
      </c>
      <c r="B452" s="103">
        <f t="shared" si="2"/>
        <v>790793.6765</v>
      </c>
    </row>
    <row r="453">
      <c r="A453" s="103">
        <f t="shared" si="1"/>
        <v>-202</v>
      </c>
      <c r="B453" s="103">
        <f t="shared" si="2"/>
        <v>791580.0763</v>
      </c>
    </row>
    <row r="454">
      <c r="A454" s="103">
        <f t="shared" si="1"/>
        <v>-203</v>
      </c>
      <c r="B454" s="103">
        <f t="shared" si="2"/>
        <v>792363.8634</v>
      </c>
    </row>
    <row r="455">
      <c r="A455" s="103">
        <f t="shared" si="1"/>
        <v>-204</v>
      </c>
      <c r="B455" s="103">
        <f t="shared" si="2"/>
        <v>793145.0466</v>
      </c>
    </row>
    <row r="456">
      <c r="A456" s="103">
        <f t="shared" si="1"/>
        <v>-205</v>
      </c>
      <c r="B456" s="103">
        <f t="shared" si="2"/>
        <v>793923.6345</v>
      </c>
    </row>
    <row r="457">
      <c r="A457" s="103">
        <f t="shared" si="1"/>
        <v>-206</v>
      </c>
      <c r="B457" s="103">
        <f t="shared" si="2"/>
        <v>794699.6357</v>
      </c>
    </row>
    <row r="458">
      <c r="A458" s="103">
        <f t="shared" si="1"/>
        <v>-207</v>
      </c>
      <c r="B458" s="103">
        <f t="shared" si="2"/>
        <v>795473.0588</v>
      </c>
    </row>
    <row r="459">
      <c r="A459" s="103">
        <f t="shared" si="1"/>
        <v>-208</v>
      </c>
      <c r="B459" s="103">
        <f t="shared" si="2"/>
        <v>796243.9124</v>
      </c>
    </row>
    <row r="460">
      <c r="A460" s="103">
        <f t="shared" si="1"/>
        <v>-209</v>
      </c>
      <c r="B460" s="103">
        <f t="shared" si="2"/>
        <v>797012.2051</v>
      </c>
    </row>
    <row r="461">
      <c r="A461" s="103">
        <f t="shared" si="1"/>
        <v>-210</v>
      </c>
      <c r="B461" s="103">
        <f t="shared" si="2"/>
        <v>797777.9453</v>
      </c>
    </row>
    <row r="462">
      <c r="A462" s="103">
        <f t="shared" si="1"/>
        <v>-211</v>
      </c>
      <c r="B462" s="103">
        <f t="shared" si="2"/>
        <v>798541.1415</v>
      </c>
    </row>
    <row r="463">
      <c r="A463" s="103">
        <f t="shared" si="1"/>
        <v>-212</v>
      </c>
      <c r="B463" s="103">
        <f t="shared" si="2"/>
        <v>799301.8021</v>
      </c>
    </row>
    <row r="464">
      <c r="A464" s="103">
        <f t="shared" si="1"/>
        <v>-213</v>
      </c>
      <c r="B464" s="103">
        <f t="shared" si="2"/>
        <v>800059.9357</v>
      </c>
    </row>
    <row r="465">
      <c r="A465" s="103">
        <f t="shared" si="1"/>
        <v>-214</v>
      </c>
      <c r="B465" s="103">
        <f t="shared" si="2"/>
        <v>800815.5505</v>
      </c>
    </row>
    <row r="466">
      <c r="A466" s="103">
        <f t="shared" si="1"/>
        <v>-215</v>
      </c>
      <c r="B466" s="103">
        <f t="shared" si="2"/>
        <v>801568.655</v>
      </c>
    </row>
    <row r="467">
      <c r="A467" s="103">
        <f t="shared" si="1"/>
        <v>-216</v>
      </c>
      <c r="B467" s="103">
        <f t="shared" si="2"/>
        <v>802319.2575</v>
      </c>
    </row>
    <row r="468">
      <c r="A468" s="103">
        <f t="shared" si="1"/>
        <v>-217</v>
      </c>
      <c r="B468" s="103">
        <f t="shared" si="2"/>
        <v>803067.3662</v>
      </c>
    </row>
    <row r="469">
      <c r="A469" s="103">
        <f t="shared" si="1"/>
        <v>-218</v>
      </c>
      <c r="B469" s="103">
        <f t="shared" si="2"/>
        <v>803812.9896</v>
      </c>
    </row>
    <row r="470">
      <c r="A470" s="103">
        <f t="shared" si="1"/>
        <v>-219</v>
      </c>
      <c r="B470" s="103">
        <f t="shared" si="2"/>
        <v>804556.1358</v>
      </c>
    </row>
    <row r="471">
      <c r="A471" s="103">
        <f t="shared" si="1"/>
        <v>-220</v>
      </c>
      <c r="B471" s="103">
        <f t="shared" si="2"/>
        <v>805296.8131</v>
      </c>
    </row>
    <row r="472">
      <c r="A472" s="103">
        <f t="shared" si="1"/>
        <v>-221</v>
      </c>
      <c r="B472" s="103">
        <f t="shared" si="2"/>
        <v>806035.0297</v>
      </c>
    </row>
    <row r="473">
      <c r="A473" s="103">
        <f t="shared" si="1"/>
        <v>-222</v>
      </c>
      <c r="B473" s="103">
        <f t="shared" si="2"/>
        <v>806770.7937</v>
      </c>
    </row>
    <row r="474">
      <c r="A474" s="103">
        <f t="shared" si="1"/>
        <v>-223</v>
      </c>
      <c r="B474" s="103">
        <f t="shared" si="2"/>
        <v>807504.1133</v>
      </c>
    </row>
    <row r="475">
      <c r="A475" s="103">
        <f t="shared" si="1"/>
        <v>-224</v>
      </c>
      <c r="B475" s="103">
        <f t="shared" si="2"/>
        <v>808234.9967</v>
      </c>
    </row>
    <row r="476">
      <c r="A476" s="103">
        <f t="shared" si="1"/>
        <v>-225</v>
      </c>
      <c r="B476" s="103">
        <f t="shared" si="2"/>
        <v>808963.4518</v>
      </c>
    </row>
    <row r="477">
      <c r="A477" s="103">
        <f t="shared" si="1"/>
        <v>-226</v>
      </c>
      <c r="B477" s="103">
        <f t="shared" si="2"/>
        <v>809689.4869</v>
      </c>
    </row>
    <row r="478">
      <c r="A478" s="103">
        <f t="shared" si="1"/>
        <v>-227</v>
      </c>
      <c r="B478" s="103">
        <f t="shared" si="2"/>
        <v>810413.1098</v>
      </c>
    </row>
    <row r="479">
      <c r="A479" s="103">
        <f t="shared" si="1"/>
        <v>-228</v>
      </c>
      <c r="B479" s="103">
        <f t="shared" si="2"/>
        <v>811134.3287</v>
      </c>
    </row>
    <row r="480">
      <c r="A480" s="103">
        <f t="shared" si="1"/>
        <v>-229</v>
      </c>
      <c r="B480" s="103">
        <f t="shared" si="2"/>
        <v>811853.1516</v>
      </c>
    </row>
    <row r="481">
      <c r="A481" s="103">
        <f t="shared" si="1"/>
        <v>-230</v>
      </c>
      <c r="B481" s="103">
        <f t="shared" si="2"/>
        <v>812569.5863</v>
      </c>
    </row>
    <row r="482">
      <c r="A482" s="103">
        <f t="shared" si="1"/>
        <v>-231</v>
      </c>
      <c r="B482" s="103">
        <f t="shared" si="2"/>
        <v>813283.6408</v>
      </c>
    </row>
    <row r="483">
      <c r="A483" s="103">
        <f t="shared" si="1"/>
        <v>-232</v>
      </c>
      <c r="B483" s="103">
        <f t="shared" si="2"/>
        <v>813995.3231</v>
      </c>
    </row>
    <row r="484">
      <c r="A484" s="103">
        <f t="shared" si="1"/>
        <v>-233</v>
      </c>
      <c r="B484" s="103">
        <f t="shared" si="2"/>
        <v>814704.6409</v>
      </c>
    </row>
    <row r="485">
      <c r="A485" s="103">
        <f t="shared" si="1"/>
        <v>-234</v>
      </c>
      <c r="B485" s="103">
        <f t="shared" si="2"/>
        <v>815411.6023</v>
      </c>
    </row>
    <row r="486">
      <c r="A486" s="103">
        <f t="shared" si="1"/>
        <v>-235</v>
      </c>
      <c r="B486" s="103">
        <f t="shared" si="2"/>
        <v>816116.2149</v>
      </c>
    </row>
    <row r="487">
      <c r="A487" s="103">
        <f t="shared" si="1"/>
        <v>-236</v>
      </c>
      <c r="B487" s="103">
        <f t="shared" si="2"/>
        <v>816818.4866</v>
      </c>
    </row>
    <row r="488">
      <c r="A488" s="103">
        <f t="shared" si="1"/>
        <v>-237</v>
      </c>
      <c r="B488" s="103">
        <f t="shared" si="2"/>
        <v>817518.4252</v>
      </c>
    </row>
    <row r="489">
      <c r="A489" s="103">
        <f t="shared" si="1"/>
        <v>-238</v>
      </c>
      <c r="B489" s="103">
        <f t="shared" si="2"/>
        <v>818216.0384</v>
      </c>
    </row>
    <row r="490">
      <c r="A490" s="103">
        <f t="shared" si="1"/>
        <v>-239</v>
      </c>
      <c r="B490" s="103">
        <f t="shared" si="2"/>
        <v>818911.3339</v>
      </c>
    </row>
    <row r="491">
      <c r="A491" s="103">
        <f t="shared" si="1"/>
        <v>-240</v>
      </c>
      <c r="B491" s="103">
        <f t="shared" si="2"/>
        <v>819604.3195</v>
      </c>
    </row>
    <row r="492">
      <c r="A492" s="103">
        <f t="shared" si="1"/>
        <v>-241</v>
      </c>
      <c r="B492" s="103">
        <f t="shared" si="2"/>
        <v>820295.0029</v>
      </c>
    </row>
    <row r="493">
      <c r="A493" s="103">
        <f t="shared" si="1"/>
        <v>-242</v>
      </c>
      <c r="B493" s="103">
        <f t="shared" si="2"/>
        <v>820983.3915</v>
      </c>
    </row>
    <row r="494">
      <c r="A494" s="103">
        <f t="shared" si="1"/>
        <v>-243</v>
      </c>
      <c r="B494" s="103">
        <f t="shared" si="2"/>
        <v>821669.4932</v>
      </c>
    </row>
    <row r="495">
      <c r="A495" s="103">
        <f t="shared" si="1"/>
        <v>-244</v>
      </c>
      <c r="B495" s="103">
        <f t="shared" si="2"/>
        <v>822353.3155</v>
      </c>
    </row>
    <row r="496">
      <c r="A496" s="103">
        <f t="shared" si="1"/>
        <v>-245</v>
      </c>
      <c r="B496" s="103">
        <f t="shared" si="2"/>
        <v>823034.866</v>
      </c>
    </row>
    <row r="497">
      <c r="A497" s="103">
        <f t="shared" si="1"/>
        <v>-246</v>
      </c>
      <c r="B497" s="103">
        <f t="shared" si="2"/>
        <v>823714.1521</v>
      </c>
    </row>
    <row r="498">
      <c r="A498" s="103">
        <f t="shared" si="1"/>
        <v>-247</v>
      </c>
      <c r="B498" s="103">
        <f t="shared" si="2"/>
        <v>824391.1815</v>
      </c>
    </row>
    <row r="499">
      <c r="A499" s="103">
        <f t="shared" si="1"/>
        <v>-248</v>
      </c>
      <c r="B499" s="103">
        <f t="shared" si="2"/>
        <v>825065.9616</v>
      </c>
    </row>
    <row r="500">
      <c r="A500" s="103">
        <f t="shared" si="1"/>
        <v>-249</v>
      </c>
      <c r="B500" s="103">
        <f t="shared" si="2"/>
        <v>825738.5</v>
      </c>
    </row>
    <row r="501">
      <c r="A501" s="103">
        <f t="shared" si="1"/>
        <v>-250</v>
      </c>
      <c r="B501" s="103">
        <f t="shared" si="2"/>
        <v>826408.804</v>
      </c>
    </row>
    <row r="502">
      <c r="A502" s="103">
        <f t="shared" si="1"/>
        <v>-251</v>
      </c>
      <c r="B502" s="103">
        <f t="shared" si="2"/>
        <v>827076.881</v>
      </c>
    </row>
    <row r="503">
      <c r="A503" s="103">
        <f t="shared" si="1"/>
        <v>-252</v>
      </c>
      <c r="B503" s="103">
        <f t="shared" si="2"/>
        <v>827742.7386</v>
      </c>
    </row>
    <row r="504">
      <c r="A504" s="103">
        <f t="shared" si="1"/>
        <v>-253</v>
      </c>
      <c r="B504" s="103">
        <f t="shared" si="2"/>
        <v>828406.384</v>
      </c>
    </row>
    <row r="505">
      <c r="A505" s="103">
        <f t="shared" si="1"/>
        <v>-254</v>
      </c>
      <c r="B505" s="103">
        <f t="shared" si="2"/>
        <v>829067.8245</v>
      </c>
    </row>
    <row r="506">
      <c r="A506" s="103">
        <f t="shared" si="1"/>
        <v>-255</v>
      </c>
      <c r="B506" s="103">
        <f t="shared" si="2"/>
        <v>829727.0677</v>
      </c>
    </row>
    <row r="507">
      <c r="A507" s="103">
        <f t="shared" si="1"/>
        <v>-256</v>
      </c>
      <c r="B507" s="103">
        <f t="shared" si="2"/>
        <v>830384.1206</v>
      </c>
    </row>
    <row r="508">
      <c r="A508" s="103">
        <f t="shared" si="1"/>
        <v>-257</v>
      </c>
      <c r="B508" s="103">
        <f t="shared" si="2"/>
        <v>831038.9906</v>
      </c>
    </row>
    <row r="509">
      <c r="A509" s="103">
        <f t="shared" si="1"/>
        <v>-258</v>
      </c>
      <c r="B509" s="103">
        <f t="shared" si="2"/>
        <v>831691.685</v>
      </c>
    </row>
    <row r="510">
      <c r="A510" s="103">
        <f t="shared" si="1"/>
        <v>-259</v>
      </c>
      <c r="B510" s="103">
        <f t="shared" si="2"/>
        <v>832342.211</v>
      </c>
    </row>
    <row r="511">
      <c r="A511" s="103">
        <f t="shared" si="1"/>
        <v>-260</v>
      </c>
      <c r="B511" s="103">
        <f t="shared" si="2"/>
        <v>832990.5757</v>
      </c>
    </row>
    <row r="512">
      <c r="A512" s="103">
        <f t="shared" si="1"/>
        <v>-261</v>
      </c>
      <c r="B512" s="103">
        <f t="shared" si="2"/>
        <v>833636.7864</v>
      </c>
    </row>
    <row r="513">
      <c r="A513" s="103">
        <f t="shared" si="1"/>
        <v>-262</v>
      </c>
      <c r="B513" s="103">
        <f t="shared" si="2"/>
        <v>834280.8503</v>
      </c>
    </row>
    <row r="514">
      <c r="A514" s="103">
        <f t="shared" si="1"/>
        <v>-263</v>
      </c>
      <c r="B514" s="103">
        <f t="shared" si="2"/>
        <v>834922.7743</v>
      </c>
    </row>
    <row r="515">
      <c r="A515" s="103">
        <f t="shared" si="1"/>
        <v>-264</v>
      </c>
      <c r="B515" s="103">
        <f t="shared" si="2"/>
        <v>835562.5658</v>
      </c>
    </row>
    <row r="516">
      <c r="A516" s="103">
        <f t="shared" si="1"/>
        <v>-265</v>
      </c>
      <c r="B516" s="103">
        <f t="shared" si="2"/>
        <v>836200.2317</v>
      </c>
    </row>
    <row r="517">
      <c r="A517" s="103">
        <f t="shared" si="1"/>
        <v>-266</v>
      </c>
      <c r="B517" s="103">
        <f t="shared" si="2"/>
        <v>836835.7791</v>
      </c>
    </row>
    <row r="518">
      <c r="A518" s="103">
        <f t="shared" si="1"/>
        <v>-267</v>
      </c>
      <c r="B518" s="103">
        <f t="shared" si="2"/>
        <v>837469.215</v>
      </c>
    </row>
    <row r="519">
      <c r="A519" s="103">
        <f t="shared" si="1"/>
        <v>-268</v>
      </c>
      <c r="B519" s="103">
        <f t="shared" si="2"/>
        <v>838100.5465</v>
      </c>
    </row>
    <row r="520">
      <c r="A520" s="103">
        <f t="shared" si="1"/>
        <v>-269</v>
      </c>
      <c r="B520" s="103">
        <f t="shared" si="2"/>
        <v>838729.7806</v>
      </c>
    </row>
    <row r="521">
      <c r="A521" s="103">
        <f t="shared" si="1"/>
        <v>-270</v>
      </c>
      <c r="B521" s="103">
        <f t="shared" si="2"/>
        <v>839356.9242</v>
      </c>
    </row>
    <row r="522">
      <c r="A522" s="103">
        <f t="shared" si="1"/>
        <v>-271</v>
      </c>
      <c r="B522" s="103">
        <f t="shared" si="2"/>
        <v>839981.9842</v>
      </c>
    </row>
    <row r="523">
      <c r="A523" s="103">
        <f t="shared" si="1"/>
        <v>-272</v>
      </c>
      <c r="B523" s="103">
        <f t="shared" si="2"/>
        <v>840604.9677</v>
      </c>
    </row>
    <row r="524">
      <c r="A524" s="103">
        <f t="shared" si="1"/>
        <v>-273</v>
      </c>
      <c r="B524" s="103">
        <f t="shared" si="2"/>
        <v>841225.8814</v>
      </c>
    </row>
    <row r="525">
      <c r="A525" s="103">
        <f t="shared" si="1"/>
        <v>-274</v>
      </c>
      <c r="B525" s="103">
        <f t="shared" si="2"/>
        <v>841844.7323</v>
      </c>
    </row>
    <row r="526">
      <c r="A526" s="103">
        <f t="shared" si="1"/>
        <v>-275</v>
      </c>
      <c r="B526" s="103">
        <f t="shared" si="2"/>
        <v>842461.5272</v>
      </c>
    </row>
    <row r="527">
      <c r="A527" s="103">
        <f t="shared" si="1"/>
        <v>-276</v>
      </c>
      <c r="B527" s="103">
        <f t="shared" si="2"/>
        <v>843076.273</v>
      </c>
    </row>
    <row r="528">
      <c r="A528" s="103">
        <f t="shared" si="1"/>
        <v>-277</v>
      </c>
      <c r="B528" s="103">
        <f t="shared" si="2"/>
        <v>843688.9764</v>
      </c>
    </row>
    <row r="529">
      <c r="A529" s="103">
        <f t="shared" si="1"/>
        <v>-278</v>
      </c>
      <c r="B529" s="103">
        <f t="shared" si="2"/>
        <v>844299.6442</v>
      </c>
    </row>
    <row r="530">
      <c r="A530" s="103">
        <f t="shared" si="1"/>
        <v>-279</v>
      </c>
      <c r="B530" s="103">
        <f t="shared" si="2"/>
        <v>844908.2833</v>
      </c>
    </row>
    <row r="531">
      <c r="A531" s="103">
        <f t="shared" si="1"/>
        <v>-280</v>
      </c>
      <c r="B531" s="103">
        <f t="shared" si="2"/>
        <v>845514.9003</v>
      </c>
    </row>
    <row r="532">
      <c r="A532" s="103">
        <f t="shared" si="1"/>
        <v>-281</v>
      </c>
      <c r="B532" s="103">
        <f t="shared" si="2"/>
        <v>846119.502</v>
      </c>
    </row>
    <row r="533">
      <c r="A533" s="103">
        <f t="shared" si="1"/>
        <v>-282</v>
      </c>
      <c r="B533" s="103">
        <f t="shared" si="2"/>
        <v>846722.095</v>
      </c>
    </row>
    <row r="534">
      <c r="A534" s="103">
        <f t="shared" si="1"/>
        <v>-283</v>
      </c>
      <c r="B534" s="103">
        <f t="shared" si="2"/>
        <v>847322.686</v>
      </c>
    </row>
    <row r="535">
      <c r="A535" s="103">
        <f t="shared" si="1"/>
        <v>-284</v>
      </c>
      <c r="B535" s="103">
        <f t="shared" si="2"/>
        <v>847921.2817</v>
      </c>
    </row>
    <row r="536">
      <c r="A536" s="103">
        <f t="shared" si="1"/>
        <v>-285</v>
      </c>
      <c r="B536" s="103">
        <f t="shared" si="2"/>
        <v>848517.8888</v>
      </c>
    </row>
    <row r="537">
      <c r="A537" s="103">
        <f t="shared" si="1"/>
        <v>-286</v>
      </c>
      <c r="B537" s="103">
        <f t="shared" si="2"/>
        <v>849112.5137</v>
      </c>
    </row>
    <row r="538">
      <c r="A538" s="103">
        <f t="shared" si="1"/>
        <v>-287</v>
      </c>
      <c r="B538" s="103">
        <f t="shared" si="2"/>
        <v>849705.1632</v>
      </c>
    </row>
    <row r="539">
      <c r="A539" s="103">
        <f t="shared" si="1"/>
        <v>-288</v>
      </c>
      <c r="B539" s="103">
        <f t="shared" si="2"/>
        <v>850295.8437</v>
      </c>
    </row>
    <row r="540">
      <c r="A540" s="103">
        <f t="shared" si="1"/>
        <v>-289</v>
      </c>
      <c r="B540" s="103">
        <f t="shared" si="2"/>
        <v>850884.5618</v>
      </c>
    </row>
    <row r="541">
      <c r="A541" s="103">
        <f t="shared" si="1"/>
        <v>-290</v>
      </c>
      <c r="B541" s="103">
        <f t="shared" si="2"/>
        <v>851471.3241</v>
      </c>
    </row>
    <row r="542">
      <c r="A542" s="103">
        <f t="shared" si="1"/>
        <v>-291</v>
      </c>
      <c r="B542" s="103">
        <f t="shared" si="2"/>
        <v>852056.137</v>
      </c>
    </row>
    <row r="543">
      <c r="A543" s="103">
        <f t="shared" si="1"/>
        <v>-292</v>
      </c>
      <c r="B543" s="103">
        <f t="shared" si="2"/>
        <v>852639.0069</v>
      </c>
    </row>
    <row r="544">
      <c r="A544" s="103">
        <f t="shared" si="1"/>
        <v>-293</v>
      </c>
      <c r="B544" s="103">
        <f t="shared" si="2"/>
        <v>853219.9405</v>
      </c>
    </row>
    <row r="545">
      <c r="A545" s="103">
        <f t="shared" si="1"/>
        <v>-294</v>
      </c>
      <c r="B545" s="103">
        <f t="shared" si="2"/>
        <v>853798.944</v>
      </c>
    </row>
    <row r="546">
      <c r="A546" s="103">
        <f t="shared" si="1"/>
        <v>-295</v>
      </c>
      <c r="B546" s="103">
        <f t="shared" si="2"/>
        <v>854376.0239</v>
      </c>
    </row>
    <row r="547">
      <c r="A547" s="103">
        <f t="shared" si="1"/>
        <v>-296</v>
      </c>
      <c r="B547" s="103">
        <f t="shared" si="2"/>
        <v>854951.1866</v>
      </c>
    </row>
    <row r="548">
      <c r="A548" s="103">
        <f t="shared" si="1"/>
        <v>-297</v>
      </c>
      <c r="B548" s="103">
        <f t="shared" si="2"/>
        <v>855524.4385</v>
      </c>
    </row>
    <row r="549">
      <c r="A549" s="103">
        <f t="shared" si="1"/>
        <v>-298</v>
      </c>
      <c r="B549" s="103">
        <f t="shared" si="2"/>
        <v>856095.7859</v>
      </c>
    </row>
    <row r="550">
      <c r="A550" s="103">
        <f t="shared" si="1"/>
        <v>-299</v>
      </c>
      <c r="B550" s="103">
        <f t="shared" si="2"/>
        <v>856665.2351</v>
      </c>
    </row>
    <row r="551">
      <c r="A551" s="103">
        <f t="shared" si="1"/>
        <v>-300</v>
      </c>
      <c r="B551" s="103">
        <f t="shared" si="2"/>
        <v>857232.7925</v>
      </c>
    </row>
    <row r="552">
      <c r="A552" s="103">
        <f t="shared" si="1"/>
        <v>-301</v>
      </c>
      <c r="B552" s="103">
        <f t="shared" si="2"/>
        <v>857798.4642</v>
      </c>
    </row>
    <row r="553">
      <c r="A553" s="103">
        <f t="shared" si="1"/>
        <v>-302</v>
      </c>
      <c r="B553" s="103">
        <f t="shared" si="2"/>
        <v>858362.2567</v>
      </c>
    </row>
    <row r="554">
      <c r="A554" s="103">
        <f t="shared" si="1"/>
        <v>-303</v>
      </c>
      <c r="B554" s="103">
        <f t="shared" si="2"/>
        <v>858924.1761</v>
      </c>
    </row>
    <row r="555">
      <c r="A555" s="103">
        <f t="shared" si="1"/>
        <v>-304</v>
      </c>
      <c r="B555" s="103">
        <f t="shared" si="2"/>
        <v>859484.2287</v>
      </c>
    </row>
    <row r="556">
      <c r="A556" s="103">
        <f t="shared" si="1"/>
        <v>-305</v>
      </c>
      <c r="B556" s="103">
        <f t="shared" si="2"/>
        <v>860042.4206</v>
      </c>
    </row>
    <row r="557">
      <c r="A557" s="103">
        <f t="shared" si="1"/>
        <v>-306</v>
      </c>
      <c r="B557" s="103">
        <f t="shared" si="2"/>
        <v>860598.7581</v>
      </c>
    </row>
    <row r="558">
      <c r="A558" s="103">
        <f t="shared" si="1"/>
        <v>-307</v>
      </c>
      <c r="B558" s="103">
        <f t="shared" si="2"/>
        <v>861153.2473</v>
      </c>
    </row>
    <row r="559">
      <c r="A559" s="103">
        <f t="shared" si="1"/>
        <v>-308</v>
      </c>
      <c r="B559" s="103">
        <f t="shared" si="2"/>
        <v>861705.8943</v>
      </c>
    </row>
    <row r="560">
      <c r="A560" s="103">
        <f t="shared" si="1"/>
        <v>-309</v>
      </c>
      <c r="B560" s="103">
        <f t="shared" si="2"/>
        <v>862256.7053</v>
      </c>
    </row>
    <row r="561">
      <c r="A561" s="103">
        <f t="shared" si="1"/>
        <v>-310</v>
      </c>
      <c r="B561" s="103">
        <f t="shared" si="2"/>
        <v>862805.6863</v>
      </c>
    </row>
    <row r="562">
      <c r="A562" s="103">
        <f t="shared" si="1"/>
        <v>-311</v>
      </c>
      <c r="B562" s="103">
        <f t="shared" si="2"/>
        <v>863352.8435</v>
      </c>
    </row>
    <row r="563">
      <c r="A563" s="103">
        <f t="shared" si="1"/>
        <v>-312</v>
      </c>
      <c r="B563" s="103">
        <f t="shared" si="2"/>
        <v>863898.1829</v>
      </c>
    </row>
    <row r="564">
      <c r="A564" s="103">
        <f t="shared" si="1"/>
        <v>-313</v>
      </c>
      <c r="B564" s="103">
        <f t="shared" si="2"/>
        <v>864441.7105</v>
      </c>
    </row>
    <row r="565">
      <c r="A565" s="103">
        <f t="shared" si="1"/>
        <v>-314</v>
      </c>
      <c r="B565" s="103">
        <f t="shared" si="2"/>
        <v>864983.4324</v>
      </c>
    </row>
    <row r="566">
      <c r="A566" s="103">
        <f t="shared" si="1"/>
        <v>-315</v>
      </c>
      <c r="B566" s="103">
        <f t="shared" si="2"/>
        <v>865523.3546</v>
      </c>
    </row>
    <row r="567">
      <c r="A567" s="103">
        <f t="shared" si="1"/>
        <v>-316</v>
      </c>
      <c r="B567" s="103">
        <f t="shared" si="2"/>
        <v>866061.483</v>
      </c>
    </row>
    <row r="568">
      <c r="A568" s="103">
        <f t="shared" si="1"/>
        <v>-317</v>
      </c>
      <c r="B568" s="103">
        <f t="shared" si="2"/>
        <v>866597.8236</v>
      </c>
    </row>
    <row r="569">
      <c r="A569" s="103">
        <f t="shared" si="1"/>
        <v>-318</v>
      </c>
      <c r="B569" s="103">
        <f t="shared" si="2"/>
        <v>867132.3823</v>
      </c>
    </row>
    <row r="570">
      <c r="A570" s="103">
        <f t="shared" si="1"/>
        <v>-319</v>
      </c>
      <c r="B570" s="103">
        <f t="shared" si="2"/>
        <v>867665.1651</v>
      </c>
    </row>
    <row r="571">
      <c r="A571" s="103">
        <f t="shared" si="1"/>
        <v>-320</v>
      </c>
      <c r="B571" s="103">
        <f t="shared" si="2"/>
        <v>868196.1778</v>
      </c>
    </row>
    <row r="572">
      <c r="A572" s="103">
        <f t="shared" si="1"/>
        <v>-321</v>
      </c>
      <c r="B572" s="103">
        <f t="shared" si="2"/>
        <v>868725.4264</v>
      </c>
    </row>
    <row r="573">
      <c r="A573" s="103">
        <f t="shared" si="1"/>
        <v>-322</v>
      </c>
      <c r="B573" s="103">
        <f t="shared" si="2"/>
        <v>869252.9167</v>
      </c>
    </row>
    <row r="574">
      <c r="A574" s="103">
        <f t="shared" si="1"/>
        <v>-323</v>
      </c>
      <c r="B574" s="103">
        <f t="shared" si="2"/>
        <v>869778.6545</v>
      </c>
    </row>
    <row r="575">
      <c r="A575" s="103">
        <f t="shared" si="1"/>
        <v>-324</v>
      </c>
      <c r="B575" s="103">
        <f t="shared" si="2"/>
        <v>870302.6457</v>
      </c>
    </row>
    <row r="576">
      <c r="A576" s="103">
        <f t="shared" si="1"/>
        <v>-325</v>
      </c>
      <c r="B576" s="103">
        <f t="shared" si="2"/>
        <v>870824.896</v>
      </c>
    </row>
    <row r="577">
      <c r="A577" s="103">
        <f t="shared" si="1"/>
        <v>-326</v>
      </c>
      <c r="B577" s="103">
        <f t="shared" si="2"/>
        <v>871345.4113</v>
      </c>
    </row>
    <row r="578">
      <c r="A578" s="103">
        <f t="shared" si="1"/>
        <v>-327</v>
      </c>
      <c r="B578" s="103">
        <f t="shared" si="2"/>
        <v>871864.1973</v>
      </c>
    </row>
    <row r="579">
      <c r="A579" s="103">
        <f t="shared" si="1"/>
        <v>-328</v>
      </c>
      <c r="B579" s="103">
        <f t="shared" si="2"/>
        <v>872381.2598</v>
      </c>
    </row>
    <row r="580">
      <c r="A580" s="103">
        <f t="shared" si="1"/>
        <v>-329</v>
      </c>
      <c r="B580" s="103">
        <f t="shared" si="2"/>
        <v>872896.6044</v>
      </c>
    </row>
    <row r="581">
      <c r="A581" s="103">
        <f t="shared" si="1"/>
        <v>-330</v>
      </c>
      <c r="B581" s="103">
        <f t="shared" si="2"/>
        <v>873410.237</v>
      </c>
    </row>
    <row r="582">
      <c r="A582" s="103">
        <f t="shared" si="1"/>
        <v>-331</v>
      </c>
      <c r="B582" s="103">
        <f t="shared" si="2"/>
        <v>873922.1631</v>
      </c>
    </row>
    <row r="583">
      <c r="A583" s="103">
        <f t="shared" si="1"/>
        <v>-332</v>
      </c>
      <c r="B583" s="103">
        <f t="shared" si="2"/>
        <v>874432.3885</v>
      </c>
    </row>
    <row r="584">
      <c r="A584" s="103">
        <f t="shared" si="1"/>
        <v>-333</v>
      </c>
      <c r="B584" s="103">
        <f t="shared" si="2"/>
        <v>874940.9187</v>
      </c>
    </row>
    <row r="585">
      <c r="A585" s="103">
        <f t="shared" si="1"/>
        <v>-334</v>
      </c>
      <c r="B585" s="103">
        <f t="shared" si="2"/>
        <v>875447.7595</v>
      </c>
    </row>
    <row r="586">
      <c r="A586" s="103">
        <f t="shared" si="1"/>
        <v>-335</v>
      </c>
      <c r="B586" s="103">
        <f t="shared" si="2"/>
        <v>875952.9165</v>
      </c>
    </row>
    <row r="587">
      <c r="A587" s="103">
        <f t="shared" si="1"/>
        <v>-336</v>
      </c>
      <c r="B587" s="103">
        <f t="shared" si="2"/>
        <v>876456.3952</v>
      </c>
    </row>
    <row r="588">
      <c r="A588" s="103">
        <f t="shared" si="1"/>
        <v>-337</v>
      </c>
      <c r="B588" s="103">
        <f t="shared" si="2"/>
        <v>876958.2012</v>
      </c>
    </row>
    <row r="589">
      <c r="A589" s="103">
        <f t="shared" si="1"/>
        <v>-338</v>
      </c>
      <c r="B589" s="103">
        <f t="shared" si="2"/>
        <v>877458.34</v>
      </c>
    </row>
    <row r="590">
      <c r="A590" s="103">
        <f t="shared" si="1"/>
        <v>-339</v>
      </c>
      <c r="B590" s="103">
        <f t="shared" si="2"/>
        <v>877956.8173</v>
      </c>
    </row>
    <row r="591">
      <c r="A591" s="103">
        <f t="shared" si="1"/>
        <v>-340</v>
      </c>
      <c r="B591" s="103">
        <f t="shared" si="2"/>
        <v>878453.6385</v>
      </c>
    </row>
    <row r="592">
      <c r="A592" s="103">
        <f t="shared" si="1"/>
        <v>-341</v>
      </c>
      <c r="B592" s="103">
        <f t="shared" si="2"/>
        <v>878948.8092</v>
      </c>
    </row>
    <row r="593">
      <c r="A593" s="103">
        <f t="shared" si="1"/>
        <v>-342</v>
      </c>
      <c r="B593" s="103">
        <f t="shared" si="2"/>
        <v>879442.3347</v>
      </c>
    </row>
    <row r="594">
      <c r="A594" s="103">
        <f t="shared" si="1"/>
        <v>-343</v>
      </c>
      <c r="B594" s="103">
        <f t="shared" si="2"/>
        <v>879934.2206</v>
      </c>
    </row>
    <row r="595">
      <c r="A595" s="103">
        <f t="shared" si="1"/>
        <v>-344</v>
      </c>
      <c r="B595" s="103">
        <f t="shared" si="2"/>
        <v>880424.4724</v>
      </c>
    </row>
    <row r="596">
      <c r="A596" s="103">
        <f t="shared" si="1"/>
        <v>-345</v>
      </c>
      <c r="B596" s="103">
        <f t="shared" si="2"/>
        <v>880913.0954</v>
      </c>
    </row>
    <row r="597">
      <c r="A597" s="103">
        <f t="shared" si="1"/>
        <v>-346</v>
      </c>
      <c r="B597" s="103">
        <f t="shared" si="2"/>
        <v>881400.0951</v>
      </c>
    </row>
    <row r="598">
      <c r="A598" s="103">
        <f t="shared" si="1"/>
        <v>-347</v>
      </c>
      <c r="B598" s="103">
        <f t="shared" si="2"/>
        <v>881885.4768</v>
      </c>
    </row>
    <row r="599">
      <c r="A599" s="103">
        <f t="shared" si="1"/>
        <v>-348</v>
      </c>
      <c r="B599" s="103">
        <f t="shared" si="2"/>
        <v>882369.246</v>
      </c>
    </row>
    <row r="600">
      <c r="A600" s="103">
        <f t="shared" si="1"/>
        <v>-349</v>
      </c>
      <c r="B600" s="103">
        <f t="shared" si="2"/>
        <v>882851.408</v>
      </c>
    </row>
    <row r="601">
      <c r="A601" s="103">
        <f t="shared" si="1"/>
        <v>-350</v>
      </c>
      <c r="B601" s="103">
        <f t="shared" si="2"/>
        <v>883331.9681</v>
      </c>
    </row>
    <row r="602">
      <c r="A602" s="103">
        <f t="shared" si="1"/>
        <v>-351</v>
      </c>
      <c r="B602" s="103">
        <f t="shared" si="2"/>
        <v>883810.9317</v>
      </c>
    </row>
    <row r="603">
      <c r="A603" s="103">
        <f t="shared" si="1"/>
        <v>-352</v>
      </c>
      <c r="B603" s="103">
        <f t="shared" si="2"/>
        <v>884288.304</v>
      </c>
    </row>
    <row r="604">
      <c r="A604" s="103">
        <f t="shared" si="1"/>
        <v>-353</v>
      </c>
      <c r="B604" s="103">
        <f t="shared" si="2"/>
        <v>884764.0903</v>
      </c>
    </row>
    <row r="605">
      <c r="A605" s="103">
        <f t="shared" si="1"/>
        <v>-354</v>
      </c>
      <c r="B605" s="103">
        <f t="shared" si="2"/>
        <v>885238.296</v>
      </c>
    </row>
    <row r="606">
      <c r="A606" s="103">
        <f t="shared" si="1"/>
        <v>-355</v>
      </c>
      <c r="B606" s="103">
        <f t="shared" si="2"/>
        <v>885710.9263</v>
      </c>
    </row>
    <row r="607">
      <c r="A607" s="103">
        <f t="shared" si="1"/>
        <v>-356</v>
      </c>
      <c r="B607" s="103">
        <f t="shared" si="2"/>
        <v>886181.9863</v>
      </c>
    </row>
    <row r="608">
      <c r="A608" s="103">
        <f t="shared" si="1"/>
        <v>-357</v>
      </c>
      <c r="B608" s="103">
        <f t="shared" si="2"/>
        <v>886651.4814</v>
      </c>
    </row>
    <row r="609">
      <c r="A609" s="103">
        <f t="shared" si="1"/>
        <v>-358</v>
      </c>
      <c r="B609" s="103">
        <f t="shared" si="2"/>
        <v>887119.4167</v>
      </c>
    </row>
    <row r="610">
      <c r="A610" s="103">
        <f t="shared" si="1"/>
        <v>-359</v>
      </c>
      <c r="B610" s="103">
        <f t="shared" si="2"/>
        <v>887585.7973</v>
      </c>
    </row>
    <row r="611">
      <c r="A611" s="103">
        <f t="shared" si="1"/>
        <v>-360</v>
      </c>
      <c r="B611" s="103">
        <f t="shared" si="2"/>
        <v>888050.6286</v>
      </c>
    </row>
    <row r="612">
      <c r="A612" s="103">
        <f t="shared" si="1"/>
        <v>-361</v>
      </c>
      <c r="B612" s="103">
        <f t="shared" si="2"/>
        <v>888513.9155</v>
      </c>
    </row>
    <row r="613">
      <c r="A613" s="103">
        <f t="shared" si="1"/>
        <v>-362</v>
      </c>
      <c r="B613" s="103">
        <f t="shared" si="2"/>
        <v>888975.6633</v>
      </c>
    </row>
    <row r="614">
      <c r="A614" s="103">
        <f t="shared" si="1"/>
        <v>-363</v>
      </c>
      <c r="B614" s="103">
        <f t="shared" si="2"/>
        <v>889435.8771</v>
      </c>
    </row>
    <row r="615">
      <c r="A615" s="103">
        <f t="shared" si="1"/>
        <v>-364</v>
      </c>
      <c r="B615" s="103">
        <f t="shared" si="2"/>
        <v>889894.5618</v>
      </c>
    </row>
    <row r="616">
      <c r="A616" s="103">
        <f t="shared" si="1"/>
        <v>-365</v>
      </c>
      <c r="B616" s="103">
        <f t="shared" si="2"/>
        <v>890351.7228</v>
      </c>
    </row>
    <row r="617">
      <c r="A617" s="103">
        <f t="shared" si="1"/>
        <v>-366</v>
      </c>
      <c r="B617" s="103">
        <f t="shared" si="2"/>
        <v>890807.3649</v>
      </c>
    </row>
    <row r="618">
      <c r="A618" s="103">
        <f t="shared" si="1"/>
        <v>-367</v>
      </c>
      <c r="B618" s="103">
        <f t="shared" si="2"/>
        <v>891261.4932</v>
      </c>
    </row>
    <row r="619">
      <c r="A619" s="103">
        <f t="shared" si="1"/>
        <v>-368</v>
      </c>
      <c r="B619" s="103">
        <f t="shared" si="2"/>
        <v>891714.1129</v>
      </c>
    </row>
    <row r="620">
      <c r="A620" s="103">
        <f t="shared" si="1"/>
        <v>-369</v>
      </c>
      <c r="B620" s="103">
        <f t="shared" si="2"/>
        <v>892165.2288</v>
      </c>
    </row>
    <row r="621">
      <c r="A621" s="103">
        <f t="shared" si="1"/>
        <v>-370</v>
      </c>
      <c r="B621" s="103">
        <f t="shared" si="2"/>
        <v>892614.846</v>
      </c>
    </row>
    <row r="622">
      <c r="A622" s="103">
        <f t="shared" si="1"/>
        <v>-371</v>
      </c>
      <c r="B622" s="103">
        <f t="shared" si="2"/>
        <v>893062.9694</v>
      </c>
    </row>
    <row r="623">
      <c r="A623" s="103">
        <f t="shared" si="1"/>
        <v>-372</v>
      </c>
      <c r="B623" s="103">
        <f t="shared" si="2"/>
        <v>893509.604</v>
      </c>
    </row>
    <row r="624">
      <c r="A624" s="103">
        <f t="shared" si="1"/>
        <v>-373</v>
      </c>
      <c r="B624" s="103">
        <f t="shared" si="2"/>
        <v>893954.7549</v>
      </c>
    </row>
    <row r="625">
      <c r="A625" s="103">
        <f t="shared" si="1"/>
        <v>-374</v>
      </c>
      <c r="B625" s="103">
        <f t="shared" si="2"/>
        <v>894398.4268</v>
      </c>
    </row>
    <row r="626">
      <c r="A626" s="103">
        <f t="shared" si="1"/>
        <v>-375</v>
      </c>
      <c r="B626" s="103">
        <f t="shared" si="2"/>
        <v>894840.6247</v>
      </c>
    </row>
    <row r="627">
      <c r="A627" s="103">
        <f t="shared" si="1"/>
        <v>-376</v>
      </c>
      <c r="B627" s="103">
        <f t="shared" si="2"/>
        <v>895281.3535</v>
      </c>
    </row>
    <row r="628">
      <c r="A628" s="103">
        <f t="shared" si="1"/>
        <v>-377</v>
      </c>
      <c r="B628" s="103">
        <f t="shared" si="2"/>
        <v>895720.6181</v>
      </c>
    </row>
    <row r="629">
      <c r="A629" s="103">
        <f t="shared" si="1"/>
        <v>-378</v>
      </c>
      <c r="B629" s="103">
        <f t="shared" si="2"/>
        <v>896158.4234</v>
      </c>
    </row>
    <row r="630">
      <c r="A630" s="103">
        <f t="shared" si="1"/>
        <v>-379</v>
      </c>
      <c r="B630" s="103">
        <f t="shared" si="2"/>
        <v>896594.7741</v>
      </c>
    </row>
    <row r="631">
      <c r="A631" s="103">
        <f t="shared" si="1"/>
        <v>-380</v>
      </c>
      <c r="B631" s="103">
        <f t="shared" si="2"/>
        <v>897029.6752</v>
      </c>
    </row>
    <row r="632">
      <c r="A632" s="103">
        <f t="shared" si="1"/>
        <v>-381</v>
      </c>
      <c r="B632" s="103">
        <f t="shared" si="2"/>
        <v>897463.1314</v>
      </c>
    </row>
    <row r="633">
      <c r="A633" s="103">
        <f t="shared" si="1"/>
        <v>-382</v>
      </c>
      <c r="B633" s="103">
        <f t="shared" si="2"/>
        <v>897895.1476</v>
      </c>
    </row>
    <row r="634">
      <c r="A634" s="103">
        <f t="shared" si="1"/>
        <v>-383</v>
      </c>
      <c r="B634" s="103">
        <f t="shared" si="2"/>
        <v>898325.7285</v>
      </c>
    </row>
    <row r="635">
      <c r="A635" s="103">
        <f t="shared" si="1"/>
        <v>-384</v>
      </c>
      <c r="B635" s="103">
        <f t="shared" si="2"/>
        <v>898754.8789</v>
      </c>
    </row>
    <row r="636">
      <c r="A636" s="103">
        <f t="shared" si="1"/>
        <v>-385</v>
      </c>
      <c r="B636" s="103">
        <f t="shared" si="2"/>
        <v>899182.6036</v>
      </c>
    </row>
    <row r="637">
      <c r="A637" s="103">
        <f t="shared" si="1"/>
        <v>-386</v>
      </c>
      <c r="B637" s="103">
        <f t="shared" si="2"/>
        <v>899608.9072</v>
      </c>
    </row>
    <row r="638">
      <c r="A638" s="103">
        <f t="shared" si="1"/>
        <v>-387</v>
      </c>
      <c r="B638" s="103">
        <f t="shared" si="2"/>
        <v>900033.7946</v>
      </c>
    </row>
    <row r="639">
      <c r="A639" s="103">
        <f t="shared" si="1"/>
        <v>-388</v>
      </c>
      <c r="B639" s="103">
        <f t="shared" si="2"/>
        <v>900457.2703</v>
      </c>
    </row>
    <row r="640">
      <c r="A640" s="103">
        <f t="shared" si="1"/>
        <v>-389</v>
      </c>
      <c r="B640" s="103">
        <f t="shared" si="2"/>
        <v>900879.3392</v>
      </c>
    </row>
    <row r="641">
      <c r="A641" s="103">
        <f t="shared" si="1"/>
        <v>-390</v>
      </c>
      <c r="B641" s="103">
        <f t="shared" si="2"/>
        <v>901300.0058</v>
      </c>
    </row>
    <row r="642">
      <c r="A642" s="103">
        <f t="shared" si="1"/>
        <v>-391</v>
      </c>
      <c r="B642" s="103">
        <f t="shared" si="2"/>
        <v>901719.2749</v>
      </c>
    </row>
    <row r="643">
      <c r="A643" s="103">
        <f t="shared" si="1"/>
        <v>-392</v>
      </c>
      <c r="B643" s="103">
        <f t="shared" si="2"/>
        <v>902137.1511</v>
      </c>
    </row>
    <row r="644">
      <c r="A644" s="103">
        <f t="shared" si="1"/>
        <v>-393</v>
      </c>
      <c r="B644" s="103">
        <f t="shared" si="2"/>
        <v>902553.639</v>
      </c>
    </row>
    <row r="645">
      <c r="A645" s="103">
        <f t="shared" si="1"/>
        <v>-394</v>
      </c>
      <c r="B645" s="103">
        <f t="shared" si="2"/>
        <v>902968.7432</v>
      </c>
    </row>
    <row r="646">
      <c r="A646" s="103">
        <f t="shared" si="1"/>
        <v>-395</v>
      </c>
      <c r="B646" s="103">
        <f t="shared" si="2"/>
        <v>903382.4683</v>
      </c>
    </row>
    <row r="647">
      <c r="A647" s="103">
        <f t="shared" si="1"/>
        <v>-396</v>
      </c>
      <c r="B647" s="103">
        <f t="shared" si="2"/>
        <v>903794.8189</v>
      </c>
    </row>
    <row r="648">
      <c r="A648" s="103">
        <f t="shared" si="1"/>
        <v>-397</v>
      </c>
      <c r="B648" s="103">
        <f t="shared" si="2"/>
        <v>904205.7995</v>
      </c>
    </row>
    <row r="649">
      <c r="A649" s="103">
        <f t="shared" si="1"/>
        <v>-398</v>
      </c>
      <c r="B649" s="103">
        <f t="shared" si="2"/>
        <v>904615.4148</v>
      </c>
    </row>
    <row r="650">
      <c r="A650" s="103">
        <f t="shared" si="1"/>
        <v>-399</v>
      </c>
      <c r="B650" s="103">
        <f t="shared" si="2"/>
        <v>905023.6693</v>
      </c>
    </row>
    <row r="651">
      <c r="A651" s="103">
        <f t="shared" si="1"/>
        <v>-400</v>
      </c>
      <c r="B651" s="103">
        <f t="shared" si="2"/>
        <v>905430.5674</v>
      </c>
    </row>
    <row r="652">
      <c r="A652" s="103">
        <f t="shared" si="1"/>
        <v>-401</v>
      </c>
      <c r="B652" s="103">
        <f t="shared" si="2"/>
        <v>905836.1136</v>
      </c>
    </row>
    <row r="653">
      <c r="A653" s="103">
        <f t="shared" si="1"/>
        <v>-402</v>
      </c>
      <c r="B653" s="103">
        <f t="shared" si="2"/>
        <v>906240.3126</v>
      </c>
    </row>
    <row r="654">
      <c r="A654" s="103">
        <f t="shared" si="1"/>
        <v>-403</v>
      </c>
      <c r="B654" s="103">
        <f t="shared" si="2"/>
        <v>906643.1687</v>
      </c>
    </row>
    <row r="655">
      <c r="A655" s="103">
        <f t="shared" si="1"/>
        <v>-404</v>
      </c>
      <c r="B655" s="103">
        <f t="shared" si="2"/>
        <v>907044.6864</v>
      </c>
    </row>
    <row r="656">
      <c r="A656" s="103">
        <f t="shared" si="1"/>
        <v>-405</v>
      </c>
      <c r="B656" s="103">
        <f t="shared" si="2"/>
        <v>907444.8702</v>
      </c>
    </row>
    <row r="657">
      <c r="A657" s="103">
        <f t="shared" si="1"/>
        <v>-406</v>
      </c>
      <c r="B657" s="103">
        <f t="shared" si="2"/>
        <v>907843.7244</v>
      </c>
    </row>
    <row r="658">
      <c r="A658" s="103">
        <f t="shared" si="1"/>
        <v>-407</v>
      </c>
      <c r="B658" s="103">
        <f t="shared" si="2"/>
        <v>908241.2536</v>
      </c>
    </row>
    <row r="659">
      <c r="A659" s="103">
        <f t="shared" si="1"/>
        <v>-408</v>
      </c>
      <c r="B659" s="103">
        <f t="shared" si="2"/>
        <v>908637.4621</v>
      </c>
    </row>
    <row r="660">
      <c r="A660" s="103">
        <f t="shared" si="1"/>
        <v>-409</v>
      </c>
      <c r="B660" s="103">
        <f t="shared" si="2"/>
        <v>909032.3542</v>
      </c>
    </row>
    <row r="661">
      <c r="A661" s="103">
        <f t="shared" si="1"/>
        <v>-410</v>
      </c>
      <c r="B661" s="103">
        <f t="shared" si="2"/>
        <v>909425.9344</v>
      </c>
    </row>
    <row r="662">
      <c r="A662" s="103">
        <f t="shared" si="1"/>
        <v>-411</v>
      </c>
      <c r="B662" s="103">
        <f t="shared" si="2"/>
        <v>909818.2071</v>
      </c>
    </row>
    <row r="663">
      <c r="A663" s="103">
        <f t="shared" si="1"/>
        <v>-412</v>
      </c>
      <c r="B663" s="103">
        <f t="shared" si="2"/>
        <v>910209.1765</v>
      </c>
    </row>
    <row r="664">
      <c r="A664" s="103">
        <f t="shared" si="1"/>
        <v>-413</v>
      </c>
      <c r="B664" s="103">
        <f t="shared" si="2"/>
        <v>910598.847</v>
      </c>
    </row>
    <row r="665">
      <c r="A665" s="103">
        <f t="shared" si="1"/>
        <v>-414</v>
      </c>
      <c r="B665" s="103">
        <f t="shared" si="2"/>
        <v>910987.2229</v>
      </c>
    </row>
    <row r="666">
      <c r="A666" s="103">
        <f t="shared" si="1"/>
        <v>-415</v>
      </c>
      <c r="B666" s="103">
        <f t="shared" si="2"/>
        <v>911374.3086</v>
      </c>
    </row>
    <row r="667">
      <c r="A667" s="103">
        <f t="shared" si="1"/>
        <v>-416</v>
      </c>
      <c r="B667" s="103">
        <f t="shared" si="2"/>
        <v>911760.1082</v>
      </c>
    </row>
    <row r="668">
      <c r="A668" s="103">
        <f t="shared" si="1"/>
        <v>-417</v>
      </c>
      <c r="B668" s="103">
        <f t="shared" si="2"/>
        <v>912144.6261</v>
      </c>
    </row>
    <row r="669">
      <c r="A669" s="103">
        <f t="shared" si="1"/>
        <v>-418</v>
      </c>
      <c r="B669" s="103">
        <f t="shared" si="2"/>
        <v>912527.8665</v>
      </c>
    </row>
    <row r="670">
      <c r="A670" s="103">
        <f t="shared" si="1"/>
        <v>-419</v>
      </c>
      <c r="B670" s="103">
        <f t="shared" si="2"/>
        <v>912909.8338</v>
      </c>
    </row>
    <row r="671">
      <c r="A671" s="103">
        <f t="shared" si="1"/>
        <v>-420</v>
      </c>
      <c r="B671" s="103">
        <f t="shared" si="2"/>
        <v>913290.532</v>
      </c>
    </row>
    <row r="672">
      <c r="A672" s="103">
        <f t="shared" si="1"/>
        <v>-421</v>
      </c>
      <c r="B672" s="103">
        <f t="shared" si="2"/>
        <v>913669.9654</v>
      </c>
    </row>
    <row r="673">
      <c r="A673" s="103">
        <f t="shared" si="1"/>
        <v>-422</v>
      </c>
      <c r="B673" s="103">
        <f t="shared" si="2"/>
        <v>914048.1383</v>
      </c>
    </row>
    <row r="674">
      <c r="A674" s="103">
        <f t="shared" si="1"/>
        <v>-423</v>
      </c>
      <c r="B674" s="103">
        <f t="shared" si="2"/>
        <v>914425.0548</v>
      </c>
    </row>
    <row r="675">
      <c r="A675" s="103">
        <f t="shared" si="1"/>
        <v>-424</v>
      </c>
      <c r="B675" s="103">
        <f t="shared" si="2"/>
        <v>914800.7191</v>
      </c>
    </row>
    <row r="676">
      <c r="A676" s="103">
        <f t="shared" si="1"/>
        <v>-425</v>
      </c>
      <c r="B676" s="103">
        <f t="shared" si="2"/>
        <v>915175.1353</v>
      </c>
    </row>
    <row r="677">
      <c r="A677" s="103">
        <f t="shared" si="1"/>
        <v>-426</v>
      </c>
      <c r="B677" s="103">
        <f t="shared" si="2"/>
        <v>915548.3076</v>
      </c>
    </row>
    <row r="678">
      <c r="A678" s="103">
        <f t="shared" si="1"/>
        <v>-427</v>
      </c>
      <c r="B678" s="103">
        <f t="shared" si="2"/>
        <v>915920.2401</v>
      </c>
    </row>
    <row r="679">
      <c r="A679" s="103">
        <f t="shared" si="1"/>
        <v>-428</v>
      </c>
      <c r="B679" s="103">
        <f t="shared" si="2"/>
        <v>916290.937</v>
      </c>
    </row>
    <row r="680">
      <c r="A680" s="103">
        <f t="shared" si="1"/>
        <v>-429</v>
      </c>
      <c r="B680" s="103">
        <f t="shared" si="2"/>
        <v>916660.4023</v>
      </c>
    </row>
    <row r="681">
      <c r="A681" s="103">
        <f t="shared" si="1"/>
        <v>-430</v>
      </c>
      <c r="B681" s="103">
        <f t="shared" si="2"/>
        <v>917028.6402</v>
      </c>
    </row>
    <row r="682">
      <c r="A682" s="103">
        <f t="shared" si="1"/>
        <v>-431</v>
      </c>
      <c r="B682" s="103">
        <f t="shared" si="2"/>
        <v>917395.6547</v>
      </c>
    </row>
    <row r="683">
      <c r="A683" s="103">
        <f t="shared" si="1"/>
        <v>-432</v>
      </c>
      <c r="B683" s="103">
        <f t="shared" si="2"/>
        <v>917761.4498</v>
      </c>
    </row>
    <row r="684">
      <c r="A684" s="103">
        <f t="shared" si="1"/>
        <v>-433</v>
      </c>
      <c r="B684" s="103">
        <f t="shared" si="2"/>
        <v>918126.0297</v>
      </c>
    </row>
    <row r="685">
      <c r="A685" s="103">
        <f t="shared" si="1"/>
        <v>-434</v>
      </c>
      <c r="B685" s="103">
        <f t="shared" si="2"/>
        <v>918489.3984</v>
      </c>
    </row>
    <row r="686">
      <c r="A686" s="103">
        <f t="shared" si="1"/>
        <v>-435</v>
      </c>
      <c r="B686" s="103">
        <f t="shared" si="2"/>
        <v>918851.5599</v>
      </c>
    </row>
    <row r="687">
      <c r="A687" s="103">
        <f t="shared" si="1"/>
        <v>-436</v>
      </c>
      <c r="B687" s="103">
        <f t="shared" si="2"/>
        <v>919212.5182</v>
      </c>
    </row>
    <row r="688">
      <c r="A688" s="103">
        <f t="shared" si="1"/>
        <v>-437</v>
      </c>
      <c r="B688" s="103">
        <f t="shared" si="2"/>
        <v>919572.2772</v>
      </c>
    </row>
    <row r="689">
      <c r="A689" s="103">
        <f t="shared" si="1"/>
        <v>-438</v>
      </c>
      <c r="B689" s="103">
        <f t="shared" si="2"/>
        <v>919930.8411</v>
      </c>
    </row>
    <row r="690">
      <c r="A690" s="103">
        <f t="shared" si="1"/>
        <v>-439</v>
      </c>
      <c r="B690" s="103">
        <f t="shared" si="2"/>
        <v>920288.2137</v>
      </c>
    </row>
    <row r="691">
      <c r="A691" s="103">
        <f t="shared" si="1"/>
        <v>-440</v>
      </c>
      <c r="B691" s="103">
        <f t="shared" si="2"/>
        <v>920644.3991</v>
      </c>
    </row>
    <row r="692">
      <c r="A692" s="103">
        <f t="shared" si="1"/>
        <v>-441</v>
      </c>
      <c r="B692" s="103">
        <f t="shared" si="2"/>
        <v>920999.4011</v>
      </c>
    </row>
    <row r="693">
      <c r="A693" s="103">
        <f t="shared" si="1"/>
        <v>-442</v>
      </c>
      <c r="B693" s="103">
        <f t="shared" si="2"/>
        <v>921353.2236</v>
      </c>
    </row>
    <row r="694">
      <c r="A694" s="103">
        <f t="shared" si="1"/>
        <v>-443</v>
      </c>
      <c r="B694" s="103">
        <f t="shared" si="2"/>
        <v>921705.8707</v>
      </c>
    </row>
    <row r="695">
      <c r="A695" s="103">
        <f t="shared" si="1"/>
        <v>-444</v>
      </c>
      <c r="B695" s="103">
        <f t="shared" si="2"/>
        <v>922057.3463</v>
      </c>
    </row>
    <row r="696">
      <c r="A696" s="103">
        <f t="shared" si="1"/>
        <v>-445</v>
      </c>
      <c r="B696" s="103">
        <f t="shared" si="2"/>
        <v>922407.6541</v>
      </c>
    </row>
    <row r="697">
      <c r="A697" s="103">
        <f t="shared" si="1"/>
        <v>-446</v>
      </c>
      <c r="B697" s="103">
        <f t="shared" si="2"/>
        <v>922756.7981</v>
      </c>
    </row>
    <row r="698">
      <c r="A698" s="103">
        <f t="shared" si="1"/>
        <v>-447</v>
      </c>
      <c r="B698" s="103">
        <f t="shared" si="2"/>
        <v>923104.7821</v>
      </c>
    </row>
    <row r="699">
      <c r="A699" s="103">
        <f t="shared" si="1"/>
        <v>-448</v>
      </c>
      <c r="B699" s="103">
        <f t="shared" si="2"/>
        <v>923451.6101</v>
      </c>
    </row>
    <row r="700">
      <c r="A700" s="103">
        <f t="shared" si="1"/>
        <v>-449</v>
      </c>
      <c r="B700" s="103">
        <f t="shared" si="2"/>
        <v>923797.2858</v>
      </c>
    </row>
    <row r="701">
      <c r="A701" s="103">
        <f t="shared" si="1"/>
        <v>-450</v>
      </c>
      <c r="B701" s="103">
        <f t="shared" si="2"/>
        <v>924141.8131</v>
      </c>
    </row>
    <row r="702">
      <c r="A702" s="103">
        <f t="shared" si="1"/>
        <v>-451</v>
      </c>
      <c r="B702" s="103">
        <f t="shared" si="2"/>
        <v>924485.1958</v>
      </c>
    </row>
    <row r="703">
      <c r="A703" s="103">
        <f t="shared" si="1"/>
        <v>-452</v>
      </c>
      <c r="B703" s="103">
        <f t="shared" si="2"/>
        <v>924827.4377</v>
      </c>
    </row>
    <row r="704">
      <c r="A704" s="103">
        <f t="shared" si="1"/>
        <v>-453</v>
      </c>
      <c r="B704" s="103">
        <f t="shared" si="2"/>
        <v>925168.5425</v>
      </c>
    </row>
    <row r="705">
      <c r="A705" s="103">
        <f t="shared" si="1"/>
        <v>-454</v>
      </c>
      <c r="B705" s="103">
        <f t="shared" si="2"/>
        <v>925508.5141</v>
      </c>
    </row>
    <row r="706">
      <c r="A706" s="103">
        <f t="shared" si="1"/>
        <v>-455</v>
      </c>
      <c r="B706" s="103">
        <f t="shared" si="2"/>
        <v>925847.3563</v>
      </c>
    </row>
    <row r="707">
      <c r="A707" s="103">
        <f t="shared" si="1"/>
        <v>-456</v>
      </c>
      <c r="B707" s="103">
        <f t="shared" si="2"/>
        <v>926185.0727</v>
      </c>
    </row>
    <row r="708">
      <c r="A708" s="103">
        <f t="shared" si="1"/>
        <v>-457</v>
      </c>
      <c r="B708" s="103">
        <f t="shared" si="2"/>
        <v>926521.6672</v>
      </c>
    </row>
    <row r="709">
      <c r="A709" s="103">
        <f t="shared" si="1"/>
        <v>-458</v>
      </c>
      <c r="B709" s="103">
        <f t="shared" si="2"/>
        <v>926857.1433</v>
      </c>
    </row>
    <row r="710">
      <c r="A710" s="103">
        <f t="shared" si="1"/>
        <v>-459</v>
      </c>
      <c r="B710" s="103">
        <f t="shared" si="2"/>
        <v>927191.505</v>
      </c>
    </row>
    <row r="711">
      <c r="A711" s="103">
        <f t="shared" si="1"/>
        <v>-460</v>
      </c>
      <c r="B711" s="103">
        <f t="shared" si="2"/>
        <v>927524.7558</v>
      </c>
    </row>
    <row r="712">
      <c r="A712" s="103">
        <f t="shared" si="1"/>
        <v>-461</v>
      </c>
      <c r="B712" s="103">
        <f t="shared" si="2"/>
        <v>927856.8995</v>
      </c>
    </row>
    <row r="713">
      <c r="A713" s="103">
        <f t="shared" si="1"/>
        <v>-462</v>
      </c>
      <c r="B713" s="103">
        <f t="shared" si="2"/>
        <v>928187.9397</v>
      </c>
    </row>
    <row r="714">
      <c r="A714" s="103">
        <f t="shared" si="1"/>
        <v>-463</v>
      </c>
      <c r="B714" s="103">
        <f t="shared" si="2"/>
        <v>928517.8801</v>
      </c>
    </row>
    <row r="715">
      <c r="A715" s="103">
        <f t="shared" si="1"/>
        <v>-464</v>
      </c>
      <c r="B715" s="103">
        <f t="shared" si="2"/>
        <v>928846.7243</v>
      </c>
    </row>
    <row r="716">
      <c r="A716" s="103">
        <f t="shared" si="1"/>
        <v>-465</v>
      </c>
      <c r="B716" s="103">
        <f t="shared" si="2"/>
        <v>929174.4761</v>
      </c>
    </row>
    <row r="717">
      <c r="A717" s="103">
        <f t="shared" si="1"/>
        <v>-466</v>
      </c>
      <c r="B717" s="103">
        <f t="shared" si="2"/>
        <v>929501.1389</v>
      </c>
    </row>
    <row r="718">
      <c r="A718" s="103">
        <f t="shared" si="1"/>
        <v>-467</v>
      </c>
      <c r="B718" s="103">
        <f t="shared" si="2"/>
        <v>929826.7166</v>
      </c>
    </row>
    <row r="719">
      <c r="A719" s="103">
        <f t="shared" si="1"/>
        <v>-468</v>
      </c>
      <c r="B719" s="103">
        <f t="shared" si="2"/>
        <v>930151.2125</v>
      </c>
    </row>
    <row r="720">
      <c r="A720" s="103">
        <f t="shared" si="1"/>
        <v>-469</v>
      </c>
      <c r="B720" s="103">
        <f t="shared" si="2"/>
        <v>930474.6304</v>
      </c>
    </row>
    <row r="721">
      <c r="A721" s="103">
        <f t="shared" si="1"/>
        <v>-470</v>
      </c>
      <c r="B721" s="103">
        <f t="shared" si="2"/>
        <v>930796.9738</v>
      </c>
    </row>
    <row r="722">
      <c r="A722" s="103">
        <f t="shared" si="1"/>
        <v>-471</v>
      </c>
      <c r="B722" s="103">
        <f t="shared" si="2"/>
        <v>931118.2463</v>
      </c>
    </row>
    <row r="723">
      <c r="A723" s="103">
        <f t="shared" si="1"/>
        <v>-472</v>
      </c>
      <c r="B723" s="103">
        <f t="shared" si="2"/>
        <v>931438.4515</v>
      </c>
    </row>
    <row r="724">
      <c r="A724" s="103">
        <f t="shared" si="1"/>
        <v>-473</v>
      </c>
      <c r="B724" s="103">
        <f t="shared" si="2"/>
        <v>931757.5929</v>
      </c>
    </row>
    <row r="725">
      <c r="A725" s="103">
        <f t="shared" si="1"/>
        <v>-474</v>
      </c>
      <c r="B725" s="103">
        <f t="shared" si="2"/>
        <v>932075.6739</v>
      </c>
    </row>
    <row r="726">
      <c r="A726" s="103">
        <f t="shared" si="1"/>
        <v>-475</v>
      </c>
      <c r="B726" s="103">
        <f t="shared" si="2"/>
        <v>932392.6983</v>
      </c>
    </row>
    <row r="727">
      <c r="A727" s="103">
        <f t="shared" si="1"/>
        <v>-476</v>
      </c>
      <c r="B727" s="103">
        <f t="shared" si="2"/>
        <v>932708.6694</v>
      </c>
    </row>
    <row r="728">
      <c r="A728" s="103">
        <f t="shared" si="1"/>
        <v>-477</v>
      </c>
      <c r="B728" s="103">
        <f t="shared" si="2"/>
        <v>933023.5908</v>
      </c>
    </row>
    <row r="729">
      <c r="A729" s="103">
        <f t="shared" si="1"/>
        <v>-478</v>
      </c>
      <c r="B729" s="103">
        <f t="shared" si="2"/>
        <v>933337.4659</v>
      </c>
    </row>
    <row r="730">
      <c r="A730" s="103">
        <f t="shared" si="1"/>
        <v>-479</v>
      </c>
      <c r="B730" s="103">
        <f t="shared" si="2"/>
        <v>933650.2982</v>
      </c>
    </row>
    <row r="731">
      <c r="A731" s="103">
        <f t="shared" si="1"/>
        <v>-480</v>
      </c>
      <c r="B731" s="103">
        <f t="shared" si="2"/>
        <v>933962.0912</v>
      </c>
    </row>
    <row r="732">
      <c r="A732" s="103">
        <f t="shared" si="1"/>
        <v>-481</v>
      </c>
      <c r="B732" s="103">
        <f t="shared" si="2"/>
        <v>934272.8484</v>
      </c>
    </row>
    <row r="733">
      <c r="A733" s="103">
        <f t="shared" si="1"/>
        <v>-482</v>
      </c>
      <c r="B733" s="103">
        <f t="shared" si="2"/>
        <v>934582.5732</v>
      </c>
    </row>
    <row r="734">
      <c r="A734" s="103">
        <f t="shared" si="1"/>
        <v>-483</v>
      </c>
      <c r="B734" s="103">
        <f t="shared" si="2"/>
        <v>934891.2689</v>
      </c>
    </row>
    <row r="735">
      <c r="A735" s="103">
        <f t="shared" si="1"/>
        <v>-484</v>
      </c>
      <c r="B735" s="103">
        <f t="shared" si="2"/>
        <v>935198.9391</v>
      </c>
    </row>
    <row r="736">
      <c r="A736" s="103">
        <f t="shared" si="1"/>
        <v>-485</v>
      </c>
      <c r="B736" s="103">
        <f t="shared" si="2"/>
        <v>935505.5872</v>
      </c>
    </row>
    <row r="737">
      <c r="A737" s="103">
        <f t="shared" si="1"/>
        <v>-486</v>
      </c>
      <c r="B737" s="103">
        <f t="shared" si="2"/>
        <v>935811.2165</v>
      </c>
    </row>
    <row r="738">
      <c r="A738" s="103">
        <f t="shared" si="1"/>
        <v>-487</v>
      </c>
      <c r="B738" s="103">
        <f t="shared" si="2"/>
        <v>936115.8304</v>
      </c>
    </row>
    <row r="739">
      <c r="A739" s="103">
        <f t="shared" si="1"/>
        <v>-488</v>
      </c>
      <c r="B739" s="103">
        <f t="shared" si="2"/>
        <v>936419.4323</v>
      </c>
    </row>
    <row r="740">
      <c r="A740" s="103">
        <f t="shared" si="1"/>
        <v>-489</v>
      </c>
      <c r="B740" s="103">
        <f t="shared" si="2"/>
        <v>936722.0255</v>
      </c>
    </row>
    <row r="741">
      <c r="A741" s="103">
        <f t="shared" si="1"/>
        <v>-490</v>
      </c>
      <c r="B741" s="103">
        <f t="shared" si="2"/>
        <v>937023.6135</v>
      </c>
    </row>
    <row r="742">
      <c r="A742" s="103">
        <f t="shared" si="1"/>
        <v>-491</v>
      </c>
      <c r="B742" s="103">
        <f t="shared" si="2"/>
        <v>937324.1995</v>
      </c>
    </row>
    <row r="743">
      <c r="A743" s="103">
        <f t="shared" si="1"/>
        <v>-492</v>
      </c>
      <c r="B743" s="103">
        <f t="shared" si="2"/>
        <v>937623.7868</v>
      </c>
    </row>
    <row r="744">
      <c r="A744" s="103">
        <f t="shared" si="1"/>
        <v>-493</v>
      </c>
      <c r="B744" s="103">
        <f t="shared" si="2"/>
        <v>937922.3789</v>
      </c>
    </row>
    <row r="745">
      <c r="A745" s="103">
        <f t="shared" si="1"/>
        <v>-494</v>
      </c>
      <c r="B745" s="103">
        <f t="shared" si="2"/>
        <v>938219.979</v>
      </c>
    </row>
    <row r="746">
      <c r="A746" s="103">
        <f t="shared" si="1"/>
        <v>-495</v>
      </c>
      <c r="B746" s="103">
        <f t="shared" si="2"/>
        <v>938516.5903</v>
      </c>
    </row>
    <row r="747">
      <c r="A747" s="103">
        <f t="shared" si="1"/>
        <v>-496</v>
      </c>
      <c r="B747" s="103">
        <f t="shared" si="2"/>
        <v>938812.2163</v>
      </c>
    </row>
    <row r="748">
      <c r="A748" s="103">
        <f t="shared" si="1"/>
        <v>-497</v>
      </c>
      <c r="B748" s="103">
        <f t="shared" si="2"/>
        <v>939106.8601</v>
      </c>
    </row>
    <row r="749">
      <c r="A749" s="103">
        <f t="shared" si="1"/>
        <v>-498</v>
      </c>
      <c r="B749" s="103">
        <f t="shared" si="2"/>
        <v>939400.525</v>
      </c>
    </row>
    <row r="750">
      <c r="A750" s="103">
        <f t="shared" si="1"/>
        <v>-499</v>
      </c>
      <c r="B750" s="103">
        <f t="shared" si="2"/>
        <v>939693.2143</v>
      </c>
    </row>
    <row r="751">
      <c r="A751" s="103">
        <f t="shared" si="1"/>
        <v>-500</v>
      </c>
      <c r="B751" s="103">
        <f t="shared" si="2"/>
        <v>939984.9312</v>
      </c>
    </row>
    <row r="752">
      <c r="A752" s="103">
        <f t="shared" si="1"/>
        <v>-501</v>
      </c>
      <c r="B752" s="103">
        <f t="shared" si="2"/>
        <v>940275.6789</v>
      </c>
    </row>
    <row r="753">
      <c r="A753" s="103">
        <f t="shared" si="1"/>
        <v>-502</v>
      </c>
      <c r="B753" s="103">
        <f t="shared" si="2"/>
        <v>940565.4607</v>
      </c>
    </row>
    <row r="754">
      <c r="A754" s="103">
        <f t="shared" si="1"/>
        <v>-503</v>
      </c>
      <c r="B754" s="103">
        <f t="shared" si="2"/>
        <v>940854.2798</v>
      </c>
    </row>
    <row r="755">
      <c r="A755" s="103">
        <f t="shared" si="1"/>
        <v>-504</v>
      </c>
      <c r="B755" s="103">
        <f t="shared" si="2"/>
        <v>941142.1393</v>
      </c>
    </row>
    <row r="756">
      <c r="A756" s="103">
        <f t="shared" si="1"/>
        <v>-505</v>
      </c>
      <c r="B756" s="103">
        <f t="shared" si="2"/>
        <v>941429.0425</v>
      </c>
    </row>
    <row r="757">
      <c r="A757" s="103">
        <f t="shared" si="1"/>
        <v>-506</v>
      </c>
      <c r="B757" s="103">
        <f t="shared" si="2"/>
        <v>941714.9925</v>
      </c>
    </row>
    <row r="758">
      <c r="A758" s="103">
        <f t="shared" si="1"/>
        <v>-507</v>
      </c>
      <c r="B758" s="103">
        <f t="shared" si="2"/>
        <v>941999.9926</v>
      </c>
    </row>
    <row r="759">
      <c r="A759" s="103">
        <f t="shared" si="1"/>
        <v>-508</v>
      </c>
      <c r="B759" s="103">
        <f t="shared" si="2"/>
        <v>942284.0457</v>
      </c>
    </row>
    <row r="760">
      <c r="A760" s="103">
        <f t="shared" si="1"/>
        <v>-509</v>
      </c>
      <c r="B760" s="103">
        <f t="shared" si="2"/>
        <v>942567.1552</v>
      </c>
    </row>
    <row r="761">
      <c r="A761" s="103">
        <f t="shared" si="1"/>
        <v>-510</v>
      </c>
      <c r="B761" s="103">
        <f t="shared" si="2"/>
        <v>942849.3241</v>
      </c>
    </row>
    <row r="762">
      <c r="A762" s="103">
        <f t="shared" si="1"/>
        <v>-511</v>
      </c>
      <c r="B762" s="103">
        <f t="shared" si="2"/>
        <v>943130.5556</v>
      </c>
    </row>
    <row r="763">
      <c r="A763" s="103">
        <f t="shared" si="1"/>
        <v>-512</v>
      </c>
      <c r="B763" s="103">
        <f t="shared" si="2"/>
        <v>943410.8528</v>
      </c>
    </row>
    <row r="764">
      <c r="A764" s="103">
        <f t="shared" si="1"/>
        <v>-513</v>
      </c>
      <c r="B764" s="103">
        <f t="shared" si="2"/>
        <v>943690.2187</v>
      </c>
    </row>
    <row r="765">
      <c r="A765" s="103">
        <f t="shared" si="1"/>
        <v>-514</v>
      </c>
      <c r="B765" s="103">
        <f t="shared" si="2"/>
        <v>943968.6565</v>
      </c>
    </row>
    <row r="766">
      <c r="A766" s="103">
        <f t="shared" si="1"/>
        <v>-515</v>
      </c>
      <c r="B766" s="103">
        <f t="shared" si="2"/>
        <v>944246.1693</v>
      </c>
    </row>
    <row r="767">
      <c r="A767" s="103">
        <f t="shared" si="1"/>
        <v>-516</v>
      </c>
      <c r="B767" s="103">
        <f t="shared" si="2"/>
        <v>944522.7601</v>
      </c>
    </row>
    <row r="768">
      <c r="A768" s="103">
        <f t="shared" si="1"/>
        <v>-517</v>
      </c>
      <c r="B768" s="103">
        <f t="shared" si="2"/>
        <v>944798.432</v>
      </c>
    </row>
    <row r="769">
      <c r="A769" s="103">
        <f t="shared" si="1"/>
        <v>-518</v>
      </c>
      <c r="B769" s="103">
        <f t="shared" si="2"/>
        <v>945073.188</v>
      </c>
    </row>
    <row r="770">
      <c r="A770" s="103">
        <f t="shared" si="1"/>
        <v>-519</v>
      </c>
      <c r="B770" s="103">
        <f t="shared" si="2"/>
        <v>945347.0313</v>
      </c>
    </row>
    <row r="771">
      <c r="A771" s="103">
        <f t="shared" si="1"/>
        <v>-520</v>
      </c>
      <c r="B771" s="103">
        <f t="shared" si="2"/>
        <v>945619.9647</v>
      </c>
    </row>
    <row r="772">
      <c r="A772" s="103">
        <f t="shared" si="1"/>
        <v>-521</v>
      </c>
      <c r="B772" s="103">
        <f t="shared" si="2"/>
        <v>945891.9914</v>
      </c>
    </row>
    <row r="773">
      <c r="A773" s="103">
        <f t="shared" si="1"/>
        <v>-522</v>
      </c>
      <c r="B773" s="103">
        <f t="shared" si="2"/>
        <v>946163.1144</v>
      </c>
    </row>
    <row r="774">
      <c r="A774" s="103">
        <f t="shared" si="1"/>
        <v>-523</v>
      </c>
      <c r="B774" s="103">
        <f t="shared" si="2"/>
        <v>946433.3366</v>
      </c>
    </row>
    <row r="775">
      <c r="A775" s="103">
        <f t="shared" si="1"/>
        <v>-524</v>
      </c>
      <c r="B775" s="103">
        <f t="shared" si="2"/>
        <v>946702.661</v>
      </c>
    </row>
    <row r="776">
      <c r="A776" s="103">
        <f t="shared" si="1"/>
        <v>-525</v>
      </c>
      <c r="B776" s="103">
        <f t="shared" si="2"/>
        <v>946971.0907</v>
      </c>
    </row>
    <row r="777">
      <c r="A777" s="103">
        <f t="shared" si="1"/>
        <v>-526</v>
      </c>
      <c r="B777" s="103">
        <f t="shared" si="2"/>
        <v>947238.6286</v>
      </c>
    </row>
    <row r="778">
      <c r="A778" s="103">
        <f t="shared" si="1"/>
        <v>-527</v>
      </c>
      <c r="B778" s="103">
        <f t="shared" si="2"/>
        <v>947505.2777</v>
      </c>
    </row>
    <row r="779">
      <c r="A779" s="103">
        <f t="shared" si="1"/>
        <v>-528</v>
      </c>
      <c r="B779" s="103">
        <f t="shared" si="2"/>
        <v>947771.0409</v>
      </c>
    </row>
    <row r="780">
      <c r="A780" s="103">
        <f t="shared" si="1"/>
        <v>-529</v>
      </c>
      <c r="B780" s="103">
        <f t="shared" si="2"/>
        <v>948035.9212</v>
      </c>
    </row>
    <row r="781">
      <c r="A781" s="103">
        <f t="shared" si="1"/>
        <v>-530</v>
      </c>
      <c r="B781" s="103">
        <f t="shared" si="2"/>
        <v>948299.9214</v>
      </c>
    </row>
    <row r="782">
      <c r="A782" s="103">
        <f t="shared" si="1"/>
        <v>-531</v>
      </c>
      <c r="B782" s="103">
        <f t="shared" si="2"/>
        <v>948563.0446</v>
      </c>
    </row>
    <row r="783">
      <c r="A783" s="103">
        <f t="shared" si="1"/>
        <v>-532</v>
      </c>
      <c r="B783" s="103">
        <f t="shared" si="2"/>
        <v>948825.2936</v>
      </c>
    </row>
    <row r="784">
      <c r="A784" s="103">
        <f t="shared" si="1"/>
        <v>-533</v>
      </c>
      <c r="B784" s="103">
        <f t="shared" si="2"/>
        <v>949086.6714</v>
      </c>
    </row>
    <row r="785">
      <c r="A785" s="103">
        <f t="shared" si="1"/>
        <v>-534</v>
      </c>
      <c r="B785" s="103">
        <f t="shared" si="2"/>
        <v>949347.1808</v>
      </c>
    </row>
    <row r="786">
      <c r="A786" s="103">
        <f t="shared" si="1"/>
        <v>-535</v>
      </c>
      <c r="B786" s="103">
        <f t="shared" si="2"/>
        <v>949606.8247</v>
      </c>
    </row>
    <row r="787">
      <c r="A787" s="103">
        <f t="shared" si="1"/>
        <v>-536</v>
      </c>
      <c r="B787" s="103">
        <f t="shared" si="2"/>
        <v>949865.606</v>
      </c>
    </row>
    <row r="788">
      <c r="A788" s="103">
        <f t="shared" si="1"/>
        <v>-537</v>
      </c>
      <c r="B788" s="103">
        <f t="shared" si="2"/>
        <v>950123.5276</v>
      </c>
    </row>
    <row r="789">
      <c r="A789" s="103">
        <f t="shared" si="1"/>
        <v>-538</v>
      </c>
      <c r="B789" s="103">
        <f t="shared" si="2"/>
        <v>950380.5923</v>
      </c>
    </row>
    <row r="790">
      <c r="A790" s="103">
        <f t="shared" si="1"/>
        <v>-539</v>
      </c>
      <c r="B790" s="103">
        <f t="shared" si="2"/>
        <v>950636.803</v>
      </c>
    </row>
    <row r="791">
      <c r="A791" s="103">
        <f t="shared" si="1"/>
        <v>-540</v>
      </c>
      <c r="B791" s="103">
        <f t="shared" si="2"/>
        <v>950892.1624</v>
      </c>
    </row>
    <row r="792">
      <c r="A792" s="103">
        <f t="shared" si="1"/>
        <v>-541</v>
      </c>
      <c r="B792" s="103">
        <f t="shared" si="2"/>
        <v>951146.6735</v>
      </c>
    </row>
    <row r="793">
      <c r="A793" s="103">
        <f t="shared" si="1"/>
        <v>-542</v>
      </c>
      <c r="B793" s="103">
        <f t="shared" si="2"/>
        <v>951400.339</v>
      </c>
    </row>
    <row r="794">
      <c r="A794" s="103">
        <f t="shared" si="1"/>
        <v>-543</v>
      </c>
      <c r="B794" s="103">
        <f t="shared" si="2"/>
        <v>951653.1618</v>
      </c>
    </row>
    <row r="795">
      <c r="A795" s="103">
        <f t="shared" si="1"/>
        <v>-544</v>
      </c>
      <c r="B795" s="103">
        <f t="shared" si="2"/>
        <v>951905.1447</v>
      </c>
    </row>
    <row r="796">
      <c r="A796" s="103">
        <f t="shared" si="1"/>
        <v>-545</v>
      </c>
      <c r="B796" s="103">
        <f t="shared" si="2"/>
        <v>952156.2904</v>
      </c>
    </row>
    <row r="797">
      <c r="A797" s="103">
        <f t="shared" si="1"/>
        <v>-546</v>
      </c>
      <c r="B797" s="103">
        <f t="shared" si="2"/>
        <v>952406.6017</v>
      </c>
    </row>
    <row r="798">
      <c r="A798" s="103">
        <f t="shared" si="1"/>
        <v>-547</v>
      </c>
      <c r="B798" s="103">
        <f t="shared" si="2"/>
        <v>952656.0814</v>
      </c>
    </row>
    <row r="799">
      <c r="A799" s="103">
        <f t="shared" si="1"/>
        <v>-548</v>
      </c>
      <c r="B799" s="103">
        <f t="shared" si="2"/>
        <v>952904.7323</v>
      </c>
    </row>
    <row r="800">
      <c r="A800" s="103">
        <f t="shared" si="1"/>
        <v>-549</v>
      </c>
      <c r="B800" s="103">
        <f t="shared" si="2"/>
        <v>953152.5571</v>
      </c>
    </row>
    <row r="801">
      <c r="A801" s="103">
        <f t="shared" si="1"/>
        <v>-550</v>
      </c>
      <c r="B801" s="103">
        <f t="shared" si="2"/>
        <v>953399.5586</v>
      </c>
    </row>
    <row r="802">
      <c r="A802" s="103">
        <f t="shared" si="1"/>
        <v>-551</v>
      </c>
      <c r="B802" s="103">
        <f t="shared" si="2"/>
        <v>953645.7395</v>
      </c>
    </row>
    <row r="803">
      <c r="A803" s="103">
        <f t="shared" si="1"/>
        <v>-552</v>
      </c>
      <c r="B803" s="103">
        <f t="shared" si="2"/>
        <v>953891.1025</v>
      </c>
    </row>
    <row r="804">
      <c r="A804" s="103">
        <f t="shared" si="1"/>
        <v>-553</v>
      </c>
      <c r="B804" s="103">
        <f t="shared" si="2"/>
        <v>954135.6503</v>
      </c>
    </row>
    <row r="805">
      <c r="A805" s="103">
        <f t="shared" si="1"/>
        <v>-554</v>
      </c>
      <c r="B805" s="103">
        <f t="shared" si="2"/>
        <v>954379.3857</v>
      </c>
    </row>
    <row r="806">
      <c r="A806" s="103">
        <f t="shared" si="1"/>
        <v>-555</v>
      </c>
      <c r="B806" s="103">
        <f t="shared" si="2"/>
        <v>954622.3113</v>
      </c>
    </row>
    <row r="807">
      <c r="A807" s="103">
        <f t="shared" si="1"/>
        <v>-556</v>
      </c>
      <c r="B807" s="103">
        <f t="shared" si="2"/>
        <v>954864.4299</v>
      </c>
    </row>
    <row r="808">
      <c r="A808" s="103">
        <f t="shared" si="1"/>
        <v>-557</v>
      </c>
      <c r="B808" s="103">
        <f t="shared" si="2"/>
        <v>955105.7441</v>
      </c>
    </row>
    <row r="809">
      <c r="A809" s="103">
        <f t="shared" si="1"/>
        <v>-558</v>
      </c>
      <c r="B809" s="103">
        <f t="shared" si="2"/>
        <v>955346.2565</v>
      </c>
    </row>
    <row r="810">
      <c r="A810" s="103">
        <f t="shared" si="1"/>
        <v>-559</v>
      </c>
      <c r="B810" s="103">
        <f t="shared" si="2"/>
        <v>955585.97</v>
      </c>
    </row>
    <row r="811">
      <c r="A811" s="103">
        <f t="shared" si="1"/>
        <v>-560</v>
      </c>
      <c r="B811" s="103">
        <f t="shared" si="2"/>
        <v>955824.887</v>
      </c>
    </row>
    <row r="812">
      <c r="A812" s="103">
        <f t="shared" si="1"/>
        <v>-561</v>
      </c>
      <c r="B812" s="103">
        <f t="shared" si="2"/>
        <v>956063.0103</v>
      </c>
    </row>
    <row r="813">
      <c r="A813" s="103">
        <f t="shared" si="1"/>
        <v>-562</v>
      </c>
      <c r="B813" s="103">
        <f t="shared" si="2"/>
        <v>956300.3425</v>
      </c>
    </row>
    <row r="814">
      <c r="A814" s="103">
        <f t="shared" si="1"/>
        <v>-563</v>
      </c>
      <c r="B814" s="103">
        <f t="shared" si="2"/>
        <v>956536.8862</v>
      </c>
    </row>
    <row r="815">
      <c r="A815" s="103">
        <f t="shared" si="1"/>
        <v>-564</v>
      </c>
      <c r="B815" s="103">
        <f t="shared" si="2"/>
        <v>956772.6441</v>
      </c>
    </row>
    <row r="816">
      <c r="A816" s="103">
        <f t="shared" si="1"/>
        <v>-565</v>
      </c>
      <c r="B816" s="103">
        <f t="shared" si="2"/>
        <v>957007.6187</v>
      </c>
    </row>
    <row r="817">
      <c r="A817" s="103">
        <f t="shared" si="1"/>
        <v>-566</v>
      </c>
      <c r="B817" s="103">
        <f t="shared" si="2"/>
        <v>957241.8126</v>
      </c>
    </row>
    <row r="818">
      <c r="A818" s="103">
        <f t="shared" si="1"/>
        <v>-567</v>
      </c>
      <c r="B818" s="103">
        <f t="shared" si="2"/>
        <v>957475.2285</v>
      </c>
    </row>
    <row r="819">
      <c r="A819" s="103">
        <f t="shared" si="1"/>
        <v>-568</v>
      </c>
      <c r="B819" s="103">
        <f t="shared" si="2"/>
        <v>957707.869</v>
      </c>
    </row>
    <row r="820">
      <c r="A820" s="103">
        <f t="shared" si="1"/>
        <v>-569</v>
      </c>
      <c r="B820" s="103">
        <f t="shared" si="2"/>
        <v>957939.7365</v>
      </c>
    </row>
    <row r="821">
      <c r="A821" s="103">
        <f t="shared" si="1"/>
        <v>-570</v>
      </c>
      <c r="B821" s="103">
        <f t="shared" si="2"/>
        <v>958170.8337</v>
      </c>
    </row>
    <row r="822">
      <c r="A822" s="103">
        <f t="shared" si="1"/>
        <v>-571</v>
      </c>
      <c r="B822" s="103">
        <f t="shared" si="2"/>
        <v>958401.1632</v>
      </c>
    </row>
    <row r="823">
      <c r="A823" s="103">
        <f t="shared" si="1"/>
        <v>-572</v>
      </c>
      <c r="B823" s="103">
        <f t="shared" si="2"/>
        <v>958630.7274</v>
      </c>
    </row>
    <row r="824">
      <c r="A824" s="103">
        <f t="shared" si="1"/>
        <v>-573</v>
      </c>
      <c r="B824" s="103">
        <f t="shared" si="2"/>
        <v>958859.529</v>
      </c>
    </row>
    <row r="825">
      <c r="A825" s="103">
        <f t="shared" si="1"/>
        <v>-574</v>
      </c>
      <c r="B825" s="103">
        <f t="shared" si="2"/>
        <v>959087.5704</v>
      </c>
    </row>
    <row r="826">
      <c r="A826" s="103">
        <f t="shared" si="1"/>
        <v>-575</v>
      </c>
      <c r="B826" s="103">
        <f t="shared" si="2"/>
        <v>959314.8543</v>
      </c>
    </row>
    <row r="827">
      <c r="A827" s="103">
        <f t="shared" si="1"/>
        <v>-576</v>
      </c>
      <c r="B827" s="103">
        <f t="shared" si="2"/>
        <v>959541.383</v>
      </c>
    </row>
    <row r="828">
      <c r="A828" s="103">
        <f t="shared" si="1"/>
        <v>-577</v>
      </c>
      <c r="B828" s="103">
        <f t="shared" si="2"/>
        <v>959767.1591</v>
      </c>
    </row>
    <row r="829">
      <c r="A829" s="103">
        <f t="shared" si="1"/>
        <v>-578</v>
      </c>
      <c r="B829" s="103">
        <f t="shared" si="2"/>
        <v>959992.1852</v>
      </c>
    </row>
    <row r="830">
      <c r="A830" s="103">
        <f t="shared" si="1"/>
        <v>-579</v>
      </c>
      <c r="B830" s="103">
        <f t="shared" si="2"/>
        <v>960216.4636</v>
      </c>
    </row>
    <row r="831">
      <c r="A831" s="103">
        <f t="shared" si="1"/>
        <v>-580</v>
      </c>
      <c r="B831" s="103">
        <f t="shared" si="2"/>
        <v>960439.997</v>
      </c>
    </row>
    <row r="832">
      <c r="A832" s="103">
        <f t="shared" si="1"/>
        <v>-581</v>
      </c>
      <c r="B832" s="103">
        <f t="shared" si="2"/>
        <v>960662.7877</v>
      </c>
    </row>
    <row r="833">
      <c r="A833" s="103">
        <f t="shared" si="1"/>
        <v>-582</v>
      </c>
      <c r="B833" s="103">
        <f t="shared" si="2"/>
        <v>960884.8382</v>
      </c>
    </row>
    <row r="834">
      <c r="A834" s="103">
        <f t="shared" si="1"/>
        <v>-583</v>
      </c>
      <c r="B834" s="103">
        <f t="shared" si="2"/>
        <v>961106.151</v>
      </c>
    </row>
    <row r="835">
      <c r="A835" s="103">
        <f t="shared" si="1"/>
        <v>-584</v>
      </c>
      <c r="B835" s="103">
        <f t="shared" si="2"/>
        <v>961326.7286</v>
      </c>
    </row>
    <row r="836">
      <c r="A836" s="103">
        <f t="shared" si="1"/>
        <v>-585</v>
      </c>
      <c r="B836" s="103">
        <f t="shared" si="2"/>
        <v>961546.5734</v>
      </c>
    </row>
    <row r="837">
      <c r="A837" s="103">
        <f t="shared" si="1"/>
        <v>-586</v>
      </c>
      <c r="B837" s="103">
        <f t="shared" si="2"/>
        <v>961765.6878</v>
      </c>
    </row>
    <row r="838">
      <c r="A838" s="103">
        <f t="shared" si="1"/>
        <v>-587</v>
      </c>
      <c r="B838" s="103">
        <f t="shared" si="2"/>
        <v>961984.0742</v>
      </c>
    </row>
    <row r="839">
      <c r="A839" s="103">
        <f t="shared" si="1"/>
        <v>-588</v>
      </c>
      <c r="B839" s="103">
        <f t="shared" si="2"/>
        <v>962201.7351</v>
      </c>
    </row>
    <row r="840">
      <c r="A840" s="103">
        <f t="shared" si="1"/>
        <v>-589</v>
      </c>
      <c r="B840" s="103">
        <f t="shared" si="2"/>
        <v>962418.6728</v>
      </c>
    </row>
    <row r="841">
      <c r="A841" s="103">
        <f t="shared" si="1"/>
        <v>-590</v>
      </c>
      <c r="B841" s="103">
        <f t="shared" si="2"/>
        <v>962634.8898</v>
      </c>
    </row>
    <row r="842">
      <c r="A842" s="103">
        <f t="shared" si="1"/>
        <v>-591</v>
      </c>
      <c r="B842" s="103">
        <f t="shared" si="2"/>
        <v>962850.3885</v>
      </c>
    </row>
    <row r="843">
      <c r="A843" s="103">
        <f t="shared" si="1"/>
        <v>-592</v>
      </c>
      <c r="B843" s="103">
        <f t="shared" si="2"/>
        <v>963065.1713</v>
      </c>
    </row>
    <row r="844">
      <c r="A844" s="103">
        <f t="shared" si="1"/>
        <v>-593</v>
      </c>
      <c r="B844" s="103">
        <f t="shared" si="2"/>
        <v>963279.2405</v>
      </c>
    </row>
    <row r="845">
      <c r="A845" s="103">
        <f t="shared" si="1"/>
        <v>-594</v>
      </c>
      <c r="B845" s="103">
        <f t="shared" si="2"/>
        <v>963492.5985</v>
      </c>
    </row>
    <row r="846">
      <c r="A846" s="103">
        <f t="shared" si="1"/>
        <v>-595</v>
      </c>
      <c r="B846" s="103">
        <f t="shared" si="2"/>
        <v>963705.2477</v>
      </c>
    </row>
    <row r="847">
      <c r="A847" s="103">
        <f t="shared" si="1"/>
        <v>-596</v>
      </c>
      <c r="B847" s="103">
        <f t="shared" si="2"/>
        <v>963917.1904</v>
      </c>
    </row>
    <row r="848">
      <c r="A848" s="103">
        <f t="shared" si="1"/>
        <v>-597</v>
      </c>
      <c r="B848" s="103">
        <f t="shared" si="2"/>
        <v>964128.429</v>
      </c>
    </row>
    <row r="849">
      <c r="A849" s="103">
        <f t="shared" si="1"/>
        <v>-598</v>
      </c>
      <c r="B849" s="103">
        <f t="shared" si="2"/>
        <v>964338.9657</v>
      </c>
    </row>
    <row r="850">
      <c r="A850" s="103">
        <f t="shared" si="1"/>
        <v>-599</v>
      </c>
      <c r="B850" s="103">
        <f t="shared" si="2"/>
        <v>964548.8031</v>
      </c>
    </row>
    <row r="851">
      <c r="A851" s="103">
        <f t="shared" si="1"/>
        <v>-600</v>
      </c>
      <c r="B851" s="103">
        <f t="shared" si="2"/>
        <v>964757.9433</v>
      </c>
    </row>
    <row r="852">
      <c r="A852" s="103">
        <f t="shared" si="1"/>
        <v>-601</v>
      </c>
      <c r="B852" s="103">
        <f t="shared" si="2"/>
        <v>964966.3886</v>
      </c>
    </row>
    <row r="853">
      <c r="A853" s="103">
        <f t="shared" si="1"/>
        <v>-602</v>
      </c>
      <c r="B853" s="103">
        <f t="shared" si="2"/>
        <v>965174.1415</v>
      </c>
    </row>
    <row r="854">
      <c r="A854" s="103">
        <f t="shared" si="1"/>
        <v>-603</v>
      </c>
      <c r="B854" s="103">
        <f t="shared" si="2"/>
        <v>965381.2041</v>
      </c>
    </row>
    <row r="855">
      <c r="A855" s="103">
        <f t="shared" si="1"/>
        <v>-604</v>
      </c>
      <c r="B855" s="103">
        <f t="shared" si="2"/>
        <v>965587.5789</v>
      </c>
    </row>
    <row r="856">
      <c r="A856" s="103">
        <f t="shared" si="1"/>
        <v>-605</v>
      </c>
      <c r="B856" s="103">
        <f t="shared" si="2"/>
        <v>965793.268</v>
      </c>
    </row>
    <row r="857">
      <c r="A857" s="103">
        <f t="shared" si="1"/>
        <v>-606</v>
      </c>
      <c r="B857" s="103">
        <f t="shared" si="2"/>
        <v>965998.2737</v>
      </c>
    </row>
    <row r="858">
      <c r="A858" s="103">
        <f t="shared" si="1"/>
        <v>-607</v>
      </c>
      <c r="B858" s="103">
        <f t="shared" si="2"/>
        <v>966202.5984</v>
      </c>
    </row>
    <row r="859">
      <c r="A859" s="103">
        <f t="shared" si="1"/>
        <v>-608</v>
      </c>
      <c r="B859" s="103">
        <f t="shared" si="2"/>
        <v>966406.2443</v>
      </c>
    </row>
    <row r="860">
      <c r="A860" s="103">
        <f t="shared" si="1"/>
        <v>-609</v>
      </c>
      <c r="B860" s="103">
        <f t="shared" si="2"/>
        <v>966609.2135</v>
      </c>
    </row>
    <row r="861">
      <c r="A861" s="103">
        <f t="shared" si="1"/>
        <v>-610</v>
      </c>
      <c r="B861" s="103">
        <f t="shared" si="2"/>
        <v>966811.5085</v>
      </c>
    </row>
    <row r="862">
      <c r="A862" s="103">
        <f t="shared" si="1"/>
        <v>-611</v>
      </c>
      <c r="B862" s="103">
        <f t="shared" si="2"/>
        <v>967013.1314</v>
      </c>
    </row>
    <row r="863">
      <c r="A863" s="103">
        <f t="shared" si="1"/>
        <v>-612</v>
      </c>
      <c r="B863" s="103">
        <f t="shared" si="2"/>
        <v>967214.0845</v>
      </c>
    </row>
    <row r="864">
      <c r="A864" s="103">
        <f t="shared" si="1"/>
        <v>-613</v>
      </c>
      <c r="B864" s="103">
        <f t="shared" si="2"/>
        <v>967414.3699</v>
      </c>
    </row>
    <row r="865">
      <c r="A865" s="103">
        <f t="shared" si="1"/>
        <v>-614</v>
      </c>
      <c r="B865" s="103">
        <f t="shared" si="2"/>
        <v>967613.9899</v>
      </c>
    </row>
    <row r="866">
      <c r="A866" s="103">
        <f t="shared" si="1"/>
        <v>-615</v>
      </c>
      <c r="B866" s="103">
        <f t="shared" si="2"/>
        <v>967812.9468</v>
      </c>
    </row>
    <row r="867">
      <c r="A867" s="103">
        <f t="shared" si="1"/>
        <v>-616</v>
      </c>
      <c r="B867" s="103">
        <f t="shared" si="2"/>
        <v>968011.2426</v>
      </c>
    </row>
    <row r="868">
      <c r="A868" s="103">
        <f t="shared" si="1"/>
        <v>-617</v>
      </c>
      <c r="B868" s="103">
        <f t="shared" si="2"/>
        <v>968208.8797</v>
      </c>
    </row>
    <row r="869">
      <c r="A869" s="103">
        <f t="shared" si="1"/>
        <v>-618</v>
      </c>
      <c r="B869" s="103">
        <f t="shared" si="2"/>
        <v>968405.8602</v>
      </c>
    </row>
    <row r="870">
      <c r="A870" s="103">
        <f t="shared" si="1"/>
        <v>-619</v>
      </c>
      <c r="B870" s="103">
        <f t="shared" si="2"/>
        <v>968602.1862</v>
      </c>
    </row>
    <row r="871">
      <c r="A871" s="103">
        <f t="shared" si="1"/>
        <v>-620</v>
      </c>
      <c r="B871" s="103">
        <f t="shared" si="2"/>
        <v>968797.86</v>
      </c>
    </row>
    <row r="872">
      <c r="A872" s="103">
        <f t="shared" si="1"/>
        <v>-621</v>
      </c>
      <c r="B872" s="103">
        <f t="shared" si="2"/>
        <v>968992.8837</v>
      </c>
    </row>
    <row r="873">
      <c r="A873" s="103">
        <f t="shared" si="1"/>
        <v>-622</v>
      </c>
      <c r="B873" s="103">
        <f t="shared" si="2"/>
        <v>969187.2595</v>
      </c>
    </row>
    <row r="874">
      <c r="A874" s="103">
        <f t="shared" si="1"/>
        <v>-623</v>
      </c>
      <c r="B874" s="103">
        <f t="shared" si="2"/>
        <v>969380.9896</v>
      </c>
    </row>
    <row r="875">
      <c r="A875" s="103">
        <f t="shared" si="1"/>
        <v>-624</v>
      </c>
      <c r="B875" s="103">
        <f t="shared" si="2"/>
        <v>969574.076</v>
      </c>
    </row>
    <row r="876">
      <c r="A876" s="103">
        <f t="shared" si="1"/>
        <v>-625</v>
      </c>
      <c r="B876" s="103">
        <f t="shared" si="2"/>
        <v>969766.5209</v>
      </c>
    </row>
    <row r="877">
      <c r="A877" s="103">
        <f t="shared" si="1"/>
        <v>-626</v>
      </c>
      <c r="B877" s="103">
        <f t="shared" si="2"/>
        <v>969958.3265</v>
      </c>
    </row>
    <row r="878">
      <c r="A878" s="103">
        <f t="shared" si="1"/>
        <v>-627</v>
      </c>
      <c r="B878" s="103">
        <f t="shared" si="2"/>
        <v>970149.4948</v>
      </c>
    </row>
    <row r="879">
      <c r="A879" s="103">
        <f t="shared" si="1"/>
        <v>-628</v>
      </c>
      <c r="B879" s="103">
        <f t="shared" si="2"/>
        <v>970340.0281</v>
      </c>
    </row>
    <row r="880">
      <c r="A880" s="103">
        <f t="shared" si="1"/>
        <v>-629</v>
      </c>
      <c r="B880" s="103">
        <f t="shared" si="2"/>
        <v>970529.9283</v>
      </c>
    </row>
    <row r="881">
      <c r="A881" s="103">
        <f t="shared" si="1"/>
        <v>-630</v>
      </c>
      <c r="B881" s="103">
        <f t="shared" si="2"/>
        <v>970719.1977</v>
      </c>
    </row>
    <row r="882">
      <c r="A882" s="103">
        <f t="shared" si="1"/>
        <v>-631</v>
      </c>
      <c r="B882" s="103">
        <f t="shared" si="2"/>
        <v>970907.8382</v>
      </c>
    </row>
    <row r="883">
      <c r="A883" s="103">
        <f t="shared" si="1"/>
        <v>-632</v>
      </c>
      <c r="B883" s="103">
        <f t="shared" si="2"/>
        <v>971095.852</v>
      </c>
    </row>
    <row r="884">
      <c r="A884" s="103">
        <f t="shared" si="1"/>
        <v>-633</v>
      </c>
      <c r="B884" s="103">
        <f t="shared" si="2"/>
        <v>971283.2412</v>
      </c>
    </row>
    <row r="885">
      <c r="A885" s="103">
        <f t="shared" si="1"/>
        <v>-634</v>
      </c>
      <c r="B885" s="103">
        <f t="shared" si="2"/>
        <v>971470.0079</v>
      </c>
    </row>
    <row r="886">
      <c r="A886" s="103">
        <f t="shared" si="1"/>
        <v>-635</v>
      </c>
      <c r="B886" s="103">
        <f t="shared" si="2"/>
        <v>971656.154</v>
      </c>
    </row>
    <row r="887">
      <c r="A887" s="103">
        <f t="shared" si="1"/>
        <v>-636</v>
      </c>
      <c r="B887" s="103">
        <f t="shared" si="2"/>
        <v>971841.6817</v>
      </c>
    </row>
    <row r="888">
      <c r="A888" s="103">
        <f t="shared" si="1"/>
        <v>-637</v>
      </c>
      <c r="B888" s="103">
        <f t="shared" si="2"/>
        <v>972026.5931</v>
      </c>
    </row>
    <row r="889">
      <c r="A889" s="103">
        <f t="shared" si="1"/>
        <v>-638</v>
      </c>
      <c r="B889" s="103">
        <f t="shared" si="2"/>
        <v>972210.8901</v>
      </c>
    </row>
    <row r="890">
      <c r="A890" s="103">
        <f t="shared" si="1"/>
        <v>-639</v>
      </c>
      <c r="B890" s="103">
        <f t="shared" si="2"/>
        <v>972394.5749</v>
      </c>
    </row>
    <row r="891">
      <c r="A891" s="103">
        <f t="shared" si="1"/>
        <v>-640</v>
      </c>
      <c r="B891" s="103">
        <f t="shared" si="2"/>
        <v>972577.6494</v>
      </c>
    </row>
    <row r="892">
      <c r="A892" s="103">
        <f t="shared" si="1"/>
        <v>-641</v>
      </c>
      <c r="B892" s="103">
        <f t="shared" si="2"/>
        <v>972760.1157</v>
      </c>
    </row>
    <row r="893">
      <c r="A893" s="103">
        <f t="shared" si="1"/>
        <v>-642</v>
      </c>
      <c r="B893" s="103">
        <f t="shared" si="2"/>
        <v>972941.9758</v>
      </c>
    </row>
    <row r="894">
      <c r="A894" s="103">
        <f t="shared" si="1"/>
        <v>-643</v>
      </c>
      <c r="B894" s="103">
        <f t="shared" si="2"/>
        <v>973123.2316</v>
      </c>
    </row>
    <row r="895">
      <c r="A895" s="103">
        <f t="shared" si="1"/>
        <v>-644</v>
      </c>
      <c r="B895" s="103">
        <f t="shared" si="2"/>
        <v>973303.8854</v>
      </c>
    </row>
    <row r="896">
      <c r="A896" s="103">
        <f t="shared" si="1"/>
        <v>-645</v>
      </c>
      <c r="B896" s="103">
        <f t="shared" si="2"/>
        <v>973483.9389</v>
      </c>
    </row>
    <row r="897">
      <c r="A897" s="103">
        <f t="shared" si="1"/>
        <v>-646</v>
      </c>
      <c r="B897" s="103">
        <f t="shared" si="2"/>
        <v>973663.3943</v>
      </c>
    </row>
    <row r="898">
      <c r="A898" s="103">
        <f t="shared" si="1"/>
        <v>-647</v>
      </c>
      <c r="B898" s="103">
        <f t="shared" si="2"/>
        <v>973842.2534</v>
      </c>
    </row>
    <row r="899">
      <c r="A899" s="103">
        <f t="shared" si="1"/>
        <v>-648</v>
      </c>
      <c r="B899" s="103">
        <f t="shared" si="2"/>
        <v>974020.5183</v>
      </c>
    </row>
    <row r="900">
      <c r="A900" s="103">
        <f t="shared" si="1"/>
        <v>-649</v>
      </c>
      <c r="B900" s="103">
        <f t="shared" si="2"/>
        <v>974198.191</v>
      </c>
    </row>
    <row r="901">
      <c r="A901" s="103">
        <f t="shared" si="1"/>
        <v>-650</v>
      </c>
      <c r="B901" s="103">
        <f t="shared" si="2"/>
        <v>974375.2735</v>
      </c>
    </row>
    <row r="902">
      <c r="A902" s="103">
        <f t="shared" si="1"/>
        <v>-651</v>
      </c>
      <c r="B902" s="103">
        <f t="shared" si="2"/>
        <v>974551.7676</v>
      </c>
    </row>
    <row r="903">
      <c r="A903" s="103">
        <f t="shared" si="1"/>
        <v>-652</v>
      </c>
      <c r="B903" s="103">
        <f t="shared" si="2"/>
        <v>974727.6753</v>
      </c>
    </row>
    <row r="904">
      <c r="A904" s="103">
        <f t="shared" si="1"/>
        <v>-653</v>
      </c>
      <c r="B904" s="103">
        <f t="shared" si="2"/>
        <v>974902.9987</v>
      </c>
    </row>
    <row r="905">
      <c r="A905" s="103">
        <f t="shared" si="1"/>
        <v>-654</v>
      </c>
      <c r="B905" s="103">
        <f t="shared" si="2"/>
        <v>975077.7395</v>
      </c>
    </row>
    <row r="906">
      <c r="A906" s="103">
        <f t="shared" si="1"/>
        <v>-655</v>
      </c>
      <c r="B906" s="103">
        <f t="shared" si="2"/>
        <v>975251.8999</v>
      </c>
    </row>
    <row r="907">
      <c r="A907" s="103">
        <f t="shared" si="1"/>
        <v>-656</v>
      </c>
      <c r="B907" s="103">
        <f t="shared" si="2"/>
        <v>975425.4816</v>
      </c>
    </row>
    <row r="908">
      <c r="A908" s="103">
        <f t="shared" si="1"/>
        <v>-657</v>
      </c>
      <c r="B908" s="103">
        <f t="shared" si="2"/>
        <v>975598.4866</v>
      </c>
    </row>
    <row r="909">
      <c r="A909" s="103">
        <f t="shared" si="1"/>
        <v>-658</v>
      </c>
      <c r="B909" s="103">
        <f t="shared" si="2"/>
        <v>975770.9169</v>
      </c>
    </row>
    <row r="910">
      <c r="A910" s="103">
        <f t="shared" si="1"/>
        <v>-659</v>
      </c>
      <c r="B910" s="103">
        <f t="shared" si="2"/>
        <v>975942.7743</v>
      </c>
    </row>
    <row r="911">
      <c r="A911" s="103">
        <f t="shared" si="1"/>
        <v>-660</v>
      </c>
      <c r="B911" s="103">
        <f t="shared" si="2"/>
        <v>976114.0608</v>
      </c>
    </row>
    <row r="912">
      <c r="A912" s="103">
        <f t="shared" si="1"/>
        <v>-661</v>
      </c>
      <c r="B912" s="103">
        <f t="shared" si="2"/>
        <v>976284.7782</v>
      </c>
    </row>
    <row r="913">
      <c r="A913" s="103">
        <f t="shared" si="1"/>
        <v>-662</v>
      </c>
      <c r="B913" s="103">
        <f t="shared" si="2"/>
        <v>976454.9284</v>
      </c>
    </row>
    <row r="914">
      <c r="A914" s="103">
        <f t="shared" si="1"/>
        <v>-663</v>
      </c>
      <c r="B914" s="103">
        <f t="shared" si="2"/>
        <v>976624.5134</v>
      </c>
    </row>
    <row r="915">
      <c r="A915" s="103">
        <f t="shared" si="1"/>
        <v>-664</v>
      </c>
      <c r="B915" s="103">
        <f t="shared" si="2"/>
        <v>976793.5349</v>
      </c>
    </row>
    <row r="916">
      <c r="A916" s="103">
        <f t="shared" si="1"/>
        <v>-665</v>
      </c>
      <c r="B916" s="103">
        <f t="shared" si="2"/>
        <v>976961.995</v>
      </c>
    </row>
    <row r="917">
      <c r="A917" s="103">
        <f t="shared" si="1"/>
        <v>-666</v>
      </c>
      <c r="B917" s="103">
        <f t="shared" si="2"/>
        <v>977129.8953</v>
      </c>
    </row>
    <row r="918">
      <c r="A918" s="103">
        <f t="shared" si="1"/>
        <v>-667</v>
      </c>
      <c r="B918" s="103">
        <f t="shared" si="2"/>
        <v>977297.2378</v>
      </c>
    </row>
    <row r="919">
      <c r="A919" s="103">
        <f t="shared" si="1"/>
        <v>-668</v>
      </c>
      <c r="B919" s="103">
        <f t="shared" si="2"/>
        <v>977464.0244</v>
      </c>
    </row>
    <row r="920">
      <c r="A920" s="103">
        <f t="shared" si="1"/>
        <v>-669</v>
      </c>
      <c r="B920" s="103">
        <f t="shared" si="2"/>
        <v>977630.2569</v>
      </c>
    </row>
    <row r="921">
      <c r="A921" s="103">
        <f t="shared" si="1"/>
        <v>-670</v>
      </c>
      <c r="B921" s="103">
        <f t="shared" si="2"/>
        <v>977795.9371</v>
      </c>
    </row>
    <row r="922">
      <c r="A922" s="103">
        <f t="shared" si="1"/>
        <v>-671</v>
      </c>
      <c r="B922" s="103">
        <f t="shared" si="2"/>
        <v>977961.0669</v>
      </c>
    </row>
    <row r="923">
      <c r="A923" s="103">
        <f t="shared" si="1"/>
        <v>-672</v>
      </c>
      <c r="B923" s="103">
        <f t="shared" si="2"/>
        <v>978125.6481</v>
      </c>
    </row>
    <row r="924">
      <c r="A924" s="103">
        <f t="shared" si="1"/>
        <v>-673</v>
      </c>
      <c r="B924" s="103">
        <f t="shared" si="2"/>
        <v>978289.6825</v>
      </c>
    </row>
    <row r="925">
      <c r="A925" s="103">
        <f t="shared" si="1"/>
        <v>-674</v>
      </c>
      <c r="B925" s="103">
        <f t="shared" si="2"/>
        <v>978453.1719</v>
      </c>
    </row>
    <row r="926">
      <c r="A926" s="103">
        <f t="shared" si="1"/>
        <v>-675</v>
      </c>
      <c r="B926" s="103">
        <f t="shared" si="2"/>
        <v>978616.1182</v>
      </c>
    </row>
    <row r="927">
      <c r="A927" s="103">
        <f t="shared" si="1"/>
        <v>-676</v>
      </c>
      <c r="B927" s="103">
        <f t="shared" si="2"/>
        <v>978778.5231</v>
      </c>
    </row>
    <row r="928">
      <c r="A928" s="103">
        <f t="shared" si="1"/>
        <v>-677</v>
      </c>
      <c r="B928" s="103">
        <f t="shared" si="2"/>
        <v>978940.3885</v>
      </c>
    </row>
    <row r="929">
      <c r="A929" s="103">
        <f t="shared" si="1"/>
        <v>-678</v>
      </c>
      <c r="B929" s="103">
        <f t="shared" si="2"/>
        <v>979101.7161</v>
      </c>
    </row>
    <row r="930">
      <c r="A930" s="103">
        <f t="shared" si="1"/>
        <v>-679</v>
      </c>
      <c r="B930" s="103">
        <f t="shared" si="2"/>
        <v>979262.5077</v>
      </c>
    </row>
    <row r="931">
      <c r="A931" s="103">
        <f t="shared" si="1"/>
        <v>-680</v>
      </c>
      <c r="B931" s="103">
        <f t="shared" si="2"/>
        <v>979422.7652</v>
      </c>
    </row>
    <row r="932">
      <c r="A932" s="103">
        <f t="shared" si="1"/>
        <v>-681</v>
      </c>
      <c r="B932" s="103">
        <f t="shared" si="2"/>
        <v>979582.4902</v>
      </c>
    </row>
    <row r="933">
      <c r="A933" s="103">
        <f t="shared" si="1"/>
        <v>-682</v>
      </c>
      <c r="B933" s="103">
        <f t="shared" si="2"/>
        <v>979741.6846</v>
      </c>
    </row>
    <row r="934">
      <c r="A934" s="103">
        <f t="shared" si="1"/>
        <v>-683</v>
      </c>
      <c r="B934" s="103">
        <f t="shared" si="2"/>
        <v>979900.3501</v>
      </c>
    </row>
    <row r="935">
      <c r="A935" s="103">
        <f t="shared" si="1"/>
        <v>-684</v>
      </c>
      <c r="B935" s="103">
        <f t="shared" si="2"/>
        <v>980058.4884</v>
      </c>
    </row>
    <row r="936">
      <c r="A936" s="103">
        <f t="shared" si="1"/>
        <v>-685</v>
      </c>
      <c r="B936" s="103">
        <f t="shared" si="2"/>
        <v>980216.1014</v>
      </c>
    </row>
    <row r="937">
      <c r="A937" s="103">
        <f t="shared" si="1"/>
        <v>-686</v>
      </c>
      <c r="B937" s="103">
        <f t="shared" si="2"/>
        <v>980373.1908</v>
      </c>
    </row>
    <row r="938">
      <c r="A938" s="103">
        <f t="shared" si="1"/>
        <v>-687</v>
      </c>
      <c r="B938" s="103">
        <f t="shared" si="2"/>
        <v>980529.7583</v>
      </c>
    </row>
    <row r="939">
      <c r="A939" s="103">
        <f t="shared" si="1"/>
        <v>-688</v>
      </c>
      <c r="B939" s="103">
        <f t="shared" si="2"/>
        <v>980685.8056</v>
      </c>
    </row>
    <row r="940">
      <c r="A940" s="103">
        <f t="shared" si="1"/>
        <v>-689</v>
      </c>
      <c r="B940" s="103">
        <f t="shared" si="2"/>
        <v>980841.3345</v>
      </c>
    </row>
    <row r="941">
      <c r="A941" s="103">
        <f t="shared" si="1"/>
        <v>-690</v>
      </c>
      <c r="B941" s="103">
        <f t="shared" si="2"/>
        <v>980996.3467</v>
      </c>
    </row>
    <row r="942">
      <c r="A942" s="103">
        <f t="shared" si="1"/>
        <v>-691</v>
      </c>
      <c r="B942" s="103">
        <f t="shared" si="2"/>
        <v>981150.8438</v>
      </c>
    </row>
    <row r="943">
      <c r="A943" s="103">
        <f t="shared" si="1"/>
        <v>-692</v>
      </c>
      <c r="B943" s="103">
        <f t="shared" si="2"/>
        <v>981304.8278</v>
      </c>
    </row>
    <row r="944">
      <c r="A944" s="103">
        <f t="shared" si="1"/>
        <v>-693</v>
      </c>
      <c r="B944" s="103">
        <f t="shared" si="2"/>
        <v>981458.3001</v>
      </c>
    </row>
    <row r="945">
      <c r="A945" s="103">
        <f t="shared" si="1"/>
        <v>-694</v>
      </c>
      <c r="B945" s="103">
        <f t="shared" si="2"/>
        <v>981611.2625</v>
      </c>
    </row>
    <row r="946">
      <c r="A946" s="103">
        <f t="shared" si="1"/>
        <v>-695</v>
      </c>
      <c r="B946" s="103">
        <f t="shared" si="2"/>
        <v>981763.7168</v>
      </c>
    </row>
    <row r="947">
      <c r="A947" s="103">
        <f t="shared" si="1"/>
        <v>-696</v>
      </c>
      <c r="B947" s="103">
        <f t="shared" si="2"/>
        <v>981915.6646</v>
      </c>
    </row>
    <row r="948">
      <c r="A948" s="103">
        <f t="shared" si="1"/>
        <v>-697</v>
      </c>
      <c r="B948" s="103">
        <f t="shared" si="2"/>
        <v>982067.1076</v>
      </c>
    </row>
    <row r="949">
      <c r="A949" s="103">
        <f t="shared" si="1"/>
        <v>-698</v>
      </c>
      <c r="B949" s="103">
        <f t="shared" si="2"/>
        <v>982218.0474</v>
      </c>
    </row>
    <row r="950">
      <c r="A950" s="103">
        <f t="shared" si="1"/>
        <v>-699</v>
      </c>
      <c r="B950" s="103">
        <f t="shared" si="2"/>
        <v>982368.4858</v>
      </c>
    </row>
    <row r="951">
      <c r="A951" s="103">
        <f t="shared" si="1"/>
        <v>-700</v>
      </c>
      <c r="B951" s="103">
        <f t="shared" si="2"/>
        <v>982518.4244</v>
      </c>
    </row>
    <row r="952">
      <c r="A952" s="103">
        <f t="shared" si="1"/>
        <v>-701</v>
      </c>
      <c r="B952" s="103">
        <f t="shared" si="2"/>
        <v>982667.8648</v>
      </c>
    </row>
    <row r="953">
      <c r="A953" s="103">
        <f t="shared" si="1"/>
        <v>-702</v>
      </c>
      <c r="B953" s="103">
        <f t="shared" si="2"/>
        <v>982816.8088</v>
      </c>
    </row>
    <row r="954">
      <c r="A954" s="103">
        <f t="shared" si="1"/>
        <v>-703</v>
      </c>
      <c r="B954" s="103">
        <f t="shared" si="2"/>
        <v>982965.258</v>
      </c>
    </row>
    <row r="955">
      <c r="A955" s="103">
        <f t="shared" si="1"/>
        <v>-704</v>
      </c>
      <c r="B955" s="103">
        <f t="shared" si="2"/>
        <v>983113.2139</v>
      </c>
    </row>
    <row r="956">
      <c r="A956" s="103">
        <f t="shared" si="1"/>
        <v>-705</v>
      </c>
      <c r="B956" s="103">
        <f t="shared" si="2"/>
        <v>983260.6783</v>
      </c>
    </row>
    <row r="957">
      <c r="A957" s="103">
        <f t="shared" si="1"/>
        <v>-706</v>
      </c>
      <c r="B957" s="103">
        <f t="shared" si="2"/>
        <v>983407.6528</v>
      </c>
    </row>
    <row r="958">
      <c r="A958" s="103">
        <f t="shared" si="1"/>
        <v>-707</v>
      </c>
      <c r="B958" s="103">
        <f t="shared" si="2"/>
        <v>983554.139</v>
      </c>
    </row>
    <row r="959">
      <c r="A959" s="103">
        <f t="shared" si="1"/>
        <v>-708</v>
      </c>
      <c r="B959" s="103">
        <f t="shared" si="2"/>
        <v>983700.1385</v>
      </c>
    </row>
    <row r="960">
      <c r="A960" s="103">
        <f t="shared" si="1"/>
        <v>-709</v>
      </c>
      <c r="B960" s="103">
        <f t="shared" si="2"/>
        <v>983845.653</v>
      </c>
    </row>
    <row r="961">
      <c r="A961" s="103">
        <f t="shared" si="1"/>
        <v>-710</v>
      </c>
      <c r="B961" s="103">
        <f t="shared" si="2"/>
        <v>983990.6841</v>
      </c>
    </row>
    <row r="962">
      <c r="A962" s="103">
        <f t="shared" si="1"/>
        <v>-711</v>
      </c>
      <c r="B962" s="103">
        <f t="shared" si="2"/>
        <v>984135.2333</v>
      </c>
    </row>
    <row r="963">
      <c r="A963" s="103">
        <f t="shared" si="1"/>
        <v>-712</v>
      </c>
      <c r="B963" s="103">
        <f t="shared" si="2"/>
        <v>984279.3023</v>
      </c>
    </row>
    <row r="964">
      <c r="A964" s="103">
        <f t="shared" si="1"/>
        <v>-713</v>
      </c>
      <c r="B964" s="103">
        <f t="shared" si="2"/>
        <v>984422.8927</v>
      </c>
    </row>
    <row r="965">
      <c r="A965" s="103">
        <f t="shared" si="1"/>
        <v>-714</v>
      </c>
      <c r="B965" s="103">
        <f t="shared" si="2"/>
        <v>984566.006</v>
      </c>
    </row>
    <row r="966">
      <c r="A966" s="103">
        <f t="shared" si="1"/>
        <v>-715</v>
      </c>
      <c r="B966" s="103">
        <f t="shared" si="2"/>
        <v>984708.6438</v>
      </c>
    </row>
    <row r="967">
      <c r="A967" s="103">
        <f t="shared" si="1"/>
        <v>-716</v>
      </c>
      <c r="B967" s="103">
        <f t="shared" si="2"/>
        <v>984850.8078</v>
      </c>
    </row>
    <row r="968">
      <c r="A968" s="103">
        <f t="shared" si="1"/>
        <v>-717</v>
      </c>
      <c r="B968" s="103">
        <f t="shared" si="2"/>
        <v>984992.4995</v>
      </c>
    </row>
    <row r="969">
      <c r="A969" s="103">
        <f t="shared" si="1"/>
        <v>-718</v>
      </c>
      <c r="B969" s="103">
        <f t="shared" si="2"/>
        <v>985133.7204</v>
      </c>
    </row>
    <row r="970">
      <c r="A970" s="103">
        <f t="shared" si="1"/>
        <v>-719</v>
      </c>
      <c r="B970" s="103">
        <f t="shared" si="2"/>
        <v>985274.4722</v>
      </c>
    </row>
    <row r="971">
      <c r="A971" s="103">
        <f t="shared" si="1"/>
        <v>-720</v>
      </c>
      <c r="B971" s="103">
        <f t="shared" si="2"/>
        <v>985414.7563</v>
      </c>
    </row>
    <row r="972">
      <c r="A972" s="103">
        <f t="shared" si="1"/>
        <v>-721</v>
      </c>
      <c r="B972" s="103">
        <f t="shared" si="2"/>
        <v>985554.5744</v>
      </c>
    </row>
    <row r="973">
      <c r="A973" s="103">
        <f t="shared" si="1"/>
        <v>-722</v>
      </c>
      <c r="B973" s="103">
        <f t="shared" si="2"/>
        <v>985693.928</v>
      </c>
    </row>
    <row r="974">
      <c r="A974" s="103">
        <f t="shared" si="1"/>
        <v>-723</v>
      </c>
      <c r="B974" s="103">
        <f t="shared" si="2"/>
        <v>985832.8186</v>
      </c>
    </row>
    <row r="975">
      <c r="A975" s="103">
        <f t="shared" si="1"/>
        <v>-724</v>
      </c>
      <c r="B975" s="103">
        <f t="shared" si="2"/>
        <v>985971.2477</v>
      </c>
    </row>
    <row r="976">
      <c r="A976" s="103">
        <f t="shared" si="1"/>
        <v>-725</v>
      </c>
      <c r="B976" s="103">
        <f t="shared" si="2"/>
        <v>986109.217</v>
      </c>
    </row>
    <row r="977">
      <c r="A977" s="103">
        <f t="shared" si="1"/>
        <v>-726</v>
      </c>
      <c r="B977" s="103">
        <f t="shared" si="2"/>
        <v>986246.7279</v>
      </c>
    </row>
    <row r="978">
      <c r="A978" s="103">
        <f t="shared" si="1"/>
        <v>-727</v>
      </c>
      <c r="B978" s="103">
        <f t="shared" si="2"/>
        <v>986383.782</v>
      </c>
    </row>
    <row r="979">
      <c r="A979" s="103">
        <f t="shared" si="1"/>
        <v>-728</v>
      </c>
      <c r="B979" s="103">
        <f t="shared" si="2"/>
        <v>986520.3807</v>
      </c>
    </row>
    <row r="980">
      <c r="A980" s="103">
        <f t="shared" si="1"/>
        <v>-729</v>
      </c>
      <c r="B980" s="103">
        <f t="shared" si="2"/>
        <v>986656.5256</v>
      </c>
    </row>
    <row r="981">
      <c r="A981" s="103">
        <f t="shared" si="1"/>
        <v>-730</v>
      </c>
      <c r="B981" s="103">
        <f t="shared" si="2"/>
        <v>986792.2182</v>
      </c>
    </row>
    <row r="982">
      <c r="A982" s="103">
        <f t="shared" si="1"/>
        <v>-731</v>
      </c>
      <c r="B982" s="103">
        <f t="shared" si="2"/>
        <v>986927.46</v>
      </c>
    </row>
    <row r="983">
      <c r="A983" s="103">
        <f t="shared" si="1"/>
        <v>-732</v>
      </c>
      <c r="B983" s="103">
        <f t="shared" si="2"/>
        <v>987062.2525</v>
      </c>
    </row>
    <row r="984">
      <c r="A984" s="103">
        <f t="shared" si="1"/>
        <v>-733</v>
      </c>
      <c r="B984" s="103">
        <f t="shared" si="2"/>
        <v>987196.5972</v>
      </c>
    </row>
    <row r="985">
      <c r="A985" s="103">
        <f t="shared" si="1"/>
        <v>-734</v>
      </c>
      <c r="B985" s="103">
        <f t="shared" si="2"/>
        <v>987330.4956</v>
      </c>
    </row>
    <row r="986">
      <c r="A986" s="103">
        <f t="shared" si="1"/>
        <v>-735</v>
      </c>
      <c r="B986" s="103">
        <f t="shared" si="2"/>
        <v>987463.9491</v>
      </c>
    </row>
    <row r="987">
      <c r="A987" s="103">
        <f t="shared" si="1"/>
        <v>-736</v>
      </c>
      <c r="B987" s="103">
        <f t="shared" si="2"/>
        <v>987596.9592</v>
      </c>
    </row>
    <row r="988">
      <c r="A988" s="103">
        <f t="shared" si="1"/>
        <v>-737</v>
      </c>
      <c r="B988" s="103">
        <f t="shared" si="2"/>
        <v>987729.5274</v>
      </c>
    </row>
    <row r="989">
      <c r="A989" s="103">
        <f t="shared" si="1"/>
        <v>-738</v>
      </c>
      <c r="B989" s="103">
        <f t="shared" si="2"/>
        <v>987861.6552</v>
      </c>
    </row>
    <row r="990">
      <c r="A990" s="103">
        <f t="shared" si="1"/>
        <v>-739</v>
      </c>
      <c r="B990" s="103">
        <f t="shared" si="2"/>
        <v>987993.3441</v>
      </c>
    </row>
    <row r="991">
      <c r="A991" s="103">
        <f t="shared" si="1"/>
        <v>-740</v>
      </c>
      <c r="B991" s="103">
        <f t="shared" si="2"/>
        <v>988124.5955</v>
      </c>
    </row>
    <row r="992">
      <c r="A992" s="103">
        <f t="shared" si="1"/>
        <v>-741</v>
      </c>
      <c r="B992" s="103">
        <f t="shared" si="2"/>
        <v>988255.4107</v>
      </c>
    </row>
    <row r="993">
      <c r="A993" s="103">
        <f t="shared" si="1"/>
        <v>-742</v>
      </c>
      <c r="B993" s="103">
        <f t="shared" si="2"/>
        <v>988385.7914</v>
      </c>
    </row>
    <row r="994">
      <c r="A994" s="103">
        <f t="shared" si="1"/>
        <v>-743</v>
      </c>
      <c r="B994" s="103">
        <f t="shared" si="2"/>
        <v>988515.739</v>
      </c>
    </row>
    <row r="995">
      <c r="A995" s="103">
        <f t="shared" si="1"/>
        <v>-744</v>
      </c>
      <c r="B995" s="103">
        <f t="shared" si="2"/>
        <v>988645.2548</v>
      </c>
    </row>
    <row r="996">
      <c r="A996" s="103">
        <f t="shared" si="1"/>
        <v>-745</v>
      </c>
      <c r="B996" s="103">
        <f t="shared" si="2"/>
        <v>988774.3403</v>
      </c>
    </row>
    <row r="997">
      <c r="A997" s="103">
        <f t="shared" si="1"/>
        <v>-746</v>
      </c>
      <c r="B997" s="103">
        <f t="shared" si="2"/>
        <v>988902.997</v>
      </c>
    </row>
    <row r="998">
      <c r="A998" s="103">
        <f t="shared" si="1"/>
        <v>-747</v>
      </c>
      <c r="B998" s="103">
        <f t="shared" si="2"/>
        <v>989031.2263</v>
      </c>
    </row>
    <row r="999">
      <c r="A999" s="103">
        <f t="shared" si="1"/>
        <v>-748</v>
      </c>
      <c r="B999" s="103">
        <f t="shared" si="2"/>
        <v>989159.0295</v>
      </c>
    </row>
    <row r="1000">
      <c r="A1000" s="103">
        <f t="shared" si="1"/>
        <v>-749</v>
      </c>
      <c r="B1000" s="103">
        <f t="shared" si="2"/>
        <v>989286.4081</v>
      </c>
    </row>
    <row r="1001">
      <c r="A1001" s="103">
        <f t="shared" si="1"/>
        <v>-750</v>
      </c>
      <c r="B1001" s="103">
        <f t="shared" si="2"/>
        <v>989413.3636</v>
      </c>
    </row>
  </sheetData>
  <drawing r:id="rId1"/>
</worksheet>
</file>